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tydi5021_colorado_edu/Documents/"/>
    </mc:Choice>
  </mc:AlternateContent>
  <xr:revisionPtr revIDLastSave="198" documentId="8_{99AB5A4D-1205-684C-88CC-380815BEFE37}" xr6:coauthVersionLast="47" xr6:coauthVersionMax="47" xr10:uidLastSave="{1331F111-DB3C-E64D-A2E2-3BAEFBE11BE8}"/>
  <bookViews>
    <workbookView xWindow="0" yWindow="520" windowWidth="28800" windowHeight="15400" xr2:uid="{00000000-000D-0000-FFFF-FFFF00000000}"/>
  </bookViews>
  <sheets>
    <sheet name="Master" sheetId="42" r:id="rId1"/>
  </sheets>
  <definedNames>
    <definedName name="_xlnm._FilterDatabase" localSheetId="0" hidden="1">Master!$D$1:$I$9140</definedName>
    <definedName name="_xlchart.v1.0" hidden="1">Master!$M$25:$M$42</definedName>
    <definedName name="_xlchart.v1.1" hidden="1">Master!$N$25:$N$42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Master!$E$2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42" l="1" a="1"/>
  <c r="L25" i="42" s="1"/>
  <c r="O4" i="42"/>
  <c r="M25" i="42"/>
  <c r="Q4" i="42" a="1"/>
  <c r="Q4" i="42" s="1"/>
  <c r="J2" i="42" l="1"/>
  <c r="J3" i="42"/>
  <c r="M26" i="42"/>
  <c r="M27" i="42" s="1"/>
  <c r="I3" i="42"/>
  <c r="I4" i="42"/>
  <c r="I5" i="42"/>
  <c r="I6" i="42"/>
  <c r="I7" i="42"/>
  <c r="I8" i="42"/>
  <c r="I9" i="42"/>
  <c r="I10" i="42"/>
  <c r="I11" i="42"/>
  <c r="I12" i="42"/>
  <c r="I13" i="42"/>
  <c r="I14" i="42"/>
  <c r="I15" i="42"/>
  <c r="I16" i="42"/>
  <c r="I17" i="42"/>
  <c r="I18" i="42"/>
  <c r="I19" i="42"/>
  <c r="I20" i="42"/>
  <c r="I21" i="42"/>
  <c r="I22" i="42"/>
  <c r="I23" i="42"/>
  <c r="I24" i="42"/>
  <c r="I25" i="42"/>
  <c r="I26" i="42"/>
  <c r="I27" i="42"/>
  <c r="I28" i="42"/>
  <c r="I29" i="42"/>
  <c r="I30" i="42"/>
  <c r="I31" i="42"/>
  <c r="I32" i="42"/>
  <c r="I33" i="42"/>
  <c r="I34" i="42"/>
  <c r="I35" i="42"/>
  <c r="I36" i="42"/>
  <c r="I37" i="42"/>
  <c r="I38" i="42"/>
  <c r="I39" i="42"/>
  <c r="I40" i="42"/>
  <c r="I41" i="42"/>
  <c r="I42" i="42"/>
  <c r="I43" i="42"/>
  <c r="I44" i="42"/>
  <c r="I45" i="42"/>
  <c r="I46" i="42"/>
  <c r="I47" i="42"/>
  <c r="I48" i="42"/>
  <c r="I49" i="42"/>
  <c r="I50" i="42"/>
  <c r="I51" i="42"/>
  <c r="I52" i="42"/>
  <c r="I53" i="42"/>
  <c r="I54" i="42"/>
  <c r="I55" i="42"/>
  <c r="I56" i="42"/>
  <c r="I57" i="42"/>
  <c r="I58" i="42"/>
  <c r="I59" i="42"/>
  <c r="I60" i="42"/>
  <c r="I61" i="42"/>
  <c r="I62" i="42"/>
  <c r="I63" i="42"/>
  <c r="I64" i="42"/>
  <c r="I65" i="42"/>
  <c r="I66" i="42"/>
  <c r="I67" i="42"/>
  <c r="I68" i="42"/>
  <c r="I69" i="42"/>
  <c r="I70" i="42"/>
  <c r="I71" i="42"/>
  <c r="I72" i="42"/>
  <c r="I73" i="42"/>
  <c r="I74" i="42"/>
  <c r="I75" i="42"/>
  <c r="I76" i="42"/>
  <c r="I77" i="42"/>
  <c r="I78" i="42"/>
  <c r="I79" i="42"/>
  <c r="I80" i="42"/>
  <c r="I81" i="42"/>
  <c r="I82" i="42"/>
  <c r="I83" i="42"/>
  <c r="I84" i="42"/>
  <c r="I85" i="42"/>
  <c r="I86" i="42"/>
  <c r="I87" i="42"/>
  <c r="I88" i="42"/>
  <c r="I89" i="42"/>
  <c r="I90" i="42"/>
  <c r="I91" i="42"/>
  <c r="I92" i="42"/>
  <c r="I93" i="42"/>
  <c r="I94" i="42"/>
  <c r="I95" i="42"/>
  <c r="I96" i="42"/>
  <c r="I97" i="42"/>
  <c r="I98" i="42"/>
  <c r="I99" i="42"/>
  <c r="I100" i="42"/>
  <c r="I101" i="42"/>
  <c r="I102" i="42"/>
  <c r="I103" i="42"/>
  <c r="I104" i="42"/>
  <c r="I105" i="42"/>
  <c r="I106" i="42"/>
  <c r="I107" i="42"/>
  <c r="I108" i="42"/>
  <c r="I109" i="42"/>
  <c r="I110" i="42"/>
  <c r="I111" i="42"/>
  <c r="I112" i="42"/>
  <c r="I113" i="42"/>
  <c r="I114" i="42"/>
  <c r="I115" i="42"/>
  <c r="I116" i="42"/>
  <c r="I117" i="42"/>
  <c r="I118" i="42"/>
  <c r="I119" i="42"/>
  <c r="I120" i="42"/>
  <c r="I121" i="42"/>
  <c r="I122" i="42"/>
  <c r="I123" i="42"/>
  <c r="I124" i="42"/>
  <c r="I125" i="42"/>
  <c r="I126" i="42"/>
  <c r="I127" i="42"/>
  <c r="I128" i="42"/>
  <c r="I129" i="42"/>
  <c r="I130" i="42"/>
  <c r="I131" i="42"/>
  <c r="I132" i="42"/>
  <c r="I133" i="42"/>
  <c r="I134" i="42"/>
  <c r="I135" i="42"/>
  <c r="I136" i="42"/>
  <c r="I137" i="42"/>
  <c r="I138" i="42"/>
  <c r="I139" i="42"/>
  <c r="I140" i="42"/>
  <c r="I141" i="42"/>
  <c r="I142" i="42"/>
  <c r="I143" i="42"/>
  <c r="I144" i="42"/>
  <c r="I145" i="42"/>
  <c r="I146" i="42"/>
  <c r="I147" i="42"/>
  <c r="I148" i="42"/>
  <c r="I149" i="42"/>
  <c r="I150" i="42"/>
  <c r="I151" i="42"/>
  <c r="I152" i="42"/>
  <c r="I153" i="42"/>
  <c r="I154" i="42"/>
  <c r="I155" i="42"/>
  <c r="I156" i="42"/>
  <c r="I157" i="42"/>
  <c r="I158" i="42"/>
  <c r="I159" i="42"/>
  <c r="I160" i="42"/>
  <c r="I161" i="42"/>
  <c r="I162" i="42"/>
  <c r="I163" i="42"/>
  <c r="I164" i="42"/>
  <c r="I165" i="42"/>
  <c r="I166" i="42"/>
  <c r="I167" i="42"/>
  <c r="I168" i="42"/>
  <c r="I169" i="42"/>
  <c r="I170" i="42"/>
  <c r="I171" i="42"/>
  <c r="I172" i="42"/>
  <c r="I173" i="42"/>
  <c r="I174" i="42"/>
  <c r="I175" i="42"/>
  <c r="I176" i="42"/>
  <c r="I177" i="42"/>
  <c r="I178" i="42"/>
  <c r="I179" i="42"/>
  <c r="I180" i="42"/>
  <c r="I181" i="42"/>
  <c r="I182" i="42"/>
  <c r="I183" i="42"/>
  <c r="I184" i="42"/>
  <c r="I185" i="42"/>
  <c r="I186" i="42"/>
  <c r="I187" i="42"/>
  <c r="I188" i="42"/>
  <c r="I189" i="42"/>
  <c r="I190" i="42"/>
  <c r="I191" i="42"/>
  <c r="I192" i="42"/>
  <c r="I193" i="42"/>
  <c r="I194" i="42"/>
  <c r="I195" i="42"/>
  <c r="I196" i="42"/>
  <c r="I197" i="42"/>
  <c r="I198" i="42"/>
  <c r="I199" i="42"/>
  <c r="I200" i="42"/>
  <c r="I201" i="42"/>
  <c r="I202" i="42"/>
  <c r="I203" i="42"/>
  <c r="I204" i="42"/>
  <c r="I205" i="42"/>
  <c r="I206" i="42"/>
  <c r="I207" i="42"/>
  <c r="I208" i="42"/>
  <c r="I209" i="42"/>
  <c r="I210" i="42"/>
  <c r="I211" i="42"/>
  <c r="I212" i="42"/>
  <c r="I213" i="42"/>
  <c r="I214" i="42"/>
  <c r="I215" i="42"/>
  <c r="I216" i="42"/>
  <c r="I217" i="42"/>
  <c r="I218" i="42"/>
  <c r="I219" i="42"/>
  <c r="I220" i="42"/>
  <c r="I221" i="42"/>
  <c r="I222" i="42"/>
  <c r="I223" i="42"/>
  <c r="I224" i="42"/>
  <c r="I225" i="42"/>
  <c r="I226" i="42"/>
  <c r="I227" i="42"/>
  <c r="I228" i="42"/>
  <c r="I229" i="42"/>
  <c r="I230" i="42"/>
  <c r="I231" i="42"/>
  <c r="I232" i="42"/>
  <c r="I233" i="42"/>
  <c r="I234" i="42"/>
  <c r="I235" i="42"/>
  <c r="I236" i="42"/>
  <c r="I237" i="42"/>
  <c r="I238" i="42"/>
  <c r="I239" i="42"/>
  <c r="I240" i="42"/>
  <c r="I241" i="42"/>
  <c r="I242" i="42"/>
  <c r="I243" i="42"/>
  <c r="I244" i="42"/>
  <c r="I245" i="42"/>
  <c r="I246" i="42"/>
  <c r="I247" i="42"/>
  <c r="I248" i="42"/>
  <c r="I249" i="42"/>
  <c r="I250" i="42"/>
  <c r="I251" i="42"/>
  <c r="I252" i="42"/>
  <c r="I253" i="42"/>
  <c r="I254" i="42"/>
  <c r="I255" i="42"/>
  <c r="I256" i="42"/>
  <c r="I257" i="42"/>
  <c r="I258" i="42"/>
  <c r="I259" i="42"/>
  <c r="I260" i="42"/>
  <c r="I261" i="42"/>
  <c r="I262" i="42"/>
  <c r="I263" i="42"/>
  <c r="I264" i="42"/>
  <c r="I265" i="42"/>
  <c r="I266" i="42"/>
  <c r="I267" i="42"/>
  <c r="I268" i="42"/>
  <c r="I269" i="42"/>
  <c r="I270" i="42"/>
  <c r="I271" i="42"/>
  <c r="I272" i="42"/>
  <c r="I273" i="42"/>
  <c r="I274" i="42"/>
  <c r="I275" i="42"/>
  <c r="I276" i="42"/>
  <c r="I277" i="42"/>
  <c r="I278" i="42"/>
  <c r="I279" i="42"/>
  <c r="I280" i="42"/>
  <c r="I281" i="42"/>
  <c r="I282" i="42"/>
  <c r="I283" i="42"/>
  <c r="I284" i="42"/>
  <c r="I285" i="42"/>
  <c r="I286" i="42"/>
  <c r="I287" i="42"/>
  <c r="I288" i="42"/>
  <c r="I289" i="42"/>
  <c r="I290" i="42"/>
  <c r="I291" i="42"/>
  <c r="I292" i="42"/>
  <c r="I293" i="42"/>
  <c r="I294" i="42"/>
  <c r="I295" i="42"/>
  <c r="I296" i="42"/>
  <c r="I297" i="42"/>
  <c r="I298" i="42"/>
  <c r="I299" i="42"/>
  <c r="I300" i="42"/>
  <c r="I301" i="42"/>
  <c r="I302" i="42"/>
  <c r="I303" i="42"/>
  <c r="I304" i="42"/>
  <c r="I305" i="42"/>
  <c r="I306" i="42"/>
  <c r="I307" i="42"/>
  <c r="I308" i="42"/>
  <c r="I309" i="42"/>
  <c r="I310" i="42"/>
  <c r="I311" i="42"/>
  <c r="I312" i="42"/>
  <c r="I313" i="42"/>
  <c r="I314" i="42"/>
  <c r="I315" i="42"/>
  <c r="I316" i="42"/>
  <c r="I317" i="42"/>
  <c r="I318" i="42"/>
  <c r="I319" i="42"/>
  <c r="I320" i="42"/>
  <c r="I321" i="42"/>
  <c r="I322" i="42"/>
  <c r="I323" i="42"/>
  <c r="I324" i="42"/>
  <c r="I325" i="42"/>
  <c r="I326" i="42"/>
  <c r="I327" i="42"/>
  <c r="I328" i="42"/>
  <c r="I329" i="42"/>
  <c r="I330" i="42"/>
  <c r="I331" i="42"/>
  <c r="I332" i="42"/>
  <c r="I333" i="42"/>
  <c r="I334" i="42"/>
  <c r="I335" i="42"/>
  <c r="I336" i="42"/>
  <c r="I337" i="42"/>
  <c r="I338" i="42"/>
  <c r="I339" i="42"/>
  <c r="I340" i="42"/>
  <c r="I341" i="42"/>
  <c r="I342" i="42"/>
  <c r="I343" i="42"/>
  <c r="I344" i="42"/>
  <c r="I345" i="42"/>
  <c r="I346" i="42"/>
  <c r="I347" i="42"/>
  <c r="I348" i="42"/>
  <c r="I349" i="42"/>
  <c r="I350" i="42"/>
  <c r="I351" i="42"/>
  <c r="I352" i="42"/>
  <c r="I353" i="42"/>
  <c r="I354" i="42"/>
  <c r="I355" i="42"/>
  <c r="I356" i="42"/>
  <c r="I357" i="42"/>
  <c r="I358" i="42"/>
  <c r="I359" i="42"/>
  <c r="I360" i="42"/>
  <c r="I361" i="42"/>
  <c r="I362" i="42"/>
  <c r="I363" i="42"/>
  <c r="I364" i="42"/>
  <c r="I365" i="42"/>
  <c r="I366" i="42"/>
  <c r="I367" i="42"/>
  <c r="I368" i="42"/>
  <c r="I369" i="42"/>
  <c r="I370" i="42"/>
  <c r="I371" i="42"/>
  <c r="I372" i="42"/>
  <c r="I373" i="42"/>
  <c r="I374" i="42"/>
  <c r="I375" i="42"/>
  <c r="I376" i="42"/>
  <c r="I377" i="42"/>
  <c r="I378" i="42"/>
  <c r="I379" i="42"/>
  <c r="I380" i="42"/>
  <c r="I381" i="42"/>
  <c r="I382" i="42"/>
  <c r="I383" i="42"/>
  <c r="I384" i="42"/>
  <c r="I385" i="42"/>
  <c r="I386" i="42"/>
  <c r="I387" i="42"/>
  <c r="I388" i="42"/>
  <c r="I389" i="42"/>
  <c r="I390" i="42"/>
  <c r="I391" i="42"/>
  <c r="I392" i="42"/>
  <c r="I393" i="42"/>
  <c r="I394" i="42"/>
  <c r="I395" i="42"/>
  <c r="I396" i="42"/>
  <c r="I397" i="42"/>
  <c r="I398" i="42"/>
  <c r="I399" i="42"/>
  <c r="I400" i="42"/>
  <c r="I401" i="42"/>
  <c r="I402" i="42"/>
  <c r="I403" i="42"/>
  <c r="I404" i="42"/>
  <c r="I405" i="42"/>
  <c r="I406" i="42"/>
  <c r="I407" i="42"/>
  <c r="I408" i="42"/>
  <c r="I409" i="42"/>
  <c r="I410" i="42"/>
  <c r="I411" i="42"/>
  <c r="I412" i="42"/>
  <c r="I413" i="42"/>
  <c r="I414" i="42"/>
  <c r="I415" i="42"/>
  <c r="I416" i="42"/>
  <c r="I417" i="42"/>
  <c r="I418" i="42"/>
  <c r="I419" i="42"/>
  <c r="I420" i="42"/>
  <c r="I421" i="42"/>
  <c r="I422" i="42"/>
  <c r="I423" i="42"/>
  <c r="I424" i="42"/>
  <c r="I425" i="42"/>
  <c r="I426" i="42"/>
  <c r="I427" i="42"/>
  <c r="I428" i="42"/>
  <c r="I429" i="42"/>
  <c r="I430" i="42"/>
  <c r="I431" i="42"/>
  <c r="I432" i="42"/>
  <c r="I433" i="42"/>
  <c r="I434" i="42"/>
  <c r="I435" i="42"/>
  <c r="I436" i="42"/>
  <c r="I437" i="42"/>
  <c r="I438" i="42"/>
  <c r="I439" i="42"/>
  <c r="I440" i="42"/>
  <c r="I441" i="42"/>
  <c r="I442" i="42"/>
  <c r="I443" i="42"/>
  <c r="I444" i="42"/>
  <c r="I445" i="42"/>
  <c r="I446" i="42"/>
  <c r="I447" i="42"/>
  <c r="I448" i="42"/>
  <c r="I449" i="42"/>
  <c r="I450" i="42"/>
  <c r="I451" i="42"/>
  <c r="I452" i="42"/>
  <c r="I453" i="42"/>
  <c r="I454" i="42"/>
  <c r="I455" i="42"/>
  <c r="I456" i="42"/>
  <c r="I457" i="42"/>
  <c r="I458" i="42"/>
  <c r="I459" i="42"/>
  <c r="I460" i="42"/>
  <c r="I461" i="42"/>
  <c r="I462" i="42"/>
  <c r="I463" i="42"/>
  <c r="I464" i="42"/>
  <c r="I465" i="42"/>
  <c r="I466" i="42"/>
  <c r="I467" i="42"/>
  <c r="I468" i="42"/>
  <c r="I469" i="42"/>
  <c r="I470" i="42"/>
  <c r="I471" i="42"/>
  <c r="I472" i="42"/>
  <c r="I473" i="42"/>
  <c r="I474" i="42"/>
  <c r="I475" i="42"/>
  <c r="I476" i="42"/>
  <c r="I477" i="42"/>
  <c r="I478" i="42"/>
  <c r="I479" i="42"/>
  <c r="I480" i="42"/>
  <c r="I481" i="42"/>
  <c r="I482" i="42"/>
  <c r="I483" i="42"/>
  <c r="I484" i="42"/>
  <c r="I485" i="42"/>
  <c r="I486" i="42"/>
  <c r="I487" i="42"/>
  <c r="I488" i="42"/>
  <c r="I489" i="42"/>
  <c r="I490" i="42"/>
  <c r="I491" i="42"/>
  <c r="I492" i="42"/>
  <c r="I493" i="42"/>
  <c r="I494" i="42"/>
  <c r="I495" i="42"/>
  <c r="I496" i="42"/>
  <c r="I497" i="42"/>
  <c r="I498" i="42"/>
  <c r="I499" i="42"/>
  <c r="I500" i="42"/>
  <c r="I501" i="42"/>
  <c r="I502" i="42"/>
  <c r="I503" i="42"/>
  <c r="I504" i="42"/>
  <c r="I505" i="42"/>
  <c r="I506" i="42"/>
  <c r="I507" i="42"/>
  <c r="I508" i="42"/>
  <c r="I509" i="42"/>
  <c r="I510" i="42"/>
  <c r="I511" i="42"/>
  <c r="I512" i="42"/>
  <c r="I513" i="42"/>
  <c r="I514" i="42"/>
  <c r="I515" i="42"/>
  <c r="I516" i="42"/>
  <c r="I517" i="42"/>
  <c r="I518" i="42"/>
  <c r="I519" i="42"/>
  <c r="I520" i="42"/>
  <c r="I521" i="42"/>
  <c r="I522" i="42"/>
  <c r="I523" i="42"/>
  <c r="I524" i="42"/>
  <c r="I525" i="42"/>
  <c r="I526" i="42"/>
  <c r="I527" i="42"/>
  <c r="I528" i="42"/>
  <c r="I529" i="42"/>
  <c r="I530" i="42"/>
  <c r="I531" i="42"/>
  <c r="I532" i="42"/>
  <c r="I533" i="42"/>
  <c r="I534" i="42"/>
  <c r="I535" i="42"/>
  <c r="I536" i="42"/>
  <c r="I537" i="42"/>
  <c r="I538" i="42"/>
  <c r="I539" i="42"/>
  <c r="I540" i="42"/>
  <c r="I541" i="42"/>
  <c r="I542" i="42"/>
  <c r="I543" i="42"/>
  <c r="I544" i="42"/>
  <c r="I545" i="42"/>
  <c r="I546" i="42"/>
  <c r="I547" i="42"/>
  <c r="I548" i="42"/>
  <c r="I549" i="42"/>
  <c r="I550" i="42"/>
  <c r="I551" i="42"/>
  <c r="I552" i="42"/>
  <c r="I553" i="42"/>
  <c r="I554" i="42"/>
  <c r="I555" i="42"/>
  <c r="I556" i="42"/>
  <c r="I557" i="42"/>
  <c r="I558" i="42"/>
  <c r="I559" i="42"/>
  <c r="I560" i="42"/>
  <c r="I561" i="42"/>
  <c r="I562" i="42"/>
  <c r="I563" i="42"/>
  <c r="I564" i="42"/>
  <c r="I565" i="42"/>
  <c r="I566" i="42"/>
  <c r="I567" i="42"/>
  <c r="I568" i="42"/>
  <c r="I569" i="42"/>
  <c r="I570" i="42"/>
  <c r="I571" i="42"/>
  <c r="I572" i="42"/>
  <c r="I573" i="42"/>
  <c r="I574" i="42"/>
  <c r="I575" i="42"/>
  <c r="I576" i="42"/>
  <c r="I577" i="42"/>
  <c r="I578" i="42"/>
  <c r="I579" i="42"/>
  <c r="I580" i="42"/>
  <c r="I581" i="42"/>
  <c r="I582" i="42"/>
  <c r="I583" i="42"/>
  <c r="I584" i="42"/>
  <c r="I585" i="42"/>
  <c r="I586" i="42"/>
  <c r="I587" i="42"/>
  <c r="I588" i="42"/>
  <c r="I589" i="42"/>
  <c r="I590" i="42"/>
  <c r="I591" i="42"/>
  <c r="I592" i="42"/>
  <c r="I593" i="42"/>
  <c r="I594" i="42"/>
  <c r="I595" i="42"/>
  <c r="I596" i="42"/>
  <c r="I597" i="42"/>
  <c r="I598" i="42"/>
  <c r="I599" i="42"/>
  <c r="I600" i="42"/>
  <c r="I601" i="42"/>
  <c r="I602" i="42"/>
  <c r="I603" i="42"/>
  <c r="I604" i="42"/>
  <c r="I605" i="42"/>
  <c r="I606" i="42"/>
  <c r="I607" i="42"/>
  <c r="I608" i="42"/>
  <c r="I609" i="42"/>
  <c r="I610" i="42"/>
  <c r="I611" i="42"/>
  <c r="I612" i="42"/>
  <c r="I613" i="42"/>
  <c r="I614" i="42"/>
  <c r="I615" i="42"/>
  <c r="I616" i="42"/>
  <c r="I617" i="42"/>
  <c r="I618" i="42"/>
  <c r="I619" i="42"/>
  <c r="I620" i="42"/>
  <c r="I621" i="42"/>
  <c r="I622" i="42"/>
  <c r="I623" i="42"/>
  <c r="I624" i="42"/>
  <c r="I625" i="42"/>
  <c r="I626" i="42"/>
  <c r="I627" i="42"/>
  <c r="I628" i="42"/>
  <c r="I629" i="42"/>
  <c r="I630" i="42"/>
  <c r="I631" i="42"/>
  <c r="I632" i="42"/>
  <c r="I633" i="42"/>
  <c r="I634" i="42"/>
  <c r="I635" i="42"/>
  <c r="I636" i="42"/>
  <c r="I637" i="42"/>
  <c r="I638" i="42"/>
  <c r="I639" i="42"/>
  <c r="I640" i="42"/>
  <c r="I641" i="42"/>
  <c r="I642" i="42"/>
  <c r="I643" i="42"/>
  <c r="I644" i="42"/>
  <c r="I645" i="42"/>
  <c r="I646" i="42"/>
  <c r="I647" i="42"/>
  <c r="I648" i="42"/>
  <c r="I649" i="42"/>
  <c r="I650" i="42"/>
  <c r="I651" i="42"/>
  <c r="I652" i="42"/>
  <c r="I653" i="42"/>
  <c r="I654" i="42"/>
  <c r="I655" i="42"/>
  <c r="I656" i="42"/>
  <c r="I657" i="42"/>
  <c r="I658" i="42"/>
  <c r="I659" i="42"/>
  <c r="I660" i="42"/>
  <c r="I661" i="42"/>
  <c r="I662" i="42"/>
  <c r="I663" i="42"/>
  <c r="I664" i="42"/>
  <c r="I665" i="42"/>
  <c r="I666" i="42"/>
  <c r="I667" i="42"/>
  <c r="I668" i="42"/>
  <c r="I669" i="42"/>
  <c r="I670" i="42"/>
  <c r="I671" i="42"/>
  <c r="I672" i="42"/>
  <c r="I673" i="42"/>
  <c r="I674" i="42"/>
  <c r="I675" i="42"/>
  <c r="I676" i="42"/>
  <c r="I677" i="42"/>
  <c r="I678" i="42"/>
  <c r="I679" i="42"/>
  <c r="I680" i="42"/>
  <c r="I681" i="42"/>
  <c r="I682" i="42"/>
  <c r="I683" i="42"/>
  <c r="I684" i="42"/>
  <c r="I685" i="42"/>
  <c r="I686" i="42"/>
  <c r="I687" i="42"/>
  <c r="I688" i="42"/>
  <c r="I689" i="42"/>
  <c r="I690" i="42"/>
  <c r="I691" i="42"/>
  <c r="I692" i="42"/>
  <c r="I693" i="42"/>
  <c r="I694" i="42"/>
  <c r="I695" i="42"/>
  <c r="I696" i="42"/>
  <c r="I697" i="42"/>
  <c r="I698" i="42"/>
  <c r="I699" i="42"/>
  <c r="I700" i="42"/>
  <c r="I701" i="42"/>
  <c r="I702" i="42"/>
  <c r="I703" i="42"/>
  <c r="I704" i="42"/>
  <c r="I705" i="42"/>
  <c r="I706" i="42"/>
  <c r="I707" i="42"/>
  <c r="I708" i="42"/>
  <c r="I709" i="42"/>
  <c r="I710" i="42"/>
  <c r="I711" i="42"/>
  <c r="I712" i="42"/>
  <c r="I713" i="42"/>
  <c r="I714" i="42"/>
  <c r="I715" i="42"/>
  <c r="I716" i="42"/>
  <c r="I717" i="42"/>
  <c r="I718" i="42"/>
  <c r="I719" i="42"/>
  <c r="I720" i="42"/>
  <c r="I721" i="42"/>
  <c r="I722" i="42"/>
  <c r="I723" i="42"/>
  <c r="I724" i="42"/>
  <c r="I725" i="42"/>
  <c r="I726" i="42"/>
  <c r="I727" i="42"/>
  <c r="I728" i="42"/>
  <c r="I729" i="42"/>
  <c r="I730" i="42"/>
  <c r="I731" i="42"/>
  <c r="I732" i="42"/>
  <c r="I733" i="42"/>
  <c r="I734" i="42"/>
  <c r="I735" i="42"/>
  <c r="I736" i="42"/>
  <c r="I737" i="42"/>
  <c r="I738" i="42"/>
  <c r="I739" i="42"/>
  <c r="I740" i="42"/>
  <c r="I741" i="42"/>
  <c r="I742" i="42"/>
  <c r="I743" i="42"/>
  <c r="I744" i="42"/>
  <c r="I745" i="42"/>
  <c r="I746" i="42"/>
  <c r="I747" i="42"/>
  <c r="I748" i="42"/>
  <c r="I749" i="42"/>
  <c r="I750" i="42"/>
  <c r="I751" i="42"/>
  <c r="I752" i="42"/>
  <c r="I753" i="42"/>
  <c r="I754" i="42"/>
  <c r="I755" i="42"/>
  <c r="I756" i="42"/>
  <c r="I757" i="42"/>
  <c r="I758" i="42"/>
  <c r="I759" i="42"/>
  <c r="I760" i="42"/>
  <c r="I761" i="42"/>
  <c r="I762" i="42"/>
  <c r="I763" i="42"/>
  <c r="I764" i="42"/>
  <c r="I765" i="42"/>
  <c r="I766" i="42"/>
  <c r="I767" i="42"/>
  <c r="I768" i="42"/>
  <c r="I769" i="42"/>
  <c r="I770" i="42"/>
  <c r="I771" i="42"/>
  <c r="I772" i="42"/>
  <c r="I773" i="42"/>
  <c r="I774" i="42"/>
  <c r="I775" i="42"/>
  <c r="I776" i="42"/>
  <c r="I777" i="42"/>
  <c r="I778" i="42"/>
  <c r="I779" i="42"/>
  <c r="I780" i="42"/>
  <c r="I781" i="42"/>
  <c r="I782" i="42"/>
  <c r="I783" i="42"/>
  <c r="I784" i="42"/>
  <c r="I785" i="42"/>
  <c r="I786" i="42"/>
  <c r="I787" i="42"/>
  <c r="I788" i="42"/>
  <c r="I789" i="42"/>
  <c r="I790" i="42"/>
  <c r="I791" i="42"/>
  <c r="I792" i="42"/>
  <c r="I793" i="42"/>
  <c r="I794" i="42"/>
  <c r="I795" i="42"/>
  <c r="I796" i="42"/>
  <c r="I797" i="42"/>
  <c r="I798" i="42"/>
  <c r="I799" i="42"/>
  <c r="I800" i="42"/>
  <c r="I801" i="42"/>
  <c r="I802" i="42"/>
  <c r="I803" i="42"/>
  <c r="I804" i="42"/>
  <c r="I805" i="42"/>
  <c r="I806" i="42"/>
  <c r="I807" i="42"/>
  <c r="I808" i="42"/>
  <c r="I809" i="42"/>
  <c r="I810" i="42"/>
  <c r="I811" i="42"/>
  <c r="I812" i="42"/>
  <c r="I813" i="42"/>
  <c r="I814" i="42"/>
  <c r="I815" i="42"/>
  <c r="I816" i="42"/>
  <c r="I817" i="42"/>
  <c r="I818" i="42"/>
  <c r="I819" i="42"/>
  <c r="I820" i="42"/>
  <c r="I821" i="42"/>
  <c r="I822" i="42"/>
  <c r="I823" i="42"/>
  <c r="I824" i="42"/>
  <c r="I825" i="42"/>
  <c r="I826" i="42"/>
  <c r="I827" i="42"/>
  <c r="I828" i="42"/>
  <c r="I829" i="42"/>
  <c r="I830" i="42"/>
  <c r="I831" i="42"/>
  <c r="I832" i="42"/>
  <c r="I833" i="42"/>
  <c r="I834" i="42"/>
  <c r="I835" i="42"/>
  <c r="I836" i="42"/>
  <c r="I837" i="42"/>
  <c r="I838" i="42"/>
  <c r="I839" i="42"/>
  <c r="I840" i="42"/>
  <c r="I841" i="42"/>
  <c r="I842" i="42"/>
  <c r="I843" i="42"/>
  <c r="I844" i="42"/>
  <c r="I845" i="42"/>
  <c r="I846" i="42"/>
  <c r="I847" i="42"/>
  <c r="I848" i="42"/>
  <c r="I849" i="42"/>
  <c r="I850" i="42"/>
  <c r="I851" i="42"/>
  <c r="I852" i="42"/>
  <c r="I853" i="42"/>
  <c r="I854" i="42"/>
  <c r="I855" i="42"/>
  <c r="I856" i="42"/>
  <c r="I857" i="42"/>
  <c r="I858" i="42"/>
  <c r="I859" i="42"/>
  <c r="I860" i="42"/>
  <c r="I861" i="42"/>
  <c r="I862" i="42"/>
  <c r="I863" i="42"/>
  <c r="I864" i="42"/>
  <c r="I865" i="42"/>
  <c r="I866" i="42"/>
  <c r="I867" i="42"/>
  <c r="I868" i="42"/>
  <c r="I869" i="42"/>
  <c r="I870" i="42"/>
  <c r="I871" i="42"/>
  <c r="I872" i="42"/>
  <c r="I873" i="42"/>
  <c r="I874" i="42"/>
  <c r="I875" i="42"/>
  <c r="I876" i="42"/>
  <c r="I877" i="42"/>
  <c r="I878" i="42"/>
  <c r="I879" i="42"/>
  <c r="I880" i="42"/>
  <c r="I881" i="42"/>
  <c r="I882" i="42"/>
  <c r="I883" i="42"/>
  <c r="I884" i="42"/>
  <c r="I885" i="42"/>
  <c r="I886" i="42"/>
  <c r="I887" i="42"/>
  <c r="I888" i="42"/>
  <c r="I889" i="42"/>
  <c r="I890" i="42"/>
  <c r="I891" i="42"/>
  <c r="I892" i="42"/>
  <c r="I893" i="42"/>
  <c r="I894" i="42"/>
  <c r="I895" i="42"/>
  <c r="I896" i="42"/>
  <c r="I897" i="42"/>
  <c r="I898" i="42"/>
  <c r="I899" i="42"/>
  <c r="I900" i="42"/>
  <c r="I901" i="42"/>
  <c r="I902" i="42"/>
  <c r="I903" i="42"/>
  <c r="I904" i="42"/>
  <c r="I905" i="42"/>
  <c r="I906" i="42"/>
  <c r="I907" i="42"/>
  <c r="I908" i="42"/>
  <c r="I909" i="42"/>
  <c r="I910" i="42"/>
  <c r="I911" i="42"/>
  <c r="I912" i="42"/>
  <c r="I913" i="42"/>
  <c r="I914" i="42"/>
  <c r="I915" i="42"/>
  <c r="I916" i="42"/>
  <c r="I917" i="42"/>
  <c r="I918" i="42"/>
  <c r="I919" i="42"/>
  <c r="I920" i="42"/>
  <c r="I921" i="42"/>
  <c r="I922" i="42"/>
  <c r="I923" i="42"/>
  <c r="I924" i="42"/>
  <c r="I925" i="42"/>
  <c r="I926" i="42"/>
  <c r="I927" i="42"/>
  <c r="I928" i="42"/>
  <c r="I929" i="42"/>
  <c r="I930" i="42"/>
  <c r="I931" i="42"/>
  <c r="I932" i="42"/>
  <c r="I933" i="42"/>
  <c r="I934" i="42"/>
  <c r="I935" i="42"/>
  <c r="I936" i="42"/>
  <c r="I937" i="42"/>
  <c r="I938" i="42"/>
  <c r="I939" i="42"/>
  <c r="I940" i="42"/>
  <c r="I941" i="42"/>
  <c r="I942" i="42"/>
  <c r="I943" i="42"/>
  <c r="I944" i="42"/>
  <c r="I945" i="42"/>
  <c r="I946" i="42"/>
  <c r="I947" i="42"/>
  <c r="I948" i="42"/>
  <c r="I949" i="42"/>
  <c r="I950" i="42"/>
  <c r="I951" i="42"/>
  <c r="I952" i="42"/>
  <c r="I953" i="42"/>
  <c r="I954" i="42"/>
  <c r="I955" i="42"/>
  <c r="I956" i="42"/>
  <c r="I957" i="42"/>
  <c r="I958" i="42"/>
  <c r="I959" i="42"/>
  <c r="I960" i="42"/>
  <c r="I961" i="42"/>
  <c r="I962" i="42"/>
  <c r="I963" i="42"/>
  <c r="I964" i="42"/>
  <c r="I965" i="42"/>
  <c r="I966" i="42"/>
  <c r="I967" i="42"/>
  <c r="I968" i="42"/>
  <c r="I969" i="42"/>
  <c r="I970" i="42"/>
  <c r="I971" i="42"/>
  <c r="I972" i="42"/>
  <c r="I973" i="42"/>
  <c r="I974" i="42"/>
  <c r="I975" i="42"/>
  <c r="I976" i="42"/>
  <c r="I977" i="42"/>
  <c r="I978" i="42"/>
  <c r="I979" i="42"/>
  <c r="I980" i="42"/>
  <c r="I981" i="42"/>
  <c r="I982" i="42"/>
  <c r="I983" i="42"/>
  <c r="I984" i="42"/>
  <c r="I985" i="42"/>
  <c r="I986" i="42"/>
  <c r="I987" i="42"/>
  <c r="I988" i="42"/>
  <c r="I989" i="42"/>
  <c r="I990" i="42"/>
  <c r="I991" i="42"/>
  <c r="I992" i="42"/>
  <c r="I993" i="42"/>
  <c r="I994" i="42"/>
  <c r="I995" i="42"/>
  <c r="I996" i="42"/>
  <c r="I997" i="42"/>
  <c r="I998" i="42"/>
  <c r="I999" i="42"/>
  <c r="I1000" i="42"/>
  <c r="I1001" i="42"/>
  <c r="I1002" i="42"/>
  <c r="I1003" i="42"/>
  <c r="I1004" i="42"/>
  <c r="I1005" i="42"/>
  <c r="I1006" i="42"/>
  <c r="I1007" i="42"/>
  <c r="I1008" i="42"/>
  <c r="I1009" i="42"/>
  <c r="I1010" i="42"/>
  <c r="I1011" i="42"/>
  <c r="I1012" i="42"/>
  <c r="I1013" i="42"/>
  <c r="I1014" i="42"/>
  <c r="I1015" i="42"/>
  <c r="I1016" i="42"/>
  <c r="I1017" i="42"/>
  <c r="I1018" i="42"/>
  <c r="I1019" i="42"/>
  <c r="I1020" i="42"/>
  <c r="I1021" i="42"/>
  <c r="I1022" i="42"/>
  <c r="I1023" i="42"/>
  <c r="I1024" i="42"/>
  <c r="I1025" i="42"/>
  <c r="I1026" i="42"/>
  <c r="I1027" i="42"/>
  <c r="I1028" i="42"/>
  <c r="I1029" i="42"/>
  <c r="I1030" i="42"/>
  <c r="I1031" i="42"/>
  <c r="I1032" i="42"/>
  <c r="I1033" i="42"/>
  <c r="I1034" i="42"/>
  <c r="I1035" i="42"/>
  <c r="I1036" i="42"/>
  <c r="I1037" i="42"/>
  <c r="I1038" i="42"/>
  <c r="I1039" i="42"/>
  <c r="I1040" i="42"/>
  <c r="I1041" i="42"/>
  <c r="I1042" i="42"/>
  <c r="I1043" i="42"/>
  <c r="I1044" i="42"/>
  <c r="I1045" i="42"/>
  <c r="I1046" i="42"/>
  <c r="I1047" i="42"/>
  <c r="I1048" i="42"/>
  <c r="I1049" i="42"/>
  <c r="I1050" i="42"/>
  <c r="I1051" i="42"/>
  <c r="I1052" i="42"/>
  <c r="I1053" i="42"/>
  <c r="I1054" i="42"/>
  <c r="I1055" i="42"/>
  <c r="I1056" i="42"/>
  <c r="I1057" i="42"/>
  <c r="I1058" i="42"/>
  <c r="I1059" i="42"/>
  <c r="I1060" i="42"/>
  <c r="I1061" i="42"/>
  <c r="I1062" i="42"/>
  <c r="I1063" i="42"/>
  <c r="I1064" i="42"/>
  <c r="I1065" i="42"/>
  <c r="I1066" i="42"/>
  <c r="I1067" i="42"/>
  <c r="I1068" i="42"/>
  <c r="I1069" i="42"/>
  <c r="I1070" i="42"/>
  <c r="I1071" i="42"/>
  <c r="I1072" i="42"/>
  <c r="I1073" i="42"/>
  <c r="I1074" i="42"/>
  <c r="I1075" i="42"/>
  <c r="I1076" i="42"/>
  <c r="I1077" i="42"/>
  <c r="I1078" i="42"/>
  <c r="I1079" i="42"/>
  <c r="I1080" i="42"/>
  <c r="I1081" i="42"/>
  <c r="I1082" i="42"/>
  <c r="I1083" i="42"/>
  <c r="I1084" i="42"/>
  <c r="I1085" i="42"/>
  <c r="I1086" i="42"/>
  <c r="I1087" i="42"/>
  <c r="I1088" i="42"/>
  <c r="I1089" i="42"/>
  <c r="I1090" i="42"/>
  <c r="I1091" i="42"/>
  <c r="I1092" i="42"/>
  <c r="I1093" i="42"/>
  <c r="I1094" i="42"/>
  <c r="I1095" i="42"/>
  <c r="I1096" i="42"/>
  <c r="I1097" i="42"/>
  <c r="I1098" i="42"/>
  <c r="I1099" i="42"/>
  <c r="I1100" i="42"/>
  <c r="I1101" i="42"/>
  <c r="I1102" i="42"/>
  <c r="I1103" i="42"/>
  <c r="I1104" i="42"/>
  <c r="I1105" i="42"/>
  <c r="I1106" i="42"/>
  <c r="I1107" i="42"/>
  <c r="I1108" i="42"/>
  <c r="I1109" i="42"/>
  <c r="I1110" i="42"/>
  <c r="I1111" i="42"/>
  <c r="I1112" i="42"/>
  <c r="I1113" i="42"/>
  <c r="I1114" i="42"/>
  <c r="I1115" i="42"/>
  <c r="I1116" i="42"/>
  <c r="I1117" i="42"/>
  <c r="I1118" i="42"/>
  <c r="I1119" i="42"/>
  <c r="I1120" i="42"/>
  <c r="I1121" i="42"/>
  <c r="I1122" i="42"/>
  <c r="I1123" i="42"/>
  <c r="I1124" i="42"/>
  <c r="I1125" i="42"/>
  <c r="I1126" i="42"/>
  <c r="I1127" i="42"/>
  <c r="I1128" i="42"/>
  <c r="I1129" i="42"/>
  <c r="I1130" i="42"/>
  <c r="I1131" i="42"/>
  <c r="I1132" i="42"/>
  <c r="I1133" i="42"/>
  <c r="I1134" i="42"/>
  <c r="I1135" i="42"/>
  <c r="I1136" i="42"/>
  <c r="I1137" i="42"/>
  <c r="I1138" i="42"/>
  <c r="I1139" i="42"/>
  <c r="I1140" i="42"/>
  <c r="I1141" i="42"/>
  <c r="I1142" i="42"/>
  <c r="I1143" i="42"/>
  <c r="I1144" i="42"/>
  <c r="I1145" i="42"/>
  <c r="I1146" i="42"/>
  <c r="I1147" i="42"/>
  <c r="I1148" i="42"/>
  <c r="I1149" i="42"/>
  <c r="I1150" i="42"/>
  <c r="I1151" i="42"/>
  <c r="I1152" i="42"/>
  <c r="I1153" i="42"/>
  <c r="I1154" i="42"/>
  <c r="I1155" i="42"/>
  <c r="I1156" i="42"/>
  <c r="I1157" i="42"/>
  <c r="I1158" i="42"/>
  <c r="I1159" i="42"/>
  <c r="I1160" i="42"/>
  <c r="I1161" i="42"/>
  <c r="I1162" i="42"/>
  <c r="I1163" i="42"/>
  <c r="I1164" i="42"/>
  <c r="I1165" i="42"/>
  <c r="I1166" i="42"/>
  <c r="I1167" i="42"/>
  <c r="I1168" i="42"/>
  <c r="I1169" i="42"/>
  <c r="I1170" i="42"/>
  <c r="I1171" i="42"/>
  <c r="I1172" i="42"/>
  <c r="I1173" i="42"/>
  <c r="I1174" i="42"/>
  <c r="I1175" i="42"/>
  <c r="I1176" i="42"/>
  <c r="I1177" i="42"/>
  <c r="I1178" i="42"/>
  <c r="I1179" i="42"/>
  <c r="I1180" i="42"/>
  <c r="I1181" i="42"/>
  <c r="I1182" i="42"/>
  <c r="I1183" i="42"/>
  <c r="I1184" i="42"/>
  <c r="I1185" i="42"/>
  <c r="I1186" i="42"/>
  <c r="I1187" i="42"/>
  <c r="I1188" i="42"/>
  <c r="I1189" i="42"/>
  <c r="I1190" i="42"/>
  <c r="I1191" i="42"/>
  <c r="I1192" i="42"/>
  <c r="I1193" i="42"/>
  <c r="I1194" i="42"/>
  <c r="I1195" i="42"/>
  <c r="I1196" i="42"/>
  <c r="I1197" i="42"/>
  <c r="I1198" i="42"/>
  <c r="I1199" i="42"/>
  <c r="I1200" i="42"/>
  <c r="I1201" i="42"/>
  <c r="I1202" i="42"/>
  <c r="I1203" i="42"/>
  <c r="I1204" i="42"/>
  <c r="I1205" i="42"/>
  <c r="I1206" i="42"/>
  <c r="I1207" i="42"/>
  <c r="I1208" i="42"/>
  <c r="I1209" i="42"/>
  <c r="I1210" i="42"/>
  <c r="I1211" i="42"/>
  <c r="I1212" i="42"/>
  <c r="I1213" i="42"/>
  <c r="I1214" i="42"/>
  <c r="I1215" i="42"/>
  <c r="I1216" i="42"/>
  <c r="I1217" i="42"/>
  <c r="I1218" i="42"/>
  <c r="I1219" i="42"/>
  <c r="I1220" i="42"/>
  <c r="I1221" i="42"/>
  <c r="I1222" i="42"/>
  <c r="I1223" i="42"/>
  <c r="I1224" i="42"/>
  <c r="I1225" i="42"/>
  <c r="I1226" i="42"/>
  <c r="I1227" i="42"/>
  <c r="I1228" i="42"/>
  <c r="I1229" i="42"/>
  <c r="I1230" i="42"/>
  <c r="I1231" i="42"/>
  <c r="I1232" i="42"/>
  <c r="I1233" i="42"/>
  <c r="I1234" i="42"/>
  <c r="I1235" i="42"/>
  <c r="I1236" i="42"/>
  <c r="I1237" i="42"/>
  <c r="I1238" i="42"/>
  <c r="I1239" i="42"/>
  <c r="I1240" i="42"/>
  <c r="I1241" i="42"/>
  <c r="I1242" i="42"/>
  <c r="I1243" i="42"/>
  <c r="I1244" i="42"/>
  <c r="I1245" i="42"/>
  <c r="I1246" i="42"/>
  <c r="I1247" i="42"/>
  <c r="I1248" i="42"/>
  <c r="I1249" i="42"/>
  <c r="I1250" i="42"/>
  <c r="I1251" i="42"/>
  <c r="I1252" i="42"/>
  <c r="I1253" i="42"/>
  <c r="I1254" i="42"/>
  <c r="I1255" i="42"/>
  <c r="I1256" i="42"/>
  <c r="I1257" i="42"/>
  <c r="I1258" i="42"/>
  <c r="I1259" i="42"/>
  <c r="I1260" i="42"/>
  <c r="I1261" i="42"/>
  <c r="I1262" i="42"/>
  <c r="I1263" i="42"/>
  <c r="I1264" i="42"/>
  <c r="I1265" i="42"/>
  <c r="I1266" i="42"/>
  <c r="I1267" i="42"/>
  <c r="I1268" i="42"/>
  <c r="I1269" i="42"/>
  <c r="I1270" i="42"/>
  <c r="I1271" i="42"/>
  <c r="I1272" i="42"/>
  <c r="I1273" i="42"/>
  <c r="I1274" i="42"/>
  <c r="I1275" i="42"/>
  <c r="I1276" i="42"/>
  <c r="I1277" i="42"/>
  <c r="I1278" i="42"/>
  <c r="I1279" i="42"/>
  <c r="I1280" i="42"/>
  <c r="I1281" i="42"/>
  <c r="I1282" i="42"/>
  <c r="I1283" i="42"/>
  <c r="I1284" i="42"/>
  <c r="I1285" i="42"/>
  <c r="I1286" i="42"/>
  <c r="I1287" i="42"/>
  <c r="I1288" i="42"/>
  <c r="I1289" i="42"/>
  <c r="I1290" i="42"/>
  <c r="I1291" i="42"/>
  <c r="I1292" i="42"/>
  <c r="I1293" i="42"/>
  <c r="I1294" i="42"/>
  <c r="I1295" i="42"/>
  <c r="I1296" i="42"/>
  <c r="I1297" i="42"/>
  <c r="I1298" i="42"/>
  <c r="I1299" i="42"/>
  <c r="I1300" i="42"/>
  <c r="I1301" i="42"/>
  <c r="I1302" i="42"/>
  <c r="I1303" i="42"/>
  <c r="I1304" i="42"/>
  <c r="I1305" i="42"/>
  <c r="I1306" i="42"/>
  <c r="I1307" i="42"/>
  <c r="I1308" i="42"/>
  <c r="I1309" i="42"/>
  <c r="I1310" i="42"/>
  <c r="I1311" i="42"/>
  <c r="I1312" i="42"/>
  <c r="I1313" i="42"/>
  <c r="I1314" i="42"/>
  <c r="I1315" i="42"/>
  <c r="I1316" i="42"/>
  <c r="I1317" i="42"/>
  <c r="I1318" i="42"/>
  <c r="I1319" i="42"/>
  <c r="I1320" i="42"/>
  <c r="I1321" i="42"/>
  <c r="I1322" i="42"/>
  <c r="I1323" i="42"/>
  <c r="I1324" i="42"/>
  <c r="I1325" i="42"/>
  <c r="I1326" i="42"/>
  <c r="I1327" i="42"/>
  <c r="I1328" i="42"/>
  <c r="I1329" i="42"/>
  <c r="I1330" i="42"/>
  <c r="I1331" i="42"/>
  <c r="I1332" i="42"/>
  <c r="I1333" i="42"/>
  <c r="I1334" i="42"/>
  <c r="I1335" i="42"/>
  <c r="I1336" i="42"/>
  <c r="I1337" i="42"/>
  <c r="I1338" i="42"/>
  <c r="I1339" i="42"/>
  <c r="I1340" i="42"/>
  <c r="I1341" i="42"/>
  <c r="I1342" i="42"/>
  <c r="I1343" i="42"/>
  <c r="I1344" i="42"/>
  <c r="I1345" i="42"/>
  <c r="I1346" i="42"/>
  <c r="I1347" i="42"/>
  <c r="I1348" i="42"/>
  <c r="I1349" i="42"/>
  <c r="I1350" i="42"/>
  <c r="I1351" i="42"/>
  <c r="I1352" i="42"/>
  <c r="I1353" i="42"/>
  <c r="I1354" i="42"/>
  <c r="I1355" i="42"/>
  <c r="I1356" i="42"/>
  <c r="I1357" i="42"/>
  <c r="I1358" i="42"/>
  <c r="I1359" i="42"/>
  <c r="I1360" i="42"/>
  <c r="I1361" i="42"/>
  <c r="I1362" i="42"/>
  <c r="I1363" i="42"/>
  <c r="I1364" i="42"/>
  <c r="I1365" i="42"/>
  <c r="I1366" i="42"/>
  <c r="I1367" i="42"/>
  <c r="I1368" i="42"/>
  <c r="I1369" i="42"/>
  <c r="I1370" i="42"/>
  <c r="I1371" i="42"/>
  <c r="I1372" i="42"/>
  <c r="I1373" i="42"/>
  <c r="I1374" i="42"/>
  <c r="I1375" i="42"/>
  <c r="I1376" i="42"/>
  <c r="I1377" i="42"/>
  <c r="I1378" i="42"/>
  <c r="I1379" i="42"/>
  <c r="I1380" i="42"/>
  <c r="I1381" i="42"/>
  <c r="I1382" i="42"/>
  <c r="I1383" i="42"/>
  <c r="I1384" i="42"/>
  <c r="I1385" i="42"/>
  <c r="I1386" i="42"/>
  <c r="I1387" i="42"/>
  <c r="I1388" i="42"/>
  <c r="I1389" i="42"/>
  <c r="I1390" i="42"/>
  <c r="I1391" i="42"/>
  <c r="I1392" i="42"/>
  <c r="I1393" i="42"/>
  <c r="I1394" i="42"/>
  <c r="I1395" i="42"/>
  <c r="I1396" i="42"/>
  <c r="I1397" i="42"/>
  <c r="I1398" i="42"/>
  <c r="I1399" i="42"/>
  <c r="I1400" i="42"/>
  <c r="I1401" i="42"/>
  <c r="I1402" i="42"/>
  <c r="I1403" i="42"/>
  <c r="I1404" i="42"/>
  <c r="I1405" i="42"/>
  <c r="I1406" i="42"/>
  <c r="I1407" i="42"/>
  <c r="I1408" i="42"/>
  <c r="I1409" i="42"/>
  <c r="I1410" i="42"/>
  <c r="I1411" i="42"/>
  <c r="I1412" i="42"/>
  <c r="I1413" i="42"/>
  <c r="I1414" i="42"/>
  <c r="I1415" i="42"/>
  <c r="I1416" i="42"/>
  <c r="I1417" i="42"/>
  <c r="I1418" i="42"/>
  <c r="I1419" i="42"/>
  <c r="I1420" i="42"/>
  <c r="I1421" i="42"/>
  <c r="I1422" i="42"/>
  <c r="I1423" i="42"/>
  <c r="I1424" i="42"/>
  <c r="I1425" i="42"/>
  <c r="I1426" i="42"/>
  <c r="I1427" i="42"/>
  <c r="I1428" i="42"/>
  <c r="I1429" i="42"/>
  <c r="I1430" i="42"/>
  <c r="I1431" i="42"/>
  <c r="I1432" i="42"/>
  <c r="I1433" i="42"/>
  <c r="I1434" i="42"/>
  <c r="I1435" i="42"/>
  <c r="I1436" i="42"/>
  <c r="I1437" i="42"/>
  <c r="I1438" i="42"/>
  <c r="I1439" i="42"/>
  <c r="I1440" i="42"/>
  <c r="I1441" i="42"/>
  <c r="I1442" i="42"/>
  <c r="I1443" i="42"/>
  <c r="I1444" i="42"/>
  <c r="I1445" i="42"/>
  <c r="I1446" i="42"/>
  <c r="I1447" i="42"/>
  <c r="I1448" i="42"/>
  <c r="I1449" i="42"/>
  <c r="I1450" i="42"/>
  <c r="I1451" i="42"/>
  <c r="I1452" i="42"/>
  <c r="I1453" i="42"/>
  <c r="I1454" i="42"/>
  <c r="I1455" i="42"/>
  <c r="I1456" i="42"/>
  <c r="I1457" i="42"/>
  <c r="I1458" i="42"/>
  <c r="I1459" i="42"/>
  <c r="I1460" i="42"/>
  <c r="I1461" i="42"/>
  <c r="I1462" i="42"/>
  <c r="I1463" i="42"/>
  <c r="I1464" i="42"/>
  <c r="I1465" i="42"/>
  <c r="I1466" i="42"/>
  <c r="I1467" i="42"/>
  <c r="I1468" i="42"/>
  <c r="I1469" i="42"/>
  <c r="I1470" i="42"/>
  <c r="I1471" i="42"/>
  <c r="I1472" i="42"/>
  <c r="I1473" i="42"/>
  <c r="I1474" i="42"/>
  <c r="I1475" i="42"/>
  <c r="I1476" i="42"/>
  <c r="I1477" i="42"/>
  <c r="I1478" i="42"/>
  <c r="I1479" i="42"/>
  <c r="I1480" i="42"/>
  <c r="I1481" i="42"/>
  <c r="I1482" i="42"/>
  <c r="I1483" i="42"/>
  <c r="I1484" i="42"/>
  <c r="I1485" i="42"/>
  <c r="I1486" i="42"/>
  <c r="I1487" i="42"/>
  <c r="I1488" i="42"/>
  <c r="I1489" i="42"/>
  <c r="I1490" i="42"/>
  <c r="I1491" i="42"/>
  <c r="I1492" i="42"/>
  <c r="I1493" i="42"/>
  <c r="I1494" i="42"/>
  <c r="I1495" i="42"/>
  <c r="I1496" i="42"/>
  <c r="I1497" i="42"/>
  <c r="I1498" i="42"/>
  <c r="I1499" i="42"/>
  <c r="I1500" i="42"/>
  <c r="I1501" i="42"/>
  <c r="I1502" i="42"/>
  <c r="I1503" i="42"/>
  <c r="I1504" i="42"/>
  <c r="I1505" i="42"/>
  <c r="I1506" i="42"/>
  <c r="I1507" i="42"/>
  <c r="I1508" i="42"/>
  <c r="I1509" i="42"/>
  <c r="I1510" i="42"/>
  <c r="I1511" i="42"/>
  <c r="I1512" i="42"/>
  <c r="I1513" i="42"/>
  <c r="I1514" i="42"/>
  <c r="I1515" i="42"/>
  <c r="I1516" i="42"/>
  <c r="I1517" i="42"/>
  <c r="I1518" i="42"/>
  <c r="I1519" i="42"/>
  <c r="I1520" i="42"/>
  <c r="I1521" i="42"/>
  <c r="I1522" i="42"/>
  <c r="I1523" i="42"/>
  <c r="I1524" i="42"/>
  <c r="I1525" i="42"/>
  <c r="I1526" i="42"/>
  <c r="I1527" i="42"/>
  <c r="I1528" i="42"/>
  <c r="I1529" i="42"/>
  <c r="I1530" i="42"/>
  <c r="I1531" i="42"/>
  <c r="I1532" i="42"/>
  <c r="I1533" i="42"/>
  <c r="I1534" i="42"/>
  <c r="I1535" i="42"/>
  <c r="I1536" i="42"/>
  <c r="I1537" i="42"/>
  <c r="I1538" i="42"/>
  <c r="I1539" i="42"/>
  <c r="I1540" i="42"/>
  <c r="I1541" i="42"/>
  <c r="I1542" i="42"/>
  <c r="I1543" i="42"/>
  <c r="I1544" i="42"/>
  <c r="I1545" i="42"/>
  <c r="I1546" i="42"/>
  <c r="I1547" i="42"/>
  <c r="I1548" i="42"/>
  <c r="I1549" i="42"/>
  <c r="I1550" i="42"/>
  <c r="I1551" i="42"/>
  <c r="I1552" i="42"/>
  <c r="I1553" i="42"/>
  <c r="I1554" i="42"/>
  <c r="I1555" i="42"/>
  <c r="I1556" i="42"/>
  <c r="I1557" i="42"/>
  <c r="I1558" i="42"/>
  <c r="I1559" i="42"/>
  <c r="I1560" i="42"/>
  <c r="I1561" i="42"/>
  <c r="I1562" i="42"/>
  <c r="I1563" i="42"/>
  <c r="I1564" i="42"/>
  <c r="I1565" i="42"/>
  <c r="I1566" i="42"/>
  <c r="I1567" i="42"/>
  <c r="I1568" i="42"/>
  <c r="I1569" i="42"/>
  <c r="I1570" i="42"/>
  <c r="I1571" i="42"/>
  <c r="I1572" i="42"/>
  <c r="I1573" i="42"/>
  <c r="I1574" i="42"/>
  <c r="I1575" i="42"/>
  <c r="I1576" i="42"/>
  <c r="I1577" i="42"/>
  <c r="I1578" i="42"/>
  <c r="I1579" i="42"/>
  <c r="I1580" i="42"/>
  <c r="I1581" i="42"/>
  <c r="I1582" i="42"/>
  <c r="I1583" i="42"/>
  <c r="I1584" i="42"/>
  <c r="I1585" i="42"/>
  <c r="I1586" i="42"/>
  <c r="I1587" i="42"/>
  <c r="I1588" i="42"/>
  <c r="I1589" i="42"/>
  <c r="I1590" i="42"/>
  <c r="I1591" i="42"/>
  <c r="I1592" i="42"/>
  <c r="I1593" i="42"/>
  <c r="I1594" i="42"/>
  <c r="I1595" i="42"/>
  <c r="I1596" i="42"/>
  <c r="I1597" i="42"/>
  <c r="I1598" i="42"/>
  <c r="I1599" i="42"/>
  <c r="I1600" i="42"/>
  <c r="I1601" i="42"/>
  <c r="I1602" i="42"/>
  <c r="I1603" i="42"/>
  <c r="I1604" i="42"/>
  <c r="I1605" i="42"/>
  <c r="I1606" i="42"/>
  <c r="I1607" i="42"/>
  <c r="I1608" i="42"/>
  <c r="I1609" i="42"/>
  <c r="I1610" i="42"/>
  <c r="I1611" i="42"/>
  <c r="I1612" i="42"/>
  <c r="I1613" i="42"/>
  <c r="I1614" i="42"/>
  <c r="I1615" i="42"/>
  <c r="I1616" i="42"/>
  <c r="I1617" i="42"/>
  <c r="I1618" i="42"/>
  <c r="I1619" i="42"/>
  <c r="I1620" i="42"/>
  <c r="I1621" i="42"/>
  <c r="I1622" i="42"/>
  <c r="I1623" i="42"/>
  <c r="I1624" i="42"/>
  <c r="I1625" i="42"/>
  <c r="I1626" i="42"/>
  <c r="I1627" i="42"/>
  <c r="I1628" i="42"/>
  <c r="I1629" i="42"/>
  <c r="I1630" i="42"/>
  <c r="I1631" i="42"/>
  <c r="I1632" i="42"/>
  <c r="I1633" i="42"/>
  <c r="I1634" i="42"/>
  <c r="I1635" i="42"/>
  <c r="I1636" i="42"/>
  <c r="I1637" i="42"/>
  <c r="I1638" i="42"/>
  <c r="I1639" i="42"/>
  <c r="I1640" i="42"/>
  <c r="I1641" i="42"/>
  <c r="I1642" i="42"/>
  <c r="I1643" i="42"/>
  <c r="I1644" i="42"/>
  <c r="I1645" i="42"/>
  <c r="I1646" i="42"/>
  <c r="I1647" i="42"/>
  <c r="I1648" i="42"/>
  <c r="I1649" i="42"/>
  <c r="I1650" i="42"/>
  <c r="I1651" i="42"/>
  <c r="I1652" i="42"/>
  <c r="I1653" i="42"/>
  <c r="I1654" i="42"/>
  <c r="I1655" i="42"/>
  <c r="I1656" i="42"/>
  <c r="I1657" i="42"/>
  <c r="I1658" i="42"/>
  <c r="I1659" i="42"/>
  <c r="I1660" i="42"/>
  <c r="I1661" i="42"/>
  <c r="I1662" i="42"/>
  <c r="I1663" i="42"/>
  <c r="I1664" i="42"/>
  <c r="I1665" i="42"/>
  <c r="I1666" i="42"/>
  <c r="I1667" i="42"/>
  <c r="I1668" i="42"/>
  <c r="I1669" i="42"/>
  <c r="I1670" i="42"/>
  <c r="I1671" i="42"/>
  <c r="I1672" i="42"/>
  <c r="I1673" i="42"/>
  <c r="I1674" i="42"/>
  <c r="I1675" i="42"/>
  <c r="I1676" i="42"/>
  <c r="I1677" i="42"/>
  <c r="I1678" i="42"/>
  <c r="I1679" i="42"/>
  <c r="I1680" i="42"/>
  <c r="I1681" i="42"/>
  <c r="I1682" i="42"/>
  <c r="I1683" i="42"/>
  <c r="I1684" i="42"/>
  <c r="I1685" i="42"/>
  <c r="I1686" i="42"/>
  <c r="I1687" i="42"/>
  <c r="I1688" i="42"/>
  <c r="I1689" i="42"/>
  <c r="I1690" i="42"/>
  <c r="I1691" i="42"/>
  <c r="I1692" i="42"/>
  <c r="I1693" i="42"/>
  <c r="I1694" i="42"/>
  <c r="I1695" i="42"/>
  <c r="I1696" i="42"/>
  <c r="I1697" i="42"/>
  <c r="I1698" i="42"/>
  <c r="I1699" i="42"/>
  <c r="I1700" i="42"/>
  <c r="I1701" i="42"/>
  <c r="I1702" i="42"/>
  <c r="I1703" i="42"/>
  <c r="I1704" i="42"/>
  <c r="I1705" i="42"/>
  <c r="I1706" i="42"/>
  <c r="I1707" i="42"/>
  <c r="I1708" i="42"/>
  <c r="I1709" i="42"/>
  <c r="I1710" i="42"/>
  <c r="I1711" i="42"/>
  <c r="I1712" i="42"/>
  <c r="I1713" i="42"/>
  <c r="I1714" i="42"/>
  <c r="I1715" i="42"/>
  <c r="I1716" i="42"/>
  <c r="I1717" i="42"/>
  <c r="I1718" i="42"/>
  <c r="I1719" i="42"/>
  <c r="I1720" i="42"/>
  <c r="I1721" i="42"/>
  <c r="I1722" i="42"/>
  <c r="I1723" i="42"/>
  <c r="I1724" i="42"/>
  <c r="I1725" i="42"/>
  <c r="I1726" i="42"/>
  <c r="I1727" i="42"/>
  <c r="I1728" i="42"/>
  <c r="I1729" i="42"/>
  <c r="I1730" i="42"/>
  <c r="I1731" i="42"/>
  <c r="I1732" i="42"/>
  <c r="I1733" i="42"/>
  <c r="I1734" i="42"/>
  <c r="I1735" i="42"/>
  <c r="I1736" i="42"/>
  <c r="I1737" i="42"/>
  <c r="I1738" i="42"/>
  <c r="I1739" i="42"/>
  <c r="I1740" i="42"/>
  <c r="I1741" i="42"/>
  <c r="I1742" i="42"/>
  <c r="I1743" i="42"/>
  <c r="I1744" i="42"/>
  <c r="I1745" i="42"/>
  <c r="I1746" i="42"/>
  <c r="I1747" i="42"/>
  <c r="I1748" i="42"/>
  <c r="I1749" i="42"/>
  <c r="I1750" i="42"/>
  <c r="I1751" i="42"/>
  <c r="I1752" i="42"/>
  <c r="I1753" i="42"/>
  <c r="I1754" i="42"/>
  <c r="I1755" i="42"/>
  <c r="I1756" i="42"/>
  <c r="I1757" i="42"/>
  <c r="I1758" i="42"/>
  <c r="I1759" i="42"/>
  <c r="I1760" i="42"/>
  <c r="I1761" i="42"/>
  <c r="I1762" i="42"/>
  <c r="I1763" i="42"/>
  <c r="I1764" i="42"/>
  <c r="I1765" i="42"/>
  <c r="I1766" i="42"/>
  <c r="I1767" i="42"/>
  <c r="I1768" i="42"/>
  <c r="I1769" i="42"/>
  <c r="I1770" i="42"/>
  <c r="I1771" i="42"/>
  <c r="I1772" i="42"/>
  <c r="I1773" i="42"/>
  <c r="I1774" i="42"/>
  <c r="I1775" i="42"/>
  <c r="I1776" i="42"/>
  <c r="I1777" i="42"/>
  <c r="I1778" i="42"/>
  <c r="I1779" i="42"/>
  <c r="I1780" i="42"/>
  <c r="I1781" i="42"/>
  <c r="I1782" i="42"/>
  <c r="I1783" i="42"/>
  <c r="I1784" i="42"/>
  <c r="I1785" i="42"/>
  <c r="I1786" i="42"/>
  <c r="I1787" i="42"/>
  <c r="I1788" i="42"/>
  <c r="I1789" i="42"/>
  <c r="I1790" i="42"/>
  <c r="I1791" i="42"/>
  <c r="I1792" i="42"/>
  <c r="I1793" i="42"/>
  <c r="I1794" i="42"/>
  <c r="I1795" i="42"/>
  <c r="I1796" i="42"/>
  <c r="I1797" i="42"/>
  <c r="I1798" i="42"/>
  <c r="I1799" i="42"/>
  <c r="I1800" i="42"/>
  <c r="I1801" i="42"/>
  <c r="I1802" i="42"/>
  <c r="I1803" i="42"/>
  <c r="I1804" i="42"/>
  <c r="I1805" i="42"/>
  <c r="I1806" i="42"/>
  <c r="I1807" i="42"/>
  <c r="I1808" i="42"/>
  <c r="I1809" i="42"/>
  <c r="I1810" i="42"/>
  <c r="I1811" i="42"/>
  <c r="I1812" i="42"/>
  <c r="I1813" i="42"/>
  <c r="I1814" i="42"/>
  <c r="I1815" i="42"/>
  <c r="I1816" i="42"/>
  <c r="I1817" i="42"/>
  <c r="I1818" i="42"/>
  <c r="I1819" i="42"/>
  <c r="I1820" i="42"/>
  <c r="I1821" i="42"/>
  <c r="I1822" i="42"/>
  <c r="I1823" i="42"/>
  <c r="I1824" i="42"/>
  <c r="I1825" i="42"/>
  <c r="I1826" i="42"/>
  <c r="I1827" i="42"/>
  <c r="I1828" i="42"/>
  <c r="I1829" i="42"/>
  <c r="I1830" i="42"/>
  <c r="I1831" i="42"/>
  <c r="I1832" i="42"/>
  <c r="I1833" i="42"/>
  <c r="I1834" i="42"/>
  <c r="I1835" i="42"/>
  <c r="I1836" i="42"/>
  <c r="I1837" i="42"/>
  <c r="I1838" i="42"/>
  <c r="I1839" i="42"/>
  <c r="I1840" i="42"/>
  <c r="I1841" i="42"/>
  <c r="I1842" i="42"/>
  <c r="I1843" i="42"/>
  <c r="I1844" i="42"/>
  <c r="I1845" i="42"/>
  <c r="I1846" i="42"/>
  <c r="I1847" i="42"/>
  <c r="I1848" i="42"/>
  <c r="I1849" i="42"/>
  <c r="I1850" i="42"/>
  <c r="I1851" i="42"/>
  <c r="I1852" i="42"/>
  <c r="I1853" i="42"/>
  <c r="I1854" i="42"/>
  <c r="I1855" i="42"/>
  <c r="I1856" i="42"/>
  <c r="I1857" i="42"/>
  <c r="I1858" i="42"/>
  <c r="I1859" i="42"/>
  <c r="I1860" i="42"/>
  <c r="I1861" i="42"/>
  <c r="I1862" i="42"/>
  <c r="I1863" i="42"/>
  <c r="I1864" i="42"/>
  <c r="I1865" i="42"/>
  <c r="I1866" i="42"/>
  <c r="I1867" i="42"/>
  <c r="I1868" i="42"/>
  <c r="I1869" i="42"/>
  <c r="I1870" i="42"/>
  <c r="I1871" i="42"/>
  <c r="I1872" i="42"/>
  <c r="I1873" i="42"/>
  <c r="I1874" i="42"/>
  <c r="I1875" i="42"/>
  <c r="I1876" i="42"/>
  <c r="I1877" i="42"/>
  <c r="I1878" i="42"/>
  <c r="I1879" i="42"/>
  <c r="I1880" i="42"/>
  <c r="I1881" i="42"/>
  <c r="I1882" i="42"/>
  <c r="I1883" i="42"/>
  <c r="I1884" i="42"/>
  <c r="I1885" i="42"/>
  <c r="I1886" i="42"/>
  <c r="I1887" i="42"/>
  <c r="I1888" i="42"/>
  <c r="I1889" i="42"/>
  <c r="I1890" i="42"/>
  <c r="I1891" i="42"/>
  <c r="I1892" i="42"/>
  <c r="I1893" i="42"/>
  <c r="I1894" i="42"/>
  <c r="I1895" i="42"/>
  <c r="I1896" i="42"/>
  <c r="I1897" i="42"/>
  <c r="I1898" i="42"/>
  <c r="I1899" i="42"/>
  <c r="I1900" i="42"/>
  <c r="I1901" i="42"/>
  <c r="I1902" i="42"/>
  <c r="I1903" i="42"/>
  <c r="I1904" i="42"/>
  <c r="I1905" i="42"/>
  <c r="I1906" i="42"/>
  <c r="I1907" i="42"/>
  <c r="I1908" i="42"/>
  <c r="I1909" i="42"/>
  <c r="I1910" i="42"/>
  <c r="I1911" i="42"/>
  <c r="I1912" i="42"/>
  <c r="I1913" i="42"/>
  <c r="I1914" i="42"/>
  <c r="I1915" i="42"/>
  <c r="I1916" i="42"/>
  <c r="I1917" i="42"/>
  <c r="I1918" i="42"/>
  <c r="I1919" i="42"/>
  <c r="I1920" i="42"/>
  <c r="I1921" i="42"/>
  <c r="I1922" i="42"/>
  <c r="I1923" i="42"/>
  <c r="I1924" i="42"/>
  <c r="I1925" i="42"/>
  <c r="I1926" i="42"/>
  <c r="I1927" i="42"/>
  <c r="I1928" i="42"/>
  <c r="I1929" i="42"/>
  <c r="I1930" i="42"/>
  <c r="I1931" i="42"/>
  <c r="I1932" i="42"/>
  <c r="I1933" i="42"/>
  <c r="I1934" i="42"/>
  <c r="I1935" i="42"/>
  <c r="I1936" i="42"/>
  <c r="I1937" i="42"/>
  <c r="I1938" i="42"/>
  <c r="I1939" i="42"/>
  <c r="I1940" i="42"/>
  <c r="I1941" i="42"/>
  <c r="I1942" i="42"/>
  <c r="I1943" i="42"/>
  <c r="I1944" i="42"/>
  <c r="I1945" i="42"/>
  <c r="I1946" i="42"/>
  <c r="I1947" i="42"/>
  <c r="I1948" i="42"/>
  <c r="I1949" i="42"/>
  <c r="I1950" i="42"/>
  <c r="I1951" i="42"/>
  <c r="I1952" i="42"/>
  <c r="I1953" i="42"/>
  <c r="I1954" i="42"/>
  <c r="I1955" i="42"/>
  <c r="I1956" i="42"/>
  <c r="I1957" i="42"/>
  <c r="I1958" i="42"/>
  <c r="I1959" i="42"/>
  <c r="I1960" i="42"/>
  <c r="I1961" i="42"/>
  <c r="I1962" i="42"/>
  <c r="I1963" i="42"/>
  <c r="I1964" i="42"/>
  <c r="I1965" i="42"/>
  <c r="I1966" i="42"/>
  <c r="I1967" i="42"/>
  <c r="I1968" i="42"/>
  <c r="I1969" i="42"/>
  <c r="I1970" i="42"/>
  <c r="I1971" i="42"/>
  <c r="I1972" i="42"/>
  <c r="I1973" i="42"/>
  <c r="I1974" i="42"/>
  <c r="I1975" i="42"/>
  <c r="I1976" i="42"/>
  <c r="I1977" i="42"/>
  <c r="I1978" i="42"/>
  <c r="I1979" i="42"/>
  <c r="I1980" i="42"/>
  <c r="I1981" i="42"/>
  <c r="I1982" i="42"/>
  <c r="I1983" i="42"/>
  <c r="I1984" i="42"/>
  <c r="I1985" i="42"/>
  <c r="I1986" i="42"/>
  <c r="I1987" i="42"/>
  <c r="I1988" i="42"/>
  <c r="I1989" i="42"/>
  <c r="I1990" i="42"/>
  <c r="I1991" i="42"/>
  <c r="I1992" i="42"/>
  <c r="I1993" i="42"/>
  <c r="I1994" i="42"/>
  <c r="I1995" i="42"/>
  <c r="I1996" i="42"/>
  <c r="I1997" i="42"/>
  <c r="I1998" i="42"/>
  <c r="I1999" i="42"/>
  <c r="I2000" i="42"/>
  <c r="I2001" i="42"/>
  <c r="I2002" i="42"/>
  <c r="I2003" i="42"/>
  <c r="I2004" i="42"/>
  <c r="I2005" i="42"/>
  <c r="I2006" i="42"/>
  <c r="I2007" i="42"/>
  <c r="I2008" i="42"/>
  <c r="I2009" i="42"/>
  <c r="I2010" i="42"/>
  <c r="I2011" i="42"/>
  <c r="I2012" i="42"/>
  <c r="I2013" i="42"/>
  <c r="I2014" i="42"/>
  <c r="I2015" i="42"/>
  <c r="I2016" i="42"/>
  <c r="I2017" i="42"/>
  <c r="I2018" i="42"/>
  <c r="I2019" i="42"/>
  <c r="I2020" i="42"/>
  <c r="I2021" i="42"/>
  <c r="I2022" i="42"/>
  <c r="I2023" i="42"/>
  <c r="I2024" i="42"/>
  <c r="I2025" i="42"/>
  <c r="I2026" i="42"/>
  <c r="I2027" i="42"/>
  <c r="I2028" i="42"/>
  <c r="I2029" i="42"/>
  <c r="I2030" i="42"/>
  <c r="I2031" i="42"/>
  <c r="I2032" i="42"/>
  <c r="I2033" i="42"/>
  <c r="I2034" i="42"/>
  <c r="I2035" i="42"/>
  <c r="I2036" i="42"/>
  <c r="I2037" i="42"/>
  <c r="I2038" i="42"/>
  <c r="I2039" i="42"/>
  <c r="I2040" i="42"/>
  <c r="I2041" i="42"/>
  <c r="I2042" i="42"/>
  <c r="I2043" i="42"/>
  <c r="I2044" i="42"/>
  <c r="I2045" i="42"/>
  <c r="I2046" i="42"/>
  <c r="I2047" i="42"/>
  <c r="I2048" i="42"/>
  <c r="I2049" i="42"/>
  <c r="I2050" i="42"/>
  <c r="I2051" i="42"/>
  <c r="I2052" i="42"/>
  <c r="I2053" i="42"/>
  <c r="I2054" i="42"/>
  <c r="I2055" i="42"/>
  <c r="I2056" i="42"/>
  <c r="I2057" i="42"/>
  <c r="I2058" i="42"/>
  <c r="I2059" i="42"/>
  <c r="I2060" i="42"/>
  <c r="I2061" i="42"/>
  <c r="I2062" i="42"/>
  <c r="I2063" i="42"/>
  <c r="I2064" i="42"/>
  <c r="I2065" i="42"/>
  <c r="I2066" i="42"/>
  <c r="I2067" i="42"/>
  <c r="I2068" i="42"/>
  <c r="I2069" i="42"/>
  <c r="I2070" i="42"/>
  <c r="I2071" i="42"/>
  <c r="I2072" i="42"/>
  <c r="I2073" i="42"/>
  <c r="I2074" i="42"/>
  <c r="I2075" i="42"/>
  <c r="I2076" i="42"/>
  <c r="I2077" i="42"/>
  <c r="I2078" i="42"/>
  <c r="I2079" i="42"/>
  <c r="I2080" i="42"/>
  <c r="I2081" i="42"/>
  <c r="I2082" i="42"/>
  <c r="I2083" i="42"/>
  <c r="I2084" i="42"/>
  <c r="I2085" i="42"/>
  <c r="I2086" i="42"/>
  <c r="I2087" i="42"/>
  <c r="I2088" i="42"/>
  <c r="I2089" i="42"/>
  <c r="I2090" i="42"/>
  <c r="I2091" i="42"/>
  <c r="I2092" i="42"/>
  <c r="I2093" i="42"/>
  <c r="I2094" i="42"/>
  <c r="I2095" i="42"/>
  <c r="I2096" i="42"/>
  <c r="I2097" i="42"/>
  <c r="I2098" i="42"/>
  <c r="I2099" i="42"/>
  <c r="I2100" i="42"/>
  <c r="I2101" i="42"/>
  <c r="I2102" i="42"/>
  <c r="I2103" i="42"/>
  <c r="I2104" i="42"/>
  <c r="I2105" i="42"/>
  <c r="I2106" i="42"/>
  <c r="I2107" i="42"/>
  <c r="I2108" i="42"/>
  <c r="I2109" i="42"/>
  <c r="I2110" i="42"/>
  <c r="I2111" i="42"/>
  <c r="I2112" i="42"/>
  <c r="I2113" i="42"/>
  <c r="I2114" i="42"/>
  <c r="I2115" i="42"/>
  <c r="I2116" i="42"/>
  <c r="I2117" i="42"/>
  <c r="I2118" i="42"/>
  <c r="I2119" i="42"/>
  <c r="I2120" i="42"/>
  <c r="I2121" i="42"/>
  <c r="I2122" i="42"/>
  <c r="I2123" i="42"/>
  <c r="I2124" i="42"/>
  <c r="I2125" i="42"/>
  <c r="I2126" i="42"/>
  <c r="I2127" i="42"/>
  <c r="I2128" i="42"/>
  <c r="I2129" i="42"/>
  <c r="I2130" i="42"/>
  <c r="I2131" i="42"/>
  <c r="I2132" i="42"/>
  <c r="I2133" i="42"/>
  <c r="I2134" i="42"/>
  <c r="I2135" i="42"/>
  <c r="I2136" i="42"/>
  <c r="I2137" i="42"/>
  <c r="I2138" i="42"/>
  <c r="I2139" i="42"/>
  <c r="I2140" i="42"/>
  <c r="I2141" i="42"/>
  <c r="I2142" i="42"/>
  <c r="I2143" i="42"/>
  <c r="I2144" i="42"/>
  <c r="I2145" i="42"/>
  <c r="I2146" i="42"/>
  <c r="I2147" i="42"/>
  <c r="I2148" i="42"/>
  <c r="I2149" i="42"/>
  <c r="I2150" i="42"/>
  <c r="I2151" i="42"/>
  <c r="I2152" i="42"/>
  <c r="I2153" i="42"/>
  <c r="I2154" i="42"/>
  <c r="I2155" i="42"/>
  <c r="I2156" i="42"/>
  <c r="I2157" i="42"/>
  <c r="I2158" i="42"/>
  <c r="I2159" i="42"/>
  <c r="I2160" i="42"/>
  <c r="I2161" i="42"/>
  <c r="I2162" i="42"/>
  <c r="I2163" i="42"/>
  <c r="I2164" i="42"/>
  <c r="I2165" i="42"/>
  <c r="I2166" i="42"/>
  <c r="I2167" i="42"/>
  <c r="I2168" i="42"/>
  <c r="I2169" i="42"/>
  <c r="I2170" i="42"/>
  <c r="I2171" i="42"/>
  <c r="I2172" i="42"/>
  <c r="I2173" i="42"/>
  <c r="I2174" i="42"/>
  <c r="I2175" i="42"/>
  <c r="I2176" i="42"/>
  <c r="I2177" i="42"/>
  <c r="I2178" i="42"/>
  <c r="I2179" i="42"/>
  <c r="I2180" i="42"/>
  <c r="I2181" i="42"/>
  <c r="I2182" i="42"/>
  <c r="I2183" i="42"/>
  <c r="I2184" i="42"/>
  <c r="I2185" i="42"/>
  <c r="I2186" i="42"/>
  <c r="I2187" i="42"/>
  <c r="I2188" i="42"/>
  <c r="I2189" i="42"/>
  <c r="I2190" i="42"/>
  <c r="I2191" i="42"/>
  <c r="I2192" i="42"/>
  <c r="I2193" i="42"/>
  <c r="I2194" i="42"/>
  <c r="I2195" i="42"/>
  <c r="I2196" i="42"/>
  <c r="I2197" i="42"/>
  <c r="I2198" i="42"/>
  <c r="I2199" i="42"/>
  <c r="I2200" i="42"/>
  <c r="I2201" i="42"/>
  <c r="I2202" i="42"/>
  <c r="I2203" i="42"/>
  <c r="I2204" i="42"/>
  <c r="I2205" i="42"/>
  <c r="I2206" i="42"/>
  <c r="I2207" i="42"/>
  <c r="I2208" i="42"/>
  <c r="I2209" i="42"/>
  <c r="I2210" i="42"/>
  <c r="I2211" i="42"/>
  <c r="I2212" i="42"/>
  <c r="I2213" i="42"/>
  <c r="I2214" i="42"/>
  <c r="I2215" i="42"/>
  <c r="I2216" i="42"/>
  <c r="I2217" i="42"/>
  <c r="I2218" i="42"/>
  <c r="I2219" i="42"/>
  <c r="I2220" i="42"/>
  <c r="I2221" i="42"/>
  <c r="I2222" i="42"/>
  <c r="I2223" i="42"/>
  <c r="I2224" i="42"/>
  <c r="I2225" i="42"/>
  <c r="I2226" i="42"/>
  <c r="I2227" i="42"/>
  <c r="I2228" i="42"/>
  <c r="I2229" i="42"/>
  <c r="I2230" i="42"/>
  <c r="I2231" i="42"/>
  <c r="I2232" i="42"/>
  <c r="I2233" i="42"/>
  <c r="I2234" i="42"/>
  <c r="I2235" i="42"/>
  <c r="I2236" i="42"/>
  <c r="I2237" i="42"/>
  <c r="I2238" i="42"/>
  <c r="I2239" i="42"/>
  <c r="I2240" i="42"/>
  <c r="I2241" i="42"/>
  <c r="I2242" i="42"/>
  <c r="I2243" i="42"/>
  <c r="I2244" i="42"/>
  <c r="I2245" i="42"/>
  <c r="I2246" i="42"/>
  <c r="I2247" i="42"/>
  <c r="I2248" i="42"/>
  <c r="I2249" i="42"/>
  <c r="I2250" i="42"/>
  <c r="I2251" i="42"/>
  <c r="I2252" i="42"/>
  <c r="I2253" i="42"/>
  <c r="I2254" i="42"/>
  <c r="I2255" i="42"/>
  <c r="I2256" i="42"/>
  <c r="I2257" i="42"/>
  <c r="I2258" i="42"/>
  <c r="I2259" i="42"/>
  <c r="I2260" i="42"/>
  <c r="I2261" i="42"/>
  <c r="I2262" i="42"/>
  <c r="I2263" i="42"/>
  <c r="I2264" i="42"/>
  <c r="I2265" i="42"/>
  <c r="I2266" i="42"/>
  <c r="I2267" i="42"/>
  <c r="I2268" i="42"/>
  <c r="I2269" i="42"/>
  <c r="I2270" i="42"/>
  <c r="I2271" i="42"/>
  <c r="I2272" i="42"/>
  <c r="I2273" i="42"/>
  <c r="I2274" i="42"/>
  <c r="I2275" i="42"/>
  <c r="I2276" i="42"/>
  <c r="I2277" i="42"/>
  <c r="I2278" i="42"/>
  <c r="I2279" i="42"/>
  <c r="I2280" i="42"/>
  <c r="I2281" i="42"/>
  <c r="I2282" i="42"/>
  <c r="I2283" i="42"/>
  <c r="I2284" i="42"/>
  <c r="I2285" i="42"/>
  <c r="I2286" i="42"/>
  <c r="I2287" i="42"/>
  <c r="I2288" i="42"/>
  <c r="I2289" i="42"/>
  <c r="I2290" i="42"/>
  <c r="I2291" i="42"/>
  <c r="I2292" i="42"/>
  <c r="I2293" i="42"/>
  <c r="I2294" i="42"/>
  <c r="I2295" i="42"/>
  <c r="I2296" i="42"/>
  <c r="I2297" i="42"/>
  <c r="I2298" i="42"/>
  <c r="I2299" i="42"/>
  <c r="I2300" i="42"/>
  <c r="I2301" i="42"/>
  <c r="I2302" i="42"/>
  <c r="I2303" i="42"/>
  <c r="I2304" i="42"/>
  <c r="I2305" i="42"/>
  <c r="I2306" i="42"/>
  <c r="I2307" i="42"/>
  <c r="I2308" i="42"/>
  <c r="I2309" i="42"/>
  <c r="I2310" i="42"/>
  <c r="I2311" i="42"/>
  <c r="I2312" i="42"/>
  <c r="I2313" i="42"/>
  <c r="I2314" i="42"/>
  <c r="I2315" i="42"/>
  <c r="I2316" i="42"/>
  <c r="I2317" i="42"/>
  <c r="I2318" i="42"/>
  <c r="I2319" i="42"/>
  <c r="I2320" i="42"/>
  <c r="I2321" i="42"/>
  <c r="I2322" i="42"/>
  <c r="I2323" i="42"/>
  <c r="I2324" i="42"/>
  <c r="I2325" i="42"/>
  <c r="I2326" i="42"/>
  <c r="I2327" i="42"/>
  <c r="I2328" i="42"/>
  <c r="I2329" i="42"/>
  <c r="I2330" i="42"/>
  <c r="I2331" i="42"/>
  <c r="I2332" i="42"/>
  <c r="I2333" i="42"/>
  <c r="I2334" i="42"/>
  <c r="I2335" i="42"/>
  <c r="I2336" i="42"/>
  <c r="I2337" i="42"/>
  <c r="I2338" i="42"/>
  <c r="I2339" i="42"/>
  <c r="I2340" i="42"/>
  <c r="I2341" i="42"/>
  <c r="I2342" i="42"/>
  <c r="I2343" i="42"/>
  <c r="I2344" i="42"/>
  <c r="I2345" i="42"/>
  <c r="I2346" i="42"/>
  <c r="I2347" i="42"/>
  <c r="I2348" i="42"/>
  <c r="I2349" i="42"/>
  <c r="I2350" i="42"/>
  <c r="I2351" i="42"/>
  <c r="I2352" i="42"/>
  <c r="I2353" i="42"/>
  <c r="I2354" i="42"/>
  <c r="I2355" i="42"/>
  <c r="I2356" i="42"/>
  <c r="I2357" i="42"/>
  <c r="I2358" i="42"/>
  <c r="I2359" i="42"/>
  <c r="I2360" i="42"/>
  <c r="I2361" i="42"/>
  <c r="I2362" i="42"/>
  <c r="I2363" i="42"/>
  <c r="I2364" i="42"/>
  <c r="I2365" i="42"/>
  <c r="I2366" i="42"/>
  <c r="I2367" i="42"/>
  <c r="I2368" i="42"/>
  <c r="I2369" i="42"/>
  <c r="I2370" i="42"/>
  <c r="I2371" i="42"/>
  <c r="I2372" i="42"/>
  <c r="I2373" i="42"/>
  <c r="I2374" i="42"/>
  <c r="I2375" i="42"/>
  <c r="I2376" i="42"/>
  <c r="I2377" i="42"/>
  <c r="I2378" i="42"/>
  <c r="I2379" i="42"/>
  <c r="I2380" i="42"/>
  <c r="I2381" i="42"/>
  <c r="I2382" i="42"/>
  <c r="I2383" i="42"/>
  <c r="I2384" i="42"/>
  <c r="I2385" i="42"/>
  <c r="I2386" i="42"/>
  <c r="I2387" i="42"/>
  <c r="I2388" i="42"/>
  <c r="I2389" i="42"/>
  <c r="I2390" i="42"/>
  <c r="I2391" i="42"/>
  <c r="I2392" i="42"/>
  <c r="I2393" i="42"/>
  <c r="I2394" i="42"/>
  <c r="I2395" i="42"/>
  <c r="I2396" i="42"/>
  <c r="I2397" i="42"/>
  <c r="I2398" i="42"/>
  <c r="I2399" i="42"/>
  <c r="I2400" i="42"/>
  <c r="I2401" i="42"/>
  <c r="I2402" i="42"/>
  <c r="I2403" i="42"/>
  <c r="I2404" i="42"/>
  <c r="I2405" i="42"/>
  <c r="I2406" i="42"/>
  <c r="I2407" i="42"/>
  <c r="I2408" i="42"/>
  <c r="I2409" i="42"/>
  <c r="I2410" i="42"/>
  <c r="I2411" i="42"/>
  <c r="I2412" i="42"/>
  <c r="I2413" i="42"/>
  <c r="I2414" i="42"/>
  <c r="I2415" i="42"/>
  <c r="I2416" i="42"/>
  <c r="I2417" i="42"/>
  <c r="I2418" i="42"/>
  <c r="I2419" i="42"/>
  <c r="I2420" i="42"/>
  <c r="I2421" i="42"/>
  <c r="I2422" i="42"/>
  <c r="I2423" i="42"/>
  <c r="I2424" i="42"/>
  <c r="I2425" i="42"/>
  <c r="I2426" i="42"/>
  <c r="I2427" i="42"/>
  <c r="I2428" i="42"/>
  <c r="I2429" i="42"/>
  <c r="I2430" i="42"/>
  <c r="I2431" i="42"/>
  <c r="I2432" i="42"/>
  <c r="I2433" i="42"/>
  <c r="I2434" i="42"/>
  <c r="I2435" i="42"/>
  <c r="I2436" i="42"/>
  <c r="I2437" i="42"/>
  <c r="I2438" i="42"/>
  <c r="I2439" i="42"/>
  <c r="I2440" i="42"/>
  <c r="I2441" i="42"/>
  <c r="I2442" i="42"/>
  <c r="I2443" i="42"/>
  <c r="I2444" i="42"/>
  <c r="I2445" i="42"/>
  <c r="I2446" i="42"/>
  <c r="I2447" i="42"/>
  <c r="I2448" i="42"/>
  <c r="I2449" i="42"/>
  <c r="I2450" i="42"/>
  <c r="I2451" i="42"/>
  <c r="I2452" i="42"/>
  <c r="I2453" i="42"/>
  <c r="I2454" i="42"/>
  <c r="I2455" i="42"/>
  <c r="I2456" i="42"/>
  <c r="I2457" i="42"/>
  <c r="I2458" i="42"/>
  <c r="I2459" i="42"/>
  <c r="I2460" i="42"/>
  <c r="I2461" i="42"/>
  <c r="I2462" i="42"/>
  <c r="I2463" i="42"/>
  <c r="I2464" i="42"/>
  <c r="I2465" i="42"/>
  <c r="I2466" i="42"/>
  <c r="I2467" i="42"/>
  <c r="I2468" i="42"/>
  <c r="I2469" i="42"/>
  <c r="I2470" i="42"/>
  <c r="I2471" i="42"/>
  <c r="I2472" i="42"/>
  <c r="I2473" i="42"/>
  <c r="I2474" i="42"/>
  <c r="I2475" i="42"/>
  <c r="I2476" i="42"/>
  <c r="I2477" i="42"/>
  <c r="I2478" i="42"/>
  <c r="I2479" i="42"/>
  <c r="I2480" i="42"/>
  <c r="I2481" i="42"/>
  <c r="I2482" i="42"/>
  <c r="I2483" i="42"/>
  <c r="I2484" i="42"/>
  <c r="I2485" i="42"/>
  <c r="I2486" i="42"/>
  <c r="I2487" i="42"/>
  <c r="I2488" i="42"/>
  <c r="I2489" i="42"/>
  <c r="I2490" i="42"/>
  <c r="I2491" i="42"/>
  <c r="I2492" i="42"/>
  <c r="I2493" i="42"/>
  <c r="I2494" i="42"/>
  <c r="I2495" i="42"/>
  <c r="I2496" i="42"/>
  <c r="I2497" i="42"/>
  <c r="I2498" i="42"/>
  <c r="I2499" i="42"/>
  <c r="I2500" i="42"/>
  <c r="I2501" i="42"/>
  <c r="I2502" i="42"/>
  <c r="I2503" i="42"/>
  <c r="I2504" i="42"/>
  <c r="I2505" i="42"/>
  <c r="I2506" i="42"/>
  <c r="I2507" i="42"/>
  <c r="I2508" i="42"/>
  <c r="I2509" i="42"/>
  <c r="I2510" i="42"/>
  <c r="I2511" i="42"/>
  <c r="I2512" i="42"/>
  <c r="I2513" i="42"/>
  <c r="I2514" i="42"/>
  <c r="I2515" i="42"/>
  <c r="I2516" i="42"/>
  <c r="I2517" i="42"/>
  <c r="I2518" i="42"/>
  <c r="I2519" i="42"/>
  <c r="I2520" i="42"/>
  <c r="I2521" i="42"/>
  <c r="I2522" i="42"/>
  <c r="I2523" i="42"/>
  <c r="I2524" i="42"/>
  <c r="I2525" i="42"/>
  <c r="I2526" i="42"/>
  <c r="I2527" i="42"/>
  <c r="I2528" i="42"/>
  <c r="I2529" i="42"/>
  <c r="I2530" i="42"/>
  <c r="I2531" i="42"/>
  <c r="I2532" i="42"/>
  <c r="I2533" i="42"/>
  <c r="I2534" i="42"/>
  <c r="I2535" i="42"/>
  <c r="I2536" i="42"/>
  <c r="I2537" i="42"/>
  <c r="I2538" i="42"/>
  <c r="I2539" i="42"/>
  <c r="I2540" i="42"/>
  <c r="I2541" i="42"/>
  <c r="I2542" i="42"/>
  <c r="I2543" i="42"/>
  <c r="I2544" i="42"/>
  <c r="I2545" i="42"/>
  <c r="I2546" i="42"/>
  <c r="I2547" i="42"/>
  <c r="I2548" i="42"/>
  <c r="I2549" i="42"/>
  <c r="I2550" i="42"/>
  <c r="I2551" i="42"/>
  <c r="I2552" i="42"/>
  <c r="I2553" i="42"/>
  <c r="I2554" i="42"/>
  <c r="I2555" i="42"/>
  <c r="I2556" i="42"/>
  <c r="I2557" i="42"/>
  <c r="I2558" i="42"/>
  <c r="I2559" i="42"/>
  <c r="I2560" i="42"/>
  <c r="I2561" i="42"/>
  <c r="I2562" i="42"/>
  <c r="I2563" i="42"/>
  <c r="I2564" i="42"/>
  <c r="I2565" i="42"/>
  <c r="I2566" i="42"/>
  <c r="I2567" i="42"/>
  <c r="I2568" i="42"/>
  <c r="I2569" i="42"/>
  <c r="I2570" i="42"/>
  <c r="I2571" i="42"/>
  <c r="I2572" i="42"/>
  <c r="I2573" i="42"/>
  <c r="I2574" i="42"/>
  <c r="I2575" i="42"/>
  <c r="I2576" i="42"/>
  <c r="I2577" i="42"/>
  <c r="I2578" i="42"/>
  <c r="I2579" i="42"/>
  <c r="I2580" i="42"/>
  <c r="I2581" i="42"/>
  <c r="I2582" i="42"/>
  <c r="I2583" i="42"/>
  <c r="I2584" i="42"/>
  <c r="I2585" i="42"/>
  <c r="I2586" i="42"/>
  <c r="I2587" i="42"/>
  <c r="I2588" i="42"/>
  <c r="I2589" i="42"/>
  <c r="I2590" i="42"/>
  <c r="I2591" i="42"/>
  <c r="I2592" i="42"/>
  <c r="I2593" i="42"/>
  <c r="I2594" i="42"/>
  <c r="I2595" i="42"/>
  <c r="I2596" i="42"/>
  <c r="I2597" i="42"/>
  <c r="I2598" i="42"/>
  <c r="I2599" i="42"/>
  <c r="I2600" i="42"/>
  <c r="I2601" i="42"/>
  <c r="I2602" i="42"/>
  <c r="I2603" i="42"/>
  <c r="I2604" i="42"/>
  <c r="I2605" i="42"/>
  <c r="I2606" i="42"/>
  <c r="I2607" i="42"/>
  <c r="I2608" i="42"/>
  <c r="I2609" i="42"/>
  <c r="I2610" i="42"/>
  <c r="I2611" i="42"/>
  <c r="I2612" i="42"/>
  <c r="I2613" i="42"/>
  <c r="I2614" i="42"/>
  <c r="I2615" i="42"/>
  <c r="I2616" i="42"/>
  <c r="I2617" i="42"/>
  <c r="I2618" i="42"/>
  <c r="I2619" i="42"/>
  <c r="I2620" i="42"/>
  <c r="I2621" i="42"/>
  <c r="I2622" i="42"/>
  <c r="I2623" i="42"/>
  <c r="I2624" i="42"/>
  <c r="I2625" i="42"/>
  <c r="I2626" i="42"/>
  <c r="I2627" i="42"/>
  <c r="I2628" i="42"/>
  <c r="I2629" i="42"/>
  <c r="I2630" i="42"/>
  <c r="I2631" i="42"/>
  <c r="I2632" i="42"/>
  <c r="I2633" i="42"/>
  <c r="I2634" i="42"/>
  <c r="I2635" i="42"/>
  <c r="I2636" i="42"/>
  <c r="I2637" i="42"/>
  <c r="I2638" i="42"/>
  <c r="I2639" i="42"/>
  <c r="I2640" i="42"/>
  <c r="I2641" i="42"/>
  <c r="I2642" i="42"/>
  <c r="I2643" i="42"/>
  <c r="I2644" i="42"/>
  <c r="I2645" i="42"/>
  <c r="I2646" i="42"/>
  <c r="I2647" i="42"/>
  <c r="I2648" i="42"/>
  <c r="I2649" i="42"/>
  <c r="I2650" i="42"/>
  <c r="I2651" i="42"/>
  <c r="I2652" i="42"/>
  <c r="I2653" i="42"/>
  <c r="I2654" i="42"/>
  <c r="I2655" i="42"/>
  <c r="I2656" i="42"/>
  <c r="I2657" i="42"/>
  <c r="I2658" i="42"/>
  <c r="I2659" i="42"/>
  <c r="I2660" i="42"/>
  <c r="I2661" i="42"/>
  <c r="I2662" i="42"/>
  <c r="I2663" i="42"/>
  <c r="I2664" i="42"/>
  <c r="I2665" i="42"/>
  <c r="I2666" i="42"/>
  <c r="I2667" i="42"/>
  <c r="I2668" i="42"/>
  <c r="I2669" i="42"/>
  <c r="I2670" i="42"/>
  <c r="I2671" i="42"/>
  <c r="I2672" i="42"/>
  <c r="I2673" i="42"/>
  <c r="I2674" i="42"/>
  <c r="I2675" i="42"/>
  <c r="I2676" i="42"/>
  <c r="I2677" i="42"/>
  <c r="I2678" i="42"/>
  <c r="I2679" i="42"/>
  <c r="I2680" i="42"/>
  <c r="I2681" i="42"/>
  <c r="I2682" i="42"/>
  <c r="I2683" i="42"/>
  <c r="I2684" i="42"/>
  <c r="I2685" i="42"/>
  <c r="I2686" i="42"/>
  <c r="I2687" i="42"/>
  <c r="I2688" i="42"/>
  <c r="I2689" i="42"/>
  <c r="I2690" i="42"/>
  <c r="I2691" i="42"/>
  <c r="I2692" i="42"/>
  <c r="I2693" i="42"/>
  <c r="I2694" i="42"/>
  <c r="I2695" i="42"/>
  <c r="I2696" i="42"/>
  <c r="I2697" i="42"/>
  <c r="I2698" i="42"/>
  <c r="I2699" i="42"/>
  <c r="I2700" i="42"/>
  <c r="I2701" i="42"/>
  <c r="I2702" i="42"/>
  <c r="I2703" i="42"/>
  <c r="I2704" i="42"/>
  <c r="I2705" i="42"/>
  <c r="I2706" i="42"/>
  <c r="I2707" i="42"/>
  <c r="I2708" i="42"/>
  <c r="I2709" i="42"/>
  <c r="I2710" i="42"/>
  <c r="I2711" i="42"/>
  <c r="I2712" i="42"/>
  <c r="I2713" i="42"/>
  <c r="I2714" i="42"/>
  <c r="I2715" i="42"/>
  <c r="I2716" i="42"/>
  <c r="I2717" i="42"/>
  <c r="I2718" i="42"/>
  <c r="I2719" i="42"/>
  <c r="I2720" i="42"/>
  <c r="I2721" i="42"/>
  <c r="I2722" i="42"/>
  <c r="I2723" i="42"/>
  <c r="I2724" i="42"/>
  <c r="I2725" i="42"/>
  <c r="I2726" i="42"/>
  <c r="I2727" i="42"/>
  <c r="I2728" i="42"/>
  <c r="I2729" i="42"/>
  <c r="I2730" i="42"/>
  <c r="I2731" i="42"/>
  <c r="I2732" i="42"/>
  <c r="I2733" i="42"/>
  <c r="I2734" i="42"/>
  <c r="I2735" i="42"/>
  <c r="I2736" i="42"/>
  <c r="I2737" i="42"/>
  <c r="I2738" i="42"/>
  <c r="I2739" i="42"/>
  <c r="I2740" i="42"/>
  <c r="I2741" i="42"/>
  <c r="I2742" i="42"/>
  <c r="I2743" i="42"/>
  <c r="I2744" i="42"/>
  <c r="I2745" i="42"/>
  <c r="I2746" i="42"/>
  <c r="I2747" i="42"/>
  <c r="I2748" i="42"/>
  <c r="I2749" i="42"/>
  <c r="I2750" i="42"/>
  <c r="I2751" i="42"/>
  <c r="I2752" i="42"/>
  <c r="I2753" i="42"/>
  <c r="I2754" i="42"/>
  <c r="I2755" i="42"/>
  <c r="I2756" i="42"/>
  <c r="I2757" i="42"/>
  <c r="I2758" i="42"/>
  <c r="I2759" i="42"/>
  <c r="I2760" i="42"/>
  <c r="I2761" i="42"/>
  <c r="I2762" i="42"/>
  <c r="I2763" i="42"/>
  <c r="I2764" i="42"/>
  <c r="I2765" i="42"/>
  <c r="I2766" i="42"/>
  <c r="I2767" i="42"/>
  <c r="I2768" i="42"/>
  <c r="I2769" i="42"/>
  <c r="I2770" i="42"/>
  <c r="I2771" i="42"/>
  <c r="I2772" i="42"/>
  <c r="I2773" i="42"/>
  <c r="I2774" i="42"/>
  <c r="I2775" i="42"/>
  <c r="I2776" i="42"/>
  <c r="I2777" i="42"/>
  <c r="I2778" i="42"/>
  <c r="I2779" i="42"/>
  <c r="I2780" i="42"/>
  <c r="I2781" i="42"/>
  <c r="I2782" i="42"/>
  <c r="I2783" i="42"/>
  <c r="I2784" i="42"/>
  <c r="I2785" i="42"/>
  <c r="I2786" i="42"/>
  <c r="I2787" i="42"/>
  <c r="I2788" i="42"/>
  <c r="I2789" i="42"/>
  <c r="I2790" i="42"/>
  <c r="I2791" i="42"/>
  <c r="I2792" i="42"/>
  <c r="I2793" i="42"/>
  <c r="I2794" i="42"/>
  <c r="I2795" i="42"/>
  <c r="I2796" i="42"/>
  <c r="I2797" i="42"/>
  <c r="I2798" i="42"/>
  <c r="I2799" i="42"/>
  <c r="I2800" i="42"/>
  <c r="I2801" i="42"/>
  <c r="I2802" i="42"/>
  <c r="I2803" i="42"/>
  <c r="I2804" i="42"/>
  <c r="I2805" i="42"/>
  <c r="I2806" i="42"/>
  <c r="I2807" i="42"/>
  <c r="I2808" i="42"/>
  <c r="I2809" i="42"/>
  <c r="I2810" i="42"/>
  <c r="I2811" i="42"/>
  <c r="I2812" i="42"/>
  <c r="I2813" i="42"/>
  <c r="I2814" i="42"/>
  <c r="I2815" i="42"/>
  <c r="I2816" i="42"/>
  <c r="I2817" i="42"/>
  <c r="I2818" i="42"/>
  <c r="I2819" i="42"/>
  <c r="I2820" i="42"/>
  <c r="I2821" i="42"/>
  <c r="I2822" i="42"/>
  <c r="I2823" i="42"/>
  <c r="I2824" i="42"/>
  <c r="I2825" i="42"/>
  <c r="I2826" i="42"/>
  <c r="I2827" i="42"/>
  <c r="I2828" i="42"/>
  <c r="I2829" i="42"/>
  <c r="I2830" i="42"/>
  <c r="I2831" i="42"/>
  <c r="I2832" i="42"/>
  <c r="I2833" i="42"/>
  <c r="I2834" i="42"/>
  <c r="I2835" i="42"/>
  <c r="I2836" i="42"/>
  <c r="I2837" i="42"/>
  <c r="I2838" i="42"/>
  <c r="I2839" i="42"/>
  <c r="I2840" i="42"/>
  <c r="I2841" i="42"/>
  <c r="I2842" i="42"/>
  <c r="I2843" i="42"/>
  <c r="I2844" i="42"/>
  <c r="I2845" i="42"/>
  <c r="I2846" i="42"/>
  <c r="I2847" i="42"/>
  <c r="I2848" i="42"/>
  <c r="I2849" i="42"/>
  <c r="I2850" i="42"/>
  <c r="I2851" i="42"/>
  <c r="I2852" i="42"/>
  <c r="I2853" i="42"/>
  <c r="I2854" i="42"/>
  <c r="I2855" i="42"/>
  <c r="I2856" i="42"/>
  <c r="I2857" i="42"/>
  <c r="I2858" i="42"/>
  <c r="I2859" i="42"/>
  <c r="I2860" i="42"/>
  <c r="I2861" i="42"/>
  <c r="I2862" i="42"/>
  <c r="I2863" i="42"/>
  <c r="I2864" i="42"/>
  <c r="I2865" i="42"/>
  <c r="I2866" i="42"/>
  <c r="I2867" i="42"/>
  <c r="I2868" i="42"/>
  <c r="I2869" i="42"/>
  <c r="I2870" i="42"/>
  <c r="I2871" i="42"/>
  <c r="I2872" i="42"/>
  <c r="I2873" i="42"/>
  <c r="I2874" i="42"/>
  <c r="I2875" i="42"/>
  <c r="I2876" i="42"/>
  <c r="I2877" i="42"/>
  <c r="I2878" i="42"/>
  <c r="I2879" i="42"/>
  <c r="I2880" i="42"/>
  <c r="I2881" i="42"/>
  <c r="I2882" i="42"/>
  <c r="I2883" i="42"/>
  <c r="I2884" i="42"/>
  <c r="I2885" i="42"/>
  <c r="I2886" i="42"/>
  <c r="I2887" i="42"/>
  <c r="I2888" i="42"/>
  <c r="I2889" i="42"/>
  <c r="I2890" i="42"/>
  <c r="I2891" i="42"/>
  <c r="I2892" i="42"/>
  <c r="I2893" i="42"/>
  <c r="I2894" i="42"/>
  <c r="I2895" i="42"/>
  <c r="I2896" i="42"/>
  <c r="I2897" i="42"/>
  <c r="I2898" i="42"/>
  <c r="I2899" i="42"/>
  <c r="I2900" i="42"/>
  <c r="I2901" i="42"/>
  <c r="I2902" i="42"/>
  <c r="I2903" i="42"/>
  <c r="I2904" i="42"/>
  <c r="I2905" i="42"/>
  <c r="I2906" i="42"/>
  <c r="I2907" i="42"/>
  <c r="I2908" i="42"/>
  <c r="I2909" i="42"/>
  <c r="I2910" i="42"/>
  <c r="I2911" i="42"/>
  <c r="I2912" i="42"/>
  <c r="I2913" i="42"/>
  <c r="I2914" i="42"/>
  <c r="I2915" i="42"/>
  <c r="I2916" i="42"/>
  <c r="I2917" i="42"/>
  <c r="I2918" i="42"/>
  <c r="I2919" i="42"/>
  <c r="I2920" i="42"/>
  <c r="I2921" i="42"/>
  <c r="I2922" i="42"/>
  <c r="I2923" i="42"/>
  <c r="I2924" i="42"/>
  <c r="I2925" i="42"/>
  <c r="I2926" i="42"/>
  <c r="I2927" i="42"/>
  <c r="I2928" i="42"/>
  <c r="I2929" i="42"/>
  <c r="I2930" i="42"/>
  <c r="I2931" i="42"/>
  <c r="I2932" i="42"/>
  <c r="I2933" i="42"/>
  <c r="I2934" i="42"/>
  <c r="I2935" i="42"/>
  <c r="I2936" i="42"/>
  <c r="I2937" i="42"/>
  <c r="I2938" i="42"/>
  <c r="I2939" i="42"/>
  <c r="I2940" i="42"/>
  <c r="I2941" i="42"/>
  <c r="I2942" i="42"/>
  <c r="I2943" i="42"/>
  <c r="I2944" i="42"/>
  <c r="I2945" i="42"/>
  <c r="I2946" i="42"/>
  <c r="I2947" i="42"/>
  <c r="I2948" i="42"/>
  <c r="I2949" i="42"/>
  <c r="I2950" i="42"/>
  <c r="I2951" i="42"/>
  <c r="I2952" i="42"/>
  <c r="I2953" i="42"/>
  <c r="I2954" i="42"/>
  <c r="I2955" i="42"/>
  <c r="I2956" i="42"/>
  <c r="I2957" i="42"/>
  <c r="I2958" i="42"/>
  <c r="I2959" i="42"/>
  <c r="I2960" i="42"/>
  <c r="I2961" i="42"/>
  <c r="I2962" i="42"/>
  <c r="I2963" i="42"/>
  <c r="I2964" i="42"/>
  <c r="I2965" i="42"/>
  <c r="I2966" i="42"/>
  <c r="I2967" i="42"/>
  <c r="I2968" i="42"/>
  <c r="I2969" i="42"/>
  <c r="I2970" i="42"/>
  <c r="I2971" i="42"/>
  <c r="I2972" i="42"/>
  <c r="I2973" i="42"/>
  <c r="I2974" i="42"/>
  <c r="I2975" i="42"/>
  <c r="I2976" i="42"/>
  <c r="I2977" i="42"/>
  <c r="I2978" i="42"/>
  <c r="I2979" i="42"/>
  <c r="I2980" i="42"/>
  <c r="I2981" i="42"/>
  <c r="I2982" i="42"/>
  <c r="I2983" i="42"/>
  <c r="I2984" i="42"/>
  <c r="I2985" i="42"/>
  <c r="I2986" i="42"/>
  <c r="I2987" i="42"/>
  <c r="I2988" i="42"/>
  <c r="I2989" i="42"/>
  <c r="I2990" i="42"/>
  <c r="I2991" i="42"/>
  <c r="I2992" i="42"/>
  <c r="I2993" i="42"/>
  <c r="I2994" i="42"/>
  <c r="I2995" i="42"/>
  <c r="I2996" i="42"/>
  <c r="I2997" i="42"/>
  <c r="I2998" i="42"/>
  <c r="I2999" i="42"/>
  <c r="I3000" i="42"/>
  <c r="I3001" i="42"/>
  <c r="I3002" i="42"/>
  <c r="I3003" i="42"/>
  <c r="I3004" i="42"/>
  <c r="I3005" i="42"/>
  <c r="I3006" i="42"/>
  <c r="I3007" i="42"/>
  <c r="I3008" i="42"/>
  <c r="I3009" i="42"/>
  <c r="I3010" i="42"/>
  <c r="I3011" i="42"/>
  <c r="I3012" i="42"/>
  <c r="I3013" i="42"/>
  <c r="I3014" i="42"/>
  <c r="I3015" i="42"/>
  <c r="I3016" i="42"/>
  <c r="I3017" i="42"/>
  <c r="I3018" i="42"/>
  <c r="I3019" i="42"/>
  <c r="I3020" i="42"/>
  <c r="I3021" i="42"/>
  <c r="I3022" i="42"/>
  <c r="I3023" i="42"/>
  <c r="I3024" i="42"/>
  <c r="I3025" i="42"/>
  <c r="I3026" i="42"/>
  <c r="I3027" i="42"/>
  <c r="I3028" i="42"/>
  <c r="I3029" i="42"/>
  <c r="I3030" i="42"/>
  <c r="I3031" i="42"/>
  <c r="I3032" i="42"/>
  <c r="I3033" i="42"/>
  <c r="I3034" i="42"/>
  <c r="I3035" i="42"/>
  <c r="I3036" i="42"/>
  <c r="I3037" i="42"/>
  <c r="I3038" i="42"/>
  <c r="I3039" i="42"/>
  <c r="I3040" i="42"/>
  <c r="I3041" i="42"/>
  <c r="I3042" i="42"/>
  <c r="I3043" i="42"/>
  <c r="I3044" i="42"/>
  <c r="I3045" i="42"/>
  <c r="I3046" i="42"/>
  <c r="I3047" i="42"/>
  <c r="I3048" i="42"/>
  <c r="I3049" i="42"/>
  <c r="I3050" i="42"/>
  <c r="I3051" i="42"/>
  <c r="I3052" i="42"/>
  <c r="I3053" i="42"/>
  <c r="I3054" i="42"/>
  <c r="I3055" i="42"/>
  <c r="I3056" i="42"/>
  <c r="I3057" i="42"/>
  <c r="I3058" i="42"/>
  <c r="I3059" i="42"/>
  <c r="I3060" i="42"/>
  <c r="I3061" i="42"/>
  <c r="I3062" i="42"/>
  <c r="I3063" i="42"/>
  <c r="I3064" i="42"/>
  <c r="I3065" i="42"/>
  <c r="I3066" i="42"/>
  <c r="I3067" i="42"/>
  <c r="I3068" i="42"/>
  <c r="I3069" i="42"/>
  <c r="I3070" i="42"/>
  <c r="I3071" i="42"/>
  <c r="I3072" i="42"/>
  <c r="I3073" i="42"/>
  <c r="I3074" i="42"/>
  <c r="I3075" i="42"/>
  <c r="I3076" i="42"/>
  <c r="I3077" i="42"/>
  <c r="I3078" i="42"/>
  <c r="I3079" i="42"/>
  <c r="I3080" i="42"/>
  <c r="I3081" i="42"/>
  <c r="I3082" i="42"/>
  <c r="I3083" i="42"/>
  <c r="I3084" i="42"/>
  <c r="I3085" i="42"/>
  <c r="I3086" i="42"/>
  <c r="I3087" i="42"/>
  <c r="I3088" i="42"/>
  <c r="I3089" i="42"/>
  <c r="I3090" i="42"/>
  <c r="I3091" i="42"/>
  <c r="I3092" i="42"/>
  <c r="I3093" i="42"/>
  <c r="I3094" i="42"/>
  <c r="I3095" i="42"/>
  <c r="I3096" i="42"/>
  <c r="I3097" i="42"/>
  <c r="I3098" i="42"/>
  <c r="I3099" i="42"/>
  <c r="I3100" i="42"/>
  <c r="I3101" i="42"/>
  <c r="I3102" i="42"/>
  <c r="I3103" i="42"/>
  <c r="I3104" i="42"/>
  <c r="I3105" i="42"/>
  <c r="I3106" i="42"/>
  <c r="I3107" i="42"/>
  <c r="I3108" i="42"/>
  <c r="I3109" i="42"/>
  <c r="I3110" i="42"/>
  <c r="I3111" i="42"/>
  <c r="I3112" i="42"/>
  <c r="I3113" i="42"/>
  <c r="I3114" i="42"/>
  <c r="I3115" i="42"/>
  <c r="I3116" i="42"/>
  <c r="I3117" i="42"/>
  <c r="I3118" i="42"/>
  <c r="I3119" i="42"/>
  <c r="I3120" i="42"/>
  <c r="I3121" i="42"/>
  <c r="I3122" i="42"/>
  <c r="I3123" i="42"/>
  <c r="I3124" i="42"/>
  <c r="I3125" i="42"/>
  <c r="I3126" i="42"/>
  <c r="I3127" i="42"/>
  <c r="I3128" i="42"/>
  <c r="I3129" i="42"/>
  <c r="I3130" i="42"/>
  <c r="I3131" i="42"/>
  <c r="I3132" i="42"/>
  <c r="I3133" i="42"/>
  <c r="I3134" i="42"/>
  <c r="I3135" i="42"/>
  <c r="I3136" i="42"/>
  <c r="I3137" i="42"/>
  <c r="I3138" i="42"/>
  <c r="I3139" i="42"/>
  <c r="I3140" i="42"/>
  <c r="I3141" i="42"/>
  <c r="I3142" i="42"/>
  <c r="I3143" i="42"/>
  <c r="I3144" i="42"/>
  <c r="I3145" i="42"/>
  <c r="I3146" i="42"/>
  <c r="I3147" i="42"/>
  <c r="I3148" i="42"/>
  <c r="I3149" i="42"/>
  <c r="I3150" i="42"/>
  <c r="I3151" i="42"/>
  <c r="I3152" i="42"/>
  <c r="I3153" i="42"/>
  <c r="I3154" i="42"/>
  <c r="I3155" i="42"/>
  <c r="I3156" i="42"/>
  <c r="I3157" i="42"/>
  <c r="I3158" i="42"/>
  <c r="I3159" i="42"/>
  <c r="I3160" i="42"/>
  <c r="I3161" i="42"/>
  <c r="I3162" i="42"/>
  <c r="I3163" i="42"/>
  <c r="I3164" i="42"/>
  <c r="I3165" i="42"/>
  <c r="I3166" i="42"/>
  <c r="I3167" i="42"/>
  <c r="I3168" i="42"/>
  <c r="I3169" i="42"/>
  <c r="I3170" i="42"/>
  <c r="I3171" i="42"/>
  <c r="I3172" i="42"/>
  <c r="I3173" i="42"/>
  <c r="I3174" i="42"/>
  <c r="I3175" i="42"/>
  <c r="I3176" i="42"/>
  <c r="I3177" i="42"/>
  <c r="I3178" i="42"/>
  <c r="I3179" i="42"/>
  <c r="I3180" i="42"/>
  <c r="I3181" i="42"/>
  <c r="I3182" i="42"/>
  <c r="I3183" i="42"/>
  <c r="I3184" i="42"/>
  <c r="I3185" i="42"/>
  <c r="I3186" i="42"/>
  <c r="I3187" i="42"/>
  <c r="I3188" i="42"/>
  <c r="I3189" i="42"/>
  <c r="I3190" i="42"/>
  <c r="I3191" i="42"/>
  <c r="I3192" i="42"/>
  <c r="I3193" i="42"/>
  <c r="I3194" i="42"/>
  <c r="I3195" i="42"/>
  <c r="I3196" i="42"/>
  <c r="I3197" i="42"/>
  <c r="I3198" i="42"/>
  <c r="I3199" i="42"/>
  <c r="I3200" i="42"/>
  <c r="I3201" i="42"/>
  <c r="I3202" i="42"/>
  <c r="I3203" i="42"/>
  <c r="I3204" i="42"/>
  <c r="I3205" i="42"/>
  <c r="I3206" i="42"/>
  <c r="I3207" i="42"/>
  <c r="I3208" i="42"/>
  <c r="I3209" i="42"/>
  <c r="I3210" i="42"/>
  <c r="I3211" i="42"/>
  <c r="I3212" i="42"/>
  <c r="I3213" i="42"/>
  <c r="I3214" i="42"/>
  <c r="I3215" i="42"/>
  <c r="I3216" i="42"/>
  <c r="I3217" i="42"/>
  <c r="I3218" i="42"/>
  <c r="I3219" i="42"/>
  <c r="I3220" i="42"/>
  <c r="I3221" i="42"/>
  <c r="I3222" i="42"/>
  <c r="I3223" i="42"/>
  <c r="I3224" i="42"/>
  <c r="I3225" i="42"/>
  <c r="I3226" i="42"/>
  <c r="I3227" i="42"/>
  <c r="I3228" i="42"/>
  <c r="I3229" i="42"/>
  <c r="I3230" i="42"/>
  <c r="I3231" i="42"/>
  <c r="I3232" i="42"/>
  <c r="I3233" i="42"/>
  <c r="I3234" i="42"/>
  <c r="I3235" i="42"/>
  <c r="I3236" i="42"/>
  <c r="I3237" i="42"/>
  <c r="I3238" i="42"/>
  <c r="I3239" i="42"/>
  <c r="I3240" i="42"/>
  <c r="I3241" i="42"/>
  <c r="I3242" i="42"/>
  <c r="I3243" i="42"/>
  <c r="I3244" i="42"/>
  <c r="I3245" i="42"/>
  <c r="I3246" i="42"/>
  <c r="I3247" i="42"/>
  <c r="I3248" i="42"/>
  <c r="I3249" i="42"/>
  <c r="I3250" i="42"/>
  <c r="I3251" i="42"/>
  <c r="I3252" i="42"/>
  <c r="I3253" i="42"/>
  <c r="I3254" i="42"/>
  <c r="I3255" i="42"/>
  <c r="I3256" i="42"/>
  <c r="I3257" i="42"/>
  <c r="I3258" i="42"/>
  <c r="I3259" i="42"/>
  <c r="I3260" i="42"/>
  <c r="I3261" i="42"/>
  <c r="I3262" i="42"/>
  <c r="I3263" i="42"/>
  <c r="I3264" i="42"/>
  <c r="I3265" i="42"/>
  <c r="I3266" i="42"/>
  <c r="I3267" i="42"/>
  <c r="I3268" i="42"/>
  <c r="I3269" i="42"/>
  <c r="I3270" i="42"/>
  <c r="I3271" i="42"/>
  <c r="I3272" i="42"/>
  <c r="I3273" i="42"/>
  <c r="I3274" i="42"/>
  <c r="I3275" i="42"/>
  <c r="I3276" i="42"/>
  <c r="I3277" i="42"/>
  <c r="I3278" i="42"/>
  <c r="I3279" i="42"/>
  <c r="I3280" i="42"/>
  <c r="I3281" i="42"/>
  <c r="I3282" i="42"/>
  <c r="I3283" i="42"/>
  <c r="I3284" i="42"/>
  <c r="I3285" i="42"/>
  <c r="I3286" i="42"/>
  <c r="I3287" i="42"/>
  <c r="I3288" i="42"/>
  <c r="I3289" i="42"/>
  <c r="I3290" i="42"/>
  <c r="I3291" i="42"/>
  <c r="I3292" i="42"/>
  <c r="I3293" i="42"/>
  <c r="I3294" i="42"/>
  <c r="I3295" i="42"/>
  <c r="I3296" i="42"/>
  <c r="I3297" i="42"/>
  <c r="I3298" i="42"/>
  <c r="I3299" i="42"/>
  <c r="I3300" i="42"/>
  <c r="I3301" i="42"/>
  <c r="I3302" i="42"/>
  <c r="I3303" i="42"/>
  <c r="I3304" i="42"/>
  <c r="I3305" i="42"/>
  <c r="I3306" i="42"/>
  <c r="I3307" i="42"/>
  <c r="I3308" i="42"/>
  <c r="I3309" i="42"/>
  <c r="I3310" i="42"/>
  <c r="I3311" i="42"/>
  <c r="I3312" i="42"/>
  <c r="I3313" i="42"/>
  <c r="I3314" i="42"/>
  <c r="I3315" i="42"/>
  <c r="I3316" i="42"/>
  <c r="I3317" i="42"/>
  <c r="I3318" i="42"/>
  <c r="I3319" i="42"/>
  <c r="I3320" i="42"/>
  <c r="I3321" i="42"/>
  <c r="I3322" i="42"/>
  <c r="I3323" i="42"/>
  <c r="I3324" i="42"/>
  <c r="I3325" i="42"/>
  <c r="I3326" i="42"/>
  <c r="I3327" i="42"/>
  <c r="I3328" i="42"/>
  <c r="I3329" i="42"/>
  <c r="I3330" i="42"/>
  <c r="I3331" i="42"/>
  <c r="I3332" i="42"/>
  <c r="I3333" i="42"/>
  <c r="I3334" i="42"/>
  <c r="I3335" i="42"/>
  <c r="I3336" i="42"/>
  <c r="I3337" i="42"/>
  <c r="I3338" i="42"/>
  <c r="I3339" i="42"/>
  <c r="I3340" i="42"/>
  <c r="I3341" i="42"/>
  <c r="I3342" i="42"/>
  <c r="I3343" i="42"/>
  <c r="I3344" i="42"/>
  <c r="I3345" i="42"/>
  <c r="I3346" i="42"/>
  <c r="I3347" i="42"/>
  <c r="I3348" i="42"/>
  <c r="I3349" i="42"/>
  <c r="I3350" i="42"/>
  <c r="I3351" i="42"/>
  <c r="I3352" i="42"/>
  <c r="I3353" i="42"/>
  <c r="I3354" i="42"/>
  <c r="I3355" i="42"/>
  <c r="I3356" i="42"/>
  <c r="I3357" i="42"/>
  <c r="I3358" i="42"/>
  <c r="I3359" i="42"/>
  <c r="I3360" i="42"/>
  <c r="I3361" i="42"/>
  <c r="I3362" i="42"/>
  <c r="I3363" i="42"/>
  <c r="I3364" i="42"/>
  <c r="I3365" i="42"/>
  <c r="I3366" i="42"/>
  <c r="I3367" i="42"/>
  <c r="I3368" i="42"/>
  <c r="I3369" i="42"/>
  <c r="I3370" i="42"/>
  <c r="I3371" i="42"/>
  <c r="I3372" i="42"/>
  <c r="I3373" i="42"/>
  <c r="I3374" i="42"/>
  <c r="I3375" i="42"/>
  <c r="I3376" i="42"/>
  <c r="I3377" i="42"/>
  <c r="I3378" i="42"/>
  <c r="I3379" i="42"/>
  <c r="I3380" i="42"/>
  <c r="I3381" i="42"/>
  <c r="I3382" i="42"/>
  <c r="I3383" i="42"/>
  <c r="I3384" i="42"/>
  <c r="I3385" i="42"/>
  <c r="I3386" i="42"/>
  <c r="I3387" i="42"/>
  <c r="I3388" i="42"/>
  <c r="I3389" i="42"/>
  <c r="I3390" i="42"/>
  <c r="I3391" i="42"/>
  <c r="I3392" i="42"/>
  <c r="I3393" i="42"/>
  <c r="I3394" i="42"/>
  <c r="I3395" i="42"/>
  <c r="I3396" i="42"/>
  <c r="I3397" i="42"/>
  <c r="I3398" i="42"/>
  <c r="I3399" i="42"/>
  <c r="I3400" i="42"/>
  <c r="I3401" i="42"/>
  <c r="I3402" i="42"/>
  <c r="I3403" i="42"/>
  <c r="I3404" i="42"/>
  <c r="I3405" i="42"/>
  <c r="I3406" i="42"/>
  <c r="I3407" i="42"/>
  <c r="I3408" i="42"/>
  <c r="I3409" i="42"/>
  <c r="I3410" i="42"/>
  <c r="I3411" i="42"/>
  <c r="I3412" i="42"/>
  <c r="I3413" i="42"/>
  <c r="I3414" i="42"/>
  <c r="I3415" i="42"/>
  <c r="I3416" i="42"/>
  <c r="I3417" i="42"/>
  <c r="I3418" i="42"/>
  <c r="I3419" i="42"/>
  <c r="I3420" i="42"/>
  <c r="I3421" i="42"/>
  <c r="I3422" i="42"/>
  <c r="I3423" i="42"/>
  <c r="I3424" i="42"/>
  <c r="I3425" i="42"/>
  <c r="I3426" i="42"/>
  <c r="I3427" i="42"/>
  <c r="I3428" i="42"/>
  <c r="I3429" i="42"/>
  <c r="I3430" i="42"/>
  <c r="I3431" i="42"/>
  <c r="I3432" i="42"/>
  <c r="I3433" i="42"/>
  <c r="I3434" i="42"/>
  <c r="I3435" i="42"/>
  <c r="I3436" i="42"/>
  <c r="I3437" i="42"/>
  <c r="I3438" i="42"/>
  <c r="I3439" i="42"/>
  <c r="I3440" i="42"/>
  <c r="I3441" i="42"/>
  <c r="I3442" i="42"/>
  <c r="I3443" i="42"/>
  <c r="I3444" i="42"/>
  <c r="I3445" i="42"/>
  <c r="I3446" i="42"/>
  <c r="I3447" i="42"/>
  <c r="I3448" i="42"/>
  <c r="I3449" i="42"/>
  <c r="I3450" i="42"/>
  <c r="I3451" i="42"/>
  <c r="I3452" i="42"/>
  <c r="I3453" i="42"/>
  <c r="I3454" i="42"/>
  <c r="I3455" i="42"/>
  <c r="I3456" i="42"/>
  <c r="I3457" i="42"/>
  <c r="I3458" i="42"/>
  <c r="I3459" i="42"/>
  <c r="I3460" i="42"/>
  <c r="I3461" i="42"/>
  <c r="I3462" i="42"/>
  <c r="I3463" i="42"/>
  <c r="I3464" i="42"/>
  <c r="I3465" i="42"/>
  <c r="I3466" i="42"/>
  <c r="I3467" i="42"/>
  <c r="I3468" i="42"/>
  <c r="I3469" i="42"/>
  <c r="I3470" i="42"/>
  <c r="I3471" i="42"/>
  <c r="I3472" i="42"/>
  <c r="I3473" i="42"/>
  <c r="I3474" i="42"/>
  <c r="I3475" i="42"/>
  <c r="I3476" i="42"/>
  <c r="I3477" i="42"/>
  <c r="I3478" i="42"/>
  <c r="I3479" i="42"/>
  <c r="I3480" i="42"/>
  <c r="I3481" i="42"/>
  <c r="I3482" i="42"/>
  <c r="I3483" i="42"/>
  <c r="I3484" i="42"/>
  <c r="I3485" i="42"/>
  <c r="I3486" i="42"/>
  <c r="I3487" i="42"/>
  <c r="I3488" i="42"/>
  <c r="I3489" i="42"/>
  <c r="I3490" i="42"/>
  <c r="I3491" i="42"/>
  <c r="I3492" i="42"/>
  <c r="I3493" i="42"/>
  <c r="I3494" i="42"/>
  <c r="I3495" i="42"/>
  <c r="I3496" i="42"/>
  <c r="I3497" i="42"/>
  <c r="I3498" i="42"/>
  <c r="I3499" i="42"/>
  <c r="I3500" i="42"/>
  <c r="I3501" i="42"/>
  <c r="I3502" i="42"/>
  <c r="I3503" i="42"/>
  <c r="I3504" i="42"/>
  <c r="I3505" i="42"/>
  <c r="I3506" i="42"/>
  <c r="I3507" i="42"/>
  <c r="I3508" i="42"/>
  <c r="I3509" i="42"/>
  <c r="I3510" i="42"/>
  <c r="I3511" i="42"/>
  <c r="I3512" i="42"/>
  <c r="I3513" i="42"/>
  <c r="I3514" i="42"/>
  <c r="I3515" i="42"/>
  <c r="I3516" i="42"/>
  <c r="I3517" i="42"/>
  <c r="I3518" i="42"/>
  <c r="I3519" i="42"/>
  <c r="I3520" i="42"/>
  <c r="I3521" i="42"/>
  <c r="I3522" i="42"/>
  <c r="I3523" i="42"/>
  <c r="I3524" i="42"/>
  <c r="I3525" i="42"/>
  <c r="I3526" i="42"/>
  <c r="I3527" i="42"/>
  <c r="I3528" i="42"/>
  <c r="I3529" i="42"/>
  <c r="I3530" i="42"/>
  <c r="I3531" i="42"/>
  <c r="I3532" i="42"/>
  <c r="I3533" i="42"/>
  <c r="I3534" i="42"/>
  <c r="I3535" i="42"/>
  <c r="I3536" i="42"/>
  <c r="I3537" i="42"/>
  <c r="I3538" i="42"/>
  <c r="I3539" i="42"/>
  <c r="I3540" i="42"/>
  <c r="I3541" i="42"/>
  <c r="I3542" i="42"/>
  <c r="I3543" i="42"/>
  <c r="I3544" i="42"/>
  <c r="I3545" i="42"/>
  <c r="I3546" i="42"/>
  <c r="I3547" i="42"/>
  <c r="I3548" i="42"/>
  <c r="I3549" i="42"/>
  <c r="I3550" i="42"/>
  <c r="I3551" i="42"/>
  <c r="I3552" i="42"/>
  <c r="I3553" i="42"/>
  <c r="I3554" i="42"/>
  <c r="I3555" i="42"/>
  <c r="I3556" i="42"/>
  <c r="I3557" i="42"/>
  <c r="I3558" i="42"/>
  <c r="I3559" i="42"/>
  <c r="I3560" i="42"/>
  <c r="I3561" i="42"/>
  <c r="I3562" i="42"/>
  <c r="I3563" i="42"/>
  <c r="I3564" i="42"/>
  <c r="I3565" i="42"/>
  <c r="I3566" i="42"/>
  <c r="I3567" i="42"/>
  <c r="I3568" i="42"/>
  <c r="I3569" i="42"/>
  <c r="I3570" i="42"/>
  <c r="I3571" i="42"/>
  <c r="I3572" i="42"/>
  <c r="I3573" i="42"/>
  <c r="I3574" i="42"/>
  <c r="I3575" i="42"/>
  <c r="I3576" i="42"/>
  <c r="I3577" i="42"/>
  <c r="I3578" i="42"/>
  <c r="I3579" i="42"/>
  <c r="I3580" i="42"/>
  <c r="I3581" i="42"/>
  <c r="I3582" i="42"/>
  <c r="I3583" i="42"/>
  <c r="I3584" i="42"/>
  <c r="I3585" i="42"/>
  <c r="I3586" i="42"/>
  <c r="I3587" i="42"/>
  <c r="I3588" i="42"/>
  <c r="I3589" i="42"/>
  <c r="I3590" i="42"/>
  <c r="I3591" i="42"/>
  <c r="I3592" i="42"/>
  <c r="I3593" i="42"/>
  <c r="I3594" i="42"/>
  <c r="I3595" i="42"/>
  <c r="I3596" i="42"/>
  <c r="I3597" i="42"/>
  <c r="I3598" i="42"/>
  <c r="I3599" i="42"/>
  <c r="I3600" i="42"/>
  <c r="I3601" i="42"/>
  <c r="I3602" i="42"/>
  <c r="I3603" i="42"/>
  <c r="I3604" i="42"/>
  <c r="I3605" i="42"/>
  <c r="I3606" i="42"/>
  <c r="I3607" i="42"/>
  <c r="I3608" i="42"/>
  <c r="I3609" i="42"/>
  <c r="I3610" i="42"/>
  <c r="I3611" i="42"/>
  <c r="I3612" i="42"/>
  <c r="I3613" i="42"/>
  <c r="I3614" i="42"/>
  <c r="I3615" i="42"/>
  <c r="I3616" i="42"/>
  <c r="I3617" i="42"/>
  <c r="I3618" i="42"/>
  <c r="I3619" i="42"/>
  <c r="I3620" i="42"/>
  <c r="I3621" i="42"/>
  <c r="I3622" i="42"/>
  <c r="I3623" i="42"/>
  <c r="I3624" i="42"/>
  <c r="I3625" i="42"/>
  <c r="I3626" i="42"/>
  <c r="I3627" i="42"/>
  <c r="I3628" i="42"/>
  <c r="I3629" i="42"/>
  <c r="I3630" i="42"/>
  <c r="I3631" i="42"/>
  <c r="I3632" i="42"/>
  <c r="I3633" i="42"/>
  <c r="I3634" i="42"/>
  <c r="I3635" i="42"/>
  <c r="I3636" i="42"/>
  <c r="I3637" i="42"/>
  <c r="I3638" i="42"/>
  <c r="I3639" i="42"/>
  <c r="I3640" i="42"/>
  <c r="I3641" i="42"/>
  <c r="I3642" i="42"/>
  <c r="I3643" i="42"/>
  <c r="I3644" i="42"/>
  <c r="I3645" i="42"/>
  <c r="I3646" i="42"/>
  <c r="I3647" i="42"/>
  <c r="I3648" i="42"/>
  <c r="I3649" i="42"/>
  <c r="I3650" i="42"/>
  <c r="I3651" i="42"/>
  <c r="I3652" i="42"/>
  <c r="I3653" i="42"/>
  <c r="I3654" i="42"/>
  <c r="I3655" i="42"/>
  <c r="I3656" i="42"/>
  <c r="I3657" i="42"/>
  <c r="I3658" i="42"/>
  <c r="I3659" i="42"/>
  <c r="I3660" i="42"/>
  <c r="I3661" i="42"/>
  <c r="I3662" i="42"/>
  <c r="I3663" i="42"/>
  <c r="I3664" i="42"/>
  <c r="I3665" i="42"/>
  <c r="I3666" i="42"/>
  <c r="I3667" i="42"/>
  <c r="I3668" i="42"/>
  <c r="I3669" i="42"/>
  <c r="I3670" i="42"/>
  <c r="I3671" i="42"/>
  <c r="I3672" i="42"/>
  <c r="I3673" i="42"/>
  <c r="I3674" i="42"/>
  <c r="I3675" i="42"/>
  <c r="I3676" i="42"/>
  <c r="I3677" i="42"/>
  <c r="I3678" i="42"/>
  <c r="I3679" i="42"/>
  <c r="I3680" i="42"/>
  <c r="I3681" i="42"/>
  <c r="I3682" i="42"/>
  <c r="I3683" i="42"/>
  <c r="I3684" i="42"/>
  <c r="I3685" i="42"/>
  <c r="I3686" i="42"/>
  <c r="I3687" i="42"/>
  <c r="I3688" i="42"/>
  <c r="I3689" i="42"/>
  <c r="I3690" i="42"/>
  <c r="I3691" i="42"/>
  <c r="I3692" i="42"/>
  <c r="I3693" i="42"/>
  <c r="I3694" i="42"/>
  <c r="I3695" i="42"/>
  <c r="I3696" i="42"/>
  <c r="I3697" i="42"/>
  <c r="I3698" i="42"/>
  <c r="I3699" i="42"/>
  <c r="I3700" i="42"/>
  <c r="I3701" i="42"/>
  <c r="I3702" i="42"/>
  <c r="I3703" i="42"/>
  <c r="I3704" i="42"/>
  <c r="I3705" i="42"/>
  <c r="I3706" i="42"/>
  <c r="I3707" i="42"/>
  <c r="I3708" i="42"/>
  <c r="I3709" i="42"/>
  <c r="I3710" i="42"/>
  <c r="I3711" i="42"/>
  <c r="I3712" i="42"/>
  <c r="I3713" i="42"/>
  <c r="I3714" i="42"/>
  <c r="I3715" i="42"/>
  <c r="I3716" i="42"/>
  <c r="I3717" i="42"/>
  <c r="I3718" i="42"/>
  <c r="I3719" i="42"/>
  <c r="I3720" i="42"/>
  <c r="I3721" i="42"/>
  <c r="I3722" i="42"/>
  <c r="I3723" i="42"/>
  <c r="I3724" i="42"/>
  <c r="I3725" i="42"/>
  <c r="I3726" i="42"/>
  <c r="I3727" i="42"/>
  <c r="I3728" i="42"/>
  <c r="I3729" i="42"/>
  <c r="I3730" i="42"/>
  <c r="I3731" i="42"/>
  <c r="I3732" i="42"/>
  <c r="I3733" i="42"/>
  <c r="I3734" i="42"/>
  <c r="I3735" i="42"/>
  <c r="I3736" i="42"/>
  <c r="I3737" i="42"/>
  <c r="I3738" i="42"/>
  <c r="I3739" i="42"/>
  <c r="I3740" i="42"/>
  <c r="I3741" i="42"/>
  <c r="I3742" i="42"/>
  <c r="I3743" i="42"/>
  <c r="I3744" i="42"/>
  <c r="I3745" i="42"/>
  <c r="I3746" i="42"/>
  <c r="I3747" i="42"/>
  <c r="I3748" i="42"/>
  <c r="I3749" i="42"/>
  <c r="I3750" i="42"/>
  <c r="I3751" i="42"/>
  <c r="I3752" i="42"/>
  <c r="I3753" i="42"/>
  <c r="I3754" i="42"/>
  <c r="I3755" i="42"/>
  <c r="I3756" i="42"/>
  <c r="I3757" i="42"/>
  <c r="I3758" i="42"/>
  <c r="I3759" i="42"/>
  <c r="I3760" i="42"/>
  <c r="I3761" i="42"/>
  <c r="I3762" i="42"/>
  <c r="I3763" i="42"/>
  <c r="I3764" i="42"/>
  <c r="I3765" i="42"/>
  <c r="I3766" i="42"/>
  <c r="I3767" i="42"/>
  <c r="I3768" i="42"/>
  <c r="I3769" i="42"/>
  <c r="I3770" i="42"/>
  <c r="I3771" i="42"/>
  <c r="I3772" i="42"/>
  <c r="I3773" i="42"/>
  <c r="I3774" i="42"/>
  <c r="I3775" i="42"/>
  <c r="I3776" i="42"/>
  <c r="I3777" i="42"/>
  <c r="I3778" i="42"/>
  <c r="I3779" i="42"/>
  <c r="I3780" i="42"/>
  <c r="I3781" i="42"/>
  <c r="I3782" i="42"/>
  <c r="I3783" i="42"/>
  <c r="I3784" i="42"/>
  <c r="I3785" i="42"/>
  <c r="I3786" i="42"/>
  <c r="I3787" i="42"/>
  <c r="I3788" i="42"/>
  <c r="I3789" i="42"/>
  <c r="I3790" i="42"/>
  <c r="I3791" i="42"/>
  <c r="I3792" i="42"/>
  <c r="I3793" i="42"/>
  <c r="I3794" i="42"/>
  <c r="I3795" i="42"/>
  <c r="I3796" i="42"/>
  <c r="I3797" i="42"/>
  <c r="I3798" i="42"/>
  <c r="I3799" i="42"/>
  <c r="I3800" i="42"/>
  <c r="I3801" i="42"/>
  <c r="I3802" i="42"/>
  <c r="I3803" i="42"/>
  <c r="I3804" i="42"/>
  <c r="I3805" i="42"/>
  <c r="I3806" i="42"/>
  <c r="I3807" i="42"/>
  <c r="I3808" i="42"/>
  <c r="I3809" i="42"/>
  <c r="I3810" i="42"/>
  <c r="I3811" i="42"/>
  <c r="I3812" i="42"/>
  <c r="I3813" i="42"/>
  <c r="I3814" i="42"/>
  <c r="I3815" i="42"/>
  <c r="I3816" i="42"/>
  <c r="I3817" i="42"/>
  <c r="I3818" i="42"/>
  <c r="I3819" i="42"/>
  <c r="I3820" i="42"/>
  <c r="I3821" i="42"/>
  <c r="I3822" i="42"/>
  <c r="I3823" i="42"/>
  <c r="I3824" i="42"/>
  <c r="I3825" i="42"/>
  <c r="I3826" i="42"/>
  <c r="I3827" i="42"/>
  <c r="I3828" i="42"/>
  <c r="I3829" i="42"/>
  <c r="I3830" i="42"/>
  <c r="I3831" i="42"/>
  <c r="I3832" i="42"/>
  <c r="I3833" i="42"/>
  <c r="I3834" i="42"/>
  <c r="I3835" i="42"/>
  <c r="I3836" i="42"/>
  <c r="I3837" i="42"/>
  <c r="I3838" i="42"/>
  <c r="I3839" i="42"/>
  <c r="I3840" i="42"/>
  <c r="I3841" i="42"/>
  <c r="I3842" i="42"/>
  <c r="I3843" i="42"/>
  <c r="I3844" i="42"/>
  <c r="I3845" i="42"/>
  <c r="I3846" i="42"/>
  <c r="I3847" i="42"/>
  <c r="I3848" i="42"/>
  <c r="I3849" i="42"/>
  <c r="I3850" i="42"/>
  <c r="I3851" i="42"/>
  <c r="I3852" i="42"/>
  <c r="I3853" i="42"/>
  <c r="I3854" i="42"/>
  <c r="I3855" i="42"/>
  <c r="I3856" i="42"/>
  <c r="I3857" i="42"/>
  <c r="I3858" i="42"/>
  <c r="I3859" i="42"/>
  <c r="I3860" i="42"/>
  <c r="I3861" i="42"/>
  <c r="I3862" i="42"/>
  <c r="I3863" i="42"/>
  <c r="I3864" i="42"/>
  <c r="I3865" i="42"/>
  <c r="I3866" i="42"/>
  <c r="I3867" i="42"/>
  <c r="I3868" i="42"/>
  <c r="I3869" i="42"/>
  <c r="I3870" i="42"/>
  <c r="I3871" i="42"/>
  <c r="I3872" i="42"/>
  <c r="I3873" i="42"/>
  <c r="I3874" i="42"/>
  <c r="I3875" i="42"/>
  <c r="I3876" i="42"/>
  <c r="I3877" i="42"/>
  <c r="I3878" i="42"/>
  <c r="I3879" i="42"/>
  <c r="I3880" i="42"/>
  <c r="I3881" i="42"/>
  <c r="I3882" i="42"/>
  <c r="I3883" i="42"/>
  <c r="I3884" i="42"/>
  <c r="I3885" i="42"/>
  <c r="I3886" i="42"/>
  <c r="I3887" i="42"/>
  <c r="I3888" i="42"/>
  <c r="I3889" i="42"/>
  <c r="I3890" i="42"/>
  <c r="I3891" i="42"/>
  <c r="I3892" i="42"/>
  <c r="I3893" i="42"/>
  <c r="I3894" i="42"/>
  <c r="I3895" i="42"/>
  <c r="I3896" i="42"/>
  <c r="I3897" i="42"/>
  <c r="I3898" i="42"/>
  <c r="I3899" i="42"/>
  <c r="I3900" i="42"/>
  <c r="I3901" i="42"/>
  <c r="I3902" i="42"/>
  <c r="I3903" i="42"/>
  <c r="I3904" i="42"/>
  <c r="I3905" i="42"/>
  <c r="I3906" i="42"/>
  <c r="I3907" i="42"/>
  <c r="I3908" i="42"/>
  <c r="I3909" i="42"/>
  <c r="I3910" i="42"/>
  <c r="I3911" i="42"/>
  <c r="I3912" i="42"/>
  <c r="I3913" i="42"/>
  <c r="I3914" i="42"/>
  <c r="I3915" i="42"/>
  <c r="I3916" i="42"/>
  <c r="I3917" i="42"/>
  <c r="I3918" i="42"/>
  <c r="I3919" i="42"/>
  <c r="I3920" i="42"/>
  <c r="I3921" i="42"/>
  <c r="I3922" i="42"/>
  <c r="I3923" i="42"/>
  <c r="I3924" i="42"/>
  <c r="I3925" i="42"/>
  <c r="I3926" i="42"/>
  <c r="I3927" i="42"/>
  <c r="I3928" i="42"/>
  <c r="I3929" i="42"/>
  <c r="I3930" i="42"/>
  <c r="I3931" i="42"/>
  <c r="I3932" i="42"/>
  <c r="I3933" i="42"/>
  <c r="I3934" i="42"/>
  <c r="I3935" i="42"/>
  <c r="I3936" i="42"/>
  <c r="I3937" i="42"/>
  <c r="I3938" i="42"/>
  <c r="I3939" i="42"/>
  <c r="I3940" i="42"/>
  <c r="I3941" i="42"/>
  <c r="I3942" i="42"/>
  <c r="I3943" i="42"/>
  <c r="I3944" i="42"/>
  <c r="I3945" i="42"/>
  <c r="I3946" i="42"/>
  <c r="I3947" i="42"/>
  <c r="I3948" i="42"/>
  <c r="I3949" i="42"/>
  <c r="I3950" i="42"/>
  <c r="I3951" i="42"/>
  <c r="I3952" i="42"/>
  <c r="I3953" i="42"/>
  <c r="I3954" i="42"/>
  <c r="I3955" i="42"/>
  <c r="I3956" i="42"/>
  <c r="I3957" i="42"/>
  <c r="I3958" i="42"/>
  <c r="I3959" i="42"/>
  <c r="I3960" i="42"/>
  <c r="I3961" i="42"/>
  <c r="I3962" i="42"/>
  <c r="I3963" i="42"/>
  <c r="I3964" i="42"/>
  <c r="I3965" i="42"/>
  <c r="I3966" i="42"/>
  <c r="I3967" i="42"/>
  <c r="I3968" i="42"/>
  <c r="I3969" i="42"/>
  <c r="I3970" i="42"/>
  <c r="I3971" i="42"/>
  <c r="I3972" i="42"/>
  <c r="I3973" i="42"/>
  <c r="I3974" i="42"/>
  <c r="I3975" i="42"/>
  <c r="I3976" i="42"/>
  <c r="I3977" i="42"/>
  <c r="I3978" i="42"/>
  <c r="I3979" i="42"/>
  <c r="I3980" i="42"/>
  <c r="I3981" i="42"/>
  <c r="I3982" i="42"/>
  <c r="I3983" i="42"/>
  <c r="I3984" i="42"/>
  <c r="I3985" i="42"/>
  <c r="I3986" i="42"/>
  <c r="I3987" i="42"/>
  <c r="I3988" i="42"/>
  <c r="I3989" i="42"/>
  <c r="I3990" i="42"/>
  <c r="I3991" i="42"/>
  <c r="I3992" i="42"/>
  <c r="I3993" i="42"/>
  <c r="I3994" i="42"/>
  <c r="I3995" i="42"/>
  <c r="I3996" i="42"/>
  <c r="I3997" i="42"/>
  <c r="I3998" i="42"/>
  <c r="I3999" i="42"/>
  <c r="I4000" i="42"/>
  <c r="I4001" i="42"/>
  <c r="I4002" i="42"/>
  <c r="I4003" i="42"/>
  <c r="I4004" i="42"/>
  <c r="I4005" i="42"/>
  <c r="I4006" i="42"/>
  <c r="I4007" i="42"/>
  <c r="I4008" i="42"/>
  <c r="I4009" i="42"/>
  <c r="I4010" i="42"/>
  <c r="I4011" i="42"/>
  <c r="I4012" i="42"/>
  <c r="I4013" i="42"/>
  <c r="I4014" i="42"/>
  <c r="I4015" i="42"/>
  <c r="I4016" i="42"/>
  <c r="I4017" i="42"/>
  <c r="I4018" i="42"/>
  <c r="I4019" i="42"/>
  <c r="I4020" i="42"/>
  <c r="I4021" i="42"/>
  <c r="I4022" i="42"/>
  <c r="I4023" i="42"/>
  <c r="I4024" i="42"/>
  <c r="I4025" i="42"/>
  <c r="I4026" i="42"/>
  <c r="I4027" i="42"/>
  <c r="I4028" i="42"/>
  <c r="I4029" i="42"/>
  <c r="I4030" i="42"/>
  <c r="I4031" i="42"/>
  <c r="I4032" i="42"/>
  <c r="I4033" i="42"/>
  <c r="I4034" i="42"/>
  <c r="I4035" i="42"/>
  <c r="I4036" i="42"/>
  <c r="I4037" i="42"/>
  <c r="I4038" i="42"/>
  <c r="I4039" i="42"/>
  <c r="I4040" i="42"/>
  <c r="I4041" i="42"/>
  <c r="I4042" i="42"/>
  <c r="I4043" i="42"/>
  <c r="I4044" i="42"/>
  <c r="I4045" i="42"/>
  <c r="I4046" i="42"/>
  <c r="I4047" i="42"/>
  <c r="I4048" i="42"/>
  <c r="I4049" i="42"/>
  <c r="I4050" i="42"/>
  <c r="I4051" i="42"/>
  <c r="I4052" i="42"/>
  <c r="I4053" i="42"/>
  <c r="I4054" i="42"/>
  <c r="I4055" i="42"/>
  <c r="I4056" i="42"/>
  <c r="I4057" i="42"/>
  <c r="I4058" i="42"/>
  <c r="I4059" i="42"/>
  <c r="I4060" i="42"/>
  <c r="I4061" i="42"/>
  <c r="I4062" i="42"/>
  <c r="I4063" i="42"/>
  <c r="I4064" i="42"/>
  <c r="I4065" i="42"/>
  <c r="I4066" i="42"/>
  <c r="I4067" i="42"/>
  <c r="I4068" i="42"/>
  <c r="I4069" i="42"/>
  <c r="I4070" i="42"/>
  <c r="I4071" i="42"/>
  <c r="I4072" i="42"/>
  <c r="I4073" i="42"/>
  <c r="I4074" i="42"/>
  <c r="I4075" i="42"/>
  <c r="I4076" i="42"/>
  <c r="I4077" i="42"/>
  <c r="I4078" i="42"/>
  <c r="I4079" i="42"/>
  <c r="I4080" i="42"/>
  <c r="I4081" i="42"/>
  <c r="I4082" i="42"/>
  <c r="I4083" i="42"/>
  <c r="I4084" i="42"/>
  <c r="I4085" i="42"/>
  <c r="I4086" i="42"/>
  <c r="I4087" i="42"/>
  <c r="I4088" i="42"/>
  <c r="I4089" i="42"/>
  <c r="I4090" i="42"/>
  <c r="I4091" i="42"/>
  <c r="I4092" i="42"/>
  <c r="I4093" i="42"/>
  <c r="I4094" i="42"/>
  <c r="I4095" i="42"/>
  <c r="I4096" i="42"/>
  <c r="I4097" i="42"/>
  <c r="I4098" i="42"/>
  <c r="I4099" i="42"/>
  <c r="I4100" i="42"/>
  <c r="I4101" i="42"/>
  <c r="I4102" i="42"/>
  <c r="I4103" i="42"/>
  <c r="I4104" i="42"/>
  <c r="I4105" i="42"/>
  <c r="I4106" i="42"/>
  <c r="I4107" i="42"/>
  <c r="I4108" i="42"/>
  <c r="I4109" i="42"/>
  <c r="I4110" i="42"/>
  <c r="I4111" i="42"/>
  <c r="I4112" i="42"/>
  <c r="I4113" i="42"/>
  <c r="I4114" i="42"/>
  <c r="I4115" i="42"/>
  <c r="I4116" i="42"/>
  <c r="I4117" i="42"/>
  <c r="I4118" i="42"/>
  <c r="I4119" i="42"/>
  <c r="I4120" i="42"/>
  <c r="I4121" i="42"/>
  <c r="I4122" i="42"/>
  <c r="I4123" i="42"/>
  <c r="I4124" i="42"/>
  <c r="I4125" i="42"/>
  <c r="I4126" i="42"/>
  <c r="I4127" i="42"/>
  <c r="I4128" i="42"/>
  <c r="I4129" i="42"/>
  <c r="I4130" i="42"/>
  <c r="I4131" i="42"/>
  <c r="I4132" i="42"/>
  <c r="I4133" i="42"/>
  <c r="I4134" i="42"/>
  <c r="I4135" i="42"/>
  <c r="I4136" i="42"/>
  <c r="I4137" i="42"/>
  <c r="I4138" i="42"/>
  <c r="I4139" i="42"/>
  <c r="I4140" i="42"/>
  <c r="I4141" i="42"/>
  <c r="I4142" i="42"/>
  <c r="I4143" i="42"/>
  <c r="I4144" i="42"/>
  <c r="I4145" i="42"/>
  <c r="I4146" i="42"/>
  <c r="I4147" i="42"/>
  <c r="I4148" i="42"/>
  <c r="I4149" i="42"/>
  <c r="I4150" i="42"/>
  <c r="I4151" i="42"/>
  <c r="I4152" i="42"/>
  <c r="I4153" i="42"/>
  <c r="I4154" i="42"/>
  <c r="I4155" i="42"/>
  <c r="I4156" i="42"/>
  <c r="I4157" i="42"/>
  <c r="I4158" i="42"/>
  <c r="I4159" i="42"/>
  <c r="I4160" i="42"/>
  <c r="I4161" i="42"/>
  <c r="I4162" i="42"/>
  <c r="I4163" i="42"/>
  <c r="I4164" i="42"/>
  <c r="I4165" i="42"/>
  <c r="I4166" i="42"/>
  <c r="I4167" i="42"/>
  <c r="I4168" i="42"/>
  <c r="I4169" i="42"/>
  <c r="I4170" i="42"/>
  <c r="I4171" i="42"/>
  <c r="I4172" i="42"/>
  <c r="I4173" i="42"/>
  <c r="I4174" i="42"/>
  <c r="I4175" i="42"/>
  <c r="I4176" i="42"/>
  <c r="I4177" i="42"/>
  <c r="I4178" i="42"/>
  <c r="I4179" i="42"/>
  <c r="I4180" i="42"/>
  <c r="I4181" i="42"/>
  <c r="I4182" i="42"/>
  <c r="I4183" i="42"/>
  <c r="I4184" i="42"/>
  <c r="I4185" i="42"/>
  <c r="I4186" i="42"/>
  <c r="I4187" i="42"/>
  <c r="I4188" i="42"/>
  <c r="I4189" i="42"/>
  <c r="I4190" i="42"/>
  <c r="I4191" i="42"/>
  <c r="I4192" i="42"/>
  <c r="I4193" i="42"/>
  <c r="I4194" i="42"/>
  <c r="I4195" i="42"/>
  <c r="I4196" i="42"/>
  <c r="I4197" i="42"/>
  <c r="I4198" i="42"/>
  <c r="I4199" i="42"/>
  <c r="I4200" i="42"/>
  <c r="I4201" i="42"/>
  <c r="I4202" i="42"/>
  <c r="I4203" i="42"/>
  <c r="I4204" i="42"/>
  <c r="I4205" i="42"/>
  <c r="I4206" i="42"/>
  <c r="I4207" i="42"/>
  <c r="I4208" i="42"/>
  <c r="I4209" i="42"/>
  <c r="I4210" i="42"/>
  <c r="I4211" i="42"/>
  <c r="I4212" i="42"/>
  <c r="I4213" i="42"/>
  <c r="I4214" i="42"/>
  <c r="I4215" i="42"/>
  <c r="I4216" i="42"/>
  <c r="I4217" i="42"/>
  <c r="I4218" i="42"/>
  <c r="I4219" i="42"/>
  <c r="I4220" i="42"/>
  <c r="I4221" i="42"/>
  <c r="I4222" i="42"/>
  <c r="I4223" i="42"/>
  <c r="I4224" i="42"/>
  <c r="I4225" i="42"/>
  <c r="I4226" i="42"/>
  <c r="I4227" i="42"/>
  <c r="I4228" i="42"/>
  <c r="I4229" i="42"/>
  <c r="I4230" i="42"/>
  <c r="I4231" i="42"/>
  <c r="I4232" i="42"/>
  <c r="I4233" i="42"/>
  <c r="I4234" i="42"/>
  <c r="I4235" i="42"/>
  <c r="I4236" i="42"/>
  <c r="I4237" i="42"/>
  <c r="I4238" i="42"/>
  <c r="I4239" i="42"/>
  <c r="I4240" i="42"/>
  <c r="I4241" i="42"/>
  <c r="I4242" i="42"/>
  <c r="I4243" i="42"/>
  <c r="I4244" i="42"/>
  <c r="I4245" i="42"/>
  <c r="I4246" i="42"/>
  <c r="I4247" i="42"/>
  <c r="I4248" i="42"/>
  <c r="I4249" i="42"/>
  <c r="I4250" i="42"/>
  <c r="I4251" i="42"/>
  <c r="I4252" i="42"/>
  <c r="I4253" i="42"/>
  <c r="I4254" i="42"/>
  <c r="I4255" i="42"/>
  <c r="I4256" i="42"/>
  <c r="I4257" i="42"/>
  <c r="I4258" i="42"/>
  <c r="I4259" i="42"/>
  <c r="I4260" i="42"/>
  <c r="I4261" i="42"/>
  <c r="I4262" i="42"/>
  <c r="I4263" i="42"/>
  <c r="I4264" i="42"/>
  <c r="I4265" i="42"/>
  <c r="I4266" i="42"/>
  <c r="I4267" i="42"/>
  <c r="I4268" i="42"/>
  <c r="I4269" i="42"/>
  <c r="I4270" i="42"/>
  <c r="I4271" i="42"/>
  <c r="I4272" i="42"/>
  <c r="I4273" i="42"/>
  <c r="I4274" i="42"/>
  <c r="I4275" i="42"/>
  <c r="I4276" i="42"/>
  <c r="I4277" i="42"/>
  <c r="I4278" i="42"/>
  <c r="I4279" i="42"/>
  <c r="I4280" i="42"/>
  <c r="I4281" i="42"/>
  <c r="I4282" i="42"/>
  <c r="I4283" i="42"/>
  <c r="I4284" i="42"/>
  <c r="I4285" i="42"/>
  <c r="I4286" i="42"/>
  <c r="I4287" i="42"/>
  <c r="I4288" i="42"/>
  <c r="I4289" i="42"/>
  <c r="I4290" i="42"/>
  <c r="I4291" i="42"/>
  <c r="I4292" i="42"/>
  <c r="I4293" i="42"/>
  <c r="I4294" i="42"/>
  <c r="I4295" i="42"/>
  <c r="I4296" i="42"/>
  <c r="I4297" i="42"/>
  <c r="I4298" i="42"/>
  <c r="I4299" i="42"/>
  <c r="I4300" i="42"/>
  <c r="I4301" i="42"/>
  <c r="I4302" i="42"/>
  <c r="I4303" i="42"/>
  <c r="I4304" i="42"/>
  <c r="I4305" i="42"/>
  <c r="I4306" i="42"/>
  <c r="I4307" i="42"/>
  <c r="I4308" i="42"/>
  <c r="I4309" i="42"/>
  <c r="I4310" i="42"/>
  <c r="I4311" i="42"/>
  <c r="I4312" i="42"/>
  <c r="I4313" i="42"/>
  <c r="I4314" i="42"/>
  <c r="I4315" i="42"/>
  <c r="I4316" i="42"/>
  <c r="I4317" i="42"/>
  <c r="I4318" i="42"/>
  <c r="I4319" i="42"/>
  <c r="I4320" i="42"/>
  <c r="I4321" i="42"/>
  <c r="I4322" i="42"/>
  <c r="I4323" i="42"/>
  <c r="I4324" i="42"/>
  <c r="I4325" i="42"/>
  <c r="I4326" i="42"/>
  <c r="I4327" i="42"/>
  <c r="I4328" i="42"/>
  <c r="I4329" i="42"/>
  <c r="I4330" i="42"/>
  <c r="I4331" i="42"/>
  <c r="I4332" i="42"/>
  <c r="I4333" i="42"/>
  <c r="I4334" i="42"/>
  <c r="I4335" i="42"/>
  <c r="I4336" i="42"/>
  <c r="I4337" i="42"/>
  <c r="I4338" i="42"/>
  <c r="I4339" i="42"/>
  <c r="I4340" i="42"/>
  <c r="I4341" i="42"/>
  <c r="I4342" i="42"/>
  <c r="I4343" i="42"/>
  <c r="I4344" i="42"/>
  <c r="I4345" i="42"/>
  <c r="I4346" i="42"/>
  <c r="I4347" i="42"/>
  <c r="I4348" i="42"/>
  <c r="I4349" i="42"/>
  <c r="I4350" i="42"/>
  <c r="I4351" i="42"/>
  <c r="I4352" i="42"/>
  <c r="I4353" i="42"/>
  <c r="I4354" i="42"/>
  <c r="I4355" i="42"/>
  <c r="I4356" i="42"/>
  <c r="I4357" i="42"/>
  <c r="I4358" i="42"/>
  <c r="I4359" i="42"/>
  <c r="I4360" i="42"/>
  <c r="I4361" i="42"/>
  <c r="I4362" i="42"/>
  <c r="I4363" i="42"/>
  <c r="I4364" i="42"/>
  <c r="I4365" i="42"/>
  <c r="I4366" i="42"/>
  <c r="I4367" i="42"/>
  <c r="I4368" i="42"/>
  <c r="I4369" i="42"/>
  <c r="I4370" i="42"/>
  <c r="I4371" i="42"/>
  <c r="I4372" i="42"/>
  <c r="I4373" i="42"/>
  <c r="I4374" i="42"/>
  <c r="I4375" i="42"/>
  <c r="I4376" i="42"/>
  <c r="I4377" i="42"/>
  <c r="I4378" i="42"/>
  <c r="I4379" i="42"/>
  <c r="I4380" i="42"/>
  <c r="I4381" i="42"/>
  <c r="I4382" i="42"/>
  <c r="I4383" i="42"/>
  <c r="I4384" i="42"/>
  <c r="I4385" i="42"/>
  <c r="I4386" i="42"/>
  <c r="I4387" i="42"/>
  <c r="I4388" i="42"/>
  <c r="I4389" i="42"/>
  <c r="I4390" i="42"/>
  <c r="I4391" i="42"/>
  <c r="I4392" i="42"/>
  <c r="I4393" i="42"/>
  <c r="I4394" i="42"/>
  <c r="I4395" i="42"/>
  <c r="I4396" i="42"/>
  <c r="I4397" i="42"/>
  <c r="I4398" i="42"/>
  <c r="I4399" i="42"/>
  <c r="I4400" i="42"/>
  <c r="I4401" i="42"/>
  <c r="I4402" i="42"/>
  <c r="I4403" i="42"/>
  <c r="I4404" i="42"/>
  <c r="I4405" i="42"/>
  <c r="I4406" i="42"/>
  <c r="I4407" i="42"/>
  <c r="I4408" i="42"/>
  <c r="I4409" i="42"/>
  <c r="I4410" i="42"/>
  <c r="I4411" i="42"/>
  <c r="I4412" i="42"/>
  <c r="I4413" i="42"/>
  <c r="I4414" i="42"/>
  <c r="I4415" i="42"/>
  <c r="I4416" i="42"/>
  <c r="I4417" i="42"/>
  <c r="I4418" i="42"/>
  <c r="I4419" i="42"/>
  <c r="I4420" i="42"/>
  <c r="I4421" i="42"/>
  <c r="I4422" i="42"/>
  <c r="I4423" i="42"/>
  <c r="I4424" i="42"/>
  <c r="I4425" i="42"/>
  <c r="I4426" i="42"/>
  <c r="I4427" i="42"/>
  <c r="I4428" i="42"/>
  <c r="I4429" i="42"/>
  <c r="I4430" i="42"/>
  <c r="I4431" i="42"/>
  <c r="I4432" i="42"/>
  <c r="I4433" i="42"/>
  <c r="I4434" i="42"/>
  <c r="I4435" i="42"/>
  <c r="I4436" i="42"/>
  <c r="I4437" i="42"/>
  <c r="I4438" i="42"/>
  <c r="I4439" i="42"/>
  <c r="I4440" i="42"/>
  <c r="I4441" i="42"/>
  <c r="I4442" i="42"/>
  <c r="I4443" i="42"/>
  <c r="I4444" i="42"/>
  <c r="I4445" i="42"/>
  <c r="I4446" i="42"/>
  <c r="I4447" i="42"/>
  <c r="I4448" i="42"/>
  <c r="I4449" i="42"/>
  <c r="I4450" i="42"/>
  <c r="I4451" i="42"/>
  <c r="I4452" i="42"/>
  <c r="I4453" i="42"/>
  <c r="I4454" i="42"/>
  <c r="I4455" i="42"/>
  <c r="I4456" i="42"/>
  <c r="I4457" i="42"/>
  <c r="I4458" i="42"/>
  <c r="I4459" i="42"/>
  <c r="I4460" i="42"/>
  <c r="I4461" i="42"/>
  <c r="I4462" i="42"/>
  <c r="I4463" i="42"/>
  <c r="I4464" i="42"/>
  <c r="I4465" i="42"/>
  <c r="I4466" i="42"/>
  <c r="I4467" i="42"/>
  <c r="I4468" i="42"/>
  <c r="I4469" i="42"/>
  <c r="I4470" i="42"/>
  <c r="I4471" i="42"/>
  <c r="I4472" i="42"/>
  <c r="I4473" i="42"/>
  <c r="I4474" i="42"/>
  <c r="I4475" i="42"/>
  <c r="I4476" i="42"/>
  <c r="I4477" i="42"/>
  <c r="I4478" i="42"/>
  <c r="I4479" i="42"/>
  <c r="I4480" i="42"/>
  <c r="I4481" i="42"/>
  <c r="I4482" i="42"/>
  <c r="I4483" i="42"/>
  <c r="I4484" i="42"/>
  <c r="I4485" i="42"/>
  <c r="I4486" i="42"/>
  <c r="I4487" i="42"/>
  <c r="I4488" i="42"/>
  <c r="I4489" i="42"/>
  <c r="I4490" i="42"/>
  <c r="I4491" i="42"/>
  <c r="I4492" i="42"/>
  <c r="I4493" i="42"/>
  <c r="I4494" i="42"/>
  <c r="I4495" i="42"/>
  <c r="I4496" i="42"/>
  <c r="I4497" i="42"/>
  <c r="I4498" i="42"/>
  <c r="I4499" i="42"/>
  <c r="I4500" i="42"/>
  <c r="I4501" i="42"/>
  <c r="I4502" i="42"/>
  <c r="I4503" i="42"/>
  <c r="I4504" i="42"/>
  <c r="I4505" i="42"/>
  <c r="I4506" i="42"/>
  <c r="I4507" i="42"/>
  <c r="I4508" i="42"/>
  <c r="I4509" i="42"/>
  <c r="I4510" i="42"/>
  <c r="I4511" i="42"/>
  <c r="I4512" i="42"/>
  <c r="I4513" i="42"/>
  <c r="I4514" i="42"/>
  <c r="I4515" i="42"/>
  <c r="I4516" i="42"/>
  <c r="I4517" i="42"/>
  <c r="I4518" i="42"/>
  <c r="I4519" i="42"/>
  <c r="I4520" i="42"/>
  <c r="I4521" i="42"/>
  <c r="I4522" i="42"/>
  <c r="I4523" i="42"/>
  <c r="I4524" i="42"/>
  <c r="I4525" i="42"/>
  <c r="I4526" i="42"/>
  <c r="I4527" i="42"/>
  <c r="I4528" i="42"/>
  <c r="I4529" i="42"/>
  <c r="I4530" i="42"/>
  <c r="I4531" i="42"/>
  <c r="I4532" i="42"/>
  <c r="I4533" i="42"/>
  <c r="I4534" i="42"/>
  <c r="I4535" i="42"/>
  <c r="I4536" i="42"/>
  <c r="I4537" i="42"/>
  <c r="I4538" i="42"/>
  <c r="I4539" i="42"/>
  <c r="I4540" i="42"/>
  <c r="I4541" i="42"/>
  <c r="I4542" i="42"/>
  <c r="I4543" i="42"/>
  <c r="I4544" i="42"/>
  <c r="I4545" i="42"/>
  <c r="I4546" i="42"/>
  <c r="I4547" i="42"/>
  <c r="I4548" i="42"/>
  <c r="I4549" i="42"/>
  <c r="I4550" i="42"/>
  <c r="I4551" i="42"/>
  <c r="I4552" i="42"/>
  <c r="I4553" i="42"/>
  <c r="I4554" i="42"/>
  <c r="I4555" i="42"/>
  <c r="I4556" i="42"/>
  <c r="I4557" i="42"/>
  <c r="I4558" i="42"/>
  <c r="I4559" i="42"/>
  <c r="I4560" i="42"/>
  <c r="I4561" i="42"/>
  <c r="I4562" i="42"/>
  <c r="I4563" i="42"/>
  <c r="I4564" i="42"/>
  <c r="I4565" i="42"/>
  <c r="I4566" i="42"/>
  <c r="I4567" i="42"/>
  <c r="I4568" i="42"/>
  <c r="I4569" i="42"/>
  <c r="I4570" i="42"/>
  <c r="I4571" i="42"/>
  <c r="I4572" i="42"/>
  <c r="I4573" i="42"/>
  <c r="I4574" i="42"/>
  <c r="I4575" i="42"/>
  <c r="I4576" i="42"/>
  <c r="I4577" i="42"/>
  <c r="I4578" i="42"/>
  <c r="I4579" i="42"/>
  <c r="I4580" i="42"/>
  <c r="I4581" i="42"/>
  <c r="I4582" i="42"/>
  <c r="I4583" i="42"/>
  <c r="I4584" i="42"/>
  <c r="I4585" i="42"/>
  <c r="I4586" i="42"/>
  <c r="I4587" i="42"/>
  <c r="I4588" i="42"/>
  <c r="I4589" i="42"/>
  <c r="I4590" i="42"/>
  <c r="I4591" i="42"/>
  <c r="I4592" i="42"/>
  <c r="I4593" i="42"/>
  <c r="I4594" i="42"/>
  <c r="I4595" i="42"/>
  <c r="I4596" i="42"/>
  <c r="I4597" i="42"/>
  <c r="I4598" i="42"/>
  <c r="I4599" i="42"/>
  <c r="I4600" i="42"/>
  <c r="I4601" i="42"/>
  <c r="I4602" i="42"/>
  <c r="I4603" i="42"/>
  <c r="I4604" i="42"/>
  <c r="I4605" i="42"/>
  <c r="I4606" i="42"/>
  <c r="I4607" i="42"/>
  <c r="I4608" i="42"/>
  <c r="I4609" i="42"/>
  <c r="I4610" i="42"/>
  <c r="I4611" i="42"/>
  <c r="I4612" i="42"/>
  <c r="I4613" i="42"/>
  <c r="I4614" i="42"/>
  <c r="I4615" i="42"/>
  <c r="I4616" i="42"/>
  <c r="I4617" i="42"/>
  <c r="I4618" i="42"/>
  <c r="I4619" i="42"/>
  <c r="I4620" i="42"/>
  <c r="I4621" i="42"/>
  <c r="I4622" i="42"/>
  <c r="I4623" i="42"/>
  <c r="I4624" i="42"/>
  <c r="I4625" i="42"/>
  <c r="I4626" i="42"/>
  <c r="I4627" i="42"/>
  <c r="I4628" i="42"/>
  <c r="I4629" i="42"/>
  <c r="I4630" i="42"/>
  <c r="I4631" i="42"/>
  <c r="I4632" i="42"/>
  <c r="I4633" i="42"/>
  <c r="I4634" i="42"/>
  <c r="I4635" i="42"/>
  <c r="I4636" i="42"/>
  <c r="I4637" i="42"/>
  <c r="I4638" i="42"/>
  <c r="I4639" i="42"/>
  <c r="I4640" i="42"/>
  <c r="I4641" i="42"/>
  <c r="I4642" i="42"/>
  <c r="I4643" i="42"/>
  <c r="I4644" i="42"/>
  <c r="I4645" i="42"/>
  <c r="I4646" i="42"/>
  <c r="I4647" i="42"/>
  <c r="I4648" i="42"/>
  <c r="I4649" i="42"/>
  <c r="I4650" i="42"/>
  <c r="I4651" i="42"/>
  <c r="I4652" i="42"/>
  <c r="I4653" i="42"/>
  <c r="I4654" i="42"/>
  <c r="I4655" i="42"/>
  <c r="I4656" i="42"/>
  <c r="I4657" i="42"/>
  <c r="I4658" i="42"/>
  <c r="I4659" i="42"/>
  <c r="I4660" i="42"/>
  <c r="I4661" i="42"/>
  <c r="I4662" i="42"/>
  <c r="I4663" i="42"/>
  <c r="I4664" i="42"/>
  <c r="I4665" i="42"/>
  <c r="I4666" i="42"/>
  <c r="I4667" i="42"/>
  <c r="I4668" i="42"/>
  <c r="I4669" i="42"/>
  <c r="I4670" i="42"/>
  <c r="I4671" i="42"/>
  <c r="I4672" i="42"/>
  <c r="I4673" i="42"/>
  <c r="I4674" i="42"/>
  <c r="I4675" i="42"/>
  <c r="I4676" i="42"/>
  <c r="I4677" i="42"/>
  <c r="I4678" i="42"/>
  <c r="I4679" i="42"/>
  <c r="I4680" i="42"/>
  <c r="I4681" i="42"/>
  <c r="I4682" i="42"/>
  <c r="I4683" i="42"/>
  <c r="I4684" i="42"/>
  <c r="I4685" i="42"/>
  <c r="I4686" i="42"/>
  <c r="I4687" i="42"/>
  <c r="I4688" i="42"/>
  <c r="I4689" i="42"/>
  <c r="I4690" i="42"/>
  <c r="I4691" i="42"/>
  <c r="I4692" i="42"/>
  <c r="I4693" i="42"/>
  <c r="I4694" i="42"/>
  <c r="I4695" i="42"/>
  <c r="I4696" i="42"/>
  <c r="I4697" i="42"/>
  <c r="I4698" i="42"/>
  <c r="I4699" i="42"/>
  <c r="I4700" i="42"/>
  <c r="I4701" i="42"/>
  <c r="I4702" i="42"/>
  <c r="I4703" i="42"/>
  <c r="I4704" i="42"/>
  <c r="I4705" i="42"/>
  <c r="I4706" i="42"/>
  <c r="I4707" i="42"/>
  <c r="I4708" i="42"/>
  <c r="I4709" i="42"/>
  <c r="I4710" i="42"/>
  <c r="I4711" i="42"/>
  <c r="I4712" i="42"/>
  <c r="I4713" i="42"/>
  <c r="I4714" i="42"/>
  <c r="I4715" i="42"/>
  <c r="I4716" i="42"/>
  <c r="I4717" i="42"/>
  <c r="I4718" i="42"/>
  <c r="I4719" i="42"/>
  <c r="I4720" i="42"/>
  <c r="I4721" i="42"/>
  <c r="I4722" i="42"/>
  <c r="I4723" i="42"/>
  <c r="I4724" i="42"/>
  <c r="I4725" i="42"/>
  <c r="I4726" i="42"/>
  <c r="I4727" i="42"/>
  <c r="I4728" i="42"/>
  <c r="I4729" i="42"/>
  <c r="I4730" i="42"/>
  <c r="I4731" i="42"/>
  <c r="I4732" i="42"/>
  <c r="I4733" i="42"/>
  <c r="I4734" i="42"/>
  <c r="I4735" i="42"/>
  <c r="I4736" i="42"/>
  <c r="I4737" i="42"/>
  <c r="I4738" i="42"/>
  <c r="I4739" i="42"/>
  <c r="I4740" i="42"/>
  <c r="I4741" i="42"/>
  <c r="I4742" i="42"/>
  <c r="I4743" i="42"/>
  <c r="I4744" i="42"/>
  <c r="I4745" i="42"/>
  <c r="I4746" i="42"/>
  <c r="I4747" i="42"/>
  <c r="I4748" i="42"/>
  <c r="I4749" i="42"/>
  <c r="I4750" i="42"/>
  <c r="I4751" i="42"/>
  <c r="I4752" i="42"/>
  <c r="I4753" i="42"/>
  <c r="I4754" i="42"/>
  <c r="I4755" i="42"/>
  <c r="I4756" i="42"/>
  <c r="I4757" i="42"/>
  <c r="I4758" i="42"/>
  <c r="I4759" i="42"/>
  <c r="I4760" i="42"/>
  <c r="I4761" i="42"/>
  <c r="I4762" i="42"/>
  <c r="I4763" i="42"/>
  <c r="I4764" i="42"/>
  <c r="I4765" i="42"/>
  <c r="I4766" i="42"/>
  <c r="I4767" i="42"/>
  <c r="I4768" i="42"/>
  <c r="I4769" i="42"/>
  <c r="I4770" i="42"/>
  <c r="I4771" i="42"/>
  <c r="I4772" i="42"/>
  <c r="I4773" i="42"/>
  <c r="I4774" i="42"/>
  <c r="I4775" i="42"/>
  <c r="I4776" i="42"/>
  <c r="I4777" i="42"/>
  <c r="I4778" i="42"/>
  <c r="I4779" i="42"/>
  <c r="I4780" i="42"/>
  <c r="I4781" i="42"/>
  <c r="I4782" i="42"/>
  <c r="I4783" i="42"/>
  <c r="I4784" i="42"/>
  <c r="I4785" i="42"/>
  <c r="I4786" i="42"/>
  <c r="I4787" i="42"/>
  <c r="I4788" i="42"/>
  <c r="I4789" i="42"/>
  <c r="I4790" i="42"/>
  <c r="I4791" i="42"/>
  <c r="I4792" i="42"/>
  <c r="I4793" i="42"/>
  <c r="I4794" i="42"/>
  <c r="I4795" i="42"/>
  <c r="I4796" i="42"/>
  <c r="I4797" i="42"/>
  <c r="I4798" i="42"/>
  <c r="I4799" i="42"/>
  <c r="I4800" i="42"/>
  <c r="I4801" i="42"/>
  <c r="I4802" i="42"/>
  <c r="I4803" i="42"/>
  <c r="I4804" i="42"/>
  <c r="I4805" i="42"/>
  <c r="I4806" i="42"/>
  <c r="I4807" i="42"/>
  <c r="I4808" i="42"/>
  <c r="I4809" i="42"/>
  <c r="I4810" i="42"/>
  <c r="I4811" i="42"/>
  <c r="I4812" i="42"/>
  <c r="I4813" i="42"/>
  <c r="I4814" i="42"/>
  <c r="I4815" i="42"/>
  <c r="I4816" i="42"/>
  <c r="I4817" i="42"/>
  <c r="I4818" i="42"/>
  <c r="I4819" i="42"/>
  <c r="I4820" i="42"/>
  <c r="I4821" i="42"/>
  <c r="I4822" i="42"/>
  <c r="I4823" i="42"/>
  <c r="I4824" i="42"/>
  <c r="I4825" i="42"/>
  <c r="I4826" i="42"/>
  <c r="I4827" i="42"/>
  <c r="I4828" i="42"/>
  <c r="I4829" i="42"/>
  <c r="I4830" i="42"/>
  <c r="I4831" i="42"/>
  <c r="I4832" i="42"/>
  <c r="I4833" i="42"/>
  <c r="I4834" i="42"/>
  <c r="I4835" i="42"/>
  <c r="I4836" i="42"/>
  <c r="I4837" i="42"/>
  <c r="I4838" i="42"/>
  <c r="I4839" i="42"/>
  <c r="I4840" i="42"/>
  <c r="I4841" i="42"/>
  <c r="I4842" i="42"/>
  <c r="I4843" i="42"/>
  <c r="I4844" i="42"/>
  <c r="I4845" i="42"/>
  <c r="I4846" i="42"/>
  <c r="I4847" i="42"/>
  <c r="I4848" i="42"/>
  <c r="I4849" i="42"/>
  <c r="I4850" i="42"/>
  <c r="I4851" i="42"/>
  <c r="I4852" i="42"/>
  <c r="I4853" i="42"/>
  <c r="I4854" i="42"/>
  <c r="I4855" i="42"/>
  <c r="I4856" i="42"/>
  <c r="I4857" i="42"/>
  <c r="I4858" i="42"/>
  <c r="I4859" i="42"/>
  <c r="I4860" i="42"/>
  <c r="I4861" i="42"/>
  <c r="I4862" i="42"/>
  <c r="I4863" i="42"/>
  <c r="I4864" i="42"/>
  <c r="I4865" i="42"/>
  <c r="I4866" i="42"/>
  <c r="I4867" i="42"/>
  <c r="I4868" i="42"/>
  <c r="I4869" i="42"/>
  <c r="I4870" i="42"/>
  <c r="I4871" i="42"/>
  <c r="I4872" i="42"/>
  <c r="I4873" i="42"/>
  <c r="I4874" i="42"/>
  <c r="I4875" i="42"/>
  <c r="I4876" i="42"/>
  <c r="I4877" i="42"/>
  <c r="I4878" i="42"/>
  <c r="I4879" i="42"/>
  <c r="I4880" i="42"/>
  <c r="I4881" i="42"/>
  <c r="I4882" i="42"/>
  <c r="I4883" i="42"/>
  <c r="I4884" i="42"/>
  <c r="I4885" i="42"/>
  <c r="I4886" i="42"/>
  <c r="I4887" i="42"/>
  <c r="I4888" i="42"/>
  <c r="I4889" i="42"/>
  <c r="I4890" i="42"/>
  <c r="I4891" i="42"/>
  <c r="I4892" i="42"/>
  <c r="I4893" i="42"/>
  <c r="I4894" i="42"/>
  <c r="I4895" i="42"/>
  <c r="I4896" i="42"/>
  <c r="I4897" i="42"/>
  <c r="I4898" i="42"/>
  <c r="I4899" i="42"/>
  <c r="I4900" i="42"/>
  <c r="I4901" i="42"/>
  <c r="I4902" i="42"/>
  <c r="I4903" i="42"/>
  <c r="I4904" i="42"/>
  <c r="I4905" i="42"/>
  <c r="I4906" i="42"/>
  <c r="I4907" i="42"/>
  <c r="I4908" i="42"/>
  <c r="I4909" i="42"/>
  <c r="I4910" i="42"/>
  <c r="I4911" i="42"/>
  <c r="I4912" i="42"/>
  <c r="I4913" i="42"/>
  <c r="I4914" i="42"/>
  <c r="I4915" i="42"/>
  <c r="I4916" i="42"/>
  <c r="I4917" i="42"/>
  <c r="I4918" i="42"/>
  <c r="I4919" i="42"/>
  <c r="I4920" i="42"/>
  <c r="I4921" i="42"/>
  <c r="I4922" i="42"/>
  <c r="I4923" i="42"/>
  <c r="I4924" i="42"/>
  <c r="I4925" i="42"/>
  <c r="I4926" i="42"/>
  <c r="I4927" i="42"/>
  <c r="I4928" i="42"/>
  <c r="I4929" i="42"/>
  <c r="I4930" i="42"/>
  <c r="I4931" i="42"/>
  <c r="I4932" i="42"/>
  <c r="I4933" i="42"/>
  <c r="I4934" i="42"/>
  <c r="I4935" i="42"/>
  <c r="I4936" i="42"/>
  <c r="I4937" i="42"/>
  <c r="I4938" i="42"/>
  <c r="I4939" i="42"/>
  <c r="I4940" i="42"/>
  <c r="I4941" i="42"/>
  <c r="I4942" i="42"/>
  <c r="I4943" i="42"/>
  <c r="I4944" i="42"/>
  <c r="I4945" i="42"/>
  <c r="I4946" i="42"/>
  <c r="I4947" i="42"/>
  <c r="I4948" i="42"/>
  <c r="I4949" i="42"/>
  <c r="I4950" i="42"/>
  <c r="I4951" i="42"/>
  <c r="I4952" i="42"/>
  <c r="I4953" i="42"/>
  <c r="I4954" i="42"/>
  <c r="I4955" i="42"/>
  <c r="I4956" i="42"/>
  <c r="I4957" i="42"/>
  <c r="I4958" i="42"/>
  <c r="I4959" i="42"/>
  <c r="I4960" i="42"/>
  <c r="I4961" i="42"/>
  <c r="I4962" i="42"/>
  <c r="I4963" i="42"/>
  <c r="I4964" i="42"/>
  <c r="I4965" i="42"/>
  <c r="I4966" i="42"/>
  <c r="I4967" i="42"/>
  <c r="I4968" i="42"/>
  <c r="I4969" i="42"/>
  <c r="I4970" i="42"/>
  <c r="I4971" i="42"/>
  <c r="I4972" i="42"/>
  <c r="I4973" i="42"/>
  <c r="I4974" i="42"/>
  <c r="I4975" i="42"/>
  <c r="I4976" i="42"/>
  <c r="I4977" i="42"/>
  <c r="I4978" i="42"/>
  <c r="I4979" i="42"/>
  <c r="I4980" i="42"/>
  <c r="I4981" i="42"/>
  <c r="I4982" i="42"/>
  <c r="I4983" i="42"/>
  <c r="I4984" i="42"/>
  <c r="I4985" i="42"/>
  <c r="I4986" i="42"/>
  <c r="I4987" i="42"/>
  <c r="I4988" i="42"/>
  <c r="I4989" i="42"/>
  <c r="I4990" i="42"/>
  <c r="I4991" i="42"/>
  <c r="I4992" i="42"/>
  <c r="I4993" i="42"/>
  <c r="I4994" i="42"/>
  <c r="I4995" i="42"/>
  <c r="I4996" i="42"/>
  <c r="I4997" i="42"/>
  <c r="I4998" i="42"/>
  <c r="I4999" i="42"/>
  <c r="I5000" i="42"/>
  <c r="I5001" i="42"/>
  <c r="I5002" i="42"/>
  <c r="I5003" i="42"/>
  <c r="I5004" i="42"/>
  <c r="I5005" i="42"/>
  <c r="I5006" i="42"/>
  <c r="I5007" i="42"/>
  <c r="I5008" i="42"/>
  <c r="I5009" i="42"/>
  <c r="I5010" i="42"/>
  <c r="I5011" i="42"/>
  <c r="I5012" i="42"/>
  <c r="I5013" i="42"/>
  <c r="I5014" i="42"/>
  <c r="I5015" i="42"/>
  <c r="I5016" i="42"/>
  <c r="I5017" i="42"/>
  <c r="I5018" i="42"/>
  <c r="I5019" i="42"/>
  <c r="I5020" i="42"/>
  <c r="I5021" i="42"/>
  <c r="I5022" i="42"/>
  <c r="I5023" i="42"/>
  <c r="I5024" i="42"/>
  <c r="I5025" i="42"/>
  <c r="I5026" i="42"/>
  <c r="I5027" i="42"/>
  <c r="I5028" i="42"/>
  <c r="I5029" i="42"/>
  <c r="I5030" i="42"/>
  <c r="I5031" i="42"/>
  <c r="I5032" i="42"/>
  <c r="I5033" i="42"/>
  <c r="I5034" i="42"/>
  <c r="I5035" i="42"/>
  <c r="I5036" i="42"/>
  <c r="I5037" i="42"/>
  <c r="I5038" i="42"/>
  <c r="I5039" i="42"/>
  <c r="I5040" i="42"/>
  <c r="I5041" i="42"/>
  <c r="I5042" i="42"/>
  <c r="I5043" i="42"/>
  <c r="I5044" i="42"/>
  <c r="I5045" i="42"/>
  <c r="I5046" i="42"/>
  <c r="I5047" i="42"/>
  <c r="I5048" i="42"/>
  <c r="I5049" i="42"/>
  <c r="I5050" i="42"/>
  <c r="I5051" i="42"/>
  <c r="I5052" i="42"/>
  <c r="I5053" i="42"/>
  <c r="I5054" i="42"/>
  <c r="I5055" i="42"/>
  <c r="I5056" i="42"/>
  <c r="I5057" i="42"/>
  <c r="I5058" i="42"/>
  <c r="I5059" i="42"/>
  <c r="I5060" i="42"/>
  <c r="I5061" i="42"/>
  <c r="I5062" i="42"/>
  <c r="I5063" i="42"/>
  <c r="I5064" i="42"/>
  <c r="I5065" i="42"/>
  <c r="I5066" i="42"/>
  <c r="I5067" i="42"/>
  <c r="I5068" i="42"/>
  <c r="I5069" i="42"/>
  <c r="I5070" i="42"/>
  <c r="I5071" i="42"/>
  <c r="I5072" i="42"/>
  <c r="I5073" i="42"/>
  <c r="I5074" i="42"/>
  <c r="I5075" i="42"/>
  <c r="I5076" i="42"/>
  <c r="I5077" i="42"/>
  <c r="I5078" i="42"/>
  <c r="I5079" i="42"/>
  <c r="I5080" i="42"/>
  <c r="I5081" i="42"/>
  <c r="I5082" i="42"/>
  <c r="I5083" i="42"/>
  <c r="I5084" i="42"/>
  <c r="I5085" i="42"/>
  <c r="I5086" i="42"/>
  <c r="I5087" i="42"/>
  <c r="I5088" i="42"/>
  <c r="I5089" i="42"/>
  <c r="I5090" i="42"/>
  <c r="I5091" i="42"/>
  <c r="I5092" i="42"/>
  <c r="I5093" i="42"/>
  <c r="I5094" i="42"/>
  <c r="I5095" i="42"/>
  <c r="I5096" i="42"/>
  <c r="I5097" i="42"/>
  <c r="I5098" i="42"/>
  <c r="I5099" i="42"/>
  <c r="I5100" i="42"/>
  <c r="I5101" i="42"/>
  <c r="I5102" i="42"/>
  <c r="I5103" i="42"/>
  <c r="I5104" i="42"/>
  <c r="I5105" i="42"/>
  <c r="I5106" i="42"/>
  <c r="I5107" i="42"/>
  <c r="I5108" i="42"/>
  <c r="I5109" i="42"/>
  <c r="I5110" i="42"/>
  <c r="I5111" i="42"/>
  <c r="I5112" i="42"/>
  <c r="I5113" i="42"/>
  <c r="I5114" i="42"/>
  <c r="I5115" i="42"/>
  <c r="I5116" i="42"/>
  <c r="I5117" i="42"/>
  <c r="I5118" i="42"/>
  <c r="I5119" i="42"/>
  <c r="I5120" i="42"/>
  <c r="I5121" i="42"/>
  <c r="I5122" i="42"/>
  <c r="I5123" i="42"/>
  <c r="I5124" i="42"/>
  <c r="I5125" i="42"/>
  <c r="I5126" i="42"/>
  <c r="I5127" i="42"/>
  <c r="I5128" i="42"/>
  <c r="I5129" i="42"/>
  <c r="I5130" i="42"/>
  <c r="I5131" i="42"/>
  <c r="I5132" i="42"/>
  <c r="I5133" i="42"/>
  <c r="I5134" i="42"/>
  <c r="I5135" i="42"/>
  <c r="I5136" i="42"/>
  <c r="I5137" i="42"/>
  <c r="I5138" i="42"/>
  <c r="I5139" i="42"/>
  <c r="I5140" i="42"/>
  <c r="I5141" i="42"/>
  <c r="I5142" i="42"/>
  <c r="I5143" i="42"/>
  <c r="I5144" i="42"/>
  <c r="I5145" i="42"/>
  <c r="I5146" i="42"/>
  <c r="I5147" i="42"/>
  <c r="I5148" i="42"/>
  <c r="I5149" i="42"/>
  <c r="I5150" i="42"/>
  <c r="I5151" i="42"/>
  <c r="I5152" i="42"/>
  <c r="I5153" i="42"/>
  <c r="I5154" i="42"/>
  <c r="I5155" i="42"/>
  <c r="I5156" i="42"/>
  <c r="I5157" i="42"/>
  <c r="I5158" i="42"/>
  <c r="I5159" i="42"/>
  <c r="I5160" i="42"/>
  <c r="I5161" i="42"/>
  <c r="I5162" i="42"/>
  <c r="I5163" i="42"/>
  <c r="I5164" i="42"/>
  <c r="I5165" i="42"/>
  <c r="I5166" i="42"/>
  <c r="I5167" i="42"/>
  <c r="I5168" i="42"/>
  <c r="I5169" i="42"/>
  <c r="I5170" i="42"/>
  <c r="I5171" i="42"/>
  <c r="I5172" i="42"/>
  <c r="I5173" i="42"/>
  <c r="I5174" i="42"/>
  <c r="I5175" i="42"/>
  <c r="I5176" i="42"/>
  <c r="I5177" i="42"/>
  <c r="I5178" i="42"/>
  <c r="I5179" i="42"/>
  <c r="I5180" i="42"/>
  <c r="I5181" i="42"/>
  <c r="I5182" i="42"/>
  <c r="I5183" i="42"/>
  <c r="I5184" i="42"/>
  <c r="I5185" i="42"/>
  <c r="I5186" i="42"/>
  <c r="I5187" i="42"/>
  <c r="I5188" i="42"/>
  <c r="I5189" i="42"/>
  <c r="I5190" i="42"/>
  <c r="I5191" i="42"/>
  <c r="I5192" i="42"/>
  <c r="I5193" i="42"/>
  <c r="I5194" i="42"/>
  <c r="I5195" i="42"/>
  <c r="I5196" i="42"/>
  <c r="I5197" i="42"/>
  <c r="I5198" i="42"/>
  <c r="I5199" i="42"/>
  <c r="I5200" i="42"/>
  <c r="I5201" i="42"/>
  <c r="I5202" i="42"/>
  <c r="I5203" i="42"/>
  <c r="I5204" i="42"/>
  <c r="I5205" i="42"/>
  <c r="I5206" i="42"/>
  <c r="I5207" i="42"/>
  <c r="I5208" i="42"/>
  <c r="I5209" i="42"/>
  <c r="I5210" i="42"/>
  <c r="I5211" i="42"/>
  <c r="I5212" i="42"/>
  <c r="I5213" i="42"/>
  <c r="I5214" i="42"/>
  <c r="I5215" i="42"/>
  <c r="I5216" i="42"/>
  <c r="I5217" i="42"/>
  <c r="I5218" i="42"/>
  <c r="I5219" i="42"/>
  <c r="I5220" i="42"/>
  <c r="I5221" i="42"/>
  <c r="I5222" i="42"/>
  <c r="I5223" i="42"/>
  <c r="I5224" i="42"/>
  <c r="I5225" i="42"/>
  <c r="I5226" i="42"/>
  <c r="I5227" i="42"/>
  <c r="I5228" i="42"/>
  <c r="I5229" i="42"/>
  <c r="I5230" i="42"/>
  <c r="I5231" i="42"/>
  <c r="I5232" i="42"/>
  <c r="I5233" i="42"/>
  <c r="I5234" i="42"/>
  <c r="I5235" i="42"/>
  <c r="I5236" i="42"/>
  <c r="I5237" i="42"/>
  <c r="I5238" i="42"/>
  <c r="I5239" i="42"/>
  <c r="I5240" i="42"/>
  <c r="I5241" i="42"/>
  <c r="I5242" i="42"/>
  <c r="I5243" i="42"/>
  <c r="I5244" i="42"/>
  <c r="I5245" i="42"/>
  <c r="I5246" i="42"/>
  <c r="I5247" i="42"/>
  <c r="I5248" i="42"/>
  <c r="I5249" i="42"/>
  <c r="I5250" i="42"/>
  <c r="I5251" i="42"/>
  <c r="I5252" i="42"/>
  <c r="I5253" i="42"/>
  <c r="I5254" i="42"/>
  <c r="I5255" i="42"/>
  <c r="I5256" i="42"/>
  <c r="I5257" i="42"/>
  <c r="I5258" i="42"/>
  <c r="I5259" i="42"/>
  <c r="I5260" i="42"/>
  <c r="I5261" i="42"/>
  <c r="I5262" i="42"/>
  <c r="I5263" i="42"/>
  <c r="I5264" i="42"/>
  <c r="I5265" i="42"/>
  <c r="I5266" i="42"/>
  <c r="I5267" i="42"/>
  <c r="I5268" i="42"/>
  <c r="I5269" i="42"/>
  <c r="I5270" i="42"/>
  <c r="I5271" i="42"/>
  <c r="I5272" i="42"/>
  <c r="I5273" i="42"/>
  <c r="I5274" i="42"/>
  <c r="I5275" i="42"/>
  <c r="I5276" i="42"/>
  <c r="I5277" i="42"/>
  <c r="I5278" i="42"/>
  <c r="I5279" i="42"/>
  <c r="I5280" i="42"/>
  <c r="I5281" i="42"/>
  <c r="I5282" i="42"/>
  <c r="I5283" i="42"/>
  <c r="I5284" i="42"/>
  <c r="I5285" i="42"/>
  <c r="I5286" i="42"/>
  <c r="I5287" i="42"/>
  <c r="I5288" i="42"/>
  <c r="I5289" i="42"/>
  <c r="I5290" i="42"/>
  <c r="I5291" i="42"/>
  <c r="I5292" i="42"/>
  <c r="I5293" i="42"/>
  <c r="I5294" i="42"/>
  <c r="I5295" i="42"/>
  <c r="I5296" i="42"/>
  <c r="I5297" i="42"/>
  <c r="I5298" i="42"/>
  <c r="I5299" i="42"/>
  <c r="I5300" i="42"/>
  <c r="I5301" i="42"/>
  <c r="I5302" i="42"/>
  <c r="I5303" i="42"/>
  <c r="I5304" i="42"/>
  <c r="I5305" i="42"/>
  <c r="I5306" i="42"/>
  <c r="I5307" i="42"/>
  <c r="I5308" i="42"/>
  <c r="I5309" i="42"/>
  <c r="I5310" i="42"/>
  <c r="I5311" i="42"/>
  <c r="I5312" i="42"/>
  <c r="I5313" i="42"/>
  <c r="I5314" i="42"/>
  <c r="I5315" i="42"/>
  <c r="I5316" i="42"/>
  <c r="I5317" i="42"/>
  <c r="I5318" i="42"/>
  <c r="I5319" i="42"/>
  <c r="I5320" i="42"/>
  <c r="I5321" i="42"/>
  <c r="I5322" i="42"/>
  <c r="I5323" i="42"/>
  <c r="I5324" i="42"/>
  <c r="I5325" i="42"/>
  <c r="I5326" i="42"/>
  <c r="I5327" i="42"/>
  <c r="I5328" i="42"/>
  <c r="I5329" i="42"/>
  <c r="I5330" i="42"/>
  <c r="I5331" i="42"/>
  <c r="I5332" i="42"/>
  <c r="I5333" i="42"/>
  <c r="I5334" i="42"/>
  <c r="I5335" i="42"/>
  <c r="I5336" i="42"/>
  <c r="I5337" i="42"/>
  <c r="I5338" i="42"/>
  <c r="I5339" i="42"/>
  <c r="I5340" i="42"/>
  <c r="I5341" i="42"/>
  <c r="I5342" i="42"/>
  <c r="I5343" i="42"/>
  <c r="I5344" i="42"/>
  <c r="I5345" i="42"/>
  <c r="I5346" i="42"/>
  <c r="I5347" i="42"/>
  <c r="I5348" i="42"/>
  <c r="I5349" i="42"/>
  <c r="I5350" i="42"/>
  <c r="I5351" i="42"/>
  <c r="I5352" i="42"/>
  <c r="I5353" i="42"/>
  <c r="I5354" i="42"/>
  <c r="I5355" i="42"/>
  <c r="I5356" i="42"/>
  <c r="I5357" i="42"/>
  <c r="I5358" i="42"/>
  <c r="I5359" i="42"/>
  <c r="I5360" i="42"/>
  <c r="I5361" i="42"/>
  <c r="I5362" i="42"/>
  <c r="I5363" i="42"/>
  <c r="I5364" i="42"/>
  <c r="I5365" i="42"/>
  <c r="I5366" i="42"/>
  <c r="I5367" i="42"/>
  <c r="I5368" i="42"/>
  <c r="I5369" i="42"/>
  <c r="I5370" i="42"/>
  <c r="I5371" i="42"/>
  <c r="I5372" i="42"/>
  <c r="I5373" i="42"/>
  <c r="I5374" i="42"/>
  <c r="I5375" i="42"/>
  <c r="I5376" i="42"/>
  <c r="I5377" i="42"/>
  <c r="I5378" i="42"/>
  <c r="I5379" i="42"/>
  <c r="I5380" i="42"/>
  <c r="I5381" i="42"/>
  <c r="I5382" i="42"/>
  <c r="I5383" i="42"/>
  <c r="I5384" i="42"/>
  <c r="I5385" i="42"/>
  <c r="I5386" i="42"/>
  <c r="I5387" i="42"/>
  <c r="I5388" i="42"/>
  <c r="I5389" i="42"/>
  <c r="I5390" i="42"/>
  <c r="I5391" i="42"/>
  <c r="I5392" i="42"/>
  <c r="I5393" i="42"/>
  <c r="I5394" i="42"/>
  <c r="I5395" i="42"/>
  <c r="I5396" i="42"/>
  <c r="I5397" i="42"/>
  <c r="I5398" i="42"/>
  <c r="I5399" i="42"/>
  <c r="I5400" i="42"/>
  <c r="I5401" i="42"/>
  <c r="I5402" i="42"/>
  <c r="I5403" i="42"/>
  <c r="I5404" i="42"/>
  <c r="I5405" i="42"/>
  <c r="I5406" i="42"/>
  <c r="I5407" i="42"/>
  <c r="I5408" i="42"/>
  <c r="I5409" i="42"/>
  <c r="I5410" i="42"/>
  <c r="I5411" i="42"/>
  <c r="I5412" i="42"/>
  <c r="I5413" i="42"/>
  <c r="I5414" i="42"/>
  <c r="I5415" i="42"/>
  <c r="I5416" i="42"/>
  <c r="I5417" i="42"/>
  <c r="I5418" i="42"/>
  <c r="I5419" i="42"/>
  <c r="I5420" i="42"/>
  <c r="I5421" i="42"/>
  <c r="I5422" i="42"/>
  <c r="I5423" i="42"/>
  <c r="I5424" i="42"/>
  <c r="I5425" i="42"/>
  <c r="I5426" i="42"/>
  <c r="I5427" i="42"/>
  <c r="I5428" i="42"/>
  <c r="I5429" i="42"/>
  <c r="I5430" i="42"/>
  <c r="I5431" i="42"/>
  <c r="I5432" i="42"/>
  <c r="I5433" i="42"/>
  <c r="I5434" i="42"/>
  <c r="I5435" i="42"/>
  <c r="I5436" i="42"/>
  <c r="I5437" i="42"/>
  <c r="I5438" i="42"/>
  <c r="I5439" i="42"/>
  <c r="I5440" i="42"/>
  <c r="I5441" i="42"/>
  <c r="I5442" i="42"/>
  <c r="I5443" i="42"/>
  <c r="I5444" i="42"/>
  <c r="I5445" i="42"/>
  <c r="I5446" i="42"/>
  <c r="I5447" i="42"/>
  <c r="I5448" i="42"/>
  <c r="I5449" i="42"/>
  <c r="I5450" i="42"/>
  <c r="I5451" i="42"/>
  <c r="I5452" i="42"/>
  <c r="I5453" i="42"/>
  <c r="I5454" i="42"/>
  <c r="I5455" i="42"/>
  <c r="I5456" i="42"/>
  <c r="I5457" i="42"/>
  <c r="I5458" i="42"/>
  <c r="I5459" i="42"/>
  <c r="I5460" i="42"/>
  <c r="I5461" i="42"/>
  <c r="I5462" i="42"/>
  <c r="I5463" i="42"/>
  <c r="I5464" i="42"/>
  <c r="I5465" i="42"/>
  <c r="I5466" i="42"/>
  <c r="I5467" i="42"/>
  <c r="I5468" i="42"/>
  <c r="I5469" i="42"/>
  <c r="I5470" i="42"/>
  <c r="I5471" i="42"/>
  <c r="I5472" i="42"/>
  <c r="I5473" i="42"/>
  <c r="I5474" i="42"/>
  <c r="I5475" i="42"/>
  <c r="I5476" i="42"/>
  <c r="I5477" i="42"/>
  <c r="I5478" i="42"/>
  <c r="I5479" i="42"/>
  <c r="I5480" i="42"/>
  <c r="I5481" i="42"/>
  <c r="I5482" i="42"/>
  <c r="I5483" i="42"/>
  <c r="I5484" i="42"/>
  <c r="I5485" i="42"/>
  <c r="I5486" i="42"/>
  <c r="I5487" i="42"/>
  <c r="I5488" i="42"/>
  <c r="I5489" i="42"/>
  <c r="I5490" i="42"/>
  <c r="I5491" i="42"/>
  <c r="I5492" i="42"/>
  <c r="I5493" i="42"/>
  <c r="I5494" i="42"/>
  <c r="I5495" i="42"/>
  <c r="I5496" i="42"/>
  <c r="I5497" i="42"/>
  <c r="I5498" i="42"/>
  <c r="I5499" i="42"/>
  <c r="I5500" i="42"/>
  <c r="I5501" i="42"/>
  <c r="I5502" i="42"/>
  <c r="I5503" i="42"/>
  <c r="I5504" i="42"/>
  <c r="I5505" i="42"/>
  <c r="I5506" i="42"/>
  <c r="I5507" i="42"/>
  <c r="I5508" i="42"/>
  <c r="I5509" i="42"/>
  <c r="I5510" i="42"/>
  <c r="I5511" i="42"/>
  <c r="I5512" i="42"/>
  <c r="I5513" i="42"/>
  <c r="I5514" i="42"/>
  <c r="I5515" i="42"/>
  <c r="I5516" i="42"/>
  <c r="I5517" i="42"/>
  <c r="I5518" i="42"/>
  <c r="I5519" i="42"/>
  <c r="I5520" i="42"/>
  <c r="I5521" i="42"/>
  <c r="I5522" i="42"/>
  <c r="I5523" i="42"/>
  <c r="I5524" i="42"/>
  <c r="I5525" i="42"/>
  <c r="I5526" i="42"/>
  <c r="I5527" i="42"/>
  <c r="I5528" i="42"/>
  <c r="I5529" i="42"/>
  <c r="I5530" i="42"/>
  <c r="I5531" i="42"/>
  <c r="I5532" i="42"/>
  <c r="I5533" i="42"/>
  <c r="I5534" i="42"/>
  <c r="I5535" i="42"/>
  <c r="I5536" i="42"/>
  <c r="I5537" i="42"/>
  <c r="I5538" i="42"/>
  <c r="I5539" i="42"/>
  <c r="I5540" i="42"/>
  <c r="I5541" i="42"/>
  <c r="I5542" i="42"/>
  <c r="I5543" i="42"/>
  <c r="I5544" i="42"/>
  <c r="I5545" i="42"/>
  <c r="I5546" i="42"/>
  <c r="I5547" i="42"/>
  <c r="I5548" i="42"/>
  <c r="I5549" i="42"/>
  <c r="I5550" i="42"/>
  <c r="I5551" i="42"/>
  <c r="I5552" i="42"/>
  <c r="I5553" i="42"/>
  <c r="I5554" i="42"/>
  <c r="I5555" i="42"/>
  <c r="I5556" i="42"/>
  <c r="I5557" i="42"/>
  <c r="I5558" i="42"/>
  <c r="I5559" i="42"/>
  <c r="I5560" i="42"/>
  <c r="I5561" i="42"/>
  <c r="I5562" i="42"/>
  <c r="I5563" i="42"/>
  <c r="I5564" i="42"/>
  <c r="I5565" i="42"/>
  <c r="I5566" i="42"/>
  <c r="I5567" i="42"/>
  <c r="I5568" i="42"/>
  <c r="I5569" i="42"/>
  <c r="I5570" i="42"/>
  <c r="I5571" i="42"/>
  <c r="I5572" i="42"/>
  <c r="I5573" i="42"/>
  <c r="I5574" i="42"/>
  <c r="I5575" i="42"/>
  <c r="I5576" i="42"/>
  <c r="I5577" i="42"/>
  <c r="I5578" i="42"/>
  <c r="I5579" i="42"/>
  <c r="I5580" i="42"/>
  <c r="I5581" i="42"/>
  <c r="I5582" i="42"/>
  <c r="I5583" i="42"/>
  <c r="I5584" i="42"/>
  <c r="I5585" i="42"/>
  <c r="I5586" i="42"/>
  <c r="I5587" i="42"/>
  <c r="I5588" i="42"/>
  <c r="I5589" i="42"/>
  <c r="I5590" i="42"/>
  <c r="I5591" i="42"/>
  <c r="I5592" i="42"/>
  <c r="I5593" i="42"/>
  <c r="I5594" i="42"/>
  <c r="I5595" i="42"/>
  <c r="I5596" i="42"/>
  <c r="I5597" i="42"/>
  <c r="I5598" i="42"/>
  <c r="I5599" i="42"/>
  <c r="I5600" i="42"/>
  <c r="I5601" i="42"/>
  <c r="I5602" i="42"/>
  <c r="I5603" i="42"/>
  <c r="I5604" i="42"/>
  <c r="I5605" i="42"/>
  <c r="I5606" i="42"/>
  <c r="I5607" i="42"/>
  <c r="I5608" i="42"/>
  <c r="I5609" i="42"/>
  <c r="I5610" i="42"/>
  <c r="I5611" i="42"/>
  <c r="I5612" i="42"/>
  <c r="I5613" i="42"/>
  <c r="I5614" i="42"/>
  <c r="I5615" i="42"/>
  <c r="I5616" i="42"/>
  <c r="I5617" i="42"/>
  <c r="I5618" i="42"/>
  <c r="I5619" i="42"/>
  <c r="I5620" i="42"/>
  <c r="I5621" i="42"/>
  <c r="I5622" i="42"/>
  <c r="I5623" i="42"/>
  <c r="I5624" i="42"/>
  <c r="I5625" i="42"/>
  <c r="I5626" i="42"/>
  <c r="I5627" i="42"/>
  <c r="I5628" i="42"/>
  <c r="I5629" i="42"/>
  <c r="I5630" i="42"/>
  <c r="I5631" i="42"/>
  <c r="I5632" i="42"/>
  <c r="I5633" i="42"/>
  <c r="I5634" i="42"/>
  <c r="I5635" i="42"/>
  <c r="I5636" i="42"/>
  <c r="I5637" i="42"/>
  <c r="I5638" i="42"/>
  <c r="I5639" i="42"/>
  <c r="I5640" i="42"/>
  <c r="I5641" i="42"/>
  <c r="I5642" i="42"/>
  <c r="I5643" i="42"/>
  <c r="I5644" i="42"/>
  <c r="I5645" i="42"/>
  <c r="I5646" i="42"/>
  <c r="I5647" i="42"/>
  <c r="I5648" i="42"/>
  <c r="I5649" i="42"/>
  <c r="I5650" i="42"/>
  <c r="I5651" i="42"/>
  <c r="I5652" i="42"/>
  <c r="I5653" i="42"/>
  <c r="I5654" i="42"/>
  <c r="I5655" i="42"/>
  <c r="I5656" i="42"/>
  <c r="I5657" i="42"/>
  <c r="I5658" i="42"/>
  <c r="I5659" i="42"/>
  <c r="I5660" i="42"/>
  <c r="I5661" i="42"/>
  <c r="I5662" i="42"/>
  <c r="I5663" i="42"/>
  <c r="I5664" i="42"/>
  <c r="I5665" i="42"/>
  <c r="I5666" i="42"/>
  <c r="I5667" i="42"/>
  <c r="I5668" i="42"/>
  <c r="I5669" i="42"/>
  <c r="I5670" i="42"/>
  <c r="I5671" i="42"/>
  <c r="I5672" i="42"/>
  <c r="I5673" i="42"/>
  <c r="I5674" i="42"/>
  <c r="I5675" i="42"/>
  <c r="I5676" i="42"/>
  <c r="I5677" i="42"/>
  <c r="I5678" i="42"/>
  <c r="I5679" i="42"/>
  <c r="I5680" i="42"/>
  <c r="I5681" i="42"/>
  <c r="I5682" i="42"/>
  <c r="I5683" i="42"/>
  <c r="I5684" i="42"/>
  <c r="I5685" i="42"/>
  <c r="I5686" i="42"/>
  <c r="I5687" i="42"/>
  <c r="I5688" i="42"/>
  <c r="I5689" i="42"/>
  <c r="I5690" i="42"/>
  <c r="I5691" i="42"/>
  <c r="I5692" i="42"/>
  <c r="I5693" i="42"/>
  <c r="I5694" i="42"/>
  <c r="I5695" i="42"/>
  <c r="I5696" i="42"/>
  <c r="I5697" i="42"/>
  <c r="I5698" i="42"/>
  <c r="I5699" i="42"/>
  <c r="I5700" i="42"/>
  <c r="I5701" i="42"/>
  <c r="I5702" i="42"/>
  <c r="I5703" i="42"/>
  <c r="I5704" i="42"/>
  <c r="I5705" i="42"/>
  <c r="I5706" i="42"/>
  <c r="I5707" i="42"/>
  <c r="I5708" i="42"/>
  <c r="I5709" i="42"/>
  <c r="I5710" i="42"/>
  <c r="I5711" i="42"/>
  <c r="I5712" i="42"/>
  <c r="I5713" i="42"/>
  <c r="I5714" i="42"/>
  <c r="I5715" i="42"/>
  <c r="I5716" i="42"/>
  <c r="I5717" i="42"/>
  <c r="I5718" i="42"/>
  <c r="I5719" i="42"/>
  <c r="I5720" i="42"/>
  <c r="I5721" i="42"/>
  <c r="I5722" i="42"/>
  <c r="I5723" i="42"/>
  <c r="I5724" i="42"/>
  <c r="I5725" i="42"/>
  <c r="I5726" i="42"/>
  <c r="I5727" i="42"/>
  <c r="I5728" i="42"/>
  <c r="I5729" i="42"/>
  <c r="I5730" i="42"/>
  <c r="I5731" i="42"/>
  <c r="I5732" i="42"/>
  <c r="I5733" i="42"/>
  <c r="I5734" i="42"/>
  <c r="I5735" i="42"/>
  <c r="I5736" i="42"/>
  <c r="I5737" i="42"/>
  <c r="I5738" i="42"/>
  <c r="I5739" i="42"/>
  <c r="I5740" i="42"/>
  <c r="I5741" i="42"/>
  <c r="I5742" i="42"/>
  <c r="I5743" i="42"/>
  <c r="I5744" i="42"/>
  <c r="I5745" i="42"/>
  <c r="I5746" i="42"/>
  <c r="I5747" i="42"/>
  <c r="I5748" i="42"/>
  <c r="I5749" i="42"/>
  <c r="I5750" i="42"/>
  <c r="I5751" i="42"/>
  <c r="I5752" i="42"/>
  <c r="I5753" i="42"/>
  <c r="I5754" i="42"/>
  <c r="I5755" i="42"/>
  <c r="I5756" i="42"/>
  <c r="I5757" i="42"/>
  <c r="I5758" i="42"/>
  <c r="I5759" i="42"/>
  <c r="I5760" i="42"/>
  <c r="I5761" i="42"/>
  <c r="I5762" i="42"/>
  <c r="I5763" i="42"/>
  <c r="I5764" i="42"/>
  <c r="I5765" i="42"/>
  <c r="I5766" i="42"/>
  <c r="I5767" i="42"/>
  <c r="I5768" i="42"/>
  <c r="I5769" i="42"/>
  <c r="I5770" i="42"/>
  <c r="I5771" i="42"/>
  <c r="I5772" i="42"/>
  <c r="I5773" i="42"/>
  <c r="I5774" i="42"/>
  <c r="I5775" i="42"/>
  <c r="I5776" i="42"/>
  <c r="I5777" i="42"/>
  <c r="I5778" i="42"/>
  <c r="I5779" i="42"/>
  <c r="I5780" i="42"/>
  <c r="I5781" i="42"/>
  <c r="I5782" i="42"/>
  <c r="I5783" i="42"/>
  <c r="I5784" i="42"/>
  <c r="I5785" i="42"/>
  <c r="I5786" i="42"/>
  <c r="I5787" i="42"/>
  <c r="I5788" i="42"/>
  <c r="I5789" i="42"/>
  <c r="I5790" i="42"/>
  <c r="I5791" i="42"/>
  <c r="I5792" i="42"/>
  <c r="I5793" i="42"/>
  <c r="I5794" i="42"/>
  <c r="I5795" i="42"/>
  <c r="I5796" i="42"/>
  <c r="I5797" i="42"/>
  <c r="I5798" i="42"/>
  <c r="I5799" i="42"/>
  <c r="I5800" i="42"/>
  <c r="I5801" i="42"/>
  <c r="I5802" i="42"/>
  <c r="I5803" i="42"/>
  <c r="I5804" i="42"/>
  <c r="I5805" i="42"/>
  <c r="I5806" i="42"/>
  <c r="I5807" i="42"/>
  <c r="I5808" i="42"/>
  <c r="I5809" i="42"/>
  <c r="I5810" i="42"/>
  <c r="I5811" i="42"/>
  <c r="I5812" i="42"/>
  <c r="I5813" i="42"/>
  <c r="I5814" i="42"/>
  <c r="I5815" i="42"/>
  <c r="I5816" i="42"/>
  <c r="I5817" i="42"/>
  <c r="I5818" i="42"/>
  <c r="I5819" i="42"/>
  <c r="I5820" i="42"/>
  <c r="I5821" i="42"/>
  <c r="I5822" i="42"/>
  <c r="I5823" i="42"/>
  <c r="I5824" i="42"/>
  <c r="I5825" i="42"/>
  <c r="I5826" i="42"/>
  <c r="I5827" i="42"/>
  <c r="I5828" i="42"/>
  <c r="I5829" i="42"/>
  <c r="I5830" i="42"/>
  <c r="I5831" i="42"/>
  <c r="I5832" i="42"/>
  <c r="I5833" i="42"/>
  <c r="I5834" i="42"/>
  <c r="I5835" i="42"/>
  <c r="I5836" i="42"/>
  <c r="I5837" i="42"/>
  <c r="I5838" i="42"/>
  <c r="I5839" i="42"/>
  <c r="I5840" i="42"/>
  <c r="I5841" i="42"/>
  <c r="I5842" i="42"/>
  <c r="I5843" i="42"/>
  <c r="I5844" i="42"/>
  <c r="I5845" i="42"/>
  <c r="I5846" i="42"/>
  <c r="I5847" i="42"/>
  <c r="I5848" i="42"/>
  <c r="I5849" i="42"/>
  <c r="I5850" i="42"/>
  <c r="I5851" i="42"/>
  <c r="I5852" i="42"/>
  <c r="I5853" i="42"/>
  <c r="I5854" i="42"/>
  <c r="I5855" i="42"/>
  <c r="I5856" i="42"/>
  <c r="I5857" i="42"/>
  <c r="I5858" i="42"/>
  <c r="I5859" i="42"/>
  <c r="I5860" i="42"/>
  <c r="I5861" i="42"/>
  <c r="I5862" i="42"/>
  <c r="I5863" i="42"/>
  <c r="I5864" i="42"/>
  <c r="I5865" i="42"/>
  <c r="I5866" i="42"/>
  <c r="I5867" i="42"/>
  <c r="I5868" i="42"/>
  <c r="I5869" i="42"/>
  <c r="I5870" i="42"/>
  <c r="I5871" i="42"/>
  <c r="I5872" i="42"/>
  <c r="I5873" i="42"/>
  <c r="I5874" i="42"/>
  <c r="I5875" i="42"/>
  <c r="I5876" i="42"/>
  <c r="I5877" i="42"/>
  <c r="I5878" i="42"/>
  <c r="I5879" i="42"/>
  <c r="I5880" i="42"/>
  <c r="I5881" i="42"/>
  <c r="I5882" i="42"/>
  <c r="I5883" i="42"/>
  <c r="I5884" i="42"/>
  <c r="I5885" i="42"/>
  <c r="I5886" i="42"/>
  <c r="I5887" i="42"/>
  <c r="I5888" i="42"/>
  <c r="I5889" i="42"/>
  <c r="I5890" i="42"/>
  <c r="I5891" i="42"/>
  <c r="I5892" i="42"/>
  <c r="I5893" i="42"/>
  <c r="I5894" i="42"/>
  <c r="I5895" i="42"/>
  <c r="I5896" i="42"/>
  <c r="I5897" i="42"/>
  <c r="I5898" i="42"/>
  <c r="I5899" i="42"/>
  <c r="I5900" i="42"/>
  <c r="I5901" i="42"/>
  <c r="I5902" i="42"/>
  <c r="I5903" i="42"/>
  <c r="I5904" i="42"/>
  <c r="I5905" i="42"/>
  <c r="I5906" i="42"/>
  <c r="I5907" i="42"/>
  <c r="I5908" i="42"/>
  <c r="I5909" i="42"/>
  <c r="I5910" i="42"/>
  <c r="I5911" i="42"/>
  <c r="I5912" i="42"/>
  <c r="I5913" i="42"/>
  <c r="I5914" i="42"/>
  <c r="I5915" i="42"/>
  <c r="I5916" i="42"/>
  <c r="I5917" i="42"/>
  <c r="I5918" i="42"/>
  <c r="I5919" i="42"/>
  <c r="I5920" i="42"/>
  <c r="I5921" i="42"/>
  <c r="I5922" i="42"/>
  <c r="I5923" i="42"/>
  <c r="I5924" i="42"/>
  <c r="I5925" i="42"/>
  <c r="I5926" i="42"/>
  <c r="I5927" i="42"/>
  <c r="I5928" i="42"/>
  <c r="I5929" i="42"/>
  <c r="I5930" i="42"/>
  <c r="I5931" i="42"/>
  <c r="I5932" i="42"/>
  <c r="I5933" i="42"/>
  <c r="I5934" i="42"/>
  <c r="I5935" i="42"/>
  <c r="I5936" i="42"/>
  <c r="I5937" i="42"/>
  <c r="I5938" i="42"/>
  <c r="I5939" i="42"/>
  <c r="I5940" i="42"/>
  <c r="I5941" i="42"/>
  <c r="I5942" i="42"/>
  <c r="I5943" i="42"/>
  <c r="I5944" i="42"/>
  <c r="I5945" i="42"/>
  <c r="I5946" i="42"/>
  <c r="I5947" i="42"/>
  <c r="I5948" i="42"/>
  <c r="I5949" i="42"/>
  <c r="I5950" i="42"/>
  <c r="I5951" i="42"/>
  <c r="I5952" i="42"/>
  <c r="I5953" i="42"/>
  <c r="I5954" i="42"/>
  <c r="I5955" i="42"/>
  <c r="I5956" i="42"/>
  <c r="I5957" i="42"/>
  <c r="I5958" i="42"/>
  <c r="I5959" i="42"/>
  <c r="I5960" i="42"/>
  <c r="I5961" i="42"/>
  <c r="I5962" i="42"/>
  <c r="I5963" i="42"/>
  <c r="I5964" i="42"/>
  <c r="I5965" i="42"/>
  <c r="I5966" i="42"/>
  <c r="I5967" i="42"/>
  <c r="I5968" i="42"/>
  <c r="I5969" i="42"/>
  <c r="I5970" i="42"/>
  <c r="I5971" i="42"/>
  <c r="I5972" i="42"/>
  <c r="I5973" i="42"/>
  <c r="I5974" i="42"/>
  <c r="I5975" i="42"/>
  <c r="I5976" i="42"/>
  <c r="I5977" i="42"/>
  <c r="I5978" i="42"/>
  <c r="I5979" i="42"/>
  <c r="I5980" i="42"/>
  <c r="I5981" i="42"/>
  <c r="I5982" i="42"/>
  <c r="I5983" i="42"/>
  <c r="I5984" i="42"/>
  <c r="I5985" i="42"/>
  <c r="I5986" i="42"/>
  <c r="I5987" i="42"/>
  <c r="I5988" i="42"/>
  <c r="I5989" i="42"/>
  <c r="I5990" i="42"/>
  <c r="I5991" i="42"/>
  <c r="I5992" i="42"/>
  <c r="I5993" i="42"/>
  <c r="I5994" i="42"/>
  <c r="I5995" i="42"/>
  <c r="I5996" i="42"/>
  <c r="I5997" i="42"/>
  <c r="I5998" i="42"/>
  <c r="I5999" i="42"/>
  <c r="I6000" i="42"/>
  <c r="I6001" i="42"/>
  <c r="I6002" i="42"/>
  <c r="I6003" i="42"/>
  <c r="I6004" i="42"/>
  <c r="I6005" i="42"/>
  <c r="I6006" i="42"/>
  <c r="I6007" i="42"/>
  <c r="I6008" i="42"/>
  <c r="I6009" i="42"/>
  <c r="I6010" i="42"/>
  <c r="I6011" i="42"/>
  <c r="I6012" i="42"/>
  <c r="I6013" i="42"/>
  <c r="I6014" i="42"/>
  <c r="I6015" i="42"/>
  <c r="I6016" i="42"/>
  <c r="I6017" i="42"/>
  <c r="I6018" i="42"/>
  <c r="I6019" i="42"/>
  <c r="I6020" i="42"/>
  <c r="I6021" i="42"/>
  <c r="I6022" i="42"/>
  <c r="I6023" i="42"/>
  <c r="I6024" i="42"/>
  <c r="I6025" i="42"/>
  <c r="I6026" i="42"/>
  <c r="I6027" i="42"/>
  <c r="I6028" i="42"/>
  <c r="I6029" i="42"/>
  <c r="I6030" i="42"/>
  <c r="I6031" i="42"/>
  <c r="I6032" i="42"/>
  <c r="I6033" i="42"/>
  <c r="I6034" i="42"/>
  <c r="I6035" i="42"/>
  <c r="I6036" i="42"/>
  <c r="I6037" i="42"/>
  <c r="I6038" i="42"/>
  <c r="I6039" i="42"/>
  <c r="I6040" i="42"/>
  <c r="I6041" i="42"/>
  <c r="I6042" i="42"/>
  <c r="I6043" i="42"/>
  <c r="I6044" i="42"/>
  <c r="I6045" i="42"/>
  <c r="I6046" i="42"/>
  <c r="I6047" i="42"/>
  <c r="I6048" i="42"/>
  <c r="I6049" i="42"/>
  <c r="I6050" i="42"/>
  <c r="I6051" i="42"/>
  <c r="I6052" i="42"/>
  <c r="I6053" i="42"/>
  <c r="I6054" i="42"/>
  <c r="I6055" i="42"/>
  <c r="I6056" i="42"/>
  <c r="I6057" i="42"/>
  <c r="I6058" i="42"/>
  <c r="I6059" i="42"/>
  <c r="I6060" i="42"/>
  <c r="I6061" i="42"/>
  <c r="I6062" i="42"/>
  <c r="I6063" i="42"/>
  <c r="I6064" i="42"/>
  <c r="I6065" i="42"/>
  <c r="I6066" i="42"/>
  <c r="I6067" i="42"/>
  <c r="I6068" i="42"/>
  <c r="I6069" i="42"/>
  <c r="I6070" i="42"/>
  <c r="I6071" i="42"/>
  <c r="I6072" i="42"/>
  <c r="I6073" i="42"/>
  <c r="I6074" i="42"/>
  <c r="I6075" i="42"/>
  <c r="I6076" i="42"/>
  <c r="I6077" i="42"/>
  <c r="I6078" i="42"/>
  <c r="I6079" i="42"/>
  <c r="I6080" i="42"/>
  <c r="I6081" i="42"/>
  <c r="I6082" i="42"/>
  <c r="I6083" i="42"/>
  <c r="I6084" i="42"/>
  <c r="I6085" i="42"/>
  <c r="I6086" i="42"/>
  <c r="I6087" i="42"/>
  <c r="I6088" i="42"/>
  <c r="I6089" i="42"/>
  <c r="I6090" i="42"/>
  <c r="I6091" i="42"/>
  <c r="I6092" i="42"/>
  <c r="I6093" i="42"/>
  <c r="I6094" i="42"/>
  <c r="I6095" i="42"/>
  <c r="I6096" i="42"/>
  <c r="I6097" i="42"/>
  <c r="I6098" i="42"/>
  <c r="I6099" i="42"/>
  <c r="I6100" i="42"/>
  <c r="I6101" i="42"/>
  <c r="I6102" i="42"/>
  <c r="I6103" i="42"/>
  <c r="I6104" i="42"/>
  <c r="I6105" i="42"/>
  <c r="I6106" i="42"/>
  <c r="I6107" i="42"/>
  <c r="I6108" i="42"/>
  <c r="I6109" i="42"/>
  <c r="I6110" i="42"/>
  <c r="I6111" i="42"/>
  <c r="I6112" i="42"/>
  <c r="I6113" i="42"/>
  <c r="I6114" i="42"/>
  <c r="I6115" i="42"/>
  <c r="I6116" i="42"/>
  <c r="I6117" i="42"/>
  <c r="I6118" i="42"/>
  <c r="I6119" i="42"/>
  <c r="I6120" i="42"/>
  <c r="I6121" i="42"/>
  <c r="I6122" i="42"/>
  <c r="I6123" i="42"/>
  <c r="I6124" i="42"/>
  <c r="I6125" i="42"/>
  <c r="I6126" i="42"/>
  <c r="I6127" i="42"/>
  <c r="I6128" i="42"/>
  <c r="I6129" i="42"/>
  <c r="I6130" i="42"/>
  <c r="I6131" i="42"/>
  <c r="I6132" i="42"/>
  <c r="I6133" i="42"/>
  <c r="I6134" i="42"/>
  <c r="I6135" i="42"/>
  <c r="I6136" i="42"/>
  <c r="I6137" i="42"/>
  <c r="I6138" i="42"/>
  <c r="I6139" i="42"/>
  <c r="I6140" i="42"/>
  <c r="I6141" i="42"/>
  <c r="I6142" i="42"/>
  <c r="I6143" i="42"/>
  <c r="I6144" i="42"/>
  <c r="I6145" i="42"/>
  <c r="I6146" i="42"/>
  <c r="I6147" i="42"/>
  <c r="I6148" i="42"/>
  <c r="I6149" i="42"/>
  <c r="I6150" i="42"/>
  <c r="I6151" i="42"/>
  <c r="I6152" i="42"/>
  <c r="I6153" i="42"/>
  <c r="I6154" i="42"/>
  <c r="I6155" i="42"/>
  <c r="I6156" i="42"/>
  <c r="I6157" i="42"/>
  <c r="I6158" i="42"/>
  <c r="I6159" i="42"/>
  <c r="I6160" i="42"/>
  <c r="I6161" i="42"/>
  <c r="I6162" i="42"/>
  <c r="I6163" i="42"/>
  <c r="I6164" i="42"/>
  <c r="I6165" i="42"/>
  <c r="I6166" i="42"/>
  <c r="I6167" i="42"/>
  <c r="I6168" i="42"/>
  <c r="I6169" i="42"/>
  <c r="I6170" i="42"/>
  <c r="I6171" i="42"/>
  <c r="I6172" i="42"/>
  <c r="I6173" i="42"/>
  <c r="I6174" i="42"/>
  <c r="I6175" i="42"/>
  <c r="I6176" i="42"/>
  <c r="I6177" i="42"/>
  <c r="I6178" i="42"/>
  <c r="I6179" i="42"/>
  <c r="I6180" i="42"/>
  <c r="I6181" i="42"/>
  <c r="I6182" i="42"/>
  <c r="I6183" i="42"/>
  <c r="I6184" i="42"/>
  <c r="I6185" i="42"/>
  <c r="I6186" i="42"/>
  <c r="I6187" i="42"/>
  <c r="I6188" i="42"/>
  <c r="I6189" i="42"/>
  <c r="I6190" i="42"/>
  <c r="I6191" i="42"/>
  <c r="I6192" i="42"/>
  <c r="I6193" i="42"/>
  <c r="I6194" i="42"/>
  <c r="I6195" i="42"/>
  <c r="I6196" i="42"/>
  <c r="I6197" i="42"/>
  <c r="I6198" i="42"/>
  <c r="I6199" i="42"/>
  <c r="I6200" i="42"/>
  <c r="I6201" i="42"/>
  <c r="I6202" i="42"/>
  <c r="I6203" i="42"/>
  <c r="I6204" i="42"/>
  <c r="I6205" i="42"/>
  <c r="I6206" i="42"/>
  <c r="I6207" i="42"/>
  <c r="I6208" i="42"/>
  <c r="I6209" i="42"/>
  <c r="I6210" i="42"/>
  <c r="I6211" i="42"/>
  <c r="I6212" i="42"/>
  <c r="I6213" i="42"/>
  <c r="I6214" i="42"/>
  <c r="I6215" i="42"/>
  <c r="I6216" i="42"/>
  <c r="I6217" i="42"/>
  <c r="I6218" i="42"/>
  <c r="I6219" i="42"/>
  <c r="I6220" i="42"/>
  <c r="I6221" i="42"/>
  <c r="I6222" i="42"/>
  <c r="I6223" i="42"/>
  <c r="I6224" i="42"/>
  <c r="I6225" i="42"/>
  <c r="I6226" i="42"/>
  <c r="I6227" i="42"/>
  <c r="I6228" i="42"/>
  <c r="I6229" i="42"/>
  <c r="I6230" i="42"/>
  <c r="I6231" i="42"/>
  <c r="I6232" i="42"/>
  <c r="I6233" i="42"/>
  <c r="I6234" i="42"/>
  <c r="I6235" i="42"/>
  <c r="I6236" i="42"/>
  <c r="I6237" i="42"/>
  <c r="I6238" i="42"/>
  <c r="I6239" i="42"/>
  <c r="I6240" i="42"/>
  <c r="I6241" i="42"/>
  <c r="I6242" i="42"/>
  <c r="I6243" i="42"/>
  <c r="I6244" i="42"/>
  <c r="I6245" i="42"/>
  <c r="I6246" i="42"/>
  <c r="I6247" i="42"/>
  <c r="I6248" i="42"/>
  <c r="I6249" i="42"/>
  <c r="I6250" i="42"/>
  <c r="I6251" i="42"/>
  <c r="I6252" i="42"/>
  <c r="I6253" i="42"/>
  <c r="I6254" i="42"/>
  <c r="I6255" i="42"/>
  <c r="I6256" i="42"/>
  <c r="I6257" i="42"/>
  <c r="I6258" i="42"/>
  <c r="I6259" i="42"/>
  <c r="I6260" i="42"/>
  <c r="I6261" i="42"/>
  <c r="I6262" i="42"/>
  <c r="I6263" i="42"/>
  <c r="I6264" i="42"/>
  <c r="I6265" i="42"/>
  <c r="I6266" i="42"/>
  <c r="I6267" i="42"/>
  <c r="I6268" i="42"/>
  <c r="I6269" i="42"/>
  <c r="I6270" i="42"/>
  <c r="I6271" i="42"/>
  <c r="I6272" i="42"/>
  <c r="I6273" i="42"/>
  <c r="I6274" i="42"/>
  <c r="I6275" i="42"/>
  <c r="I6276" i="42"/>
  <c r="I6277" i="42"/>
  <c r="I6278" i="42"/>
  <c r="I6279" i="42"/>
  <c r="I6280" i="42"/>
  <c r="I6281" i="42"/>
  <c r="I6282" i="42"/>
  <c r="I6283" i="42"/>
  <c r="I6284" i="42"/>
  <c r="I6285" i="42"/>
  <c r="I6286" i="42"/>
  <c r="I6287" i="42"/>
  <c r="I6288" i="42"/>
  <c r="I6289" i="42"/>
  <c r="I6290" i="42"/>
  <c r="I6291" i="42"/>
  <c r="I6292" i="42"/>
  <c r="I6293" i="42"/>
  <c r="I6294" i="42"/>
  <c r="I6295" i="42"/>
  <c r="I6296" i="42"/>
  <c r="I6297" i="42"/>
  <c r="I6298" i="42"/>
  <c r="I6299" i="42"/>
  <c r="I6300" i="42"/>
  <c r="I6301" i="42"/>
  <c r="I6302" i="42"/>
  <c r="I6303" i="42"/>
  <c r="I6304" i="42"/>
  <c r="I6305" i="42"/>
  <c r="I6306" i="42"/>
  <c r="I6307" i="42"/>
  <c r="I6308" i="42"/>
  <c r="I6309" i="42"/>
  <c r="I6310" i="42"/>
  <c r="I6311" i="42"/>
  <c r="I6312" i="42"/>
  <c r="I6313" i="42"/>
  <c r="I6314" i="42"/>
  <c r="I6315" i="42"/>
  <c r="I6316" i="42"/>
  <c r="I6317" i="42"/>
  <c r="I6318" i="42"/>
  <c r="I6319" i="42"/>
  <c r="I6320" i="42"/>
  <c r="I6321" i="42"/>
  <c r="I6322" i="42"/>
  <c r="I6323" i="42"/>
  <c r="I6324" i="42"/>
  <c r="I6325" i="42"/>
  <c r="I6326" i="42"/>
  <c r="I6327" i="42"/>
  <c r="I6328" i="42"/>
  <c r="I6329" i="42"/>
  <c r="I6330" i="42"/>
  <c r="I6331" i="42"/>
  <c r="I6332" i="42"/>
  <c r="I6333" i="42"/>
  <c r="I6334" i="42"/>
  <c r="I6335" i="42"/>
  <c r="I6336" i="42"/>
  <c r="I6337" i="42"/>
  <c r="I6338" i="42"/>
  <c r="I6339" i="42"/>
  <c r="I6340" i="42"/>
  <c r="I6341" i="42"/>
  <c r="I6342" i="42"/>
  <c r="I6343" i="42"/>
  <c r="I6344" i="42"/>
  <c r="I6345" i="42"/>
  <c r="I6346" i="42"/>
  <c r="I6347" i="42"/>
  <c r="I6348" i="42"/>
  <c r="I6349" i="42"/>
  <c r="I6350" i="42"/>
  <c r="I6351" i="42"/>
  <c r="I6352" i="42"/>
  <c r="I6353" i="42"/>
  <c r="I6354" i="42"/>
  <c r="I6355" i="42"/>
  <c r="I6356" i="42"/>
  <c r="I6357" i="42"/>
  <c r="I6358" i="42"/>
  <c r="I6359" i="42"/>
  <c r="I6360" i="42"/>
  <c r="I6361" i="42"/>
  <c r="I6362" i="42"/>
  <c r="I6363" i="42"/>
  <c r="I6364" i="42"/>
  <c r="I6365" i="42"/>
  <c r="I6366" i="42"/>
  <c r="I6367" i="42"/>
  <c r="I6368" i="42"/>
  <c r="I6369" i="42"/>
  <c r="I6370" i="42"/>
  <c r="I6371" i="42"/>
  <c r="I6372" i="42"/>
  <c r="I6373" i="42"/>
  <c r="I6374" i="42"/>
  <c r="I6375" i="42"/>
  <c r="I6376" i="42"/>
  <c r="I6377" i="42"/>
  <c r="I6378" i="42"/>
  <c r="I6379" i="42"/>
  <c r="I6380" i="42"/>
  <c r="I6381" i="42"/>
  <c r="I6382" i="42"/>
  <c r="I6383" i="42"/>
  <c r="I6384" i="42"/>
  <c r="I6385" i="42"/>
  <c r="I6386" i="42"/>
  <c r="I6387" i="42"/>
  <c r="I6388" i="42"/>
  <c r="I6389" i="42"/>
  <c r="I6390" i="42"/>
  <c r="I6391" i="42"/>
  <c r="I6392" i="42"/>
  <c r="I6393" i="42"/>
  <c r="I6394" i="42"/>
  <c r="I6395" i="42"/>
  <c r="I6396" i="42"/>
  <c r="I6397" i="42"/>
  <c r="I6398" i="42"/>
  <c r="I6399" i="42"/>
  <c r="I6400" i="42"/>
  <c r="I6401" i="42"/>
  <c r="I6402" i="42"/>
  <c r="I6403" i="42"/>
  <c r="I6404" i="42"/>
  <c r="I6405" i="42"/>
  <c r="I6406" i="42"/>
  <c r="I6407" i="42"/>
  <c r="I6408" i="42"/>
  <c r="I6409" i="42"/>
  <c r="I6410" i="42"/>
  <c r="I6411" i="42"/>
  <c r="I6412" i="42"/>
  <c r="I6413" i="42"/>
  <c r="I6414" i="42"/>
  <c r="I6415" i="42"/>
  <c r="I6416" i="42"/>
  <c r="I6417" i="42"/>
  <c r="I6418" i="42"/>
  <c r="I6419" i="42"/>
  <c r="I6420" i="42"/>
  <c r="I6421" i="42"/>
  <c r="I6422" i="42"/>
  <c r="I6423" i="42"/>
  <c r="I6424" i="42"/>
  <c r="I6425" i="42"/>
  <c r="I6426" i="42"/>
  <c r="I6427" i="42"/>
  <c r="I6428" i="42"/>
  <c r="I6429" i="42"/>
  <c r="I6430" i="42"/>
  <c r="I6431" i="42"/>
  <c r="I6432" i="42"/>
  <c r="I6433" i="42"/>
  <c r="I6434" i="42"/>
  <c r="I6435" i="42"/>
  <c r="I6436" i="42"/>
  <c r="I6437" i="42"/>
  <c r="I6438" i="42"/>
  <c r="I6439" i="42"/>
  <c r="I6440" i="42"/>
  <c r="I6441" i="42"/>
  <c r="I6442" i="42"/>
  <c r="I6443" i="42"/>
  <c r="I6444" i="42"/>
  <c r="I6445" i="42"/>
  <c r="I6446" i="42"/>
  <c r="I6447" i="42"/>
  <c r="I6448" i="42"/>
  <c r="I6449" i="42"/>
  <c r="I6450" i="42"/>
  <c r="I6451" i="42"/>
  <c r="I6452" i="42"/>
  <c r="I6453" i="42"/>
  <c r="I6454" i="42"/>
  <c r="I6455" i="42"/>
  <c r="I6456" i="42"/>
  <c r="I6457" i="42"/>
  <c r="I6458" i="42"/>
  <c r="I6459" i="42"/>
  <c r="I6460" i="42"/>
  <c r="I6461" i="42"/>
  <c r="I6462" i="42"/>
  <c r="I6463" i="42"/>
  <c r="I6464" i="42"/>
  <c r="I6465" i="42"/>
  <c r="I6466" i="42"/>
  <c r="I6467" i="42"/>
  <c r="I6468" i="42"/>
  <c r="I6469" i="42"/>
  <c r="I6470" i="42"/>
  <c r="I6471" i="42"/>
  <c r="I6472" i="42"/>
  <c r="I6473" i="42"/>
  <c r="I6474" i="42"/>
  <c r="I6475" i="42"/>
  <c r="I6476" i="42"/>
  <c r="I6477" i="42"/>
  <c r="I6478" i="42"/>
  <c r="I6479" i="42"/>
  <c r="I6480" i="42"/>
  <c r="I6481" i="42"/>
  <c r="I6482" i="42"/>
  <c r="I6483" i="42"/>
  <c r="I6484" i="42"/>
  <c r="I6485" i="42"/>
  <c r="I6486" i="42"/>
  <c r="I6487" i="42"/>
  <c r="I6488" i="42"/>
  <c r="I6489" i="42"/>
  <c r="I6490" i="42"/>
  <c r="I6491" i="42"/>
  <c r="I6492" i="42"/>
  <c r="I6493" i="42"/>
  <c r="I6494" i="42"/>
  <c r="I6495" i="42"/>
  <c r="I6496" i="42"/>
  <c r="I6497" i="42"/>
  <c r="I6498" i="42"/>
  <c r="I6499" i="42"/>
  <c r="I6500" i="42"/>
  <c r="I6501" i="42"/>
  <c r="I6502" i="42"/>
  <c r="I6503" i="42"/>
  <c r="I6504" i="42"/>
  <c r="I6505" i="42"/>
  <c r="I6506" i="42"/>
  <c r="I6507" i="42"/>
  <c r="I6508" i="42"/>
  <c r="I6509" i="42"/>
  <c r="I6510" i="42"/>
  <c r="I6511" i="42"/>
  <c r="I6512" i="42"/>
  <c r="I6513" i="42"/>
  <c r="I6514" i="42"/>
  <c r="I6515" i="42"/>
  <c r="I6516" i="42"/>
  <c r="I6517" i="42"/>
  <c r="I6518" i="42"/>
  <c r="I6519" i="42"/>
  <c r="I6520" i="42"/>
  <c r="I6521" i="42"/>
  <c r="I6522" i="42"/>
  <c r="I6523" i="42"/>
  <c r="I6524" i="42"/>
  <c r="I6525" i="42"/>
  <c r="I6526" i="42"/>
  <c r="I6527" i="42"/>
  <c r="I6528" i="42"/>
  <c r="I6529" i="42"/>
  <c r="I6530" i="42"/>
  <c r="I6531" i="42"/>
  <c r="I6532" i="42"/>
  <c r="I6533" i="42"/>
  <c r="I6534" i="42"/>
  <c r="I6535" i="42"/>
  <c r="I6536" i="42"/>
  <c r="I6537" i="42"/>
  <c r="I6538" i="42"/>
  <c r="I6539" i="42"/>
  <c r="I6540" i="42"/>
  <c r="I6541" i="42"/>
  <c r="I6542" i="42"/>
  <c r="I6543" i="42"/>
  <c r="I6544" i="42"/>
  <c r="I6545" i="42"/>
  <c r="I6546" i="42"/>
  <c r="I6547" i="42"/>
  <c r="I6548" i="42"/>
  <c r="I6549" i="42"/>
  <c r="I6550" i="42"/>
  <c r="I6551" i="42"/>
  <c r="I6552" i="42"/>
  <c r="I6553" i="42"/>
  <c r="I6554" i="42"/>
  <c r="I6555" i="42"/>
  <c r="I6556" i="42"/>
  <c r="I6557" i="42"/>
  <c r="I6558" i="42"/>
  <c r="I6559" i="42"/>
  <c r="I6560" i="42"/>
  <c r="I6561" i="42"/>
  <c r="I6562" i="42"/>
  <c r="I6563" i="42"/>
  <c r="I6564" i="42"/>
  <c r="I6565" i="42"/>
  <c r="I6566" i="42"/>
  <c r="I6567" i="42"/>
  <c r="I6568" i="42"/>
  <c r="I6569" i="42"/>
  <c r="I6570" i="42"/>
  <c r="I6571" i="42"/>
  <c r="I6572" i="42"/>
  <c r="I6573" i="42"/>
  <c r="I6574" i="42"/>
  <c r="I6575" i="42"/>
  <c r="I6576" i="42"/>
  <c r="I6577" i="42"/>
  <c r="I6578" i="42"/>
  <c r="I6579" i="42"/>
  <c r="I6580" i="42"/>
  <c r="I6581" i="42"/>
  <c r="I6582" i="42"/>
  <c r="I6583" i="42"/>
  <c r="I6584" i="42"/>
  <c r="I6585" i="42"/>
  <c r="I6586" i="42"/>
  <c r="I6587" i="42"/>
  <c r="I6588" i="42"/>
  <c r="I6589" i="42"/>
  <c r="I6590" i="42"/>
  <c r="I6591" i="42"/>
  <c r="I6592" i="42"/>
  <c r="I6593" i="42"/>
  <c r="I6594" i="42"/>
  <c r="I6595" i="42"/>
  <c r="I6596" i="42"/>
  <c r="I6597" i="42"/>
  <c r="I6598" i="42"/>
  <c r="I6599" i="42"/>
  <c r="I6600" i="42"/>
  <c r="I6601" i="42"/>
  <c r="I6602" i="42"/>
  <c r="I6603" i="42"/>
  <c r="I6604" i="42"/>
  <c r="I6605" i="42"/>
  <c r="I6606" i="42"/>
  <c r="I6607" i="42"/>
  <c r="I6608" i="42"/>
  <c r="I6609" i="42"/>
  <c r="I6610" i="42"/>
  <c r="I6611" i="42"/>
  <c r="I6612" i="42"/>
  <c r="I6613" i="42"/>
  <c r="I6614" i="42"/>
  <c r="I6615" i="42"/>
  <c r="I6616" i="42"/>
  <c r="I6617" i="42"/>
  <c r="I6618" i="42"/>
  <c r="I6619" i="42"/>
  <c r="I6620" i="42"/>
  <c r="I6621" i="42"/>
  <c r="I6622" i="42"/>
  <c r="I6623" i="42"/>
  <c r="I6624" i="42"/>
  <c r="I6625" i="42"/>
  <c r="I6626" i="42"/>
  <c r="I6627" i="42"/>
  <c r="I6628" i="42"/>
  <c r="I6629" i="42"/>
  <c r="I6630" i="42"/>
  <c r="I6631" i="42"/>
  <c r="I6632" i="42"/>
  <c r="I6633" i="42"/>
  <c r="I6634" i="42"/>
  <c r="I6635" i="42"/>
  <c r="I6636" i="42"/>
  <c r="I6637" i="42"/>
  <c r="I6638" i="42"/>
  <c r="I6639" i="42"/>
  <c r="I6640" i="42"/>
  <c r="I6641" i="42"/>
  <c r="I6642" i="42"/>
  <c r="I6643" i="42"/>
  <c r="I6644" i="42"/>
  <c r="I6645" i="42"/>
  <c r="I6646" i="42"/>
  <c r="I6647" i="42"/>
  <c r="I6648" i="42"/>
  <c r="I6649" i="42"/>
  <c r="I6650" i="42"/>
  <c r="I6651" i="42"/>
  <c r="I6652" i="42"/>
  <c r="I6653" i="42"/>
  <c r="I6654" i="42"/>
  <c r="I6655" i="42"/>
  <c r="I6656" i="42"/>
  <c r="I6657" i="42"/>
  <c r="I6658" i="42"/>
  <c r="I6659" i="42"/>
  <c r="I6660" i="42"/>
  <c r="I6661" i="42"/>
  <c r="I6662" i="42"/>
  <c r="I6663" i="42"/>
  <c r="I6664" i="42"/>
  <c r="I6665" i="42"/>
  <c r="I6666" i="42"/>
  <c r="I6667" i="42"/>
  <c r="I6668" i="42"/>
  <c r="I6669" i="42"/>
  <c r="I6670" i="42"/>
  <c r="I6671" i="42"/>
  <c r="I6672" i="42"/>
  <c r="I6673" i="42"/>
  <c r="I6674" i="42"/>
  <c r="I6675" i="42"/>
  <c r="I6676" i="42"/>
  <c r="I6677" i="42"/>
  <c r="I6678" i="42"/>
  <c r="I6679" i="42"/>
  <c r="I6680" i="42"/>
  <c r="I6681" i="42"/>
  <c r="I6682" i="42"/>
  <c r="I6683" i="42"/>
  <c r="I6684" i="42"/>
  <c r="I6685" i="42"/>
  <c r="I6686" i="42"/>
  <c r="I6687" i="42"/>
  <c r="I6688" i="42"/>
  <c r="I6689" i="42"/>
  <c r="I6690" i="42"/>
  <c r="I6691" i="42"/>
  <c r="I6692" i="42"/>
  <c r="I6693" i="42"/>
  <c r="I6694" i="42"/>
  <c r="I6695" i="42"/>
  <c r="I6696" i="42"/>
  <c r="I6697" i="42"/>
  <c r="I6698" i="42"/>
  <c r="I6699" i="42"/>
  <c r="I6700" i="42"/>
  <c r="I6701" i="42"/>
  <c r="I6702" i="42"/>
  <c r="I6703" i="42"/>
  <c r="I6704" i="42"/>
  <c r="I6705" i="42"/>
  <c r="I6706" i="42"/>
  <c r="I6707" i="42"/>
  <c r="I6708" i="42"/>
  <c r="I6709" i="42"/>
  <c r="I6710" i="42"/>
  <c r="I6711" i="42"/>
  <c r="I6712" i="42"/>
  <c r="I6713" i="42"/>
  <c r="I6714" i="42"/>
  <c r="I6715" i="42"/>
  <c r="I6716" i="42"/>
  <c r="I6717" i="42"/>
  <c r="I6718" i="42"/>
  <c r="I6719" i="42"/>
  <c r="I6720" i="42"/>
  <c r="I6721" i="42"/>
  <c r="I6722" i="42"/>
  <c r="I6723" i="42"/>
  <c r="I6724" i="42"/>
  <c r="I6725" i="42"/>
  <c r="I6726" i="42"/>
  <c r="I6727" i="42"/>
  <c r="I6728" i="42"/>
  <c r="I6729" i="42"/>
  <c r="I6730" i="42"/>
  <c r="I6731" i="42"/>
  <c r="I6732" i="42"/>
  <c r="I6733" i="42"/>
  <c r="I6734" i="42"/>
  <c r="I6735" i="42"/>
  <c r="I6736" i="42"/>
  <c r="I6737" i="42"/>
  <c r="I6738" i="42"/>
  <c r="I6739" i="42"/>
  <c r="I6740" i="42"/>
  <c r="I6741" i="42"/>
  <c r="I6742" i="42"/>
  <c r="I6743" i="42"/>
  <c r="I6744" i="42"/>
  <c r="I6745" i="42"/>
  <c r="I6746" i="42"/>
  <c r="I6747" i="42"/>
  <c r="I6748" i="42"/>
  <c r="I6749" i="42"/>
  <c r="I6750" i="42"/>
  <c r="I6751" i="42"/>
  <c r="I6752" i="42"/>
  <c r="I6753" i="42"/>
  <c r="I6754" i="42"/>
  <c r="I6755" i="42"/>
  <c r="I6756" i="42"/>
  <c r="I6757" i="42"/>
  <c r="I6758" i="42"/>
  <c r="I6759" i="42"/>
  <c r="I6760" i="42"/>
  <c r="I6761" i="42"/>
  <c r="I6762" i="42"/>
  <c r="I6763" i="42"/>
  <c r="I6764" i="42"/>
  <c r="I6765" i="42"/>
  <c r="I6766" i="42"/>
  <c r="I6767" i="42"/>
  <c r="I6768" i="42"/>
  <c r="I6769" i="42"/>
  <c r="I6770" i="42"/>
  <c r="I6771" i="42"/>
  <c r="I6772" i="42"/>
  <c r="I6773" i="42"/>
  <c r="I6774" i="42"/>
  <c r="I6775" i="42"/>
  <c r="I6776" i="42"/>
  <c r="I6777" i="42"/>
  <c r="I6778" i="42"/>
  <c r="I6779" i="42"/>
  <c r="I6780" i="42"/>
  <c r="I6781" i="42"/>
  <c r="I6782" i="42"/>
  <c r="I6783" i="42"/>
  <c r="I6784" i="42"/>
  <c r="I6785" i="42"/>
  <c r="I6786" i="42"/>
  <c r="I6787" i="42"/>
  <c r="I6788" i="42"/>
  <c r="I6789" i="42"/>
  <c r="I6790" i="42"/>
  <c r="I6791" i="42"/>
  <c r="I6792" i="42"/>
  <c r="I6793" i="42"/>
  <c r="I6794" i="42"/>
  <c r="I6795" i="42"/>
  <c r="I6796" i="42"/>
  <c r="I6797" i="42"/>
  <c r="I6798" i="42"/>
  <c r="I6799" i="42"/>
  <c r="I6800" i="42"/>
  <c r="I6801" i="42"/>
  <c r="I6802" i="42"/>
  <c r="I6803" i="42"/>
  <c r="I6804" i="42"/>
  <c r="I6805" i="42"/>
  <c r="I6806" i="42"/>
  <c r="I6807" i="42"/>
  <c r="I6808" i="42"/>
  <c r="I6809" i="42"/>
  <c r="I6810" i="42"/>
  <c r="I6811" i="42"/>
  <c r="I6812" i="42"/>
  <c r="I6813" i="42"/>
  <c r="I6814" i="42"/>
  <c r="I6815" i="42"/>
  <c r="I6816" i="42"/>
  <c r="I6817" i="42"/>
  <c r="I6818" i="42"/>
  <c r="I6819" i="42"/>
  <c r="I6820" i="42"/>
  <c r="I6821" i="42"/>
  <c r="I6822" i="42"/>
  <c r="I6823" i="42"/>
  <c r="I6824" i="42"/>
  <c r="I6825" i="42"/>
  <c r="I6826" i="42"/>
  <c r="I6827" i="42"/>
  <c r="I6828" i="42"/>
  <c r="I6829" i="42"/>
  <c r="I6830" i="42"/>
  <c r="I6831" i="42"/>
  <c r="I6832" i="42"/>
  <c r="I6833" i="42"/>
  <c r="I6834" i="42"/>
  <c r="I6835" i="42"/>
  <c r="I6836" i="42"/>
  <c r="I6837" i="42"/>
  <c r="I6838" i="42"/>
  <c r="I6839" i="42"/>
  <c r="I6840" i="42"/>
  <c r="I6841" i="42"/>
  <c r="I6842" i="42"/>
  <c r="I6843" i="42"/>
  <c r="I6844" i="42"/>
  <c r="I6845" i="42"/>
  <c r="I6846" i="42"/>
  <c r="I6847" i="42"/>
  <c r="I6848" i="42"/>
  <c r="I6849" i="42"/>
  <c r="I6850" i="42"/>
  <c r="I6851" i="42"/>
  <c r="I6852" i="42"/>
  <c r="I6853" i="42"/>
  <c r="I6854" i="42"/>
  <c r="I6855" i="42"/>
  <c r="I6856" i="42"/>
  <c r="I6857" i="42"/>
  <c r="I6858" i="42"/>
  <c r="I6859" i="42"/>
  <c r="I6860" i="42"/>
  <c r="I6861" i="42"/>
  <c r="I6862" i="42"/>
  <c r="I6863" i="42"/>
  <c r="I6864" i="42"/>
  <c r="I6865" i="42"/>
  <c r="I6866" i="42"/>
  <c r="I6867" i="42"/>
  <c r="I6868" i="42"/>
  <c r="I6869" i="42"/>
  <c r="I6870" i="42"/>
  <c r="I6871" i="42"/>
  <c r="I6872" i="42"/>
  <c r="I6873" i="42"/>
  <c r="I6874" i="42"/>
  <c r="I6875" i="42"/>
  <c r="I6876" i="42"/>
  <c r="I6877" i="42"/>
  <c r="I6878" i="42"/>
  <c r="I6879" i="42"/>
  <c r="I6880" i="42"/>
  <c r="I6881" i="42"/>
  <c r="I6882" i="42"/>
  <c r="I6883" i="42"/>
  <c r="I6884" i="42"/>
  <c r="I6885" i="42"/>
  <c r="I6886" i="42"/>
  <c r="I6887" i="42"/>
  <c r="I6888" i="42"/>
  <c r="I6889" i="42"/>
  <c r="I6890" i="42"/>
  <c r="I6891" i="42"/>
  <c r="I6892" i="42"/>
  <c r="I6893" i="42"/>
  <c r="I6894" i="42"/>
  <c r="I6895" i="42"/>
  <c r="I6896" i="42"/>
  <c r="I6897" i="42"/>
  <c r="I6898" i="42"/>
  <c r="I6899" i="42"/>
  <c r="I6900" i="42"/>
  <c r="I6901" i="42"/>
  <c r="I6902" i="42"/>
  <c r="I6903" i="42"/>
  <c r="I6904" i="42"/>
  <c r="I6905" i="42"/>
  <c r="I6906" i="42"/>
  <c r="I6907" i="42"/>
  <c r="I6908" i="42"/>
  <c r="I6909" i="42"/>
  <c r="I6910" i="42"/>
  <c r="I6911" i="42"/>
  <c r="I6912" i="42"/>
  <c r="I6913" i="42"/>
  <c r="I6914" i="42"/>
  <c r="I6915" i="42"/>
  <c r="I6916" i="42"/>
  <c r="I6917" i="42"/>
  <c r="I6918" i="42"/>
  <c r="I6919" i="42"/>
  <c r="I6920" i="42"/>
  <c r="I6921" i="42"/>
  <c r="I6922" i="42"/>
  <c r="I6923" i="42"/>
  <c r="I6924" i="42"/>
  <c r="I6925" i="42"/>
  <c r="I6926" i="42"/>
  <c r="I6927" i="42"/>
  <c r="I6928" i="42"/>
  <c r="I6929" i="42"/>
  <c r="I6930" i="42"/>
  <c r="I6931" i="42"/>
  <c r="I6932" i="42"/>
  <c r="I6933" i="42"/>
  <c r="I6934" i="42"/>
  <c r="I6935" i="42"/>
  <c r="I6936" i="42"/>
  <c r="I6937" i="42"/>
  <c r="I6938" i="42"/>
  <c r="I6939" i="42"/>
  <c r="I6940" i="42"/>
  <c r="I6941" i="42"/>
  <c r="I6942" i="42"/>
  <c r="I6943" i="42"/>
  <c r="I6944" i="42"/>
  <c r="I6945" i="42"/>
  <c r="I6946" i="42"/>
  <c r="I6947" i="42"/>
  <c r="I6948" i="42"/>
  <c r="I6949" i="42"/>
  <c r="I6950" i="42"/>
  <c r="I6951" i="42"/>
  <c r="I6952" i="42"/>
  <c r="I6953" i="42"/>
  <c r="I6954" i="42"/>
  <c r="I6955" i="42"/>
  <c r="I6956" i="42"/>
  <c r="I6957" i="42"/>
  <c r="I6958" i="42"/>
  <c r="I6959" i="42"/>
  <c r="I6960" i="42"/>
  <c r="I6961" i="42"/>
  <c r="I6962" i="42"/>
  <c r="I6963" i="42"/>
  <c r="I6964" i="42"/>
  <c r="I6965" i="42"/>
  <c r="I6966" i="42"/>
  <c r="I6967" i="42"/>
  <c r="I6968" i="42"/>
  <c r="I6969" i="42"/>
  <c r="I6970" i="42"/>
  <c r="I6971" i="42"/>
  <c r="I6972" i="42"/>
  <c r="I6973" i="42"/>
  <c r="I6974" i="42"/>
  <c r="I6975" i="42"/>
  <c r="I6976" i="42"/>
  <c r="I6977" i="42"/>
  <c r="I6978" i="42"/>
  <c r="I6979" i="42"/>
  <c r="I6980" i="42"/>
  <c r="I6981" i="42"/>
  <c r="I6982" i="42"/>
  <c r="I6983" i="42"/>
  <c r="I6984" i="42"/>
  <c r="I6985" i="42"/>
  <c r="I6986" i="42"/>
  <c r="I6987" i="42"/>
  <c r="I6988" i="42"/>
  <c r="I6989" i="42"/>
  <c r="I6990" i="42"/>
  <c r="I6991" i="42"/>
  <c r="I6992" i="42"/>
  <c r="I6993" i="42"/>
  <c r="I6994" i="42"/>
  <c r="I6995" i="42"/>
  <c r="I6996" i="42"/>
  <c r="I6997" i="42"/>
  <c r="I6998" i="42"/>
  <c r="I6999" i="42"/>
  <c r="I7000" i="42"/>
  <c r="I7001" i="42"/>
  <c r="I7002" i="42"/>
  <c r="I7003" i="42"/>
  <c r="I7004" i="42"/>
  <c r="I7005" i="42"/>
  <c r="I7006" i="42"/>
  <c r="I7007" i="42"/>
  <c r="I7008" i="42"/>
  <c r="I7009" i="42"/>
  <c r="I7010" i="42"/>
  <c r="I7011" i="42"/>
  <c r="I7012" i="42"/>
  <c r="I7013" i="42"/>
  <c r="I7014" i="42"/>
  <c r="I7015" i="42"/>
  <c r="I7016" i="42"/>
  <c r="I7017" i="42"/>
  <c r="I7018" i="42"/>
  <c r="I7019" i="42"/>
  <c r="I7020" i="42"/>
  <c r="I7021" i="42"/>
  <c r="I7022" i="42"/>
  <c r="I7023" i="42"/>
  <c r="I7024" i="42"/>
  <c r="I7025" i="42"/>
  <c r="I7026" i="42"/>
  <c r="I7027" i="42"/>
  <c r="I7028" i="42"/>
  <c r="I7029" i="42"/>
  <c r="I7030" i="42"/>
  <c r="I7031" i="42"/>
  <c r="I7032" i="42"/>
  <c r="I7033" i="42"/>
  <c r="I7034" i="42"/>
  <c r="I7035" i="42"/>
  <c r="I7036" i="42"/>
  <c r="I7037" i="42"/>
  <c r="I7038" i="42"/>
  <c r="I7039" i="42"/>
  <c r="I7040" i="42"/>
  <c r="I7041" i="42"/>
  <c r="I7042" i="42"/>
  <c r="I7043" i="42"/>
  <c r="I7044" i="42"/>
  <c r="I7045" i="42"/>
  <c r="I7046" i="42"/>
  <c r="I7047" i="42"/>
  <c r="I7048" i="42"/>
  <c r="I7049" i="42"/>
  <c r="I7050" i="42"/>
  <c r="I7051" i="42"/>
  <c r="I7052" i="42"/>
  <c r="I7053" i="42"/>
  <c r="I7054" i="42"/>
  <c r="I7055" i="42"/>
  <c r="I7056" i="42"/>
  <c r="I7057" i="42"/>
  <c r="I7058" i="42"/>
  <c r="I7059" i="42"/>
  <c r="I7060" i="42"/>
  <c r="I7061" i="42"/>
  <c r="I7062" i="42"/>
  <c r="I7063" i="42"/>
  <c r="I7064" i="42"/>
  <c r="I7065" i="42"/>
  <c r="I7066" i="42"/>
  <c r="I7067" i="42"/>
  <c r="I7068" i="42"/>
  <c r="I7069" i="42"/>
  <c r="I7070" i="42"/>
  <c r="I7071" i="42"/>
  <c r="I7072" i="42"/>
  <c r="I7073" i="42"/>
  <c r="I7074" i="42"/>
  <c r="I7075" i="42"/>
  <c r="I7076" i="42"/>
  <c r="I7077" i="42"/>
  <c r="I7078" i="42"/>
  <c r="I7079" i="42"/>
  <c r="I7080" i="42"/>
  <c r="I7081" i="42"/>
  <c r="I7082" i="42"/>
  <c r="I7083" i="42"/>
  <c r="I7084" i="42"/>
  <c r="I7085" i="42"/>
  <c r="I7086" i="42"/>
  <c r="I7087" i="42"/>
  <c r="I7088" i="42"/>
  <c r="I7089" i="42"/>
  <c r="I7090" i="42"/>
  <c r="I7091" i="42"/>
  <c r="I7092" i="42"/>
  <c r="I7093" i="42"/>
  <c r="I7094" i="42"/>
  <c r="I7095" i="42"/>
  <c r="I7096" i="42"/>
  <c r="I7097" i="42"/>
  <c r="I7098" i="42"/>
  <c r="I7099" i="42"/>
  <c r="I7100" i="42"/>
  <c r="I7101" i="42"/>
  <c r="I7102" i="42"/>
  <c r="I7103" i="42"/>
  <c r="I7104" i="42"/>
  <c r="I7105" i="42"/>
  <c r="I7106" i="42"/>
  <c r="I7107" i="42"/>
  <c r="I7108" i="42"/>
  <c r="I7109" i="42"/>
  <c r="I7110" i="42"/>
  <c r="I7111" i="42"/>
  <c r="I7112" i="42"/>
  <c r="I7113" i="42"/>
  <c r="I7114" i="42"/>
  <c r="I7115" i="42"/>
  <c r="I7116" i="42"/>
  <c r="I7117" i="42"/>
  <c r="I7118" i="42"/>
  <c r="I7119" i="42"/>
  <c r="I7120" i="42"/>
  <c r="I7121" i="42"/>
  <c r="I7122" i="42"/>
  <c r="I7123" i="42"/>
  <c r="I7124" i="42"/>
  <c r="I7125" i="42"/>
  <c r="I7126" i="42"/>
  <c r="I7127" i="42"/>
  <c r="I7128" i="42"/>
  <c r="I7129" i="42"/>
  <c r="I7130" i="42"/>
  <c r="I7131" i="42"/>
  <c r="I7132" i="42"/>
  <c r="I7133" i="42"/>
  <c r="I7134" i="42"/>
  <c r="I7135" i="42"/>
  <c r="I7136" i="42"/>
  <c r="I7137" i="42"/>
  <c r="I7138" i="42"/>
  <c r="I7139" i="42"/>
  <c r="I7140" i="42"/>
  <c r="I7141" i="42"/>
  <c r="I7142" i="42"/>
  <c r="I7143" i="42"/>
  <c r="I7144" i="42"/>
  <c r="I7145" i="42"/>
  <c r="I7146" i="42"/>
  <c r="I7147" i="42"/>
  <c r="I7148" i="42"/>
  <c r="I7149" i="42"/>
  <c r="I7150" i="42"/>
  <c r="I7151" i="42"/>
  <c r="I7152" i="42"/>
  <c r="I7153" i="42"/>
  <c r="I7154" i="42"/>
  <c r="I7155" i="42"/>
  <c r="I7156" i="42"/>
  <c r="I7157" i="42"/>
  <c r="I7158" i="42"/>
  <c r="I7159" i="42"/>
  <c r="I7160" i="42"/>
  <c r="I7161" i="42"/>
  <c r="I7162" i="42"/>
  <c r="I7163" i="42"/>
  <c r="I7164" i="42"/>
  <c r="I7165" i="42"/>
  <c r="I7166" i="42"/>
  <c r="I7167" i="42"/>
  <c r="I7168" i="42"/>
  <c r="I7169" i="42"/>
  <c r="I7170" i="42"/>
  <c r="I7171" i="42"/>
  <c r="I7172" i="42"/>
  <c r="I7173" i="42"/>
  <c r="I7174" i="42"/>
  <c r="I7175" i="42"/>
  <c r="I7176" i="42"/>
  <c r="I7177" i="42"/>
  <c r="I7178" i="42"/>
  <c r="I7179" i="42"/>
  <c r="I7180" i="42"/>
  <c r="I7181" i="42"/>
  <c r="I7182" i="42"/>
  <c r="I7183" i="42"/>
  <c r="I7184" i="42"/>
  <c r="I7185" i="42"/>
  <c r="I7186" i="42"/>
  <c r="I7187" i="42"/>
  <c r="I7188" i="42"/>
  <c r="I7189" i="42"/>
  <c r="I7190" i="42"/>
  <c r="I7191" i="42"/>
  <c r="I7192" i="42"/>
  <c r="I7193" i="42"/>
  <c r="I7194" i="42"/>
  <c r="I7195" i="42"/>
  <c r="I7196" i="42"/>
  <c r="I7197" i="42"/>
  <c r="I7198" i="42"/>
  <c r="I7199" i="42"/>
  <c r="I7200" i="42"/>
  <c r="I7201" i="42"/>
  <c r="I7202" i="42"/>
  <c r="I7203" i="42"/>
  <c r="I7204" i="42"/>
  <c r="I7205" i="42"/>
  <c r="I7206" i="42"/>
  <c r="I7207" i="42"/>
  <c r="I7208" i="42"/>
  <c r="I7209" i="42"/>
  <c r="I7210" i="42"/>
  <c r="I7211" i="42"/>
  <c r="I7212" i="42"/>
  <c r="I7213" i="42"/>
  <c r="I7214" i="42"/>
  <c r="I7215" i="42"/>
  <c r="I7216" i="42"/>
  <c r="I7217" i="42"/>
  <c r="I7218" i="42"/>
  <c r="I7219" i="42"/>
  <c r="I7220" i="42"/>
  <c r="I7221" i="42"/>
  <c r="I7222" i="42"/>
  <c r="I7223" i="42"/>
  <c r="I7224" i="42"/>
  <c r="I7225" i="42"/>
  <c r="I7226" i="42"/>
  <c r="I7227" i="42"/>
  <c r="I7228" i="42"/>
  <c r="I7229" i="42"/>
  <c r="I7230" i="42"/>
  <c r="I7231" i="42"/>
  <c r="I7232" i="42"/>
  <c r="I7233" i="42"/>
  <c r="I7234" i="42"/>
  <c r="I7235" i="42"/>
  <c r="I7236" i="42"/>
  <c r="I7237" i="42"/>
  <c r="I7238" i="42"/>
  <c r="I7239" i="42"/>
  <c r="I7240" i="42"/>
  <c r="I7241" i="42"/>
  <c r="I7242" i="42"/>
  <c r="I7243" i="42"/>
  <c r="I7244" i="42"/>
  <c r="I7245" i="42"/>
  <c r="I7246" i="42"/>
  <c r="I7247" i="42"/>
  <c r="I7248" i="42"/>
  <c r="I7249" i="42"/>
  <c r="I7250" i="42"/>
  <c r="I7251" i="42"/>
  <c r="I7252" i="42"/>
  <c r="I7253" i="42"/>
  <c r="I7254" i="42"/>
  <c r="I7255" i="42"/>
  <c r="I7256" i="42"/>
  <c r="I7257" i="42"/>
  <c r="I7258" i="42"/>
  <c r="I7259" i="42"/>
  <c r="I7260" i="42"/>
  <c r="I7261" i="42"/>
  <c r="I7262" i="42"/>
  <c r="I7263" i="42"/>
  <c r="I7264" i="42"/>
  <c r="I7265" i="42"/>
  <c r="I7266" i="42"/>
  <c r="I7267" i="42"/>
  <c r="I7268" i="42"/>
  <c r="I7269" i="42"/>
  <c r="I7270" i="42"/>
  <c r="I7271" i="42"/>
  <c r="I7272" i="42"/>
  <c r="I7273" i="42"/>
  <c r="I7274" i="42"/>
  <c r="I7275" i="42"/>
  <c r="I7276" i="42"/>
  <c r="I7277" i="42"/>
  <c r="I7278" i="42"/>
  <c r="I7279" i="42"/>
  <c r="I7280" i="42"/>
  <c r="I7281" i="42"/>
  <c r="I7282" i="42"/>
  <c r="I7283" i="42"/>
  <c r="I7284" i="42"/>
  <c r="I7285" i="42"/>
  <c r="I7286" i="42"/>
  <c r="I7287" i="42"/>
  <c r="I7288" i="42"/>
  <c r="I7289" i="42"/>
  <c r="I7290" i="42"/>
  <c r="I7291" i="42"/>
  <c r="I7292" i="42"/>
  <c r="I7293" i="42"/>
  <c r="I7294" i="42"/>
  <c r="I7295" i="42"/>
  <c r="I7296" i="42"/>
  <c r="I7297" i="42"/>
  <c r="I7298" i="42"/>
  <c r="I7299" i="42"/>
  <c r="I7300" i="42"/>
  <c r="I7301" i="42"/>
  <c r="I7302" i="42"/>
  <c r="I7303" i="42"/>
  <c r="I7304" i="42"/>
  <c r="I7305" i="42"/>
  <c r="I7306" i="42"/>
  <c r="I7307" i="42"/>
  <c r="I7308" i="42"/>
  <c r="I7309" i="42"/>
  <c r="I7310" i="42"/>
  <c r="I7311" i="42"/>
  <c r="I7312" i="42"/>
  <c r="I7313" i="42"/>
  <c r="I7314" i="42"/>
  <c r="I7315" i="42"/>
  <c r="I7316" i="42"/>
  <c r="I7317" i="42"/>
  <c r="I7318" i="42"/>
  <c r="I7319" i="42"/>
  <c r="I7320" i="42"/>
  <c r="I7321" i="42"/>
  <c r="I7322" i="42"/>
  <c r="I7323" i="42"/>
  <c r="I7324" i="42"/>
  <c r="I7325" i="42"/>
  <c r="I7326" i="42"/>
  <c r="I7327" i="42"/>
  <c r="I7328" i="42"/>
  <c r="I7329" i="42"/>
  <c r="I7330" i="42"/>
  <c r="I7331" i="42"/>
  <c r="I7332" i="42"/>
  <c r="I7333" i="42"/>
  <c r="I7334" i="42"/>
  <c r="I7335" i="42"/>
  <c r="I7336" i="42"/>
  <c r="I7337" i="42"/>
  <c r="I7338" i="42"/>
  <c r="I7339" i="42"/>
  <c r="I7340" i="42"/>
  <c r="I7341" i="42"/>
  <c r="I7342" i="42"/>
  <c r="I7343" i="42"/>
  <c r="I7344" i="42"/>
  <c r="I7345" i="42"/>
  <c r="I7346" i="42"/>
  <c r="I7347" i="42"/>
  <c r="I7348" i="42"/>
  <c r="I7349" i="42"/>
  <c r="I7350" i="42"/>
  <c r="I7351" i="42"/>
  <c r="I7352" i="42"/>
  <c r="I7353" i="42"/>
  <c r="I7354" i="42"/>
  <c r="I7355" i="42"/>
  <c r="I7356" i="42"/>
  <c r="I7357" i="42"/>
  <c r="I7358" i="42"/>
  <c r="I7359" i="42"/>
  <c r="I7360" i="42"/>
  <c r="I7361" i="42"/>
  <c r="I7362" i="42"/>
  <c r="I7363" i="42"/>
  <c r="I7364" i="42"/>
  <c r="I7365" i="42"/>
  <c r="I7366" i="42"/>
  <c r="I7367" i="42"/>
  <c r="I7368" i="42"/>
  <c r="I7369" i="42"/>
  <c r="I7370" i="42"/>
  <c r="I7371" i="42"/>
  <c r="I7372" i="42"/>
  <c r="I7373" i="42"/>
  <c r="I7374" i="42"/>
  <c r="I7375" i="42"/>
  <c r="I7376" i="42"/>
  <c r="I7377" i="42"/>
  <c r="I7378" i="42"/>
  <c r="I7379" i="42"/>
  <c r="I7380" i="42"/>
  <c r="I7381" i="42"/>
  <c r="I7382" i="42"/>
  <c r="I7383" i="42"/>
  <c r="I7384" i="42"/>
  <c r="I7385" i="42"/>
  <c r="I7386" i="42"/>
  <c r="I7387" i="42"/>
  <c r="I7388" i="42"/>
  <c r="I7389" i="42"/>
  <c r="I7390" i="42"/>
  <c r="I7391" i="42"/>
  <c r="I7392" i="42"/>
  <c r="I7393" i="42"/>
  <c r="I7394" i="42"/>
  <c r="I7395" i="42"/>
  <c r="I7396" i="42"/>
  <c r="I7397" i="42"/>
  <c r="I7398" i="42"/>
  <c r="I7399" i="42"/>
  <c r="I7400" i="42"/>
  <c r="I7401" i="42"/>
  <c r="I7402" i="42"/>
  <c r="I7403" i="42"/>
  <c r="I7404" i="42"/>
  <c r="I7405" i="42"/>
  <c r="I7406" i="42"/>
  <c r="I7407" i="42"/>
  <c r="I7408" i="42"/>
  <c r="I7409" i="42"/>
  <c r="I7410" i="42"/>
  <c r="I7411" i="42"/>
  <c r="I7412" i="42"/>
  <c r="I7413" i="42"/>
  <c r="I7414" i="42"/>
  <c r="I7415" i="42"/>
  <c r="I7416" i="42"/>
  <c r="I7417" i="42"/>
  <c r="I7418" i="42"/>
  <c r="I7419" i="42"/>
  <c r="I7420" i="42"/>
  <c r="I7421" i="42"/>
  <c r="I7422" i="42"/>
  <c r="I7423" i="42"/>
  <c r="I7424" i="42"/>
  <c r="I7425" i="42"/>
  <c r="I7426" i="42"/>
  <c r="I7427" i="42"/>
  <c r="I7428" i="42"/>
  <c r="I7429" i="42"/>
  <c r="I7430" i="42"/>
  <c r="I7431" i="42"/>
  <c r="I7432" i="42"/>
  <c r="I7433" i="42"/>
  <c r="I7434" i="42"/>
  <c r="I7435" i="42"/>
  <c r="I7436" i="42"/>
  <c r="I7437" i="42"/>
  <c r="I7438" i="42"/>
  <c r="I7439" i="42"/>
  <c r="I7440" i="42"/>
  <c r="I7441" i="42"/>
  <c r="I7442" i="42"/>
  <c r="I7443" i="42"/>
  <c r="I7444" i="42"/>
  <c r="I7445" i="42"/>
  <c r="I7446" i="42"/>
  <c r="I7447" i="42"/>
  <c r="I7448" i="42"/>
  <c r="I7449" i="42"/>
  <c r="I7450" i="42"/>
  <c r="I7451" i="42"/>
  <c r="I7452" i="42"/>
  <c r="I7453" i="42"/>
  <c r="I7454" i="42"/>
  <c r="I7455" i="42"/>
  <c r="I7456" i="42"/>
  <c r="I7457" i="42"/>
  <c r="I7458" i="42"/>
  <c r="I7459" i="42"/>
  <c r="I7460" i="42"/>
  <c r="I7461" i="42"/>
  <c r="I7462" i="42"/>
  <c r="I7463" i="42"/>
  <c r="I7464" i="42"/>
  <c r="I7465" i="42"/>
  <c r="I7466" i="42"/>
  <c r="I7467" i="42"/>
  <c r="I7468" i="42"/>
  <c r="I7469" i="42"/>
  <c r="I7470" i="42"/>
  <c r="I7471" i="42"/>
  <c r="I7472" i="42"/>
  <c r="I7473" i="42"/>
  <c r="I7474" i="42"/>
  <c r="I7475" i="42"/>
  <c r="I7476" i="42"/>
  <c r="I7477" i="42"/>
  <c r="I7478" i="42"/>
  <c r="I7479" i="42"/>
  <c r="I7480" i="42"/>
  <c r="I7481" i="42"/>
  <c r="I7482" i="42"/>
  <c r="I7483" i="42"/>
  <c r="I7484" i="42"/>
  <c r="I7485" i="42"/>
  <c r="I7486" i="42"/>
  <c r="I7487" i="42"/>
  <c r="I7488" i="42"/>
  <c r="I7489" i="42"/>
  <c r="I7490" i="42"/>
  <c r="I7491" i="42"/>
  <c r="I7492" i="42"/>
  <c r="I7493" i="42"/>
  <c r="I7494" i="42"/>
  <c r="I7495" i="42"/>
  <c r="I7496" i="42"/>
  <c r="I7497" i="42"/>
  <c r="I7498" i="42"/>
  <c r="I7499" i="42"/>
  <c r="I7500" i="42"/>
  <c r="I7501" i="42"/>
  <c r="I7502" i="42"/>
  <c r="I7503" i="42"/>
  <c r="I7504" i="42"/>
  <c r="I7505" i="42"/>
  <c r="I7506" i="42"/>
  <c r="I7507" i="42"/>
  <c r="I7508" i="42"/>
  <c r="I7509" i="42"/>
  <c r="I7510" i="42"/>
  <c r="I7511" i="42"/>
  <c r="I7512" i="42"/>
  <c r="I7513" i="42"/>
  <c r="I7514" i="42"/>
  <c r="I7515" i="42"/>
  <c r="I7516" i="42"/>
  <c r="I7517" i="42"/>
  <c r="I7518" i="42"/>
  <c r="I7519" i="42"/>
  <c r="I7520" i="42"/>
  <c r="I7521" i="42"/>
  <c r="I7522" i="42"/>
  <c r="I7523" i="42"/>
  <c r="I7524" i="42"/>
  <c r="I7525" i="42"/>
  <c r="I7526" i="42"/>
  <c r="I7527" i="42"/>
  <c r="I7528" i="42"/>
  <c r="I7529" i="42"/>
  <c r="I7530" i="42"/>
  <c r="I7531" i="42"/>
  <c r="I7532" i="42"/>
  <c r="I7533" i="42"/>
  <c r="I7534" i="42"/>
  <c r="I7535" i="42"/>
  <c r="I7536" i="42"/>
  <c r="I7537" i="42"/>
  <c r="I7538" i="42"/>
  <c r="I7539" i="42"/>
  <c r="I7540" i="42"/>
  <c r="I7541" i="42"/>
  <c r="I7542" i="42"/>
  <c r="I7543" i="42"/>
  <c r="I7544" i="42"/>
  <c r="I7545" i="42"/>
  <c r="I7546" i="42"/>
  <c r="I7547" i="42"/>
  <c r="I7548" i="42"/>
  <c r="I7549" i="42"/>
  <c r="I7550" i="42"/>
  <c r="I7551" i="42"/>
  <c r="I7552" i="42"/>
  <c r="I7553" i="42"/>
  <c r="I7554" i="42"/>
  <c r="I7555" i="42"/>
  <c r="I7556" i="42"/>
  <c r="I7557" i="42"/>
  <c r="I7558" i="42"/>
  <c r="I7559" i="42"/>
  <c r="I7560" i="42"/>
  <c r="I7561" i="42"/>
  <c r="I7562" i="42"/>
  <c r="I7563" i="42"/>
  <c r="I7564" i="42"/>
  <c r="I7565" i="42"/>
  <c r="I7566" i="42"/>
  <c r="I7567" i="42"/>
  <c r="I7568" i="42"/>
  <c r="I7569" i="42"/>
  <c r="I7570" i="42"/>
  <c r="I7571" i="42"/>
  <c r="I7572" i="42"/>
  <c r="I7573" i="42"/>
  <c r="I7574" i="42"/>
  <c r="I7575" i="42"/>
  <c r="I7576" i="42"/>
  <c r="I7577" i="42"/>
  <c r="I7578" i="42"/>
  <c r="I7579" i="42"/>
  <c r="I7580" i="42"/>
  <c r="I7581" i="42"/>
  <c r="I7582" i="42"/>
  <c r="I7583" i="42"/>
  <c r="I7584" i="42"/>
  <c r="I7585" i="42"/>
  <c r="I7586" i="42"/>
  <c r="I7587" i="42"/>
  <c r="I7588" i="42"/>
  <c r="I7589" i="42"/>
  <c r="I7590" i="42"/>
  <c r="I7591" i="42"/>
  <c r="I7592" i="42"/>
  <c r="I7593" i="42"/>
  <c r="I7594" i="42"/>
  <c r="I7595" i="42"/>
  <c r="I7596" i="42"/>
  <c r="I7597" i="42"/>
  <c r="I7598" i="42"/>
  <c r="I7599" i="42"/>
  <c r="I7600" i="42"/>
  <c r="I7601" i="42"/>
  <c r="I7602" i="42"/>
  <c r="I7603" i="42"/>
  <c r="I7604" i="42"/>
  <c r="I7605" i="42"/>
  <c r="I7606" i="42"/>
  <c r="I7607" i="42"/>
  <c r="I7608" i="42"/>
  <c r="I7609" i="42"/>
  <c r="I7610" i="42"/>
  <c r="I7611" i="42"/>
  <c r="I7612" i="42"/>
  <c r="I7613" i="42"/>
  <c r="I7614" i="42"/>
  <c r="I7615" i="42"/>
  <c r="I7616" i="42"/>
  <c r="I7617" i="42"/>
  <c r="I7618" i="42"/>
  <c r="I7619" i="42"/>
  <c r="I7620" i="42"/>
  <c r="I7621" i="42"/>
  <c r="I7622" i="42"/>
  <c r="I7623" i="42"/>
  <c r="I7624" i="42"/>
  <c r="I7625" i="42"/>
  <c r="I7626" i="42"/>
  <c r="I7627" i="42"/>
  <c r="I7628" i="42"/>
  <c r="I7629" i="42"/>
  <c r="I7630" i="42"/>
  <c r="I7631" i="42"/>
  <c r="I7632" i="42"/>
  <c r="I7633" i="42"/>
  <c r="I7634" i="42"/>
  <c r="I7635" i="42"/>
  <c r="I7636" i="42"/>
  <c r="I7637" i="42"/>
  <c r="I7638" i="42"/>
  <c r="I7639" i="42"/>
  <c r="I7640" i="42"/>
  <c r="I7641" i="42"/>
  <c r="I7642" i="42"/>
  <c r="I7643" i="42"/>
  <c r="I7644" i="42"/>
  <c r="I7645" i="42"/>
  <c r="I7646" i="42"/>
  <c r="I7647" i="42"/>
  <c r="I7648" i="42"/>
  <c r="I7649" i="42"/>
  <c r="I7650" i="42"/>
  <c r="I7651" i="42"/>
  <c r="I7652" i="42"/>
  <c r="I7653" i="42"/>
  <c r="I7654" i="42"/>
  <c r="I7655" i="42"/>
  <c r="I7656" i="42"/>
  <c r="I7657" i="42"/>
  <c r="I7658" i="42"/>
  <c r="I7659" i="42"/>
  <c r="I7660" i="42"/>
  <c r="I7661" i="42"/>
  <c r="I7662" i="42"/>
  <c r="I7663" i="42"/>
  <c r="I7664" i="42"/>
  <c r="I7665" i="42"/>
  <c r="I7666" i="42"/>
  <c r="I7667" i="42"/>
  <c r="I7668" i="42"/>
  <c r="I7669" i="42"/>
  <c r="I7670" i="42"/>
  <c r="I7671" i="42"/>
  <c r="I7672" i="42"/>
  <c r="I7673" i="42"/>
  <c r="I7674" i="42"/>
  <c r="I7675" i="42"/>
  <c r="I7676" i="42"/>
  <c r="I7677" i="42"/>
  <c r="I7678" i="42"/>
  <c r="I7679" i="42"/>
  <c r="I7680" i="42"/>
  <c r="I7681" i="42"/>
  <c r="I7682" i="42"/>
  <c r="I7683" i="42"/>
  <c r="I7684" i="42"/>
  <c r="I7685" i="42"/>
  <c r="I7686" i="42"/>
  <c r="I7687" i="42"/>
  <c r="I7688" i="42"/>
  <c r="I7689" i="42"/>
  <c r="I7690" i="42"/>
  <c r="I7691" i="42"/>
  <c r="I7692" i="42"/>
  <c r="I7693" i="42"/>
  <c r="I7694" i="42"/>
  <c r="I7695" i="42"/>
  <c r="I7696" i="42"/>
  <c r="I7697" i="42"/>
  <c r="I7698" i="42"/>
  <c r="I7699" i="42"/>
  <c r="I7700" i="42"/>
  <c r="I7701" i="42"/>
  <c r="I7702" i="42"/>
  <c r="I7703" i="42"/>
  <c r="I7704" i="42"/>
  <c r="I7705" i="42"/>
  <c r="I7706" i="42"/>
  <c r="I7707" i="42"/>
  <c r="I7708" i="42"/>
  <c r="I7709" i="42"/>
  <c r="I7710" i="42"/>
  <c r="I7711" i="42"/>
  <c r="I7712" i="42"/>
  <c r="I7713" i="42"/>
  <c r="I7714" i="42"/>
  <c r="I7715" i="42"/>
  <c r="I7716" i="42"/>
  <c r="I7717" i="42"/>
  <c r="I7718" i="42"/>
  <c r="I7719" i="42"/>
  <c r="I7720" i="42"/>
  <c r="I7721" i="42"/>
  <c r="I7722" i="42"/>
  <c r="I7723" i="42"/>
  <c r="I7724" i="42"/>
  <c r="I7725" i="42"/>
  <c r="I7726" i="42"/>
  <c r="I7727" i="42"/>
  <c r="I7728" i="42"/>
  <c r="I7729" i="42"/>
  <c r="I7730" i="42"/>
  <c r="I7731" i="42"/>
  <c r="I7732" i="42"/>
  <c r="I7733" i="42"/>
  <c r="I7734" i="42"/>
  <c r="I7735" i="42"/>
  <c r="I7736" i="42"/>
  <c r="I7737" i="42"/>
  <c r="I7738" i="42"/>
  <c r="I7739" i="42"/>
  <c r="I7740" i="42"/>
  <c r="I7741" i="42"/>
  <c r="I7742" i="42"/>
  <c r="I7743" i="42"/>
  <c r="I7744" i="42"/>
  <c r="I7745" i="42"/>
  <c r="I7746" i="42"/>
  <c r="I7747" i="42"/>
  <c r="I7748" i="42"/>
  <c r="I7749" i="42"/>
  <c r="I7750" i="42"/>
  <c r="I7751" i="42"/>
  <c r="I7752" i="42"/>
  <c r="I7753" i="42"/>
  <c r="I7754" i="42"/>
  <c r="I7755" i="42"/>
  <c r="I7756" i="42"/>
  <c r="I7757" i="42"/>
  <c r="I7758" i="42"/>
  <c r="I7759" i="42"/>
  <c r="I7760" i="42"/>
  <c r="I7761" i="42"/>
  <c r="I7762" i="42"/>
  <c r="I7763" i="42"/>
  <c r="I7764" i="42"/>
  <c r="I7765" i="42"/>
  <c r="I7766" i="42"/>
  <c r="I7767" i="42"/>
  <c r="I7768" i="42"/>
  <c r="I7769" i="42"/>
  <c r="I7770" i="42"/>
  <c r="I7771" i="42"/>
  <c r="I7772" i="42"/>
  <c r="I7773" i="42"/>
  <c r="I7774" i="42"/>
  <c r="I7775" i="42"/>
  <c r="I7776" i="42"/>
  <c r="I7777" i="42"/>
  <c r="I7778" i="42"/>
  <c r="I7779" i="42"/>
  <c r="I7780" i="42"/>
  <c r="I7781" i="42"/>
  <c r="I7782" i="42"/>
  <c r="I7783" i="42"/>
  <c r="I7784" i="42"/>
  <c r="I7785" i="42"/>
  <c r="I7786" i="42"/>
  <c r="I7787" i="42"/>
  <c r="I7788" i="42"/>
  <c r="I7789" i="42"/>
  <c r="I7790" i="42"/>
  <c r="I7791" i="42"/>
  <c r="I7792" i="42"/>
  <c r="I7793" i="42"/>
  <c r="I7794" i="42"/>
  <c r="I7795" i="42"/>
  <c r="I7796" i="42"/>
  <c r="I7797" i="42"/>
  <c r="I7798" i="42"/>
  <c r="I7799" i="42"/>
  <c r="I7800" i="42"/>
  <c r="I7801" i="42"/>
  <c r="I7802" i="42"/>
  <c r="I7803" i="42"/>
  <c r="I7804" i="42"/>
  <c r="I7805" i="42"/>
  <c r="I7806" i="42"/>
  <c r="I7807" i="42"/>
  <c r="I7808" i="42"/>
  <c r="I7809" i="42"/>
  <c r="I7810" i="42"/>
  <c r="I7811" i="42"/>
  <c r="I7812" i="42"/>
  <c r="I7813" i="42"/>
  <c r="I7814" i="42"/>
  <c r="I7815" i="42"/>
  <c r="I7816" i="42"/>
  <c r="I7817" i="42"/>
  <c r="I7818" i="42"/>
  <c r="I7819" i="42"/>
  <c r="I7820" i="42"/>
  <c r="I7821" i="42"/>
  <c r="I7822" i="42"/>
  <c r="I7823" i="42"/>
  <c r="I7824" i="42"/>
  <c r="I7825" i="42"/>
  <c r="I7826" i="42"/>
  <c r="I7827" i="42"/>
  <c r="I7828" i="42"/>
  <c r="I7829" i="42"/>
  <c r="I7830" i="42"/>
  <c r="I7831" i="42"/>
  <c r="I7832" i="42"/>
  <c r="I7833" i="42"/>
  <c r="I7834" i="42"/>
  <c r="I7835" i="42"/>
  <c r="I7836" i="42"/>
  <c r="I7837" i="42"/>
  <c r="I7838" i="42"/>
  <c r="I7839" i="42"/>
  <c r="I7840" i="42"/>
  <c r="I7841" i="42"/>
  <c r="I7842" i="42"/>
  <c r="I7843" i="42"/>
  <c r="I7844" i="42"/>
  <c r="I7845" i="42"/>
  <c r="I7846" i="42"/>
  <c r="I7847" i="42"/>
  <c r="I7848" i="42"/>
  <c r="I7849" i="42"/>
  <c r="I7850" i="42"/>
  <c r="I7851" i="42"/>
  <c r="I7852" i="42"/>
  <c r="I7853" i="42"/>
  <c r="I7854" i="42"/>
  <c r="I7855" i="42"/>
  <c r="I7856" i="42"/>
  <c r="I7857" i="42"/>
  <c r="I7858" i="42"/>
  <c r="I7859" i="42"/>
  <c r="I7860" i="42"/>
  <c r="I7861" i="42"/>
  <c r="I7862" i="42"/>
  <c r="I7863" i="42"/>
  <c r="I7864" i="42"/>
  <c r="I7865" i="42"/>
  <c r="I7866" i="42"/>
  <c r="I7867" i="42"/>
  <c r="I7868" i="42"/>
  <c r="I7869" i="42"/>
  <c r="I7870" i="42"/>
  <c r="I7871" i="42"/>
  <c r="I7872" i="42"/>
  <c r="I7873" i="42"/>
  <c r="I7874" i="42"/>
  <c r="I7875" i="42"/>
  <c r="I7876" i="42"/>
  <c r="I7877" i="42"/>
  <c r="I7878" i="42"/>
  <c r="I7879" i="42"/>
  <c r="I7880" i="42"/>
  <c r="I7881" i="42"/>
  <c r="I7882" i="42"/>
  <c r="I7883" i="42"/>
  <c r="I7884" i="42"/>
  <c r="I7885" i="42"/>
  <c r="I7886" i="42"/>
  <c r="I7887" i="42"/>
  <c r="I7888" i="42"/>
  <c r="I7889" i="42"/>
  <c r="I7890" i="42"/>
  <c r="I7891" i="42"/>
  <c r="I7892" i="42"/>
  <c r="I7893" i="42"/>
  <c r="I7894" i="42"/>
  <c r="I7895" i="42"/>
  <c r="I7896" i="42"/>
  <c r="I7897" i="42"/>
  <c r="I7898" i="42"/>
  <c r="I7899" i="42"/>
  <c r="I7900" i="42"/>
  <c r="I7901" i="42"/>
  <c r="I7902" i="42"/>
  <c r="I7903" i="42"/>
  <c r="I7904" i="42"/>
  <c r="I7905" i="42"/>
  <c r="I7906" i="42"/>
  <c r="I7907" i="42"/>
  <c r="I7908" i="42"/>
  <c r="I7909" i="42"/>
  <c r="I7910" i="42"/>
  <c r="I7911" i="42"/>
  <c r="I7912" i="42"/>
  <c r="I7913" i="42"/>
  <c r="I7914" i="42"/>
  <c r="I7915" i="42"/>
  <c r="I7916" i="42"/>
  <c r="I7917" i="42"/>
  <c r="I7918" i="42"/>
  <c r="I7919" i="42"/>
  <c r="I7920" i="42"/>
  <c r="I7921" i="42"/>
  <c r="I7922" i="42"/>
  <c r="I7923" i="42"/>
  <c r="I7924" i="42"/>
  <c r="I7925" i="42"/>
  <c r="I7926" i="42"/>
  <c r="I7927" i="42"/>
  <c r="I7928" i="42"/>
  <c r="I7929" i="42"/>
  <c r="I7930" i="42"/>
  <c r="I7931" i="42"/>
  <c r="I7932" i="42"/>
  <c r="I7933" i="42"/>
  <c r="I7934" i="42"/>
  <c r="I7935" i="42"/>
  <c r="I7936" i="42"/>
  <c r="I7937" i="42"/>
  <c r="I7938" i="42"/>
  <c r="I7939" i="42"/>
  <c r="I7940" i="42"/>
  <c r="I7941" i="42"/>
  <c r="I7942" i="42"/>
  <c r="I7943" i="42"/>
  <c r="I7944" i="42"/>
  <c r="I7945" i="42"/>
  <c r="I7946" i="42"/>
  <c r="I7947" i="42"/>
  <c r="I7948" i="42"/>
  <c r="I7949" i="42"/>
  <c r="I7950" i="42"/>
  <c r="I7951" i="42"/>
  <c r="I7952" i="42"/>
  <c r="I7953" i="42"/>
  <c r="I7954" i="42"/>
  <c r="I7955" i="42"/>
  <c r="I7956" i="42"/>
  <c r="I7957" i="42"/>
  <c r="I7958" i="42"/>
  <c r="I7959" i="42"/>
  <c r="I7960" i="42"/>
  <c r="I7961" i="42"/>
  <c r="I7962" i="42"/>
  <c r="I7963" i="42"/>
  <c r="I7964" i="42"/>
  <c r="I7965" i="42"/>
  <c r="I7966" i="42"/>
  <c r="I7967" i="42"/>
  <c r="I7968" i="42"/>
  <c r="I7969" i="42"/>
  <c r="I7970" i="42"/>
  <c r="I7971" i="42"/>
  <c r="I7972" i="42"/>
  <c r="I7973" i="42"/>
  <c r="I7974" i="42"/>
  <c r="I7975" i="42"/>
  <c r="I7976" i="42"/>
  <c r="I7977" i="42"/>
  <c r="I7978" i="42"/>
  <c r="I7979" i="42"/>
  <c r="I7980" i="42"/>
  <c r="I7981" i="42"/>
  <c r="I7982" i="42"/>
  <c r="I7983" i="42"/>
  <c r="I7984" i="42"/>
  <c r="I7985" i="42"/>
  <c r="I7986" i="42"/>
  <c r="I7987" i="42"/>
  <c r="I7988" i="42"/>
  <c r="I7989" i="42"/>
  <c r="I7990" i="42"/>
  <c r="I7991" i="42"/>
  <c r="I7992" i="42"/>
  <c r="I7993" i="42"/>
  <c r="I7994" i="42"/>
  <c r="I7995" i="42"/>
  <c r="I7996" i="42"/>
  <c r="I7997" i="42"/>
  <c r="I7998" i="42"/>
  <c r="I7999" i="42"/>
  <c r="I8000" i="42"/>
  <c r="I8001" i="42"/>
  <c r="I8002" i="42"/>
  <c r="I8003" i="42"/>
  <c r="I8004" i="42"/>
  <c r="I8005" i="42"/>
  <c r="I8006" i="42"/>
  <c r="I8007" i="42"/>
  <c r="I8008" i="42"/>
  <c r="I8009" i="42"/>
  <c r="I8010" i="42"/>
  <c r="I8011" i="42"/>
  <c r="I8012" i="42"/>
  <c r="I8013" i="42"/>
  <c r="I8014" i="42"/>
  <c r="I8015" i="42"/>
  <c r="I8016" i="42"/>
  <c r="I8017" i="42"/>
  <c r="I8018" i="42"/>
  <c r="I8019" i="42"/>
  <c r="I8020" i="42"/>
  <c r="I8021" i="42"/>
  <c r="I8022" i="42"/>
  <c r="I8023" i="42"/>
  <c r="I8024" i="42"/>
  <c r="I8025" i="42"/>
  <c r="I8026" i="42"/>
  <c r="I8027" i="42"/>
  <c r="I8028" i="42"/>
  <c r="I8029" i="42"/>
  <c r="I8030" i="42"/>
  <c r="I8031" i="42"/>
  <c r="I8032" i="42"/>
  <c r="I8033" i="42"/>
  <c r="I8034" i="42"/>
  <c r="I8035" i="42"/>
  <c r="I8036" i="42"/>
  <c r="I8037" i="42"/>
  <c r="I8038" i="42"/>
  <c r="I8039" i="42"/>
  <c r="I8040" i="42"/>
  <c r="I8041" i="42"/>
  <c r="I8042" i="42"/>
  <c r="I8043" i="42"/>
  <c r="I8044" i="42"/>
  <c r="I8045" i="42"/>
  <c r="I8046" i="42"/>
  <c r="I8047" i="42"/>
  <c r="I8048" i="42"/>
  <c r="I8049" i="42"/>
  <c r="I8050" i="42"/>
  <c r="I8051" i="42"/>
  <c r="I8052" i="42"/>
  <c r="I8053" i="42"/>
  <c r="I8054" i="42"/>
  <c r="I8055" i="42"/>
  <c r="I8056" i="42"/>
  <c r="I8057" i="42"/>
  <c r="I8058" i="42"/>
  <c r="I8059" i="42"/>
  <c r="I8060" i="42"/>
  <c r="I8061" i="42"/>
  <c r="I8062" i="42"/>
  <c r="I8063" i="42"/>
  <c r="I8064" i="42"/>
  <c r="I8065" i="42"/>
  <c r="I8066" i="42"/>
  <c r="I8067" i="42"/>
  <c r="I8068" i="42"/>
  <c r="I8069" i="42"/>
  <c r="I8070" i="42"/>
  <c r="I8071" i="42"/>
  <c r="I8072" i="42"/>
  <c r="I8073" i="42"/>
  <c r="I8074" i="42"/>
  <c r="I8075" i="42"/>
  <c r="I8076" i="42"/>
  <c r="I8077" i="42"/>
  <c r="I8078" i="42"/>
  <c r="I8079" i="42"/>
  <c r="I8080" i="42"/>
  <c r="I8081" i="42"/>
  <c r="I8082" i="42"/>
  <c r="I8083" i="42"/>
  <c r="I8084" i="42"/>
  <c r="I8085" i="42"/>
  <c r="I8086" i="42"/>
  <c r="I8087" i="42"/>
  <c r="I8088" i="42"/>
  <c r="I8089" i="42"/>
  <c r="I8090" i="42"/>
  <c r="I8091" i="42"/>
  <c r="I8092" i="42"/>
  <c r="I8093" i="42"/>
  <c r="I8094" i="42"/>
  <c r="I8095" i="42"/>
  <c r="I8096" i="42"/>
  <c r="I8097" i="42"/>
  <c r="I8098" i="42"/>
  <c r="I8099" i="42"/>
  <c r="I8100" i="42"/>
  <c r="I8101" i="42"/>
  <c r="I8102" i="42"/>
  <c r="I8103" i="42"/>
  <c r="I8104" i="42"/>
  <c r="I8105" i="42"/>
  <c r="I8106" i="42"/>
  <c r="I8107" i="42"/>
  <c r="I8108" i="42"/>
  <c r="I8109" i="42"/>
  <c r="I8110" i="42"/>
  <c r="I8111" i="42"/>
  <c r="I8112" i="42"/>
  <c r="I8113" i="42"/>
  <c r="I8114" i="42"/>
  <c r="I8115" i="42"/>
  <c r="I8116" i="42"/>
  <c r="I8117" i="42"/>
  <c r="I8118" i="42"/>
  <c r="I8119" i="42"/>
  <c r="I8120" i="42"/>
  <c r="I8121" i="42"/>
  <c r="I8122" i="42"/>
  <c r="I8123" i="42"/>
  <c r="I8124" i="42"/>
  <c r="I8125" i="42"/>
  <c r="I8126" i="42"/>
  <c r="I8127" i="42"/>
  <c r="I8128" i="42"/>
  <c r="I8129" i="42"/>
  <c r="I8130" i="42"/>
  <c r="I8131" i="42"/>
  <c r="I8132" i="42"/>
  <c r="I8133" i="42"/>
  <c r="I8134" i="42"/>
  <c r="I8135" i="42"/>
  <c r="I8136" i="42"/>
  <c r="I8137" i="42"/>
  <c r="I8138" i="42"/>
  <c r="I8139" i="42"/>
  <c r="I8140" i="42"/>
  <c r="I8141" i="42"/>
  <c r="I8142" i="42"/>
  <c r="I8143" i="42"/>
  <c r="I8144" i="42"/>
  <c r="I8145" i="42"/>
  <c r="I8146" i="42"/>
  <c r="I8147" i="42"/>
  <c r="I8148" i="42"/>
  <c r="I8149" i="42"/>
  <c r="I8150" i="42"/>
  <c r="I8151" i="42"/>
  <c r="I8152" i="42"/>
  <c r="I8153" i="42"/>
  <c r="I8154" i="42"/>
  <c r="I8155" i="42"/>
  <c r="I8156" i="42"/>
  <c r="I8157" i="42"/>
  <c r="I8158" i="42"/>
  <c r="I8159" i="42"/>
  <c r="I8160" i="42"/>
  <c r="I8161" i="42"/>
  <c r="I8162" i="42"/>
  <c r="I8163" i="42"/>
  <c r="I8164" i="42"/>
  <c r="I8165" i="42"/>
  <c r="I8166" i="42"/>
  <c r="I8167" i="42"/>
  <c r="I8168" i="42"/>
  <c r="I8169" i="42"/>
  <c r="I8170" i="42"/>
  <c r="I8171" i="42"/>
  <c r="I8172" i="42"/>
  <c r="I8173" i="42"/>
  <c r="I8174" i="42"/>
  <c r="I8175" i="42"/>
  <c r="I8176" i="42"/>
  <c r="I8177" i="42"/>
  <c r="I8178" i="42"/>
  <c r="I8179" i="42"/>
  <c r="I8180" i="42"/>
  <c r="I8181" i="42"/>
  <c r="I8182" i="42"/>
  <c r="I8183" i="42"/>
  <c r="I8184" i="42"/>
  <c r="I8185" i="42"/>
  <c r="I8186" i="42"/>
  <c r="I8187" i="42"/>
  <c r="I8188" i="42"/>
  <c r="I8189" i="42"/>
  <c r="I8190" i="42"/>
  <c r="I8191" i="42"/>
  <c r="I8192" i="42"/>
  <c r="I8193" i="42"/>
  <c r="I8194" i="42"/>
  <c r="I8195" i="42"/>
  <c r="I8196" i="42"/>
  <c r="I8197" i="42"/>
  <c r="I8198" i="42"/>
  <c r="I8199" i="42"/>
  <c r="I8200" i="42"/>
  <c r="I8201" i="42"/>
  <c r="I8202" i="42"/>
  <c r="I8203" i="42"/>
  <c r="I8204" i="42"/>
  <c r="I8205" i="42"/>
  <c r="I8206" i="42"/>
  <c r="I8207" i="42"/>
  <c r="I8208" i="42"/>
  <c r="I8209" i="42"/>
  <c r="I8210" i="42"/>
  <c r="I8211" i="42"/>
  <c r="I8212" i="42"/>
  <c r="I8213" i="42"/>
  <c r="I8214" i="42"/>
  <c r="I8215" i="42"/>
  <c r="I8216" i="42"/>
  <c r="I8217" i="42"/>
  <c r="I8218" i="42"/>
  <c r="I8219" i="42"/>
  <c r="I8220" i="42"/>
  <c r="I8221" i="42"/>
  <c r="I8222" i="42"/>
  <c r="I8223" i="42"/>
  <c r="I8224" i="42"/>
  <c r="I8225" i="42"/>
  <c r="I8226" i="42"/>
  <c r="I8227" i="42"/>
  <c r="I8228" i="42"/>
  <c r="I8229" i="42"/>
  <c r="I8230" i="42"/>
  <c r="I8231" i="42"/>
  <c r="I8232" i="42"/>
  <c r="I8233" i="42"/>
  <c r="I8234" i="42"/>
  <c r="I8235" i="42"/>
  <c r="I8236" i="42"/>
  <c r="I8237" i="42"/>
  <c r="I8238" i="42"/>
  <c r="I8239" i="42"/>
  <c r="I8240" i="42"/>
  <c r="I8241" i="42"/>
  <c r="I8242" i="42"/>
  <c r="I8243" i="42"/>
  <c r="I8244" i="42"/>
  <c r="I8245" i="42"/>
  <c r="I8246" i="42"/>
  <c r="I8247" i="42"/>
  <c r="I8248" i="42"/>
  <c r="I8249" i="42"/>
  <c r="I8250" i="42"/>
  <c r="I8251" i="42"/>
  <c r="I8252" i="42"/>
  <c r="I8253" i="42"/>
  <c r="I8254" i="42"/>
  <c r="I8255" i="42"/>
  <c r="I8256" i="42"/>
  <c r="I8257" i="42"/>
  <c r="I8258" i="42"/>
  <c r="I8259" i="42"/>
  <c r="I8260" i="42"/>
  <c r="I8261" i="42"/>
  <c r="I8262" i="42"/>
  <c r="I8263" i="42"/>
  <c r="I8264" i="42"/>
  <c r="I8265" i="42"/>
  <c r="I8266" i="42"/>
  <c r="I8267" i="42"/>
  <c r="I8268" i="42"/>
  <c r="I8269" i="42"/>
  <c r="I8270" i="42"/>
  <c r="I8271" i="42"/>
  <c r="I8272" i="42"/>
  <c r="I8273" i="42"/>
  <c r="I8274" i="42"/>
  <c r="I8275" i="42"/>
  <c r="I8276" i="42"/>
  <c r="I8277" i="42"/>
  <c r="I8278" i="42"/>
  <c r="I8279" i="42"/>
  <c r="I8280" i="42"/>
  <c r="I8281" i="42"/>
  <c r="I8282" i="42"/>
  <c r="I8283" i="42"/>
  <c r="I8284" i="42"/>
  <c r="I8285" i="42"/>
  <c r="I8286" i="42"/>
  <c r="I8287" i="42"/>
  <c r="I8288" i="42"/>
  <c r="I8289" i="42"/>
  <c r="I8290" i="42"/>
  <c r="I8291" i="42"/>
  <c r="I8292" i="42"/>
  <c r="I8293" i="42"/>
  <c r="I8294" i="42"/>
  <c r="I8295" i="42"/>
  <c r="I8296" i="42"/>
  <c r="I8297" i="42"/>
  <c r="I8298" i="42"/>
  <c r="I8299" i="42"/>
  <c r="I8300" i="42"/>
  <c r="I8301" i="42"/>
  <c r="I8302" i="42"/>
  <c r="I8303" i="42"/>
  <c r="I8304" i="42"/>
  <c r="I8305" i="42"/>
  <c r="I8306" i="42"/>
  <c r="I8307" i="42"/>
  <c r="I8308" i="42"/>
  <c r="I8309" i="42"/>
  <c r="I8310" i="42"/>
  <c r="I8311" i="42"/>
  <c r="I8312" i="42"/>
  <c r="I8313" i="42"/>
  <c r="I8314" i="42"/>
  <c r="I8315" i="42"/>
  <c r="I8316" i="42"/>
  <c r="I8317" i="42"/>
  <c r="I8318" i="42"/>
  <c r="I8319" i="42"/>
  <c r="I8320" i="42"/>
  <c r="I8321" i="42"/>
  <c r="I8322" i="42"/>
  <c r="I8323" i="42"/>
  <c r="I8324" i="42"/>
  <c r="I8325" i="42"/>
  <c r="I8326" i="42"/>
  <c r="I8327" i="42"/>
  <c r="I8328" i="42"/>
  <c r="I8329" i="42"/>
  <c r="I8330" i="42"/>
  <c r="I8331" i="42"/>
  <c r="I8332" i="42"/>
  <c r="I8333" i="42"/>
  <c r="I8334" i="42"/>
  <c r="I8335" i="42"/>
  <c r="I8336" i="42"/>
  <c r="I8337" i="42"/>
  <c r="I8338" i="42"/>
  <c r="I8339" i="42"/>
  <c r="I8340" i="42"/>
  <c r="I8341" i="42"/>
  <c r="I8342" i="42"/>
  <c r="I8343" i="42"/>
  <c r="I8344" i="42"/>
  <c r="I8345" i="42"/>
  <c r="I8346" i="42"/>
  <c r="I8347" i="42"/>
  <c r="I8348" i="42"/>
  <c r="I8349" i="42"/>
  <c r="I8350" i="42"/>
  <c r="I8351" i="42"/>
  <c r="I8352" i="42"/>
  <c r="I8353" i="42"/>
  <c r="I8354" i="42"/>
  <c r="I8355" i="42"/>
  <c r="I8356" i="42"/>
  <c r="I8357" i="42"/>
  <c r="I8358" i="42"/>
  <c r="I8359" i="42"/>
  <c r="I8360" i="42"/>
  <c r="I8361" i="42"/>
  <c r="I8362" i="42"/>
  <c r="I8363" i="42"/>
  <c r="I8364" i="42"/>
  <c r="I8365" i="42"/>
  <c r="I8366" i="42"/>
  <c r="I8367" i="42"/>
  <c r="I8368" i="42"/>
  <c r="I8369" i="42"/>
  <c r="I8370" i="42"/>
  <c r="I8371" i="42"/>
  <c r="I8372" i="42"/>
  <c r="I8373" i="42"/>
  <c r="I8374" i="42"/>
  <c r="I8375" i="42"/>
  <c r="I8376" i="42"/>
  <c r="I8377" i="42"/>
  <c r="I8378" i="42"/>
  <c r="I8379" i="42"/>
  <c r="I8380" i="42"/>
  <c r="I8381" i="42"/>
  <c r="I8382" i="42"/>
  <c r="I8383" i="42"/>
  <c r="I8384" i="42"/>
  <c r="I8385" i="42"/>
  <c r="I8386" i="42"/>
  <c r="I8387" i="42"/>
  <c r="I8388" i="42"/>
  <c r="I8389" i="42"/>
  <c r="I8390" i="42"/>
  <c r="I8391" i="42"/>
  <c r="I8392" i="42"/>
  <c r="I8393" i="42"/>
  <c r="I8394" i="42"/>
  <c r="I8395" i="42"/>
  <c r="I8396" i="42"/>
  <c r="I8397" i="42"/>
  <c r="I8398" i="42"/>
  <c r="I8399" i="42"/>
  <c r="I8400" i="42"/>
  <c r="I8401" i="42"/>
  <c r="I8402" i="42"/>
  <c r="I8403" i="42"/>
  <c r="I8404" i="42"/>
  <c r="I8405" i="42"/>
  <c r="I8406" i="42"/>
  <c r="I8407" i="42"/>
  <c r="I8408" i="42"/>
  <c r="I8409" i="42"/>
  <c r="I8410" i="42"/>
  <c r="I8411" i="42"/>
  <c r="I8412" i="42"/>
  <c r="I8413" i="42"/>
  <c r="I8414" i="42"/>
  <c r="I8415" i="42"/>
  <c r="I8416" i="42"/>
  <c r="I8417" i="42"/>
  <c r="I8418" i="42"/>
  <c r="I8419" i="42"/>
  <c r="I8420" i="42"/>
  <c r="I8421" i="42"/>
  <c r="I8422" i="42"/>
  <c r="I8423" i="42"/>
  <c r="I8424" i="42"/>
  <c r="I8425" i="42"/>
  <c r="I8426" i="42"/>
  <c r="I8427" i="42"/>
  <c r="I8428" i="42"/>
  <c r="I8429" i="42"/>
  <c r="I8430" i="42"/>
  <c r="I8431" i="42"/>
  <c r="I8432" i="42"/>
  <c r="I8433" i="42"/>
  <c r="I8434" i="42"/>
  <c r="I8435" i="42"/>
  <c r="I8436" i="42"/>
  <c r="I8437" i="42"/>
  <c r="I8438" i="42"/>
  <c r="I8439" i="42"/>
  <c r="I8440" i="42"/>
  <c r="I8441" i="42"/>
  <c r="I8442" i="42"/>
  <c r="I8443" i="42"/>
  <c r="I8444" i="42"/>
  <c r="I8445" i="42"/>
  <c r="I8446" i="42"/>
  <c r="I8447" i="42"/>
  <c r="I8448" i="42"/>
  <c r="I8449" i="42"/>
  <c r="I8450" i="42"/>
  <c r="I8451" i="42"/>
  <c r="I8452" i="42"/>
  <c r="I8453" i="42"/>
  <c r="I8454" i="42"/>
  <c r="I8455" i="42"/>
  <c r="I8456" i="42"/>
  <c r="I8457" i="42"/>
  <c r="I8458" i="42"/>
  <c r="I8459" i="42"/>
  <c r="I8460" i="42"/>
  <c r="I8461" i="42"/>
  <c r="I8462" i="42"/>
  <c r="I8463" i="42"/>
  <c r="I8464" i="42"/>
  <c r="I8465" i="42"/>
  <c r="I8466" i="42"/>
  <c r="I8467" i="42"/>
  <c r="I8468" i="42"/>
  <c r="I8469" i="42"/>
  <c r="I8470" i="42"/>
  <c r="I8471" i="42"/>
  <c r="I8472" i="42"/>
  <c r="I8473" i="42"/>
  <c r="I8474" i="42"/>
  <c r="I8475" i="42"/>
  <c r="I8476" i="42"/>
  <c r="I8477" i="42"/>
  <c r="I8478" i="42"/>
  <c r="I8479" i="42"/>
  <c r="I8480" i="42"/>
  <c r="I8481" i="42"/>
  <c r="I8482" i="42"/>
  <c r="I8483" i="42"/>
  <c r="I8484" i="42"/>
  <c r="I8485" i="42"/>
  <c r="I8486" i="42"/>
  <c r="I8487" i="42"/>
  <c r="I8488" i="42"/>
  <c r="I8489" i="42"/>
  <c r="I8490" i="42"/>
  <c r="I8491" i="42"/>
  <c r="I8492" i="42"/>
  <c r="I8493" i="42"/>
  <c r="I8494" i="42"/>
  <c r="I8495" i="42"/>
  <c r="I8496" i="42"/>
  <c r="I8497" i="42"/>
  <c r="I8498" i="42"/>
  <c r="I8499" i="42"/>
  <c r="I8500" i="42"/>
  <c r="I8501" i="42"/>
  <c r="I8502" i="42"/>
  <c r="I8503" i="42"/>
  <c r="I8504" i="42"/>
  <c r="I8505" i="42"/>
  <c r="I8506" i="42"/>
  <c r="I8507" i="42"/>
  <c r="I8508" i="42"/>
  <c r="I8509" i="42"/>
  <c r="I8510" i="42"/>
  <c r="I8511" i="42"/>
  <c r="I8512" i="42"/>
  <c r="I8513" i="42"/>
  <c r="I8514" i="42"/>
  <c r="I8515" i="42"/>
  <c r="I8516" i="42"/>
  <c r="I8517" i="42"/>
  <c r="I8518" i="42"/>
  <c r="I8519" i="42"/>
  <c r="I8520" i="42"/>
  <c r="I8521" i="42"/>
  <c r="I8522" i="42"/>
  <c r="I8523" i="42"/>
  <c r="I8524" i="42"/>
  <c r="I8525" i="42"/>
  <c r="I8526" i="42"/>
  <c r="I8527" i="42"/>
  <c r="I8528" i="42"/>
  <c r="I8529" i="42"/>
  <c r="I8530" i="42"/>
  <c r="I8531" i="42"/>
  <c r="I8532" i="42"/>
  <c r="I8533" i="42"/>
  <c r="I8534" i="42"/>
  <c r="I8535" i="42"/>
  <c r="I8536" i="42"/>
  <c r="I8537" i="42"/>
  <c r="I8538" i="42"/>
  <c r="I8539" i="42"/>
  <c r="I8540" i="42"/>
  <c r="I8541" i="42"/>
  <c r="I8542" i="42"/>
  <c r="I8543" i="42"/>
  <c r="I8544" i="42"/>
  <c r="I8545" i="42"/>
  <c r="I8546" i="42"/>
  <c r="I8547" i="42"/>
  <c r="I8548" i="42"/>
  <c r="I8549" i="42"/>
  <c r="I8550" i="42"/>
  <c r="I8551" i="42"/>
  <c r="I8552" i="42"/>
  <c r="I8553" i="42"/>
  <c r="I8554" i="42"/>
  <c r="I8555" i="42"/>
  <c r="I8556" i="42"/>
  <c r="I8557" i="42"/>
  <c r="I8558" i="42"/>
  <c r="I8559" i="42"/>
  <c r="I8560" i="42"/>
  <c r="I8561" i="42"/>
  <c r="I8562" i="42"/>
  <c r="I8563" i="42"/>
  <c r="I8564" i="42"/>
  <c r="I8565" i="42"/>
  <c r="I8566" i="42"/>
  <c r="I8567" i="42"/>
  <c r="I8568" i="42"/>
  <c r="I8569" i="42"/>
  <c r="I8570" i="42"/>
  <c r="I8571" i="42"/>
  <c r="I8572" i="42"/>
  <c r="I8573" i="42"/>
  <c r="I8574" i="42"/>
  <c r="I8575" i="42"/>
  <c r="I8576" i="42"/>
  <c r="I8577" i="42"/>
  <c r="I8578" i="42"/>
  <c r="I8579" i="42"/>
  <c r="I8580" i="42"/>
  <c r="I8581" i="42"/>
  <c r="I8582" i="42"/>
  <c r="I8583" i="42"/>
  <c r="I8584" i="42"/>
  <c r="I8585" i="42"/>
  <c r="I8586" i="42"/>
  <c r="I8587" i="42"/>
  <c r="I8588" i="42"/>
  <c r="I8589" i="42"/>
  <c r="I8590" i="42"/>
  <c r="I8591" i="42"/>
  <c r="I8592" i="42"/>
  <c r="I8593" i="42"/>
  <c r="I8594" i="42"/>
  <c r="I8595" i="42"/>
  <c r="I8596" i="42"/>
  <c r="I8597" i="42"/>
  <c r="I8598" i="42"/>
  <c r="I8599" i="42"/>
  <c r="I8600" i="42"/>
  <c r="I8601" i="42"/>
  <c r="I8602" i="42"/>
  <c r="I8603" i="42"/>
  <c r="I8604" i="42"/>
  <c r="I8605" i="42"/>
  <c r="I8606" i="42"/>
  <c r="I8607" i="42"/>
  <c r="I8608" i="42"/>
  <c r="I8609" i="42"/>
  <c r="I8610" i="42"/>
  <c r="I8611" i="42"/>
  <c r="I8612" i="42"/>
  <c r="I8613" i="42"/>
  <c r="I8614" i="42"/>
  <c r="I8615" i="42"/>
  <c r="I8616" i="42"/>
  <c r="I8617" i="42"/>
  <c r="I8618" i="42"/>
  <c r="I8619" i="42"/>
  <c r="I8620" i="42"/>
  <c r="I8621" i="42"/>
  <c r="I8622" i="42"/>
  <c r="I8623" i="42"/>
  <c r="I8624" i="42"/>
  <c r="I8625" i="42"/>
  <c r="I8626" i="42"/>
  <c r="I8627" i="42"/>
  <c r="I8628" i="42"/>
  <c r="I8629" i="42"/>
  <c r="I8630" i="42"/>
  <c r="I8631" i="42"/>
  <c r="I8632" i="42"/>
  <c r="I8633" i="42"/>
  <c r="I8634" i="42"/>
  <c r="I8635" i="42"/>
  <c r="I8636" i="42"/>
  <c r="I8637" i="42"/>
  <c r="I8638" i="42"/>
  <c r="I8639" i="42"/>
  <c r="I8640" i="42"/>
  <c r="I8641" i="42"/>
  <c r="I8642" i="42"/>
  <c r="I8643" i="42"/>
  <c r="I8644" i="42"/>
  <c r="I8645" i="42"/>
  <c r="I8646" i="42"/>
  <c r="I8647" i="42"/>
  <c r="I8648" i="42"/>
  <c r="I8649" i="42"/>
  <c r="I8650" i="42"/>
  <c r="I8651" i="42"/>
  <c r="I8652" i="42"/>
  <c r="I8653" i="42"/>
  <c r="I8654" i="42"/>
  <c r="I8655" i="42"/>
  <c r="I8656" i="42"/>
  <c r="I8657" i="42"/>
  <c r="I8658" i="42"/>
  <c r="I8659" i="42"/>
  <c r="I8660" i="42"/>
  <c r="I8661" i="42"/>
  <c r="I8662" i="42"/>
  <c r="I8663" i="42"/>
  <c r="I8664" i="42"/>
  <c r="I8665" i="42"/>
  <c r="I8666" i="42"/>
  <c r="I8667" i="42"/>
  <c r="I8668" i="42"/>
  <c r="I8669" i="42"/>
  <c r="I8670" i="42"/>
  <c r="I8671" i="42"/>
  <c r="I8672" i="42"/>
  <c r="I8673" i="42"/>
  <c r="I8674" i="42"/>
  <c r="I8675" i="42"/>
  <c r="I8676" i="42"/>
  <c r="I8677" i="42"/>
  <c r="I8678" i="42"/>
  <c r="I8679" i="42"/>
  <c r="I8680" i="42"/>
  <c r="I8681" i="42"/>
  <c r="I8682" i="42"/>
  <c r="I8683" i="42"/>
  <c r="I8684" i="42"/>
  <c r="I8685" i="42"/>
  <c r="I8686" i="42"/>
  <c r="I8687" i="42"/>
  <c r="I8688" i="42"/>
  <c r="I8689" i="42"/>
  <c r="I8690" i="42"/>
  <c r="I8691" i="42"/>
  <c r="I8692" i="42"/>
  <c r="I8693" i="42"/>
  <c r="I8694" i="42"/>
  <c r="I8695" i="42"/>
  <c r="I8696" i="42"/>
  <c r="I8697" i="42"/>
  <c r="I8698" i="42"/>
  <c r="I8699" i="42"/>
  <c r="I8700" i="42"/>
  <c r="I8701" i="42"/>
  <c r="I8702" i="42"/>
  <c r="I8703" i="42"/>
  <c r="I8704" i="42"/>
  <c r="I8705" i="42"/>
  <c r="I8706" i="42"/>
  <c r="I8707" i="42"/>
  <c r="I8708" i="42"/>
  <c r="I8709" i="42"/>
  <c r="I8710" i="42"/>
  <c r="I8711" i="42"/>
  <c r="I8712" i="42"/>
  <c r="I8713" i="42"/>
  <c r="I8714" i="42"/>
  <c r="I8715" i="42"/>
  <c r="I8716" i="42"/>
  <c r="I8717" i="42"/>
  <c r="I8718" i="42"/>
  <c r="I8719" i="42"/>
  <c r="I8720" i="42"/>
  <c r="I8721" i="42"/>
  <c r="I8722" i="42"/>
  <c r="I8723" i="42"/>
  <c r="I8724" i="42"/>
  <c r="I8725" i="42"/>
  <c r="I8726" i="42"/>
  <c r="I8727" i="42"/>
  <c r="I8728" i="42"/>
  <c r="I8729" i="42"/>
  <c r="I8730" i="42"/>
  <c r="I8731" i="42"/>
  <c r="I8732" i="42"/>
  <c r="I8733" i="42"/>
  <c r="I8734" i="42"/>
  <c r="I8735" i="42"/>
  <c r="I8736" i="42"/>
  <c r="I8737" i="42"/>
  <c r="I8738" i="42"/>
  <c r="I8739" i="42"/>
  <c r="I8740" i="42"/>
  <c r="I8741" i="42"/>
  <c r="I8742" i="42"/>
  <c r="I8743" i="42"/>
  <c r="I8744" i="42"/>
  <c r="I8745" i="42"/>
  <c r="I8746" i="42"/>
  <c r="I8747" i="42"/>
  <c r="I8748" i="42"/>
  <c r="I8749" i="42"/>
  <c r="I8750" i="42"/>
  <c r="I8751" i="42"/>
  <c r="I8752" i="42"/>
  <c r="I8753" i="42"/>
  <c r="I8754" i="42"/>
  <c r="I8755" i="42"/>
  <c r="I8756" i="42"/>
  <c r="I8757" i="42"/>
  <c r="I8758" i="42"/>
  <c r="I8759" i="42"/>
  <c r="I8760" i="42"/>
  <c r="I8761" i="42"/>
  <c r="I8762" i="42"/>
  <c r="I8763" i="42"/>
  <c r="I8764" i="42"/>
  <c r="I8765" i="42"/>
  <c r="I8766" i="42"/>
  <c r="I8767" i="42"/>
  <c r="I8768" i="42"/>
  <c r="I8769" i="42"/>
  <c r="I8770" i="42"/>
  <c r="I8771" i="42"/>
  <c r="I8772" i="42"/>
  <c r="I8773" i="42"/>
  <c r="I8774" i="42"/>
  <c r="I8775" i="42"/>
  <c r="I8776" i="42"/>
  <c r="I8777" i="42"/>
  <c r="I8778" i="42"/>
  <c r="I8779" i="42"/>
  <c r="I8780" i="42"/>
  <c r="I8781" i="42"/>
  <c r="I8782" i="42"/>
  <c r="I8783" i="42"/>
  <c r="I8784" i="42"/>
  <c r="I8785" i="42"/>
  <c r="I8786" i="42"/>
  <c r="I8787" i="42"/>
  <c r="I8788" i="42"/>
  <c r="I8789" i="42"/>
  <c r="I8790" i="42"/>
  <c r="I8791" i="42"/>
  <c r="I8792" i="42"/>
  <c r="I8793" i="42"/>
  <c r="I8794" i="42"/>
  <c r="I8795" i="42"/>
  <c r="I8796" i="42"/>
  <c r="I8797" i="42"/>
  <c r="I8798" i="42"/>
  <c r="I8799" i="42"/>
  <c r="I8800" i="42"/>
  <c r="I8801" i="42"/>
  <c r="I8802" i="42"/>
  <c r="I8803" i="42"/>
  <c r="I8804" i="42"/>
  <c r="I8805" i="42"/>
  <c r="I8806" i="42"/>
  <c r="I8807" i="42"/>
  <c r="I8808" i="42"/>
  <c r="I8809" i="42"/>
  <c r="I8810" i="42"/>
  <c r="I8811" i="42"/>
  <c r="I8812" i="42"/>
  <c r="I8813" i="42"/>
  <c r="I8814" i="42"/>
  <c r="I8815" i="42"/>
  <c r="I8816" i="42"/>
  <c r="I8817" i="42"/>
  <c r="I8818" i="42"/>
  <c r="I8819" i="42"/>
  <c r="I8820" i="42"/>
  <c r="I8821" i="42"/>
  <c r="I8822" i="42"/>
  <c r="I8823" i="42"/>
  <c r="I8824" i="42"/>
  <c r="I8825" i="42"/>
  <c r="I8826" i="42"/>
  <c r="I8827" i="42"/>
  <c r="I8828" i="42"/>
  <c r="I8829" i="42"/>
  <c r="I8830" i="42"/>
  <c r="I8831" i="42"/>
  <c r="I8832" i="42"/>
  <c r="I8833" i="42"/>
  <c r="I8834" i="42"/>
  <c r="I8835" i="42"/>
  <c r="I8836" i="42"/>
  <c r="I8837" i="42"/>
  <c r="I8838" i="42"/>
  <c r="I8839" i="42"/>
  <c r="I8840" i="42"/>
  <c r="I8841" i="42"/>
  <c r="I8842" i="42"/>
  <c r="I8843" i="42"/>
  <c r="I8844" i="42"/>
  <c r="I8845" i="42"/>
  <c r="I8846" i="42"/>
  <c r="I8847" i="42"/>
  <c r="I8848" i="42"/>
  <c r="I8849" i="42"/>
  <c r="I8850" i="42"/>
  <c r="I8851" i="42"/>
  <c r="I8852" i="42"/>
  <c r="I8853" i="42"/>
  <c r="I8854" i="42"/>
  <c r="I8855" i="42"/>
  <c r="I8856" i="42"/>
  <c r="I8857" i="42"/>
  <c r="I8858" i="42"/>
  <c r="I8859" i="42"/>
  <c r="I8860" i="42"/>
  <c r="I8861" i="42"/>
  <c r="I8862" i="42"/>
  <c r="I8863" i="42"/>
  <c r="I8864" i="42"/>
  <c r="I8865" i="42"/>
  <c r="I8866" i="42"/>
  <c r="I8867" i="42"/>
  <c r="I8868" i="42"/>
  <c r="I8869" i="42"/>
  <c r="I8870" i="42"/>
  <c r="I8871" i="42"/>
  <c r="I8872" i="42"/>
  <c r="I8873" i="42"/>
  <c r="I8874" i="42"/>
  <c r="I8875" i="42"/>
  <c r="I8876" i="42"/>
  <c r="I8877" i="42"/>
  <c r="I8878" i="42"/>
  <c r="I8879" i="42"/>
  <c r="I8880" i="42"/>
  <c r="I8881" i="42"/>
  <c r="I8882" i="42"/>
  <c r="I8883" i="42"/>
  <c r="I8884" i="42"/>
  <c r="I8885" i="42"/>
  <c r="I8886" i="42"/>
  <c r="I8887" i="42"/>
  <c r="I8888" i="42"/>
  <c r="I8889" i="42"/>
  <c r="I8890" i="42"/>
  <c r="I8891" i="42"/>
  <c r="I8892" i="42"/>
  <c r="I8893" i="42"/>
  <c r="I8894" i="42"/>
  <c r="I8895" i="42"/>
  <c r="I8896" i="42"/>
  <c r="I8897" i="42"/>
  <c r="I8898" i="42"/>
  <c r="I8899" i="42"/>
  <c r="I8900" i="42"/>
  <c r="I8901" i="42"/>
  <c r="I8902" i="42"/>
  <c r="I8903" i="42"/>
  <c r="I8904" i="42"/>
  <c r="I8905" i="42"/>
  <c r="I8906" i="42"/>
  <c r="I8907" i="42"/>
  <c r="I8908" i="42"/>
  <c r="I8909" i="42"/>
  <c r="I8910" i="42"/>
  <c r="I8911" i="42"/>
  <c r="I8912" i="42"/>
  <c r="I8913" i="42"/>
  <c r="I8914" i="42"/>
  <c r="I8915" i="42"/>
  <c r="I8916" i="42"/>
  <c r="I8917" i="42"/>
  <c r="I8918" i="42"/>
  <c r="I8919" i="42"/>
  <c r="I8920" i="42"/>
  <c r="I8921" i="42"/>
  <c r="I8922" i="42"/>
  <c r="I8923" i="42"/>
  <c r="I8924" i="42"/>
  <c r="I8925" i="42"/>
  <c r="I8926" i="42"/>
  <c r="I8927" i="42"/>
  <c r="I8928" i="42"/>
  <c r="I8929" i="42"/>
  <c r="I8930" i="42"/>
  <c r="I8931" i="42"/>
  <c r="I8932" i="42"/>
  <c r="I8933" i="42"/>
  <c r="I8934" i="42"/>
  <c r="I8935" i="42"/>
  <c r="I8936" i="42"/>
  <c r="I8937" i="42"/>
  <c r="I8938" i="42"/>
  <c r="I8939" i="42"/>
  <c r="I8940" i="42"/>
  <c r="I8941" i="42"/>
  <c r="I8942" i="42"/>
  <c r="I8943" i="42"/>
  <c r="I8944" i="42"/>
  <c r="I8945" i="42"/>
  <c r="I8946" i="42"/>
  <c r="I8947" i="42"/>
  <c r="I8948" i="42"/>
  <c r="I8949" i="42"/>
  <c r="I8950" i="42"/>
  <c r="I8951" i="42"/>
  <c r="I8952" i="42"/>
  <c r="I8953" i="42"/>
  <c r="I8954" i="42"/>
  <c r="I8955" i="42"/>
  <c r="I8956" i="42"/>
  <c r="I8957" i="42"/>
  <c r="I8958" i="42"/>
  <c r="I8959" i="42"/>
  <c r="I8960" i="42"/>
  <c r="I8961" i="42"/>
  <c r="I8962" i="42"/>
  <c r="I8963" i="42"/>
  <c r="I8964" i="42"/>
  <c r="I8965" i="42"/>
  <c r="I8966" i="42"/>
  <c r="I8967" i="42"/>
  <c r="I8968" i="42"/>
  <c r="I8969" i="42"/>
  <c r="I8970" i="42"/>
  <c r="I8971" i="42"/>
  <c r="I8972" i="42"/>
  <c r="I8973" i="42"/>
  <c r="I8974" i="42"/>
  <c r="I8975" i="42"/>
  <c r="I8976" i="42"/>
  <c r="I8977" i="42"/>
  <c r="I8978" i="42"/>
  <c r="I8979" i="42"/>
  <c r="I8980" i="42"/>
  <c r="I8981" i="42"/>
  <c r="I8982" i="42"/>
  <c r="I8983" i="42"/>
  <c r="I8984" i="42"/>
  <c r="I8985" i="42"/>
  <c r="I8986" i="42"/>
  <c r="I8987" i="42"/>
  <c r="I8988" i="42"/>
  <c r="I8989" i="42"/>
  <c r="I8990" i="42"/>
  <c r="I8991" i="42"/>
  <c r="I8992" i="42"/>
  <c r="I8993" i="42"/>
  <c r="I8994" i="42"/>
  <c r="I8995" i="42"/>
  <c r="I8996" i="42"/>
  <c r="I8997" i="42"/>
  <c r="I8998" i="42"/>
  <c r="I8999" i="42"/>
  <c r="I9000" i="42"/>
  <c r="I9001" i="42"/>
  <c r="I9002" i="42"/>
  <c r="I9003" i="42"/>
  <c r="I9004" i="42"/>
  <c r="I9005" i="42"/>
  <c r="I9006" i="42"/>
  <c r="I9007" i="42"/>
  <c r="I9008" i="42"/>
  <c r="I9009" i="42"/>
  <c r="I9010" i="42"/>
  <c r="I9011" i="42"/>
  <c r="I9012" i="42"/>
  <c r="I9013" i="42"/>
  <c r="I9014" i="42"/>
  <c r="I9015" i="42"/>
  <c r="I9016" i="42"/>
  <c r="I9017" i="42"/>
  <c r="I9018" i="42"/>
  <c r="I9019" i="42"/>
  <c r="I9020" i="42"/>
  <c r="I9021" i="42"/>
  <c r="I9022" i="42"/>
  <c r="I9023" i="42"/>
  <c r="I9024" i="42"/>
  <c r="I9025" i="42"/>
  <c r="I9026" i="42"/>
  <c r="I9027" i="42"/>
  <c r="I9028" i="42"/>
  <c r="I9029" i="42"/>
  <c r="I9030" i="42"/>
  <c r="I9031" i="42"/>
  <c r="I9032" i="42"/>
  <c r="I9033" i="42"/>
  <c r="I9034" i="42"/>
  <c r="I9035" i="42"/>
  <c r="I9036" i="42"/>
  <c r="I9037" i="42"/>
  <c r="I9038" i="42"/>
  <c r="I9039" i="42"/>
  <c r="I9040" i="42"/>
  <c r="I9041" i="42"/>
  <c r="I9042" i="42"/>
  <c r="I9043" i="42"/>
  <c r="I9044" i="42"/>
  <c r="I9045" i="42"/>
  <c r="I9046" i="42"/>
  <c r="I9047" i="42"/>
  <c r="I9048" i="42"/>
  <c r="I9049" i="42"/>
  <c r="I9050" i="42"/>
  <c r="I9051" i="42"/>
  <c r="I9052" i="42"/>
  <c r="I9053" i="42"/>
  <c r="I9054" i="42"/>
  <c r="I9055" i="42"/>
  <c r="I9056" i="42"/>
  <c r="I9057" i="42"/>
  <c r="I9058" i="42"/>
  <c r="I9059" i="42"/>
  <c r="I9060" i="42"/>
  <c r="I9061" i="42"/>
  <c r="I9062" i="42"/>
  <c r="I9063" i="42"/>
  <c r="I9064" i="42"/>
  <c r="I9065" i="42"/>
  <c r="I9066" i="42"/>
  <c r="I9067" i="42"/>
  <c r="I9068" i="42"/>
  <c r="I9069" i="42"/>
  <c r="I9070" i="42"/>
  <c r="I9071" i="42"/>
  <c r="I9072" i="42"/>
  <c r="I9073" i="42"/>
  <c r="I9074" i="42"/>
  <c r="I9075" i="42"/>
  <c r="I9076" i="42"/>
  <c r="I9077" i="42"/>
  <c r="I9078" i="42"/>
  <c r="I9079" i="42"/>
  <c r="I9080" i="42"/>
  <c r="I9081" i="42"/>
  <c r="I9082" i="42"/>
  <c r="I9083" i="42"/>
  <c r="I9084" i="42"/>
  <c r="I9085" i="42"/>
  <c r="I9086" i="42"/>
  <c r="I9087" i="42"/>
  <c r="I9088" i="42"/>
  <c r="I9089" i="42"/>
  <c r="I9090" i="42"/>
  <c r="I9091" i="42"/>
  <c r="I9092" i="42"/>
  <c r="I9093" i="42"/>
  <c r="I9094" i="42"/>
  <c r="I9095" i="42"/>
  <c r="I9096" i="42"/>
  <c r="I9097" i="42"/>
  <c r="I9098" i="42"/>
  <c r="I9099" i="42"/>
  <c r="I9100" i="42"/>
  <c r="I9101" i="42"/>
  <c r="I9102" i="42"/>
  <c r="I9103" i="42"/>
  <c r="I9104" i="42"/>
  <c r="I9105" i="42"/>
  <c r="I9106" i="42"/>
  <c r="I9107" i="42"/>
  <c r="I9108" i="42"/>
  <c r="I9109" i="42"/>
  <c r="I9110" i="42"/>
  <c r="I9111" i="42"/>
  <c r="I9112" i="42"/>
  <c r="I9113" i="42"/>
  <c r="I9114" i="42"/>
  <c r="I9115" i="42"/>
  <c r="I9116" i="42"/>
  <c r="I9117" i="42"/>
  <c r="I9118" i="42"/>
  <c r="I9119" i="42"/>
  <c r="I9120" i="42"/>
  <c r="I9121" i="42"/>
  <c r="I9122" i="42"/>
  <c r="I9123" i="42"/>
  <c r="I9124" i="42"/>
  <c r="I9125" i="42"/>
  <c r="I9126" i="42"/>
  <c r="I9127" i="42"/>
  <c r="I9128" i="42"/>
  <c r="I9129" i="42"/>
  <c r="I9130" i="42"/>
  <c r="I9131" i="42"/>
  <c r="I9132" i="42"/>
  <c r="I9133" i="42"/>
  <c r="I9134" i="42"/>
  <c r="I9135" i="42"/>
  <c r="I9136" i="42"/>
  <c r="I9137" i="42"/>
  <c r="I9138" i="42"/>
  <c r="I9139" i="42"/>
  <c r="I9140" i="42"/>
  <c r="I2" i="42"/>
  <c r="N25" i="42" l="1" a="1"/>
  <c r="N25" i="42" s="1"/>
  <c r="M28" i="42"/>
  <c r="M29" i="42" s="1"/>
  <c r="M30" i="42" s="1"/>
  <c r="M31" i="42" s="1"/>
  <c r="M32" i="42" s="1"/>
  <c r="M33" i="42" s="1"/>
  <c r="M34" i="42" s="1"/>
  <c r="M35" i="42" s="1"/>
  <c r="M36" i="42" s="1"/>
  <c r="M37" i="42" s="1"/>
  <c r="M38" i="42" s="1"/>
  <c r="M39" i="42" s="1"/>
  <c r="M40" i="42" s="1"/>
  <c r="M41" i="42" s="1"/>
  <c r="P4" i="42" a="1"/>
  <c r="P4" i="42" s="1"/>
  <c r="J4" i="42"/>
  <c r="J5" i="42"/>
  <c r="J6" i="42"/>
  <c r="J7" i="42"/>
  <c r="J8" i="42"/>
  <c r="J9" i="42"/>
  <c r="J10" i="42"/>
  <c r="J11" i="42"/>
  <c r="J12" i="42"/>
  <c r="J13" i="42"/>
  <c r="J14" i="42"/>
  <c r="J15" i="42"/>
  <c r="J16" i="42"/>
  <c r="J17" i="42"/>
  <c r="J18" i="42"/>
  <c r="J19" i="42"/>
  <c r="J20" i="42"/>
  <c r="J21" i="42"/>
  <c r="J22" i="42"/>
  <c r="J23" i="42"/>
  <c r="J24" i="42"/>
  <c r="J25" i="42"/>
  <c r="J26" i="42"/>
  <c r="J27" i="42"/>
  <c r="J28" i="42"/>
  <c r="J29" i="42"/>
  <c r="J30" i="42"/>
  <c r="J31" i="42"/>
  <c r="J32" i="42"/>
  <c r="J33" i="42"/>
  <c r="J34" i="42"/>
  <c r="J35" i="42"/>
  <c r="J36" i="42"/>
  <c r="J37" i="42"/>
  <c r="J38" i="42"/>
  <c r="J39" i="42"/>
  <c r="J40" i="42"/>
  <c r="J41" i="42"/>
  <c r="J42" i="42"/>
  <c r="J43" i="42"/>
  <c r="J44" i="42"/>
  <c r="J45" i="42"/>
  <c r="J46" i="42"/>
  <c r="J47" i="42"/>
  <c r="J48" i="42"/>
  <c r="J49" i="42"/>
  <c r="J50" i="42"/>
  <c r="J51" i="42"/>
  <c r="J52" i="42"/>
  <c r="J53" i="42"/>
  <c r="J54" i="42"/>
  <c r="J55" i="42"/>
  <c r="J56" i="42"/>
  <c r="J57" i="42"/>
  <c r="J58" i="42"/>
  <c r="J59" i="42"/>
  <c r="J60" i="42"/>
  <c r="J61" i="42"/>
  <c r="J62" i="42"/>
  <c r="J63" i="42"/>
  <c r="J64" i="42"/>
  <c r="J65" i="42"/>
  <c r="J66" i="42"/>
  <c r="J67" i="42"/>
  <c r="J68" i="42"/>
  <c r="J69" i="42"/>
  <c r="J70" i="42"/>
  <c r="J71" i="42"/>
  <c r="J72" i="42"/>
  <c r="J73" i="42"/>
  <c r="J74" i="42"/>
  <c r="J75" i="42"/>
  <c r="J76" i="42"/>
  <c r="J77" i="42"/>
  <c r="J78" i="42"/>
  <c r="J79" i="42"/>
  <c r="J80" i="42"/>
  <c r="J81" i="42"/>
  <c r="J82" i="42"/>
  <c r="J83" i="42"/>
  <c r="J84" i="42"/>
  <c r="J85" i="42"/>
  <c r="J86" i="42"/>
  <c r="J87" i="42"/>
  <c r="J88" i="42"/>
  <c r="J89" i="42"/>
  <c r="J90" i="42"/>
  <c r="J91" i="42"/>
  <c r="J92" i="42"/>
  <c r="J93" i="42"/>
  <c r="J94" i="42"/>
  <c r="J95" i="42"/>
  <c r="J96" i="42"/>
  <c r="J97" i="42"/>
  <c r="J98" i="42"/>
  <c r="J99" i="42"/>
  <c r="J100" i="42"/>
  <c r="J101" i="42"/>
  <c r="J102" i="42"/>
  <c r="J103" i="42"/>
  <c r="J104" i="42"/>
  <c r="J105" i="42"/>
  <c r="J106" i="42"/>
  <c r="J107" i="42"/>
  <c r="J108" i="42"/>
  <c r="J109" i="42"/>
  <c r="J110" i="42"/>
  <c r="J111" i="42"/>
  <c r="J112" i="42"/>
  <c r="J113" i="42"/>
  <c r="J114" i="42"/>
  <c r="J115" i="42"/>
  <c r="J116" i="42"/>
  <c r="J117" i="42"/>
  <c r="J118" i="42"/>
  <c r="J119" i="42"/>
  <c r="J120" i="42"/>
  <c r="J121" i="42"/>
  <c r="J122" i="42"/>
  <c r="J123" i="42"/>
  <c r="J124" i="42"/>
  <c r="J125" i="42"/>
  <c r="J126" i="42"/>
  <c r="J127" i="42"/>
  <c r="J128" i="42"/>
  <c r="J129" i="42"/>
  <c r="J130" i="42"/>
  <c r="J131" i="42"/>
  <c r="J132" i="42"/>
  <c r="J133" i="42"/>
  <c r="J134" i="42"/>
  <c r="J135" i="42"/>
  <c r="J136" i="42"/>
  <c r="J137" i="42"/>
  <c r="J138" i="42"/>
  <c r="J139" i="42"/>
  <c r="J140" i="42"/>
  <c r="J141" i="42"/>
  <c r="J142" i="42"/>
  <c r="J143" i="42"/>
  <c r="J144" i="42"/>
  <c r="J145" i="42"/>
  <c r="J146" i="42"/>
  <c r="J147" i="42"/>
  <c r="J148" i="42"/>
  <c r="J149" i="42"/>
  <c r="J150" i="42"/>
  <c r="J151" i="42"/>
  <c r="J152" i="42"/>
  <c r="J153" i="42"/>
  <c r="J154" i="42"/>
  <c r="J155" i="42"/>
  <c r="J156" i="42"/>
  <c r="J157" i="42"/>
  <c r="J158" i="42"/>
  <c r="J159" i="42"/>
  <c r="J160" i="42"/>
  <c r="J161" i="42"/>
  <c r="J162" i="42"/>
  <c r="J163" i="42"/>
  <c r="J164" i="42"/>
  <c r="J165" i="42"/>
  <c r="J166" i="42"/>
  <c r="J167" i="42"/>
  <c r="J168" i="42"/>
  <c r="J169" i="42"/>
  <c r="J170" i="42"/>
  <c r="J171" i="42"/>
  <c r="J172" i="42"/>
  <c r="J173" i="42"/>
  <c r="J174" i="42"/>
  <c r="J175" i="42"/>
  <c r="J176" i="42"/>
  <c r="J177" i="42"/>
  <c r="J178" i="42"/>
  <c r="J179" i="42"/>
  <c r="J180" i="42"/>
  <c r="J181" i="42"/>
  <c r="J182" i="42"/>
  <c r="J183" i="42"/>
  <c r="J184" i="42"/>
  <c r="J185" i="42"/>
  <c r="J186" i="42"/>
  <c r="J187" i="42"/>
  <c r="J188" i="42"/>
  <c r="J189" i="42"/>
  <c r="J190" i="42"/>
  <c r="J191" i="42"/>
  <c r="J192" i="42"/>
  <c r="J193" i="42"/>
  <c r="J194" i="42"/>
  <c r="J195" i="42"/>
  <c r="J196" i="42"/>
  <c r="J197" i="42"/>
  <c r="J198" i="42"/>
  <c r="J199" i="42"/>
  <c r="J200" i="42"/>
  <c r="J201" i="42"/>
  <c r="J202" i="42"/>
  <c r="J203" i="42"/>
  <c r="J204" i="42"/>
  <c r="J205" i="42"/>
  <c r="J206" i="42"/>
  <c r="J207" i="42"/>
  <c r="J208" i="42"/>
  <c r="J209" i="42"/>
  <c r="J210" i="42"/>
  <c r="J211" i="42"/>
  <c r="J212" i="42"/>
  <c r="J213" i="42"/>
  <c r="J214" i="42"/>
  <c r="J215" i="42"/>
  <c r="J216" i="42"/>
  <c r="J217" i="42"/>
  <c r="J218" i="42"/>
  <c r="J219" i="42"/>
  <c r="J220" i="42"/>
  <c r="J221" i="42"/>
  <c r="J222" i="42"/>
  <c r="J223" i="42"/>
  <c r="J224" i="42"/>
  <c r="J225" i="42"/>
  <c r="J226" i="42"/>
  <c r="J227" i="42"/>
  <c r="J228" i="42"/>
  <c r="J229" i="42"/>
  <c r="J230" i="42"/>
  <c r="J231" i="42"/>
  <c r="J232" i="42"/>
  <c r="J233" i="42"/>
  <c r="J234" i="42"/>
  <c r="J235" i="42"/>
  <c r="J236" i="42"/>
  <c r="J237" i="42"/>
  <c r="J238" i="42"/>
  <c r="J239" i="42"/>
  <c r="J240" i="42"/>
  <c r="J241" i="42"/>
  <c r="J242" i="42"/>
  <c r="J243" i="42"/>
  <c r="J244" i="42"/>
  <c r="J245" i="42"/>
  <c r="J246" i="42"/>
  <c r="J247" i="42"/>
  <c r="J248" i="42"/>
  <c r="J249" i="42"/>
  <c r="J250" i="42"/>
  <c r="J251" i="42"/>
  <c r="J252" i="42"/>
  <c r="J253" i="42"/>
  <c r="J254" i="42"/>
  <c r="J255" i="42"/>
  <c r="J256" i="42"/>
  <c r="J257" i="42"/>
  <c r="J258" i="42"/>
  <c r="J259" i="42"/>
  <c r="J260" i="42"/>
  <c r="J261" i="42"/>
  <c r="J262" i="42"/>
  <c r="J263" i="42"/>
  <c r="J264" i="42"/>
  <c r="J265" i="42"/>
  <c r="J266" i="42"/>
  <c r="J267" i="42"/>
  <c r="J268" i="42"/>
  <c r="J269" i="42"/>
  <c r="J270" i="42"/>
  <c r="J271" i="42"/>
  <c r="J272" i="42"/>
  <c r="J273" i="42"/>
  <c r="J274" i="42"/>
  <c r="J275" i="42"/>
  <c r="J276" i="42"/>
  <c r="J277" i="42"/>
  <c r="J278" i="42"/>
  <c r="J279" i="42"/>
  <c r="J280" i="42"/>
  <c r="J281" i="42"/>
  <c r="J282" i="42"/>
  <c r="J283" i="42"/>
  <c r="J284" i="42"/>
  <c r="J285" i="42"/>
  <c r="J286" i="42"/>
  <c r="J287" i="42"/>
  <c r="J288" i="42"/>
  <c r="J289" i="42"/>
  <c r="J290" i="42"/>
  <c r="J291" i="42"/>
  <c r="J292" i="42"/>
  <c r="J293" i="42"/>
  <c r="J294" i="42"/>
  <c r="J295" i="42"/>
  <c r="J296" i="42"/>
  <c r="J297" i="42"/>
  <c r="J298" i="42"/>
  <c r="J299" i="42"/>
  <c r="J300" i="42"/>
  <c r="J301" i="42"/>
  <c r="J302" i="42"/>
  <c r="J303" i="42"/>
  <c r="J304" i="42"/>
  <c r="J305" i="42"/>
  <c r="J306" i="42"/>
  <c r="J307" i="42"/>
  <c r="J308" i="42"/>
  <c r="J309" i="42"/>
  <c r="J310" i="42"/>
  <c r="J311" i="42"/>
  <c r="J312" i="42"/>
  <c r="J313" i="42"/>
  <c r="J314" i="42"/>
  <c r="J315" i="42"/>
  <c r="J316" i="42"/>
  <c r="J317" i="42"/>
  <c r="J318" i="42"/>
  <c r="J319" i="42"/>
  <c r="J320" i="42"/>
  <c r="J321" i="42"/>
  <c r="J322" i="42"/>
  <c r="J323" i="42"/>
  <c r="J324" i="42"/>
  <c r="J325" i="42"/>
  <c r="J326" i="42"/>
  <c r="J327" i="42"/>
  <c r="J328" i="42"/>
  <c r="J329" i="42"/>
  <c r="J330" i="42"/>
  <c r="J331" i="42"/>
  <c r="J332" i="42"/>
  <c r="J333" i="42"/>
  <c r="J334" i="42"/>
  <c r="J335" i="42"/>
  <c r="J336" i="42"/>
  <c r="J337" i="42"/>
  <c r="J338" i="42"/>
  <c r="J339" i="42"/>
  <c r="J340" i="42"/>
  <c r="J341" i="42"/>
  <c r="J342" i="42"/>
  <c r="J343" i="42"/>
  <c r="J344" i="42"/>
  <c r="J345" i="42"/>
  <c r="J346" i="42"/>
  <c r="J347" i="42"/>
  <c r="J348" i="42"/>
  <c r="J349" i="42"/>
  <c r="J350" i="42"/>
  <c r="J351" i="42"/>
  <c r="J352" i="42"/>
  <c r="J353" i="42"/>
  <c r="J354" i="42"/>
  <c r="J355" i="42"/>
  <c r="J356" i="42"/>
  <c r="J357" i="42"/>
  <c r="J358" i="42"/>
  <c r="J359" i="42"/>
  <c r="J360" i="42"/>
  <c r="J361" i="42"/>
  <c r="J362" i="42"/>
  <c r="J363" i="42"/>
  <c r="J364" i="42"/>
  <c r="J365" i="42"/>
  <c r="J366" i="42"/>
  <c r="J367" i="42"/>
  <c r="J368" i="42"/>
  <c r="J369" i="42"/>
  <c r="J370" i="42"/>
  <c r="J371" i="42"/>
  <c r="J372" i="42"/>
  <c r="J373" i="42"/>
  <c r="J374" i="42"/>
  <c r="J375" i="42"/>
  <c r="J376" i="42"/>
  <c r="J377" i="42"/>
  <c r="J378" i="42"/>
  <c r="J379" i="42"/>
  <c r="J380" i="42"/>
  <c r="J381" i="42"/>
  <c r="J382" i="42"/>
  <c r="J383" i="42"/>
  <c r="J384" i="42"/>
  <c r="J385" i="42"/>
  <c r="J386" i="42"/>
  <c r="J387" i="42"/>
  <c r="J388" i="42"/>
  <c r="J389" i="42"/>
  <c r="J390" i="42"/>
  <c r="J391" i="42"/>
  <c r="J392" i="42"/>
  <c r="J393" i="42"/>
  <c r="J394" i="42"/>
  <c r="J395" i="42"/>
  <c r="J396" i="42"/>
  <c r="J397" i="42"/>
  <c r="J398" i="42"/>
  <c r="J399" i="42"/>
  <c r="J400" i="42"/>
  <c r="J401" i="42"/>
  <c r="J402" i="42"/>
  <c r="J403" i="42"/>
  <c r="J404" i="42"/>
  <c r="J405" i="42"/>
  <c r="J406" i="42"/>
  <c r="J407" i="42"/>
  <c r="J408" i="42"/>
  <c r="J409" i="42"/>
  <c r="J410" i="42"/>
  <c r="J411" i="42"/>
  <c r="J412" i="42"/>
  <c r="J413" i="42"/>
  <c r="J414" i="42"/>
  <c r="J415" i="42"/>
  <c r="J416" i="42"/>
  <c r="J417" i="42"/>
  <c r="J418" i="42"/>
  <c r="J419" i="42"/>
  <c r="J420" i="42"/>
  <c r="J421" i="42"/>
  <c r="J422" i="42"/>
  <c r="J423" i="42"/>
  <c r="J424" i="42"/>
  <c r="J425" i="42"/>
  <c r="J426" i="42"/>
  <c r="J427" i="42"/>
  <c r="J428" i="42"/>
  <c r="J429" i="42"/>
  <c r="J430" i="42"/>
  <c r="J431" i="42"/>
  <c r="J432" i="42"/>
  <c r="J433" i="42"/>
  <c r="J434" i="42"/>
  <c r="J435" i="42"/>
  <c r="J436" i="42"/>
  <c r="J437" i="42"/>
  <c r="J438" i="42"/>
  <c r="J439" i="42"/>
  <c r="J440" i="42"/>
  <c r="J441" i="42"/>
  <c r="J442" i="42"/>
  <c r="J443" i="42"/>
  <c r="J444" i="42"/>
  <c r="J445" i="42"/>
  <c r="J446" i="42"/>
  <c r="J447" i="42"/>
  <c r="J448" i="42"/>
  <c r="J449" i="42"/>
  <c r="J450" i="42"/>
  <c r="J451" i="42"/>
  <c r="J452" i="42"/>
  <c r="J453" i="42"/>
  <c r="J454" i="42"/>
  <c r="J455" i="42"/>
  <c r="J456" i="42"/>
  <c r="J457" i="42"/>
  <c r="J458" i="42"/>
  <c r="J459" i="42"/>
  <c r="J460" i="42"/>
  <c r="J461" i="42"/>
  <c r="J462" i="42"/>
  <c r="J463" i="42"/>
  <c r="J464" i="42"/>
  <c r="J465" i="42"/>
  <c r="J466" i="42"/>
  <c r="J467" i="42"/>
  <c r="J468" i="42"/>
  <c r="J469" i="42"/>
  <c r="J470" i="42"/>
  <c r="J471" i="42"/>
  <c r="J472" i="42"/>
  <c r="J473" i="42"/>
  <c r="J474" i="42"/>
  <c r="J475" i="42"/>
  <c r="J476" i="42"/>
  <c r="J477" i="42"/>
  <c r="J478" i="42"/>
  <c r="J479" i="42"/>
  <c r="J480" i="42"/>
  <c r="J481" i="42"/>
  <c r="J482" i="42"/>
  <c r="J483" i="42"/>
  <c r="J484" i="42"/>
  <c r="J485" i="42"/>
  <c r="J486" i="42"/>
  <c r="J487" i="42"/>
  <c r="J488" i="42"/>
  <c r="J489" i="42"/>
  <c r="J490" i="42"/>
  <c r="J491" i="42"/>
  <c r="J492" i="42"/>
  <c r="J493" i="42"/>
  <c r="J494" i="42"/>
  <c r="J495" i="42"/>
  <c r="J496" i="42"/>
  <c r="J497" i="42"/>
  <c r="J498" i="42"/>
  <c r="J499" i="42"/>
  <c r="J500" i="42"/>
  <c r="J501" i="42"/>
  <c r="J502" i="42"/>
  <c r="J503" i="42"/>
  <c r="J504" i="42"/>
  <c r="J505" i="42"/>
  <c r="J506" i="42"/>
  <c r="J507" i="42"/>
  <c r="J508" i="42"/>
  <c r="J509" i="42"/>
  <c r="J510" i="42"/>
  <c r="J511" i="42"/>
  <c r="J512" i="42"/>
  <c r="J513" i="42"/>
  <c r="J514" i="42"/>
  <c r="J515" i="42"/>
  <c r="J516" i="42"/>
  <c r="J517" i="42"/>
  <c r="J518" i="42"/>
  <c r="J519" i="42"/>
  <c r="J520" i="42"/>
  <c r="J521" i="42"/>
  <c r="J522" i="42"/>
  <c r="J523" i="42"/>
  <c r="J524" i="42"/>
  <c r="J525" i="42"/>
  <c r="J526" i="42"/>
  <c r="J527" i="42"/>
  <c r="J528" i="42"/>
  <c r="J529" i="42"/>
  <c r="J530" i="42"/>
  <c r="J531" i="42"/>
  <c r="J532" i="42"/>
  <c r="J533" i="42"/>
  <c r="J534" i="42"/>
  <c r="J535" i="42"/>
  <c r="J536" i="42"/>
  <c r="J537" i="42"/>
  <c r="J538" i="42"/>
  <c r="J539" i="42"/>
  <c r="J540" i="42"/>
  <c r="J541" i="42"/>
  <c r="J542" i="42"/>
  <c r="J543" i="42"/>
  <c r="J544" i="42"/>
  <c r="J545" i="42"/>
  <c r="J546" i="42"/>
  <c r="J547" i="42"/>
  <c r="J548" i="42"/>
  <c r="J549" i="42"/>
  <c r="J550" i="42"/>
  <c r="J551" i="42"/>
  <c r="J552" i="42"/>
  <c r="J553" i="42"/>
  <c r="J554" i="42"/>
  <c r="J555" i="42"/>
  <c r="J556" i="42"/>
  <c r="J557" i="42"/>
  <c r="J558" i="42"/>
  <c r="J559" i="42"/>
  <c r="J560" i="42"/>
  <c r="J561" i="42"/>
  <c r="J562" i="42"/>
  <c r="J563" i="42"/>
  <c r="J564" i="42"/>
  <c r="J565" i="42"/>
  <c r="J566" i="42"/>
  <c r="J567" i="42"/>
  <c r="J568" i="42"/>
  <c r="J569" i="42"/>
  <c r="J570" i="42"/>
  <c r="J571" i="42"/>
  <c r="J572" i="42"/>
  <c r="J573" i="42"/>
  <c r="J574" i="42"/>
  <c r="J575" i="42"/>
  <c r="J576" i="42"/>
  <c r="J577" i="42"/>
  <c r="J578" i="42"/>
  <c r="J579" i="42"/>
  <c r="J580" i="42"/>
  <c r="J581" i="42"/>
  <c r="J582" i="42"/>
  <c r="J583" i="42"/>
  <c r="J584" i="42"/>
  <c r="J585" i="42"/>
  <c r="J586" i="42"/>
  <c r="J587" i="42"/>
  <c r="J588" i="42"/>
  <c r="J589" i="42"/>
  <c r="J590" i="42"/>
  <c r="J591" i="42"/>
  <c r="J592" i="42"/>
  <c r="J593" i="42"/>
  <c r="J594" i="42"/>
  <c r="J595" i="42"/>
  <c r="J596" i="42"/>
  <c r="J597" i="42"/>
  <c r="J598" i="42"/>
  <c r="J599" i="42"/>
  <c r="J600" i="42"/>
  <c r="J601" i="42"/>
  <c r="J602" i="42"/>
  <c r="J603" i="42"/>
  <c r="J604" i="42"/>
  <c r="J605" i="42"/>
  <c r="J606" i="42"/>
  <c r="J607" i="42"/>
  <c r="J608" i="42"/>
  <c r="J609" i="42"/>
  <c r="J610" i="42"/>
  <c r="J611" i="42"/>
  <c r="J612" i="42"/>
  <c r="J613" i="42"/>
  <c r="J614" i="42"/>
  <c r="J615" i="42"/>
  <c r="J616" i="42"/>
  <c r="J617" i="42"/>
  <c r="J618" i="42"/>
  <c r="J619" i="42"/>
  <c r="J620" i="42"/>
  <c r="J621" i="42"/>
  <c r="J622" i="42"/>
  <c r="J623" i="42"/>
  <c r="J624" i="42"/>
  <c r="J625" i="42"/>
  <c r="J626" i="42"/>
  <c r="J627" i="42"/>
  <c r="J628" i="42"/>
  <c r="J629" i="42"/>
  <c r="J630" i="42"/>
  <c r="J631" i="42"/>
  <c r="J632" i="42"/>
  <c r="J633" i="42"/>
  <c r="J634" i="42"/>
  <c r="J635" i="42"/>
  <c r="J636" i="42"/>
  <c r="J637" i="42"/>
  <c r="J638" i="42"/>
  <c r="J639" i="42"/>
  <c r="J640" i="42"/>
  <c r="J641" i="42"/>
  <c r="J642" i="42"/>
  <c r="J643" i="42"/>
  <c r="J644" i="42"/>
  <c r="J645" i="42"/>
  <c r="J646" i="42"/>
  <c r="J647" i="42"/>
  <c r="J648" i="42"/>
  <c r="J649" i="42"/>
  <c r="J650" i="42"/>
  <c r="J651" i="42"/>
  <c r="J652" i="42"/>
  <c r="J653" i="42"/>
  <c r="J654" i="42"/>
  <c r="J655" i="42"/>
  <c r="J656" i="42"/>
  <c r="J657" i="42"/>
  <c r="J658" i="42"/>
  <c r="J659" i="42"/>
  <c r="J660" i="42"/>
  <c r="J661" i="42"/>
  <c r="J662" i="42"/>
  <c r="J663" i="42"/>
  <c r="J664" i="42"/>
  <c r="J665" i="42"/>
  <c r="J666" i="42"/>
  <c r="J667" i="42"/>
  <c r="J668" i="42"/>
  <c r="J669" i="42"/>
  <c r="J670" i="42"/>
  <c r="J671" i="42"/>
  <c r="J672" i="42"/>
  <c r="J673" i="42"/>
  <c r="J674" i="42"/>
  <c r="J675" i="42"/>
  <c r="J676" i="42"/>
  <c r="J677" i="42"/>
  <c r="J678" i="42"/>
  <c r="J679" i="42"/>
  <c r="J680" i="42"/>
  <c r="J681" i="42"/>
  <c r="J682" i="42"/>
  <c r="J683" i="42"/>
  <c r="J684" i="42"/>
  <c r="J685" i="42"/>
  <c r="J686" i="42"/>
  <c r="J687" i="42"/>
  <c r="J688" i="42"/>
  <c r="J689" i="42"/>
  <c r="J690" i="42"/>
  <c r="J691" i="42"/>
  <c r="J692" i="42"/>
  <c r="J693" i="42"/>
  <c r="J694" i="42"/>
  <c r="J695" i="42"/>
  <c r="J696" i="42"/>
  <c r="J697" i="42"/>
  <c r="J698" i="42"/>
  <c r="J699" i="42"/>
  <c r="J700" i="42"/>
  <c r="J701" i="42"/>
  <c r="J702" i="42"/>
  <c r="J703" i="42"/>
  <c r="J704" i="42"/>
  <c r="J705" i="42"/>
  <c r="J706" i="42"/>
  <c r="J707" i="42"/>
  <c r="J708" i="42"/>
  <c r="J709" i="42"/>
  <c r="J710" i="42"/>
  <c r="J711" i="42"/>
  <c r="J712" i="42"/>
  <c r="J713" i="42"/>
  <c r="J714" i="42"/>
  <c r="J715" i="42"/>
  <c r="J716" i="42"/>
  <c r="J717" i="42"/>
  <c r="J718" i="42"/>
  <c r="J719" i="42"/>
  <c r="J720" i="42"/>
  <c r="J721" i="42"/>
  <c r="J722" i="42"/>
  <c r="J723" i="42"/>
  <c r="J724" i="42"/>
  <c r="J725" i="42"/>
  <c r="J726" i="42"/>
  <c r="J727" i="42"/>
  <c r="J728" i="42"/>
  <c r="J729" i="42"/>
  <c r="J730" i="42"/>
  <c r="J731" i="42"/>
  <c r="J732" i="42"/>
  <c r="J733" i="42"/>
  <c r="J734" i="42"/>
  <c r="J735" i="42"/>
  <c r="J736" i="42"/>
  <c r="J737" i="42"/>
  <c r="J738" i="42"/>
  <c r="J739" i="42"/>
  <c r="J740" i="42"/>
  <c r="J741" i="42"/>
  <c r="J742" i="42"/>
  <c r="J743" i="42"/>
  <c r="J744" i="42"/>
  <c r="J745" i="42"/>
  <c r="J746" i="42"/>
  <c r="J747" i="42"/>
  <c r="J748" i="42"/>
  <c r="J749" i="42"/>
  <c r="J750" i="42"/>
  <c r="J751" i="42"/>
  <c r="J752" i="42"/>
  <c r="J753" i="42"/>
  <c r="J754" i="42"/>
  <c r="J755" i="42"/>
  <c r="J756" i="42"/>
  <c r="J757" i="42"/>
  <c r="J758" i="42"/>
  <c r="J759" i="42"/>
  <c r="J760" i="42"/>
  <c r="J761" i="42"/>
  <c r="J762" i="42"/>
  <c r="J763" i="42"/>
  <c r="J764" i="42"/>
  <c r="J765" i="42"/>
  <c r="J766" i="42"/>
  <c r="J767" i="42"/>
  <c r="J768" i="42"/>
  <c r="J769" i="42"/>
  <c r="J770" i="42"/>
  <c r="J771" i="42"/>
  <c r="J772" i="42"/>
  <c r="J773" i="42"/>
  <c r="J774" i="42"/>
  <c r="J775" i="42"/>
  <c r="J776" i="42"/>
  <c r="J777" i="42"/>
  <c r="J778" i="42"/>
  <c r="J779" i="42"/>
  <c r="J780" i="42"/>
  <c r="J781" i="42"/>
  <c r="J782" i="42"/>
  <c r="J783" i="42"/>
  <c r="J784" i="42"/>
  <c r="J785" i="42"/>
  <c r="J786" i="42"/>
  <c r="J787" i="42"/>
  <c r="J788" i="42"/>
  <c r="J789" i="42"/>
  <c r="J790" i="42"/>
  <c r="J791" i="42"/>
  <c r="J792" i="42"/>
  <c r="J793" i="42"/>
  <c r="J794" i="42"/>
  <c r="J795" i="42"/>
  <c r="J796" i="42"/>
  <c r="J797" i="42"/>
  <c r="J798" i="42"/>
  <c r="J799" i="42"/>
  <c r="J800" i="42"/>
  <c r="J801" i="42"/>
  <c r="J802" i="42"/>
  <c r="J803" i="42"/>
  <c r="J804" i="42"/>
  <c r="J805" i="42"/>
  <c r="J806" i="42"/>
  <c r="J807" i="42"/>
  <c r="J808" i="42"/>
  <c r="J809" i="42"/>
  <c r="J810" i="42"/>
  <c r="J811" i="42"/>
  <c r="J812" i="42"/>
  <c r="J813" i="42"/>
  <c r="J814" i="42"/>
  <c r="J815" i="42"/>
  <c r="J816" i="42"/>
  <c r="J817" i="42"/>
  <c r="J818" i="42"/>
  <c r="J819" i="42"/>
  <c r="J820" i="42"/>
  <c r="J821" i="42"/>
  <c r="J822" i="42"/>
  <c r="J823" i="42"/>
  <c r="J824" i="42"/>
  <c r="J825" i="42"/>
  <c r="J826" i="42"/>
  <c r="J827" i="42"/>
  <c r="J828" i="42"/>
  <c r="J829" i="42"/>
  <c r="J830" i="42"/>
  <c r="J831" i="42"/>
  <c r="J832" i="42"/>
  <c r="J833" i="42"/>
  <c r="J834" i="42"/>
  <c r="J835" i="42"/>
  <c r="J836" i="42"/>
  <c r="J837" i="42"/>
  <c r="J838" i="42"/>
  <c r="J839" i="42"/>
  <c r="J840" i="42"/>
  <c r="J841" i="42"/>
  <c r="J842" i="42"/>
  <c r="J843" i="42"/>
  <c r="J844" i="42"/>
  <c r="J845" i="42"/>
  <c r="J846" i="42"/>
  <c r="J847" i="42"/>
  <c r="J848" i="42"/>
  <c r="J849" i="42"/>
  <c r="J850" i="42"/>
  <c r="J851" i="42"/>
  <c r="J852" i="42"/>
  <c r="J853" i="42"/>
  <c r="J854" i="42"/>
  <c r="J855" i="42"/>
  <c r="J856" i="42"/>
  <c r="J857" i="42"/>
  <c r="J858" i="42"/>
  <c r="J859" i="42"/>
  <c r="J860" i="42"/>
  <c r="J861" i="42"/>
  <c r="J862" i="42"/>
  <c r="J863" i="42"/>
  <c r="J864" i="42"/>
  <c r="J865" i="42"/>
  <c r="J866" i="42"/>
  <c r="J867" i="42"/>
  <c r="J868" i="42"/>
  <c r="J869" i="42"/>
  <c r="J870" i="42"/>
  <c r="J871" i="42"/>
  <c r="J872" i="42"/>
  <c r="J873" i="42"/>
  <c r="J874" i="42"/>
  <c r="J875" i="42"/>
  <c r="J876" i="42"/>
  <c r="J877" i="42"/>
  <c r="J878" i="42"/>
  <c r="J879" i="42"/>
  <c r="J880" i="42"/>
  <c r="J881" i="42"/>
  <c r="J882" i="42"/>
  <c r="J883" i="42"/>
  <c r="J884" i="42"/>
  <c r="J885" i="42"/>
  <c r="J886" i="42"/>
  <c r="J887" i="42"/>
  <c r="J888" i="42"/>
  <c r="J889" i="42"/>
  <c r="J890" i="42"/>
  <c r="J891" i="42"/>
  <c r="J892" i="42"/>
  <c r="J893" i="42"/>
  <c r="J894" i="42"/>
  <c r="J895" i="42"/>
  <c r="J896" i="42"/>
  <c r="J897" i="42"/>
  <c r="J898" i="42"/>
  <c r="J899" i="42"/>
  <c r="J900" i="42"/>
  <c r="J901" i="42"/>
  <c r="J902" i="42"/>
  <c r="J903" i="42"/>
  <c r="J904" i="42"/>
  <c r="J905" i="42"/>
  <c r="J906" i="42"/>
  <c r="J907" i="42"/>
  <c r="J908" i="42"/>
  <c r="J909" i="42"/>
  <c r="J910" i="42"/>
  <c r="J911" i="42"/>
  <c r="J912" i="42"/>
  <c r="J913" i="42"/>
  <c r="J914" i="42"/>
  <c r="J915" i="42"/>
  <c r="J916" i="42"/>
  <c r="J917" i="42"/>
  <c r="J918" i="42"/>
  <c r="J919" i="42"/>
  <c r="J920" i="42"/>
  <c r="J921" i="42"/>
  <c r="J922" i="42"/>
  <c r="J923" i="42"/>
  <c r="J924" i="42"/>
  <c r="J925" i="42"/>
  <c r="J926" i="42"/>
  <c r="J927" i="42"/>
  <c r="J928" i="42"/>
  <c r="J929" i="42"/>
  <c r="J930" i="42"/>
  <c r="J931" i="42"/>
  <c r="J932" i="42"/>
  <c r="J933" i="42"/>
  <c r="J934" i="42"/>
  <c r="J935" i="42"/>
  <c r="J936" i="42"/>
  <c r="J937" i="42"/>
  <c r="J938" i="42"/>
  <c r="J939" i="42"/>
  <c r="J940" i="42"/>
  <c r="J941" i="42"/>
  <c r="J942" i="42"/>
  <c r="J943" i="42"/>
  <c r="J944" i="42"/>
  <c r="J945" i="42"/>
  <c r="J946" i="42"/>
  <c r="J947" i="42"/>
  <c r="J948" i="42"/>
  <c r="J949" i="42"/>
  <c r="J950" i="42"/>
  <c r="J951" i="42"/>
  <c r="J952" i="42"/>
  <c r="J953" i="42"/>
  <c r="J954" i="42"/>
  <c r="J955" i="42"/>
  <c r="J956" i="42"/>
  <c r="J957" i="42"/>
  <c r="J958" i="42"/>
  <c r="J959" i="42"/>
  <c r="J960" i="42"/>
  <c r="J961" i="42"/>
  <c r="J962" i="42"/>
  <c r="J963" i="42"/>
  <c r="J964" i="42"/>
  <c r="J965" i="42"/>
  <c r="J966" i="42"/>
  <c r="J967" i="42"/>
  <c r="J968" i="42"/>
  <c r="J969" i="42"/>
  <c r="J970" i="42"/>
  <c r="J971" i="42"/>
  <c r="J972" i="42"/>
  <c r="J973" i="42"/>
  <c r="J974" i="42"/>
  <c r="J975" i="42"/>
  <c r="J976" i="42"/>
  <c r="J977" i="42"/>
  <c r="J978" i="42"/>
  <c r="J979" i="42"/>
  <c r="J980" i="42"/>
  <c r="J981" i="42"/>
  <c r="J982" i="42"/>
  <c r="J983" i="42"/>
  <c r="J984" i="42"/>
  <c r="J985" i="42"/>
  <c r="J986" i="42"/>
  <c r="J987" i="42"/>
  <c r="J988" i="42"/>
  <c r="J989" i="42"/>
  <c r="J990" i="42"/>
  <c r="J991" i="42"/>
  <c r="J992" i="42"/>
  <c r="J993" i="42"/>
  <c r="J994" i="42"/>
  <c r="J995" i="42"/>
  <c r="J996" i="42"/>
  <c r="J997" i="42"/>
  <c r="J998" i="42"/>
  <c r="J999" i="42"/>
  <c r="J1000" i="42"/>
  <c r="J1001" i="42"/>
  <c r="J1002" i="42"/>
  <c r="J1003" i="42"/>
  <c r="J1004" i="42"/>
  <c r="J1005" i="42"/>
  <c r="J1006" i="42"/>
  <c r="J1007" i="42"/>
  <c r="J1008" i="42"/>
  <c r="J1009" i="42"/>
  <c r="J1010" i="42"/>
  <c r="J1011" i="42"/>
  <c r="J1012" i="42"/>
  <c r="J1013" i="42"/>
  <c r="J1014" i="42"/>
  <c r="J1015" i="42"/>
  <c r="J1016" i="42"/>
  <c r="J1017" i="42"/>
  <c r="J1018" i="42"/>
  <c r="J1019" i="42"/>
  <c r="J1020" i="42"/>
  <c r="J1021" i="42"/>
  <c r="J1022" i="42"/>
  <c r="J1023" i="42"/>
  <c r="J1024" i="42"/>
  <c r="J1025" i="42"/>
  <c r="J1026" i="42"/>
  <c r="J1027" i="42"/>
  <c r="J1028" i="42"/>
  <c r="J1029" i="42"/>
  <c r="J1030" i="42"/>
  <c r="J1031" i="42"/>
  <c r="J1032" i="42"/>
  <c r="J1033" i="42"/>
  <c r="J1034" i="42"/>
  <c r="J1035" i="42"/>
  <c r="J1036" i="42"/>
  <c r="J1037" i="42"/>
  <c r="J1038" i="42"/>
  <c r="J1039" i="42"/>
  <c r="J1040" i="42"/>
  <c r="J1041" i="42"/>
  <c r="J1042" i="42"/>
  <c r="J1043" i="42"/>
  <c r="J1044" i="42"/>
  <c r="J1045" i="42"/>
  <c r="J1046" i="42"/>
  <c r="J1047" i="42"/>
  <c r="J1048" i="42"/>
  <c r="J1049" i="42"/>
  <c r="J1050" i="42"/>
  <c r="J1051" i="42"/>
  <c r="J1052" i="42"/>
  <c r="J1053" i="42"/>
  <c r="J1054" i="42"/>
  <c r="J1055" i="42"/>
  <c r="J1056" i="42"/>
  <c r="J1057" i="42"/>
  <c r="J1058" i="42"/>
  <c r="J1059" i="42"/>
  <c r="J1060" i="42"/>
  <c r="J1061" i="42"/>
  <c r="J1062" i="42"/>
  <c r="J1063" i="42"/>
  <c r="J1064" i="42"/>
  <c r="J1065" i="42"/>
  <c r="J1066" i="42"/>
  <c r="J1067" i="42"/>
  <c r="J1068" i="42"/>
  <c r="J1069" i="42"/>
  <c r="J1070" i="42"/>
  <c r="J1071" i="42"/>
  <c r="J1072" i="42"/>
  <c r="J1073" i="42"/>
  <c r="J1074" i="42"/>
  <c r="J1075" i="42"/>
  <c r="J1076" i="42"/>
  <c r="J1077" i="42"/>
  <c r="J1078" i="42"/>
  <c r="J1079" i="42"/>
  <c r="J1080" i="42"/>
  <c r="J1081" i="42"/>
  <c r="J1082" i="42"/>
  <c r="J1083" i="42"/>
  <c r="J1084" i="42"/>
  <c r="J1085" i="42"/>
  <c r="J1086" i="42"/>
  <c r="J1087" i="42"/>
  <c r="J1088" i="42"/>
  <c r="J1089" i="42"/>
  <c r="J1090" i="42"/>
  <c r="J1091" i="42"/>
  <c r="J1092" i="42"/>
  <c r="J1093" i="42"/>
  <c r="J1094" i="42"/>
  <c r="J1095" i="42"/>
  <c r="J1096" i="42"/>
  <c r="J1097" i="42"/>
  <c r="J1098" i="42"/>
  <c r="J1099" i="42"/>
  <c r="J1100" i="42"/>
  <c r="J1101" i="42"/>
  <c r="J1102" i="42"/>
  <c r="J1103" i="42"/>
  <c r="J1104" i="42"/>
  <c r="J1105" i="42"/>
  <c r="J1106" i="42"/>
  <c r="J1107" i="42"/>
  <c r="J1108" i="42"/>
  <c r="J1109" i="42"/>
  <c r="J1110" i="42"/>
  <c r="J1111" i="42"/>
  <c r="J1112" i="42"/>
  <c r="J1113" i="42"/>
  <c r="J1114" i="42"/>
  <c r="J1115" i="42"/>
  <c r="J1116" i="42"/>
  <c r="J1117" i="42"/>
  <c r="J1118" i="42"/>
  <c r="J1119" i="42"/>
  <c r="J1120" i="42"/>
  <c r="J1121" i="42"/>
  <c r="J1122" i="42"/>
  <c r="J1123" i="42"/>
  <c r="J1124" i="42"/>
  <c r="J1125" i="42"/>
  <c r="J1126" i="42"/>
  <c r="J1127" i="42"/>
  <c r="J1128" i="42"/>
  <c r="J1129" i="42"/>
  <c r="J1130" i="42"/>
  <c r="J1131" i="42"/>
  <c r="J1132" i="42"/>
  <c r="J1133" i="42"/>
  <c r="J1134" i="42"/>
  <c r="J1135" i="42"/>
  <c r="J1136" i="42"/>
  <c r="J1137" i="42"/>
  <c r="J1138" i="42"/>
  <c r="J1139" i="42"/>
  <c r="J1140" i="42"/>
  <c r="J1141" i="42"/>
  <c r="J1142" i="42"/>
  <c r="J1143" i="42"/>
  <c r="J1144" i="42"/>
  <c r="J1145" i="42"/>
  <c r="J1146" i="42"/>
  <c r="J1147" i="42"/>
  <c r="J1148" i="42"/>
  <c r="J1149" i="42"/>
  <c r="J1150" i="42"/>
  <c r="J1151" i="42"/>
  <c r="J1152" i="42"/>
  <c r="J1153" i="42"/>
  <c r="J1154" i="42"/>
  <c r="J1155" i="42"/>
  <c r="J1156" i="42"/>
  <c r="J1157" i="42"/>
  <c r="J1158" i="42"/>
  <c r="J1159" i="42"/>
  <c r="J1160" i="42"/>
  <c r="J1161" i="42"/>
  <c r="J1162" i="42"/>
  <c r="J1163" i="42"/>
  <c r="J1164" i="42"/>
  <c r="J1165" i="42"/>
  <c r="J1166" i="42"/>
  <c r="J1167" i="42"/>
  <c r="J1168" i="42"/>
  <c r="J1169" i="42"/>
  <c r="J1170" i="42"/>
  <c r="J1171" i="42"/>
  <c r="J1172" i="42"/>
  <c r="J1173" i="42"/>
  <c r="J1174" i="42"/>
  <c r="J1175" i="42"/>
  <c r="J1176" i="42"/>
  <c r="J1177" i="42"/>
  <c r="J1178" i="42"/>
  <c r="J1179" i="42"/>
  <c r="J1180" i="42"/>
  <c r="J1181" i="42"/>
  <c r="J1182" i="42"/>
  <c r="J1183" i="42"/>
  <c r="J1184" i="42"/>
  <c r="J1185" i="42"/>
  <c r="J1186" i="42"/>
  <c r="J1187" i="42"/>
  <c r="J1188" i="42"/>
  <c r="J1189" i="42"/>
  <c r="J1190" i="42"/>
  <c r="J1191" i="42"/>
  <c r="J1192" i="42"/>
  <c r="J1193" i="42"/>
  <c r="J1194" i="42"/>
  <c r="J1195" i="42"/>
  <c r="J1196" i="42"/>
  <c r="J1197" i="42"/>
  <c r="J1198" i="42"/>
  <c r="J1199" i="42"/>
  <c r="J1200" i="42"/>
  <c r="J1201" i="42"/>
  <c r="J1202" i="42"/>
  <c r="J1203" i="42"/>
  <c r="J1204" i="42"/>
  <c r="J1205" i="42"/>
  <c r="J1206" i="42"/>
  <c r="J1207" i="42"/>
  <c r="J1208" i="42"/>
  <c r="J1209" i="42"/>
  <c r="J1210" i="42"/>
  <c r="J1211" i="42"/>
  <c r="J1212" i="42"/>
  <c r="J1213" i="42"/>
  <c r="J1214" i="42"/>
  <c r="J1215" i="42"/>
  <c r="J1216" i="42"/>
  <c r="J1217" i="42"/>
  <c r="J1218" i="42"/>
  <c r="J1219" i="42"/>
  <c r="J1220" i="42"/>
  <c r="J1221" i="42"/>
  <c r="J1222" i="42"/>
  <c r="J1223" i="42"/>
  <c r="J1224" i="42"/>
  <c r="J1225" i="42"/>
  <c r="J1226" i="42"/>
  <c r="J1227" i="42"/>
  <c r="J1228" i="42"/>
  <c r="J1229" i="42"/>
  <c r="J1230" i="42"/>
  <c r="J1231" i="42"/>
  <c r="J1232" i="42"/>
  <c r="J1233" i="42"/>
  <c r="J1234" i="42"/>
  <c r="J1235" i="42"/>
  <c r="J1236" i="42"/>
  <c r="J1237" i="42"/>
  <c r="J1238" i="42"/>
  <c r="J1239" i="42"/>
  <c r="J1240" i="42"/>
  <c r="J1241" i="42"/>
  <c r="J1242" i="42"/>
  <c r="J1243" i="42"/>
  <c r="J1244" i="42"/>
  <c r="J1245" i="42"/>
  <c r="J1246" i="42"/>
  <c r="J1247" i="42"/>
  <c r="J1248" i="42"/>
  <c r="J1249" i="42"/>
  <c r="J1250" i="42"/>
  <c r="J1251" i="42"/>
  <c r="J1252" i="42"/>
  <c r="J1253" i="42"/>
  <c r="J1254" i="42"/>
  <c r="J1255" i="42"/>
  <c r="J1256" i="42"/>
  <c r="J1257" i="42"/>
  <c r="J1258" i="42"/>
  <c r="J1259" i="42"/>
  <c r="J1260" i="42"/>
  <c r="J1261" i="42"/>
  <c r="J1262" i="42"/>
  <c r="J1263" i="42"/>
  <c r="J1264" i="42"/>
  <c r="J1265" i="42"/>
  <c r="J1266" i="42"/>
  <c r="J1267" i="42"/>
  <c r="J1268" i="42"/>
  <c r="J1269" i="42"/>
  <c r="J1270" i="42"/>
  <c r="J1271" i="42"/>
  <c r="J1272" i="42"/>
  <c r="J1273" i="42"/>
  <c r="J1274" i="42"/>
  <c r="J1275" i="42"/>
  <c r="J1276" i="42"/>
  <c r="J1277" i="42"/>
  <c r="J1278" i="42"/>
  <c r="J1279" i="42"/>
  <c r="J1280" i="42"/>
  <c r="J1281" i="42"/>
  <c r="J1282" i="42"/>
  <c r="J1283" i="42"/>
  <c r="J1284" i="42"/>
  <c r="J1285" i="42"/>
  <c r="J1286" i="42"/>
  <c r="J1287" i="42"/>
  <c r="J1288" i="42"/>
  <c r="J1289" i="42"/>
  <c r="J1290" i="42"/>
  <c r="J1291" i="42"/>
  <c r="J1292" i="42"/>
  <c r="J1293" i="42"/>
  <c r="J1294" i="42"/>
  <c r="J1295" i="42"/>
  <c r="J1296" i="42"/>
  <c r="J1297" i="42"/>
  <c r="J1298" i="42"/>
  <c r="J1299" i="42"/>
  <c r="J1300" i="42"/>
  <c r="J1301" i="42"/>
  <c r="J1302" i="42"/>
  <c r="J1303" i="42"/>
  <c r="J1304" i="42"/>
  <c r="J1305" i="42"/>
  <c r="J1306" i="42"/>
  <c r="J1307" i="42"/>
  <c r="J1308" i="42"/>
  <c r="J1309" i="42"/>
  <c r="J1310" i="42"/>
  <c r="J1311" i="42"/>
  <c r="J1312" i="42"/>
  <c r="J1313" i="42"/>
  <c r="J1314" i="42"/>
  <c r="J1315" i="42"/>
  <c r="J1316" i="42"/>
  <c r="J1317" i="42"/>
  <c r="J1318" i="42"/>
  <c r="J1319" i="42"/>
  <c r="J1320" i="42"/>
  <c r="J1321" i="42"/>
  <c r="J1322" i="42"/>
  <c r="J1323" i="42"/>
  <c r="J1324" i="42"/>
  <c r="J1325" i="42"/>
  <c r="J1326" i="42"/>
  <c r="J1327" i="42"/>
  <c r="J1328" i="42"/>
  <c r="J1329" i="42"/>
  <c r="J1330" i="42"/>
  <c r="J1331" i="42"/>
  <c r="J1332" i="42"/>
  <c r="J1333" i="42"/>
  <c r="J1334" i="42"/>
  <c r="J1335" i="42"/>
  <c r="J1336" i="42"/>
  <c r="J1337" i="42"/>
  <c r="J1338" i="42"/>
  <c r="J1339" i="42"/>
  <c r="J1340" i="42"/>
  <c r="J1341" i="42"/>
  <c r="J1342" i="42"/>
  <c r="J1343" i="42"/>
  <c r="J1344" i="42"/>
  <c r="J1345" i="42"/>
  <c r="J1346" i="42"/>
  <c r="J1347" i="42"/>
  <c r="J1348" i="42"/>
  <c r="J1349" i="42"/>
  <c r="J1350" i="42"/>
  <c r="J1351" i="42"/>
  <c r="J1352" i="42"/>
  <c r="J1353" i="42"/>
  <c r="J1354" i="42"/>
  <c r="J1355" i="42"/>
  <c r="J1356" i="42"/>
  <c r="J1357" i="42"/>
  <c r="J1358" i="42"/>
  <c r="J1359" i="42"/>
  <c r="J1360" i="42"/>
  <c r="J1361" i="42"/>
  <c r="J1362" i="42"/>
  <c r="J1363" i="42"/>
  <c r="J1364" i="42"/>
  <c r="J1365" i="42"/>
  <c r="J1366" i="42"/>
  <c r="J1367" i="42"/>
  <c r="J1368" i="42"/>
  <c r="J1369" i="42"/>
  <c r="J1370" i="42"/>
  <c r="J1371" i="42"/>
  <c r="J1372" i="42"/>
  <c r="J1373" i="42"/>
  <c r="J1374" i="42"/>
  <c r="J1375" i="42"/>
  <c r="J1376" i="42"/>
  <c r="J1377" i="42"/>
  <c r="J1378" i="42"/>
  <c r="J1379" i="42"/>
  <c r="J1380" i="42"/>
  <c r="J1381" i="42"/>
  <c r="J1382" i="42"/>
  <c r="J1383" i="42"/>
  <c r="J1384" i="42"/>
  <c r="J1385" i="42"/>
  <c r="J1386" i="42"/>
  <c r="J1387" i="42"/>
  <c r="J1388" i="42"/>
  <c r="J1389" i="42"/>
  <c r="J1390" i="42"/>
  <c r="J1391" i="42"/>
  <c r="J1392" i="42"/>
  <c r="J1393" i="42"/>
  <c r="J1394" i="42"/>
  <c r="J1395" i="42"/>
  <c r="J1396" i="42"/>
  <c r="J1397" i="42"/>
  <c r="J1398" i="42"/>
  <c r="J1399" i="42"/>
  <c r="J1400" i="42"/>
  <c r="J1401" i="42"/>
  <c r="J1402" i="42"/>
  <c r="J1403" i="42"/>
  <c r="J1404" i="42"/>
  <c r="J1405" i="42"/>
  <c r="J1406" i="42"/>
  <c r="J1407" i="42"/>
  <c r="J1408" i="42"/>
  <c r="J1409" i="42"/>
  <c r="J1410" i="42"/>
  <c r="J1411" i="42"/>
  <c r="J1412" i="42"/>
  <c r="J1413" i="42"/>
  <c r="J1414" i="42"/>
  <c r="J1415" i="42"/>
  <c r="J1416" i="42"/>
  <c r="J1417" i="42"/>
  <c r="J1418" i="42"/>
  <c r="J1419" i="42"/>
  <c r="J1420" i="42"/>
  <c r="J1421" i="42"/>
  <c r="J1422" i="42"/>
  <c r="J1423" i="42"/>
  <c r="J1424" i="42"/>
  <c r="J1425" i="42"/>
  <c r="J1426" i="42"/>
  <c r="J1427" i="42"/>
  <c r="J1428" i="42"/>
  <c r="J1429" i="42"/>
  <c r="J1430" i="42"/>
  <c r="J1431" i="42"/>
  <c r="J1432" i="42"/>
  <c r="J1433" i="42"/>
  <c r="J1434" i="42"/>
  <c r="J1435" i="42"/>
  <c r="J1436" i="42"/>
  <c r="J1437" i="42"/>
  <c r="J1438" i="42"/>
  <c r="J1439" i="42"/>
  <c r="J1440" i="42"/>
  <c r="J1441" i="42"/>
  <c r="J1442" i="42"/>
  <c r="J1443" i="42"/>
  <c r="J1444" i="42"/>
  <c r="J1445" i="42"/>
  <c r="J1446" i="42"/>
  <c r="J1447" i="42"/>
  <c r="J1448" i="42"/>
  <c r="J1449" i="42"/>
  <c r="J1450" i="42"/>
  <c r="J1451" i="42"/>
  <c r="J1452" i="42"/>
  <c r="J1453" i="42"/>
  <c r="J1454" i="42"/>
  <c r="J1455" i="42"/>
  <c r="J1456" i="42"/>
  <c r="J1457" i="42"/>
  <c r="J1458" i="42"/>
  <c r="J1459" i="42"/>
  <c r="J1460" i="42"/>
  <c r="J1461" i="42"/>
  <c r="J1462" i="42"/>
  <c r="J1463" i="42"/>
  <c r="J1464" i="42"/>
  <c r="J1465" i="42"/>
  <c r="J1466" i="42"/>
  <c r="J1467" i="42"/>
  <c r="J1468" i="42"/>
  <c r="J1469" i="42"/>
  <c r="J1470" i="42"/>
  <c r="J1471" i="42"/>
  <c r="J1472" i="42"/>
  <c r="J1473" i="42"/>
  <c r="J1474" i="42"/>
  <c r="J1475" i="42"/>
  <c r="J1476" i="42"/>
  <c r="J1477" i="42"/>
  <c r="J1478" i="42"/>
  <c r="J1479" i="42"/>
  <c r="J1480" i="42"/>
  <c r="J1481" i="42"/>
  <c r="J1482" i="42"/>
  <c r="J1483" i="42"/>
  <c r="J1484" i="42"/>
  <c r="J1485" i="42"/>
  <c r="J1486" i="42"/>
  <c r="J1487" i="42"/>
  <c r="J1488" i="42"/>
  <c r="J1489" i="42"/>
  <c r="J1490" i="42"/>
  <c r="J1491" i="42"/>
  <c r="J1492" i="42"/>
  <c r="J1493" i="42"/>
  <c r="J1494" i="42"/>
  <c r="J1495" i="42"/>
  <c r="J1496" i="42"/>
  <c r="J1497" i="42"/>
  <c r="J1498" i="42"/>
  <c r="J1499" i="42"/>
  <c r="J1500" i="42"/>
  <c r="J1501" i="42"/>
  <c r="J1502" i="42"/>
  <c r="J1503" i="42"/>
  <c r="J1504" i="42"/>
  <c r="J1505" i="42"/>
  <c r="J1506" i="42"/>
  <c r="J1507" i="42"/>
  <c r="J1508" i="42"/>
  <c r="J1509" i="42"/>
  <c r="J1510" i="42"/>
  <c r="J1511" i="42"/>
  <c r="J1512" i="42"/>
  <c r="J1513" i="42"/>
  <c r="J1514" i="42"/>
  <c r="J1515" i="42"/>
  <c r="J1516" i="42"/>
  <c r="J1517" i="42"/>
  <c r="J1518" i="42"/>
  <c r="J1519" i="42"/>
  <c r="J1520" i="42"/>
  <c r="J1521" i="42"/>
  <c r="J1522" i="42"/>
  <c r="J1523" i="42"/>
  <c r="J1524" i="42"/>
  <c r="J1525" i="42"/>
  <c r="J1526" i="42"/>
  <c r="J1527" i="42"/>
  <c r="J1528" i="42"/>
  <c r="J1529" i="42"/>
  <c r="J1530" i="42"/>
  <c r="J1531" i="42"/>
  <c r="J1532" i="42"/>
  <c r="J1533" i="42"/>
  <c r="J1534" i="42"/>
  <c r="J1535" i="42"/>
  <c r="J1536" i="42"/>
  <c r="J1537" i="42"/>
  <c r="J1538" i="42"/>
  <c r="J1539" i="42"/>
  <c r="J1540" i="42"/>
  <c r="J1541" i="42"/>
  <c r="J1542" i="42"/>
  <c r="J1543" i="42"/>
  <c r="J1544" i="42"/>
  <c r="J1545" i="42"/>
  <c r="J1546" i="42"/>
  <c r="J1547" i="42"/>
  <c r="J1548" i="42"/>
  <c r="J1549" i="42"/>
  <c r="J1550" i="42"/>
  <c r="J1551" i="42"/>
  <c r="J1552" i="42"/>
  <c r="J1553" i="42"/>
  <c r="J1554" i="42"/>
  <c r="J1555" i="42"/>
  <c r="J1556" i="42"/>
  <c r="J1557" i="42"/>
  <c r="J1558" i="42"/>
  <c r="J1559" i="42"/>
  <c r="J1560" i="42"/>
  <c r="J1561" i="42"/>
  <c r="J1562" i="42"/>
  <c r="J1563" i="42"/>
  <c r="J1564" i="42"/>
  <c r="J1565" i="42"/>
  <c r="J1566" i="42"/>
  <c r="J1567" i="42"/>
  <c r="J1568" i="42"/>
  <c r="J1569" i="42"/>
  <c r="J1570" i="42"/>
  <c r="J1571" i="42"/>
  <c r="J1572" i="42"/>
  <c r="J1573" i="42"/>
  <c r="J1574" i="42"/>
  <c r="J1575" i="42"/>
  <c r="J1576" i="42"/>
  <c r="J1577" i="42"/>
  <c r="J1578" i="42"/>
  <c r="J1579" i="42"/>
  <c r="J1580" i="42"/>
  <c r="J1581" i="42"/>
  <c r="J1582" i="42"/>
  <c r="J1583" i="42"/>
  <c r="J1584" i="42"/>
  <c r="J1585" i="42"/>
  <c r="J1586" i="42"/>
  <c r="J1587" i="42"/>
  <c r="J1588" i="42"/>
  <c r="J1589" i="42"/>
  <c r="J1590" i="42"/>
  <c r="J1591" i="42"/>
  <c r="J1592" i="42"/>
  <c r="J1593" i="42"/>
  <c r="J1594" i="42"/>
  <c r="J1595" i="42"/>
  <c r="J1596" i="42"/>
  <c r="J1597" i="42"/>
  <c r="J1598" i="42"/>
  <c r="J1599" i="42"/>
  <c r="J1600" i="42"/>
  <c r="J1601" i="42"/>
  <c r="J1602" i="42"/>
  <c r="J1603" i="42"/>
  <c r="J1604" i="42"/>
  <c r="J1605" i="42"/>
  <c r="J1606" i="42"/>
  <c r="J1607" i="42"/>
  <c r="J1608" i="42"/>
  <c r="J1609" i="42"/>
  <c r="J1610" i="42"/>
  <c r="J1611" i="42"/>
  <c r="J1612" i="42"/>
  <c r="J1613" i="42"/>
  <c r="J1614" i="42"/>
  <c r="J1615" i="42"/>
  <c r="J1616" i="42"/>
  <c r="J1617" i="42"/>
  <c r="J1618" i="42"/>
  <c r="J1619" i="42"/>
  <c r="J1620" i="42"/>
  <c r="J1621" i="42"/>
  <c r="J1622" i="42"/>
  <c r="J1623" i="42"/>
  <c r="J1624" i="42"/>
  <c r="J1625" i="42"/>
  <c r="J1626" i="42"/>
  <c r="J1627" i="42"/>
  <c r="J1628" i="42"/>
  <c r="J1629" i="42"/>
  <c r="J1630" i="42"/>
  <c r="J1631" i="42"/>
  <c r="J1632" i="42"/>
  <c r="J1633" i="42"/>
  <c r="J1634" i="42"/>
  <c r="J1635" i="42"/>
  <c r="J1636" i="42"/>
  <c r="J1637" i="42"/>
  <c r="J1638" i="42"/>
  <c r="J1639" i="42"/>
  <c r="J1640" i="42"/>
  <c r="J1641" i="42"/>
  <c r="J1642" i="42"/>
  <c r="J1643" i="42"/>
  <c r="J1644" i="42"/>
  <c r="J1645" i="42"/>
  <c r="J1646" i="42"/>
  <c r="J1647" i="42"/>
  <c r="J1648" i="42"/>
  <c r="J1649" i="42"/>
  <c r="J1650" i="42"/>
  <c r="J1651" i="42"/>
  <c r="J1652" i="42"/>
  <c r="J1653" i="42"/>
  <c r="J1654" i="42"/>
  <c r="J1655" i="42"/>
  <c r="J1656" i="42"/>
  <c r="J1657" i="42"/>
  <c r="J1658" i="42"/>
  <c r="J1659" i="42"/>
  <c r="J1660" i="42"/>
  <c r="J1661" i="42"/>
  <c r="J1662" i="42"/>
  <c r="J1663" i="42"/>
  <c r="J1664" i="42"/>
  <c r="J1665" i="42"/>
  <c r="J1666" i="42"/>
  <c r="J1667" i="42"/>
  <c r="J1668" i="42"/>
  <c r="J1669" i="42"/>
  <c r="J1670" i="42"/>
  <c r="J1671" i="42"/>
  <c r="J1672" i="42"/>
  <c r="J1673" i="42"/>
  <c r="J1674" i="42"/>
  <c r="J1675" i="42"/>
  <c r="J1676" i="42"/>
  <c r="J1677" i="42"/>
  <c r="J1678" i="42"/>
  <c r="J1679" i="42"/>
  <c r="J1680" i="42"/>
  <c r="J1681" i="42"/>
  <c r="J1682" i="42"/>
  <c r="J1683" i="42"/>
  <c r="J1684" i="42"/>
  <c r="J1685" i="42"/>
  <c r="J1686" i="42"/>
  <c r="J1687" i="42"/>
  <c r="J1688" i="42"/>
  <c r="J1689" i="42"/>
  <c r="J1690" i="42"/>
  <c r="J1691" i="42"/>
  <c r="J1692" i="42"/>
  <c r="J1693" i="42"/>
  <c r="J1694" i="42"/>
  <c r="J1695" i="42"/>
  <c r="J1696" i="42"/>
  <c r="J1697" i="42"/>
  <c r="J1698" i="42"/>
  <c r="J1699" i="42"/>
  <c r="J1700" i="42"/>
  <c r="J1701" i="42"/>
  <c r="J1702" i="42"/>
  <c r="J1703" i="42"/>
  <c r="J1704" i="42"/>
  <c r="J1705" i="42"/>
  <c r="J1706" i="42"/>
  <c r="J1707" i="42"/>
  <c r="J1708" i="42"/>
  <c r="J1709" i="42"/>
  <c r="J1710" i="42"/>
  <c r="J1711" i="42"/>
  <c r="J1712" i="42"/>
  <c r="J1713" i="42"/>
  <c r="J1714" i="42"/>
  <c r="J1715" i="42"/>
  <c r="J1716" i="42"/>
  <c r="J1717" i="42"/>
  <c r="J1718" i="42"/>
  <c r="J1719" i="42"/>
  <c r="J1720" i="42"/>
  <c r="J1721" i="42"/>
  <c r="J1722" i="42"/>
  <c r="J1723" i="42"/>
  <c r="J1724" i="42"/>
  <c r="J1725" i="42"/>
  <c r="J1726" i="42"/>
  <c r="J1727" i="42"/>
  <c r="J1728" i="42"/>
  <c r="J1729" i="42"/>
  <c r="J1730" i="42"/>
  <c r="J1731" i="42"/>
  <c r="J1732" i="42"/>
  <c r="J1733" i="42"/>
  <c r="J1734" i="42"/>
  <c r="J1735" i="42"/>
  <c r="J1736" i="42"/>
  <c r="J1737" i="42"/>
  <c r="J1738" i="42"/>
  <c r="J1739" i="42"/>
  <c r="J1740" i="42"/>
  <c r="J1741" i="42"/>
  <c r="J1742" i="42"/>
  <c r="J1743" i="42"/>
  <c r="J1744" i="42"/>
  <c r="J1745" i="42"/>
  <c r="J1746" i="42"/>
  <c r="J1747" i="42"/>
  <c r="J1748" i="42"/>
  <c r="J1749" i="42"/>
  <c r="J1750" i="42"/>
  <c r="J1751" i="42"/>
  <c r="J1752" i="42"/>
  <c r="J1753" i="42"/>
  <c r="J1754" i="42"/>
  <c r="J1755" i="42"/>
  <c r="J1756" i="42"/>
  <c r="J1757" i="42"/>
  <c r="J1758" i="42"/>
  <c r="J1759" i="42"/>
  <c r="J1760" i="42"/>
  <c r="J1761" i="42"/>
  <c r="J1762" i="42"/>
  <c r="J1763" i="42"/>
  <c r="J1764" i="42"/>
  <c r="J1765" i="42"/>
  <c r="J1766" i="42"/>
  <c r="J1767" i="42"/>
  <c r="J1768" i="42"/>
  <c r="J1769" i="42"/>
  <c r="J1770" i="42"/>
  <c r="J1771" i="42"/>
  <c r="J1772" i="42"/>
  <c r="J1773" i="42"/>
  <c r="J1774" i="42"/>
  <c r="J1775" i="42"/>
  <c r="J1776" i="42"/>
  <c r="J1777" i="42"/>
  <c r="J1778" i="42"/>
  <c r="J1779" i="42"/>
  <c r="J1780" i="42"/>
  <c r="J1781" i="42"/>
  <c r="J1782" i="42"/>
  <c r="J1783" i="42"/>
  <c r="J1784" i="42"/>
  <c r="J1785" i="42"/>
  <c r="J1786" i="42"/>
  <c r="J1787" i="42"/>
  <c r="J1788" i="42"/>
  <c r="J1789" i="42"/>
  <c r="J1790" i="42"/>
  <c r="J1791" i="42"/>
  <c r="J1792" i="42"/>
  <c r="J1793" i="42"/>
  <c r="J1794" i="42"/>
  <c r="J1795" i="42"/>
  <c r="J1796" i="42"/>
  <c r="J1797" i="42"/>
  <c r="J1798" i="42"/>
  <c r="J1799" i="42"/>
  <c r="J1800" i="42"/>
  <c r="J1801" i="42"/>
  <c r="J1802" i="42"/>
  <c r="J1803" i="42"/>
  <c r="J1804" i="42"/>
  <c r="J1805" i="42"/>
  <c r="J1806" i="42"/>
  <c r="J1807" i="42"/>
  <c r="J1808" i="42"/>
  <c r="J1809" i="42"/>
  <c r="J1810" i="42"/>
  <c r="J1811" i="42"/>
  <c r="J1812" i="42"/>
  <c r="J1813" i="42"/>
  <c r="J1814" i="42"/>
  <c r="J1815" i="42"/>
  <c r="J1816" i="42"/>
  <c r="J1817" i="42"/>
  <c r="J1818" i="42"/>
  <c r="J1819" i="42"/>
  <c r="J1820" i="42"/>
  <c r="J1821" i="42"/>
  <c r="J1822" i="42"/>
  <c r="J1823" i="42"/>
  <c r="J1824" i="42"/>
  <c r="J1825" i="42"/>
  <c r="J1826" i="42"/>
  <c r="J1827" i="42"/>
  <c r="J1828" i="42"/>
  <c r="J1829" i="42"/>
  <c r="J1830" i="42"/>
  <c r="J1831" i="42"/>
  <c r="J1832" i="42"/>
  <c r="J1833" i="42"/>
  <c r="J1834" i="42"/>
  <c r="J1835" i="42"/>
  <c r="J1836" i="42"/>
  <c r="J1837" i="42"/>
  <c r="J1838" i="42"/>
  <c r="J1839" i="42"/>
  <c r="J1840" i="42"/>
  <c r="J1841" i="42"/>
  <c r="J1842" i="42"/>
  <c r="J1843" i="42"/>
  <c r="J1844" i="42"/>
  <c r="J1845" i="42"/>
  <c r="J1846" i="42"/>
  <c r="J1847" i="42"/>
  <c r="J1848" i="42"/>
  <c r="J1849" i="42"/>
  <c r="J1850" i="42"/>
  <c r="J1851" i="42"/>
  <c r="J1852" i="42"/>
  <c r="J1853" i="42"/>
  <c r="J1854" i="42"/>
  <c r="J1855" i="42"/>
  <c r="J1856" i="42"/>
  <c r="J1857" i="42"/>
  <c r="J1858" i="42"/>
  <c r="J1859" i="42"/>
  <c r="J1860" i="42"/>
  <c r="J1861" i="42"/>
  <c r="J1862" i="42"/>
  <c r="J1863" i="42"/>
  <c r="J1864" i="42"/>
  <c r="J1865" i="42"/>
  <c r="J1866" i="42"/>
  <c r="J1867" i="42"/>
  <c r="J1868" i="42"/>
  <c r="J1869" i="42"/>
  <c r="J1870" i="42"/>
  <c r="J1871" i="42"/>
  <c r="J1872" i="42"/>
  <c r="J1873" i="42"/>
  <c r="J1874" i="42"/>
  <c r="J1875" i="42"/>
  <c r="J1876" i="42"/>
  <c r="J1877" i="42"/>
  <c r="J1878" i="42"/>
  <c r="J1879" i="42"/>
  <c r="J1880" i="42"/>
  <c r="J1881" i="42"/>
  <c r="J1882" i="42"/>
  <c r="J1883" i="42"/>
  <c r="J1884" i="42"/>
  <c r="J1885" i="42"/>
  <c r="J1886" i="42"/>
  <c r="J1887" i="42"/>
  <c r="J1888" i="42"/>
  <c r="J1889" i="42"/>
  <c r="J1890" i="42"/>
  <c r="J1891" i="42"/>
  <c r="J1892" i="42"/>
  <c r="J1893" i="42"/>
  <c r="J1894" i="42"/>
  <c r="J1895" i="42"/>
  <c r="J1896" i="42"/>
  <c r="J1897" i="42"/>
  <c r="J1898" i="42"/>
  <c r="J1899" i="42"/>
  <c r="J1900" i="42"/>
  <c r="J1901" i="42"/>
  <c r="J1902" i="42"/>
  <c r="J1903" i="42"/>
  <c r="J1904" i="42"/>
  <c r="J1905" i="42"/>
  <c r="J1906" i="42"/>
  <c r="J1907" i="42"/>
  <c r="J1908" i="42"/>
  <c r="J1909" i="42"/>
  <c r="J1910" i="42"/>
  <c r="J1911" i="42"/>
  <c r="J1912" i="42"/>
  <c r="J1913" i="42"/>
  <c r="J1914" i="42"/>
  <c r="J1915" i="42"/>
  <c r="J1916" i="42"/>
  <c r="J1917" i="42"/>
  <c r="J1918" i="42"/>
  <c r="J1919" i="42"/>
  <c r="J1920" i="42"/>
  <c r="J1921" i="42"/>
  <c r="J1922" i="42"/>
  <c r="J1923" i="42"/>
  <c r="J1924" i="42"/>
  <c r="J1925" i="42"/>
  <c r="J1926" i="42"/>
  <c r="J1927" i="42"/>
  <c r="J1928" i="42"/>
  <c r="J1929" i="42"/>
  <c r="J1930" i="42"/>
  <c r="J1931" i="42"/>
  <c r="J1932" i="42"/>
  <c r="J1933" i="42"/>
  <c r="J1934" i="42"/>
  <c r="J1935" i="42"/>
  <c r="J1936" i="42"/>
  <c r="J1937" i="42"/>
  <c r="J1938" i="42"/>
  <c r="J1939" i="42"/>
  <c r="J1940" i="42"/>
  <c r="J1941" i="42"/>
  <c r="J1942" i="42"/>
  <c r="J1943" i="42"/>
  <c r="J1944" i="42"/>
  <c r="J1945" i="42"/>
  <c r="J1946" i="42"/>
  <c r="J1947" i="42"/>
  <c r="J1948" i="42"/>
  <c r="J1949" i="42"/>
  <c r="J1950" i="42"/>
  <c r="J1951" i="42"/>
  <c r="J1952" i="42"/>
  <c r="J1953" i="42"/>
  <c r="J1954" i="42"/>
  <c r="J1955" i="42"/>
  <c r="J1956" i="42"/>
  <c r="J1957" i="42"/>
  <c r="J1958" i="42"/>
  <c r="J1959" i="42"/>
  <c r="J1960" i="42"/>
  <c r="J1961" i="42"/>
  <c r="J1962" i="42"/>
  <c r="J1963" i="42"/>
  <c r="J1964" i="42"/>
  <c r="J1965" i="42"/>
  <c r="J1966" i="42"/>
  <c r="J1967" i="42"/>
  <c r="J1968" i="42"/>
  <c r="J1969" i="42"/>
  <c r="J1970" i="42"/>
  <c r="J1971" i="42"/>
  <c r="J1972" i="42"/>
  <c r="J1973" i="42"/>
  <c r="J1974" i="42"/>
  <c r="J1975" i="42"/>
  <c r="J1976" i="42"/>
  <c r="J1977" i="42"/>
  <c r="J1978" i="42"/>
  <c r="J1979" i="42"/>
  <c r="J1980" i="42"/>
  <c r="J1981" i="42"/>
  <c r="J1982" i="42"/>
  <c r="J1983" i="42"/>
  <c r="J1984" i="42"/>
  <c r="J1985" i="42"/>
  <c r="J1986" i="42"/>
  <c r="J1987" i="42"/>
  <c r="J1988" i="42"/>
  <c r="J1989" i="42"/>
  <c r="J1990" i="42"/>
  <c r="J1991" i="42"/>
  <c r="J1992" i="42"/>
  <c r="J1993" i="42"/>
  <c r="J1994" i="42"/>
  <c r="J1995" i="42"/>
  <c r="J1996" i="42"/>
  <c r="J1997" i="42"/>
  <c r="J1998" i="42"/>
  <c r="J1999" i="42"/>
  <c r="J2000" i="42"/>
  <c r="J2001" i="42"/>
  <c r="J2002" i="42"/>
  <c r="J2003" i="42"/>
  <c r="J2004" i="42"/>
  <c r="J2005" i="42"/>
  <c r="J2006" i="42"/>
  <c r="J2007" i="42"/>
  <c r="J2008" i="42"/>
  <c r="J2009" i="42"/>
  <c r="J2010" i="42"/>
  <c r="J2011" i="42"/>
  <c r="J2012" i="42"/>
  <c r="J2013" i="42"/>
  <c r="J2014" i="42"/>
  <c r="J2015" i="42"/>
  <c r="J2016" i="42"/>
  <c r="J2017" i="42"/>
  <c r="J2018" i="42"/>
  <c r="J2019" i="42"/>
  <c r="J2020" i="42"/>
  <c r="J2021" i="42"/>
  <c r="J2022" i="42"/>
  <c r="J2023" i="42"/>
  <c r="J2024" i="42"/>
  <c r="J2025" i="42"/>
  <c r="J2026" i="42"/>
  <c r="J2027" i="42"/>
  <c r="J2028" i="42"/>
  <c r="J2029" i="42"/>
  <c r="J2030" i="42"/>
  <c r="J2031" i="42"/>
  <c r="J2032" i="42"/>
  <c r="J2033" i="42"/>
  <c r="J2034" i="42"/>
  <c r="J2035" i="42"/>
  <c r="J2036" i="42"/>
  <c r="J2037" i="42"/>
  <c r="J2038" i="42"/>
  <c r="J2039" i="42"/>
  <c r="J2040" i="42"/>
  <c r="J2041" i="42"/>
  <c r="J2042" i="42"/>
  <c r="J2043" i="42"/>
  <c r="J2044" i="42"/>
  <c r="J2045" i="42"/>
  <c r="J2046" i="42"/>
  <c r="J2047" i="42"/>
  <c r="J2048" i="42"/>
  <c r="J2049" i="42"/>
  <c r="J2050" i="42"/>
  <c r="J2051" i="42"/>
  <c r="J2052" i="42"/>
  <c r="J2053" i="42"/>
  <c r="J2054" i="42"/>
  <c r="J2055" i="42"/>
  <c r="J2056" i="42"/>
  <c r="J2057" i="42"/>
  <c r="J2058" i="42"/>
  <c r="J2059" i="42"/>
  <c r="J2060" i="42"/>
  <c r="J2061" i="42"/>
  <c r="J2062" i="42"/>
  <c r="J2063" i="42"/>
  <c r="J2064" i="42"/>
  <c r="J2065" i="42"/>
  <c r="J2066" i="42"/>
  <c r="J2067" i="42"/>
  <c r="J2068" i="42"/>
  <c r="J2069" i="42"/>
  <c r="J2070" i="42"/>
  <c r="J2071" i="42"/>
  <c r="J2072" i="42"/>
  <c r="J2073" i="42"/>
  <c r="J2074" i="42"/>
  <c r="J2075" i="42"/>
  <c r="J2076" i="42"/>
  <c r="J2077" i="42"/>
  <c r="J2078" i="42"/>
  <c r="J2079" i="42"/>
  <c r="J2080" i="42"/>
  <c r="J2081" i="42"/>
  <c r="J2082" i="42"/>
  <c r="J2083" i="42"/>
  <c r="J2084" i="42"/>
  <c r="J2085" i="42"/>
  <c r="J2086" i="42"/>
  <c r="J2087" i="42"/>
  <c r="J2088" i="42"/>
  <c r="J2089" i="42"/>
  <c r="J2090" i="42"/>
  <c r="J2091" i="42"/>
  <c r="J2092" i="42"/>
  <c r="J2093" i="42"/>
  <c r="J2094" i="42"/>
  <c r="J2095" i="42"/>
  <c r="J2096" i="42"/>
  <c r="J2097" i="42"/>
  <c r="J2098" i="42"/>
  <c r="J2099" i="42"/>
  <c r="J2100" i="42"/>
  <c r="J2101" i="42"/>
  <c r="J2102" i="42"/>
  <c r="J2103" i="42"/>
  <c r="J2104" i="42"/>
  <c r="J2105" i="42"/>
  <c r="J2106" i="42"/>
  <c r="J2107" i="42"/>
  <c r="J2108" i="42"/>
  <c r="J2109" i="42"/>
  <c r="J2110" i="42"/>
  <c r="J2111" i="42"/>
  <c r="J2112" i="42"/>
  <c r="J2113" i="42"/>
  <c r="J2114" i="42"/>
  <c r="J2115" i="42"/>
  <c r="J2116" i="42"/>
  <c r="J2117" i="42"/>
  <c r="J2118" i="42"/>
  <c r="J2119" i="42"/>
  <c r="J2120" i="42"/>
  <c r="J2121" i="42"/>
  <c r="J2122" i="42"/>
  <c r="J2123" i="42"/>
  <c r="J2124" i="42"/>
  <c r="J2125" i="42"/>
  <c r="J2126" i="42"/>
  <c r="J2127" i="42"/>
  <c r="J2128" i="42"/>
  <c r="J2129" i="42"/>
  <c r="J2130" i="42"/>
  <c r="J2131" i="42"/>
  <c r="J2132" i="42"/>
  <c r="J2133" i="42"/>
  <c r="J2134" i="42"/>
  <c r="J2135" i="42"/>
  <c r="J2136" i="42"/>
  <c r="J2137" i="42"/>
  <c r="J2138" i="42"/>
  <c r="J2139" i="42"/>
  <c r="J2140" i="42"/>
  <c r="J2141" i="42"/>
  <c r="J2142" i="42"/>
  <c r="J2143" i="42"/>
  <c r="J2144" i="42"/>
  <c r="J2145" i="42"/>
  <c r="J2146" i="42"/>
  <c r="J2147" i="42"/>
  <c r="J2148" i="42"/>
  <c r="J2149" i="42"/>
  <c r="J2150" i="42"/>
  <c r="J2151" i="42"/>
  <c r="J2152" i="42"/>
  <c r="J2153" i="42"/>
  <c r="J2154" i="42"/>
  <c r="J2155" i="42"/>
  <c r="J2156" i="42"/>
  <c r="J2157" i="42"/>
  <c r="J2158" i="42"/>
  <c r="J2159" i="42"/>
  <c r="J2160" i="42"/>
  <c r="J2161" i="42"/>
  <c r="J2162" i="42"/>
  <c r="J2163" i="42"/>
  <c r="J2164" i="42"/>
  <c r="J2165" i="42"/>
  <c r="J2166" i="42"/>
  <c r="J2167" i="42"/>
  <c r="J2168" i="42"/>
  <c r="J2169" i="42"/>
  <c r="J2170" i="42"/>
  <c r="J2171" i="42"/>
  <c r="J2172" i="42"/>
  <c r="J2173" i="42"/>
  <c r="J2174" i="42"/>
  <c r="J2175" i="42"/>
  <c r="J2176" i="42"/>
  <c r="J2177" i="42"/>
  <c r="J2178" i="42"/>
  <c r="J2179" i="42"/>
  <c r="J2180" i="42"/>
  <c r="J2181" i="42"/>
  <c r="J2182" i="42"/>
  <c r="J2183" i="42"/>
  <c r="J2184" i="42"/>
  <c r="J2185" i="42"/>
  <c r="J2186" i="42"/>
  <c r="J2187" i="42"/>
  <c r="J2188" i="42"/>
  <c r="J2189" i="42"/>
  <c r="J2190" i="42"/>
  <c r="J2191" i="42"/>
  <c r="J2192" i="42"/>
  <c r="J2193" i="42"/>
  <c r="J2194" i="42"/>
  <c r="J2195" i="42"/>
  <c r="J2196" i="42"/>
  <c r="J2197" i="42"/>
  <c r="J2198" i="42"/>
  <c r="J2199" i="42"/>
  <c r="J2200" i="42"/>
  <c r="J2201" i="42"/>
  <c r="J2202" i="42"/>
  <c r="J2203" i="42"/>
  <c r="J2204" i="42"/>
  <c r="J2205" i="42"/>
  <c r="J2206" i="42"/>
  <c r="J2207" i="42"/>
  <c r="J2208" i="42"/>
  <c r="J2209" i="42"/>
  <c r="J2210" i="42"/>
  <c r="J2211" i="42"/>
  <c r="J2212" i="42"/>
  <c r="J2213" i="42"/>
  <c r="J2214" i="42"/>
  <c r="J2215" i="42"/>
  <c r="J2216" i="42"/>
  <c r="J2217" i="42"/>
  <c r="J2218" i="42"/>
  <c r="J2219" i="42"/>
  <c r="J2220" i="42"/>
  <c r="J2221" i="42"/>
  <c r="J2222" i="42"/>
  <c r="J2223" i="42"/>
  <c r="J2224" i="42"/>
  <c r="J2225" i="42"/>
  <c r="J2226" i="42"/>
  <c r="J2227" i="42"/>
  <c r="J2228" i="42"/>
  <c r="J2229" i="42"/>
  <c r="J2230" i="42"/>
  <c r="J2231" i="42"/>
  <c r="J2232" i="42"/>
  <c r="J2233" i="42"/>
  <c r="J2234" i="42"/>
  <c r="J2235" i="42"/>
  <c r="J2236" i="42"/>
  <c r="J2237" i="42"/>
  <c r="J2238" i="42"/>
  <c r="J2239" i="42"/>
  <c r="J2240" i="42"/>
  <c r="J2241" i="42"/>
  <c r="J2242" i="42"/>
  <c r="J2243" i="42"/>
  <c r="J2244" i="42"/>
  <c r="J2245" i="42"/>
  <c r="J2246" i="42"/>
  <c r="J2247" i="42"/>
  <c r="J2248" i="42"/>
  <c r="J2249" i="42"/>
  <c r="J2250" i="42"/>
  <c r="J2251" i="42"/>
  <c r="J2252" i="42"/>
  <c r="J2253" i="42"/>
  <c r="J2254" i="42"/>
  <c r="J2255" i="42"/>
  <c r="J2256" i="42"/>
  <c r="J2257" i="42"/>
  <c r="J2258" i="42"/>
  <c r="J2259" i="42"/>
  <c r="J2260" i="42"/>
  <c r="J2261" i="42"/>
  <c r="J2262" i="42"/>
  <c r="J2263" i="42"/>
  <c r="J2264" i="42"/>
  <c r="J2265" i="42"/>
  <c r="J2266" i="42"/>
  <c r="J2267" i="42"/>
  <c r="J2268" i="42"/>
  <c r="J2269" i="42"/>
  <c r="J2270" i="42"/>
  <c r="J2271" i="42"/>
  <c r="J2272" i="42"/>
  <c r="J2273" i="42"/>
  <c r="J2274" i="42"/>
  <c r="J2275" i="42"/>
  <c r="J2276" i="42"/>
  <c r="J2277" i="42"/>
  <c r="J2278" i="42"/>
  <c r="J2279" i="42"/>
  <c r="J2280" i="42"/>
  <c r="J2281" i="42"/>
  <c r="J2282" i="42"/>
  <c r="J2283" i="42"/>
  <c r="J2284" i="42"/>
  <c r="J2285" i="42"/>
  <c r="J2286" i="42"/>
  <c r="J2287" i="42"/>
  <c r="J2288" i="42"/>
  <c r="J2289" i="42"/>
  <c r="J2290" i="42"/>
  <c r="J2291" i="42"/>
  <c r="J2292" i="42"/>
  <c r="J2293" i="42"/>
  <c r="J2294" i="42"/>
  <c r="J2295" i="42"/>
  <c r="J2296" i="42"/>
  <c r="J2297" i="42"/>
  <c r="J2298" i="42"/>
  <c r="J2299" i="42"/>
  <c r="J2300" i="42"/>
  <c r="J2301" i="42"/>
  <c r="J2302" i="42"/>
  <c r="J2303" i="42"/>
  <c r="J2304" i="42"/>
  <c r="J2305" i="42"/>
  <c r="J2306" i="42"/>
  <c r="J2307" i="42"/>
  <c r="J2308" i="42"/>
  <c r="J2309" i="42"/>
  <c r="J2310" i="42"/>
  <c r="J2311" i="42"/>
  <c r="J2312" i="42"/>
  <c r="J2313" i="42"/>
  <c r="J2314" i="42"/>
  <c r="J2315" i="42"/>
  <c r="J2316" i="42"/>
  <c r="J2317" i="42"/>
  <c r="J2318" i="42"/>
  <c r="J2319" i="42"/>
  <c r="J2320" i="42"/>
  <c r="J2321" i="42"/>
  <c r="J2322" i="42"/>
  <c r="J2323" i="42"/>
  <c r="J2324" i="42"/>
  <c r="J2325" i="42"/>
  <c r="J2326" i="42"/>
  <c r="J2327" i="42"/>
  <c r="J2328" i="42"/>
  <c r="J2329" i="42"/>
  <c r="J2330" i="42"/>
  <c r="J2331" i="42"/>
  <c r="J2332" i="42"/>
  <c r="J2333" i="42"/>
  <c r="J2334" i="42"/>
  <c r="J2335" i="42"/>
  <c r="J2336" i="42"/>
  <c r="J2337" i="42"/>
  <c r="J2338" i="42"/>
  <c r="J2339" i="42"/>
  <c r="J2340" i="42"/>
  <c r="J2341" i="42"/>
  <c r="J2342" i="42"/>
  <c r="J2343" i="42"/>
  <c r="J2344" i="42"/>
  <c r="J2345" i="42"/>
  <c r="J2346" i="42"/>
  <c r="J2347" i="42"/>
  <c r="J2348" i="42"/>
  <c r="J2349" i="42"/>
  <c r="J2350" i="42"/>
  <c r="J2351" i="42"/>
  <c r="J2352" i="42"/>
  <c r="J2353" i="42"/>
  <c r="J2354" i="42"/>
  <c r="J2355" i="42"/>
  <c r="J2356" i="42"/>
  <c r="J2357" i="42"/>
  <c r="J2358" i="42"/>
  <c r="J2359" i="42"/>
  <c r="J2360" i="42"/>
  <c r="J2361" i="42"/>
  <c r="J2362" i="42"/>
  <c r="J2363" i="42"/>
  <c r="J2364" i="42"/>
  <c r="J2365" i="42"/>
  <c r="J2366" i="42"/>
  <c r="J2367" i="42"/>
  <c r="J2368" i="42"/>
  <c r="J2369" i="42"/>
  <c r="J2370" i="42"/>
  <c r="J2371" i="42"/>
  <c r="J2372" i="42"/>
  <c r="J2373" i="42"/>
  <c r="J2374" i="42"/>
  <c r="J2375" i="42"/>
  <c r="J2376" i="42"/>
  <c r="J2377" i="42"/>
  <c r="J2378" i="42"/>
  <c r="J2379" i="42"/>
  <c r="J2380" i="42"/>
  <c r="J2381" i="42"/>
  <c r="J2382" i="42"/>
  <c r="J2383" i="42"/>
  <c r="J2384" i="42"/>
  <c r="J2385" i="42"/>
  <c r="J2386" i="42"/>
  <c r="J2387" i="42"/>
  <c r="J2388" i="42"/>
  <c r="J2389" i="42"/>
  <c r="J2390" i="42"/>
  <c r="J2391" i="42"/>
  <c r="J2392" i="42"/>
  <c r="J2393" i="42"/>
  <c r="J2394" i="42"/>
  <c r="J2395" i="42"/>
  <c r="J2396" i="42"/>
  <c r="J2397" i="42"/>
  <c r="J2398" i="42"/>
  <c r="J2399" i="42"/>
  <c r="J2400" i="42"/>
  <c r="J2401" i="42"/>
  <c r="J2402" i="42"/>
  <c r="J2403" i="42"/>
  <c r="J2404" i="42"/>
  <c r="J2405" i="42"/>
  <c r="J2406" i="42"/>
  <c r="J2407" i="42"/>
  <c r="J2408" i="42"/>
  <c r="J2409" i="42"/>
  <c r="J2410" i="42"/>
  <c r="J2411" i="42"/>
  <c r="J2412" i="42"/>
  <c r="J2413" i="42"/>
  <c r="J2414" i="42"/>
  <c r="J2415" i="42"/>
  <c r="J2416" i="42"/>
  <c r="J2417" i="42"/>
  <c r="J2418" i="42"/>
  <c r="J2419" i="42"/>
  <c r="J2420" i="42"/>
  <c r="J2421" i="42"/>
  <c r="J2422" i="42"/>
  <c r="J2423" i="42"/>
  <c r="J2424" i="42"/>
  <c r="J2425" i="42"/>
  <c r="J2426" i="42"/>
  <c r="J2427" i="42"/>
  <c r="J2428" i="42"/>
  <c r="J2429" i="42"/>
  <c r="J2430" i="42"/>
  <c r="J2431" i="42"/>
  <c r="J2432" i="42"/>
  <c r="J2433" i="42"/>
  <c r="J2434" i="42"/>
  <c r="J2435" i="42"/>
  <c r="J2436" i="42"/>
  <c r="J2437" i="42"/>
  <c r="J2438" i="42"/>
  <c r="J2439" i="42"/>
  <c r="J2440" i="42"/>
  <c r="J2441" i="42"/>
  <c r="J2442" i="42"/>
  <c r="J2443" i="42"/>
  <c r="J2444" i="42"/>
  <c r="J2445" i="42"/>
  <c r="J2446" i="42"/>
  <c r="J2447" i="42"/>
  <c r="J2448" i="42"/>
  <c r="J2449" i="42"/>
  <c r="J2450" i="42"/>
  <c r="J2451" i="42"/>
  <c r="J2452" i="42"/>
  <c r="J2453" i="42"/>
  <c r="J2454" i="42"/>
  <c r="J2455" i="42"/>
  <c r="J2456" i="42"/>
  <c r="J2457" i="42"/>
  <c r="J2458" i="42"/>
  <c r="J2459" i="42"/>
  <c r="J2460" i="42"/>
  <c r="J2461" i="42"/>
  <c r="J2462" i="42"/>
  <c r="J2463" i="42"/>
  <c r="J2464" i="42"/>
  <c r="J2465" i="42"/>
  <c r="J2466" i="42"/>
  <c r="J2467" i="42"/>
  <c r="J2468" i="42"/>
  <c r="J2469" i="42"/>
  <c r="J2470" i="42"/>
  <c r="J2471" i="42"/>
  <c r="J2472" i="42"/>
  <c r="J2473" i="42"/>
  <c r="J2474" i="42"/>
  <c r="J2475" i="42"/>
  <c r="J2476" i="42"/>
  <c r="J2477" i="42"/>
  <c r="J2478" i="42"/>
  <c r="J2479" i="42"/>
  <c r="J2480" i="42"/>
  <c r="J2481" i="42"/>
  <c r="J2482" i="42"/>
  <c r="J2483" i="42"/>
  <c r="J2484" i="42"/>
  <c r="J2485" i="42"/>
  <c r="J2486" i="42"/>
  <c r="J2487" i="42"/>
  <c r="J2488" i="42"/>
  <c r="J2489" i="42"/>
  <c r="J2490" i="42"/>
  <c r="J2491" i="42"/>
  <c r="J2492" i="42"/>
  <c r="J2493" i="42"/>
  <c r="J2494" i="42"/>
  <c r="J2495" i="42"/>
  <c r="J2496" i="42"/>
  <c r="J2497" i="42"/>
  <c r="J2498" i="42"/>
  <c r="J2499" i="42"/>
  <c r="J2500" i="42"/>
  <c r="J2501" i="42"/>
  <c r="J2502" i="42"/>
  <c r="J2503" i="42"/>
  <c r="J2504" i="42"/>
  <c r="J2505" i="42"/>
  <c r="J2506" i="42"/>
  <c r="J2507" i="42"/>
  <c r="J2508" i="42"/>
  <c r="J2509" i="42"/>
  <c r="J2510" i="42"/>
  <c r="J2511" i="42"/>
  <c r="J2512" i="42"/>
  <c r="J2513" i="42"/>
  <c r="J2514" i="42"/>
  <c r="J2515" i="42"/>
  <c r="J2516" i="42"/>
  <c r="J2517" i="42"/>
  <c r="J2518" i="42"/>
  <c r="J2519" i="42"/>
  <c r="J2520" i="42"/>
  <c r="J2521" i="42"/>
  <c r="J2522" i="42"/>
  <c r="J2523" i="42"/>
  <c r="J2524" i="42"/>
  <c r="J2525" i="42"/>
  <c r="J2526" i="42"/>
  <c r="J2527" i="42"/>
  <c r="J2528" i="42"/>
  <c r="J2529" i="42"/>
  <c r="J2530" i="42"/>
  <c r="J2531" i="42"/>
  <c r="J2532" i="42"/>
  <c r="J2533" i="42"/>
  <c r="J2534" i="42"/>
  <c r="J2535" i="42"/>
  <c r="J2536" i="42"/>
  <c r="J2537" i="42"/>
  <c r="J2538" i="42"/>
  <c r="J2539" i="42"/>
  <c r="J2540" i="42"/>
  <c r="J2541" i="42"/>
  <c r="J2542" i="42"/>
  <c r="J2543" i="42"/>
  <c r="J2544" i="42"/>
  <c r="J2545" i="42"/>
  <c r="J2546" i="42"/>
  <c r="J2547" i="42"/>
  <c r="J2548" i="42"/>
  <c r="J2549" i="42"/>
  <c r="J2550" i="42"/>
  <c r="J2551" i="42"/>
  <c r="J2552" i="42"/>
  <c r="J2553" i="42"/>
  <c r="J2554" i="42"/>
  <c r="J2555" i="42"/>
  <c r="J2556" i="42"/>
  <c r="J2557" i="42"/>
  <c r="J2558" i="42"/>
  <c r="J2559" i="42"/>
  <c r="J2560" i="42"/>
  <c r="J2561" i="42"/>
  <c r="J2562" i="42"/>
  <c r="J2563" i="42"/>
  <c r="J2564" i="42"/>
  <c r="J2565" i="42"/>
  <c r="J2566" i="42"/>
  <c r="J2567" i="42"/>
  <c r="J2568" i="42"/>
  <c r="J2569" i="42"/>
  <c r="J2570" i="42"/>
  <c r="J2571" i="42"/>
  <c r="J2572" i="42"/>
  <c r="J2573" i="42"/>
  <c r="J2574" i="42"/>
  <c r="J2575" i="42"/>
  <c r="J2576" i="42"/>
  <c r="J2577" i="42"/>
  <c r="J2578" i="42"/>
  <c r="J2579" i="42"/>
  <c r="J2580" i="42"/>
  <c r="J2581" i="42"/>
  <c r="J2582" i="42"/>
  <c r="J2583" i="42"/>
  <c r="J2584" i="42"/>
  <c r="J2585" i="42"/>
  <c r="J2586" i="42"/>
  <c r="J2587" i="42"/>
  <c r="J2588" i="42"/>
  <c r="J2589" i="42"/>
  <c r="J2590" i="42"/>
  <c r="J2591" i="42"/>
  <c r="J2592" i="42"/>
  <c r="J2593" i="42"/>
  <c r="J2594" i="42"/>
  <c r="J2595" i="42"/>
  <c r="J2596" i="42"/>
  <c r="J2597" i="42"/>
  <c r="J2598" i="42"/>
  <c r="J2599" i="42"/>
  <c r="J2600" i="42"/>
  <c r="J2601" i="42"/>
  <c r="J2602" i="42"/>
  <c r="J2603" i="42"/>
  <c r="J2604" i="42"/>
  <c r="J2605" i="42"/>
  <c r="J2606" i="42"/>
  <c r="J2607" i="42"/>
  <c r="J2608" i="42"/>
  <c r="J2609" i="42"/>
  <c r="J2610" i="42"/>
  <c r="J2611" i="42"/>
  <c r="J2612" i="42"/>
  <c r="J2613" i="42"/>
  <c r="J2614" i="42"/>
  <c r="J2615" i="42"/>
  <c r="J2616" i="42"/>
  <c r="J2617" i="42"/>
  <c r="J2618" i="42"/>
  <c r="J2619" i="42"/>
  <c r="J2620" i="42"/>
  <c r="J2621" i="42"/>
  <c r="J2622" i="42"/>
  <c r="J2623" i="42"/>
  <c r="J2624" i="42"/>
  <c r="J2625" i="42"/>
  <c r="J2626" i="42"/>
  <c r="J2627" i="42"/>
  <c r="J2628" i="42"/>
  <c r="J2629" i="42"/>
  <c r="J2630" i="42"/>
  <c r="J2631" i="42"/>
  <c r="J2632" i="42"/>
  <c r="J2633" i="42"/>
  <c r="J2634" i="42"/>
  <c r="J2635" i="42"/>
  <c r="J2636" i="42"/>
  <c r="J2637" i="42"/>
  <c r="J2638" i="42"/>
  <c r="J2639" i="42"/>
  <c r="J2640" i="42"/>
  <c r="J2641" i="42"/>
  <c r="J2642" i="42"/>
  <c r="J2643" i="42"/>
  <c r="J2644" i="42"/>
  <c r="J2645" i="42"/>
  <c r="J2646" i="42"/>
  <c r="J2647" i="42"/>
  <c r="J2648" i="42"/>
  <c r="J2649" i="42"/>
  <c r="J2650" i="42"/>
  <c r="J2651" i="42"/>
  <c r="J2652" i="42"/>
  <c r="J2653" i="42"/>
  <c r="J2654" i="42"/>
  <c r="J2655" i="42"/>
  <c r="J2656" i="42"/>
  <c r="J2657" i="42"/>
  <c r="J2658" i="42"/>
  <c r="J2659" i="42"/>
  <c r="J2660" i="42"/>
  <c r="J2661" i="42"/>
  <c r="J2662" i="42"/>
  <c r="J2663" i="42"/>
  <c r="J2664" i="42"/>
  <c r="J2665" i="42"/>
  <c r="J2666" i="42"/>
  <c r="J2667" i="42"/>
  <c r="J2668" i="42"/>
  <c r="J2669" i="42"/>
  <c r="J2670" i="42"/>
  <c r="J2671" i="42"/>
  <c r="J2672" i="42"/>
  <c r="J2673" i="42"/>
  <c r="J2674" i="42"/>
  <c r="J2675" i="42"/>
  <c r="J2676" i="42"/>
  <c r="J2677" i="42"/>
  <c r="J2678" i="42"/>
  <c r="J2679" i="42"/>
  <c r="J2680" i="42"/>
  <c r="J2681" i="42"/>
  <c r="J2682" i="42"/>
  <c r="J2683" i="42"/>
  <c r="J2684" i="42"/>
  <c r="J2685" i="42"/>
  <c r="J2686" i="42"/>
  <c r="J2687" i="42"/>
  <c r="J2688" i="42"/>
  <c r="J2689" i="42"/>
  <c r="J2690" i="42"/>
  <c r="J2691" i="42"/>
  <c r="J2692" i="42"/>
  <c r="J2693" i="42"/>
  <c r="J2694" i="42"/>
  <c r="J2695" i="42"/>
  <c r="J2696" i="42"/>
  <c r="J2697" i="42"/>
  <c r="J2698" i="42"/>
  <c r="J2699" i="42"/>
  <c r="J2700" i="42"/>
  <c r="J2701" i="42"/>
  <c r="J2702" i="42"/>
  <c r="J2703" i="42"/>
  <c r="J2704" i="42"/>
  <c r="J2705" i="42"/>
  <c r="J2706" i="42"/>
  <c r="J2707" i="42"/>
  <c r="J2708" i="42"/>
  <c r="J2709" i="42"/>
  <c r="J2710" i="42"/>
  <c r="J2711" i="42"/>
  <c r="J2712" i="42"/>
  <c r="J2713" i="42"/>
  <c r="J2714" i="42"/>
  <c r="J2715" i="42"/>
  <c r="J2716" i="42"/>
  <c r="J2717" i="42"/>
  <c r="J2718" i="42"/>
  <c r="J2719" i="42"/>
  <c r="J2720" i="42"/>
  <c r="J2721" i="42"/>
  <c r="J2722" i="42"/>
  <c r="J2723" i="42"/>
  <c r="J2724" i="42"/>
  <c r="J2725" i="42"/>
  <c r="J2726" i="42"/>
  <c r="J2727" i="42"/>
  <c r="J2728" i="42"/>
  <c r="J2729" i="42"/>
  <c r="J2730" i="42"/>
  <c r="J2731" i="42"/>
  <c r="J2732" i="42"/>
  <c r="J2733" i="42"/>
  <c r="J2734" i="42"/>
  <c r="J2735" i="42"/>
  <c r="J2736" i="42"/>
  <c r="J2737" i="42"/>
  <c r="J2738" i="42"/>
  <c r="J2739" i="42"/>
  <c r="J2740" i="42"/>
  <c r="J2741" i="42"/>
  <c r="J2742" i="42"/>
  <c r="J2743" i="42"/>
  <c r="J2744" i="42"/>
  <c r="J2745" i="42"/>
  <c r="J2746" i="42"/>
  <c r="J2747" i="42"/>
  <c r="J2748" i="42"/>
  <c r="J2749" i="42"/>
  <c r="J2750" i="42"/>
  <c r="J2751" i="42"/>
  <c r="J2752" i="42"/>
  <c r="J2753" i="42"/>
  <c r="J2754" i="42"/>
  <c r="J2755" i="42"/>
  <c r="J2756" i="42"/>
  <c r="J2757" i="42"/>
  <c r="J2758" i="42"/>
  <c r="J2759" i="42"/>
  <c r="J2760" i="42"/>
  <c r="J2761" i="42"/>
  <c r="J2762" i="42"/>
  <c r="J2763" i="42"/>
  <c r="J2764" i="42"/>
  <c r="J2765" i="42"/>
  <c r="J2766" i="42"/>
  <c r="J2767" i="42"/>
  <c r="J2768" i="42"/>
  <c r="J2769" i="42"/>
  <c r="J2770" i="42"/>
  <c r="J2771" i="42"/>
  <c r="J2772" i="42"/>
  <c r="J2773" i="42"/>
  <c r="J2774" i="42"/>
  <c r="J2775" i="42"/>
  <c r="J2776" i="42"/>
  <c r="J2777" i="42"/>
  <c r="J2778" i="42"/>
  <c r="J2779" i="42"/>
  <c r="J2780" i="42"/>
  <c r="J2781" i="42"/>
  <c r="J2782" i="42"/>
  <c r="J2783" i="42"/>
  <c r="J2784" i="42"/>
  <c r="J2785" i="42"/>
  <c r="J2786" i="42"/>
  <c r="J2787" i="42"/>
  <c r="J2788" i="42"/>
  <c r="J2789" i="42"/>
  <c r="J2790" i="42"/>
  <c r="J2791" i="42"/>
  <c r="J2792" i="42"/>
  <c r="J2793" i="42"/>
  <c r="J2794" i="42"/>
  <c r="J2795" i="42"/>
  <c r="J2796" i="42"/>
  <c r="J2797" i="42"/>
  <c r="J2798" i="42"/>
  <c r="J2799" i="42"/>
  <c r="J2800" i="42"/>
  <c r="J2801" i="42"/>
  <c r="J2802" i="42"/>
  <c r="J2803" i="42"/>
  <c r="J2804" i="42"/>
  <c r="J2805" i="42"/>
  <c r="J2806" i="42"/>
  <c r="J2807" i="42"/>
  <c r="J2808" i="42"/>
  <c r="J2809" i="42"/>
  <c r="J2810" i="42"/>
  <c r="J2811" i="42"/>
  <c r="J2812" i="42"/>
  <c r="J2813" i="42"/>
  <c r="J2814" i="42"/>
  <c r="J2815" i="42"/>
  <c r="J2816" i="42"/>
  <c r="J2817" i="42"/>
  <c r="J2818" i="42"/>
  <c r="J2819" i="42"/>
  <c r="J2820" i="42"/>
  <c r="J2821" i="42"/>
  <c r="J2822" i="42"/>
  <c r="J2823" i="42"/>
  <c r="J2824" i="42"/>
  <c r="J2825" i="42"/>
  <c r="J2826" i="42"/>
  <c r="J2827" i="42"/>
  <c r="J2828" i="42"/>
  <c r="J2829" i="42"/>
  <c r="J2830" i="42"/>
  <c r="J2831" i="42"/>
  <c r="J2832" i="42"/>
  <c r="J2833" i="42"/>
  <c r="J2834" i="42"/>
  <c r="J2835" i="42"/>
  <c r="J2836" i="42"/>
  <c r="J2837" i="42"/>
  <c r="J2838" i="42"/>
  <c r="J2839" i="42"/>
  <c r="J2840" i="42"/>
  <c r="J2841" i="42"/>
  <c r="J2842" i="42"/>
  <c r="J2843" i="42"/>
  <c r="J2844" i="42"/>
  <c r="J2845" i="42"/>
  <c r="J2846" i="42"/>
  <c r="J2847" i="42"/>
  <c r="J2848" i="42"/>
  <c r="J2849" i="42"/>
  <c r="J2850" i="42"/>
  <c r="J2851" i="42"/>
  <c r="J2852" i="42"/>
  <c r="J2853" i="42"/>
  <c r="J2854" i="42"/>
  <c r="J2855" i="42"/>
  <c r="J2856" i="42"/>
  <c r="J2857" i="42"/>
  <c r="J2858" i="42"/>
  <c r="J2859" i="42"/>
  <c r="J2860" i="42"/>
  <c r="J2861" i="42"/>
  <c r="J2862" i="42"/>
  <c r="J2863" i="42"/>
  <c r="J2864" i="42"/>
  <c r="J2865" i="42"/>
  <c r="J2866" i="42"/>
  <c r="J2867" i="42"/>
  <c r="J2868" i="42"/>
  <c r="J2869" i="42"/>
  <c r="J2870" i="42"/>
  <c r="J2871" i="42"/>
  <c r="J2872" i="42"/>
  <c r="J2873" i="42"/>
  <c r="J2874" i="42"/>
  <c r="J2875" i="42"/>
  <c r="J2876" i="42"/>
  <c r="J2877" i="42"/>
  <c r="J2878" i="42"/>
  <c r="J2879" i="42"/>
  <c r="J2880" i="42"/>
  <c r="J2881" i="42"/>
  <c r="J2882" i="42"/>
  <c r="J2883" i="42"/>
  <c r="J2884" i="42"/>
  <c r="J2885" i="42"/>
  <c r="J2886" i="42"/>
  <c r="J2887" i="42"/>
  <c r="J2888" i="42"/>
  <c r="J2889" i="42"/>
  <c r="J2890" i="42"/>
  <c r="J2891" i="42"/>
  <c r="J2892" i="42"/>
  <c r="J2893" i="42"/>
  <c r="J2894" i="42"/>
  <c r="J2895" i="42"/>
  <c r="J2896" i="42"/>
  <c r="J2897" i="42"/>
  <c r="J2898" i="42"/>
  <c r="J2899" i="42"/>
  <c r="J2900" i="42"/>
  <c r="J2901" i="42"/>
  <c r="J2902" i="42"/>
  <c r="J2903" i="42"/>
  <c r="J2904" i="42"/>
  <c r="J2905" i="42"/>
  <c r="J2906" i="42"/>
  <c r="J2907" i="42"/>
  <c r="J2908" i="42"/>
  <c r="J2909" i="42"/>
  <c r="J2910" i="42"/>
  <c r="J2911" i="42"/>
  <c r="J2912" i="42"/>
  <c r="J2913" i="42"/>
  <c r="J2914" i="42"/>
  <c r="J2915" i="42"/>
  <c r="J2916" i="42"/>
  <c r="J2917" i="42"/>
  <c r="J2918" i="42"/>
  <c r="J2919" i="42"/>
  <c r="J2920" i="42"/>
  <c r="J2921" i="42"/>
  <c r="J2922" i="42"/>
  <c r="J2923" i="42"/>
  <c r="J2924" i="42"/>
  <c r="J2925" i="42"/>
  <c r="J2926" i="42"/>
  <c r="J2927" i="42"/>
  <c r="J2928" i="42"/>
  <c r="J2929" i="42"/>
  <c r="J2930" i="42"/>
  <c r="J2931" i="42"/>
  <c r="J2932" i="42"/>
  <c r="J2933" i="42"/>
  <c r="J2934" i="42"/>
  <c r="J2935" i="42"/>
  <c r="J2936" i="42"/>
  <c r="J2937" i="42"/>
  <c r="J2938" i="42"/>
  <c r="J2939" i="42"/>
  <c r="J2940" i="42"/>
  <c r="J2941" i="42"/>
  <c r="J2942" i="42"/>
  <c r="J2943" i="42"/>
  <c r="J2944" i="42"/>
  <c r="J2945" i="42"/>
  <c r="J2946" i="42"/>
  <c r="J2947" i="42"/>
  <c r="J2948" i="42"/>
  <c r="J2949" i="42"/>
  <c r="J2950" i="42"/>
  <c r="J2951" i="42"/>
  <c r="J2952" i="42"/>
  <c r="J2953" i="42"/>
  <c r="J2954" i="42"/>
  <c r="J2955" i="42"/>
  <c r="J2956" i="42"/>
  <c r="J2957" i="42"/>
  <c r="J2958" i="42"/>
  <c r="J2959" i="42"/>
  <c r="J2960" i="42"/>
  <c r="J2961" i="42"/>
  <c r="J2962" i="42"/>
  <c r="J2963" i="42"/>
  <c r="J2964" i="42"/>
  <c r="J2965" i="42"/>
  <c r="J2966" i="42"/>
  <c r="J2967" i="42"/>
  <c r="J2968" i="42"/>
  <c r="J2969" i="42"/>
  <c r="J2970" i="42"/>
  <c r="J2971" i="42"/>
  <c r="J2972" i="42"/>
  <c r="J2973" i="42"/>
  <c r="J2974" i="42"/>
  <c r="J2975" i="42"/>
  <c r="J2976" i="42"/>
  <c r="J2977" i="42"/>
  <c r="J2978" i="42"/>
  <c r="J2979" i="42"/>
  <c r="J2980" i="42"/>
  <c r="J2981" i="42"/>
  <c r="J2982" i="42"/>
  <c r="J2983" i="42"/>
  <c r="J2984" i="42"/>
  <c r="J2985" i="42"/>
  <c r="J2986" i="42"/>
  <c r="J2987" i="42"/>
  <c r="J2988" i="42"/>
  <c r="J2989" i="42"/>
  <c r="J2990" i="42"/>
  <c r="J2991" i="42"/>
  <c r="J2992" i="42"/>
  <c r="J2993" i="42"/>
  <c r="J2994" i="42"/>
  <c r="J2995" i="42"/>
  <c r="J2996" i="42"/>
  <c r="J2997" i="42"/>
  <c r="J2998" i="42"/>
  <c r="J2999" i="42"/>
  <c r="J3000" i="42"/>
  <c r="J3001" i="42"/>
  <c r="J3002" i="42"/>
  <c r="J3003" i="42"/>
  <c r="J3004" i="42"/>
  <c r="J3005" i="42"/>
  <c r="J3006" i="42"/>
  <c r="J3007" i="42"/>
  <c r="J3008" i="42"/>
  <c r="J3009" i="42"/>
  <c r="J3010" i="42"/>
  <c r="J3011" i="42"/>
  <c r="J3012" i="42"/>
  <c r="J3013" i="42"/>
  <c r="J3014" i="42"/>
  <c r="J3015" i="42"/>
  <c r="J3016" i="42"/>
  <c r="J3017" i="42"/>
  <c r="J3018" i="42"/>
  <c r="J3019" i="42"/>
  <c r="J3020" i="42"/>
  <c r="J3021" i="42"/>
  <c r="J3022" i="42"/>
  <c r="J3023" i="42"/>
  <c r="J3024" i="42"/>
  <c r="J3025" i="42"/>
  <c r="J3026" i="42"/>
  <c r="J3027" i="42"/>
  <c r="J3028" i="42"/>
  <c r="J3029" i="42"/>
  <c r="J3030" i="42"/>
  <c r="J3031" i="42"/>
  <c r="J3032" i="42"/>
  <c r="J3033" i="42"/>
  <c r="J3034" i="42"/>
  <c r="J3035" i="42"/>
  <c r="J3036" i="42"/>
  <c r="J3037" i="42"/>
  <c r="J3038" i="42"/>
  <c r="J3039" i="42"/>
  <c r="J3040" i="42"/>
  <c r="J3041" i="42"/>
  <c r="J3042" i="42"/>
  <c r="J3043" i="42"/>
  <c r="J3044" i="42"/>
  <c r="J3045" i="42"/>
  <c r="J3046" i="42"/>
  <c r="J3047" i="42"/>
  <c r="J3048" i="42"/>
  <c r="J3049" i="42"/>
  <c r="J3050" i="42"/>
  <c r="J3051" i="42"/>
  <c r="J3052" i="42"/>
  <c r="J3053" i="42"/>
  <c r="J3054" i="42"/>
  <c r="J3055" i="42"/>
  <c r="J3056" i="42"/>
  <c r="J3057" i="42"/>
  <c r="J3058" i="42"/>
  <c r="J3059" i="42"/>
  <c r="J3060" i="42"/>
  <c r="J3061" i="42"/>
  <c r="J3062" i="42"/>
  <c r="J3063" i="42"/>
  <c r="J3064" i="42"/>
  <c r="J3065" i="42"/>
  <c r="J3066" i="42"/>
  <c r="J3067" i="42"/>
  <c r="J3068" i="42"/>
  <c r="J3069" i="42"/>
  <c r="J3070" i="42"/>
  <c r="J3071" i="42"/>
  <c r="J3072" i="42"/>
  <c r="J3073" i="42"/>
  <c r="J3074" i="42"/>
  <c r="J3075" i="42"/>
  <c r="J3076" i="42"/>
  <c r="J3077" i="42"/>
  <c r="J3078" i="42"/>
  <c r="J3079" i="42"/>
  <c r="J3080" i="42"/>
  <c r="J3081" i="42"/>
  <c r="J3082" i="42"/>
  <c r="J3083" i="42"/>
  <c r="J3084" i="42"/>
  <c r="J3085" i="42"/>
  <c r="J3086" i="42"/>
  <c r="J3087" i="42"/>
  <c r="J3088" i="42"/>
  <c r="J3089" i="42"/>
  <c r="J3090" i="42"/>
  <c r="J3091" i="42"/>
  <c r="J3092" i="42"/>
  <c r="J3093" i="42"/>
  <c r="J3094" i="42"/>
  <c r="J3095" i="42"/>
  <c r="J3096" i="42"/>
  <c r="J3097" i="42"/>
  <c r="J3098" i="42"/>
  <c r="J3099" i="42"/>
  <c r="J3100" i="42"/>
  <c r="J3101" i="42"/>
  <c r="J3102" i="42"/>
  <c r="J3103" i="42"/>
  <c r="J3104" i="42"/>
  <c r="J3105" i="42"/>
  <c r="J3106" i="42"/>
  <c r="J3107" i="42"/>
  <c r="J3108" i="42"/>
  <c r="J3109" i="42"/>
  <c r="J3110" i="42"/>
  <c r="J3111" i="42"/>
  <c r="J3112" i="42"/>
  <c r="J3113" i="42"/>
  <c r="J3114" i="42"/>
  <c r="J3115" i="42"/>
  <c r="J3116" i="42"/>
  <c r="J3117" i="42"/>
  <c r="J3118" i="42"/>
  <c r="J3119" i="42"/>
  <c r="J3120" i="42"/>
  <c r="J3121" i="42"/>
  <c r="J3122" i="42"/>
  <c r="J3123" i="42"/>
  <c r="J3124" i="42"/>
  <c r="J3125" i="42"/>
  <c r="J3126" i="42"/>
  <c r="J3127" i="42"/>
  <c r="J3128" i="42"/>
  <c r="J3129" i="42"/>
  <c r="J3130" i="42"/>
  <c r="J3131" i="42"/>
  <c r="J3132" i="42"/>
  <c r="J3133" i="42"/>
  <c r="J3134" i="42"/>
  <c r="J3135" i="42"/>
  <c r="J3136" i="42"/>
  <c r="J3137" i="42"/>
  <c r="J3138" i="42"/>
  <c r="J3139" i="42"/>
  <c r="J3140" i="42"/>
  <c r="J3141" i="42"/>
  <c r="J3142" i="42"/>
  <c r="J3143" i="42"/>
  <c r="J3144" i="42"/>
  <c r="J3145" i="42"/>
  <c r="J3146" i="42"/>
  <c r="J3147" i="42"/>
  <c r="J3148" i="42"/>
  <c r="J3149" i="42"/>
  <c r="J3150" i="42"/>
  <c r="J3151" i="42"/>
  <c r="J3152" i="42"/>
  <c r="J3153" i="42"/>
  <c r="J3154" i="42"/>
  <c r="J3155" i="42"/>
  <c r="J3156" i="42"/>
  <c r="J3157" i="42"/>
  <c r="J3158" i="42"/>
  <c r="J3159" i="42"/>
  <c r="J3160" i="42"/>
  <c r="J3161" i="42"/>
  <c r="J3162" i="42"/>
  <c r="J3163" i="42"/>
  <c r="J3164" i="42"/>
  <c r="J3165" i="42"/>
  <c r="J3166" i="42"/>
  <c r="J3167" i="42"/>
  <c r="J3168" i="42"/>
  <c r="J3169" i="42"/>
  <c r="J3170" i="42"/>
  <c r="J3171" i="42"/>
  <c r="J3172" i="42"/>
  <c r="J3173" i="42"/>
  <c r="J3174" i="42"/>
  <c r="J3175" i="42"/>
  <c r="J3176" i="42"/>
  <c r="J3177" i="42"/>
  <c r="J3178" i="42"/>
  <c r="J3179" i="42"/>
  <c r="J3180" i="42"/>
  <c r="J3181" i="42"/>
  <c r="J3182" i="42"/>
  <c r="J3183" i="42"/>
  <c r="J3184" i="42"/>
  <c r="J3185" i="42"/>
  <c r="J3186" i="42"/>
  <c r="J3187" i="42"/>
  <c r="J3188" i="42"/>
  <c r="J3189" i="42"/>
  <c r="J3190" i="42"/>
  <c r="J3191" i="42"/>
  <c r="J3192" i="42"/>
  <c r="J3193" i="42"/>
  <c r="J3194" i="42"/>
  <c r="J3195" i="42"/>
  <c r="J3196" i="42"/>
  <c r="J3197" i="42"/>
  <c r="J3198" i="42"/>
  <c r="J3199" i="42"/>
  <c r="J3200" i="42"/>
  <c r="J3201" i="42"/>
  <c r="J3202" i="42"/>
  <c r="J3203" i="42"/>
  <c r="J3204" i="42"/>
  <c r="J3205" i="42"/>
  <c r="J3206" i="42"/>
  <c r="J3207" i="42"/>
  <c r="J3208" i="42"/>
  <c r="J3209" i="42"/>
  <c r="J3210" i="42"/>
  <c r="J3211" i="42"/>
  <c r="J3212" i="42"/>
  <c r="J3213" i="42"/>
  <c r="J3214" i="42"/>
  <c r="J3215" i="42"/>
  <c r="J3216" i="42"/>
  <c r="J3217" i="42"/>
  <c r="J3218" i="42"/>
  <c r="J3219" i="42"/>
  <c r="J3220" i="42"/>
  <c r="J3221" i="42"/>
  <c r="J3222" i="42"/>
  <c r="J3223" i="42"/>
  <c r="J3224" i="42"/>
  <c r="J3225" i="42"/>
  <c r="J3226" i="42"/>
  <c r="J3227" i="42"/>
  <c r="J3228" i="42"/>
  <c r="J3229" i="42"/>
  <c r="J3230" i="42"/>
  <c r="J3231" i="42"/>
  <c r="J3232" i="42"/>
  <c r="J3233" i="42"/>
  <c r="J3234" i="42"/>
  <c r="J3235" i="42"/>
  <c r="J3236" i="42"/>
  <c r="J3237" i="42"/>
  <c r="J3238" i="42"/>
  <c r="J3239" i="42"/>
  <c r="J3240" i="42"/>
  <c r="J3241" i="42"/>
  <c r="J3242" i="42"/>
  <c r="J3243" i="42"/>
  <c r="J3244" i="42"/>
  <c r="J3245" i="42"/>
  <c r="J3246" i="42"/>
  <c r="J3247" i="42"/>
  <c r="J3248" i="42"/>
  <c r="J3249" i="42"/>
  <c r="J3250" i="42"/>
  <c r="J3251" i="42"/>
  <c r="J3252" i="42"/>
  <c r="J3253" i="42"/>
  <c r="J3254" i="42"/>
  <c r="J3255" i="42"/>
  <c r="J3256" i="42"/>
  <c r="J3257" i="42"/>
  <c r="J3258" i="42"/>
  <c r="J3259" i="42"/>
  <c r="J3260" i="42"/>
  <c r="J3261" i="42"/>
  <c r="J3262" i="42"/>
  <c r="J3263" i="42"/>
  <c r="J3264" i="42"/>
  <c r="J3265" i="42"/>
  <c r="J3266" i="42"/>
  <c r="J3267" i="42"/>
  <c r="J3268" i="42"/>
  <c r="J3269" i="42"/>
  <c r="J3270" i="42"/>
  <c r="J3271" i="42"/>
  <c r="J3272" i="42"/>
  <c r="J3273" i="42"/>
  <c r="J3274" i="42"/>
  <c r="J3275" i="42"/>
  <c r="J3276" i="42"/>
  <c r="J3277" i="42"/>
  <c r="J3278" i="42"/>
  <c r="J3279" i="42"/>
  <c r="J3280" i="42"/>
  <c r="J3281" i="42"/>
  <c r="J3282" i="42"/>
  <c r="J3283" i="42"/>
  <c r="J3284" i="42"/>
  <c r="J3285" i="42"/>
  <c r="J3286" i="42"/>
  <c r="J3287" i="42"/>
  <c r="J3288" i="42"/>
  <c r="J3289" i="42"/>
  <c r="J3290" i="42"/>
  <c r="J3291" i="42"/>
  <c r="J3292" i="42"/>
  <c r="J3293" i="42"/>
  <c r="J3294" i="42"/>
  <c r="J3295" i="42"/>
  <c r="J3296" i="42"/>
  <c r="J3297" i="42"/>
  <c r="J3298" i="42"/>
  <c r="J3299" i="42"/>
  <c r="J3300" i="42"/>
  <c r="J3301" i="42"/>
  <c r="J3302" i="42"/>
  <c r="J3303" i="42"/>
  <c r="J3304" i="42"/>
  <c r="J3305" i="42"/>
  <c r="J3306" i="42"/>
  <c r="J3307" i="42"/>
  <c r="J3308" i="42"/>
  <c r="J3309" i="42"/>
  <c r="J3310" i="42"/>
  <c r="J3311" i="42"/>
  <c r="J3312" i="42"/>
  <c r="J3313" i="42"/>
  <c r="J3314" i="42"/>
  <c r="J3315" i="42"/>
  <c r="J3316" i="42"/>
  <c r="J3317" i="42"/>
  <c r="J3318" i="42"/>
  <c r="J3319" i="42"/>
  <c r="J3320" i="42"/>
  <c r="J3321" i="42"/>
  <c r="J3322" i="42"/>
  <c r="J3323" i="42"/>
  <c r="J3324" i="42"/>
  <c r="J3325" i="42"/>
  <c r="J3326" i="42"/>
  <c r="J3327" i="42"/>
  <c r="J3328" i="42"/>
  <c r="J3329" i="42"/>
  <c r="J3330" i="42"/>
  <c r="J3331" i="42"/>
  <c r="J3332" i="42"/>
  <c r="J3333" i="42"/>
  <c r="J3334" i="42"/>
  <c r="J3335" i="42"/>
  <c r="J3336" i="42"/>
  <c r="J3337" i="42"/>
  <c r="J3338" i="42"/>
  <c r="J3339" i="42"/>
  <c r="J3340" i="42"/>
  <c r="J3341" i="42"/>
  <c r="J3342" i="42"/>
  <c r="J3343" i="42"/>
  <c r="J3344" i="42"/>
  <c r="J3345" i="42"/>
  <c r="J3346" i="42"/>
  <c r="J3347" i="42"/>
  <c r="J3348" i="42"/>
  <c r="J3349" i="42"/>
  <c r="J3350" i="42"/>
  <c r="J3351" i="42"/>
  <c r="J3352" i="42"/>
  <c r="J3353" i="42"/>
  <c r="J3354" i="42"/>
  <c r="J3355" i="42"/>
  <c r="J3356" i="42"/>
  <c r="J3357" i="42"/>
  <c r="J3358" i="42"/>
  <c r="J3359" i="42"/>
  <c r="J3360" i="42"/>
  <c r="J3361" i="42"/>
  <c r="J3362" i="42"/>
  <c r="J3363" i="42"/>
  <c r="J3364" i="42"/>
  <c r="J3365" i="42"/>
  <c r="J3366" i="42"/>
  <c r="J3367" i="42"/>
  <c r="J3368" i="42"/>
  <c r="J3369" i="42"/>
  <c r="J3370" i="42"/>
  <c r="J3371" i="42"/>
  <c r="J3372" i="42"/>
  <c r="J3373" i="42"/>
  <c r="J3374" i="42"/>
  <c r="J3375" i="42"/>
  <c r="J3376" i="42"/>
  <c r="J3377" i="42"/>
  <c r="J3378" i="42"/>
  <c r="J3379" i="42"/>
  <c r="J3380" i="42"/>
  <c r="J3381" i="42"/>
  <c r="J3382" i="42"/>
  <c r="J3383" i="42"/>
  <c r="J3384" i="42"/>
  <c r="J3385" i="42"/>
  <c r="J3386" i="42"/>
  <c r="J3387" i="42"/>
  <c r="J3388" i="42"/>
  <c r="J3389" i="42"/>
  <c r="J3390" i="42"/>
  <c r="J3391" i="42"/>
  <c r="J3392" i="42"/>
  <c r="J3393" i="42"/>
  <c r="J3394" i="42"/>
  <c r="J3395" i="42"/>
  <c r="J3396" i="42"/>
  <c r="J3397" i="42"/>
  <c r="J3398" i="42"/>
  <c r="J3399" i="42"/>
  <c r="J3400" i="42"/>
  <c r="J3401" i="42"/>
  <c r="J3402" i="42"/>
  <c r="J3403" i="42"/>
  <c r="J3404" i="42"/>
  <c r="J3405" i="42"/>
  <c r="J3406" i="42"/>
  <c r="J3407" i="42"/>
  <c r="J3408" i="42"/>
  <c r="J3409" i="42"/>
  <c r="J3410" i="42"/>
  <c r="J3411" i="42"/>
  <c r="J3412" i="42"/>
  <c r="J3413" i="42"/>
  <c r="J3414" i="42"/>
  <c r="J3415" i="42"/>
  <c r="J3416" i="42"/>
  <c r="J3417" i="42"/>
  <c r="J3418" i="42"/>
  <c r="J3419" i="42"/>
  <c r="J3420" i="42"/>
  <c r="J3421" i="42"/>
  <c r="J3422" i="42"/>
  <c r="J3423" i="42"/>
  <c r="J3424" i="42"/>
  <c r="J3425" i="42"/>
  <c r="J3426" i="42"/>
  <c r="J3427" i="42"/>
  <c r="J3428" i="42"/>
  <c r="J3429" i="42"/>
  <c r="J3430" i="42"/>
  <c r="J3431" i="42"/>
  <c r="J3432" i="42"/>
  <c r="J3433" i="42"/>
  <c r="J3434" i="42"/>
  <c r="J3435" i="42"/>
  <c r="J3436" i="42"/>
  <c r="J3437" i="42"/>
  <c r="J3438" i="42"/>
  <c r="J3439" i="42"/>
  <c r="J3440" i="42"/>
  <c r="J3441" i="42"/>
  <c r="J3442" i="42"/>
  <c r="J3443" i="42"/>
  <c r="J3444" i="42"/>
  <c r="J3445" i="42"/>
  <c r="J3446" i="42"/>
  <c r="J3447" i="42"/>
  <c r="J3448" i="42"/>
  <c r="J3449" i="42"/>
  <c r="J3450" i="42"/>
  <c r="J3451" i="42"/>
  <c r="J3452" i="42"/>
  <c r="J3453" i="42"/>
  <c r="J3454" i="42"/>
  <c r="J3455" i="42"/>
  <c r="J3456" i="42"/>
  <c r="J3457" i="42"/>
  <c r="J3458" i="42"/>
  <c r="J3459" i="42"/>
  <c r="J3460" i="42"/>
  <c r="J3461" i="42"/>
  <c r="J3462" i="42"/>
  <c r="J3463" i="42"/>
  <c r="J3464" i="42"/>
  <c r="J3465" i="42"/>
  <c r="J3466" i="42"/>
  <c r="J3467" i="42"/>
  <c r="J3468" i="42"/>
  <c r="J3469" i="42"/>
  <c r="J3470" i="42"/>
  <c r="J3471" i="42"/>
  <c r="J3472" i="42"/>
  <c r="J3473" i="42"/>
  <c r="J3474" i="42"/>
  <c r="J3475" i="42"/>
  <c r="J3476" i="42"/>
  <c r="J3477" i="42"/>
  <c r="J3478" i="42"/>
  <c r="J3479" i="42"/>
  <c r="J3480" i="42"/>
  <c r="J3481" i="42"/>
  <c r="J3482" i="42"/>
  <c r="J3483" i="42"/>
  <c r="J3484" i="42"/>
  <c r="J3485" i="42"/>
  <c r="J3486" i="42"/>
  <c r="J3487" i="42"/>
  <c r="J3488" i="42"/>
  <c r="J3489" i="42"/>
  <c r="J3490" i="42"/>
  <c r="J3491" i="42"/>
  <c r="J3492" i="42"/>
  <c r="J3493" i="42"/>
  <c r="J3494" i="42"/>
  <c r="J3495" i="42"/>
  <c r="J3496" i="42"/>
  <c r="J3497" i="42"/>
  <c r="J3498" i="42"/>
  <c r="J3499" i="42"/>
  <c r="J3500" i="42"/>
  <c r="J3501" i="42"/>
  <c r="J3502" i="42"/>
  <c r="J3503" i="42"/>
  <c r="J3504" i="42"/>
  <c r="J3505" i="42"/>
  <c r="J3506" i="42"/>
  <c r="J3507" i="42"/>
  <c r="J3508" i="42"/>
  <c r="J3509" i="42"/>
  <c r="J3510" i="42"/>
  <c r="J3511" i="42"/>
  <c r="J3512" i="42"/>
  <c r="J3513" i="42"/>
  <c r="J3514" i="42"/>
  <c r="J3515" i="42"/>
  <c r="J3516" i="42"/>
  <c r="J3517" i="42"/>
  <c r="J3518" i="42"/>
  <c r="J3519" i="42"/>
  <c r="J3520" i="42"/>
  <c r="J3521" i="42"/>
  <c r="J3522" i="42"/>
  <c r="J3523" i="42"/>
  <c r="J3524" i="42"/>
  <c r="J3525" i="42"/>
  <c r="J3526" i="42"/>
  <c r="J3527" i="42"/>
  <c r="J3528" i="42"/>
  <c r="J3529" i="42"/>
  <c r="J3530" i="42"/>
  <c r="J3531" i="42"/>
  <c r="J3532" i="42"/>
  <c r="J3533" i="42"/>
  <c r="J3534" i="42"/>
  <c r="J3535" i="42"/>
  <c r="J3536" i="42"/>
  <c r="J3537" i="42"/>
  <c r="J3538" i="42"/>
  <c r="J3539" i="42"/>
  <c r="J3540" i="42"/>
  <c r="J3541" i="42"/>
  <c r="J3542" i="42"/>
  <c r="J3543" i="42"/>
  <c r="J3544" i="42"/>
  <c r="J3545" i="42"/>
  <c r="J3546" i="42"/>
  <c r="J3547" i="42"/>
  <c r="J3548" i="42"/>
  <c r="J3549" i="42"/>
  <c r="J3550" i="42"/>
  <c r="J3551" i="42"/>
  <c r="J3552" i="42"/>
  <c r="J3553" i="42"/>
  <c r="J3554" i="42"/>
  <c r="J3555" i="42"/>
  <c r="J3556" i="42"/>
  <c r="J3557" i="42"/>
  <c r="J3558" i="42"/>
  <c r="J3559" i="42"/>
  <c r="J3560" i="42"/>
  <c r="J3561" i="42"/>
  <c r="J3562" i="42"/>
  <c r="J3563" i="42"/>
  <c r="J3564" i="42"/>
  <c r="J3565" i="42"/>
  <c r="J3566" i="42"/>
  <c r="J3567" i="42"/>
  <c r="J3568" i="42"/>
  <c r="J3569" i="42"/>
  <c r="J3570" i="42"/>
  <c r="J3571" i="42"/>
  <c r="J3572" i="42"/>
  <c r="J3573" i="42"/>
  <c r="J3574" i="42"/>
  <c r="J3575" i="42"/>
  <c r="J3576" i="42"/>
  <c r="J3577" i="42"/>
  <c r="J3578" i="42"/>
  <c r="J3579" i="42"/>
  <c r="J3580" i="42"/>
  <c r="J3581" i="42"/>
  <c r="J3582" i="42"/>
  <c r="J3583" i="42"/>
  <c r="J3584" i="42"/>
  <c r="J3585" i="42"/>
  <c r="J3586" i="42"/>
  <c r="J3587" i="42"/>
  <c r="J3588" i="42"/>
  <c r="J3589" i="42"/>
  <c r="J3590" i="42"/>
  <c r="J3591" i="42"/>
  <c r="J3592" i="42"/>
  <c r="J3593" i="42"/>
  <c r="J3594" i="42"/>
  <c r="J3595" i="42"/>
  <c r="J3596" i="42"/>
  <c r="J3597" i="42"/>
  <c r="J3598" i="42"/>
  <c r="J3599" i="42"/>
  <c r="J3600" i="42"/>
  <c r="J3601" i="42"/>
  <c r="J3602" i="42"/>
  <c r="J3603" i="42"/>
  <c r="J3604" i="42"/>
  <c r="J3605" i="42"/>
  <c r="J3606" i="42"/>
  <c r="J3607" i="42"/>
  <c r="J3608" i="42"/>
  <c r="J3609" i="42"/>
  <c r="J3610" i="42"/>
  <c r="J3611" i="42"/>
  <c r="J3612" i="42"/>
  <c r="J3613" i="42"/>
  <c r="J3614" i="42"/>
  <c r="J3615" i="42"/>
  <c r="J3616" i="42"/>
  <c r="J3617" i="42"/>
  <c r="J3618" i="42"/>
  <c r="J3619" i="42"/>
  <c r="J3620" i="42"/>
  <c r="J3621" i="42"/>
  <c r="J3622" i="42"/>
  <c r="J3623" i="42"/>
  <c r="J3624" i="42"/>
  <c r="J3625" i="42"/>
  <c r="J3626" i="42"/>
  <c r="J3627" i="42"/>
  <c r="J3628" i="42"/>
  <c r="J3629" i="42"/>
  <c r="J3630" i="42"/>
  <c r="J3631" i="42"/>
  <c r="J3632" i="42"/>
  <c r="J3633" i="42"/>
  <c r="J3634" i="42"/>
  <c r="J3635" i="42"/>
  <c r="J3636" i="42"/>
  <c r="J3637" i="42"/>
  <c r="J3638" i="42"/>
  <c r="J3639" i="42"/>
  <c r="J3640" i="42"/>
  <c r="J3641" i="42"/>
  <c r="J3642" i="42"/>
  <c r="J3643" i="42"/>
  <c r="J3644" i="42"/>
  <c r="J3645" i="42"/>
  <c r="J3646" i="42"/>
  <c r="J3647" i="42"/>
  <c r="J3648" i="42"/>
  <c r="J3649" i="42"/>
  <c r="J3650" i="42"/>
  <c r="J3651" i="42"/>
  <c r="J3652" i="42"/>
  <c r="J3653" i="42"/>
  <c r="J3654" i="42"/>
  <c r="J3655" i="42"/>
  <c r="J3656" i="42"/>
  <c r="J3657" i="42"/>
  <c r="J3658" i="42"/>
  <c r="J3659" i="42"/>
  <c r="J3660" i="42"/>
  <c r="J3661" i="42"/>
  <c r="J3662" i="42"/>
  <c r="J3663" i="42"/>
  <c r="J3664" i="42"/>
  <c r="J3665" i="42"/>
  <c r="J3666" i="42"/>
  <c r="J3667" i="42"/>
  <c r="J3668" i="42"/>
  <c r="J3669" i="42"/>
  <c r="J3670" i="42"/>
  <c r="J3671" i="42"/>
  <c r="J3672" i="42"/>
  <c r="J3673" i="42"/>
  <c r="J3674" i="42"/>
  <c r="J3675" i="42"/>
  <c r="J3676" i="42"/>
  <c r="J3677" i="42"/>
  <c r="J3678" i="42"/>
  <c r="J3679" i="42"/>
  <c r="J3680" i="42"/>
  <c r="J3681" i="42"/>
  <c r="J3682" i="42"/>
  <c r="J3683" i="42"/>
  <c r="J3684" i="42"/>
  <c r="J3685" i="42"/>
  <c r="J3686" i="42"/>
  <c r="J3687" i="42"/>
  <c r="J3688" i="42"/>
  <c r="J3689" i="42"/>
  <c r="J3690" i="42"/>
  <c r="J3691" i="42"/>
  <c r="J3692" i="42"/>
  <c r="J3693" i="42"/>
  <c r="J3694" i="42"/>
  <c r="J3695" i="42"/>
  <c r="J3696" i="42"/>
  <c r="J3697" i="42"/>
  <c r="J3698" i="42"/>
  <c r="J3699" i="42"/>
  <c r="J3700" i="42"/>
  <c r="J3701" i="42"/>
  <c r="J3702" i="42"/>
  <c r="J3703" i="42"/>
  <c r="J3704" i="42"/>
  <c r="J3705" i="42"/>
  <c r="J3706" i="42"/>
  <c r="J3707" i="42"/>
  <c r="J3708" i="42"/>
  <c r="J3709" i="42"/>
  <c r="J3710" i="42"/>
  <c r="J3711" i="42"/>
  <c r="J3712" i="42"/>
  <c r="J3713" i="42"/>
  <c r="J3714" i="42"/>
  <c r="J3715" i="42"/>
  <c r="J3716" i="42"/>
  <c r="J3717" i="42"/>
  <c r="J3718" i="42"/>
  <c r="J3719" i="42"/>
  <c r="J3720" i="42"/>
  <c r="J3721" i="42"/>
  <c r="J3722" i="42"/>
  <c r="J3723" i="42"/>
  <c r="J3724" i="42"/>
  <c r="J3725" i="42"/>
  <c r="J3726" i="42"/>
  <c r="J3727" i="42"/>
  <c r="J3728" i="42"/>
  <c r="J3729" i="42"/>
  <c r="J3730" i="42"/>
  <c r="J3731" i="42"/>
  <c r="J3732" i="42"/>
  <c r="J3733" i="42"/>
  <c r="J3734" i="42"/>
  <c r="J3735" i="42"/>
  <c r="J3736" i="42"/>
  <c r="J3737" i="42"/>
  <c r="J3738" i="42"/>
  <c r="J3739" i="42"/>
  <c r="J3740" i="42"/>
  <c r="J3741" i="42"/>
  <c r="J3742" i="42"/>
  <c r="J3743" i="42"/>
  <c r="J3744" i="42"/>
  <c r="J3745" i="42"/>
  <c r="J3746" i="42"/>
  <c r="J3747" i="42"/>
  <c r="J3748" i="42"/>
  <c r="J3749" i="42"/>
  <c r="J3750" i="42"/>
  <c r="J3751" i="42"/>
  <c r="J3752" i="42"/>
  <c r="J3753" i="42"/>
  <c r="J3754" i="42"/>
  <c r="J3755" i="42"/>
  <c r="J3756" i="42"/>
  <c r="J3757" i="42"/>
  <c r="J3758" i="42"/>
  <c r="J3759" i="42"/>
  <c r="J3760" i="42"/>
  <c r="J3761" i="42"/>
  <c r="J3762" i="42"/>
  <c r="J3763" i="42"/>
  <c r="J3764" i="42"/>
  <c r="J3765" i="42"/>
  <c r="J3766" i="42"/>
  <c r="J3767" i="42"/>
  <c r="J3768" i="42"/>
  <c r="J3769" i="42"/>
  <c r="J3770" i="42"/>
  <c r="J3771" i="42"/>
  <c r="J3772" i="42"/>
  <c r="J3773" i="42"/>
  <c r="J3774" i="42"/>
  <c r="J3775" i="42"/>
  <c r="J3776" i="42"/>
  <c r="J3777" i="42"/>
  <c r="J3778" i="42"/>
  <c r="J3779" i="42"/>
  <c r="J3780" i="42"/>
  <c r="J3781" i="42"/>
  <c r="J3782" i="42"/>
  <c r="J3783" i="42"/>
  <c r="J3784" i="42"/>
  <c r="J3785" i="42"/>
  <c r="J3786" i="42"/>
  <c r="J3787" i="42"/>
  <c r="J3788" i="42"/>
  <c r="J3789" i="42"/>
  <c r="J3790" i="42"/>
  <c r="J3791" i="42"/>
  <c r="J3792" i="42"/>
  <c r="J3793" i="42"/>
  <c r="J3794" i="42"/>
  <c r="J3795" i="42"/>
  <c r="J3796" i="42"/>
  <c r="J3797" i="42"/>
  <c r="J3798" i="42"/>
  <c r="J3799" i="42"/>
  <c r="J3800" i="42"/>
  <c r="J3801" i="42"/>
  <c r="J3802" i="42"/>
  <c r="J3803" i="42"/>
  <c r="J3804" i="42"/>
  <c r="J3805" i="42"/>
  <c r="J3806" i="42"/>
  <c r="J3807" i="42"/>
  <c r="J3808" i="42"/>
  <c r="J3809" i="42"/>
  <c r="J3810" i="42"/>
  <c r="J3811" i="42"/>
  <c r="J3812" i="42"/>
  <c r="J3813" i="42"/>
  <c r="J3814" i="42"/>
  <c r="J3815" i="42"/>
  <c r="J3816" i="42"/>
  <c r="J3817" i="42"/>
  <c r="J3818" i="42"/>
  <c r="J3819" i="42"/>
  <c r="J3820" i="42"/>
  <c r="J3821" i="42"/>
  <c r="J3822" i="42"/>
  <c r="J3823" i="42"/>
  <c r="J3824" i="42"/>
  <c r="J3825" i="42"/>
  <c r="J3826" i="42"/>
  <c r="J3827" i="42"/>
  <c r="J3828" i="42"/>
  <c r="J3829" i="42"/>
  <c r="J3830" i="42"/>
  <c r="J3831" i="42"/>
  <c r="J3832" i="42"/>
  <c r="J3833" i="42"/>
  <c r="J3834" i="42"/>
  <c r="J3835" i="42"/>
  <c r="J3836" i="42"/>
  <c r="J3837" i="42"/>
  <c r="J3838" i="42"/>
  <c r="J3839" i="42"/>
  <c r="J3840" i="42"/>
  <c r="J3841" i="42"/>
  <c r="J3842" i="42"/>
  <c r="J3843" i="42"/>
  <c r="J3844" i="42"/>
  <c r="J3845" i="42"/>
  <c r="J3846" i="42"/>
  <c r="J3847" i="42"/>
  <c r="J3848" i="42"/>
  <c r="J3849" i="42"/>
  <c r="J3850" i="42"/>
  <c r="J3851" i="42"/>
  <c r="J3852" i="42"/>
  <c r="J3853" i="42"/>
  <c r="J3854" i="42"/>
  <c r="J3855" i="42"/>
  <c r="J3856" i="42"/>
  <c r="J3857" i="42"/>
  <c r="J3858" i="42"/>
  <c r="J3859" i="42"/>
  <c r="J3860" i="42"/>
  <c r="J3861" i="42"/>
  <c r="J3862" i="42"/>
  <c r="J3863" i="42"/>
  <c r="J3864" i="42"/>
  <c r="J3865" i="42"/>
  <c r="J3866" i="42"/>
  <c r="J3867" i="42"/>
  <c r="J3868" i="42"/>
  <c r="J3869" i="42"/>
  <c r="J3870" i="42"/>
  <c r="J3871" i="42"/>
  <c r="J3872" i="42"/>
  <c r="J3873" i="42"/>
  <c r="J3874" i="42"/>
  <c r="J3875" i="42"/>
  <c r="J3876" i="42"/>
  <c r="J3877" i="42"/>
  <c r="J3878" i="42"/>
  <c r="J3879" i="42"/>
  <c r="J3880" i="42"/>
  <c r="J3881" i="42"/>
  <c r="J3882" i="42"/>
  <c r="J3883" i="42"/>
  <c r="J3884" i="42"/>
  <c r="J3885" i="42"/>
  <c r="J3886" i="42"/>
  <c r="J3887" i="42"/>
  <c r="J3888" i="42"/>
  <c r="J3889" i="42"/>
  <c r="J3890" i="42"/>
  <c r="J3891" i="42"/>
  <c r="J3892" i="42"/>
  <c r="J3893" i="42"/>
  <c r="J3894" i="42"/>
  <c r="J3895" i="42"/>
  <c r="J3896" i="42"/>
  <c r="J3897" i="42"/>
  <c r="J3898" i="42"/>
  <c r="J3899" i="42"/>
  <c r="J3900" i="42"/>
  <c r="J3901" i="42"/>
  <c r="J3902" i="42"/>
  <c r="J3903" i="42"/>
  <c r="J3904" i="42"/>
  <c r="J3905" i="42"/>
  <c r="J3906" i="42"/>
  <c r="J3907" i="42"/>
  <c r="J3908" i="42"/>
  <c r="J3909" i="42"/>
  <c r="J3910" i="42"/>
  <c r="J3911" i="42"/>
  <c r="J3912" i="42"/>
  <c r="J3913" i="42"/>
  <c r="J3914" i="42"/>
  <c r="J3915" i="42"/>
  <c r="J3916" i="42"/>
  <c r="J3917" i="42"/>
  <c r="J3918" i="42"/>
  <c r="J3919" i="42"/>
  <c r="J3920" i="42"/>
  <c r="J3921" i="42"/>
  <c r="J3922" i="42"/>
  <c r="J3923" i="42"/>
  <c r="J3924" i="42"/>
  <c r="J3925" i="42"/>
  <c r="J3926" i="42"/>
  <c r="J3927" i="42"/>
  <c r="J3928" i="42"/>
  <c r="J3929" i="42"/>
  <c r="J3930" i="42"/>
  <c r="J3931" i="42"/>
  <c r="J3932" i="42"/>
  <c r="J3933" i="42"/>
  <c r="J3934" i="42"/>
  <c r="J3935" i="42"/>
  <c r="J3936" i="42"/>
  <c r="J3937" i="42"/>
  <c r="J3938" i="42"/>
  <c r="J3939" i="42"/>
  <c r="J3940" i="42"/>
  <c r="J3941" i="42"/>
  <c r="J3942" i="42"/>
  <c r="J3943" i="42"/>
  <c r="J3944" i="42"/>
  <c r="J3945" i="42"/>
  <c r="J3946" i="42"/>
  <c r="J3947" i="42"/>
  <c r="J3948" i="42"/>
  <c r="J3949" i="42"/>
  <c r="J3950" i="42"/>
  <c r="J3951" i="42"/>
  <c r="J3952" i="42"/>
  <c r="J3953" i="42"/>
  <c r="J3954" i="42"/>
  <c r="J3955" i="42"/>
  <c r="J3956" i="42"/>
  <c r="J3957" i="42"/>
  <c r="J3958" i="42"/>
  <c r="J3959" i="42"/>
  <c r="J3960" i="42"/>
  <c r="J3961" i="42"/>
  <c r="J3962" i="42"/>
  <c r="J3963" i="42"/>
  <c r="J3964" i="42"/>
  <c r="J3965" i="42"/>
  <c r="J3966" i="42"/>
  <c r="J3967" i="42"/>
  <c r="J3968" i="42"/>
  <c r="J3969" i="42"/>
  <c r="J3970" i="42"/>
  <c r="J3971" i="42"/>
  <c r="J3972" i="42"/>
  <c r="J3973" i="42"/>
  <c r="J3974" i="42"/>
  <c r="J3975" i="42"/>
  <c r="J3976" i="42"/>
  <c r="J3977" i="42"/>
  <c r="J3978" i="42"/>
  <c r="J3979" i="42"/>
  <c r="J3980" i="42"/>
  <c r="J3981" i="42"/>
  <c r="J3982" i="42"/>
  <c r="J3983" i="42"/>
  <c r="J3984" i="42"/>
  <c r="J3985" i="42"/>
  <c r="J3986" i="42"/>
  <c r="J3987" i="42"/>
  <c r="J3988" i="42"/>
  <c r="J3989" i="42"/>
  <c r="J3990" i="42"/>
  <c r="J3991" i="42"/>
  <c r="J3992" i="42"/>
  <c r="J3993" i="42"/>
  <c r="J3994" i="42"/>
  <c r="J3995" i="42"/>
  <c r="J3996" i="42"/>
  <c r="J3997" i="42"/>
  <c r="J3998" i="42"/>
  <c r="J3999" i="42"/>
  <c r="J4000" i="42"/>
  <c r="J4001" i="42"/>
  <c r="J4002" i="42"/>
  <c r="J4003" i="42"/>
  <c r="J4004" i="42"/>
  <c r="J4005" i="42"/>
  <c r="J4006" i="42"/>
  <c r="J4007" i="42"/>
  <c r="J4008" i="42"/>
  <c r="J4009" i="42"/>
  <c r="J4010" i="42"/>
  <c r="J4011" i="42"/>
  <c r="J4012" i="42"/>
  <c r="J4013" i="42"/>
  <c r="J4014" i="42"/>
  <c r="J4015" i="42"/>
  <c r="J4016" i="42"/>
  <c r="J4017" i="42"/>
  <c r="J4018" i="42"/>
  <c r="J4019" i="42"/>
  <c r="J4020" i="42"/>
  <c r="J4021" i="42"/>
  <c r="J4022" i="42"/>
  <c r="J4023" i="42"/>
  <c r="J4024" i="42"/>
  <c r="J4025" i="42"/>
  <c r="J4026" i="42"/>
  <c r="J4027" i="42"/>
  <c r="J4028" i="42"/>
  <c r="J4029" i="42"/>
  <c r="J4030" i="42"/>
  <c r="J4031" i="42"/>
  <c r="J4032" i="42"/>
  <c r="J4033" i="42"/>
  <c r="J4034" i="42"/>
  <c r="J4035" i="42"/>
  <c r="J4036" i="42"/>
  <c r="J4037" i="42"/>
  <c r="J4038" i="42"/>
  <c r="J4039" i="42"/>
  <c r="J4040" i="42"/>
  <c r="J4041" i="42"/>
  <c r="J4042" i="42"/>
  <c r="J4043" i="42"/>
  <c r="J4044" i="42"/>
  <c r="J4045" i="42"/>
  <c r="J4046" i="42"/>
  <c r="J4047" i="42"/>
  <c r="J4048" i="42"/>
  <c r="J4049" i="42"/>
  <c r="J4050" i="42"/>
  <c r="J4051" i="42"/>
  <c r="J4052" i="42"/>
  <c r="J4053" i="42"/>
  <c r="J4054" i="42"/>
  <c r="J4055" i="42"/>
  <c r="J4056" i="42"/>
  <c r="J4057" i="42"/>
  <c r="J4058" i="42"/>
  <c r="J4059" i="42"/>
  <c r="J4060" i="42"/>
  <c r="J4061" i="42"/>
  <c r="J4062" i="42"/>
  <c r="J4063" i="42"/>
  <c r="J4064" i="42"/>
  <c r="J4065" i="42"/>
  <c r="J4066" i="42"/>
  <c r="J4067" i="42"/>
  <c r="J4068" i="42"/>
  <c r="J4069" i="42"/>
  <c r="J4070" i="42"/>
  <c r="J4071" i="42"/>
  <c r="J4072" i="42"/>
  <c r="J4073" i="42"/>
  <c r="J4074" i="42"/>
  <c r="J4075" i="42"/>
  <c r="J4076" i="42"/>
  <c r="J4077" i="42"/>
  <c r="J4078" i="42"/>
  <c r="J4079" i="42"/>
  <c r="J4080" i="42"/>
  <c r="J4081" i="42"/>
  <c r="J4082" i="42"/>
  <c r="J4083" i="42"/>
  <c r="J4084" i="42"/>
  <c r="J4085" i="42"/>
  <c r="J4086" i="42"/>
  <c r="J4087" i="42"/>
  <c r="J4088" i="42"/>
  <c r="J4089" i="42"/>
  <c r="J4090" i="42"/>
  <c r="J4091" i="42"/>
  <c r="J4092" i="42"/>
  <c r="J4093" i="42"/>
  <c r="J4094" i="42"/>
  <c r="J4095" i="42"/>
  <c r="J4096" i="42"/>
  <c r="J4097" i="42"/>
  <c r="J4098" i="42"/>
  <c r="J4099" i="42"/>
  <c r="J4100" i="42"/>
  <c r="J4101" i="42"/>
  <c r="J4102" i="42"/>
  <c r="J4103" i="42"/>
  <c r="J4104" i="42"/>
  <c r="J4105" i="42"/>
  <c r="J4106" i="42"/>
  <c r="J4107" i="42"/>
  <c r="J4108" i="42"/>
  <c r="J4109" i="42"/>
  <c r="J4110" i="42"/>
  <c r="J4111" i="42"/>
  <c r="J4112" i="42"/>
  <c r="J4113" i="42"/>
  <c r="J4114" i="42"/>
  <c r="J4115" i="42"/>
  <c r="J4116" i="42"/>
  <c r="J4117" i="42"/>
  <c r="J4118" i="42"/>
  <c r="J4119" i="42"/>
  <c r="J4120" i="42"/>
  <c r="J4121" i="42"/>
  <c r="J4122" i="42"/>
  <c r="J4123" i="42"/>
  <c r="J4124" i="42"/>
  <c r="J4125" i="42"/>
  <c r="J4126" i="42"/>
  <c r="J4127" i="42"/>
  <c r="J4128" i="42"/>
  <c r="J4129" i="42"/>
  <c r="J4130" i="42"/>
  <c r="J4131" i="42"/>
  <c r="J4132" i="42"/>
  <c r="J4133" i="42"/>
  <c r="J4134" i="42"/>
  <c r="J4135" i="42"/>
  <c r="J4136" i="42"/>
  <c r="J4137" i="42"/>
  <c r="J4138" i="42"/>
  <c r="J4139" i="42"/>
  <c r="J4140" i="42"/>
  <c r="J4141" i="42"/>
  <c r="J4142" i="42"/>
  <c r="J4143" i="42"/>
  <c r="J4144" i="42"/>
  <c r="J4145" i="42"/>
  <c r="J4146" i="42"/>
  <c r="J4147" i="42"/>
  <c r="J4148" i="42"/>
  <c r="J4149" i="42"/>
  <c r="J4150" i="42"/>
  <c r="J4151" i="42"/>
  <c r="J4152" i="42"/>
  <c r="J4153" i="42"/>
  <c r="J4154" i="42"/>
  <c r="J4155" i="42"/>
  <c r="J4156" i="42"/>
  <c r="J4157" i="42"/>
  <c r="J4158" i="42"/>
  <c r="J4159" i="42"/>
  <c r="J4160" i="42"/>
  <c r="J4161" i="42"/>
  <c r="J4162" i="42"/>
  <c r="J4163" i="42"/>
  <c r="J4164" i="42"/>
  <c r="J4165" i="42"/>
  <c r="J4166" i="42"/>
  <c r="J4167" i="42"/>
  <c r="J4168" i="42"/>
  <c r="J4169" i="42"/>
  <c r="J4170" i="42"/>
  <c r="J4171" i="42"/>
  <c r="J4172" i="42"/>
  <c r="J4173" i="42"/>
  <c r="J4174" i="42"/>
  <c r="J4175" i="42"/>
  <c r="J4176" i="42"/>
  <c r="J4177" i="42"/>
  <c r="J4178" i="42"/>
  <c r="J4179" i="42"/>
  <c r="J4180" i="42"/>
  <c r="J4181" i="42"/>
  <c r="J4182" i="42"/>
  <c r="J4183" i="42"/>
  <c r="J4184" i="42"/>
  <c r="J4185" i="42"/>
  <c r="J4186" i="42"/>
  <c r="J4187" i="42"/>
  <c r="J4188" i="42"/>
  <c r="J4189" i="42"/>
  <c r="J4190" i="42"/>
  <c r="J4191" i="42"/>
  <c r="J4192" i="42"/>
  <c r="J4193" i="42"/>
  <c r="J4194" i="42"/>
  <c r="J4195" i="42"/>
  <c r="J4196" i="42"/>
  <c r="J4197" i="42"/>
  <c r="J4198" i="42"/>
  <c r="J4199" i="42"/>
  <c r="J4200" i="42"/>
  <c r="J4201" i="42"/>
  <c r="J4202" i="42"/>
  <c r="J4203" i="42"/>
  <c r="J4204" i="42"/>
  <c r="J4205" i="42"/>
  <c r="J4206" i="42"/>
  <c r="J4207" i="42"/>
  <c r="J4208" i="42"/>
  <c r="J4209" i="42"/>
  <c r="J4210" i="42"/>
  <c r="J4211" i="42"/>
  <c r="J4212" i="42"/>
  <c r="J4213" i="42"/>
  <c r="J4214" i="42"/>
  <c r="J4215" i="42"/>
  <c r="J4216" i="42"/>
  <c r="J4217" i="42"/>
  <c r="J4218" i="42"/>
  <c r="J4219" i="42"/>
  <c r="J4220" i="42"/>
  <c r="J4221" i="42"/>
  <c r="J4222" i="42"/>
  <c r="J4223" i="42"/>
  <c r="J4224" i="42"/>
  <c r="J4225" i="42"/>
  <c r="J4226" i="42"/>
  <c r="J4227" i="42"/>
  <c r="J4228" i="42"/>
  <c r="J4229" i="42"/>
  <c r="J4230" i="42"/>
  <c r="J4231" i="42"/>
  <c r="J4232" i="42"/>
  <c r="J4233" i="42"/>
  <c r="J4234" i="42"/>
  <c r="J4235" i="42"/>
  <c r="J4236" i="42"/>
  <c r="J4237" i="42"/>
  <c r="J4238" i="42"/>
  <c r="J4239" i="42"/>
  <c r="J4240" i="42"/>
  <c r="J4241" i="42"/>
  <c r="J4242" i="42"/>
  <c r="J4243" i="42"/>
  <c r="J4244" i="42"/>
  <c r="J4245" i="42"/>
  <c r="J4246" i="42"/>
  <c r="J4247" i="42"/>
  <c r="J4248" i="42"/>
  <c r="J4249" i="42"/>
  <c r="J4250" i="42"/>
  <c r="J4251" i="42"/>
  <c r="J4252" i="42"/>
  <c r="J4253" i="42"/>
  <c r="J4254" i="42"/>
  <c r="J4255" i="42"/>
  <c r="J4256" i="42"/>
  <c r="J4257" i="42"/>
  <c r="J4258" i="42"/>
  <c r="J4259" i="42"/>
  <c r="J4260" i="42"/>
  <c r="J4261" i="42"/>
  <c r="J4262" i="42"/>
  <c r="J4263" i="42"/>
  <c r="J4264" i="42"/>
  <c r="J4265" i="42"/>
  <c r="J4266" i="42"/>
  <c r="J4267" i="42"/>
  <c r="J4268" i="42"/>
  <c r="J4269" i="42"/>
  <c r="J4270" i="42"/>
  <c r="J4271" i="42"/>
  <c r="J4272" i="42"/>
  <c r="J4273" i="42"/>
  <c r="J4274" i="42"/>
  <c r="J4275" i="42"/>
  <c r="J4276" i="42"/>
  <c r="J4277" i="42"/>
  <c r="J4278" i="42"/>
  <c r="J4279" i="42"/>
  <c r="J4280" i="42"/>
  <c r="J4281" i="42"/>
  <c r="J4282" i="42"/>
  <c r="J4283" i="42"/>
  <c r="J4284" i="42"/>
  <c r="J4285" i="42"/>
  <c r="J4286" i="42"/>
  <c r="J4287" i="42"/>
  <c r="J4288" i="42"/>
  <c r="J4289" i="42"/>
  <c r="J4290" i="42"/>
  <c r="J4291" i="42"/>
  <c r="J4292" i="42"/>
  <c r="J4293" i="42"/>
  <c r="J4294" i="42"/>
  <c r="J4295" i="42"/>
  <c r="J4296" i="42"/>
  <c r="J4297" i="42"/>
  <c r="J4298" i="42"/>
  <c r="J4299" i="42"/>
  <c r="J4300" i="42"/>
  <c r="J4301" i="42"/>
  <c r="J4302" i="42"/>
  <c r="J4303" i="42"/>
  <c r="J4304" i="42"/>
  <c r="J4305" i="42"/>
  <c r="J4306" i="42"/>
  <c r="J4307" i="42"/>
  <c r="J4308" i="42"/>
  <c r="J4309" i="42"/>
  <c r="J4310" i="42"/>
  <c r="J4311" i="42"/>
  <c r="J4312" i="42"/>
  <c r="J4313" i="42"/>
  <c r="J4314" i="42"/>
  <c r="J4315" i="42"/>
  <c r="J4316" i="42"/>
  <c r="J4317" i="42"/>
  <c r="J4318" i="42"/>
  <c r="J4319" i="42"/>
  <c r="J4320" i="42"/>
  <c r="J4321" i="42"/>
  <c r="J4322" i="42"/>
  <c r="J4323" i="42"/>
  <c r="J4324" i="42"/>
  <c r="J4325" i="42"/>
  <c r="J4326" i="42"/>
  <c r="J4327" i="42"/>
  <c r="J4328" i="42"/>
  <c r="J4329" i="42"/>
  <c r="J4330" i="42"/>
  <c r="J4331" i="42"/>
  <c r="J4332" i="42"/>
  <c r="J4333" i="42"/>
  <c r="J4334" i="42"/>
  <c r="J4335" i="42"/>
  <c r="J4336" i="42"/>
  <c r="J4337" i="42"/>
  <c r="J4338" i="42"/>
  <c r="J4339" i="42"/>
  <c r="J4340" i="42"/>
  <c r="J4341" i="42"/>
  <c r="J4342" i="42"/>
  <c r="J4343" i="42"/>
  <c r="J4344" i="42"/>
  <c r="J4345" i="42"/>
  <c r="J4346" i="42"/>
  <c r="J4347" i="42"/>
  <c r="J4348" i="42"/>
  <c r="J4349" i="42"/>
  <c r="J4350" i="42"/>
  <c r="J4351" i="42"/>
  <c r="J4352" i="42"/>
  <c r="J4353" i="42"/>
  <c r="J4354" i="42"/>
  <c r="J4355" i="42"/>
  <c r="J4356" i="42"/>
  <c r="J4357" i="42"/>
  <c r="J4358" i="42"/>
  <c r="J4359" i="42"/>
  <c r="J4360" i="42"/>
  <c r="J4361" i="42"/>
  <c r="J4362" i="42"/>
  <c r="J4363" i="42"/>
  <c r="J4364" i="42"/>
  <c r="J4365" i="42"/>
  <c r="J4366" i="42"/>
  <c r="J4367" i="42"/>
  <c r="J4368" i="42"/>
  <c r="J4369" i="42"/>
  <c r="J4370" i="42"/>
  <c r="J4371" i="42"/>
  <c r="J4372" i="42"/>
  <c r="J4373" i="42"/>
  <c r="J4374" i="42"/>
  <c r="J4375" i="42"/>
  <c r="J4376" i="42"/>
  <c r="J4377" i="42"/>
  <c r="J4378" i="42"/>
  <c r="J4379" i="42"/>
  <c r="J4380" i="42"/>
  <c r="J4381" i="42"/>
  <c r="J4382" i="42"/>
  <c r="J4383" i="42"/>
  <c r="J4384" i="42"/>
  <c r="J4385" i="42"/>
  <c r="J4386" i="42"/>
  <c r="J4387" i="42"/>
  <c r="J4388" i="42"/>
  <c r="J4389" i="42"/>
  <c r="J4390" i="42"/>
  <c r="J4391" i="42"/>
  <c r="J4392" i="42"/>
  <c r="J4393" i="42"/>
  <c r="J4394" i="42"/>
  <c r="J4395" i="42"/>
  <c r="J4396" i="42"/>
  <c r="J4397" i="42"/>
  <c r="J4398" i="42"/>
  <c r="J4399" i="42"/>
  <c r="J4400" i="42"/>
  <c r="J4401" i="42"/>
  <c r="J4402" i="42"/>
  <c r="J4403" i="42"/>
  <c r="J4404" i="42"/>
  <c r="J4405" i="42"/>
  <c r="J4406" i="42"/>
  <c r="J4407" i="42"/>
  <c r="J4408" i="42"/>
  <c r="J4409" i="42"/>
  <c r="J4410" i="42"/>
  <c r="J4411" i="42"/>
  <c r="J4412" i="42"/>
  <c r="J4413" i="42"/>
  <c r="J4414" i="42"/>
  <c r="J4415" i="42"/>
  <c r="J4416" i="42"/>
  <c r="J4417" i="42"/>
  <c r="J4418" i="42"/>
  <c r="J4419" i="42"/>
  <c r="J4420" i="42"/>
  <c r="J4421" i="42"/>
  <c r="J4422" i="42"/>
  <c r="J4423" i="42"/>
  <c r="J4424" i="42"/>
  <c r="J4425" i="42"/>
  <c r="J4426" i="42"/>
  <c r="J4427" i="42"/>
  <c r="J4428" i="42"/>
  <c r="J4429" i="42"/>
  <c r="J4430" i="42"/>
  <c r="J4431" i="42"/>
  <c r="J4432" i="42"/>
  <c r="J4433" i="42"/>
  <c r="J4434" i="42"/>
  <c r="J4435" i="42"/>
  <c r="J4436" i="42"/>
  <c r="J4437" i="42"/>
  <c r="J4438" i="42"/>
  <c r="J4439" i="42"/>
  <c r="J4440" i="42"/>
  <c r="J4441" i="42"/>
  <c r="J4442" i="42"/>
  <c r="J4443" i="42"/>
  <c r="J4444" i="42"/>
  <c r="J4445" i="42"/>
  <c r="J4446" i="42"/>
  <c r="J4447" i="42"/>
  <c r="J4448" i="42"/>
  <c r="J4449" i="42"/>
  <c r="J4450" i="42"/>
  <c r="J4451" i="42"/>
  <c r="J4452" i="42"/>
  <c r="J4453" i="42"/>
  <c r="J4454" i="42"/>
  <c r="J4455" i="42"/>
  <c r="J4456" i="42"/>
  <c r="J4457" i="42"/>
  <c r="J4458" i="42"/>
  <c r="J4459" i="42"/>
  <c r="J4460" i="42"/>
  <c r="J4461" i="42"/>
  <c r="J4462" i="42"/>
  <c r="J4463" i="42"/>
  <c r="J4464" i="42"/>
  <c r="J4465" i="42"/>
  <c r="J4466" i="42"/>
  <c r="J4467" i="42"/>
  <c r="J4468" i="42"/>
  <c r="J4469" i="42"/>
  <c r="J4470" i="42"/>
  <c r="J4471" i="42"/>
  <c r="J4472" i="42"/>
  <c r="J4473" i="42"/>
  <c r="J4474" i="42"/>
  <c r="J4475" i="42"/>
  <c r="J4476" i="42"/>
  <c r="J4477" i="42"/>
  <c r="J4478" i="42"/>
  <c r="J4479" i="42"/>
  <c r="J4480" i="42"/>
  <c r="J4481" i="42"/>
  <c r="J4482" i="42"/>
  <c r="J4483" i="42"/>
  <c r="J4484" i="42"/>
  <c r="J4485" i="42"/>
  <c r="J4486" i="42"/>
  <c r="J4487" i="42"/>
  <c r="J4488" i="42"/>
  <c r="J4489" i="42"/>
  <c r="J4490" i="42"/>
  <c r="J4491" i="42"/>
  <c r="J4492" i="42"/>
  <c r="J4493" i="42"/>
  <c r="J4494" i="42"/>
  <c r="J4495" i="42"/>
  <c r="J4496" i="42"/>
  <c r="J4497" i="42"/>
  <c r="J4498" i="42"/>
  <c r="J4499" i="42"/>
  <c r="J4500" i="42"/>
  <c r="J4501" i="42"/>
  <c r="J4502" i="42"/>
  <c r="J4503" i="42"/>
  <c r="J4504" i="42"/>
  <c r="J4505" i="42"/>
  <c r="J4506" i="42"/>
  <c r="J4507" i="42"/>
  <c r="J4508" i="42"/>
  <c r="J4509" i="42"/>
  <c r="J4510" i="42"/>
  <c r="J4511" i="42"/>
  <c r="J4512" i="42"/>
  <c r="J4513" i="42"/>
  <c r="J4514" i="42"/>
  <c r="J4515" i="42"/>
  <c r="J4516" i="42"/>
  <c r="J4517" i="42"/>
  <c r="J4518" i="42"/>
  <c r="J4519" i="42"/>
  <c r="J4520" i="42"/>
  <c r="J4521" i="42"/>
  <c r="J4522" i="42"/>
  <c r="J4523" i="42"/>
  <c r="J4524" i="42"/>
  <c r="J4525" i="42"/>
  <c r="J4526" i="42"/>
  <c r="J4527" i="42"/>
  <c r="J4528" i="42"/>
  <c r="J4529" i="42"/>
  <c r="J4530" i="42"/>
  <c r="J4531" i="42"/>
  <c r="J4532" i="42"/>
  <c r="J4533" i="42"/>
  <c r="J4534" i="42"/>
  <c r="J4535" i="42"/>
  <c r="J4536" i="42"/>
  <c r="J4537" i="42"/>
  <c r="J4538" i="42"/>
  <c r="J4539" i="42"/>
  <c r="J4540" i="42"/>
  <c r="J4541" i="42"/>
  <c r="J4542" i="42"/>
  <c r="J4543" i="42"/>
  <c r="J4544" i="42"/>
  <c r="J4545" i="42"/>
  <c r="J4546" i="42"/>
  <c r="J4547" i="42"/>
  <c r="J4548" i="42"/>
  <c r="J4549" i="42"/>
  <c r="J4550" i="42"/>
  <c r="J4551" i="42"/>
  <c r="J4552" i="42"/>
  <c r="J4553" i="42"/>
  <c r="J4554" i="42"/>
  <c r="J4555" i="42"/>
  <c r="J4556" i="42"/>
  <c r="J4557" i="42"/>
  <c r="J4558" i="42"/>
  <c r="J4559" i="42"/>
  <c r="J4560" i="42"/>
  <c r="J4561" i="42"/>
  <c r="J4562" i="42"/>
  <c r="J4563" i="42"/>
  <c r="J4564" i="42"/>
  <c r="J4565" i="42"/>
  <c r="J4566" i="42"/>
  <c r="J4567" i="42"/>
  <c r="J4568" i="42"/>
  <c r="J4569" i="42"/>
  <c r="J4570" i="42"/>
  <c r="J4571" i="42"/>
  <c r="J4572" i="42"/>
  <c r="J4573" i="42"/>
  <c r="J4574" i="42"/>
  <c r="J4575" i="42"/>
  <c r="J4576" i="42"/>
  <c r="J4577" i="42"/>
  <c r="J4578" i="42"/>
  <c r="J4579" i="42"/>
  <c r="J4580" i="42"/>
  <c r="J4581" i="42"/>
  <c r="J4582" i="42"/>
  <c r="J4583" i="42"/>
  <c r="J4584" i="42"/>
  <c r="J4585" i="42"/>
  <c r="J4586" i="42"/>
  <c r="J4587" i="42"/>
  <c r="J4588" i="42"/>
  <c r="J4589" i="42"/>
  <c r="J4590" i="42"/>
  <c r="J4591" i="42"/>
  <c r="J4592" i="42"/>
  <c r="J4593" i="42"/>
  <c r="J4594" i="42"/>
  <c r="J4595" i="42"/>
  <c r="J4596" i="42"/>
  <c r="J4597" i="42"/>
  <c r="J4598" i="42"/>
  <c r="J4599" i="42"/>
  <c r="J4600" i="42"/>
  <c r="J4601" i="42"/>
  <c r="J4602" i="42"/>
  <c r="J4603" i="42"/>
  <c r="J4604" i="42"/>
  <c r="J4605" i="42"/>
  <c r="J4606" i="42"/>
  <c r="J4607" i="42"/>
  <c r="J4608" i="42"/>
  <c r="J4609" i="42"/>
  <c r="J4610" i="42"/>
  <c r="J4611" i="42"/>
  <c r="J4612" i="42"/>
  <c r="J4613" i="42"/>
  <c r="J4614" i="42"/>
  <c r="J4615" i="42"/>
  <c r="J4616" i="42"/>
  <c r="J4617" i="42"/>
  <c r="J4618" i="42"/>
  <c r="J4619" i="42"/>
  <c r="J4620" i="42"/>
  <c r="J4621" i="42"/>
  <c r="J4622" i="42"/>
  <c r="J4623" i="42"/>
  <c r="J4624" i="42"/>
  <c r="J4625" i="42"/>
  <c r="J4626" i="42"/>
  <c r="J4627" i="42"/>
  <c r="J4628" i="42"/>
  <c r="J4629" i="42"/>
  <c r="J4630" i="42"/>
  <c r="J4631" i="42"/>
  <c r="J4632" i="42"/>
  <c r="J4633" i="42"/>
  <c r="J4634" i="42"/>
  <c r="J4635" i="42"/>
  <c r="J4636" i="42"/>
  <c r="J4637" i="42"/>
  <c r="J4638" i="42"/>
  <c r="J4639" i="42"/>
  <c r="J4640" i="42"/>
  <c r="J4641" i="42"/>
  <c r="J4642" i="42"/>
  <c r="J4643" i="42"/>
  <c r="J4644" i="42"/>
  <c r="J4645" i="42"/>
  <c r="J4646" i="42"/>
  <c r="J4647" i="42"/>
  <c r="J4648" i="42"/>
  <c r="J4649" i="42"/>
  <c r="J4650" i="42"/>
  <c r="J4651" i="42"/>
  <c r="J4652" i="42"/>
  <c r="J4653" i="42"/>
  <c r="J4654" i="42"/>
  <c r="J4655" i="42"/>
  <c r="J4656" i="42"/>
  <c r="J4657" i="42"/>
  <c r="J4658" i="42"/>
  <c r="J4659" i="42"/>
  <c r="J4660" i="42"/>
  <c r="J4661" i="42"/>
  <c r="J4662" i="42"/>
  <c r="J4663" i="42"/>
  <c r="J4664" i="42"/>
  <c r="J4665" i="42"/>
  <c r="J4666" i="42"/>
  <c r="J4667" i="42"/>
  <c r="J4668" i="42"/>
  <c r="J4669" i="42"/>
  <c r="J4670" i="42"/>
  <c r="J4671" i="42"/>
  <c r="J4672" i="42"/>
  <c r="J4673" i="42"/>
  <c r="J4674" i="42"/>
  <c r="J4675" i="42"/>
  <c r="J4676" i="42"/>
  <c r="J4677" i="42"/>
  <c r="J4678" i="42"/>
  <c r="J4679" i="42"/>
  <c r="J4680" i="42"/>
  <c r="J4681" i="42"/>
  <c r="J4682" i="42"/>
  <c r="J4683" i="42"/>
  <c r="J4684" i="42"/>
  <c r="J4685" i="42"/>
  <c r="J4686" i="42"/>
  <c r="J4687" i="42"/>
  <c r="J4688" i="42"/>
  <c r="J4689" i="42"/>
  <c r="J4690" i="42"/>
  <c r="J4691" i="42"/>
  <c r="J4692" i="42"/>
  <c r="J4693" i="42"/>
  <c r="J4694" i="42"/>
  <c r="J4695" i="42"/>
  <c r="J4696" i="42"/>
  <c r="J4697" i="42"/>
  <c r="J4698" i="42"/>
  <c r="J4699" i="42"/>
  <c r="J4700" i="42"/>
  <c r="J4701" i="42"/>
  <c r="J4702" i="42"/>
  <c r="J4703" i="42"/>
  <c r="J4704" i="42"/>
  <c r="J4705" i="42"/>
  <c r="J4706" i="42"/>
  <c r="J4707" i="42"/>
  <c r="J4708" i="42"/>
  <c r="J4709" i="42"/>
  <c r="J4710" i="42"/>
  <c r="J4711" i="42"/>
  <c r="J4712" i="42"/>
  <c r="J4713" i="42"/>
  <c r="J4714" i="42"/>
  <c r="J4715" i="42"/>
  <c r="J4716" i="42"/>
  <c r="J4717" i="42"/>
  <c r="J4718" i="42"/>
  <c r="J4719" i="42"/>
  <c r="J4720" i="42"/>
  <c r="J4721" i="42"/>
  <c r="J4722" i="42"/>
  <c r="J4723" i="42"/>
  <c r="J4724" i="42"/>
  <c r="J4725" i="42"/>
  <c r="J4726" i="42"/>
  <c r="J4727" i="42"/>
  <c r="J4728" i="42"/>
  <c r="J4729" i="42"/>
  <c r="J4730" i="42"/>
  <c r="J4731" i="42"/>
  <c r="J4732" i="42"/>
  <c r="J4733" i="42"/>
  <c r="J4734" i="42"/>
  <c r="J4735" i="42"/>
  <c r="J4736" i="42"/>
  <c r="J4737" i="42"/>
  <c r="J4738" i="42"/>
  <c r="J4739" i="42"/>
  <c r="J4740" i="42"/>
  <c r="J4741" i="42"/>
  <c r="J4742" i="42"/>
  <c r="J4743" i="42"/>
  <c r="J4744" i="42"/>
  <c r="J4745" i="42"/>
  <c r="J4746" i="42"/>
  <c r="J4747" i="42"/>
  <c r="J4748" i="42"/>
  <c r="J4749" i="42"/>
  <c r="J4750" i="42"/>
  <c r="J4751" i="42"/>
  <c r="J4752" i="42"/>
  <c r="J4753" i="42"/>
  <c r="J4754" i="42"/>
  <c r="J4755" i="42"/>
  <c r="J4756" i="42"/>
  <c r="J4757" i="42"/>
  <c r="J4758" i="42"/>
  <c r="J4759" i="42"/>
  <c r="J4760" i="42"/>
  <c r="J4761" i="42"/>
  <c r="J4762" i="42"/>
  <c r="J4763" i="42"/>
  <c r="J4764" i="42"/>
  <c r="J4765" i="42"/>
  <c r="J4766" i="42"/>
  <c r="J4767" i="42"/>
  <c r="J4768" i="42"/>
  <c r="J4769" i="42"/>
  <c r="J4770" i="42"/>
  <c r="J4771" i="42"/>
  <c r="J4772" i="42"/>
  <c r="J4773" i="42"/>
  <c r="J4774" i="42"/>
  <c r="J4775" i="42"/>
  <c r="J4776" i="42"/>
  <c r="J4777" i="42"/>
  <c r="J4778" i="42"/>
  <c r="J4779" i="42"/>
  <c r="J4780" i="42"/>
  <c r="J4781" i="42"/>
  <c r="J4782" i="42"/>
  <c r="J4783" i="42"/>
  <c r="J4784" i="42"/>
  <c r="J4785" i="42"/>
  <c r="J4786" i="42"/>
  <c r="J4787" i="42"/>
  <c r="J4788" i="42"/>
  <c r="J4789" i="42"/>
  <c r="J4790" i="42"/>
  <c r="J4791" i="42"/>
  <c r="J4792" i="42"/>
  <c r="J4793" i="42"/>
  <c r="J4794" i="42"/>
  <c r="J4795" i="42"/>
  <c r="J4796" i="42"/>
  <c r="J4797" i="42"/>
  <c r="J4798" i="42"/>
  <c r="J4799" i="42"/>
  <c r="J4800" i="42"/>
  <c r="J4801" i="42"/>
  <c r="J4802" i="42"/>
  <c r="J4803" i="42"/>
  <c r="J4804" i="42"/>
  <c r="J4805" i="42"/>
  <c r="J4806" i="42"/>
  <c r="J4807" i="42"/>
  <c r="J4808" i="42"/>
  <c r="J4809" i="42"/>
  <c r="J4810" i="42"/>
  <c r="J4811" i="42"/>
  <c r="J4812" i="42"/>
  <c r="J4813" i="42"/>
  <c r="J4814" i="42"/>
  <c r="J4815" i="42"/>
  <c r="J4816" i="42"/>
  <c r="J4817" i="42"/>
  <c r="J4818" i="42"/>
  <c r="J4819" i="42"/>
  <c r="J4820" i="42"/>
  <c r="J4821" i="42"/>
  <c r="J4822" i="42"/>
  <c r="J4823" i="42"/>
  <c r="J4824" i="42"/>
  <c r="J4825" i="42"/>
  <c r="J4826" i="42"/>
  <c r="J4827" i="42"/>
  <c r="J4828" i="42"/>
  <c r="J4829" i="42"/>
  <c r="J4830" i="42"/>
  <c r="J4831" i="42"/>
  <c r="J4832" i="42"/>
  <c r="J4833" i="42"/>
  <c r="J4834" i="42"/>
  <c r="J4835" i="42"/>
  <c r="J4836" i="42"/>
  <c r="J4837" i="42"/>
  <c r="J4838" i="42"/>
  <c r="J4839" i="42"/>
  <c r="J4840" i="42"/>
  <c r="J4841" i="42"/>
  <c r="J4842" i="42"/>
  <c r="J4843" i="42"/>
  <c r="J4844" i="42"/>
  <c r="J4845" i="42"/>
  <c r="J4846" i="42"/>
  <c r="J4847" i="42"/>
  <c r="J4848" i="42"/>
  <c r="J4849" i="42"/>
  <c r="J4850" i="42"/>
  <c r="J4851" i="42"/>
  <c r="J4852" i="42"/>
  <c r="J4853" i="42"/>
  <c r="J4854" i="42"/>
  <c r="J4855" i="42"/>
  <c r="J4856" i="42"/>
  <c r="J4857" i="42"/>
  <c r="J4858" i="42"/>
  <c r="J4859" i="42"/>
  <c r="J4860" i="42"/>
  <c r="J4861" i="42"/>
  <c r="J4862" i="42"/>
  <c r="J4863" i="42"/>
  <c r="J4864" i="42"/>
  <c r="J4865" i="42"/>
  <c r="J4866" i="42"/>
  <c r="J4867" i="42"/>
  <c r="J4868" i="42"/>
  <c r="J4869" i="42"/>
  <c r="J4870" i="42"/>
  <c r="J4871" i="42"/>
  <c r="J4872" i="42"/>
  <c r="J4873" i="42"/>
  <c r="J4874" i="42"/>
  <c r="J4875" i="42"/>
  <c r="J4876" i="42"/>
  <c r="J4877" i="42"/>
  <c r="J4878" i="42"/>
  <c r="J4879" i="42"/>
  <c r="J4880" i="42"/>
  <c r="J4881" i="42"/>
  <c r="J4882" i="42"/>
  <c r="J4883" i="42"/>
  <c r="J4884" i="42"/>
  <c r="J4885" i="42"/>
  <c r="J4886" i="42"/>
  <c r="J4887" i="42"/>
  <c r="J4888" i="42"/>
  <c r="J4889" i="42"/>
  <c r="J4890" i="42"/>
  <c r="J4891" i="42"/>
  <c r="J4892" i="42"/>
  <c r="J4893" i="42"/>
  <c r="J4894" i="42"/>
  <c r="J4895" i="42"/>
  <c r="J4896" i="42"/>
  <c r="J4897" i="42"/>
  <c r="J4898" i="42"/>
  <c r="J4899" i="42"/>
  <c r="J4900" i="42"/>
  <c r="J4901" i="42"/>
  <c r="J4902" i="42"/>
  <c r="J4903" i="42"/>
  <c r="J4904" i="42"/>
  <c r="J4905" i="42"/>
  <c r="J4906" i="42"/>
  <c r="J4907" i="42"/>
  <c r="J4908" i="42"/>
  <c r="J4909" i="42"/>
  <c r="J4910" i="42"/>
  <c r="J4911" i="42"/>
  <c r="J4912" i="42"/>
  <c r="J4913" i="42"/>
  <c r="J4914" i="42"/>
  <c r="J4915" i="42"/>
  <c r="J4916" i="42"/>
  <c r="J4917" i="42"/>
  <c r="J4918" i="42"/>
  <c r="J4919" i="42"/>
  <c r="J4920" i="42"/>
  <c r="J4921" i="42"/>
  <c r="J4922" i="42"/>
  <c r="J4923" i="42"/>
  <c r="J4924" i="42"/>
  <c r="J4925" i="42"/>
  <c r="J4926" i="42"/>
  <c r="J4927" i="42"/>
  <c r="J4928" i="42"/>
  <c r="J4929" i="42"/>
  <c r="J4930" i="42"/>
  <c r="J4931" i="42"/>
  <c r="J4932" i="42"/>
  <c r="J4933" i="42"/>
  <c r="J4934" i="42"/>
  <c r="J4935" i="42"/>
  <c r="J4936" i="42"/>
  <c r="J4937" i="42"/>
  <c r="J4938" i="42"/>
  <c r="J4939" i="42"/>
  <c r="J4940" i="42"/>
  <c r="J4941" i="42"/>
  <c r="J4942" i="42"/>
  <c r="J4943" i="42"/>
  <c r="J4944" i="42"/>
  <c r="J4945" i="42"/>
  <c r="J4946" i="42"/>
  <c r="J4947" i="42"/>
  <c r="J4948" i="42"/>
  <c r="J4949" i="42"/>
  <c r="J4950" i="42"/>
  <c r="J4951" i="42"/>
  <c r="J4952" i="42"/>
  <c r="J4953" i="42"/>
  <c r="J4954" i="42"/>
  <c r="J4955" i="42"/>
  <c r="J4956" i="42"/>
  <c r="J4957" i="42"/>
  <c r="J4958" i="42"/>
  <c r="J4959" i="42"/>
  <c r="J4960" i="42"/>
  <c r="J4961" i="42"/>
  <c r="J4962" i="42"/>
  <c r="J4963" i="42"/>
  <c r="J4964" i="42"/>
  <c r="J4965" i="42"/>
  <c r="J4966" i="42"/>
  <c r="J4967" i="42"/>
  <c r="J4968" i="42"/>
  <c r="J4969" i="42"/>
  <c r="J4970" i="42"/>
  <c r="J4971" i="42"/>
  <c r="J4972" i="42"/>
  <c r="J4973" i="42"/>
  <c r="J4974" i="42"/>
  <c r="J4975" i="42"/>
  <c r="J4976" i="42"/>
  <c r="J4977" i="42"/>
  <c r="J4978" i="42"/>
  <c r="J4979" i="42"/>
  <c r="J4980" i="42"/>
  <c r="J4981" i="42"/>
  <c r="J4982" i="42"/>
  <c r="J4983" i="42"/>
  <c r="J4984" i="42"/>
  <c r="J4985" i="42"/>
  <c r="J4986" i="42"/>
  <c r="J4987" i="42"/>
  <c r="J4988" i="42"/>
  <c r="J4989" i="42"/>
  <c r="J4990" i="42"/>
  <c r="J4991" i="42"/>
  <c r="J4992" i="42"/>
  <c r="J4993" i="42"/>
  <c r="J4994" i="42"/>
  <c r="J4995" i="42"/>
  <c r="J4996" i="42"/>
  <c r="J4997" i="42"/>
  <c r="J4998" i="42"/>
  <c r="J4999" i="42"/>
  <c r="J5000" i="42"/>
  <c r="J5001" i="42"/>
  <c r="J5002" i="42"/>
  <c r="J5003" i="42"/>
  <c r="J5004" i="42"/>
  <c r="J5005" i="42"/>
  <c r="J5006" i="42"/>
  <c r="J5007" i="42"/>
  <c r="J5008" i="42"/>
  <c r="J5009" i="42"/>
  <c r="J5010" i="42"/>
  <c r="J5011" i="42"/>
  <c r="J5012" i="42"/>
  <c r="J5013" i="42"/>
  <c r="J5014" i="42"/>
  <c r="J5015" i="42"/>
  <c r="J5016" i="42"/>
  <c r="J5017" i="42"/>
  <c r="J5018" i="42"/>
  <c r="J5019" i="42"/>
  <c r="J5020" i="42"/>
  <c r="J5021" i="42"/>
  <c r="J5022" i="42"/>
  <c r="J5023" i="42"/>
  <c r="J5024" i="42"/>
  <c r="J5025" i="42"/>
  <c r="J5026" i="42"/>
  <c r="J5027" i="42"/>
  <c r="J5028" i="42"/>
  <c r="J5029" i="42"/>
  <c r="J5030" i="42"/>
  <c r="J5031" i="42"/>
  <c r="J5032" i="42"/>
  <c r="J5033" i="42"/>
  <c r="J5034" i="42"/>
  <c r="J5035" i="42"/>
  <c r="J5036" i="42"/>
  <c r="J5037" i="42"/>
  <c r="J5038" i="42"/>
  <c r="J5039" i="42"/>
  <c r="J5040" i="42"/>
  <c r="J5041" i="42"/>
  <c r="J5042" i="42"/>
  <c r="J5043" i="42"/>
  <c r="J5044" i="42"/>
  <c r="J5045" i="42"/>
  <c r="J5046" i="42"/>
  <c r="J5047" i="42"/>
  <c r="J5048" i="42"/>
  <c r="J5049" i="42"/>
  <c r="J5050" i="42"/>
  <c r="J5051" i="42"/>
  <c r="J5052" i="42"/>
  <c r="J5053" i="42"/>
  <c r="J5054" i="42"/>
  <c r="J5055" i="42"/>
  <c r="J5056" i="42"/>
  <c r="J5057" i="42"/>
  <c r="J5058" i="42"/>
  <c r="J5059" i="42"/>
  <c r="J5060" i="42"/>
  <c r="J5061" i="42"/>
  <c r="J5062" i="42"/>
  <c r="J5063" i="42"/>
  <c r="J5064" i="42"/>
  <c r="J5065" i="42"/>
  <c r="J5066" i="42"/>
  <c r="J5067" i="42"/>
  <c r="J5068" i="42"/>
  <c r="J5069" i="42"/>
  <c r="J5070" i="42"/>
  <c r="J5071" i="42"/>
  <c r="J5072" i="42"/>
  <c r="J5073" i="42"/>
  <c r="J5074" i="42"/>
  <c r="J5075" i="42"/>
  <c r="J5076" i="42"/>
  <c r="J5077" i="42"/>
  <c r="J5078" i="42"/>
  <c r="J5079" i="42"/>
  <c r="J5080" i="42"/>
  <c r="J5081" i="42"/>
  <c r="J5082" i="42"/>
  <c r="J5083" i="42"/>
  <c r="J5084" i="42"/>
  <c r="J5085" i="42"/>
  <c r="J5086" i="42"/>
  <c r="J5087" i="42"/>
  <c r="J5088" i="42"/>
  <c r="J5089" i="42"/>
  <c r="J5090" i="42"/>
  <c r="J5091" i="42"/>
  <c r="J5092" i="42"/>
  <c r="J5093" i="42"/>
  <c r="J5094" i="42"/>
  <c r="J5095" i="42"/>
  <c r="J5096" i="42"/>
  <c r="J5097" i="42"/>
  <c r="J5098" i="42"/>
  <c r="J5099" i="42"/>
  <c r="J5100" i="42"/>
  <c r="J5101" i="42"/>
  <c r="J5102" i="42"/>
  <c r="J5103" i="42"/>
  <c r="J5104" i="42"/>
  <c r="J5105" i="42"/>
  <c r="J5106" i="42"/>
  <c r="J5107" i="42"/>
  <c r="J5108" i="42"/>
  <c r="J5109" i="42"/>
  <c r="J5110" i="42"/>
  <c r="J5111" i="42"/>
  <c r="J5112" i="42"/>
  <c r="J5113" i="42"/>
  <c r="J5114" i="42"/>
  <c r="J5115" i="42"/>
  <c r="J5116" i="42"/>
  <c r="J5117" i="42"/>
  <c r="J5118" i="42"/>
  <c r="J5119" i="42"/>
  <c r="J5120" i="42"/>
  <c r="J5121" i="42"/>
  <c r="J5122" i="42"/>
  <c r="J5123" i="42"/>
  <c r="J5124" i="42"/>
  <c r="J5125" i="42"/>
  <c r="J5126" i="42"/>
  <c r="J5127" i="42"/>
  <c r="J5128" i="42"/>
  <c r="J5129" i="42"/>
  <c r="J5130" i="42"/>
  <c r="J5131" i="42"/>
  <c r="J5132" i="42"/>
  <c r="J5133" i="42"/>
  <c r="J5134" i="42"/>
  <c r="J5135" i="42"/>
  <c r="J5136" i="42"/>
  <c r="J5137" i="42"/>
  <c r="J5138" i="42"/>
  <c r="J5139" i="42"/>
  <c r="J5140" i="42"/>
  <c r="J5141" i="42"/>
  <c r="J5142" i="42"/>
  <c r="J5143" i="42"/>
  <c r="J5144" i="42"/>
  <c r="J5145" i="42"/>
  <c r="J5146" i="42"/>
  <c r="J5147" i="42"/>
  <c r="J5148" i="42"/>
  <c r="J5149" i="42"/>
  <c r="J5150" i="42"/>
  <c r="J5151" i="42"/>
  <c r="J5152" i="42"/>
  <c r="J5153" i="42"/>
  <c r="J5154" i="42"/>
  <c r="J5155" i="42"/>
  <c r="J5156" i="42"/>
  <c r="J5157" i="42"/>
  <c r="J5158" i="42"/>
  <c r="J5159" i="42"/>
  <c r="J5160" i="42"/>
  <c r="J5161" i="42"/>
  <c r="J5162" i="42"/>
  <c r="J5163" i="42"/>
  <c r="J5164" i="42"/>
  <c r="J5165" i="42"/>
  <c r="J5166" i="42"/>
  <c r="J5167" i="42"/>
  <c r="J5168" i="42"/>
  <c r="J5169" i="42"/>
  <c r="J5170" i="42"/>
  <c r="J5171" i="42"/>
  <c r="J5172" i="42"/>
  <c r="J5173" i="42"/>
  <c r="J5174" i="42"/>
  <c r="J5175" i="42"/>
  <c r="J5176" i="42"/>
  <c r="J5177" i="42"/>
  <c r="J5178" i="42"/>
  <c r="J5179" i="42"/>
  <c r="J5180" i="42"/>
  <c r="J5181" i="42"/>
  <c r="J5182" i="42"/>
  <c r="J5183" i="42"/>
  <c r="J5184" i="42"/>
  <c r="J5185" i="42"/>
  <c r="J5186" i="42"/>
  <c r="J5187" i="42"/>
  <c r="J5188" i="42"/>
  <c r="J5189" i="42"/>
  <c r="J5190" i="42"/>
  <c r="J5191" i="42"/>
  <c r="J5192" i="42"/>
  <c r="J5193" i="42"/>
  <c r="J5194" i="42"/>
  <c r="J5195" i="42"/>
  <c r="J5196" i="42"/>
  <c r="J5197" i="42"/>
  <c r="J5198" i="42"/>
  <c r="J5199" i="42"/>
  <c r="J5200" i="42"/>
  <c r="J5201" i="42"/>
  <c r="J5202" i="42"/>
  <c r="J5203" i="42"/>
  <c r="J5204" i="42"/>
  <c r="J5205" i="42"/>
  <c r="J5206" i="42"/>
  <c r="J5207" i="42"/>
  <c r="J5208" i="42"/>
  <c r="J5209" i="42"/>
  <c r="J5210" i="42"/>
  <c r="J5211" i="42"/>
  <c r="J5212" i="42"/>
  <c r="J5213" i="42"/>
  <c r="J5214" i="42"/>
  <c r="J5215" i="42"/>
  <c r="J5216" i="42"/>
  <c r="J5217" i="42"/>
  <c r="J5218" i="42"/>
  <c r="J5219" i="42"/>
  <c r="J5220" i="42"/>
  <c r="J5221" i="42"/>
  <c r="J5222" i="42"/>
  <c r="J5223" i="42"/>
  <c r="J5224" i="42"/>
  <c r="J5225" i="42"/>
  <c r="J5226" i="42"/>
  <c r="J5227" i="42"/>
  <c r="J5228" i="42"/>
  <c r="J5229" i="42"/>
  <c r="J5230" i="42"/>
  <c r="J5231" i="42"/>
  <c r="J5232" i="42"/>
  <c r="J5233" i="42"/>
  <c r="J5234" i="42"/>
  <c r="J5235" i="42"/>
  <c r="J5236" i="42"/>
  <c r="J5237" i="42"/>
  <c r="J5238" i="42"/>
  <c r="J5239" i="42"/>
  <c r="J5240" i="42"/>
  <c r="J5241" i="42"/>
  <c r="J5242" i="42"/>
  <c r="J5243" i="42"/>
  <c r="J5244" i="42"/>
  <c r="J5245" i="42"/>
  <c r="J5246" i="42"/>
  <c r="J5247" i="42"/>
  <c r="J5248" i="42"/>
  <c r="J5249" i="42"/>
  <c r="J5250" i="42"/>
  <c r="J5251" i="42"/>
  <c r="J5252" i="42"/>
  <c r="J5253" i="42"/>
  <c r="J5254" i="42"/>
  <c r="J5255" i="42"/>
  <c r="J5256" i="42"/>
  <c r="J5257" i="42"/>
  <c r="J5258" i="42"/>
  <c r="J5259" i="42"/>
  <c r="J5260" i="42"/>
  <c r="J5261" i="42"/>
  <c r="J5262" i="42"/>
  <c r="J5263" i="42"/>
  <c r="J5264" i="42"/>
  <c r="J5265" i="42"/>
  <c r="J5266" i="42"/>
  <c r="J5267" i="42"/>
  <c r="J5268" i="42"/>
  <c r="J5269" i="42"/>
  <c r="J5270" i="42"/>
  <c r="J5271" i="42"/>
  <c r="J5272" i="42"/>
  <c r="J5273" i="42"/>
  <c r="J5274" i="42"/>
  <c r="J5275" i="42"/>
  <c r="J5276" i="42"/>
  <c r="J5277" i="42"/>
  <c r="J5278" i="42"/>
  <c r="J5279" i="42"/>
  <c r="J5280" i="42"/>
  <c r="J5281" i="42"/>
  <c r="J5282" i="42"/>
  <c r="J5283" i="42"/>
  <c r="J5284" i="42"/>
  <c r="J5285" i="42"/>
  <c r="J5286" i="42"/>
  <c r="J5287" i="42"/>
  <c r="J5288" i="42"/>
  <c r="J5289" i="42"/>
  <c r="J5290" i="42"/>
  <c r="J5291" i="42"/>
  <c r="J5292" i="42"/>
  <c r="J5293" i="42"/>
  <c r="J5294" i="42"/>
  <c r="J5295" i="42"/>
  <c r="J5296" i="42"/>
  <c r="J5297" i="42"/>
  <c r="J5298" i="42"/>
  <c r="J5299" i="42"/>
  <c r="J5300" i="42"/>
  <c r="J5301" i="42"/>
  <c r="J5302" i="42"/>
  <c r="J5303" i="42"/>
  <c r="J5304" i="42"/>
  <c r="J5305" i="42"/>
  <c r="J5306" i="42"/>
  <c r="J5307" i="42"/>
  <c r="J5308" i="42"/>
  <c r="J5309" i="42"/>
  <c r="J5310" i="42"/>
  <c r="J5311" i="42"/>
  <c r="J5312" i="42"/>
  <c r="J5313" i="42"/>
  <c r="J5314" i="42"/>
  <c r="J5315" i="42"/>
  <c r="J5316" i="42"/>
  <c r="J5317" i="42"/>
  <c r="J5318" i="42"/>
  <c r="J5319" i="42"/>
  <c r="J5320" i="42"/>
  <c r="J5321" i="42"/>
  <c r="J5322" i="42"/>
  <c r="J5323" i="42"/>
  <c r="J5324" i="42"/>
  <c r="J5325" i="42"/>
  <c r="J5326" i="42"/>
  <c r="J5327" i="42"/>
  <c r="J5328" i="42"/>
  <c r="J5329" i="42"/>
  <c r="J5330" i="42"/>
  <c r="J5331" i="42"/>
  <c r="J5332" i="42"/>
  <c r="J5333" i="42"/>
  <c r="J5334" i="42"/>
  <c r="J5335" i="42"/>
  <c r="J5336" i="42"/>
  <c r="J5337" i="42"/>
  <c r="J5338" i="42"/>
  <c r="J5339" i="42"/>
  <c r="J5340" i="42"/>
  <c r="J5341" i="42"/>
  <c r="J5342" i="42"/>
  <c r="J5343" i="42"/>
  <c r="J5344" i="42"/>
  <c r="J5345" i="42"/>
  <c r="J5346" i="42"/>
  <c r="J5347" i="42"/>
  <c r="J5348" i="42"/>
  <c r="J5349" i="42"/>
  <c r="J5350" i="42"/>
  <c r="J5351" i="42"/>
  <c r="J5352" i="42"/>
  <c r="J5353" i="42"/>
  <c r="J5354" i="42"/>
  <c r="J5355" i="42"/>
  <c r="J5356" i="42"/>
  <c r="J5357" i="42"/>
  <c r="J5358" i="42"/>
  <c r="J5359" i="42"/>
  <c r="J5360" i="42"/>
  <c r="J5361" i="42"/>
  <c r="J5362" i="42"/>
  <c r="J5363" i="42"/>
  <c r="J5364" i="42"/>
  <c r="J5365" i="42"/>
  <c r="J5366" i="42"/>
  <c r="J5367" i="42"/>
  <c r="J5368" i="42"/>
  <c r="J5369" i="42"/>
  <c r="J5370" i="42"/>
  <c r="J5371" i="42"/>
  <c r="J5372" i="42"/>
  <c r="J5373" i="42"/>
  <c r="J5374" i="42"/>
  <c r="J5375" i="42"/>
  <c r="J5376" i="42"/>
  <c r="J5377" i="42"/>
  <c r="J5378" i="42"/>
  <c r="J5379" i="42"/>
  <c r="J5380" i="42"/>
  <c r="J5381" i="42"/>
  <c r="J5382" i="42"/>
  <c r="J5383" i="42"/>
  <c r="J5384" i="42"/>
  <c r="J5385" i="42"/>
  <c r="J5386" i="42"/>
  <c r="J5387" i="42"/>
  <c r="J5388" i="42"/>
  <c r="J5389" i="42"/>
  <c r="J5390" i="42"/>
  <c r="J5391" i="42"/>
  <c r="J5392" i="42"/>
  <c r="J5393" i="42"/>
  <c r="J5394" i="42"/>
  <c r="J5395" i="42"/>
  <c r="J5396" i="42"/>
  <c r="J5397" i="42"/>
  <c r="J5398" i="42"/>
  <c r="J5399" i="42"/>
  <c r="J5400" i="42"/>
  <c r="J5401" i="42"/>
  <c r="J5402" i="42"/>
  <c r="J5403" i="42"/>
  <c r="J5404" i="42"/>
  <c r="J5405" i="42"/>
  <c r="J5406" i="42"/>
  <c r="J5407" i="42"/>
  <c r="J5408" i="42"/>
  <c r="J5409" i="42"/>
  <c r="J5410" i="42"/>
  <c r="J5411" i="42"/>
  <c r="J5412" i="42"/>
  <c r="J5413" i="42"/>
  <c r="J5414" i="42"/>
  <c r="J5415" i="42"/>
  <c r="J5416" i="42"/>
  <c r="J5417" i="42"/>
  <c r="J5418" i="42"/>
  <c r="J5419" i="42"/>
  <c r="J5420" i="42"/>
  <c r="J5421" i="42"/>
  <c r="J5422" i="42"/>
  <c r="J5423" i="42"/>
  <c r="J5424" i="42"/>
  <c r="J5425" i="42"/>
  <c r="J5426" i="42"/>
  <c r="J5427" i="42"/>
  <c r="J5428" i="42"/>
  <c r="J5429" i="42"/>
  <c r="J5430" i="42"/>
  <c r="J5431" i="42"/>
  <c r="J5432" i="42"/>
  <c r="J5433" i="42"/>
  <c r="J5434" i="42"/>
  <c r="J5435" i="42"/>
  <c r="J5436" i="42"/>
  <c r="J5437" i="42"/>
  <c r="J5438" i="42"/>
  <c r="J5439" i="42"/>
  <c r="J5440" i="42"/>
  <c r="J5441" i="42"/>
  <c r="J5442" i="42"/>
  <c r="J5443" i="42"/>
  <c r="J5444" i="42"/>
  <c r="J5445" i="42"/>
  <c r="J5446" i="42"/>
  <c r="J5447" i="42"/>
  <c r="J5448" i="42"/>
  <c r="J5449" i="42"/>
  <c r="J5450" i="42"/>
  <c r="J5451" i="42"/>
  <c r="J5452" i="42"/>
  <c r="J5453" i="42"/>
  <c r="J5454" i="42"/>
  <c r="J5455" i="42"/>
  <c r="J5456" i="42"/>
  <c r="J5457" i="42"/>
  <c r="J5458" i="42"/>
  <c r="J5459" i="42"/>
  <c r="J5460" i="42"/>
  <c r="J5461" i="42"/>
  <c r="J5462" i="42"/>
  <c r="J5463" i="42"/>
  <c r="J5464" i="42"/>
  <c r="J5465" i="42"/>
  <c r="J5466" i="42"/>
  <c r="J5467" i="42"/>
  <c r="J5468" i="42"/>
  <c r="J5469" i="42"/>
  <c r="J5470" i="42"/>
  <c r="J5471" i="42"/>
  <c r="J5472" i="42"/>
  <c r="J5473" i="42"/>
  <c r="J5474" i="42"/>
  <c r="J5475" i="42"/>
  <c r="J5476" i="42"/>
  <c r="J5477" i="42"/>
  <c r="J5478" i="42"/>
  <c r="J5479" i="42"/>
  <c r="J5480" i="42"/>
  <c r="J5481" i="42"/>
  <c r="J5482" i="42"/>
  <c r="J5483" i="42"/>
  <c r="J5484" i="42"/>
  <c r="J5485" i="42"/>
  <c r="J5486" i="42"/>
  <c r="J5487" i="42"/>
  <c r="J5488" i="42"/>
  <c r="J5489" i="42"/>
  <c r="J5490" i="42"/>
  <c r="J5491" i="42"/>
  <c r="J5492" i="42"/>
  <c r="J5493" i="42"/>
  <c r="J5494" i="42"/>
  <c r="J5495" i="42"/>
  <c r="J5496" i="42"/>
  <c r="J5497" i="42"/>
  <c r="J5498" i="42"/>
  <c r="J5499" i="42"/>
  <c r="J5500" i="42"/>
  <c r="J5501" i="42"/>
  <c r="J5502" i="42"/>
  <c r="J5503" i="42"/>
  <c r="J5504" i="42"/>
  <c r="J5505" i="42"/>
  <c r="J5506" i="42"/>
  <c r="J5507" i="42"/>
  <c r="J5508" i="42"/>
  <c r="J5509" i="42"/>
  <c r="J5510" i="42"/>
  <c r="J5511" i="42"/>
  <c r="J5512" i="42"/>
  <c r="J5513" i="42"/>
  <c r="J5514" i="42"/>
  <c r="J5515" i="42"/>
  <c r="J5516" i="42"/>
  <c r="J5517" i="42"/>
  <c r="J5518" i="42"/>
  <c r="J5519" i="42"/>
  <c r="J5520" i="42"/>
  <c r="J5521" i="42"/>
  <c r="J5522" i="42"/>
  <c r="J5523" i="42"/>
  <c r="J5524" i="42"/>
  <c r="J5525" i="42"/>
  <c r="J5526" i="42"/>
  <c r="J5527" i="42"/>
  <c r="J5528" i="42"/>
  <c r="J5529" i="42"/>
  <c r="J5530" i="42"/>
  <c r="J5531" i="42"/>
  <c r="J5532" i="42"/>
  <c r="J5533" i="42"/>
  <c r="J5534" i="42"/>
  <c r="J5535" i="42"/>
  <c r="J5536" i="42"/>
  <c r="J5537" i="42"/>
  <c r="J5538" i="42"/>
  <c r="J5539" i="42"/>
  <c r="J5540" i="42"/>
  <c r="J5541" i="42"/>
  <c r="J5542" i="42"/>
  <c r="J5543" i="42"/>
  <c r="J5544" i="42"/>
  <c r="J5545" i="42"/>
  <c r="J5546" i="42"/>
  <c r="J5547" i="42"/>
  <c r="J5548" i="42"/>
  <c r="J5549" i="42"/>
  <c r="J5550" i="42"/>
  <c r="J5551" i="42"/>
  <c r="J5552" i="42"/>
  <c r="J5553" i="42"/>
  <c r="J5554" i="42"/>
  <c r="J5555" i="42"/>
  <c r="J5556" i="42"/>
  <c r="J5557" i="42"/>
  <c r="J5558" i="42"/>
  <c r="J5559" i="42"/>
  <c r="J5560" i="42"/>
  <c r="J5561" i="42"/>
  <c r="J5562" i="42"/>
  <c r="J5563" i="42"/>
  <c r="J5564" i="42"/>
  <c r="J5565" i="42"/>
  <c r="J5566" i="42"/>
  <c r="J5567" i="42"/>
  <c r="J5568" i="42"/>
  <c r="J5569" i="42"/>
  <c r="J5570" i="42"/>
  <c r="J5571" i="42"/>
  <c r="J5572" i="42"/>
  <c r="J5573" i="42"/>
  <c r="J5574" i="42"/>
  <c r="J5575" i="42"/>
  <c r="J5576" i="42"/>
  <c r="J5577" i="42"/>
  <c r="J5578" i="42"/>
  <c r="J5579" i="42"/>
  <c r="J5580" i="42"/>
  <c r="J5581" i="42"/>
  <c r="J5582" i="42"/>
  <c r="J5583" i="42"/>
  <c r="J5584" i="42"/>
  <c r="J5585" i="42"/>
  <c r="J5586" i="42"/>
  <c r="J5587" i="42"/>
  <c r="J5588" i="42"/>
  <c r="J5589" i="42"/>
  <c r="J5590" i="42"/>
  <c r="J5591" i="42"/>
  <c r="J5592" i="42"/>
  <c r="J5593" i="42"/>
  <c r="J5594" i="42"/>
  <c r="J5595" i="42"/>
  <c r="J5596" i="42"/>
  <c r="J5597" i="42"/>
  <c r="J5598" i="42"/>
  <c r="J5599" i="42"/>
  <c r="J5600" i="42"/>
  <c r="J5601" i="42"/>
  <c r="J5602" i="42"/>
  <c r="J5603" i="42"/>
  <c r="J5604" i="42"/>
  <c r="J5605" i="42"/>
  <c r="J5606" i="42"/>
  <c r="J5607" i="42"/>
  <c r="J5608" i="42"/>
  <c r="J5609" i="42"/>
  <c r="J5610" i="42"/>
  <c r="J5611" i="42"/>
  <c r="J5612" i="42"/>
  <c r="J5613" i="42"/>
  <c r="J5614" i="42"/>
  <c r="J5615" i="42"/>
  <c r="J5616" i="42"/>
  <c r="J5617" i="42"/>
  <c r="J5618" i="42"/>
  <c r="J5619" i="42"/>
  <c r="J5620" i="42"/>
  <c r="J5621" i="42"/>
  <c r="J5622" i="42"/>
  <c r="J5623" i="42"/>
  <c r="J5624" i="42"/>
  <c r="J5625" i="42"/>
  <c r="J5626" i="42"/>
  <c r="J5627" i="42"/>
  <c r="J5628" i="42"/>
  <c r="J5629" i="42"/>
  <c r="J5630" i="42"/>
  <c r="J5631" i="42"/>
  <c r="J5632" i="42"/>
  <c r="J5633" i="42"/>
  <c r="J5634" i="42"/>
  <c r="J5635" i="42"/>
  <c r="J5636" i="42"/>
  <c r="J5637" i="42"/>
  <c r="J5638" i="42"/>
  <c r="J5639" i="42"/>
  <c r="J5640" i="42"/>
  <c r="J5641" i="42"/>
  <c r="J5642" i="42"/>
  <c r="J5643" i="42"/>
  <c r="J5644" i="42"/>
  <c r="J5645" i="42"/>
  <c r="J5646" i="42"/>
  <c r="J5647" i="42"/>
  <c r="J5648" i="42"/>
  <c r="J5649" i="42"/>
  <c r="J5650" i="42"/>
  <c r="J5651" i="42"/>
  <c r="J5652" i="42"/>
  <c r="J5653" i="42"/>
  <c r="J5654" i="42"/>
  <c r="J5655" i="42"/>
  <c r="J5656" i="42"/>
  <c r="J5657" i="42"/>
  <c r="J5658" i="42"/>
  <c r="J5659" i="42"/>
  <c r="J5660" i="42"/>
  <c r="J5661" i="42"/>
  <c r="J5662" i="42"/>
  <c r="J5663" i="42"/>
  <c r="J5664" i="42"/>
  <c r="J5665" i="42"/>
  <c r="J5666" i="42"/>
  <c r="J5667" i="42"/>
  <c r="J5668" i="42"/>
  <c r="J5669" i="42"/>
  <c r="J5670" i="42"/>
  <c r="J5671" i="42"/>
  <c r="J5672" i="42"/>
  <c r="J5673" i="42"/>
  <c r="J5674" i="42"/>
  <c r="J5675" i="42"/>
  <c r="J5676" i="42"/>
  <c r="J5677" i="42"/>
  <c r="J5678" i="42"/>
  <c r="J5679" i="42"/>
  <c r="J5680" i="42"/>
  <c r="J5681" i="42"/>
  <c r="J5682" i="42"/>
  <c r="J5683" i="42"/>
  <c r="J5684" i="42"/>
  <c r="J5685" i="42"/>
  <c r="J5686" i="42"/>
  <c r="J5687" i="42"/>
  <c r="J5688" i="42"/>
  <c r="J5689" i="42"/>
  <c r="J5690" i="42"/>
  <c r="J5691" i="42"/>
  <c r="J5692" i="42"/>
  <c r="J5693" i="42"/>
  <c r="J5694" i="42"/>
  <c r="J5695" i="42"/>
  <c r="J5696" i="42"/>
  <c r="J5697" i="42"/>
  <c r="J5698" i="42"/>
  <c r="J5699" i="42"/>
  <c r="J5700" i="42"/>
  <c r="J5701" i="42"/>
  <c r="J5702" i="42"/>
  <c r="J5703" i="42"/>
  <c r="J5704" i="42"/>
  <c r="J5705" i="42"/>
  <c r="J5706" i="42"/>
  <c r="J5707" i="42"/>
  <c r="J5708" i="42"/>
  <c r="J5709" i="42"/>
  <c r="J5710" i="42"/>
  <c r="J5711" i="42"/>
  <c r="J5712" i="42"/>
  <c r="J5713" i="42"/>
  <c r="J5714" i="42"/>
  <c r="J5715" i="42"/>
  <c r="J5716" i="42"/>
  <c r="J5717" i="42"/>
  <c r="J5718" i="42"/>
  <c r="J5719" i="42"/>
  <c r="J5720" i="42"/>
  <c r="J5721" i="42"/>
  <c r="J5722" i="42"/>
  <c r="J5723" i="42"/>
  <c r="J5724" i="42"/>
  <c r="J5725" i="42"/>
  <c r="J5726" i="42"/>
  <c r="J5727" i="42"/>
  <c r="J5728" i="42"/>
  <c r="J5729" i="42"/>
  <c r="J5730" i="42"/>
  <c r="J5731" i="42"/>
  <c r="J5732" i="42"/>
  <c r="J5733" i="42"/>
  <c r="J5734" i="42"/>
  <c r="J5735" i="42"/>
  <c r="J5736" i="42"/>
  <c r="J5737" i="42"/>
  <c r="J5738" i="42"/>
  <c r="J5739" i="42"/>
  <c r="J5740" i="42"/>
  <c r="J5741" i="42"/>
  <c r="J5742" i="42"/>
  <c r="J5743" i="42"/>
  <c r="J5744" i="42"/>
  <c r="J5745" i="42"/>
  <c r="J5746" i="42"/>
  <c r="J5747" i="42"/>
  <c r="J5748" i="42"/>
  <c r="J5749" i="42"/>
  <c r="J5750" i="42"/>
  <c r="J5751" i="42"/>
  <c r="J5752" i="42"/>
  <c r="J5753" i="42"/>
  <c r="J5754" i="42"/>
  <c r="J5755" i="42"/>
  <c r="J5756" i="42"/>
  <c r="J5757" i="42"/>
  <c r="J5758" i="42"/>
  <c r="J5759" i="42"/>
  <c r="J5760" i="42"/>
  <c r="J5761" i="42"/>
  <c r="J5762" i="42"/>
  <c r="J5763" i="42"/>
  <c r="J5764" i="42"/>
  <c r="J5765" i="42"/>
  <c r="J5766" i="42"/>
  <c r="J5767" i="42"/>
  <c r="J5768" i="42"/>
  <c r="J5769" i="42"/>
  <c r="J5770" i="42"/>
  <c r="J5771" i="42"/>
  <c r="J5772" i="42"/>
  <c r="J5773" i="42"/>
  <c r="J5774" i="42"/>
  <c r="J5775" i="42"/>
  <c r="J5776" i="42"/>
  <c r="J5777" i="42"/>
  <c r="J5778" i="42"/>
  <c r="J5779" i="42"/>
  <c r="J5780" i="42"/>
  <c r="J5781" i="42"/>
  <c r="J5782" i="42"/>
  <c r="J5783" i="42"/>
  <c r="J5784" i="42"/>
  <c r="J5785" i="42"/>
  <c r="J5786" i="42"/>
  <c r="J5787" i="42"/>
  <c r="J5788" i="42"/>
  <c r="J5789" i="42"/>
  <c r="J5790" i="42"/>
  <c r="J5791" i="42"/>
  <c r="J5792" i="42"/>
  <c r="J5793" i="42"/>
  <c r="J5794" i="42"/>
  <c r="J5795" i="42"/>
  <c r="J5796" i="42"/>
  <c r="J5797" i="42"/>
  <c r="J5798" i="42"/>
  <c r="J5799" i="42"/>
  <c r="J5800" i="42"/>
  <c r="J5801" i="42"/>
  <c r="J5802" i="42"/>
  <c r="J5803" i="42"/>
  <c r="J5804" i="42"/>
  <c r="J5805" i="42"/>
  <c r="J5806" i="42"/>
  <c r="J5807" i="42"/>
  <c r="J5808" i="42"/>
  <c r="J5809" i="42"/>
  <c r="J5810" i="42"/>
  <c r="J5811" i="42"/>
  <c r="J5812" i="42"/>
  <c r="J5813" i="42"/>
  <c r="J5814" i="42"/>
  <c r="J5815" i="42"/>
  <c r="J5816" i="42"/>
  <c r="J5817" i="42"/>
  <c r="J5818" i="42"/>
  <c r="J5819" i="42"/>
  <c r="J5820" i="42"/>
  <c r="J5821" i="42"/>
  <c r="J5822" i="42"/>
  <c r="J5823" i="42"/>
  <c r="J5824" i="42"/>
  <c r="J5825" i="42"/>
  <c r="J5826" i="42"/>
  <c r="J5827" i="42"/>
  <c r="J5828" i="42"/>
  <c r="J5829" i="42"/>
  <c r="J5830" i="42"/>
  <c r="J5831" i="42"/>
  <c r="J5832" i="42"/>
  <c r="J5833" i="42"/>
  <c r="J5834" i="42"/>
  <c r="J5835" i="42"/>
  <c r="J5836" i="42"/>
  <c r="J5837" i="42"/>
  <c r="J5838" i="42"/>
  <c r="J5839" i="42"/>
  <c r="J5840" i="42"/>
  <c r="J5841" i="42"/>
  <c r="J5842" i="42"/>
  <c r="J5843" i="42"/>
  <c r="J5844" i="42"/>
  <c r="J5845" i="42"/>
  <c r="J5846" i="42"/>
  <c r="J5847" i="42"/>
  <c r="J5848" i="42"/>
  <c r="J5849" i="42"/>
  <c r="J5850" i="42"/>
  <c r="J5851" i="42"/>
  <c r="J5852" i="42"/>
  <c r="J5853" i="42"/>
  <c r="J5854" i="42"/>
  <c r="J5855" i="42"/>
  <c r="J5856" i="42"/>
  <c r="J5857" i="42"/>
  <c r="J5858" i="42"/>
  <c r="J5859" i="42"/>
  <c r="J5860" i="42"/>
  <c r="J5861" i="42"/>
  <c r="J5862" i="42"/>
  <c r="J5863" i="42"/>
  <c r="J5864" i="42"/>
  <c r="J5865" i="42"/>
  <c r="J5866" i="42"/>
  <c r="J5867" i="42"/>
  <c r="J5868" i="42"/>
  <c r="J5869" i="42"/>
  <c r="J5870" i="42"/>
  <c r="J5871" i="42"/>
  <c r="J5872" i="42"/>
  <c r="J5873" i="42"/>
  <c r="J5874" i="42"/>
  <c r="J5875" i="42"/>
  <c r="J5876" i="42"/>
  <c r="J5877" i="42"/>
  <c r="J5878" i="42"/>
  <c r="J5879" i="42"/>
  <c r="J5880" i="42"/>
  <c r="J5881" i="42"/>
  <c r="J5882" i="42"/>
  <c r="J5883" i="42"/>
  <c r="J5884" i="42"/>
  <c r="J5885" i="42"/>
  <c r="J5886" i="42"/>
  <c r="J5887" i="42"/>
  <c r="J5888" i="42"/>
  <c r="J5889" i="42"/>
  <c r="J5890" i="42"/>
  <c r="J5891" i="42"/>
  <c r="J5892" i="42"/>
  <c r="J5893" i="42"/>
  <c r="J5894" i="42"/>
  <c r="J5895" i="42"/>
  <c r="J5896" i="42"/>
  <c r="J5897" i="42"/>
  <c r="J5898" i="42"/>
  <c r="J5899" i="42"/>
  <c r="J5900" i="42"/>
  <c r="J5901" i="42"/>
  <c r="J5902" i="42"/>
  <c r="J5903" i="42"/>
  <c r="J5904" i="42"/>
  <c r="J5905" i="42"/>
  <c r="J5906" i="42"/>
  <c r="J5907" i="42"/>
  <c r="J5908" i="42"/>
  <c r="J5909" i="42"/>
  <c r="J5910" i="42"/>
  <c r="J5911" i="42"/>
  <c r="J5912" i="42"/>
  <c r="J5913" i="42"/>
  <c r="J5914" i="42"/>
  <c r="J5915" i="42"/>
  <c r="J5916" i="42"/>
  <c r="J5917" i="42"/>
  <c r="J5918" i="42"/>
  <c r="J5919" i="42"/>
  <c r="J5920" i="42"/>
  <c r="J5921" i="42"/>
  <c r="J5922" i="42"/>
  <c r="J5923" i="42"/>
  <c r="J5924" i="42"/>
  <c r="J5925" i="42"/>
  <c r="J5926" i="42"/>
  <c r="J5927" i="42"/>
  <c r="J5928" i="42"/>
  <c r="J5929" i="42"/>
  <c r="J5930" i="42"/>
  <c r="J5931" i="42"/>
  <c r="J5932" i="42"/>
  <c r="J5933" i="42"/>
  <c r="J5934" i="42"/>
  <c r="J5935" i="42"/>
  <c r="J5936" i="42"/>
  <c r="J5937" i="42"/>
  <c r="J5938" i="42"/>
  <c r="J5939" i="42"/>
  <c r="J5940" i="42"/>
  <c r="J5941" i="42"/>
  <c r="J5942" i="42"/>
  <c r="J5943" i="42"/>
  <c r="J5944" i="42"/>
  <c r="J5945" i="42"/>
  <c r="J5946" i="42"/>
  <c r="J5947" i="42"/>
  <c r="J5948" i="42"/>
  <c r="J5949" i="42"/>
  <c r="J5950" i="42"/>
  <c r="J5951" i="42"/>
  <c r="J5952" i="42"/>
  <c r="J5953" i="42"/>
  <c r="J5954" i="42"/>
  <c r="J5955" i="42"/>
  <c r="J5956" i="42"/>
  <c r="J5957" i="42"/>
  <c r="J5958" i="42"/>
  <c r="J5959" i="42"/>
  <c r="J5960" i="42"/>
  <c r="J5961" i="42"/>
  <c r="J5962" i="42"/>
  <c r="J5963" i="42"/>
  <c r="J5964" i="42"/>
  <c r="J5965" i="42"/>
  <c r="J5966" i="42"/>
  <c r="J5967" i="42"/>
  <c r="J5968" i="42"/>
  <c r="J5969" i="42"/>
  <c r="J5970" i="42"/>
  <c r="J5971" i="42"/>
  <c r="J5972" i="42"/>
  <c r="J5973" i="42"/>
  <c r="J5974" i="42"/>
  <c r="J5975" i="42"/>
  <c r="J5976" i="42"/>
  <c r="J5977" i="42"/>
  <c r="J5978" i="42"/>
  <c r="J5979" i="42"/>
  <c r="J5980" i="42"/>
  <c r="J5981" i="42"/>
  <c r="J5982" i="42"/>
  <c r="J5983" i="42"/>
  <c r="J5984" i="42"/>
  <c r="J5985" i="42"/>
  <c r="J5986" i="42"/>
  <c r="J5987" i="42"/>
  <c r="J5988" i="42"/>
  <c r="J5989" i="42"/>
  <c r="J5990" i="42"/>
  <c r="J5991" i="42"/>
  <c r="J5992" i="42"/>
  <c r="J5993" i="42"/>
  <c r="J5994" i="42"/>
  <c r="J5995" i="42"/>
  <c r="J5996" i="42"/>
  <c r="J5997" i="42"/>
  <c r="J5998" i="42"/>
  <c r="J5999" i="42"/>
  <c r="J6000" i="42"/>
  <c r="J6001" i="42"/>
  <c r="J6002" i="42"/>
  <c r="J6003" i="42"/>
  <c r="J6004" i="42"/>
  <c r="J6005" i="42"/>
  <c r="J6006" i="42"/>
  <c r="J6007" i="42"/>
  <c r="J6008" i="42"/>
  <c r="J6009" i="42"/>
  <c r="J6010" i="42"/>
  <c r="J6011" i="42"/>
  <c r="J6012" i="42"/>
  <c r="J6013" i="42"/>
  <c r="J6014" i="42"/>
  <c r="J6015" i="42"/>
  <c r="J6016" i="42"/>
  <c r="J6017" i="42"/>
  <c r="J6018" i="42"/>
  <c r="J6019" i="42"/>
  <c r="J6020" i="42"/>
  <c r="J6021" i="42"/>
  <c r="J6022" i="42"/>
  <c r="J6023" i="42"/>
  <c r="J6024" i="42"/>
  <c r="J6025" i="42"/>
  <c r="J6026" i="42"/>
  <c r="J6027" i="42"/>
  <c r="J6028" i="42"/>
  <c r="J6029" i="42"/>
  <c r="J6030" i="42"/>
  <c r="J6031" i="42"/>
  <c r="J6032" i="42"/>
  <c r="J6033" i="42"/>
  <c r="J6034" i="42"/>
  <c r="J6035" i="42"/>
  <c r="J6036" i="42"/>
  <c r="J6037" i="42"/>
  <c r="J6038" i="42"/>
  <c r="J6039" i="42"/>
  <c r="J6040" i="42"/>
  <c r="J6041" i="42"/>
  <c r="J6042" i="42"/>
  <c r="J6043" i="42"/>
  <c r="J6044" i="42"/>
  <c r="J6045" i="42"/>
  <c r="J6046" i="42"/>
  <c r="J6047" i="42"/>
  <c r="J6048" i="42"/>
  <c r="J6049" i="42"/>
  <c r="J6050" i="42"/>
  <c r="J6051" i="42"/>
  <c r="J6052" i="42"/>
  <c r="J6053" i="42"/>
  <c r="J6054" i="42"/>
  <c r="J6055" i="42"/>
  <c r="J6056" i="42"/>
  <c r="J6057" i="42"/>
  <c r="J6058" i="42"/>
  <c r="J6059" i="42"/>
  <c r="J6060" i="42"/>
  <c r="J6061" i="42"/>
  <c r="J6062" i="42"/>
  <c r="J6063" i="42"/>
  <c r="J6064" i="42"/>
  <c r="J6065" i="42"/>
  <c r="J6066" i="42"/>
  <c r="J6067" i="42"/>
  <c r="J6068" i="42"/>
  <c r="J6069" i="42"/>
  <c r="J6070" i="42"/>
  <c r="J6071" i="42"/>
  <c r="J6072" i="42"/>
  <c r="J6073" i="42"/>
  <c r="J6074" i="42"/>
  <c r="J6075" i="42"/>
  <c r="J6076" i="42"/>
  <c r="J6077" i="42"/>
  <c r="J6078" i="42"/>
  <c r="J6079" i="42"/>
  <c r="J6080" i="42"/>
  <c r="J6081" i="42"/>
  <c r="J6082" i="42"/>
  <c r="J6083" i="42"/>
  <c r="J6084" i="42"/>
  <c r="J6085" i="42"/>
  <c r="J6086" i="42"/>
  <c r="J6087" i="42"/>
  <c r="J6088" i="42"/>
  <c r="J6089" i="42"/>
  <c r="J6090" i="42"/>
  <c r="J6091" i="42"/>
  <c r="J6092" i="42"/>
  <c r="J6093" i="42"/>
  <c r="J6094" i="42"/>
  <c r="J6095" i="42"/>
  <c r="J6096" i="42"/>
  <c r="J6097" i="42"/>
  <c r="J6098" i="42"/>
  <c r="J6099" i="42"/>
  <c r="J6100" i="42"/>
  <c r="J6101" i="42"/>
  <c r="J6102" i="42"/>
  <c r="J6103" i="42"/>
  <c r="J6104" i="42"/>
  <c r="J6105" i="42"/>
  <c r="J6106" i="42"/>
  <c r="J6107" i="42"/>
  <c r="J6108" i="42"/>
  <c r="J6109" i="42"/>
  <c r="J6110" i="42"/>
  <c r="J6111" i="42"/>
  <c r="J6112" i="42"/>
  <c r="J6113" i="42"/>
  <c r="J6114" i="42"/>
  <c r="J6115" i="42"/>
  <c r="J6116" i="42"/>
  <c r="J6117" i="42"/>
  <c r="J6118" i="42"/>
  <c r="J6119" i="42"/>
  <c r="J6120" i="42"/>
  <c r="J6121" i="42"/>
  <c r="J6122" i="42"/>
  <c r="J6123" i="42"/>
  <c r="J6124" i="42"/>
  <c r="J6125" i="42"/>
  <c r="J6126" i="42"/>
  <c r="J6127" i="42"/>
  <c r="J6128" i="42"/>
  <c r="J6129" i="42"/>
  <c r="J6130" i="42"/>
  <c r="J6131" i="42"/>
  <c r="J6132" i="42"/>
  <c r="J6133" i="42"/>
  <c r="J6134" i="42"/>
  <c r="J6135" i="42"/>
  <c r="J6136" i="42"/>
  <c r="J6137" i="42"/>
  <c r="J6138" i="42"/>
  <c r="J6139" i="42"/>
  <c r="J6140" i="42"/>
  <c r="J6141" i="42"/>
  <c r="J6142" i="42"/>
  <c r="J6143" i="42"/>
  <c r="J6144" i="42"/>
  <c r="J6145" i="42"/>
  <c r="J6146" i="42"/>
  <c r="J6147" i="42"/>
  <c r="J6148" i="42"/>
  <c r="J6149" i="42"/>
  <c r="J6150" i="42"/>
  <c r="J6151" i="42"/>
  <c r="J6152" i="42"/>
  <c r="J6153" i="42"/>
  <c r="J6154" i="42"/>
  <c r="J6155" i="42"/>
  <c r="J6156" i="42"/>
  <c r="J6157" i="42"/>
  <c r="J6158" i="42"/>
  <c r="J6159" i="42"/>
  <c r="J6160" i="42"/>
  <c r="J6161" i="42"/>
  <c r="J6162" i="42"/>
  <c r="J6163" i="42"/>
  <c r="J6164" i="42"/>
  <c r="J6165" i="42"/>
  <c r="J6166" i="42"/>
  <c r="J6167" i="42"/>
  <c r="J6168" i="42"/>
  <c r="J6169" i="42"/>
  <c r="J6170" i="42"/>
  <c r="J6171" i="42"/>
  <c r="J6172" i="42"/>
  <c r="J6173" i="42"/>
  <c r="J6174" i="42"/>
  <c r="J6175" i="42"/>
  <c r="J6176" i="42"/>
  <c r="J6177" i="42"/>
  <c r="J6178" i="42"/>
  <c r="J6179" i="42"/>
  <c r="J6180" i="42"/>
  <c r="J6181" i="42"/>
  <c r="J6182" i="42"/>
  <c r="J6183" i="42"/>
  <c r="J6184" i="42"/>
  <c r="J6185" i="42"/>
  <c r="J6186" i="42"/>
  <c r="J6187" i="42"/>
  <c r="J6188" i="42"/>
  <c r="J6189" i="42"/>
  <c r="J6190" i="42"/>
  <c r="J6191" i="42"/>
  <c r="J6192" i="42"/>
  <c r="J6193" i="42"/>
  <c r="J6194" i="42"/>
  <c r="J6195" i="42"/>
  <c r="J6196" i="42"/>
  <c r="J6197" i="42"/>
  <c r="J6198" i="42"/>
  <c r="J6199" i="42"/>
  <c r="J6200" i="42"/>
  <c r="J6201" i="42"/>
  <c r="J6202" i="42"/>
  <c r="J6203" i="42"/>
  <c r="J6204" i="42"/>
  <c r="J6205" i="42"/>
  <c r="J6206" i="42"/>
  <c r="J6207" i="42"/>
  <c r="J6208" i="42"/>
  <c r="J6209" i="42"/>
  <c r="J6210" i="42"/>
  <c r="J6211" i="42"/>
  <c r="J6212" i="42"/>
  <c r="J6213" i="42"/>
  <c r="J6214" i="42"/>
  <c r="J6215" i="42"/>
  <c r="J6216" i="42"/>
  <c r="J6217" i="42"/>
  <c r="J6218" i="42"/>
  <c r="J6219" i="42"/>
  <c r="J6220" i="42"/>
  <c r="J6221" i="42"/>
  <c r="J6222" i="42"/>
  <c r="J6223" i="42"/>
  <c r="J6224" i="42"/>
  <c r="J6225" i="42"/>
  <c r="J6226" i="42"/>
  <c r="J6227" i="42"/>
  <c r="J6228" i="42"/>
  <c r="J6229" i="42"/>
  <c r="J6230" i="42"/>
  <c r="J6231" i="42"/>
  <c r="J6232" i="42"/>
  <c r="J6233" i="42"/>
  <c r="J6234" i="42"/>
  <c r="J6235" i="42"/>
  <c r="J6236" i="42"/>
  <c r="J6237" i="42"/>
  <c r="J6238" i="42"/>
  <c r="J6239" i="42"/>
  <c r="J6240" i="42"/>
  <c r="J6241" i="42"/>
  <c r="J6242" i="42"/>
  <c r="J6243" i="42"/>
  <c r="J6244" i="42"/>
  <c r="J6245" i="42"/>
  <c r="J6246" i="42"/>
  <c r="J6247" i="42"/>
  <c r="J6248" i="42"/>
  <c r="J6249" i="42"/>
  <c r="J6250" i="42"/>
  <c r="J6251" i="42"/>
  <c r="J6252" i="42"/>
  <c r="J6253" i="42"/>
  <c r="J6254" i="42"/>
  <c r="J6255" i="42"/>
  <c r="J6256" i="42"/>
  <c r="J6257" i="42"/>
  <c r="J6258" i="42"/>
  <c r="J6259" i="42"/>
  <c r="J6260" i="42"/>
  <c r="J6261" i="42"/>
  <c r="J6262" i="42"/>
  <c r="J6263" i="42"/>
  <c r="J6264" i="42"/>
  <c r="J6265" i="42"/>
  <c r="J6266" i="42"/>
  <c r="J6267" i="42"/>
  <c r="J6268" i="42"/>
  <c r="J6269" i="42"/>
  <c r="J6270" i="42"/>
  <c r="J6271" i="42"/>
  <c r="J6272" i="42"/>
  <c r="J6273" i="42"/>
  <c r="J6274" i="42"/>
  <c r="J6275" i="42"/>
  <c r="J6276" i="42"/>
  <c r="J6277" i="42"/>
  <c r="J6278" i="42"/>
  <c r="J6279" i="42"/>
  <c r="J6280" i="42"/>
  <c r="J6281" i="42"/>
  <c r="J6282" i="42"/>
  <c r="J6283" i="42"/>
  <c r="J6284" i="42"/>
  <c r="J6285" i="42"/>
  <c r="J6286" i="42"/>
  <c r="J6287" i="42"/>
  <c r="J6288" i="42"/>
  <c r="J6289" i="42"/>
  <c r="J6290" i="42"/>
  <c r="J6291" i="42"/>
  <c r="J6292" i="42"/>
  <c r="J6293" i="42"/>
  <c r="J6294" i="42"/>
  <c r="J6295" i="42"/>
  <c r="J6296" i="42"/>
  <c r="J6297" i="42"/>
  <c r="J6298" i="42"/>
  <c r="J6299" i="42"/>
  <c r="J6300" i="42"/>
  <c r="J6301" i="42"/>
  <c r="J6302" i="42"/>
  <c r="J6303" i="42"/>
  <c r="J6304" i="42"/>
  <c r="J6305" i="42"/>
  <c r="J6306" i="42"/>
  <c r="J6307" i="42"/>
  <c r="J6308" i="42"/>
  <c r="J6309" i="42"/>
  <c r="J6310" i="42"/>
  <c r="J6311" i="42"/>
  <c r="J6312" i="42"/>
  <c r="J6313" i="42"/>
  <c r="J6314" i="42"/>
  <c r="J6315" i="42"/>
  <c r="J6316" i="42"/>
  <c r="J6317" i="42"/>
  <c r="J6318" i="42"/>
  <c r="J6319" i="42"/>
  <c r="J6320" i="42"/>
  <c r="J6321" i="42"/>
  <c r="J6322" i="42"/>
  <c r="J6323" i="42"/>
  <c r="J6324" i="42"/>
  <c r="J6325" i="42"/>
  <c r="J6326" i="42"/>
  <c r="J6327" i="42"/>
  <c r="J6328" i="42"/>
  <c r="J6329" i="42"/>
  <c r="J6330" i="42"/>
  <c r="J6331" i="42"/>
  <c r="J6332" i="42"/>
  <c r="J6333" i="42"/>
  <c r="J6334" i="42"/>
  <c r="J6335" i="42"/>
  <c r="J6336" i="42"/>
  <c r="J6337" i="42"/>
  <c r="J6338" i="42"/>
  <c r="J6339" i="42"/>
  <c r="J6340" i="42"/>
  <c r="J6341" i="42"/>
  <c r="J6342" i="42"/>
  <c r="J6343" i="42"/>
  <c r="J6344" i="42"/>
  <c r="J6345" i="42"/>
  <c r="J6346" i="42"/>
  <c r="J6347" i="42"/>
  <c r="J6348" i="42"/>
  <c r="J6349" i="42"/>
  <c r="J6350" i="42"/>
  <c r="J6351" i="42"/>
  <c r="J6352" i="42"/>
  <c r="J6353" i="42"/>
  <c r="J6354" i="42"/>
  <c r="J6355" i="42"/>
  <c r="J6356" i="42"/>
  <c r="J6357" i="42"/>
  <c r="J6358" i="42"/>
  <c r="J6359" i="42"/>
  <c r="J6360" i="42"/>
  <c r="J6361" i="42"/>
  <c r="J6362" i="42"/>
  <c r="J6363" i="42"/>
  <c r="J6364" i="42"/>
  <c r="J6365" i="42"/>
  <c r="J6366" i="42"/>
  <c r="J6367" i="42"/>
  <c r="J6368" i="42"/>
  <c r="J6369" i="42"/>
  <c r="J6370" i="42"/>
  <c r="J6371" i="42"/>
  <c r="J6372" i="42"/>
  <c r="J6373" i="42"/>
  <c r="J6374" i="42"/>
  <c r="J6375" i="42"/>
  <c r="J6376" i="42"/>
  <c r="J6377" i="42"/>
  <c r="J6378" i="42"/>
  <c r="J6379" i="42"/>
  <c r="J6380" i="42"/>
  <c r="J6381" i="42"/>
  <c r="J6382" i="42"/>
  <c r="J6383" i="42"/>
  <c r="J6384" i="42"/>
  <c r="J6385" i="42"/>
  <c r="J6386" i="42"/>
  <c r="J6387" i="42"/>
  <c r="J6388" i="42"/>
  <c r="J6389" i="42"/>
  <c r="J6390" i="42"/>
  <c r="J6391" i="42"/>
  <c r="J6392" i="42"/>
  <c r="J6393" i="42"/>
  <c r="J6394" i="42"/>
  <c r="J6395" i="42"/>
  <c r="J6396" i="42"/>
  <c r="J6397" i="42"/>
  <c r="J6398" i="42"/>
  <c r="J6399" i="42"/>
  <c r="J6400" i="42"/>
  <c r="J6401" i="42"/>
  <c r="J6402" i="42"/>
  <c r="J6403" i="42"/>
  <c r="J6404" i="42"/>
  <c r="J6405" i="42"/>
  <c r="J6406" i="42"/>
  <c r="J6407" i="42"/>
  <c r="J6408" i="42"/>
  <c r="J6409" i="42"/>
  <c r="J6410" i="42"/>
  <c r="J6411" i="42"/>
  <c r="J6412" i="42"/>
  <c r="J6413" i="42"/>
  <c r="J6414" i="42"/>
  <c r="J6415" i="42"/>
  <c r="J6416" i="42"/>
  <c r="J6417" i="42"/>
  <c r="J6418" i="42"/>
  <c r="J6419" i="42"/>
  <c r="J6420" i="42"/>
  <c r="J6421" i="42"/>
  <c r="J6422" i="42"/>
  <c r="J6423" i="42"/>
  <c r="J6424" i="42"/>
  <c r="J6425" i="42"/>
  <c r="J6426" i="42"/>
  <c r="J6427" i="42"/>
  <c r="J6428" i="42"/>
  <c r="J6429" i="42"/>
  <c r="J6430" i="42"/>
  <c r="J6431" i="42"/>
  <c r="J6432" i="42"/>
  <c r="J6433" i="42"/>
  <c r="J6434" i="42"/>
  <c r="J6435" i="42"/>
  <c r="J6436" i="42"/>
  <c r="J6437" i="42"/>
  <c r="J6438" i="42"/>
  <c r="J6439" i="42"/>
  <c r="J6440" i="42"/>
  <c r="J6441" i="42"/>
  <c r="J6442" i="42"/>
  <c r="J6443" i="42"/>
  <c r="J6444" i="42"/>
  <c r="J6445" i="42"/>
  <c r="J6446" i="42"/>
  <c r="J6447" i="42"/>
  <c r="J6448" i="42"/>
  <c r="J6449" i="42"/>
  <c r="J6450" i="42"/>
  <c r="J6451" i="42"/>
  <c r="J6452" i="42"/>
  <c r="J6453" i="42"/>
  <c r="J6454" i="42"/>
  <c r="J6455" i="42"/>
  <c r="J6456" i="42"/>
  <c r="J6457" i="42"/>
  <c r="J6458" i="42"/>
  <c r="J6459" i="42"/>
  <c r="J6460" i="42"/>
  <c r="J6461" i="42"/>
  <c r="J6462" i="42"/>
  <c r="J6463" i="42"/>
  <c r="J6464" i="42"/>
  <c r="J6465" i="42"/>
  <c r="J6466" i="42"/>
  <c r="J6467" i="42"/>
  <c r="J6468" i="42"/>
  <c r="J6469" i="42"/>
  <c r="J6470" i="42"/>
  <c r="J6471" i="42"/>
  <c r="J6472" i="42"/>
  <c r="J6473" i="42"/>
  <c r="J6474" i="42"/>
  <c r="J6475" i="42"/>
  <c r="J6476" i="42"/>
  <c r="J6477" i="42"/>
  <c r="J6478" i="42"/>
  <c r="J6479" i="42"/>
  <c r="J6480" i="42"/>
  <c r="J6481" i="42"/>
  <c r="J6482" i="42"/>
  <c r="J6483" i="42"/>
  <c r="J6484" i="42"/>
  <c r="J6485" i="42"/>
  <c r="J6486" i="42"/>
  <c r="J6487" i="42"/>
  <c r="J6488" i="42"/>
  <c r="J6489" i="42"/>
  <c r="J6490" i="42"/>
  <c r="J6491" i="42"/>
  <c r="J6492" i="42"/>
  <c r="J6493" i="42"/>
  <c r="J6494" i="42"/>
  <c r="J6495" i="42"/>
  <c r="J6496" i="42"/>
  <c r="J6497" i="42"/>
  <c r="J6498" i="42"/>
  <c r="J6499" i="42"/>
  <c r="J6500" i="42"/>
  <c r="J6501" i="42"/>
  <c r="J6502" i="42"/>
  <c r="J6503" i="42"/>
  <c r="J6504" i="42"/>
  <c r="J6505" i="42"/>
  <c r="J6506" i="42"/>
  <c r="J6507" i="42"/>
  <c r="J6508" i="42"/>
  <c r="J6509" i="42"/>
  <c r="J6510" i="42"/>
  <c r="J6511" i="42"/>
  <c r="J6512" i="42"/>
  <c r="J6513" i="42"/>
  <c r="J6514" i="42"/>
  <c r="J6515" i="42"/>
  <c r="J6516" i="42"/>
  <c r="J6517" i="42"/>
  <c r="J6518" i="42"/>
  <c r="J6519" i="42"/>
  <c r="J6520" i="42"/>
  <c r="J6521" i="42"/>
  <c r="J6522" i="42"/>
  <c r="J6523" i="42"/>
  <c r="J6524" i="42"/>
  <c r="J6525" i="42"/>
  <c r="J6526" i="42"/>
  <c r="J6527" i="42"/>
  <c r="J6528" i="42"/>
  <c r="J6529" i="42"/>
  <c r="J6530" i="42"/>
  <c r="J6531" i="42"/>
  <c r="J6532" i="42"/>
  <c r="J6533" i="42"/>
  <c r="J6534" i="42"/>
  <c r="J6535" i="42"/>
  <c r="J6536" i="42"/>
  <c r="J6537" i="42"/>
  <c r="J6538" i="42"/>
  <c r="J6539" i="42"/>
  <c r="J6540" i="42"/>
  <c r="J6541" i="42"/>
  <c r="J6542" i="42"/>
  <c r="J6543" i="42"/>
  <c r="J6544" i="42"/>
  <c r="J6545" i="42"/>
  <c r="J6546" i="42"/>
  <c r="J6547" i="42"/>
  <c r="J6548" i="42"/>
  <c r="J6549" i="42"/>
  <c r="J6550" i="42"/>
  <c r="J6551" i="42"/>
  <c r="J6552" i="42"/>
  <c r="J6553" i="42"/>
  <c r="J6554" i="42"/>
  <c r="J6555" i="42"/>
  <c r="J6556" i="42"/>
  <c r="J6557" i="42"/>
  <c r="J6558" i="42"/>
  <c r="J6559" i="42"/>
  <c r="J6560" i="42"/>
  <c r="J6561" i="42"/>
  <c r="J6562" i="42"/>
  <c r="J6563" i="42"/>
  <c r="J6564" i="42"/>
  <c r="J6565" i="42"/>
  <c r="J6566" i="42"/>
  <c r="J6567" i="42"/>
  <c r="J6568" i="42"/>
  <c r="J6569" i="42"/>
  <c r="J6570" i="42"/>
  <c r="J6571" i="42"/>
  <c r="J6572" i="42"/>
  <c r="J6573" i="42"/>
  <c r="J6574" i="42"/>
  <c r="J6575" i="42"/>
  <c r="J6576" i="42"/>
  <c r="J6577" i="42"/>
  <c r="J6578" i="42"/>
  <c r="J6579" i="42"/>
  <c r="J6580" i="42"/>
  <c r="J6581" i="42"/>
  <c r="J6582" i="42"/>
  <c r="J6583" i="42"/>
  <c r="J6584" i="42"/>
  <c r="J6585" i="42"/>
  <c r="J6586" i="42"/>
  <c r="J6587" i="42"/>
  <c r="J6588" i="42"/>
  <c r="J6589" i="42"/>
  <c r="J6590" i="42"/>
  <c r="J6591" i="42"/>
  <c r="J6592" i="42"/>
  <c r="J6593" i="42"/>
  <c r="J6594" i="42"/>
  <c r="J6595" i="42"/>
  <c r="J6596" i="42"/>
  <c r="J6597" i="42"/>
  <c r="J6598" i="42"/>
  <c r="J6599" i="42"/>
  <c r="J6600" i="42"/>
  <c r="J6601" i="42"/>
  <c r="J6602" i="42"/>
  <c r="J6603" i="42"/>
  <c r="J6604" i="42"/>
  <c r="J6605" i="42"/>
  <c r="J6606" i="42"/>
  <c r="J6607" i="42"/>
  <c r="J6608" i="42"/>
  <c r="J6609" i="42"/>
  <c r="J6610" i="42"/>
  <c r="J6611" i="42"/>
  <c r="J6612" i="42"/>
  <c r="J6613" i="42"/>
  <c r="J6614" i="42"/>
  <c r="J6615" i="42"/>
  <c r="J6616" i="42"/>
  <c r="J6617" i="42"/>
  <c r="J6618" i="42"/>
  <c r="J6619" i="42"/>
  <c r="J6620" i="42"/>
  <c r="J6621" i="42"/>
  <c r="J6622" i="42"/>
  <c r="J6623" i="42"/>
  <c r="J6624" i="42"/>
  <c r="J6625" i="42"/>
  <c r="J6626" i="42"/>
  <c r="J6627" i="42"/>
  <c r="J6628" i="42"/>
  <c r="J6629" i="42"/>
  <c r="J6630" i="42"/>
  <c r="J6631" i="42"/>
  <c r="J6632" i="42"/>
  <c r="J6633" i="42"/>
  <c r="J6634" i="42"/>
  <c r="J6635" i="42"/>
  <c r="J6636" i="42"/>
  <c r="J6637" i="42"/>
  <c r="J6638" i="42"/>
  <c r="J6639" i="42"/>
  <c r="J6640" i="42"/>
  <c r="J6641" i="42"/>
  <c r="J6642" i="42"/>
  <c r="J6643" i="42"/>
  <c r="J6644" i="42"/>
  <c r="J6645" i="42"/>
  <c r="J6646" i="42"/>
  <c r="J6647" i="42"/>
  <c r="J6648" i="42"/>
  <c r="J6649" i="42"/>
  <c r="J6650" i="42"/>
  <c r="J6651" i="42"/>
  <c r="J6652" i="42"/>
  <c r="J6653" i="42"/>
  <c r="J6654" i="42"/>
  <c r="J6655" i="42"/>
  <c r="J6656" i="42"/>
  <c r="J6657" i="42"/>
  <c r="J6658" i="42"/>
  <c r="J6659" i="42"/>
  <c r="J6660" i="42"/>
  <c r="J6661" i="42"/>
  <c r="J6662" i="42"/>
  <c r="J6663" i="42"/>
  <c r="J6664" i="42"/>
  <c r="J6665" i="42"/>
  <c r="J6666" i="42"/>
  <c r="J6667" i="42"/>
  <c r="J6668" i="42"/>
  <c r="J6669" i="42"/>
  <c r="J6670" i="42"/>
  <c r="J6671" i="42"/>
  <c r="J6672" i="42"/>
  <c r="J6673" i="42"/>
  <c r="J6674" i="42"/>
  <c r="J6675" i="42"/>
  <c r="J6676" i="42"/>
  <c r="J6677" i="42"/>
  <c r="J6678" i="42"/>
  <c r="J6679" i="42"/>
  <c r="J6680" i="42"/>
  <c r="J6681" i="42"/>
  <c r="J6682" i="42"/>
  <c r="J6683" i="42"/>
  <c r="J6684" i="42"/>
  <c r="J6685" i="42"/>
  <c r="J6686" i="42"/>
  <c r="J6687" i="42"/>
  <c r="J6688" i="42"/>
  <c r="J6689" i="42"/>
  <c r="J6690" i="42"/>
  <c r="J6691" i="42"/>
  <c r="J6692" i="42"/>
  <c r="J6693" i="42"/>
  <c r="J6694" i="42"/>
  <c r="J6695" i="42"/>
  <c r="J6696" i="42"/>
  <c r="J6697" i="42"/>
  <c r="J6698" i="42"/>
  <c r="J6699" i="42"/>
  <c r="J6700" i="42"/>
  <c r="J6701" i="42"/>
  <c r="J6702" i="42"/>
  <c r="J6703" i="42"/>
  <c r="J6704" i="42"/>
  <c r="J6705" i="42"/>
  <c r="J6706" i="42"/>
  <c r="J6707" i="42"/>
  <c r="J6708" i="42"/>
  <c r="J6709" i="42"/>
  <c r="J6710" i="42"/>
  <c r="J6711" i="42"/>
  <c r="J6712" i="42"/>
  <c r="J6713" i="42"/>
  <c r="J6714" i="42"/>
  <c r="J6715" i="42"/>
  <c r="J6716" i="42"/>
  <c r="J6717" i="42"/>
  <c r="J6718" i="42"/>
  <c r="J6719" i="42"/>
  <c r="J6720" i="42"/>
  <c r="J6721" i="42"/>
  <c r="J6722" i="42"/>
  <c r="J6723" i="42"/>
  <c r="J6724" i="42"/>
  <c r="J6725" i="42"/>
  <c r="J6726" i="42"/>
  <c r="J6727" i="42"/>
  <c r="J6728" i="42"/>
  <c r="J6729" i="42"/>
  <c r="J6730" i="42"/>
  <c r="J6731" i="42"/>
  <c r="J6732" i="42"/>
  <c r="J6733" i="42"/>
  <c r="J6734" i="42"/>
  <c r="J6735" i="42"/>
  <c r="J6736" i="42"/>
  <c r="J6737" i="42"/>
  <c r="J6738" i="42"/>
  <c r="J6739" i="42"/>
  <c r="J6740" i="42"/>
  <c r="J6741" i="42"/>
  <c r="J6742" i="42"/>
  <c r="J6743" i="42"/>
  <c r="J6744" i="42"/>
  <c r="J6745" i="42"/>
  <c r="J6746" i="42"/>
  <c r="J6747" i="42"/>
  <c r="J6748" i="42"/>
  <c r="J6749" i="42"/>
  <c r="J6750" i="42"/>
  <c r="J6751" i="42"/>
  <c r="J6752" i="42"/>
  <c r="J6753" i="42"/>
  <c r="J6754" i="42"/>
  <c r="J6755" i="42"/>
  <c r="J6756" i="42"/>
  <c r="J6757" i="42"/>
  <c r="J6758" i="42"/>
  <c r="J6759" i="42"/>
  <c r="J6760" i="42"/>
  <c r="J6761" i="42"/>
  <c r="J6762" i="42"/>
  <c r="J6763" i="42"/>
  <c r="J6764" i="42"/>
  <c r="J6765" i="42"/>
  <c r="J6766" i="42"/>
  <c r="J6767" i="42"/>
  <c r="J6768" i="42"/>
  <c r="J6769" i="42"/>
  <c r="J6770" i="42"/>
  <c r="J6771" i="42"/>
  <c r="J6772" i="42"/>
  <c r="J6773" i="42"/>
  <c r="J6774" i="42"/>
  <c r="J6775" i="42"/>
  <c r="J6776" i="42"/>
  <c r="J6777" i="42"/>
  <c r="J6778" i="42"/>
  <c r="J6779" i="42"/>
  <c r="J6780" i="42"/>
  <c r="J6781" i="42"/>
  <c r="J6782" i="42"/>
  <c r="J6783" i="42"/>
  <c r="J6784" i="42"/>
  <c r="J6785" i="42"/>
  <c r="J6786" i="42"/>
  <c r="J6787" i="42"/>
  <c r="J6788" i="42"/>
  <c r="J6789" i="42"/>
  <c r="J6790" i="42"/>
  <c r="J6791" i="42"/>
  <c r="J6792" i="42"/>
  <c r="J6793" i="42"/>
  <c r="J6794" i="42"/>
  <c r="J6795" i="42"/>
  <c r="J6796" i="42"/>
  <c r="J6797" i="42"/>
  <c r="J6798" i="42"/>
  <c r="J6799" i="42"/>
  <c r="J6800" i="42"/>
  <c r="J6801" i="42"/>
  <c r="J6802" i="42"/>
  <c r="J6803" i="42"/>
  <c r="J6804" i="42"/>
  <c r="J6805" i="42"/>
  <c r="J6806" i="42"/>
  <c r="J6807" i="42"/>
  <c r="J6808" i="42"/>
  <c r="J6809" i="42"/>
  <c r="J6810" i="42"/>
  <c r="J6811" i="42"/>
  <c r="J6812" i="42"/>
  <c r="J6813" i="42"/>
  <c r="J6814" i="42"/>
  <c r="J6815" i="42"/>
  <c r="J6816" i="42"/>
  <c r="J6817" i="42"/>
  <c r="J6818" i="42"/>
  <c r="J6819" i="42"/>
  <c r="J6820" i="42"/>
  <c r="J6821" i="42"/>
  <c r="J6822" i="42"/>
  <c r="J6823" i="42"/>
  <c r="J6824" i="42"/>
  <c r="J6825" i="42"/>
  <c r="J6826" i="42"/>
  <c r="J6827" i="42"/>
  <c r="J6828" i="42"/>
  <c r="J6829" i="42"/>
  <c r="J6830" i="42"/>
  <c r="J6831" i="42"/>
  <c r="J6832" i="42"/>
  <c r="J6833" i="42"/>
  <c r="J6834" i="42"/>
  <c r="J6835" i="42"/>
  <c r="J6836" i="42"/>
  <c r="J6837" i="42"/>
  <c r="J6838" i="42"/>
  <c r="J6839" i="42"/>
  <c r="J6840" i="42"/>
  <c r="J6841" i="42"/>
  <c r="J6842" i="42"/>
  <c r="J6843" i="42"/>
  <c r="J6844" i="42"/>
  <c r="J6845" i="42"/>
  <c r="J6846" i="42"/>
  <c r="J6847" i="42"/>
  <c r="J6848" i="42"/>
  <c r="J6849" i="42"/>
  <c r="J6850" i="42"/>
  <c r="J6851" i="42"/>
  <c r="J6852" i="42"/>
  <c r="J6853" i="42"/>
  <c r="J6854" i="42"/>
  <c r="J6855" i="42"/>
  <c r="J6856" i="42"/>
  <c r="J6857" i="42"/>
  <c r="J6858" i="42"/>
  <c r="J6859" i="42"/>
  <c r="J6860" i="42"/>
  <c r="J6861" i="42"/>
  <c r="J6862" i="42"/>
  <c r="J6863" i="42"/>
  <c r="J6864" i="42"/>
  <c r="J6865" i="42"/>
  <c r="J6866" i="42"/>
  <c r="J6867" i="42"/>
  <c r="J6868" i="42"/>
  <c r="J6869" i="42"/>
  <c r="J6870" i="42"/>
  <c r="J6871" i="42"/>
  <c r="J6872" i="42"/>
  <c r="J6873" i="42"/>
  <c r="J6874" i="42"/>
  <c r="J6875" i="42"/>
  <c r="J6876" i="42"/>
  <c r="J6877" i="42"/>
  <c r="J6878" i="42"/>
  <c r="J6879" i="42"/>
  <c r="J6880" i="42"/>
  <c r="J6881" i="42"/>
  <c r="J6882" i="42"/>
  <c r="J6883" i="42"/>
  <c r="J6884" i="42"/>
  <c r="J6885" i="42"/>
  <c r="J6886" i="42"/>
  <c r="J6887" i="42"/>
  <c r="J6888" i="42"/>
  <c r="J6889" i="42"/>
  <c r="J6890" i="42"/>
  <c r="J6891" i="42"/>
  <c r="J6892" i="42"/>
  <c r="J6893" i="42"/>
  <c r="J6894" i="42"/>
  <c r="J6895" i="42"/>
  <c r="J6896" i="42"/>
  <c r="J6897" i="42"/>
  <c r="J6898" i="42"/>
  <c r="J6899" i="42"/>
  <c r="J6900" i="42"/>
  <c r="J6901" i="42"/>
  <c r="J6902" i="42"/>
  <c r="J6903" i="42"/>
  <c r="J6904" i="42"/>
  <c r="J6905" i="42"/>
  <c r="J6906" i="42"/>
  <c r="J6907" i="42"/>
  <c r="J6908" i="42"/>
  <c r="J6909" i="42"/>
  <c r="J6910" i="42"/>
  <c r="J6911" i="42"/>
  <c r="J6912" i="42"/>
  <c r="J6913" i="42"/>
  <c r="J6914" i="42"/>
  <c r="J6915" i="42"/>
  <c r="J6916" i="42"/>
  <c r="J6917" i="42"/>
  <c r="J6918" i="42"/>
  <c r="J6919" i="42"/>
  <c r="J6920" i="42"/>
  <c r="J6921" i="42"/>
  <c r="J6922" i="42"/>
  <c r="J6923" i="42"/>
  <c r="J6924" i="42"/>
  <c r="J6925" i="42"/>
  <c r="J6926" i="42"/>
  <c r="J6927" i="42"/>
  <c r="J6928" i="42"/>
  <c r="J6929" i="42"/>
  <c r="J6930" i="42"/>
  <c r="J6931" i="42"/>
  <c r="J6932" i="42"/>
  <c r="J6933" i="42"/>
  <c r="J6934" i="42"/>
  <c r="J6935" i="42"/>
  <c r="J6936" i="42"/>
  <c r="J6937" i="42"/>
  <c r="J6938" i="42"/>
  <c r="J6939" i="42"/>
  <c r="J6940" i="42"/>
  <c r="J6941" i="42"/>
  <c r="J6942" i="42"/>
  <c r="J6943" i="42"/>
  <c r="J6944" i="42"/>
  <c r="J6945" i="42"/>
  <c r="J6946" i="42"/>
  <c r="J6947" i="42"/>
  <c r="J6948" i="42"/>
  <c r="J6949" i="42"/>
  <c r="J6950" i="42"/>
  <c r="J6951" i="42"/>
  <c r="J6952" i="42"/>
  <c r="J6953" i="42"/>
  <c r="J6954" i="42"/>
  <c r="J6955" i="42"/>
  <c r="J6956" i="42"/>
  <c r="J6957" i="42"/>
  <c r="J6958" i="42"/>
  <c r="J6959" i="42"/>
  <c r="J6960" i="42"/>
  <c r="J6961" i="42"/>
  <c r="J6962" i="42"/>
  <c r="J6963" i="42"/>
  <c r="J6964" i="42"/>
  <c r="J6965" i="42"/>
  <c r="J6966" i="42"/>
  <c r="J6967" i="42"/>
  <c r="J6968" i="42"/>
  <c r="J6969" i="42"/>
  <c r="J6970" i="42"/>
  <c r="J6971" i="42"/>
  <c r="J6972" i="42"/>
  <c r="J6973" i="42"/>
  <c r="J6974" i="42"/>
  <c r="J6975" i="42"/>
  <c r="J6976" i="42"/>
  <c r="J6977" i="42"/>
  <c r="J6978" i="42"/>
  <c r="J6979" i="42"/>
  <c r="J6980" i="42"/>
  <c r="J6981" i="42"/>
  <c r="J6982" i="42"/>
  <c r="J6983" i="42"/>
  <c r="J6984" i="42"/>
  <c r="J6985" i="42"/>
  <c r="J6986" i="42"/>
  <c r="J6987" i="42"/>
  <c r="J6988" i="42"/>
  <c r="J6989" i="42"/>
  <c r="J6990" i="42"/>
  <c r="J6991" i="42"/>
  <c r="J6992" i="42"/>
  <c r="J6993" i="42"/>
  <c r="J6994" i="42"/>
  <c r="J6995" i="42"/>
  <c r="J6996" i="42"/>
  <c r="J6997" i="42"/>
  <c r="J6998" i="42"/>
  <c r="J6999" i="42"/>
  <c r="J7000" i="42"/>
  <c r="J7001" i="42"/>
  <c r="J7002" i="42"/>
  <c r="J7003" i="42"/>
  <c r="J7004" i="42"/>
  <c r="J7005" i="42"/>
  <c r="J7006" i="42"/>
  <c r="J7007" i="42"/>
  <c r="J7008" i="42"/>
  <c r="J7009" i="42"/>
  <c r="J7010" i="42"/>
  <c r="J7011" i="42"/>
  <c r="J7012" i="42"/>
  <c r="J7013" i="42"/>
  <c r="J7014" i="42"/>
  <c r="J7015" i="42"/>
  <c r="J7016" i="42"/>
  <c r="J7017" i="42"/>
  <c r="J7018" i="42"/>
  <c r="J7019" i="42"/>
  <c r="J7020" i="42"/>
  <c r="J7021" i="42"/>
  <c r="J7022" i="42"/>
  <c r="J7023" i="42"/>
  <c r="J7024" i="42"/>
  <c r="J7025" i="42"/>
  <c r="J7026" i="42"/>
  <c r="J7027" i="42"/>
  <c r="J7028" i="42"/>
  <c r="J7029" i="42"/>
  <c r="J7030" i="42"/>
  <c r="J7031" i="42"/>
  <c r="J7032" i="42"/>
  <c r="J7033" i="42"/>
  <c r="J7034" i="42"/>
  <c r="J7035" i="42"/>
  <c r="J7036" i="42"/>
  <c r="J7037" i="42"/>
  <c r="J7038" i="42"/>
  <c r="J7039" i="42"/>
  <c r="J7040" i="42"/>
  <c r="J7041" i="42"/>
  <c r="J7042" i="42"/>
  <c r="J7043" i="42"/>
  <c r="J7044" i="42"/>
  <c r="J7045" i="42"/>
  <c r="J7046" i="42"/>
  <c r="J7047" i="42"/>
  <c r="J7048" i="42"/>
  <c r="J7049" i="42"/>
  <c r="J7050" i="42"/>
  <c r="J7051" i="42"/>
  <c r="J7052" i="42"/>
  <c r="J7053" i="42"/>
  <c r="J7054" i="42"/>
  <c r="J7055" i="42"/>
  <c r="J7056" i="42"/>
  <c r="J7057" i="42"/>
  <c r="J7058" i="42"/>
  <c r="J7059" i="42"/>
  <c r="J7060" i="42"/>
  <c r="J7061" i="42"/>
  <c r="J7062" i="42"/>
  <c r="J7063" i="42"/>
  <c r="J7064" i="42"/>
  <c r="J7065" i="42"/>
  <c r="J7066" i="42"/>
  <c r="J7067" i="42"/>
  <c r="J7068" i="42"/>
  <c r="J7069" i="42"/>
  <c r="J7070" i="42"/>
  <c r="J7071" i="42"/>
  <c r="J7072" i="42"/>
  <c r="J7073" i="42"/>
  <c r="J7074" i="42"/>
  <c r="J7075" i="42"/>
  <c r="J7076" i="42"/>
  <c r="J7077" i="42"/>
  <c r="J7078" i="42"/>
  <c r="J7079" i="42"/>
  <c r="J7080" i="42"/>
  <c r="J7081" i="42"/>
  <c r="J7082" i="42"/>
  <c r="J7083" i="42"/>
  <c r="J7084" i="42"/>
  <c r="J7085" i="42"/>
  <c r="J7086" i="42"/>
  <c r="J7087" i="42"/>
  <c r="J7088" i="42"/>
  <c r="J7089" i="42"/>
  <c r="J7090" i="42"/>
  <c r="J7091" i="42"/>
  <c r="J7092" i="42"/>
  <c r="J7093" i="42"/>
  <c r="J7094" i="42"/>
  <c r="J7095" i="42"/>
  <c r="J7096" i="42"/>
  <c r="J7097" i="42"/>
  <c r="J7098" i="42"/>
  <c r="J7099" i="42"/>
  <c r="J7100" i="42"/>
  <c r="J7101" i="42"/>
  <c r="J7102" i="42"/>
  <c r="J7103" i="42"/>
  <c r="J7104" i="42"/>
  <c r="J7105" i="42"/>
  <c r="J7106" i="42"/>
  <c r="J7107" i="42"/>
  <c r="J7108" i="42"/>
  <c r="J7109" i="42"/>
  <c r="J7110" i="42"/>
  <c r="J7111" i="42"/>
  <c r="J7112" i="42"/>
  <c r="J7113" i="42"/>
  <c r="J7114" i="42"/>
  <c r="J7115" i="42"/>
  <c r="J7116" i="42"/>
  <c r="J7117" i="42"/>
  <c r="J7118" i="42"/>
  <c r="J7119" i="42"/>
  <c r="J7120" i="42"/>
  <c r="J7121" i="42"/>
  <c r="J7122" i="42"/>
  <c r="J7123" i="42"/>
  <c r="J7124" i="42"/>
  <c r="J7125" i="42"/>
  <c r="J7126" i="42"/>
  <c r="J7127" i="42"/>
  <c r="J7128" i="42"/>
  <c r="J7129" i="42"/>
  <c r="J7130" i="42"/>
  <c r="J7131" i="42"/>
  <c r="J7132" i="42"/>
  <c r="J7133" i="42"/>
  <c r="J7134" i="42"/>
  <c r="J7135" i="42"/>
  <c r="J7136" i="42"/>
  <c r="J7137" i="42"/>
  <c r="J7138" i="42"/>
  <c r="J7139" i="42"/>
  <c r="J7140" i="42"/>
  <c r="J7141" i="42"/>
  <c r="J7142" i="42"/>
  <c r="J7143" i="42"/>
  <c r="J7144" i="42"/>
  <c r="J7145" i="42"/>
  <c r="J7146" i="42"/>
  <c r="J7147" i="42"/>
  <c r="J7148" i="42"/>
  <c r="J7149" i="42"/>
  <c r="J7150" i="42"/>
  <c r="J7151" i="42"/>
  <c r="J7152" i="42"/>
  <c r="J7153" i="42"/>
  <c r="J7154" i="42"/>
  <c r="J7155" i="42"/>
  <c r="J7156" i="42"/>
  <c r="J7157" i="42"/>
  <c r="J7158" i="42"/>
  <c r="J7159" i="42"/>
  <c r="J7160" i="42"/>
  <c r="J7161" i="42"/>
  <c r="J7162" i="42"/>
  <c r="J7163" i="42"/>
  <c r="J7164" i="42"/>
  <c r="J7165" i="42"/>
  <c r="J7166" i="42"/>
  <c r="J7167" i="42"/>
  <c r="J7168" i="42"/>
  <c r="J7169" i="42"/>
  <c r="J7170" i="42"/>
  <c r="J7171" i="42"/>
  <c r="J7172" i="42"/>
  <c r="J7173" i="42"/>
  <c r="J7174" i="42"/>
  <c r="J7175" i="42"/>
  <c r="J7176" i="42"/>
  <c r="J7177" i="42"/>
  <c r="J7178" i="42"/>
  <c r="J7179" i="42"/>
  <c r="J7180" i="42"/>
  <c r="J7181" i="42"/>
  <c r="J7182" i="42"/>
  <c r="J7183" i="42"/>
  <c r="J7184" i="42"/>
  <c r="J7185" i="42"/>
  <c r="J7186" i="42"/>
  <c r="J7187" i="42"/>
  <c r="J7188" i="42"/>
  <c r="J7189" i="42"/>
  <c r="J7190" i="42"/>
  <c r="J7191" i="42"/>
  <c r="J7192" i="42"/>
  <c r="J7193" i="42"/>
  <c r="J7194" i="42"/>
  <c r="J7195" i="42"/>
  <c r="J7196" i="42"/>
  <c r="J7197" i="42"/>
  <c r="J7198" i="42"/>
  <c r="J7199" i="42"/>
  <c r="J7200" i="42"/>
  <c r="J7201" i="42"/>
  <c r="J7202" i="42"/>
  <c r="J7203" i="42"/>
  <c r="J7204" i="42"/>
  <c r="J7205" i="42"/>
  <c r="J7206" i="42"/>
  <c r="J7207" i="42"/>
  <c r="J7208" i="42"/>
  <c r="J7209" i="42"/>
  <c r="J7210" i="42"/>
  <c r="J7211" i="42"/>
  <c r="J7212" i="42"/>
  <c r="J7213" i="42"/>
  <c r="J7214" i="42"/>
  <c r="J7215" i="42"/>
  <c r="J7216" i="42"/>
  <c r="J7217" i="42"/>
  <c r="J7218" i="42"/>
  <c r="J7219" i="42"/>
  <c r="J7220" i="42"/>
  <c r="J7221" i="42"/>
  <c r="J7222" i="42"/>
  <c r="J7223" i="42"/>
  <c r="J7224" i="42"/>
  <c r="J7225" i="42"/>
  <c r="J7226" i="42"/>
  <c r="J7227" i="42"/>
  <c r="J7228" i="42"/>
  <c r="J7229" i="42"/>
  <c r="J7230" i="42"/>
  <c r="J7231" i="42"/>
  <c r="J7232" i="42"/>
  <c r="J7233" i="42"/>
  <c r="J7234" i="42"/>
  <c r="J7235" i="42"/>
  <c r="J7236" i="42"/>
  <c r="J7237" i="42"/>
  <c r="J7238" i="42"/>
  <c r="J7239" i="42"/>
  <c r="J7240" i="42"/>
  <c r="J7241" i="42"/>
  <c r="J7242" i="42"/>
  <c r="J7243" i="42"/>
  <c r="J7244" i="42"/>
  <c r="J7245" i="42"/>
  <c r="J7246" i="42"/>
  <c r="J7247" i="42"/>
  <c r="J7248" i="42"/>
  <c r="J7249" i="42"/>
  <c r="J7250" i="42"/>
  <c r="J7251" i="42"/>
  <c r="J7252" i="42"/>
  <c r="J7253" i="42"/>
  <c r="J7254" i="42"/>
  <c r="J7255" i="42"/>
  <c r="J7256" i="42"/>
  <c r="J7257" i="42"/>
  <c r="J7258" i="42"/>
  <c r="J7259" i="42"/>
  <c r="J7260" i="42"/>
  <c r="J7261" i="42"/>
  <c r="J7262" i="42"/>
  <c r="J7263" i="42"/>
  <c r="J7264" i="42"/>
  <c r="J7265" i="42"/>
  <c r="J7266" i="42"/>
  <c r="J7267" i="42"/>
  <c r="J7268" i="42"/>
  <c r="J7269" i="42"/>
  <c r="J7270" i="42"/>
  <c r="J7271" i="42"/>
  <c r="J7272" i="42"/>
  <c r="J7273" i="42"/>
  <c r="J7274" i="42"/>
  <c r="J7275" i="42"/>
  <c r="J7276" i="42"/>
  <c r="J7277" i="42"/>
  <c r="J7278" i="42"/>
  <c r="J7279" i="42"/>
  <c r="J7280" i="42"/>
  <c r="J7281" i="42"/>
  <c r="J7282" i="42"/>
  <c r="J7283" i="42"/>
  <c r="J7284" i="42"/>
  <c r="J7285" i="42"/>
  <c r="J7286" i="42"/>
  <c r="J7287" i="42"/>
  <c r="J7288" i="42"/>
  <c r="J7289" i="42"/>
  <c r="J7290" i="42"/>
  <c r="J7291" i="42"/>
  <c r="J7292" i="42"/>
  <c r="J7293" i="42"/>
  <c r="J7294" i="42"/>
  <c r="J7295" i="42"/>
  <c r="J7296" i="42"/>
  <c r="J7297" i="42"/>
  <c r="J7298" i="42"/>
  <c r="J7299" i="42"/>
  <c r="J7300" i="42"/>
  <c r="J7301" i="42"/>
  <c r="J7302" i="42"/>
  <c r="J7303" i="42"/>
  <c r="J7304" i="42"/>
  <c r="J7305" i="42"/>
  <c r="J7306" i="42"/>
  <c r="J7307" i="42"/>
  <c r="J7308" i="42"/>
  <c r="J7309" i="42"/>
  <c r="J7310" i="42"/>
  <c r="J7311" i="42"/>
  <c r="J7312" i="42"/>
  <c r="J7313" i="42"/>
  <c r="J7314" i="42"/>
  <c r="J7315" i="42"/>
  <c r="J7316" i="42"/>
  <c r="J7317" i="42"/>
  <c r="J7318" i="42"/>
  <c r="J7319" i="42"/>
  <c r="J7320" i="42"/>
  <c r="J7321" i="42"/>
  <c r="J7322" i="42"/>
  <c r="J7323" i="42"/>
  <c r="J7324" i="42"/>
  <c r="J7325" i="42"/>
  <c r="J7326" i="42"/>
  <c r="J7327" i="42"/>
  <c r="J7328" i="42"/>
  <c r="J7329" i="42"/>
  <c r="J7330" i="42"/>
  <c r="J7331" i="42"/>
  <c r="J7332" i="42"/>
  <c r="J7333" i="42"/>
  <c r="J7334" i="42"/>
  <c r="J7335" i="42"/>
  <c r="J7336" i="42"/>
  <c r="J7337" i="42"/>
  <c r="J7338" i="42"/>
  <c r="J7339" i="42"/>
  <c r="J7340" i="42"/>
  <c r="J7341" i="42"/>
  <c r="J7342" i="42"/>
  <c r="J7343" i="42"/>
  <c r="J7344" i="42"/>
  <c r="J7345" i="42"/>
  <c r="J7346" i="42"/>
  <c r="J7347" i="42"/>
  <c r="J7348" i="42"/>
  <c r="J7349" i="42"/>
  <c r="J7350" i="42"/>
  <c r="J7351" i="42"/>
  <c r="J7352" i="42"/>
  <c r="J7353" i="42"/>
  <c r="J7354" i="42"/>
  <c r="J7355" i="42"/>
  <c r="J7356" i="42"/>
  <c r="J7357" i="42"/>
  <c r="J7358" i="42"/>
  <c r="J7359" i="42"/>
  <c r="J7360" i="42"/>
  <c r="J7361" i="42"/>
  <c r="J7362" i="42"/>
  <c r="J7363" i="42"/>
  <c r="J7364" i="42"/>
  <c r="J7365" i="42"/>
  <c r="J7366" i="42"/>
  <c r="J7367" i="42"/>
  <c r="J7368" i="42"/>
  <c r="J7369" i="42"/>
  <c r="J7370" i="42"/>
  <c r="J7371" i="42"/>
  <c r="J7372" i="42"/>
  <c r="J7373" i="42"/>
  <c r="J7374" i="42"/>
  <c r="J7375" i="42"/>
  <c r="J7376" i="42"/>
  <c r="J7377" i="42"/>
  <c r="J7378" i="42"/>
  <c r="J7379" i="42"/>
  <c r="J7380" i="42"/>
  <c r="J7381" i="42"/>
  <c r="J7382" i="42"/>
  <c r="J7383" i="42"/>
  <c r="J7384" i="42"/>
  <c r="J7385" i="42"/>
  <c r="J7386" i="42"/>
  <c r="J7387" i="42"/>
  <c r="J7388" i="42"/>
  <c r="J7389" i="42"/>
  <c r="J7390" i="42"/>
  <c r="J7391" i="42"/>
  <c r="J7392" i="42"/>
  <c r="J7393" i="42"/>
  <c r="J7394" i="42"/>
  <c r="J7395" i="42"/>
  <c r="J7396" i="42"/>
  <c r="J7397" i="42"/>
  <c r="J7398" i="42"/>
  <c r="J7399" i="42"/>
  <c r="J7400" i="42"/>
  <c r="J7401" i="42"/>
  <c r="J7402" i="42"/>
  <c r="J7403" i="42"/>
  <c r="J7404" i="42"/>
  <c r="J7405" i="42"/>
  <c r="J7406" i="42"/>
  <c r="J7407" i="42"/>
  <c r="J7408" i="42"/>
  <c r="J7409" i="42"/>
  <c r="J7410" i="42"/>
  <c r="J7411" i="42"/>
  <c r="J7412" i="42"/>
  <c r="J7413" i="42"/>
  <c r="J7414" i="42"/>
  <c r="J7415" i="42"/>
  <c r="J7416" i="42"/>
  <c r="J7417" i="42"/>
  <c r="J7418" i="42"/>
  <c r="J7419" i="42"/>
  <c r="J7420" i="42"/>
  <c r="J7421" i="42"/>
  <c r="J7422" i="42"/>
  <c r="J7423" i="42"/>
  <c r="J7424" i="42"/>
  <c r="J7425" i="42"/>
  <c r="J7426" i="42"/>
  <c r="J7427" i="42"/>
  <c r="J7428" i="42"/>
  <c r="J7429" i="42"/>
  <c r="J7430" i="42"/>
  <c r="J7431" i="42"/>
  <c r="J7432" i="42"/>
  <c r="J7433" i="42"/>
  <c r="J7434" i="42"/>
  <c r="J7435" i="42"/>
  <c r="J7436" i="42"/>
  <c r="J7437" i="42"/>
  <c r="J7438" i="42"/>
  <c r="J7439" i="42"/>
  <c r="J7440" i="42"/>
  <c r="J7441" i="42"/>
  <c r="J7442" i="42"/>
  <c r="J7443" i="42"/>
  <c r="J7444" i="42"/>
  <c r="J7445" i="42"/>
  <c r="J7446" i="42"/>
  <c r="J7447" i="42"/>
  <c r="J7448" i="42"/>
  <c r="J7449" i="42"/>
  <c r="J7450" i="42"/>
  <c r="J7451" i="42"/>
  <c r="J7452" i="42"/>
  <c r="J7453" i="42"/>
  <c r="J7454" i="42"/>
  <c r="J7455" i="42"/>
  <c r="J7456" i="42"/>
  <c r="J7457" i="42"/>
  <c r="J7458" i="42"/>
  <c r="J7459" i="42"/>
  <c r="J7460" i="42"/>
  <c r="J7461" i="42"/>
  <c r="J7462" i="42"/>
  <c r="J7463" i="42"/>
  <c r="J7464" i="42"/>
  <c r="J7465" i="42"/>
  <c r="J7466" i="42"/>
  <c r="J7467" i="42"/>
  <c r="J7468" i="42"/>
  <c r="J7469" i="42"/>
  <c r="J7470" i="42"/>
  <c r="J7471" i="42"/>
  <c r="J7472" i="42"/>
  <c r="J7473" i="42"/>
  <c r="J7474" i="42"/>
  <c r="J7475" i="42"/>
  <c r="J7476" i="42"/>
  <c r="J7477" i="42"/>
  <c r="J7478" i="42"/>
  <c r="J7479" i="42"/>
  <c r="J7480" i="42"/>
  <c r="J7481" i="42"/>
  <c r="J7482" i="42"/>
  <c r="J7483" i="42"/>
  <c r="J7484" i="42"/>
  <c r="J7485" i="42"/>
  <c r="J7486" i="42"/>
  <c r="J7487" i="42"/>
  <c r="J7488" i="42"/>
  <c r="J7489" i="42"/>
  <c r="J7490" i="42"/>
  <c r="J7491" i="42"/>
  <c r="J7492" i="42"/>
  <c r="J7493" i="42"/>
  <c r="J7494" i="42"/>
  <c r="J7495" i="42"/>
  <c r="J7496" i="42"/>
  <c r="J7497" i="42"/>
  <c r="J7498" i="42"/>
  <c r="J7499" i="42"/>
  <c r="J7500" i="42"/>
  <c r="J7501" i="42"/>
  <c r="J7502" i="42"/>
  <c r="J7503" i="42"/>
  <c r="J7504" i="42"/>
  <c r="J7505" i="42"/>
  <c r="J7506" i="42"/>
  <c r="J7507" i="42"/>
  <c r="J7508" i="42"/>
  <c r="J7509" i="42"/>
  <c r="J7510" i="42"/>
  <c r="J7511" i="42"/>
  <c r="J7512" i="42"/>
  <c r="J7513" i="42"/>
  <c r="J7514" i="42"/>
  <c r="J7515" i="42"/>
  <c r="J7516" i="42"/>
  <c r="J7517" i="42"/>
  <c r="J7518" i="42"/>
  <c r="J7519" i="42"/>
  <c r="J7520" i="42"/>
  <c r="J7521" i="42"/>
  <c r="J7522" i="42"/>
  <c r="J7523" i="42"/>
  <c r="J7524" i="42"/>
  <c r="J7525" i="42"/>
  <c r="J7526" i="42"/>
  <c r="J7527" i="42"/>
  <c r="J7528" i="42"/>
  <c r="J7529" i="42"/>
  <c r="J7530" i="42"/>
  <c r="J7531" i="42"/>
  <c r="J7532" i="42"/>
  <c r="J7533" i="42"/>
  <c r="J7534" i="42"/>
  <c r="J7535" i="42"/>
  <c r="J7536" i="42"/>
  <c r="J7537" i="42"/>
  <c r="J7538" i="42"/>
  <c r="J7539" i="42"/>
  <c r="J7540" i="42"/>
  <c r="J7541" i="42"/>
  <c r="J7542" i="42"/>
  <c r="J7543" i="42"/>
  <c r="J7544" i="42"/>
  <c r="J7545" i="42"/>
  <c r="J7546" i="42"/>
  <c r="J7547" i="42"/>
  <c r="J7548" i="42"/>
  <c r="J7549" i="42"/>
  <c r="J7550" i="42"/>
  <c r="J7551" i="42"/>
  <c r="J7552" i="42"/>
  <c r="J7553" i="42"/>
  <c r="J7554" i="42"/>
  <c r="J7555" i="42"/>
  <c r="J7556" i="42"/>
  <c r="J7557" i="42"/>
  <c r="J7558" i="42"/>
  <c r="J7559" i="42"/>
  <c r="J7560" i="42"/>
  <c r="J7561" i="42"/>
  <c r="J7562" i="42"/>
  <c r="J7563" i="42"/>
  <c r="J7564" i="42"/>
  <c r="J7565" i="42"/>
  <c r="J7566" i="42"/>
  <c r="J7567" i="42"/>
  <c r="J7568" i="42"/>
  <c r="J7569" i="42"/>
  <c r="J7570" i="42"/>
  <c r="J7571" i="42"/>
  <c r="J7572" i="42"/>
  <c r="J7573" i="42"/>
  <c r="J7574" i="42"/>
  <c r="J7575" i="42"/>
  <c r="J7576" i="42"/>
  <c r="J7577" i="42"/>
  <c r="J7578" i="42"/>
  <c r="J7579" i="42"/>
  <c r="J7580" i="42"/>
  <c r="J7581" i="42"/>
  <c r="J7582" i="42"/>
  <c r="J7583" i="42"/>
  <c r="J7584" i="42"/>
  <c r="J7585" i="42"/>
  <c r="J7586" i="42"/>
  <c r="J7587" i="42"/>
  <c r="J7588" i="42"/>
  <c r="J7589" i="42"/>
  <c r="J7590" i="42"/>
  <c r="J7591" i="42"/>
  <c r="J7592" i="42"/>
  <c r="J7593" i="42"/>
  <c r="J7594" i="42"/>
  <c r="J7595" i="42"/>
  <c r="J7596" i="42"/>
  <c r="J7597" i="42"/>
  <c r="J7598" i="42"/>
  <c r="J7599" i="42"/>
  <c r="J7600" i="42"/>
  <c r="J7601" i="42"/>
  <c r="J7602" i="42"/>
  <c r="J7603" i="42"/>
  <c r="J7604" i="42"/>
  <c r="J7605" i="42"/>
  <c r="J7606" i="42"/>
  <c r="J7607" i="42"/>
  <c r="J7608" i="42"/>
  <c r="J7609" i="42"/>
  <c r="J7610" i="42"/>
  <c r="J7611" i="42"/>
  <c r="J7612" i="42"/>
  <c r="J7613" i="42"/>
  <c r="J7614" i="42"/>
  <c r="J7615" i="42"/>
  <c r="J7616" i="42"/>
  <c r="J7617" i="42"/>
  <c r="J7618" i="42"/>
  <c r="J7619" i="42"/>
  <c r="J7620" i="42"/>
  <c r="J7621" i="42"/>
  <c r="J7622" i="42"/>
  <c r="J7623" i="42"/>
  <c r="J7624" i="42"/>
  <c r="J7625" i="42"/>
  <c r="J7626" i="42"/>
  <c r="J7627" i="42"/>
  <c r="J7628" i="42"/>
  <c r="J7629" i="42"/>
  <c r="J7630" i="42"/>
  <c r="J7631" i="42"/>
  <c r="J7632" i="42"/>
  <c r="J7633" i="42"/>
  <c r="J7634" i="42"/>
  <c r="J7635" i="42"/>
  <c r="J7636" i="42"/>
  <c r="J7637" i="42"/>
  <c r="J7638" i="42"/>
  <c r="J7639" i="42"/>
  <c r="J7640" i="42"/>
  <c r="J7641" i="42"/>
  <c r="J7642" i="42"/>
  <c r="J7643" i="42"/>
  <c r="J7644" i="42"/>
  <c r="J7645" i="42"/>
  <c r="J7646" i="42"/>
  <c r="J7647" i="42"/>
  <c r="J7648" i="42"/>
  <c r="J7649" i="42"/>
  <c r="J7650" i="42"/>
  <c r="J7651" i="42"/>
  <c r="J7652" i="42"/>
  <c r="J7653" i="42"/>
  <c r="J7654" i="42"/>
  <c r="J7655" i="42"/>
  <c r="J7656" i="42"/>
  <c r="J7657" i="42"/>
  <c r="J7658" i="42"/>
  <c r="J7659" i="42"/>
  <c r="J7660" i="42"/>
  <c r="J7661" i="42"/>
  <c r="J7662" i="42"/>
  <c r="J7663" i="42"/>
  <c r="J7664" i="42"/>
  <c r="J7665" i="42"/>
  <c r="J7666" i="42"/>
  <c r="J7667" i="42"/>
  <c r="J7668" i="42"/>
  <c r="J7669" i="42"/>
  <c r="J7670" i="42"/>
  <c r="J7671" i="42"/>
  <c r="J7672" i="42"/>
  <c r="J7673" i="42"/>
  <c r="J7674" i="42"/>
  <c r="J7675" i="42"/>
  <c r="J7676" i="42"/>
  <c r="J7677" i="42"/>
  <c r="J7678" i="42"/>
  <c r="J7679" i="42"/>
  <c r="J7680" i="42"/>
  <c r="J7681" i="42"/>
  <c r="J7682" i="42"/>
  <c r="J7683" i="42"/>
  <c r="J7684" i="42"/>
  <c r="J7685" i="42"/>
  <c r="J7686" i="42"/>
  <c r="J7687" i="42"/>
  <c r="J7688" i="42"/>
  <c r="J7689" i="42"/>
  <c r="J7690" i="42"/>
  <c r="J7691" i="42"/>
  <c r="J7692" i="42"/>
  <c r="J7693" i="42"/>
  <c r="J7694" i="42"/>
  <c r="J7695" i="42"/>
  <c r="J7696" i="42"/>
  <c r="J7697" i="42"/>
  <c r="J7698" i="42"/>
  <c r="J7699" i="42"/>
  <c r="J7700" i="42"/>
  <c r="J7701" i="42"/>
  <c r="J7702" i="42"/>
  <c r="J7703" i="42"/>
  <c r="J7704" i="42"/>
  <c r="J7705" i="42"/>
  <c r="J7706" i="42"/>
  <c r="J7707" i="42"/>
  <c r="J7708" i="42"/>
  <c r="J7709" i="42"/>
  <c r="J7710" i="42"/>
  <c r="J7711" i="42"/>
  <c r="J7712" i="42"/>
  <c r="J7713" i="42"/>
  <c r="J7714" i="42"/>
  <c r="J7715" i="42"/>
  <c r="J7716" i="42"/>
  <c r="J7717" i="42"/>
  <c r="J7718" i="42"/>
  <c r="J7719" i="42"/>
  <c r="J7720" i="42"/>
  <c r="J7721" i="42"/>
  <c r="J7722" i="42"/>
  <c r="J7723" i="42"/>
  <c r="J7724" i="42"/>
  <c r="J7725" i="42"/>
  <c r="J7726" i="42"/>
  <c r="J7727" i="42"/>
  <c r="J7728" i="42"/>
  <c r="J7729" i="42"/>
  <c r="J7730" i="42"/>
  <c r="J7731" i="42"/>
  <c r="J7732" i="42"/>
  <c r="J7733" i="42"/>
  <c r="J7734" i="42"/>
  <c r="J7735" i="42"/>
  <c r="J7736" i="42"/>
  <c r="J7737" i="42"/>
  <c r="J7738" i="42"/>
  <c r="J7739" i="42"/>
  <c r="J7740" i="42"/>
  <c r="J7741" i="42"/>
  <c r="J7742" i="42"/>
  <c r="J7743" i="42"/>
  <c r="J7744" i="42"/>
  <c r="J7745" i="42"/>
  <c r="J7746" i="42"/>
  <c r="J7747" i="42"/>
  <c r="J7748" i="42"/>
  <c r="J7749" i="42"/>
  <c r="J7750" i="42"/>
  <c r="J7751" i="42"/>
  <c r="J7752" i="42"/>
  <c r="J7753" i="42"/>
  <c r="J7754" i="42"/>
  <c r="J7755" i="42"/>
  <c r="J7756" i="42"/>
  <c r="J7757" i="42"/>
  <c r="J7758" i="42"/>
  <c r="J7759" i="42"/>
  <c r="J7760" i="42"/>
  <c r="J7761" i="42"/>
  <c r="J7762" i="42"/>
  <c r="J7763" i="42"/>
  <c r="J7764" i="42"/>
  <c r="J7765" i="42"/>
  <c r="J7766" i="42"/>
  <c r="J7767" i="42"/>
  <c r="J7768" i="42"/>
  <c r="J7769" i="42"/>
  <c r="J7770" i="42"/>
  <c r="J7771" i="42"/>
  <c r="J7772" i="42"/>
  <c r="J7773" i="42"/>
  <c r="J7774" i="42"/>
  <c r="J7775" i="42"/>
  <c r="J7776" i="42"/>
  <c r="J7777" i="42"/>
  <c r="J7778" i="42"/>
  <c r="J7779" i="42"/>
  <c r="J7780" i="42"/>
  <c r="J7781" i="42"/>
  <c r="J7782" i="42"/>
  <c r="J7783" i="42"/>
  <c r="J7784" i="42"/>
  <c r="J7785" i="42"/>
  <c r="J7786" i="42"/>
  <c r="J7787" i="42"/>
  <c r="J7788" i="42"/>
  <c r="J7789" i="42"/>
  <c r="J7790" i="42"/>
  <c r="J7791" i="42"/>
  <c r="J7792" i="42"/>
  <c r="J7793" i="42"/>
  <c r="J7794" i="42"/>
  <c r="J7795" i="42"/>
  <c r="J7796" i="42"/>
  <c r="J7797" i="42"/>
  <c r="J7798" i="42"/>
  <c r="J7799" i="42"/>
  <c r="J7800" i="42"/>
  <c r="J7801" i="42"/>
  <c r="J7802" i="42"/>
  <c r="J7803" i="42"/>
  <c r="J7804" i="42"/>
  <c r="J7805" i="42"/>
  <c r="J7806" i="42"/>
  <c r="J7807" i="42"/>
  <c r="J7808" i="42"/>
  <c r="J7809" i="42"/>
  <c r="J7810" i="42"/>
  <c r="J7811" i="42"/>
  <c r="J7812" i="42"/>
  <c r="J7813" i="42"/>
  <c r="J7814" i="42"/>
  <c r="J7815" i="42"/>
  <c r="J7816" i="42"/>
  <c r="J7817" i="42"/>
  <c r="J7818" i="42"/>
  <c r="J7819" i="42"/>
  <c r="J7820" i="42"/>
  <c r="J7821" i="42"/>
  <c r="J7822" i="42"/>
  <c r="J7823" i="42"/>
  <c r="J7824" i="42"/>
  <c r="J7825" i="42"/>
  <c r="J7826" i="42"/>
  <c r="J7827" i="42"/>
  <c r="J7828" i="42"/>
  <c r="J7829" i="42"/>
  <c r="J7830" i="42"/>
  <c r="J7831" i="42"/>
  <c r="J7832" i="42"/>
  <c r="J7833" i="42"/>
  <c r="J7834" i="42"/>
  <c r="J7835" i="42"/>
  <c r="J7836" i="42"/>
  <c r="J7837" i="42"/>
  <c r="J7838" i="42"/>
  <c r="J7839" i="42"/>
  <c r="J7840" i="42"/>
  <c r="J7841" i="42"/>
  <c r="J7842" i="42"/>
  <c r="J7843" i="42"/>
  <c r="J7844" i="42"/>
  <c r="J7845" i="42"/>
  <c r="J7846" i="42"/>
  <c r="J7847" i="42"/>
  <c r="J7848" i="42"/>
  <c r="J7849" i="42"/>
  <c r="J7850" i="42"/>
  <c r="J7851" i="42"/>
  <c r="J7852" i="42"/>
  <c r="J7853" i="42"/>
  <c r="J7854" i="42"/>
  <c r="J7855" i="42"/>
  <c r="J7856" i="42"/>
  <c r="J7857" i="42"/>
  <c r="J7858" i="42"/>
  <c r="J7859" i="42"/>
  <c r="J7860" i="42"/>
  <c r="J7861" i="42"/>
  <c r="J7862" i="42"/>
  <c r="J7863" i="42"/>
  <c r="J7864" i="42"/>
  <c r="J7865" i="42"/>
  <c r="J7866" i="42"/>
  <c r="J7867" i="42"/>
  <c r="J7868" i="42"/>
  <c r="J7869" i="42"/>
  <c r="J7870" i="42"/>
  <c r="J7871" i="42"/>
  <c r="J7872" i="42"/>
  <c r="J7873" i="42"/>
  <c r="J7874" i="42"/>
  <c r="J7875" i="42"/>
  <c r="J7876" i="42"/>
  <c r="J7877" i="42"/>
  <c r="J7878" i="42"/>
  <c r="J7879" i="42"/>
  <c r="J7880" i="42"/>
  <c r="J7881" i="42"/>
  <c r="J7882" i="42"/>
  <c r="J7883" i="42"/>
  <c r="J7884" i="42"/>
  <c r="J7885" i="42"/>
  <c r="J7886" i="42"/>
  <c r="J7887" i="42"/>
  <c r="J7888" i="42"/>
  <c r="J7889" i="42"/>
  <c r="J7890" i="42"/>
  <c r="J7891" i="42"/>
  <c r="J7892" i="42"/>
  <c r="J7893" i="42"/>
  <c r="J7894" i="42"/>
  <c r="J7895" i="42"/>
  <c r="J7896" i="42"/>
  <c r="J7897" i="42"/>
  <c r="J7898" i="42"/>
  <c r="J7899" i="42"/>
  <c r="J7900" i="42"/>
  <c r="J7901" i="42"/>
  <c r="J7902" i="42"/>
  <c r="J7903" i="42"/>
  <c r="J7904" i="42"/>
  <c r="J7905" i="42"/>
  <c r="J7906" i="42"/>
  <c r="J7907" i="42"/>
  <c r="J7908" i="42"/>
  <c r="J7909" i="42"/>
  <c r="J7910" i="42"/>
  <c r="J7911" i="42"/>
  <c r="J7912" i="42"/>
  <c r="J7913" i="42"/>
  <c r="J7914" i="42"/>
  <c r="J7915" i="42"/>
  <c r="J7916" i="42"/>
  <c r="J7917" i="42"/>
  <c r="J7918" i="42"/>
  <c r="J7919" i="42"/>
  <c r="J7920" i="42"/>
  <c r="J7921" i="42"/>
  <c r="J7922" i="42"/>
  <c r="J7923" i="42"/>
  <c r="J7924" i="42"/>
  <c r="J7925" i="42"/>
  <c r="J7926" i="42"/>
  <c r="J7927" i="42"/>
  <c r="J7928" i="42"/>
  <c r="J7929" i="42"/>
  <c r="J7930" i="42"/>
  <c r="J7931" i="42"/>
  <c r="J7932" i="42"/>
  <c r="J7933" i="42"/>
  <c r="J7934" i="42"/>
  <c r="J7935" i="42"/>
  <c r="J7936" i="42"/>
  <c r="J7937" i="42"/>
  <c r="J7938" i="42"/>
  <c r="J7939" i="42"/>
  <c r="J7940" i="42"/>
  <c r="J7941" i="42"/>
  <c r="J7942" i="42"/>
  <c r="J7943" i="42"/>
  <c r="J7944" i="42"/>
  <c r="J7945" i="42"/>
  <c r="J7946" i="42"/>
  <c r="J7947" i="42"/>
  <c r="J7948" i="42"/>
  <c r="J7949" i="42"/>
  <c r="J7950" i="42"/>
  <c r="J7951" i="42"/>
  <c r="J7952" i="42"/>
  <c r="J7953" i="42"/>
  <c r="J7954" i="42"/>
  <c r="J7955" i="42"/>
  <c r="J7956" i="42"/>
  <c r="J7957" i="42"/>
  <c r="J7958" i="42"/>
  <c r="J7959" i="42"/>
  <c r="J7960" i="42"/>
  <c r="J7961" i="42"/>
  <c r="J7962" i="42"/>
  <c r="J7963" i="42"/>
  <c r="J7964" i="42"/>
  <c r="J7965" i="42"/>
  <c r="J7966" i="42"/>
  <c r="J7967" i="42"/>
  <c r="J7968" i="42"/>
  <c r="J7969" i="42"/>
  <c r="J7970" i="42"/>
  <c r="J7971" i="42"/>
  <c r="J7972" i="42"/>
  <c r="J7973" i="42"/>
  <c r="J7974" i="42"/>
  <c r="J7975" i="42"/>
  <c r="J7976" i="42"/>
  <c r="J7977" i="42"/>
  <c r="J7978" i="42"/>
  <c r="J7979" i="42"/>
  <c r="J7980" i="42"/>
  <c r="J7981" i="42"/>
  <c r="J7982" i="42"/>
  <c r="J7983" i="42"/>
  <c r="J7984" i="42"/>
  <c r="J7985" i="42"/>
  <c r="J7986" i="42"/>
  <c r="J7987" i="42"/>
  <c r="J7988" i="42"/>
  <c r="J7989" i="42"/>
  <c r="J7990" i="42"/>
  <c r="J7991" i="42"/>
  <c r="J7992" i="42"/>
  <c r="J7993" i="42"/>
  <c r="J7994" i="42"/>
  <c r="J7995" i="42"/>
  <c r="J7996" i="42"/>
  <c r="J7997" i="42"/>
  <c r="J7998" i="42"/>
  <c r="J7999" i="42"/>
  <c r="J8000" i="42"/>
  <c r="J8001" i="42"/>
  <c r="J8002" i="42"/>
  <c r="J8003" i="42"/>
  <c r="J8004" i="42"/>
  <c r="J8005" i="42"/>
  <c r="J8006" i="42"/>
  <c r="J8007" i="42"/>
  <c r="J8008" i="42"/>
  <c r="J8009" i="42"/>
  <c r="J8010" i="42"/>
  <c r="J8011" i="42"/>
  <c r="J8012" i="42"/>
  <c r="J8013" i="42"/>
  <c r="J8014" i="42"/>
  <c r="J8015" i="42"/>
  <c r="J8016" i="42"/>
  <c r="J8017" i="42"/>
  <c r="J8018" i="42"/>
  <c r="J8019" i="42"/>
  <c r="J8020" i="42"/>
  <c r="J8021" i="42"/>
  <c r="J8022" i="42"/>
  <c r="J8023" i="42"/>
  <c r="J8024" i="42"/>
  <c r="J8025" i="42"/>
  <c r="J8026" i="42"/>
  <c r="J8027" i="42"/>
  <c r="J8028" i="42"/>
  <c r="J8029" i="42"/>
  <c r="J8030" i="42"/>
  <c r="J8031" i="42"/>
  <c r="J8032" i="42"/>
  <c r="J8033" i="42"/>
  <c r="J8034" i="42"/>
  <c r="J8035" i="42"/>
  <c r="J8036" i="42"/>
  <c r="J8037" i="42"/>
  <c r="J8038" i="42"/>
  <c r="J8039" i="42"/>
  <c r="J8040" i="42"/>
  <c r="J8041" i="42"/>
  <c r="J8042" i="42"/>
  <c r="J8043" i="42"/>
  <c r="J8044" i="42"/>
  <c r="J8045" i="42"/>
  <c r="J8046" i="42"/>
  <c r="J8047" i="42"/>
  <c r="J8048" i="42"/>
  <c r="J8049" i="42"/>
  <c r="J8050" i="42"/>
  <c r="J8051" i="42"/>
  <c r="J8052" i="42"/>
  <c r="J8053" i="42"/>
  <c r="J8054" i="42"/>
  <c r="J8055" i="42"/>
  <c r="J8056" i="42"/>
  <c r="J8057" i="42"/>
  <c r="J8058" i="42"/>
  <c r="J8059" i="42"/>
  <c r="J8060" i="42"/>
  <c r="J8061" i="42"/>
  <c r="J8062" i="42"/>
  <c r="J8063" i="42"/>
  <c r="J8064" i="42"/>
  <c r="J8065" i="42"/>
  <c r="J8066" i="42"/>
  <c r="J8067" i="42"/>
  <c r="J8068" i="42"/>
  <c r="J8069" i="42"/>
  <c r="J8070" i="42"/>
  <c r="J8071" i="42"/>
  <c r="J8072" i="42"/>
  <c r="J8073" i="42"/>
  <c r="J8074" i="42"/>
  <c r="J8075" i="42"/>
  <c r="J8076" i="42"/>
  <c r="J8077" i="42"/>
  <c r="J8078" i="42"/>
  <c r="J8079" i="42"/>
  <c r="J8080" i="42"/>
  <c r="J8081" i="42"/>
  <c r="J8082" i="42"/>
  <c r="J8083" i="42"/>
  <c r="J8084" i="42"/>
  <c r="J8085" i="42"/>
  <c r="J8086" i="42"/>
  <c r="J8087" i="42"/>
  <c r="J8088" i="42"/>
  <c r="J8089" i="42"/>
  <c r="J8090" i="42"/>
  <c r="J8091" i="42"/>
  <c r="J8092" i="42"/>
  <c r="J8093" i="42"/>
  <c r="J8094" i="42"/>
  <c r="J8095" i="42"/>
  <c r="J8096" i="42"/>
  <c r="J8097" i="42"/>
  <c r="J8098" i="42"/>
  <c r="J8099" i="42"/>
  <c r="J8100" i="42"/>
  <c r="J8101" i="42"/>
  <c r="J8102" i="42"/>
  <c r="J8103" i="42"/>
  <c r="J8104" i="42"/>
  <c r="J8105" i="42"/>
  <c r="J8106" i="42"/>
  <c r="J8107" i="42"/>
  <c r="J8108" i="42"/>
  <c r="J8109" i="42"/>
  <c r="J8110" i="42"/>
  <c r="J8111" i="42"/>
  <c r="J8112" i="42"/>
  <c r="J8113" i="42"/>
  <c r="J8114" i="42"/>
  <c r="J8115" i="42"/>
  <c r="J8116" i="42"/>
  <c r="J8117" i="42"/>
  <c r="J8118" i="42"/>
  <c r="J8119" i="42"/>
  <c r="J8120" i="42"/>
  <c r="J8121" i="42"/>
  <c r="J8122" i="42"/>
  <c r="J8123" i="42"/>
  <c r="J8124" i="42"/>
  <c r="J8125" i="42"/>
  <c r="J8126" i="42"/>
  <c r="J8127" i="42"/>
  <c r="J8128" i="42"/>
  <c r="J8129" i="42"/>
  <c r="J8130" i="42"/>
  <c r="J8131" i="42"/>
  <c r="J8132" i="42"/>
  <c r="J8133" i="42"/>
  <c r="J8134" i="42"/>
  <c r="J8135" i="42"/>
  <c r="J8136" i="42"/>
  <c r="J8137" i="42"/>
  <c r="J8138" i="42"/>
  <c r="J8139" i="42"/>
  <c r="J8140" i="42"/>
  <c r="J8141" i="42"/>
  <c r="J8142" i="42"/>
  <c r="J8143" i="42"/>
  <c r="J8144" i="42"/>
  <c r="J8145" i="42"/>
  <c r="J8146" i="42"/>
  <c r="J8147" i="42"/>
  <c r="J8148" i="42"/>
  <c r="J8149" i="42"/>
  <c r="J8150" i="42"/>
  <c r="J8151" i="42"/>
  <c r="J8152" i="42"/>
  <c r="J8153" i="42"/>
  <c r="J8154" i="42"/>
  <c r="J8155" i="42"/>
  <c r="J8156" i="42"/>
  <c r="J8157" i="42"/>
  <c r="J8158" i="42"/>
  <c r="J8159" i="42"/>
  <c r="J8160" i="42"/>
  <c r="J8161" i="42"/>
  <c r="J8162" i="42"/>
  <c r="J8163" i="42"/>
  <c r="J8164" i="42"/>
  <c r="J8165" i="42"/>
  <c r="J8166" i="42"/>
  <c r="J8167" i="42"/>
  <c r="J8168" i="42"/>
  <c r="J8169" i="42"/>
  <c r="J8170" i="42"/>
  <c r="J8171" i="42"/>
  <c r="J8172" i="42"/>
  <c r="J8173" i="42"/>
  <c r="J8174" i="42"/>
  <c r="J8175" i="42"/>
  <c r="J8176" i="42"/>
  <c r="J8177" i="42"/>
  <c r="J8178" i="42"/>
  <c r="J8179" i="42"/>
  <c r="J8180" i="42"/>
  <c r="J8181" i="42"/>
  <c r="J8182" i="42"/>
  <c r="J8183" i="42"/>
  <c r="J8184" i="42"/>
  <c r="J8185" i="42"/>
  <c r="J8186" i="42"/>
  <c r="J8187" i="42"/>
  <c r="J8188" i="42"/>
  <c r="J8189" i="42"/>
  <c r="J8190" i="42"/>
  <c r="J8191" i="42"/>
  <c r="J8192" i="42"/>
  <c r="J8193" i="42"/>
  <c r="J8194" i="42"/>
  <c r="J8195" i="42"/>
  <c r="J8196" i="42"/>
  <c r="J8197" i="42"/>
  <c r="J8198" i="42"/>
  <c r="J8199" i="42"/>
  <c r="J8200" i="42"/>
  <c r="J8201" i="42"/>
  <c r="J8202" i="42"/>
  <c r="J8203" i="42"/>
  <c r="J8204" i="42"/>
  <c r="J8205" i="42"/>
  <c r="J8206" i="42"/>
  <c r="J8207" i="42"/>
  <c r="J8208" i="42"/>
  <c r="J8209" i="42"/>
  <c r="J8210" i="42"/>
  <c r="J8211" i="42"/>
  <c r="J8212" i="42"/>
  <c r="J8213" i="42"/>
  <c r="J8214" i="42"/>
  <c r="J8215" i="42"/>
  <c r="J8216" i="42"/>
  <c r="J8217" i="42"/>
  <c r="J8218" i="42"/>
  <c r="J8219" i="42"/>
  <c r="J8220" i="42"/>
  <c r="J8221" i="42"/>
  <c r="J8222" i="42"/>
  <c r="J8223" i="42"/>
  <c r="J8224" i="42"/>
  <c r="J8225" i="42"/>
  <c r="J8226" i="42"/>
  <c r="J8227" i="42"/>
  <c r="J8228" i="42"/>
  <c r="J8229" i="42"/>
  <c r="J8230" i="42"/>
  <c r="J8231" i="42"/>
  <c r="J8232" i="42"/>
  <c r="J8233" i="42"/>
  <c r="J8234" i="42"/>
  <c r="J8235" i="42"/>
  <c r="J8236" i="42"/>
  <c r="J8237" i="42"/>
  <c r="J8238" i="42"/>
  <c r="J8239" i="42"/>
  <c r="J8240" i="42"/>
  <c r="J8241" i="42"/>
  <c r="J8242" i="42"/>
  <c r="J8243" i="42"/>
  <c r="J8244" i="42"/>
  <c r="J8245" i="42"/>
  <c r="J8246" i="42"/>
  <c r="J8247" i="42"/>
  <c r="J8248" i="42"/>
  <c r="J8249" i="42"/>
  <c r="J8250" i="42"/>
  <c r="J8251" i="42"/>
  <c r="J8252" i="42"/>
  <c r="J8253" i="42"/>
  <c r="J8254" i="42"/>
  <c r="J8255" i="42"/>
  <c r="J8256" i="42"/>
  <c r="J8257" i="42"/>
  <c r="J8258" i="42"/>
  <c r="J8259" i="42"/>
  <c r="J8260" i="42"/>
  <c r="J8261" i="42"/>
  <c r="J8262" i="42"/>
  <c r="J8263" i="42"/>
  <c r="J8264" i="42"/>
  <c r="J8265" i="42"/>
  <c r="J8266" i="42"/>
  <c r="J8267" i="42"/>
  <c r="J8268" i="42"/>
  <c r="J8269" i="42"/>
  <c r="J8270" i="42"/>
  <c r="J8271" i="42"/>
  <c r="J8272" i="42"/>
  <c r="J8273" i="42"/>
  <c r="J8274" i="42"/>
  <c r="J8275" i="42"/>
  <c r="J8276" i="42"/>
  <c r="J8277" i="42"/>
  <c r="J8278" i="42"/>
  <c r="J8279" i="42"/>
  <c r="J8280" i="42"/>
  <c r="J8281" i="42"/>
  <c r="J8282" i="42"/>
  <c r="J8283" i="42"/>
  <c r="J8284" i="42"/>
  <c r="J8285" i="42"/>
  <c r="J8286" i="42"/>
  <c r="J8287" i="42"/>
  <c r="J8288" i="42"/>
  <c r="J8289" i="42"/>
  <c r="J8290" i="42"/>
  <c r="J8291" i="42"/>
  <c r="J8292" i="42"/>
  <c r="J8293" i="42"/>
  <c r="J8294" i="42"/>
  <c r="J8295" i="42"/>
  <c r="J8296" i="42"/>
  <c r="J8297" i="42"/>
  <c r="J8298" i="42"/>
  <c r="J8299" i="42"/>
  <c r="J8300" i="42"/>
  <c r="J8301" i="42"/>
  <c r="J8302" i="42"/>
  <c r="J8303" i="42"/>
  <c r="J8304" i="42"/>
  <c r="J8305" i="42"/>
  <c r="J8306" i="42"/>
  <c r="J8307" i="42"/>
  <c r="J8308" i="42"/>
  <c r="J8309" i="42"/>
  <c r="J8310" i="42"/>
  <c r="J8311" i="42"/>
  <c r="J8312" i="42"/>
  <c r="J8313" i="42"/>
  <c r="J8314" i="42"/>
  <c r="J8315" i="42"/>
  <c r="J8316" i="42"/>
  <c r="J8317" i="42"/>
  <c r="J8318" i="42"/>
  <c r="J8319" i="42"/>
  <c r="J8320" i="42"/>
  <c r="J8321" i="42"/>
  <c r="J8322" i="42"/>
  <c r="J8323" i="42"/>
  <c r="J8324" i="42"/>
  <c r="J8325" i="42"/>
  <c r="J8326" i="42"/>
  <c r="J8327" i="42"/>
  <c r="J8328" i="42"/>
  <c r="J8329" i="42"/>
  <c r="J8330" i="42"/>
  <c r="J8331" i="42"/>
  <c r="J8332" i="42"/>
  <c r="J8333" i="42"/>
  <c r="J8334" i="42"/>
  <c r="J8335" i="42"/>
  <c r="J8336" i="42"/>
  <c r="J8337" i="42"/>
  <c r="J8338" i="42"/>
  <c r="J8339" i="42"/>
  <c r="J8340" i="42"/>
  <c r="J8341" i="42"/>
  <c r="J8342" i="42"/>
  <c r="J8343" i="42"/>
  <c r="J8344" i="42"/>
  <c r="J8345" i="42"/>
  <c r="J8346" i="42"/>
  <c r="J8347" i="42"/>
  <c r="J8348" i="42"/>
  <c r="J8349" i="42"/>
  <c r="J8350" i="42"/>
  <c r="J8351" i="42"/>
  <c r="J8352" i="42"/>
  <c r="J8353" i="42"/>
  <c r="J8354" i="42"/>
  <c r="J8355" i="42"/>
  <c r="J8356" i="42"/>
  <c r="J8357" i="42"/>
  <c r="J8358" i="42"/>
  <c r="J8359" i="42"/>
  <c r="J8360" i="42"/>
  <c r="J8361" i="42"/>
  <c r="J8362" i="42"/>
  <c r="J8363" i="42"/>
  <c r="J8364" i="42"/>
  <c r="J8365" i="42"/>
  <c r="J8366" i="42"/>
  <c r="J8367" i="42"/>
  <c r="J8368" i="42"/>
  <c r="J8369" i="42"/>
  <c r="J8370" i="42"/>
  <c r="J8371" i="42"/>
  <c r="J8372" i="42"/>
  <c r="J8373" i="42"/>
  <c r="J8374" i="42"/>
  <c r="J8375" i="42"/>
  <c r="J8376" i="42"/>
  <c r="J8377" i="42"/>
  <c r="J8378" i="42"/>
  <c r="J8379" i="42"/>
  <c r="J8380" i="42"/>
  <c r="J8381" i="42"/>
  <c r="J8382" i="42"/>
  <c r="J8383" i="42"/>
  <c r="J8384" i="42"/>
  <c r="J8385" i="42"/>
  <c r="J8386" i="42"/>
  <c r="J8387" i="42"/>
  <c r="J8388" i="42"/>
  <c r="J8389" i="42"/>
  <c r="J8390" i="42"/>
  <c r="J8391" i="42"/>
  <c r="J8392" i="42"/>
  <c r="J8393" i="42"/>
  <c r="J8394" i="42"/>
  <c r="J8395" i="42"/>
  <c r="J8396" i="42"/>
  <c r="J8397" i="42"/>
  <c r="J8398" i="42"/>
  <c r="J8399" i="42"/>
  <c r="J8400" i="42"/>
  <c r="J8401" i="42"/>
  <c r="J8402" i="42"/>
  <c r="J8403" i="42"/>
  <c r="J8404" i="42"/>
  <c r="J8405" i="42"/>
  <c r="J8406" i="42"/>
  <c r="J8407" i="42"/>
  <c r="J8408" i="42"/>
  <c r="J8409" i="42"/>
  <c r="J8410" i="42"/>
  <c r="J8411" i="42"/>
  <c r="J8412" i="42"/>
  <c r="J8413" i="42"/>
  <c r="J8414" i="42"/>
  <c r="J8415" i="42"/>
  <c r="J8416" i="42"/>
  <c r="J8417" i="42"/>
  <c r="J8418" i="42"/>
  <c r="J8419" i="42"/>
  <c r="J8420" i="42"/>
  <c r="J8421" i="42"/>
  <c r="J8422" i="42"/>
  <c r="J8423" i="42"/>
  <c r="J8424" i="42"/>
  <c r="J8425" i="42"/>
  <c r="J8426" i="42"/>
  <c r="J8427" i="42"/>
  <c r="J8428" i="42"/>
  <c r="J8429" i="42"/>
  <c r="J8430" i="42"/>
  <c r="J8431" i="42"/>
  <c r="J8432" i="42"/>
  <c r="J8433" i="42"/>
  <c r="J8434" i="42"/>
  <c r="J8435" i="42"/>
  <c r="J8436" i="42"/>
  <c r="J8437" i="42"/>
  <c r="J8438" i="42"/>
  <c r="J8439" i="42"/>
  <c r="J8440" i="42"/>
  <c r="J8441" i="42"/>
  <c r="J8442" i="42"/>
  <c r="J8443" i="42"/>
  <c r="J8444" i="42"/>
  <c r="J8445" i="42"/>
  <c r="J8446" i="42"/>
  <c r="J8447" i="42"/>
  <c r="J8448" i="42"/>
  <c r="J8449" i="42"/>
  <c r="J8450" i="42"/>
  <c r="J8451" i="42"/>
  <c r="J8452" i="42"/>
  <c r="J8453" i="42"/>
  <c r="J8454" i="42"/>
  <c r="J8455" i="42"/>
  <c r="J8456" i="42"/>
  <c r="J8457" i="42"/>
  <c r="J8458" i="42"/>
  <c r="J8459" i="42"/>
  <c r="J8460" i="42"/>
  <c r="J8461" i="42"/>
  <c r="J8462" i="42"/>
  <c r="J8463" i="42"/>
  <c r="J8464" i="42"/>
  <c r="J8465" i="42"/>
  <c r="J8466" i="42"/>
  <c r="J8467" i="42"/>
  <c r="J8468" i="42"/>
  <c r="J8469" i="42"/>
  <c r="J8470" i="42"/>
  <c r="J8471" i="42"/>
  <c r="J8472" i="42"/>
  <c r="J8473" i="42"/>
  <c r="J8474" i="42"/>
  <c r="J8475" i="42"/>
  <c r="J8476" i="42"/>
  <c r="J8477" i="42"/>
  <c r="J8478" i="42"/>
  <c r="J8479" i="42"/>
  <c r="J8480" i="42"/>
  <c r="J8481" i="42"/>
  <c r="J8482" i="42"/>
  <c r="J8483" i="42"/>
  <c r="J8484" i="42"/>
  <c r="J8485" i="42"/>
  <c r="J8486" i="42"/>
  <c r="J8487" i="42"/>
  <c r="J8488" i="42"/>
  <c r="J8489" i="42"/>
  <c r="J8490" i="42"/>
  <c r="J8491" i="42"/>
  <c r="J8492" i="42"/>
  <c r="J8493" i="42"/>
  <c r="J8494" i="42"/>
  <c r="J8495" i="42"/>
  <c r="J8496" i="42"/>
  <c r="J8497" i="42"/>
  <c r="J8498" i="42"/>
  <c r="J8499" i="42"/>
  <c r="J8500" i="42"/>
  <c r="J8501" i="42"/>
  <c r="J8502" i="42"/>
  <c r="J8503" i="42"/>
  <c r="J8504" i="42"/>
  <c r="J8505" i="42"/>
  <c r="J8506" i="42"/>
  <c r="J8507" i="42"/>
  <c r="J8508" i="42"/>
  <c r="J8509" i="42"/>
  <c r="J8510" i="42"/>
  <c r="J8511" i="42"/>
  <c r="J8512" i="42"/>
  <c r="J8513" i="42"/>
  <c r="J8514" i="42"/>
  <c r="J8515" i="42"/>
  <c r="J8516" i="42"/>
  <c r="J8517" i="42"/>
  <c r="J8518" i="42"/>
  <c r="J8519" i="42"/>
  <c r="J8520" i="42"/>
  <c r="J8521" i="42"/>
  <c r="J8522" i="42"/>
  <c r="J8523" i="42"/>
  <c r="J8524" i="42"/>
  <c r="J8525" i="42"/>
  <c r="J8526" i="42"/>
  <c r="J8527" i="42"/>
  <c r="J8528" i="42"/>
  <c r="J8529" i="42"/>
  <c r="J8530" i="42"/>
  <c r="J8531" i="42"/>
  <c r="J8532" i="42"/>
  <c r="J8533" i="42"/>
  <c r="J8534" i="42"/>
  <c r="J8535" i="42"/>
  <c r="J8536" i="42"/>
  <c r="J8537" i="42"/>
  <c r="J8538" i="42"/>
  <c r="J8539" i="42"/>
  <c r="J8540" i="42"/>
  <c r="J8541" i="42"/>
  <c r="J8542" i="42"/>
  <c r="J8543" i="42"/>
  <c r="J8544" i="42"/>
  <c r="J8545" i="42"/>
  <c r="J8546" i="42"/>
  <c r="J8547" i="42"/>
  <c r="J8548" i="42"/>
  <c r="J8549" i="42"/>
  <c r="J8550" i="42"/>
  <c r="J8551" i="42"/>
  <c r="J8552" i="42"/>
  <c r="J8553" i="42"/>
  <c r="J8554" i="42"/>
  <c r="J8555" i="42"/>
  <c r="J8556" i="42"/>
  <c r="J8557" i="42"/>
  <c r="J8558" i="42"/>
  <c r="J8559" i="42"/>
  <c r="J8560" i="42"/>
  <c r="J8561" i="42"/>
  <c r="J8562" i="42"/>
  <c r="J8563" i="42"/>
  <c r="J8564" i="42"/>
  <c r="J8565" i="42"/>
  <c r="J8566" i="42"/>
  <c r="J8567" i="42"/>
  <c r="J8568" i="42"/>
  <c r="J8569" i="42"/>
  <c r="J8570" i="42"/>
  <c r="J8571" i="42"/>
  <c r="J8572" i="42"/>
  <c r="J8573" i="42"/>
  <c r="J8574" i="42"/>
  <c r="J8575" i="42"/>
  <c r="J8576" i="42"/>
  <c r="J8577" i="42"/>
  <c r="J8578" i="42"/>
  <c r="J8579" i="42"/>
  <c r="J8580" i="42"/>
  <c r="J8581" i="42"/>
  <c r="J8582" i="42"/>
  <c r="J8583" i="42"/>
  <c r="J8584" i="42"/>
  <c r="J8585" i="42"/>
  <c r="J8586" i="42"/>
  <c r="J8587" i="42"/>
  <c r="J8588" i="42"/>
  <c r="J8589" i="42"/>
  <c r="J8590" i="42"/>
  <c r="J8591" i="42"/>
  <c r="J8592" i="42"/>
  <c r="J8593" i="42"/>
  <c r="J8594" i="42"/>
  <c r="J8595" i="42"/>
  <c r="J8596" i="42"/>
  <c r="J8597" i="42"/>
  <c r="J8598" i="42"/>
  <c r="J8599" i="42"/>
  <c r="J8600" i="42"/>
  <c r="J8601" i="42"/>
  <c r="J8602" i="42"/>
  <c r="J8603" i="42"/>
  <c r="J8604" i="42"/>
  <c r="J8605" i="42"/>
  <c r="J8606" i="42"/>
  <c r="J8607" i="42"/>
  <c r="J8608" i="42"/>
  <c r="J8609" i="42"/>
  <c r="J8610" i="42"/>
  <c r="J8611" i="42"/>
  <c r="J8612" i="42"/>
  <c r="J8613" i="42"/>
  <c r="J8614" i="42"/>
  <c r="J8615" i="42"/>
  <c r="J8616" i="42"/>
  <c r="J8617" i="42"/>
  <c r="J8618" i="42"/>
  <c r="J8619" i="42"/>
  <c r="J8620" i="42"/>
  <c r="J8621" i="42"/>
  <c r="J8622" i="42"/>
  <c r="J8623" i="42"/>
  <c r="J8624" i="42"/>
  <c r="J8625" i="42"/>
  <c r="J8626" i="42"/>
  <c r="J8627" i="42"/>
  <c r="J8628" i="42"/>
  <c r="J8629" i="42"/>
  <c r="J8630" i="42"/>
  <c r="J8631" i="42"/>
  <c r="J8632" i="42"/>
  <c r="J8633" i="42"/>
  <c r="J8634" i="42"/>
  <c r="J8635" i="42"/>
  <c r="J8636" i="42"/>
  <c r="J8637" i="42"/>
  <c r="J8638" i="42"/>
  <c r="J8639" i="42"/>
  <c r="J8640" i="42"/>
  <c r="J8641" i="42"/>
  <c r="J8642" i="42"/>
  <c r="J8643" i="42"/>
  <c r="J8644" i="42"/>
  <c r="J8645" i="42"/>
  <c r="J8646" i="42"/>
  <c r="J8647" i="42"/>
  <c r="J8648" i="42"/>
  <c r="J8649" i="42"/>
  <c r="J8650" i="42"/>
  <c r="J8651" i="42"/>
  <c r="J8652" i="42"/>
  <c r="J8653" i="42"/>
  <c r="J8654" i="42"/>
  <c r="J8655" i="42"/>
  <c r="J8656" i="42"/>
  <c r="J8657" i="42"/>
  <c r="J8658" i="42"/>
  <c r="J8659" i="42"/>
  <c r="J8660" i="42"/>
  <c r="J8661" i="42"/>
  <c r="J8662" i="42"/>
  <c r="J8663" i="42"/>
  <c r="J8664" i="42"/>
  <c r="J8665" i="42"/>
  <c r="J8666" i="42"/>
  <c r="J8667" i="42"/>
  <c r="J8668" i="42"/>
  <c r="J8669" i="42"/>
  <c r="J8670" i="42"/>
  <c r="J8671" i="42"/>
  <c r="J8672" i="42"/>
  <c r="J8673" i="42"/>
  <c r="J8674" i="42"/>
  <c r="J8675" i="42"/>
  <c r="J8676" i="42"/>
  <c r="J8677" i="42"/>
  <c r="J8678" i="42"/>
  <c r="J8679" i="42"/>
  <c r="J8680" i="42"/>
  <c r="J8681" i="42"/>
  <c r="J8682" i="42"/>
  <c r="J8683" i="42"/>
  <c r="J8684" i="42"/>
  <c r="J8685" i="42"/>
  <c r="J8686" i="42"/>
  <c r="J8687" i="42"/>
  <c r="J8688" i="42"/>
  <c r="J8689" i="42"/>
  <c r="J8690" i="42"/>
  <c r="J8691" i="42"/>
  <c r="J8692" i="42"/>
  <c r="J8693" i="42"/>
  <c r="J8694" i="42"/>
  <c r="J8695" i="42"/>
  <c r="J8696" i="42"/>
  <c r="J8697" i="42"/>
  <c r="J8698" i="42"/>
  <c r="J8699" i="42"/>
  <c r="J8700" i="42"/>
  <c r="J8701" i="42"/>
  <c r="J8702" i="42"/>
  <c r="J8703" i="42"/>
  <c r="J8704" i="42"/>
  <c r="J8705" i="42"/>
  <c r="J8706" i="42"/>
  <c r="J8707" i="42"/>
  <c r="J8708" i="42"/>
  <c r="J8709" i="42"/>
  <c r="J8710" i="42"/>
  <c r="J8711" i="42"/>
  <c r="J8712" i="42"/>
  <c r="J8713" i="42"/>
  <c r="J8714" i="42"/>
  <c r="J8715" i="42"/>
  <c r="J8716" i="42"/>
  <c r="J8717" i="42"/>
  <c r="J8718" i="42"/>
  <c r="J8719" i="42"/>
  <c r="J8720" i="42"/>
  <c r="J8721" i="42"/>
  <c r="J8722" i="42"/>
  <c r="J8723" i="42"/>
  <c r="J8724" i="42"/>
  <c r="J8725" i="42"/>
  <c r="J8726" i="42"/>
  <c r="J8727" i="42"/>
  <c r="J8728" i="42"/>
  <c r="J8729" i="42"/>
  <c r="J8730" i="42"/>
  <c r="J8731" i="42"/>
  <c r="J8732" i="42"/>
  <c r="J8733" i="42"/>
  <c r="J8734" i="42"/>
  <c r="J8735" i="42"/>
  <c r="J8736" i="42"/>
  <c r="J8737" i="42"/>
  <c r="J8738" i="42"/>
  <c r="J8739" i="42"/>
  <c r="J8740" i="42"/>
  <c r="J8741" i="42"/>
  <c r="J8742" i="42"/>
  <c r="J8743" i="42"/>
  <c r="J8744" i="42"/>
  <c r="J8745" i="42"/>
  <c r="J8746" i="42"/>
  <c r="J8747" i="42"/>
  <c r="J8748" i="42"/>
  <c r="J8749" i="42"/>
  <c r="J8750" i="42"/>
  <c r="J8751" i="42"/>
  <c r="J8752" i="42"/>
  <c r="J8753" i="42"/>
  <c r="J8754" i="42"/>
  <c r="J8755" i="42"/>
  <c r="J8756" i="42"/>
  <c r="J8757" i="42"/>
  <c r="J8758" i="42"/>
  <c r="J8759" i="42"/>
  <c r="J8760" i="42"/>
  <c r="J8761" i="42"/>
  <c r="J8762" i="42"/>
  <c r="J8763" i="42"/>
  <c r="J8764" i="42"/>
  <c r="J8765" i="42"/>
  <c r="J8766" i="42"/>
  <c r="J8767" i="42"/>
  <c r="J8768" i="42"/>
  <c r="J8769" i="42"/>
  <c r="J8770" i="42"/>
  <c r="J8771" i="42"/>
  <c r="J8772" i="42"/>
  <c r="J8773" i="42"/>
  <c r="J8774" i="42"/>
  <c r="J8775" i="42"/>
  <c r="J8776" i="42"/>
  <c r="J8777" i="42"/>
  <c r="J8778" i="42"/>
  <c r="J8779" i="42"/>
  <c r="J8780" i="42"/>
  <c r="J8781" i="42"/>
  <c r="J8782" i="42"/>
  <c r="J8783" i="42"/>
  <c r="J8784" i="42"/>
  <c r="J8785" i="42"/>
  <c r="J8786" i="42"/>
  <c r="J8787" i="42"/>
  <c r="J8788" i="42"/>
  <c r="J8789" i="42"/>
  <c r="J8790" i="42"/>
  <c r="J8791" i="42"/>
  <c r="J8792" i="42"/>
  <c r="J8793" i="42"/>
  <c r="J8794" i="42"/>
  <c r="J8795" i="42"/>
  <c r="J8796" i="42"/>
  <c r="J8797" i="42"/>
  <c r="J8798" i="42"/>
  <c r="J8799" i="42"/>
  <c r="J8800" i="42"/>
  <c r="J8801" i="42"/>
  <c r="J8802" i="42"/>
  <c r="J8803" i="42"/>
  <c r="J8804" i="42"/>
  <c r="J8805" i="42"/>
  <c r="J8806" i="42"/>
  <c r="J8807" i="42"/>
  <c r="J8808" i="42"/>
  <c r="J8809" i="42"/>
  <c r="J8810" i="42"/>
  <c r="J8811" i="42"/>
  <c r="J8812" i="42"/>
  <c r="J8813" i="42"/>
  <c r="J8814" i="42"/>
  <c r="J8815" i="42"/>
  <c r="J8816" i="42"/>
  <c r="J8817" i="42"/>
  <c r="J8818" i="42"/>
  <c r="J8819" i="42"/>
  <c r="J8820" i="42"/>
  <c r="J8821" i="42"/>
  <c r="J8822" i="42"/>
  <c r="J8823" i="42"/>
  <c r="J8824" i="42"/>
  <c r="J8825" i="42"/>
  <c r="J8826" i="42"/>
  <c r="J8827" i="42"/>
  <c r="J8828" i="42"/>
  <c r="J8829" i="42"/>
  <c r="J8830" i="42"/>
  <c r="J8831" i="42"/>
  <c r="J8832" i="42"/>
  <c r="J8833" i="42"/>
  <c r="J8834" i="42"/>
  <c r="J8835" i="42"/>
  <c r="J8836" i="42"/>
  <c r="J8837" i="42"/>
  <c r="J8838" i="42"/>
  <c r="J8839" i="42"/>
  <c r="J8840" i="42"/>
  <c r="J8841" i="42"/>
  <c r="J8842" i="42"/>
  <c r="J8843" i="42"/>
  <c r="J8844" i="42"/>
  <c r="J8845" i="42"/>
  <c r="J8846" i="42"/>
  <c r="J8847" i="42"/>
  <c r="J8848" i="42"/>
  <c r="J8849" i="42"/>
  <c r="J8850" i="42"/>
  <c r="J8851" i="42"/>
  <c r="J8852" i="42"/>
  <c r="J8853" i="42"/>
  <c r="J8854" i="42"/>
  <c r="J8855" i="42"/>
  <c r="J8856" i="42"/>
  <c r="J8857" i="42"/>
  <c r="J8858" i="42"/>
  <c r="J8859" i="42"/>
  <c r="J8860" i="42"/>
  <c r="J8861" i="42"/>
  <c r="J8862" i="42"/>
  <c r="J8863" i="42"/>
  <c r="J8864" i="42"/>
  <c r="J8865" i="42"/>
  <c r="J8866" i="42"/>
  <c r="J8867" i="42"/>
  <c r="J8868" i="42"/>
  <c r="J8869" i="42"/>
  <c r="J8870" i="42"/>
  <c r="J8871" i="42"/>
  <c r="J8872" i="42"/>
  <c r="J8873" i="42"/>
  <c r="J8874" i="42"/>
  <c r="J8875" i="42"/>
  <c r="J8876" i="42"/>
  <c r="J8877" i="42"/>
  <c r="J8878" i="42"/>
  <c r="J8879" i="42"/>
  <c r="J8880" i="42"/>
  <c r="J8881" i="42"/>
  <c r="J8882" i="42"/>
  <c r="J8883" i="42"/>
  <c r="J8884" i="42"/>
  <c r="J8885" i="42"/>
  <c r="J8886" i="42"/>
  <c r="J8887" i="42"/>
  <c r="J8888" i="42"/>
  <c r="J8889" i="42"/>
  <c r="J8890" i="42"/>
  <c r="J8891" i="42"/>
  <c r="J8892" i="42"/>
  <c r="J8893" i="42"/>
  <c r="J8894" i="42"/>
  <c r="J8895" i="42"/>
  <c r="J8896" i="42"/>
  <c r="J8897" i="42"/>
  <c r="J8898" i="42"/>
  <c r="J8899" i="42"/>
  <c r="J8900" i="42"/>
  <c r="J8901" i="42"/>
  <c r="J8902" i="42"/>
  <c r="J8903" i="42"/>
  <c r="J8904" i="42"/>
  <c r="J8905" i="42"/>
  <c r="J8906" i="42"/>
  <c r="J8907" i="42"/>
  <c r="J8908" i="42"/>
  <c r="J8909" i="42"/>
  <c r="J8910" i="42"/>
  <c r="J8911" i="42"/>
  <c r="J8912" i="42"/>
  <c r="J8913" i="42"/>
  <c r="J8914" i="42"/>
  <c r="J8915" i="42"/>
  <c r="J8916" i="42"/>
  <c r="J8917" i="42"/>
  <c r="J8918" i="42"/>
  <c r="J8919" i="42"/>
  <c r="J8920" i="42"/>
  <c r="J8921" i="42"/>
  <c r="J8922" i="42"/>
  <c r="J8923" i="42"/>
  <c r="J8924" i="42"/>
  <c r="J8925" i="42"/>
  <c r="J8926" i="42"/>
  <c r="J8927" i="42"/>
  <c r="J8928" i="42"/>
  <c r="J8929" i="42"/>
  <c r="J8930" i="42"/>
  <c r="J8931" i="42"/>
  <c r="J8932" i="42"/>
  <c r="J8933" i="42"/>
  <c r="J8934" i="42"/>
  <c r="J8935" i="42"/>
  <c r="J8936" i="42"/>
  <c r="J8937" i="42"/>
  <c r="J8938" i="42"/>
  <c r="J8939" i="42"/>
  <c r="J8940" i="42"/>
  <c r="J8941" i="42"/>
  <c r="J8942" i="42"/>
  <c r="J8943" i="42"/>
  <c r="J8944" i="42"/>
  <c r="J8945" i="42"/>
  <c r="J8946" i="42"/>
  <c r="J8947" i="42"/>
  <c r="J8948" i="42"/>
  <c r="J8949" i="42"/>
  <c r="J8950" i="42"/>
  <c r="J8951" i="42"/>
  <c r="J8952" i="42"/>
  <c r="J8953" i="42"/>
  <c r="J8954" i="42"/>
  <c r="J8955" i="42"/>
  <c r="J8956" i="42"/>
  <c r="J8957" i="42"/>
  <c r="J8958" i="42"/>
  <c r="J8959" i="42"/>
  <c r="J8960" i="42"/>
  <c r="J8961" i="42"/>
  <c r="J8962" i="42"/>
  <c r="J8963" i="42"/>
  <c r="J8964" i="42"/>
  <c r="J8965" i="42"/>
  <c r="J8966" i="42"/>
  <c r="J8967" i="42"/>
  <c r="J8968" i="42"/>
  <c r="J8969" i="42"/>
  <c r="J8970" i="42"/>
  <c r="J8971" i="42"/>
  <c r="J8972" i="42"/>
  <c r="J8973" i="42"/>
  <c r="J8974" i="42"/>
  <c r="J8975" i="42"/>
  <c r="J8976" i="42"/>
  <c r="J8977" i="42"/>
  <c r="J8978" i="42"/>
  <c r="J8979" i="42"/>
  <c r="J8980" i="42"/>
  <c r="J8981" i="42"/>
  <c r="J8982" i="42"/>
  <c r="J8983" i="42"/>
  <c r="J8984" i="42"/>
  <c r="J8985" i="42"/>
  <c r="J8986" i="42"/>
  <c r="J8987" i="42"/>
  <c r="J8988" i="42"/>
  <c r="J8989" i="42"/>
  <c r="J8990" i="42"/>
  <c r="J8991" i="42"/>
  <c r="J8992" i="42"/>
  <c r="J8993" i="42"/>
  <c r="J8994" i="42"/>
  <c r="J8995" i="42"/>
  <c r="J8996" i="42"/>
  <c r="J8997" i="42"/>
  <c r="J8998" i="42"/>
  <c r="J8999" i="42"/>
  <c r="J9000" i="42"/>
  <c r="J9001" i="42"/>
  <c r="J9002" i="42"/>
  <c r="J9003" i="42"/>
  <c r="J9004" i="42"/>
  <c r="J9005" i="42"/>
  <c r="J9006" i="42"/>
  <c r="J9007" i="42"/>
  <c r="J9008" i="42"/>
  <c r="J9009" i="42"/>
  <c r="J9010" i="42"/>
  <c r="J9011" i="42"/>
  <c r="J9012" i="42"/>
  <c r="J9013" i="42"/>
  <c r="J9014" i="42"/>
  <c r="J9015" i="42"/>
  <c r="J9016" i="42"/>
  <c r="J9017" i="42"/>
  <c r="J9018" i="42"/>
  <c r="J9019" i="42"/>
  <c r="J9020" i="42"/>
  <c r="J9021" i="42"/>
  <c r="J9022" i="42"/>
  <c r="J9023" i="42"/>
  <c r="J9024" i="42"/>
  <c r="J9025" i="42"/>
  <c r="J9026" i="42"/>
  <c r="J9027" i="42"/>
  <c r="J9028" i="42"/>
  <c r="J9029" i="42"/>
  <c r="J9030" i="42"/>
  <c r="J9031" i="42"/>
  <c r="J9032" i="42"/>
  <c r="J9033" i="42"/>
  <c r="J9034" i="42"/>
  <c r="J9035" i="42"/>
  <c r="J9036" i="42"/>
  <c r="J9037" i="42"/>
  <c r="J9038" i="42"/>
  <c r="J9039" i="42"/>
  <c r="J9040" i="42"/>
  <c r="J9041" i="42"/>
  <c r="J9042" i="42"/>
  <c r="J9043" i="42"/>
  <c r="J9044" i="42"/>
  <c r="J9045" i="42"/>
  <c r="J9046" i="42"/>
  <c r="J9047" i="42"/>
  <c r="J9048" i="42"/>
  <c r="J9049" i="42"/>
  <c r="J9050" i="42"/>
  <c r="J9051" i="42"/>
  <c r="J9052" i="42"/>
  <c r="J9053" i="42"/>
  <c r="J9054" i="42"/>
  <c r="J9055" i="42"/>
  <c r="J9056" i="42"/>
  <c r="J9057" i="42"/>
  <c r="J9058" i="42"/>
  <c r="J9059" i="42"/>
  <c r="J9060" i="42"/>
  <c r="J9061" i="42"/>
  <c r="J9062" i="42"/>
  <c r="J9063" i="42"/>
  <c r="J9064" i="42"/>
  <c r="J9065" i="42"/>
  <c r="J9066" i="42"/>
  <c r="J9067" i="42"/>
  <c r="J9068" i="42"/>
  <c r="J9069" i="42"/>
  <c r="J9070" i="42"/>
  <c r="J9071" i="42"/>
  <c r="J9072" i="42"/>
  <c r="J9073" i="42"/>
  <c r="J9074" i="42"/>
  <c r="J9075" i="42"/>
  <c r="J9076" i="42"/>
  <c r="J9077" i="42"/>
  <c r="J9078" i="42"/>
  <c r="J9079" i="42"/>
  <c r="J9080" i="42"/>
  <c r="J9081" i="42"/>
  <c r="J9082" i="42"/>
  <c r="J9083" i="42"/>
  <c r="J9084" i="42"/>
  <c r="J9085" i="42"/>
  <c r="J9086" i="42"/>
  <c r="J9087" i="42"/>
  <c r="J9088" i="42"/>
  <c r="J9089" i="42"/>
  <c r="J9090" i="42"/>
  <c r="J9091" i="42"/>
  <c r="J9092" i="42"/>
  <c r="J9093" i="42"/>
  <c r="J9094" i="42"/>
  <c r="J9095" i="42"/>
  <c r="J9096" i="42"/>
  <c r="J9097" i="42"/>
  <c r="J9098" i="42"/>
  <c r="J9099" i="42"/>
  <c r="J9100" i="42"/>
  <c r="J9101" i="42"/>
  <c r="J9102" i="42"/>
  <c r="J9103" i="42"/>
  <c r="J9104" i="42"/>
  <c r="J9105" i="42"/>
  <c r="J9106" i="42"/>
  <c r="J9107" i="42"/>
  <c r="J9108" i="42"/>
  <c r="J9109" i="42"/>
  <c r="J9110" i="42"/>
  <c r="J9111" i="42"/>
  <c r="J9112" i="42"/>
  <c r="J9113" i="42"/>
  <c r="J9114" i="42"/>
  <c r="J9115" i="42"/>
  <c r="J9116" i="42"/>
  <c r="J9117" i="42"/>
  <c r="J9118" i="42"/>
  <c r="J9119" i="42"/>
  <c r="J9120" i="42"/>
  <c r="J9121" i="42"/>
  <c r="J9122" i="42"/>
  <c r="J9123" i="42"/>
  <c r="J9124" i="42"/>
  <c r="J9125" i="42"/>
  <c r="J9126" i="42"/>
  <c r="J9127" i="42"/>
  <c r="J9128" i="42"/>
  <c r="J9129" i="42"/>
  <c r="J9130" i="42"/>
  <c r="J9131" i="42"/>
  <c r="J9132" i="42"/>
  <c r="J9133" i="42"/>
  <c r="J9134" i="42"/>
  <c r="J9135" i="42"/>
  <c r="J9136" i="42"/>
  <c r="J9137" i="42"/>
  <c r="J9138" i="42"/>
  <c r="J9139" i="42"/>
  <c r="J9140" i="42"/>
  <c r="O5" i="42"/>
  <c r="P7" i="42" a="1"/>
  <c r="P7" i="42" s="1"/>
  <c r="P12" i="42" a="1"/>
  <c r="P12" i="42" s="1"/>
  <c r="Q19" i="42" a="1"/>
  <c r="Q19" i="42" s="1"/>
  <c r="P20" i="42" a="1"/>
  <c r="P20" i="42" s="1"/>
  <c r="Q11" i="42" l="1" a="1"/>
  <c r="Q11" i="42" s="1"/>
  <c r="O10" i="42"/>
  <c r="Q18" i="42" a="1"/>
  <c r="Q18" i="42" s="1"/>
  <c r="Q10" i="42" a="1"/>
  <c r="Q10" i="42" s="1"/>
  <c r="O18" i="42"/>
  <c r="Q17" i="42" a="1"/>
  <c r="Q17" i="42" s="1"/>
  <c r="Q9" i="42" a="1"/>
  <c r="Q9" i="42" s="1"/>
  <c r="R16" i="42" a="1"/>
  <c r="R16" i="42" s="1"/>
  <c r="Q15" i="42" a="1"/>
  <c r="Q15" i="42" s="1"/>
  <c r="O13" i="42"/>
  <c r="R8" i="42" a="1"/>
  <c r="R8" i="42" s="1"/>
  <c r="Q7" i="42" a="1"/>
  <c r="Q7" i="42" s="1"/>
  <c r="O9" i="42"/>
  <c r="L26" i="42" a="1"/>
  <c r="L26" i="42" s="1"/>
  <c r="R15" i="42" a="1"/>
  <c r="R15" i="42" s="1"/>
  <c r="R7" i="42" a="1"/>
  <c r="R7" i="42" s="1"/>
  <c r="O17" i="42"/>
  <c r="P22" i="42" a="1"/>
  <c r="P22" i="42" s="1"/>
  <c r="P14" i="42" a="1"/>
  <c r="P14" i="42" s="1"/>
  <c r="P6" i="42" a="1"/>
  <c r="P6" i="42" s="1"/>
  <c r="O21" i="42"/>
  <c r="P21" i="42" a="1"/>
  <c r="P21" i="42" s="1"/>
  <c r="P13" i="42" a="1"/>
  <c r="P13" i="42" s="1"/>
  <c r="P5" i="42" a="1"/>
  <c r="P5" i="42" s="1"/>
  <c r="P15" i="42" a="1"/>
  <c r="P15" i="42" s="1"/>
  <c r="Q12" i="42" a="1"/>
  <c r="Q12" i="42" s="1"/>
  <c r="Q20" i="42" a="1"/>
  <c r="Q20" i="42" s="1"/>
  <c r="R9" i="42" a="1"/>
  <c r="R9" i="42" s="1"/>
  <c r="R17" i="42" a="1"/>
  <c r="R17" i="42" s="1"/>
  <c r="P16" i="42" a="1"/>
  <c r="P16" i="42" s="1"/>
  <c r="O11" i="42"/>
  <c r="O19" i="42"/>
  <c r="P9" i="42" a="1"/>
  <c r="P9" i="42" s="1"/>
  <c r="P17" i="42" a="1"/>
  <c r="P17" i="42" s="1"/>
  <c r="Q5" i="42" a="1"/>
  <c r="Q5" i="42" s="1"/>
  <c r="Q13" i="42" a="1"/>
  <c r="Q13" i="42" s="1"/>
  <c r="Q21" i="42" a="1"/>
  <c r="Q21" i="42" s="1"/>
  <c r="R10" i="42" a="1"/>
  <c r="R10" i="42" s="1"/>
  <c r="R18" i="42" a="1"/>
  <c r="R18" i="42" s="1"/>
  <c r="P8" i="42" a="1"/>
  <c r="P8" i="42" s="1"/>
  <c r="O12" i="42"/>
  <c r="O20" i="42"/>
  <c r="P10" i="42" a="1"/>
  <c r="P10" i="42" s="1"/>
  <c r="P18" i="42" a="1"/>
  <c r="P18" i="42" s="1"/>
  <c r="Q6" i="42" a="1"/>
  <c r="Q6" i="42" s="1"/>
  <c r="Q14" i="42" a="1"/>
  <c r="Q14" i="42" s="1"/>
  <c r="Q22" i="42" a="1"/>
  <c r="Q22" i="42" s="1"/>
  <c r="R11" i="42" a="1"/>
  <c r="R11" i="42" s="1"/>
  <c r="R19" i="42" a="1"/>
  <c r="R19" i="42" s="1"/>
  <c r="R4" i="42" a="1"/>
  <c r="R4" i="42" s="1"/>
  <c r="R12" i="42" a="1"/>
  <c r="R12" i="42" s="1"/>
  <c r="R20" i="42" a="1"/>
  <c r="R20" i="42" s="1"/>
  <c r="O6" i="42"/>
  <c r="O14" i="42"/>
  <c r="O22" i="42"/>
  <c r="Q8" i="42" a="1"/>
  <c r="Q8" i="42" s="1"/>
  <c r="Q16" i="42" a="1"/>
  <c r="Q16" i="42" s="1"/>
  <c r="R5" i="42" a="1"/>
  <c r="R5" i="42" s="1"/>
  <c r="R13" i="42" a="1"/>
  <c r="R13" i="42" s="1"/>
  <c r="R21" i="42" a="1"/>
  <c r="R21" i="42" s="1"/>
  <c r="P11" i="42" a="1"/>
  <c r="P11" i="42" s="1"/>
  <c r="O7" i="42"/>
  <c r="O15" i="42"/>
  <c r="R6" i="42" a="1"/>
  <c r="R6" i="42" s="1"/>
  <c r="R14" i="42" a="1"/>
  <c r="R14" i="42" s="1"/>
  <c r="R22" i="42" a="1"/>
  <c r="R22" i="42" s="1"/>
  <c r="P19" i="42" a="1"/>
  <c r="P19" i="42" s="1"/>
  <c r="O8" i="42"/>
  <c r="O16" i="4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4" refreshedVersion="0" background="1">
    <webPr url="http://table.finance.yahoo.com/table.csv?s=IBM&amp;a=00&amp;b=1&amp;c=2010&amp;d=00&amp;e=3&amp;f=2014&amp;g=d&amp;ignore=.csv" htmlTables="1" htmlFormat="all"/>
  </connection>
  <connection id="2" xr16:uid="{00000000-0015-0000-FFFF-FFFF01000000}" name="Connection1" type="4" refreshedVersion="0" background="1">
    <webPr url="http://table.finance.yahoo.com/table.csv?s=IBM&amp;a=00&amp;b=1&amp;c=2010&amp;d=00&amp;e=3&amp;f=2014&amp;g=d&amp;ignore=.csv" htmlTables="1" htmlFormat="all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<sst xmlns="http://schemas.openxmlformats.org/spreadsheetml/2006/main" count="9179" uniqueCount="39">
  <si>
    <t>Ticker</t>
  </si>
  <si>
    <t>^GSPC</t>
  </si>
  <si>
    <t>BAC</t>
  </si>
  <si>
    <t>XOM</t>
  </si>
  <si>
    <t>CVX</t>
  </si>
  <si>
    <t>COP</t>
  </si>
  <si>
    <t>MSFT</t>
  </si>
  <si>
    <t>IBM</t>
  </si>
  <si>
    <t>ORCL</t>
  </si>
  <si>
    <t>JPM</t>
  </si>
  <si>
    <t>KO</t>
  </si>
  <si>
    <t>WMT</t>
  </si>
  <si>
    <t>PG</t>
  </si>
  <si>
    <t>MCD</t>
  </si>
  <si>
    <t>DIS</t>
  </si>
  <si>
    <t>CMCSA</t>
  </si>
  <si>
    <t>FDX</t>
  </si>
  <si>
    <t>JBLU</t>
  </si>
  <si>
    <t>UPS</t>
  </si>
  <si>
    <t>Open</t>
  </si>
  <si>
    <t>High</t>
  </si>
  <si>
    <t>Low</t>
  </si>
  <si>
    <t>Close</t>
  </si>
  <si>
    <t>Volume</t>
  </si>
  <si>
    <t>Adj Close</t>
  </si>
  <si>
    <t>C</t>
  </si>
  <si>
    <t>ticker</t>
  </si>
  <si>
    <t>average return</t>
  </si>
  <si>
    <t xml:space="preserve"> Date</t>
  </si>
  <si>
    <t>Ln return</t>
  </si>
  <si>
    <t xml:space="preserve"> Standard Deviation</t>
  </si>
  <si>
    <t>skewness</t>
  </si>
  <si>
    <t>kurtosis</t>
  </si>
  <si>
    <t>BINS</t>
  </si>
  <si>
    <t>FREQ</t>
  </si>
  <si>
    <t>max</t>
  </si>
  <si>
    <t>min</t>
  </si>
  <si>
    <t>place ORCL  graph here:</t>
  </si>
  <si>
    <t>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</si>
</sst>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0.000000"/>
    <numFmt numFmtId="166" formatCode="0.0000000"/>
    <numFmt numFmtId="167" formatCode="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 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1" fillId="2" borderId="2" xfId="0" applyNumberFormat="1" applyFont="1" applyFill="1" applyBorder="1" applyAlignment="1">
      <alignment horizontal="center"/>
    </xf>
    <xf numFmtId="166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Continuous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ORCL</a:t>
            </a:r>
            <a:r>
              <a:rPr lang="en-US" baseline="0"/>
              <a:t>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Master!$N$25:$N$42</c:f>
              <c:numCache>
                <c:formatCode>0.00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21</c:v>
                </c:pt>
                <c:pt idx="10">
                  <c:v>60</c:v>
                </c:pt>
                <c:pt idx="11">
                  <c:v>141</c:v>
                </c:pt>
                <c:pt idx="12">
                  <c:v>150</c:v>
                </c:pt>
                <c:pt idx="13">
                  <c:v>81</c:v>
                </c:pt>
                <c:pt idx="14">
                  <c:v>17</c:v>
                </c:pt>
                <c:pt idx="15">
                  <c:v>4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3-9C46-8AED-C64672AC3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69519"/>
        <c:axId val="144381247"/>
      </c:barChart>
      <c:catAx>
        <c:axId val="144269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81247"/>
        <c:crosses val="autoZero"/>
        <c:auto val="1"/>
        <c:lblAlgn val="ctr"/>
        <c:lblOffset val="100"/>
        <c:tickLblSkip val="1"/>
        <c:noMultiLvlLbl val="0"/>
      </c:catAx>
      <c:valAx>
        <c:axId val="1443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9519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ORCL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ORCL Histogram</a:t>
          </a:r>
        </a:p>
      </cx:txPr>
    </cx:title>
    <cx:plotArea>
      <cx:plotAreaRegion>
        <cx:series layoutId="clusteredColumn" uniqueId="{1DAB785A-FD2D-0948-B71F-973F4CD8AB0F}" formatIdx="0">
          <cx:dataId val="0"/>
          <cx:layoutPr>
            <cx:binning intervalClosed="r"/>
          </cx:layoutPr>
        </cx:series>
        <cx:series layoutId="clusteredColumn" hidden="1" uniqueId="{33182649-77C1-C146-B545-97D036AA41E0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838201</xdr:colOff>
      <xdr:row>24</xdr:row>
      <xdr:rowOff>101600</xdr:rowOff>
    </xdr:from>
    <xdr:to>
      <xdr:col>17</xdr:col>
      <xdr:colOff>711201</xdr:colOff>
      <xdr:row>38</xdr:row>
      <xdr:rowOff>118533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7FD79-F3DF-1A0A-22FA-C508038E0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917223</xdr:colOff>
      <xdr:row>24</xdr:row>
      <xdr:rowOff>159457</xdr:rowOff>
    </xdr:from>
    <xdr:to>
      <xdr:col>22</xdr:col>
      <xdr:colOff>522112</xdr:colOff>
      <xdr:row>38</xdr:row>
      <xdr:rowOff>136879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8A610BE-21F4-396C-3801-D7AFA00CDD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33523" y="4756857"/>
              <a:ext cx="4545189" cy="2644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D9140"/>
  <sheetViews>
    <sheetView tabSelected="1" topLeftCell="C12" zoomScaleNormal="120" workbookViewId="0">
      <selection activeCell="L25" sqref="L25"/>
    </sheetView>
  </sheetViews>
  <sheetFormatPr baseColWidth="10" defaultColWidth="8.83203125" defaultRowHeight="15"/>
  <cols>
    <col min="1" max="1" width="11.6640625" style="1" customWidth="1"/>
    <col min="2" max="5" width="8" bestFit="1" customWidth="1"/>
    <col min="6" max="6" width="11" bestFit="1" customWidth="1"/>
    <col min="7" max="7" width="12" customWidth="1"/>
    <col min="8" max="8" width="10.33203125" customWidth="1"/>
    <col min="9" max="10" width="14.1640625" style="22" customWidth="1"/>
    <col min="11" max="11" width="12.5" customWidth="1"/>
    <col min="12" max="12" width="15" customWidth="1"/>
    <col min="14" max="14" width="8.33203125" style="4" customWidth="1"/>
    <col min="15" max="15" width="20.5" style="17" customWidth="1"/>
    <col min="16" max="16" width="21.5" style="9" customWidth="1"/>
    <col min="17" max="17" width="19.5" style="9" customWidth="1"/>
    <col min="18" max="18" width="18.5" style="9" customWidth="1"/>
    <col min="19" max="21" width="12.5" style="9" bestFit="1" customWidth="1"/>
    <col min="22" max="30" width="8.83203125" style="9"/>
  </cols>
  <sheetData>
    <row r="1" spans="1:18">
      <c r="A1" s="3" t="s">
        <v>28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0</v>
      </c>
      <c r="I1" s="21" t="s">
        <v>29</v>
      </c>
      <c r="J1" s="21" t="s">
        <v>38</v>
      </c>
      <c r="K1" s="2"/>
      <c r="L1" s="2"/>
      <c r="M1" s="2"/>
    </row>
    <row r="2" spans="1:18" ht="16" thickBot="1">
      <c r="A2" s="1">
        <v>40911</v>
      </c>
      <c r="B2">
        <v>1258.8599999999999</v>
      </c>
      <c r="C2">
        <v>1284.6199999999999</v>
      </c>
      <c r="D2">
        <v>1258.8599999999999</v>
      </c>
      <c r="E2">
        <v>1277.06</v>
      </c>
      <c r="F2">
        <v>3943710000</v>
      </c>
      <c r="G2">
        <v>1277.06</v>
      </c>
      <c r="H2" t="s">
        <v>1</v>
      </c>
      <c r="I2" s="22" t="str">
        <f>IF(A2=$A$2,"",LN(G2/G1))</f>
        <v/>
      </c>
      <c r="J2" s="22" t="str">
        <f>IF(B2&gt;E2,"lost money","")</f>
        <v/>
      </c>
    </row>
    <row r="3" spans="1:18" ht="16" thickBot="1">
      <c r="A3" s="1">
        <v>40912</v>
      </c>
      <c r="B3">
        <v>1277.03</v>
      </c>
      <c r="C3">
        <v>1278.73</v>
      </c>
      <c r="D3">
        <v>1268.0999999999999</v>
      </c>
      <c r="E3">
        <v>1277.3</v>
      </c>
      <c r="F3">
        <v>3592580000</v>
      </c>
      <c r="G3">
        <v>1277.3</v>
      </c>
      <c r="H3" t="s">
        <v>1</v>
      </c>
      <c r="I3" s="22">
        <f>IF(A3=$A$2,"",LN(G3/G2))</f>
        <v>1.8791399857992464E-4</v>
      </c>
      <c r="J3" s="22" t="str">
        <f>IF(B3&gt;E3,"lost money","")</f>
        <v/>
      </c>
      <c r="K3" s="20"/>
      <c r="L3" s="10"/>
      <c r="N3" s="5" t="s">
        <v>26</v>
      </c>
      <c r="O3" s="25" t="s">
        <v>27</v>
      </c>
      <c r="P3" s="26" t="s">
        <v>30</v>
      </c>
      <c r="Q3" s="27" t="s">
        <v>31</v>
      </c>
      <c r="R3" s="28" t="s">
        <v>32</v>
      </c>
    </row>
    <row r="4" spans="1:18">
      <c r="A4" s="1">
        <v>40913</v>
      </c>
      <c r="B4">
        <v>1277.3</v>
      </c>
      <c r="C4">
        <v>1283.05</v>
      </c>
      <c r="D4">
        <v>1265.26</v>
      </c>
      <c r="E4">
        <v>1281.06</v>
      </c>
      <c r="F4">
        <v>4315950000</v>
      </c>
      <c r="G4">
        <v>1281.06</v>
      </c>
      <c r="H4" t="s">
        <v>1</v>
      </c>
      <c r="I4" s="22">
        <f t="shared" ref="I4:I66" si="0">IF(A4=$A$2,"",LN(G4/G3))</f>
        <v>2.9393851586132893E-3</v>
      </c>
      <c r="J4" s="22" t="str">
        <f t="shared" ref="J4:J66" si="1">IF(B4&gt;E4,"lost money","")</f>
        <v/>
      </c>
      <c r="L4" s="9"/>
      <c r="N4" s="8" t="s">
        <v>1</v>
      </c>
      <c r="O4" s="23">
        <f>AVERAGEIF($H$2:$H$9140,"^GSPC", $I$2:$I$9140)</f>
        <v>7.2176809066606961E-4</v>
      </c>
      <c r="P4" s="23" cm="1">
        <f t="array" ref="P4">_xlfn.STDEV.S(_xlfn._xlws.FILTER($I$2:$I$9140,$H$2:$H$9140="^GSPC",""))</f>
        <v>7.5624747383650067E-3</v>
      </c>
      <c r="Q4" s="24" cm="1">
        <f t="array" ref="Q4">SKEW(_xlfn._xlws.FILTER($I$2:$I$9140,$H$2:$H$9140="^GSPC"))</f>
        <v>-0.1544149134197377</v>
      </c>
      <c r="R4" s="24" cm="1">
        <f t="array" ref="R4">KURT(_xlfn._xlws.FILTER(I2:I9140,H2:H9140="^GSPC"))</f>
        <v>1.1045559475376008</v>
      </c>
    </row>
    <row r="5" spans="1:18">
      <c r="A5" s="1">
        <v>40914</v>
      </c>
      <c r="B5">
        <v>1280.93</v>
      </c>
      <c r="C5">
        <v>1281.8399999999999</v>
      </c>
      <c r="D5">
        <v>1273.3399999999999</v>
      </c>
      <c r="E5">
        <v>1277.81</v>
      </c>
      <c r="F5">
        <v>3656830000</v>
      </c>
      <c r="G5">
        <v>1277.81</v>
      </c>
      <c r="H5" t="s">
        <v>1</v>
      </c>
      <c r="I5" s="22">
        <f t="shared" si="0"/>
        <v>-2.5401851188711095E-3</v>
      </c>
      <c r="J5" s="22" t="str">
        <f t="shared" si="1"/>
        <v>lost money</v>
      </c>
      <c r="L5" s="9"/>
      <c r="N5" s="8" t="s">
        <v>2</v>
      </c>
      <c r="O5" s="23">
        <f>AVERAGEIF($H$2:$H$9140,"BAC", $I$2:$I$9140)</f>
        <v>2.1071724925252502E-3</v>
      </c>
      <c r="P5" s="23" cm="1">
        <f t="array" ref="P5">_xlfn.STDEV.S(_xlfn._xlws.FILTER($I$2:$I$9140,$H$2:$H$9140="BAC",""))</f>
        <v>2.048632410485051E-2</v>
      </c>
      <c r="Q5" s="24" cm="1">
        <f t="array" ref="Q5">SKEW(_xlfn._xlws.FILTER($I$2:$I$9140,$H$2:$H$9140="BAC"))</f>
        <v>0.26641482105952363</v>
      </c>
      <c r="R5" s="24" cm="1">
        <f t="array" ref="R5">KURT(_xlfn._xlws.FILTER(I3:I9141,H3:H9141="BAC"))</f>
        <v>1.1652241853889347</v>
      </c>
    </row>
    <row r="6" spans="1:18">
      <c r="A6" s="1">
        <v>40917</v>
      </c>
      <c r="B6">
        <v>1277.83</v>
      </c>
      <c r="C6">
        <v>1281.99</v>
      </c>
      <c r="D6">
        <v>1274.55</v>
      </c>
      <c r="E6">
        <v>1280.7</v>
      </c>
      <c r="F6">
        <v>3371600000</v>
      </c>
      <c r="G6">
        <v>1280.7</v>
      </c>
      <c r="H6" t="s">
        <v>1</v>
      </c>
      <c r="I6" s="22">
        <f t="shared" si="0"/>
        <v>2.2591283435529062E-3</v>
      </c>
      <c r="J6" s="22" t="str">
        <f t="shared" si="1"/>
        <v/>
      </c>
      <c r="L6" s="9"/>
      <c r="N6" s="7" t="s">
        <v>25</v>
      </c>
      <c r="O6" s="23">
        <f>AVERAGEIF($H$2:$H$9140,"C", $I$2:$I$9140)</f>
        <v>1.3062086823776181E-3</v>
      </c>
      <c r="P6" s="23" cm="1">
        <f t="array" ref="P6">_xlfn.STDEV.S(_xlfn._xlws.FILTER($I$2:$I$9140,$H$2:$H$9140="C",""))</f>
        <v>1.9130491007294418E-2</v>
      </c>
      <c r="Q6" s="24" cm="1">
        <f t="array" ref="Q6">SKEW(_xlfn._xlws.FILTER($I$2:$I$9140,$H$2:$H$9140="C"))</f>
        <v>-0.11209203359264153</v>
      </c>
      <c r="R6" s="24" cm="1">
        <f t="array" ref="R6">KURT(_xlfn._xlws.FILTER(I4:I9142,H4:H9142="C"))</f>
        <v>1.167109743021788</v>
      </c>
    </row>
    <row r="7" spans="1:18">
      <c r="A7" s="1">
        <v>40918</v>
      </c>
      <c r="B7">
        <v>1280.77</v>
      </c>
      <c r="C7">
        <v>1296.46</v>
      </c>
      <c r="D7">
        <v>1280.77</v>
      </c>
      <c r="E7">
        <v>1292.08</v>
      </c>
      <c r="F7">
        <v>4221960000</v>
      </c>
      <c r="G7">
        <v>1292.08</v>
      </c>
      <c r="H7" t="s">
        <v>1</v>
      </c>
      <c r="I7" s="22">
        <f t="shared" si="0"/>
        <v>8.8465194982314723E-3</v>
      </c>
      <c r="J7" s="22" t="str">
        <f t="shared" si="1"/>
        <v/>
      </c>
      <c r="L7" s="9"/>
      <c r="N7" s="7" t="s">
        <v>15</v>
      </c>
      <c r="O7" s="23">
        <f>AVERAGEIF($H$2:$H$9140,"CMCSA", $I$2:$I$9140)</f>
        <v>1.5498845237853034E-3</v>
      </c>
      <c r="P7" s="23" cm="1">
        <f t="array" ref="P7">_xlfn.STDEV.S(_xlfn._xlws.FILTER($I$2:$I$9140,$H$2:$H$9140="CMCSA",""))</f>
        <v>1.2045423223055013E-2</v>
      </c>
      <c r="Q7" s="24" cm="1">
        <f t="array" ref="Q7">SKEW(_xlfn._xlws.FILTER($I$2:$I$9140,$H$2:$H$9140="CMCSA"))</f>
        <v>0.37127351746928411</v>
      </c>
      <c r="R7" s="24" cm="1">
        <f t="array" ref="R7">KURT(_xlfn._xlws.FILTER(I5:I9143,H5:H9143="CMCSA"))</f>
        <v>1.023964227139821</v>
      </c>
    </row>
    <row r="8" spans="1:18">
      <c r="A8" s="1">
        <v>40919</v>
      </c>
      <c r="B8">
        <v>1292.02</v>
      </c>
      <c r="C8">
        <v>1293.8</v>
      </c>
      <c r="D8">
        <v>1285.4100000000001</v>
      </c>
      <c r="E8">
        <v>1292.48</v>
      </c>
      <c r="F8">
        <v>3968120000</v>
      </c>
      <c r="G8">
        <v>1292.48</v>
      </c>
      <c r="H8" t="s">
        <v>1</v>
      </c>
      <c r="I8" s="22">
        <f t="shared" si="0"/>
        <v>3.0953044479032282E-4</v>
      </c>
      <c r="J8" s="22" t="str">
        <f t="shared" si="1"/>
        <v/>
      </c>
      <c r="L8" s="9"/>
      <c r="N8" s="7" t="s">
        <v>5</v>
      </c>
      <c r="O8" s="23">
        <f>AVERAGEIF($H$2:$H$9140,"COP", $I$2:$I$9140)</f>
        <v>7.0820787514307539E-4</v>
      </c>
      <c r="P8" s="23" cm="1">
        <f t="array" ref="P8">_xlfn.STDEV.S(_xlfn._xlws.FILTER($I$2:$I$9140,$H$2:$H$9140="COP",""))</f>
        <v>1.0601044342793606E-2</v>
      </c>
      <c r="Q8" s="24" cm="1">
        <f t="array" ref="Q8">SKEW(_xlfn._xlws.FILTER($I$2:$I$9140,$H$2:$H$9140="COP"))</f>
        <v>-0.40058319238892526</v>
      </c>
      <c r="R8" s="24" cm="1">
        <f t="array" ref="R8">KURT(_xlfn._xlws.FILTER(I6:I9144,H6:H9144="COP"))</f>
        <v>1.3810881884380741</v>
      </c>
    </row>
    <row r="9" spans="1:18">
      <c r="A9" s="1">
        <v>40920</v>
      </c>
      <c r="B9">
        <v>1292.48</v>
      </c>
      <c r="C9">
        <v>1296.82</v>
      </c>
      <c r="D9">
        <v>1285.77</v>
      </c>
      <c r="E9">
        <v>1295.5</v>
      </c>
      <c r="F9">
        <v>4019890000</v>
      </c>
      <c r="G9">
        <v>1295.5</v>
      </c>
      <c r="H9" t="s">
        <v>1</v>
      </c>
      <c r="I9" s="22">
        <f t="shared" si="0"/>
        <v>2.3338676271165535E-3</v>
      </c>
      <c r="J9" s="22" t="str">
        <f t="shared" si="1"/>
        <v/>
      </c>
      <c r="L9" s="9"/>
      <c r="N9" s="7" t="s">
        <v>4</v>
      </c>
      <c r="O9" s="23">
        <f>AVERAGEIF($H$2:$H$9140,"CVX", $I$2:$I$9140)</f>
        <v>3.5272151978504081E-4</v>
      </c>
      <c r="P9" s="23" cm="1">
        <f t="array" ref="P9">_xlfn.STDEV.S(_xlfn._xlws.FILTER($I$2:$I$9140,$H$2:$H$9140="CVX",""))</f>
        <v>9.7607698564517714E-3</v>
      </c>
      <c r="Q9" s="24" cm="1">
        <f t="array" ref="Q9">SKEW(_xlfn._xlws.FILTER($I$2:$I$9140,$H$2:$H$9140="CVX"))</f>
        <v>-0.4593842471413373</v>
      </c>
      <c r="R9" s="24" cm="1">
        <f t="array" ref="R9">KURT(_xlfn._xlws.FILTER(I7:I9145,H7:H9145="CVX"))</f>
        <v>1.2906056982467007</v>
      </c>
    </row>
    <row r="10" spans="1:18">
      <c r="A10" s="1">
        <v>40921</v>
      </c>
      <c r="B10">
        <v>1294.82</v>
      </c>
      <c r="C10">
        <v>1294.82</v>
      </c>
      <c r="D10">
        <v>1277.58</v>
      </c>
      <c r="E10">
        <v>1289.0899999999999</v>
      </c>
      <c r="F10">
        <v>3692370000</v>
      </c>
      <c r="G10">
        <v>1289.0899999999999</v>
      </c>
      <c r="H10" t="s">
        <v>1</v>
      </c>
      <c r="I10" s="22">
        <f t="shared" si="0"/>
        <v>-4.9601779332832637E-3</v>
      </c>
      <c r="J10" s="22" t="str">
        <f t="shared" si="1"/>
        <v>lost money</v>
      </c>
      <c r="L10" s="9"/>
      <c r="N10" s="7" t="s">
        <v>14</v>
      </c>
      <c r="O10" s="23">
        <f>AVERAGEIF($H$2:$H$9140,"DIS", $I$2:$I$9140)</f>
        <v>1.3035929563605844E-3</v>
      </c>
      <c r="P10" s="23" cm="1">
        <f t="array" ref="P10">_xlfn.STDEV.S(_xlfn._xlws.FILTER($I$2:$I$9140,$H$2:$H$9140="DIS",""))</f>
        <v>1.1328096518929506E-2</v>
      </c>
      <c r="Q10" s="24" cm="1">
        <f t="array" ref="Q10">SKEW(_xlfn._xlws.FILTER($I$2:$I$9140,$H$2:$H$9140="DIS"))</f>
        <v>-0.31829182298350539</v>
      </c>
      <c r="R10" s="24" cm="1">
        <f t="array" ref="R10">KURT(_xlfn._xlws.FILTER(I8:I9146,H8:H9146="DIS"))</f>
        <v>2.0158953662693397</v>
      </c>
    </row>
    <row r="11" spans="1:18">
      <c r="A11" s="1">
        <v>40925</v>
      </c>
      <c r="B11">
        <v>1290.22</v>
      </c>
      <c r="C11">
        <v>1303</v>
      </c>
      <c r="D11">
        <v>1290.22</v>
      </c>
      <c r="E11">
        <v>1293.67</v>
      </c>
      <c r="F11">
        <v>4010490000</v>
      </c>
      <c r="G11">
        <v>1293.67</v>
      </c>
      <c r="H11" t="s">
        <v>1</v>
      </c>
      <c r="I11" s="22">
        <f t="shared" si="0"/>
        <v>3.5465972840967364E-3</v>
      </c>
      <c r="J11" s="22" t="str">
        <f t="shared" si="1"/>
        <v/>
      </c>
      <c r="L11" s="9"/>
      <c r="N11" s="7" t="s">
        <v>16</v>
      </c>
      <c r="O11" s="23">
        <f>AVERAGEIF($H$2:$H$9140,"FDX", $I$2:$I$9140)</f>
        <v>1.0378231707487834E-3</v>
      </c>
      <c r="P11" s="23" cm="1">
        <f t="array" ref="P11">_xlfn.STDEV.S(_xlfn._xlws.FILTER($I$2:$I$9140,$H$2:$H$9140="FDX",""))</f>
        <v>1.3683283831631787E-2</v>
      </c>
      <c r="Q11" s="24" cm="1">
        <f t="array" ref="Q11">SKEW(_xlfn._xlws.FILTER($I$2:$I$9140,$H$2:$H$9140="FDX"))</f>
        <v>-0.12674325956984578</v>
      </c>
      <c r="R11" s="24" cm="1">
        <f t="array" ref="R11">KURT(_xlfn._xlws.FILTER(I9:I9147,H9:H9147="FDX"))</f>
        <v>2.4411479128787184</v>
      </c>
    </row>
    <row r="12" spans="1:18">
      <c r="A12" s="1">
        <v>40926</v>
      </c>
      <c r="B12">
        <v>1293.6500000000001</v>
      </c>
      <c r="C12">
        <v>1308.1099999999999</v>
      </c>
      <c r="D12">
        <v>1290.99</v>
      </c>
      <c r="E12">
        <v>1308.04</v>
      </c>
      <c r="F12">
        <v>4096160000</v>
      </c>
      <c r="G12">
        <v>1308.04</v>
      </c>
      <c r="H12" t="s">
        <v>1</v>
      </c>
      <c r="I12" s="22">
        <f t="shared" si="0"/>
        <v>1.104669323633066E-2</v>
      </c>
      <c r="J12" s="22" t="str">
        <f t="shared" si="1"/>
        <v/>
      </c>
      <c r="L12" s="9"/>
      <c r="N12" s="7" t="s">
        <v>7</v>
      </c>
      <c r="O12" s="23">
        <f>AVERAGEIF($H$2:$H$9140,"IBM", $I$2:$I$9140)</f>
        <v>-5.796536954354268E-7</v>
      </c>
      <c r="P12" s="23" cm="1">
        <f t="array" ref="P12">_xlfn.STDEV.S(_xlfn._xlws.FILTER($I$2:$I$9140,$H$2:$H$9140="IBM",""))</f>
        <v>1.1086480910839887E-2</v>
      </c>
      <c r="Q12" s="24" cm="1">
        <f t="array" ref="Q12">SKEW(_xlfn._xlws.FILTER($I$2:$I$9140,$H$2:$H$9140="IBM"))</f>
        <v>-1.305908373342739</v>
      </c>
      <c r="R12" s="24" cm="1">
        <f t="array" ref="R12">KURT(_xlfn._xlws.FILTER(I10:I9148,H10:H9148="IBM"))</f>
        <v>11.258214509926805</v>
      </c>
    </row>
    <row r="13" spans="1:18">
      <c r="A13" s="1">
        <v>40927</v>
      </c>
      <c r="B13">
        <v>1308.07</v>
      </c>
      <c r="C13">
        <v>1315.49</v>
      </c>
      <c r="D13">
        <v>1308.07</v>
      </c>
      <c r="E13">
        <v>1314.5</v>
      </c>
      <c r="F13">
        <v>4465890000</v>
      </c>
      <c r="G13">
        <v>1314.5</v>
      </c>
      <c r="H13" t="s">
        <v>1</v>
      </c>
      <c r="I13" s="22">
        <f t="shared" si="0"/>
        <v>4.9265315806270226E-3</v>
      </c>
      <c r="J13" s="22" t="str">
        <f t="shared" si="1"/>
        <v/>
      </c>
      <c r="L13" s="9"/>
      <c r="N13" s="7" t="s">
        <v>17</v>
      </c>
      <c r="O13" s="23">
        <f>AVERAGEIF($H$2:$H$9140,"JBLU", $I$2:$I$9140)</f>
        <v>1.1495262718216571E-3</v>
      </c>
      <c r="P13" s="23" cm="1">
        <f t="array" ref="P13">_xlfn.STDEV.S(_xlfn._xlws.FILTER($I$2:$I$9140,$H$2:$H$9140="JBLU",""))</f>
        <v>2.1219937611086665E-2</v>
      </c>
      <c r="Q13" s="24" cm="1">
        <f t="array" ref="Q13">SKEW(_xlfn._xlws.FILTER($I$2:$I$9140,$H$2:$H$9140="JBLU"))</f>
        <v>-0.10766383916768227</v>
      </c>
      <c r="R13" s="24" cm="1">
        <f t="array" ref="R13">KURT(_xlfn._xlws.FILTER(I11:I9149,H11:H9149="JBLU"))</f>
        <v>2.4136582630585108</v>
      </c>
    </row>
    <row r="14" spans="1:18">
      <c r="A14" s="1">
        <v>40928</v>
      </c>
      <c r="B14">
        <v>1314.49</v>
      </c>
      <c r="C14">
        <v>1315.38</v>
      </c>
      <c r="D14">
        <v>1309.17</v>
      </c>
      <c r="E14">
        <v>1315.38</v>
      </c>
      <c r="F14">
        <v>3912620000</v>
      </c>
      <c r="G14">
        <v>1315.38</v>
      </c>
      <c r="H14" t="s">
        <v>1</v>
      </c>
      <c r="I14" s="22">
        <f t="shared" si="0"/>
        <v>6.6923208119318213E-4</v>
      </c>
      <c r="J14" s="22" t="str">
        <f t="shared" si="1"/>
        <v/>
      </c>
      <c r="L14" s="9"/>
      <c r="N14" s="7" t="s">
        <v>9</v>
      </c>
      <c r="O14" s="23">
        <f>AVERAGEIF($H$2:$H$9140,"JPM", $I$2:$I$9140)</f>
        <v>1.1439031014230071E-3</v>
      </c>
      <c r="P14" s="23" cm="1">
        <f t="array" ref="P14">_xlfn.STDEV.S(_xlfn._xlws.FILTER($I$2:$I$9140,$H$2:$H$9140="JPM",""))</f>
        <v>1.5395293744877352E-2</v>
      </c>
      <c r="Q14" s="24" cm="1">
        <f t="array" ref="Q14">SKEW(_xlfn._xlws.FILTER($I$2:$I$9140,$H$2:$H$9140="JPM"))</f>
        <v>-0.38392476625261646</v>
      </c>
      <c r="R14" s="24" cm="1">
        <f t="array" ref="R14">KURT(_xlfn._xlws.FILTER(I12:I9150,H12:H9150="JPM"))</f>
        <v>4.5623368965124556</v>
      </c>
    </row>
    <row r="15" spans="1:18">
      <c r="A15" s="1">
        <v>40931</v>
      </c>
      <c r="B15">
        <v>1315.29</v>
      </c>
      <c r="C15">
        <v>1322.28</v>
      </c>
      <c r="D15">
        <v>1309.8900000000001</v>
      </c>
      <c r="E15">
        <v>1316</v>
      </c>
      <c r="F15">
        <v>3770910000</v>
      </c>
      <c r="G15">
        <v>1316</v>
      </c>
      <c r="H15" t="s">
        <v>1</v>
      </c>
      <c r="I15" s="22">
        <f t="shared" si="0"/>
        <v>4.7123563413351943E-4</v>
      </c>
      <c r="J15" s="22" t="str">
        <f t="shared" si="1"/>
        <v/>
      </c>
      <c r="L15" s="9"/>
      <c r="N15" s="7" t="s">
        <v>10</v>
      </c>
      <c r="O15" s="23">
        <f>AVERAGEIF($H$2:$H$9140,"KO", $I$2:$I$9140)</f>
        <v>4.005705795708626E-4</v>
      </c>
      <c r="P15" s="23" cm="1">
        <f t="array" ref="P15">_xlfn.STDEV.S(_xlfn._xlws.FILTER($I$2:$I$9140,$H$2:$H$9140="KO",""))</f>
        <v>9.0259242348152552E-3</v>
      </c>
      <c r="Q15" s="24" cm="1">
        <f t="array" ref="Q15">SKEW(_xlfn._xlws.FILTER($I$2:$I$9140,$H$2:$H$9140="KO"))</f>
        <v>0.44676299996132945</v>
      </c>
      <c r="R15" s="24" cm="1">
        <f t="array" ref="R15">KURT(_xlfn._xlws.FILTER(I13:I9151,H13:H9151="KO"))</f>
        <v>3.3598818308091198</v>
      </c>
    </row>
    <row r="16" spans="1:18">
      <c r="A16" s="1">
        <v>40932</v>
      </c>
      <c r="B16">
        <v>1315.96</v>
      </c>
      <c r="C16">
        <v>1315.96</v>
      </c>
      <c r="D16">
        <v>1306.06</v>
      </c>
      <c r="E16">
        <v>1314.65</v>
      </c>
      <c r="F16">
        <v>3693560000</v>
      </c>
      <c r="G16">
        <v>1314.65</v>
      </c>
      <c r="H16" t="s">
        <v>1</v>
      </c>
      <c r="I16" s="22">
        <f t="shared" si="0"/>
        <v>-1.026362395993147E-3</v>
      </c>
      <c r="J16" s="22" t="str">
        <f t="shared" si="1"/>
        <v>lost money</v>
      </c>
      <c r="L16" s="9"/>
      <c r="N16" s="7" t="s">
        <v>13</v>
      </c>
      <c r="O16" s="23">
        <f>AVERAGEIF($H$2:$H$9140,"MCD", $I$2:$I$9140)</f>
        <v>1.0149640839031151E-4</v>
      </c>
      <c r="P16" s="23" cm="1">
        <f t="array" ref="P16">_xlfn.STDEV.S(_xlfn._xlws.FILTER($I$2:$I$9140,$H$2:$H$9140="MCD",""))</f>
        <v>8.2159624755312535E-3</v>
      </c>
      <c r="Q16" s="24" cm="1">
        <f t="array" ref="Q16">SKEW(_xlfn._xlws.FILTER($I$2:$I$9140,$H$2:$H$9140="MCD"))</f>
        <v>-0.85983157284783063</v>
      </c>
      <c r="R16" s="24" cm="1">
        <f t="array" ref="R16">KURT(_xlfn._xlws.FILTER(I14:I9152,H14:H9152="MCD"))</f>
        <v>2.9310902238354553</v>
      </c>
    </row>
    <row r="17" spans="1:21">
      <c r="A17" s="1">
        <v>40933</v>
      </c>
      <c r="B17">
        <v>1314.4</v>
      </c>
      <c r="C17">
        <v>1328.3</v>
      </c>
      <c r="D17">
        <v>1307.6500000000001</v>
      </c>
      <c r="E17">
        <v>1326.06</v>
      </c>
      <c r="F17">
        <v>4410910000</v>
      </c>
      <c r="G17">
        <v>1326.06</v>
      </c>
      <c r="H17" t="s">
        <v>1</v>
      </c>
      <c r="I17" s="22">
        <f t="shared" si="0"/>
        <v>8.6416691016175592E-3</v>
      </c>
      <c r="J17" s="22" t="str">
        <f t="shared" si="1"/>
        <v/>
      </c>
      <c r="L17" s="9"/>
      <c r="N17" s="7" t="s">
        <v>6</v>
      </c>
      <c r="O17" s="23">
        <f>AVERAGEIF($H$2:$H$9140,"MSFT", $I$2:$I$9140)</f>
        <v>8.5704885931118635E-4</v>
      </c>
      <c r="P17" s="23" cm="1">
        <f t="array" ref="P17">_xlfn.STDEV.S(_xlfn._xlws.FILTER($I$2:$I$9140,$H$2:$H$9140="MSFT",""))</f>
        <v>1.4583152319517083E-2</v>
      </c>
      <c r="Q17" s="24" cm="1">
        <f t="array" ref="Q17">SKEW(_xlfn._xlws.FILTER($I$2:$I$9140,$H$2:$H$9140="MSFT"))</f>
        <v>-0.68631259468587591</v>
      </c>
      <c r="R17" s="24" cm="1">
        <f t="array" ref="R17">KURT(_xlfn._xlws.FILTER(I15:I9153,H15:H9153="MSFT"))</f>
        <v>11.605612438415484</v>
      </c>
    </row>
    <row r="18" spans="1:21">
      <c r="A18" s="1">
        <v>40934</v>
      </c>
      <c r="B18">
        <v>1326.28</v>
      </c>
      <c r="C18">
        <v>1333.47</v>
      </c>
      <c r="D18">
        <v>1313.6</v>
      </c>
      <c r="E18">
        <v>1318.43</v>
      </c>
      <c r="F18">
        <v>4522070000</v>
      </c>
      <c r="G18">
        <v>1318.43</v>
      </c>
      <c r="H18" t="s">
        <v>1</v>
      </c>
      <c r="I18" s="22">
        <f t="shared" si="0"/>
        <v>-5.7705048401983719E-3</v>
      </c>
      <c r="J18" s="22" t="str">
        <f t="shared" si="1"/>
        <v>lost money</v>
      </c>
      <c r="L18" s="9"/>
      <c r="N18" s="7" t="s">
        <v>8</v>
      </c>
      <c r="O18" s="23">
        <f>AVERAGEIF($H$2:$H$9140,"ORCL", $I$2:$I$9140)</f>
        <v>6.917660450758285E-4</v>
      </c>
      <c r="P18" s="23" cm="1">
        <f t="array" ref="P18">_xlfn.STDEV.S(_xlfn._xlws.FILTER($I$2:$I$9140,$H$2:$H$9140="ORCL",""))</f>
        <v>1.3699121203747862E-2</v>
      </c>
      <c r="Q18" s="24" cm="1">
        <f t="array" ref="Q18">SKEW(_xlfn._xlws.FILTER($I$2:$I$9140,$H$2:$H$9140="ORCL"))</f>
        <v>-1.5105247238433768</v>
      </c>
      <c r="R18" s="24" cm="1">
        <f t="array" ref="R18">KURT(_xlfn._xlws.FILTER(I16:I9154,H16:H9154="ORCL"))</f>
        <v>11.379522229301692</v>
      </c>
    </row>
    <row r="19" spans="1:21">
      <c r="A19" s="1">
        <v>40935</v>
      </c>
      <c r="B19">
        <v>1318.25</v>
      </c>
      <c r="C19">
        <v>1320.06</v>
      </c>
      <c r="D19">
        <v>1311.72</v>
      </c>
      <c r="E19">
        <v>1316.33</v>
      </c>
      <c r="F19">
        <v>4007380000</v>
      </c>
      <c r="G19">
        <v>1316.33</v>
      </c>
      <c r="H19" t="s">
        <v>1</v>
      </c>
      <c r="I19" s="22">
        <f t="shared" si="0"/>
        <v>-1.5940734220098644E-3</v>
      </c>
      <c r="J19" s="22" t="str">
        <f t="shared" si="1"/>
        <v>lost money</v>
      </c>
      <c r="L19" s="9"/>
      <c r="N19" s="7" t="s">
        <v>12</v>
      </c>
      <c r="O19" s="23">
        <f>AVERAGEIF($H$2:$H$9140,"PG", $I$2:$I$9140)</f>
        <v>6.1476395235404138E-4</v>
      </c>
      <c r="P19" s="23" cm="1">
        <f t="array" ref="P19">_xlfn.STDEV.S(_xlfn._xlws.FILTER($I$2:$I$9140,$H$2:$H$9140="PG",""))</f>
        <v>9.2286986052969276E-3</v>
      </c>
      <c r="Q19" s="24" cm="1">
        <f t="array" ref="Q19">SKEW(_xlfn._xlws.FILTER($I$2:$I$9140,$H$2:$H$9140="PG"))</f>
        <v>-0.30701783847906439</v>
      </c>
      <c r="R19" s="24" cm="1">
        <f t="array" ref="R19">KURT(_xlfn._xlws.FILTER(I17:I9155,H17:H9155="PG"))</f>
        <v>6.4164804403852171</v>
      </c>
    </row>
    <row r="20" spans="1:21">
      <c r="A20" s="1">
        <v>40938</v>
      </c>
      <c r="B20">
        <v>1316.16</v>
      </c>
      <c r="C20">
        <v>1316.16</v>
      </c>
      <c r="D20">
        <v>1300.49</v>
      </c>
      <c r="E20">
        <v>1313.01</v>
      </c>
      <c r="F20">
        <v>3659010000</v>
      </c>
      <c r="G20">
        <v>1313.01</v>
      </c>
      <c r="H20" t="s">
        <v>1</v>
      </c>
      <c r="I20" s="22">
        <f t="shared" si="0"/>
        <v>-2.5253499086551E-3</v>
      </c>
      <c r="J20" s="22" t="str">
        <f t="shared" si="1"/>
        <v>lost money</v>
      </c>
      <c r="L20" s="9"/>
      <c r="N20" s="7" t="s">
        <v>18</v>
      </c>
      <c r="O20" s="23">
        <f>AVERAGEIF($H$2:$H$9140,"UPS", $I$2:$I$9140)</f>
        <v>7.9296833806590092E-4</v>
      </c>
      <c r="P20" s="23" cm="1">
        <f t="array" ref="P20">_xlfn.STDEV.S(_xlfn._xlws.FILTER($I$2:$I$9140,$H$2:$H$9140="UPS",""))</f>
        <v>9.097329475337302E-3</v>
      </c>
      <c r="Q20" s="24" cm="1">
        <f t="array" ref="Q20">SKEW(_xlfn._xlws.FILTER($I$2:$I$9140,$H$2:$H$9140="UPS"))</f>
        <v>-0.67894009442901559</v>
      </c>
      <c r="R20" s="24" cm="1">
        <f t="array" ref="R20">KURT(_xlfn._xlws.FILTER(I18:I9156,H18:H9156="UPS"))</f>
        <v>6.111251636705668</v>
      </c>
    </row>
    <row r="21" spans="1:21">
      <c r="A21" s="1">
        <v>40939</v>
      </c>
      <c r="B21">
        <v>1313.53</v>
      </c>
      <c r="C21">
        <v>1321.41</v>
      </c>
      <c r="D21">
        <v>1306.69</v>
      </c>
      <c r="E21">
        <v>1312.41</v>
      </c>
      <c r="F21">
        <v>4235550000</v>
      </c>
      <c r="G21">
        <v>1312.41</v>
      </c>
      <c r="H21" t="s">
        <v>1</v>
      </c>
      <c r="I21" s="22">
        <f t="shared" si="0"/>
        <v>-4.5706973394398057E-4</v>
      </c>
      <c r="J21" s="22" t="str">
        <f t="shared" si="1"/>
        <v>lost money</v>
      </c>
      <c r="L21" s="9"/>
      <c r="N21" s="7" t="s">
        <v>11</v>
      </c>
      <c r="O21" s="23">
        <f>AVERAGEIF($H$2:$H$9140,"WMT", $I$2:$I$9140)</f>
        <v>7.0310600604928943E-4</v>
      </c>
      <c r="P21" s="23" cm="1">
        <f t="array" ref="P21">_xlfn.STDEV.S(_xlfn._xlws.FILTER($I$2:$I$9140,$H$2:$H$9140="WMT",""))</f>
        <v>9.2135243785848725E-3</v>
      </c>
      <c r="Q21" s="24" cm="1">
        <f t="array" ref="Q21">SKEW(_xlfn._xlws.FILTER($I$2:$I$9140,$H$2:$H$9140="WMT"))</f>
        <v>-0.48554423399721719</v>
      </c>
      <c r="R21" s="24" cm="1">
        <f t="array" ref="R21">KURT(_xlfn._xlws.FILTER(I19:I9157,H19:H9157="WMT"))</f>
        <v>3.8497245279989984</v>
      </c>
    </row>
    <row r="22" spans="1:21">
      <c r="A22" s="1">
        <v>40940</v>
      </c>
      <c r="B22">
        <v>1312.45</v>
      </c>
      <c r="C22">
        <v>1330.52</v>
      </c>
      <c r="D22">
        <v>1312.45</v>
      </c>
      <c r="E22">
        <v>1324.09</v>
      </c>
      <c r="F22">
        <v>4504360000</v>
      </c>
      <c r="G22">
        <v>1324.09</v>
      </c>
      <c r="H22" t="s">
        <v>1</v>
      </c>
      <c r="I22" s="22">
        <f t="shared" si="0"/>
        <v>8.860289331437619E-3</v>
      </c>
      <c r="J22" s="22" t="str">
        <f t="shared" si="1"/>
        <v/>
      </c>
      <c r="L22" s="9"/>
      <c r="N22" s="7" t="s">
        <v>3</v>
      </c>
      <c r="O22" s="23">
        <f>AVERAGEIF($H$2:$H$9140,"XOM", $I$2:$I$9140)</f>
        <v>2.821420244354421E-4</v>
      </c>
      <c r="P22" s="23" cm="1">
        <f t="array" ref="P22">_xlfn.STDEV.S(_xlfn._xlws.FILTER($I$2:$I$9140,$H$2:$H$9140="XOM",""))</f>
        <v>8.6616018364640886E-3</v>
      </c>
      <c r="Q22" s="24" cm="1">
        <f t="array" ref="Q22">SKEW(_xlfn._xlws.FILTER($I$2:$I$9140,$H$2:$H$9140="XOM"))</f>
        <v>-9.2606451604328233E-2</v>
      </c>
      <c r="R22" s="24" cm="1">
        <f t="array" ref="R22">KURT(_xlfn._xlws.FILTER(I20:I9158,H20:H9158="XOM"))</f>
        <v>1.3118222606915246</v>
      </c>
    </row>
    <row r="23" spans="1:21">
      <c r="A23" s="1">
        <v>40941</v>
      </c>
      <c r="B23">
        <v>1324.24</v>
      </c>
      <c r="C23">
        <v>1329.19</v>
      </c>
      <c r="D23">
        <v>1321.57</v>
      </c>
      <c r="E23">
        <v>1325.54</v>
      </c>
      <c r="F23">
        <v>4120920000</v>
      </c>
      <c r="G23">
        <v>1325.54</v>
      </c>
      <c r="H23" t="s">
        <v>1</v>
      </c>
      <c r="I23" s="22">
        <f t="shared" si="0"/>
        <v>1.0944925478258915E-3</v>
      </c>
      <c r="J23" s="22" t="str">
        <f t="shared" si="1"/>
        <v/>
      </c>
    </row>
    <row r="24" spans="1:21">
      <c r="A24" s="1">
        <v>40942</v>
      </c>
      <c r="B24">
        <v>1326.21</v>
      </c>
      <c r="C24">
        <v>1345.34</v>
      </c>
      <c r="D24">
        <v>1326.21</v>
      </c>
      <c r="E24">
        <v>1344.9</v>
      </c>
      <c r="F24">
        <v>4608550000</v>
      </c>
      <c r="G24">
        <v>1344.9</v>
      </c>
      <c r="H24" t="s">
        <v>1</v>
      </c>
      <c r="I24" s="22">
        <f t="shared" si="0"/>
        <v>1.4499737264160701E-2</v>
      </c>
      <c r="J24" s="22" t="str">
        <f t="shared" si="1"/>
        <v/>
      </c>
      <c r="K24" s="2"/>
      <c r="L24" s="29" t="s">
        <v>8</v>
      </c>
      <c r="M24" s="30" t="s">
        <v>33</v>
      </c>
      <c r="N24" s="30" t="s">
        <v>34</v>
      </c>
      <c r="O24" s="2" t="s">
        <v>37</v>
      </c>
    </row>
    <row r="25" spans="1:21">
      <c r="A25" s="1">
        <v>40945</v>
      </c>
      <c r="B25">
        <v>1344.32</v>
      </c>
      <c r="C25">
        <v>1344.36</v>
      </c>
      <c r="D25">
        <v>1337.52</v>
      </c>
      <c r="E25">
        <v>1344.33</v>
      </c>
      <c r="F25">
        <v>3379700000</v>
      </c>
      <c r="G25">
        <v>1344.33</v>
      </c>
      <c r="H25" t="s">
        <v>1</v>
      </c>
      <c r="I25" s="22">
        <f t="shared" si="0"/>
        <v>-4.2391317108323237E-4</v>
      </c>
      <c r="J25" s="22" t="str">
        <f t="shared" si="1"/>
        <v/>
      </c>
      <c r="K25" s="9" t="s">
        <v>35</v>
      </c>
      <c r="L25" s="31" cm="1">
        <f t="array" ref="L25">MAX(IF($H$2:$H$9140="ORCL",$I$2:$I$9140))</f>
        <v>5.2903731815468751E-2</v>
      </c>
      <c r="M25" s="32">
        <f>-0.11</f>
        <v>-0.11</v>
      </c>
      <c r="N25" s="32" cm="1">
        <f t="array" ref="N25:N42">FREQUENCY(IF(H:H=L24,I:I,""),M25:M41)</f>
        <v>0</v>
      </c>
    </row>
    <row r="26" spans="1:21">
      <c r="A26" s="1">
        <v>40946</v>
      </c>
      <c r="B26">
        <v>1344.33</v>
      </c>
      <c r="C26">
        <v>1349.24</v>
      </c>
      <c r="D26">
        <v>1335.92</v>
      </c>
      <c r="E26">
        <v>1347.05</v>
      </c>
      <c r="F26">
        <v>3742460000</v>
      </c>
      <c r="G26">
        <v>1347.05</v>
      </c>
      <c r="H26" t="s">
        <v>1</v>
      </c>
      <c r="I26" s="22">
        <f t="shared" si="0"/>
        <v>2.0212685879011623E-3</v>
      </c>
      <c r="J26" s="22" t="str">
        <f t="shared" si="1"/>
        <v/>
      </c>
      <c r="K26" s="9" t="s">
        <v>36</v>
      </c>
      <c r="L26" s="31" cm="1">
        <f t="array" ref="L26">MIN(IF($H$2:$H$9140="ORCL",$I$2:$I$9140))</f>
        <v>-0.10194417345929814</v>
      </c>
      <c r="M26" s="33">
        <f>M25+0.01</f>
        <v>-0.1</v>
      </c>
      <c r="N26" s="33">
        <v>1</v>
      </c>
      <c r="O26" s="18"/>
      <c r="P26" s="13"/>
      <c r="Q26" s="13"/>
      <c r="R26" s="13"/>
      <c r="S26" s="13"/>
      <c r="T26" s="13"/>
      <c r="U26" s="13"/>
    </row>
    <row r="27" spans="1:21">
      <c r="A27" s="1">
        <v>40947</v>
      </c>
      <c r="B27">
        <v>1347.04</v>
      </c>
      <c r="C27">
        <v>1351</v>
      </c>
      <c r="D27">
        <v>1341.95</v>
      </c>
      <c r="E27">
        <v>1349.96</v>
      </c>
      <c r="F27">
        <v>4096730000</v>
      </c>
      <c r="G27">
        <v>1349.96</v>
      </c>
      <c r="H27" t="s">
        <v>1</v>
      </c>
      <c r="I27" s="22">
        <f t="shared" si="0"/>
        <v>2.1579461175579256E-3</v>
      </c>
      <c r="J27" s="22" t="str">
        <f t="shared" si="1"/>
        <v/>
      </c>
      <c r="M27" s="33">
        <f t="shared" ref="M27:M38" si="2">M26+0.01</f>
        <v>-9.0000000000000011E-2</v>
      </c>
      <c r="N27" s="34">
        <v>1</v>
      </c>
      <c r="O27" s="19"/>
      <c r="P27" s="15"/>
      <c r="Q27" s="15"/>
      <c r="R27" s="15"/>
      <c r="S27" s="15"/>
      <c r="T27" s="15"/>
      <c r="U27" s="15"/>
    </row>
    <row r="28" spans="1:21">
      <c r="A28" s="1">
        <v>40948</v>
      </c>
      <c r="B28">
        <v>1349.97</v>
      </c>
      <c r="C28">
        <v>1354.32</v>
      </c>
      <c r="D28">
        <v>1344.63</v>
      </c>
      <c r="E28">
        <v>1351.95</v>
      </c>
      <c r="F28">
        <v>4209890000</v>
      </c>
      <c r="G28">
        <v>1351.95</v>
      </c>
      <c r="H28" t="s">
        <v>1</v>
      </c>
      <c r="I28" s="22">
        <f t="shared" si="0"/>
        <v>1.4730323066491182E-3</v>
      </c>
      <c r="J28" s="22" t="str">
        <f t="shared" si="1"/>
        <v/>
      </c>
      <c r="M28" s="33">
        <f t="shared" si="2"/>
        <v>-8.0000000000000016E-2</v>
      </c>
      <c r="N28" s="34">
        <v>0</v>
      </c>
      <c r="O28" s="19"/>
      <c r="P28" s="15"/>
      <c r="Q28" s="15"/>
      <c r="R28" s="15"/>
      <c r="S28" s="15"/>
      <c r="T28" s="15"/>
      <c r="U28" s="15"/>
    </row>
    <row r="29" spans="1:21">
      <c r="A29" s="1">
        <v>40949</v>
      </c>
      <c r="B29">
        <v>1351.21</v>
      </c>
      <c r="C29">
        <v>1351.21</v>
      </c>
      <c r="D29">
        <v>1337.35</v>
      </c>
      <c r="E29">
        <v>1342.64</v>
      </c>
      <c r="F29">
        <v>3877580000</v>
      </c>
      <c r="G29">
        <v>1342.64</v>
      </c>
      <c r="H29" t="s">
        <v>1</v>
      </c>
      <c r="I29" s="22">
        <f t="shared" si="0"/>
        <v>-6.9101696706045917E-3</v>
      </c>
      <c r="J29" s="22" t="str">
        <f t="shared" si="1"/>
        <v>lost money</v>
      </c>
      <c r="M29" s="33">
        <f t="shared" si="2"/>
        <v>-7.0000000000000021E-2</v>
      </c>
      <c r="N29" s="34">
        <v>0</v>
      </c>
      <c r="O29" s="19"/>
      <c r="P29" s="15"/>
      <c r="Q29" s="15"/>
      <c r="R29" s="15"/>
      <c r="S29" s="15"/>
      <c r="T29" s="15"/>
      <c r="U29" s="15"/>
    </row>
    <row r="30" spans="1:21">
      <c r="A30" s="1">
        <v>40952</v>
      </c>
      <c r="B30">
        <v>1343.06</v>
      </c>
      <c r="C30">
        <v>1353.35</v>
      </c>
      <c r="D30">
        <v>1343.06</v>
      </c>
      <c r="E30">
        <v>1351.77</v>
      </c>
      <c r="F30">
        <v>3618040000</v>
      </c>
      <c r="G30">
        <v>1351.77</v>
      </c>
      <c r="H30" t="s">
        <v>1</v>
      </c>
      <c r="I30" s="22">
        <f t="shared" si="0"/>
        <v>6.7770197880235375E-3</v>
      </c>
      <c r="J30" s="22" t="str">
        <f t="shared" si="1"/>
        <v/>
      </c>
      <c r="M30" s="33">
        <f t="shared" si="2"/>
        <v>-6.0000000000000019E-2</v>
      </c>
      <c r="N30" s="34">
        <v>0</v>
      </c>
      <c r="O30" s="19"/>
      <c r="P30" s="15"/>
      <c r="Q30" s="15"/>
      <c r="R30" s="15"/>
      <c r="S30" s="15"/>
      <c r="T30" s="15"/>
      <c r="U30" s="15"/>
    </row>
    <row r="31" spans="1:21">
      <c r="A31" s="1">
        <v>40953</v>
      </c>
      <c r="B31">
        <v>1351.3</v>
      </c>
      <c r="C31">
        <v>1351.3</v>
      </c>
      <c r="D31">
        <v>1340.83</v>
      </c>
      <c r="E31">
        <v>1350.5</v>
      </c>
      <c r="F31">
        <v>3889520000</v>
      </c>
      <c r="G31">
        <v>1350.5</v>
      </c>
      <c r="H31" t="s">
        <v>1</v>
      </c>
      <c r="I31" s="22">
        <f t="shared" si="0"/>
        <v>-9.3995055527716274E-4</v>
      </c>
      <c r="J31" s="22" t="str">
        <f t="shared" si="1"/>
        <v>lost money</v>
      </c>
      <c r="M31" s="33">
        <f t="shared" si="2"/>
        <v>-5.0000000000000017E-2</v>
      </c>
      <c r="N31" s="34">
        <v>0</v>
      </c>
      <c r="O31" s="19"/>
      <c r="P31" s="15"/>
      <c r="Q31" s="15"/>
      <c r="R31" s="15"/>
      <c r="S31" s="15"/>
      <c r="T31" s="15"/>
      <c r="U31" s="15"/>
    </row>
    <row r="32" spans="1:21">
      <c r="A32" s="1">
        <v>40954</v>
      </c>
      <c r="B32">
        <v>1350.52</v>
      </c>
      <c r="C32">
        <v>1355.87</v>
      </c>
      <c r="D32">
        <v>1340.8</v>
      </c>
      <c r="E32">
        <v>1343.23</v>
      </c>
      <c r="F32">
        <v>4080340000</v>
      </c>
      <c r="G32">
        <v>1343.23</v>
      </c>
      <c r="H32" t="s">
        <v>1</v>
      </c>
      <c r="I32" s="22">
        <f t="shared" si="0"/>
        <v>-5.3977329957059358E-3</v>
      </c>
      <c r="J32" s="22" t="str">
        <f t="shared" si="1"/>
        <v>lost money</v>
      </c>
      <c r="M32" s="33">
        <f t="shared" si="2"/>
        <v>-4.0000000000000015E-2</v>
      </c>
      <c r="N32" s="34">
        <v>0</v>
      </c>
      <c r="O32" s="19"/>
      <c r="P32" s="15"/>
      <c r="Q32" s="15"/>
      <c r="R32" s="15"/>
      <c r="S32" s="15"/>
      <c r="T32" s="15"/>
      <c r="U32" s="15"/>
    </row>
    <row r="33" spans="1:21">
      <c r="A33" s="1">
        <v>40955</v>
      </c>
      <c r="B33">
        <v>1342.61</v>
      </c>
      <c r="C33">
        <v>1359.02</v>
      </c>
      <c r="D33">
        <v>1341.22</v>
      </c>
      <c r="E33">
        <v>1358.04</v>
      </c>
      <c r="F33">
        <v>4108880000</v>
      </c>
      <c r="G33">
        <v>1358.04</v>
      </c>
      <c r="H33" t="s">
        <v>1</v>
      </c>
      <c r="I33" s="22">
        <f t="shared" si="0"/>
        <v>1.0965322528886171E-2</v>
      </c>
      <c r="J33" s="22" t="str">
        <f t="shared" si="1"/>
        <v/>
      </c>
      <c r="M33" s="33">
        <f t="shared" si="2"/>
        <v>-3.0000000000000013E-2</v>
      </c>
      <c r="N33" s="34">
        <v>2</v>
      </c>
      <c r="O33" s="19"/>
      <c r="P33" s="15"/>
      <c r="Q33" s="15"/>
      <c r="R33" s="15"/>
      <c r="S33" s="15"/>
      <c r="T33" s="15"/>
      <c r="U33" s="15"/>
    </row>
    <row r="34" spans="1:21">
      <c r="A34" s="1">
        <v>40956</v>
      </c>
      <c r="B34">
        <v>1358.06</v>
      </c>
      <c r="C34">
        <v>1363.4</v>
      </c>
      <c r="D34">
        <v>1357.24</v>
      </c>
      <c r="E34">
        <v>1361.23</v>
      </c>
      <c r="F34">
        <v>3717640000</v>
      </c>
      <c r="G34">
        <v>1361.23</v>
      </c>
      <c r="H34" t="s">
        <v>1</v>
      </c>
      <c r="I34" s="22">
        <f t="shared" si="0"/>
        <v>2.3462189950568782E-3</v>
      </c>
      <c r="J34" s="22" t="str">
        <f t="shared" si="1"/>
        <v/>
      </c>
      <c r="M34" s="33">
        <f t="shared" si="2"/>
        <v>-2.0000000000000011E-2</v>
      </c>
      <c r="N34" s="34">
        <v>21</v>
      </c>
      <c r="O34" s="19"/>
      <c r="P34" s="15"/>
      <c r="Q34" s="15"/>
      <c r="R34" s="15"/>
      <c r="S34" s="15"/>
      <c r="T34" s="15"/>
      <c r="U34" s="15"/>
    </row>
    <row r="35" spans="1:21">
      <c r="A35" s="1">
        <v>40960</v>
      </c>
      <c r="B35">
        <v>1361.22</v>
      </c>
      <c r="C35">
        <v>1367.76</v>
      </c>
      <c r="D35">
        <v>1358.11</v>
      </c>
      <c r="E35">
        <v>1362.21</v>
      </c>
      <c r="F35">
        <v>3795200000</v>
      </c>
      <c r="G35">
        <v>1362.21</v>
      </c>
      <c r="H35" t="s">
        <v>1</v>
      </c>
      <c r="I35" s="22">
        <f t="shared" si="0"/>
        <v>7.1967808528795797E-4</v>
      </c>
      <c r="J35" s="22" t="str">
        <f t="shared" si="1"/>
        <v/>
      </c>
      <c r="M35" s="33">
        <f t="shared" si="2"/>
        <v>-1.0000000000000011E-2</v>
      </c>
      <c r="N35" s="34">
        <v>60</v>
      </c>
      <c r="O35" s="19"/>
      <c r="P35" s="15"/>
      <c r="Q35" s="15"/>
      <c r="R35" s="15"/>
      <c r="S35" s="15"/>
      <c r="T35" s="15"/>
      <c r="U35" s="15"/>
    </row>
    <row r="36" spans="1:21">
      <c r="A36" s="1">
        <v>40961</v>
      </c>
      <c r="B36">
        <v>1362.11</v>
      </c>
      <c r="C36">
        <v>1362.7</v>
      </c>
      <c r="D36">
        <v>1355.53</v>
      </c>
      <c r="E36">
        <v>1357.66</v>
      </c>
      <c r="F36">
        <v>3633710000</v>
      </c>
      <c r="G36">
        <v>1357.66</v>
      </c>
      <c r="H36" t="s">
        <v>1</v>
      </c>
      <c r="I36" s="22">
        <f t="shared" si="0"/>
        <v>-3.34575126341362E-3</v>
      </c>
      <c r="J36" s="22" t="str">
        <f t="shared" si="1"/>
        <v>lost money</v>
      </c>
      <c r="M36" s="33">
        <f>M35+0.01</f>
        <v>0</v>
      </c>
      <c r="N36" s="34">
        <v>141</v>
      </c>
      <c r="O36" s="19"/>
      <c r="P36" s="15"/>
      <c r="Q36" s="15"/>
      <c r="R36" s="15"/>
      <c r="S36" s="15"/>
      <c r="T36" s="15"/>
      <c r="U36" s="15"/>
    </row>
    <row r="37" spans="1:21">
      <c r="A37" s="1">
        <v>40962</v>
      </c>
      <c r="B37">
        <v>1357.53</v>
      </c>
      <c r="C37">
        <v>1364.24</v>
      </c>
      <c r="D37">
        <v>1352.28</v>
      </c>
      <c r="E37">
        <v>1363.46</v>
      </c>
      <c r="F37">
        <v>3786450000</v>
      </c>
      <c r="G37">
        <v>1363.46</v>
      </c>
      <c r="H37" t="s">
        <v>1</v>
      </c>
      <c r="I37" s="22">
        <f t="shared" si="0"/>
        <v>4.262957005584894E-3</v>
      </c>
      <c r="J37" s="22" t="str">
        <f t="shared" si="1"/>
        <v/>
      </c>
      <c r="M37" s="33">
        <f t="shared" si="2"/>
        <v>0.01</v>
      </c>
      <c r="N37" s="34">
        <v>150</v>
      </c>
      <c r="O37" s="19"/>
      <c r="P37" s="15"/>
      <c r="Q37" s="15"/>
      <c r="R37" s="15"/>
      <c r="S37" s="15"/>
      <c r="T37" s="15"/>
      <c r="U37" s="15"/>
    </row>
    <row r="38" spans="1:21">
      <c r="A38" s="1">
        <v>40963</v>
      </c>
      <c r="B38">
        <v>1363.46</v>
      </c>
      <c r="C38">
        <v>1368.92</v>
      </c>
      <c r="D38">
        <v>1363.46</v>
      </c>
      <c r="E38">
        <v>1365.74</v>
      </c>
      <c r="F38">
        <v>3505360000</v>
      </c>
      <c r="G38">
        <v>1365.74</v>
      </c>
      <c r="H38" t="s">
        <v>1</v>
      </c>
      <c r="I38" s="22">
        <f t="shared" si="0"/>
        <v>1.6708196763969795E-3</v>
      </c>
      <c r="J38" s="22" t="str">
        <f t="shared" si="1"/>
        <v/>
      </c>
      <c r="M38" s="33">
        <f t="shared" si="2"/>
        <v>0.02</v>
      </c>
      <c r="N38" s="34">
        <v>81</v>
      </c>
      <c r="O38" s="19"/>
      <c r="P38" s="15"/>
      <c r="Q38" s="15"/>
      <c r="R38" s="15"/>
      <c r="S38" s="15"/>
      <c r="T38" s="15"/>
      <c r="U38" s="15"/>
    </row>
    <row r="39" spans="1:21">
      <c r="A39" s="1">
        <v>40966</v>
      </c>
      <c r="B39">
        <v>1365.2</v>
      </c>
      <c r="C39">
        <v>1371.94</v>
      </c>
      <c r="D39">
        <v>1354.92</v>
      </c>
      <c r="E39">
        <v>1367.59</v>
      </c>
      <c r="F39">
        <v>3648890000</v>
      </c>
      <c r="G39">
        <v>1367.59</v>
      </c>
      <c r="H39" t="s">
        <v>1</v>
      </c>
      <c r="I39" s="22">
        <f t="shared" si="0"/>
        <v>1.3536603940939738E-3</v>
      </c>
      <c r="J39" s="22" t="str">
        <f t="shared" si="1"/>
        <v/>
      </c>
      <c r="M39" s="33">
        <f>M38+0.01</f>
        <v>0.03</v>
      </c>
      <c r="N39" s="34">
        <v>17</v>
      </c>
      <c r="O39" s="19"/>
      <c r="P39" s="15"/>
      <c r="Q39" s="15"/>
      <c r="R39" s="15"/>
      <c r="S39" s="15"/>
      <c r="T39" s="15"/>
      <c r="U39" s="15"/>
    </row>
    <row r="40" spans="1:21">
      <c r="A40" s="1">
        <v>40967</v>
      </c>
      <c r="B40">
        <v>1367.56</v>
      </c>
      <c r="C40">
        <v>1373.09</v>
      </c>
      <c r="D40">
        <v>1365.97</v>
      </c>
      <c r="E40">
        <v>1372.18</v>
      </c>
      <c r="F40">
        <v>3579120000</v>
      </c>
      <c r="G40">
        <v>1372.18</v>
      </c>
      <c r="H40" t="s">
        <v>1</v>
      </c>
      <c r="I40" s="22">
        <f t="shared" si="0"/>
        <v>3.3506493568948885E-3</v>
      </c>
      <c r="J40" s="22" t="str">
        <f t="shared" si="1"/>
        <v/>
      </c>
      <c r="M40" s="33">
        <f>M39+0.01</f>
        <v>0.04</v>
      </c>
      <c r="N40" s="34">
        <v>4</v>
      </c>
      <c r="O40" s="19"/>
      <c r="P40" s="15"/>
      <c r="Q40" s="15"/>
      <c r="R40" s="15"/>
      <c r="S40" s="15"/>
      <c r="T40" s="15"/>
      <c r="U40" s="15"/>
    </row>
    <row r="41" spans="1:21">
      <c r="A41" s="1">
        <v>40968</v>
      </c>
      <c r="B41">
        <v>1372.2</v>
      </c>
      <c r="C41">
        <v>1378.04</v>
      </c>
      <c r="D41">
        <v>1363.81</v>
      </c>
      <c r="E41">
        <v>1365.68</v>
      </c>
      <c r="F41">
        <v>4482370000</v>
      </c>
      <c r="G41">
        <v>1365.68</v>
      </c>
      <c r="H41" t="s">
        <v>1</v>
      </c>
      <c r="I41" s="22">
        <f t="shared" si="0"/>
        <v>-4.7482429432547935E-3</v>
      </c>
      <c r="J41" s="22" t="str">
        <f t="shared" si="1"/>
        <v>lost money</v>
      </c>
      <c r="M41" s="33">
        <f>M40+0.01</f>
        <v>0.05</v>
      </c>
      <c r="N41" s="34">
        <v>1</v>
      </c>
      <c r="O41" s="19"/>
      <c r="P41" s="15"/>
      <c r="Q41" s="15"/>
      <c r="R41" s="15"/>
      <c r="S41" s="15"/>
      <c r="T41" s="15"/>
      <c r="U41" s="15"/>
    </row>
    <row r="42" spans="1:21">
      <c r="A42" s="1">
        <v>40969</v>
      </c>
      <c r="B42">
        <v>1365.9</v>
      </c>
      <c r="C42">
        <v>1376.17</v>
      </c>
      <c r="D42">
        <v>1365.9</v>
      </c>
      <c r="E42">
        <v>1374.09</v>
      </c>
      <c r="F42">
        <v>3919240000</v>
      </c>
      <c r="G42">
        <v>1374.09</v>
      </c>
      <c r="H42" t="s">
        <v>1</v>
      </c>
      <c r="I42" s="22">
        <f t="shared" si="0"/>
        <v>6.1392207480289963E-3</v>
      </c>
      <c r="J42" s="22" t="str">
        <f t="shared" si="1"/>
        <v/>
      </c>
      <c r="N42" s="34">
        <v>1</v>
      </c>
      <c r="O42" s="19"/>
      <c r="P42" s="15"/>
      <c r="Q42" s="15"/>
      <c r="R42" s="15"/>
      <c r="S42" s="15"/>
      <c r="T42" s="15"/>
      <c r="U42" s="15"/>
    </row>
    <row r="43" spans="1:21">
      <c r="A43" s="1">
        <v>40970</v>
      </c>
      <c r="B43">
        <v>1374.09</v>
      </c>
      <c r="C43">
        <v>1374.53</v>
      </c>
      <c r="D43">
        <v>1366.42</v>
      </c>
      <c r="E43">
        <v>1369.63</v>
      </c>
      <c r="F43">
        <v>3283490000</v>
      </c>
      <c r="G43">
        <v>1369.63</v>
      </c>
      <c r="H43" t="s">
        <v>1</v>
      </c>
      <c r="I43" s="22">
        <f t="shared" si="0"/>
        <v>-3.2510634673347419E-3</v>
      </c>
      <c r="J43" s="22" t="str">
        <f t="shared" si="1"/>
        <v>lost money</v>
      </c>
      <c r="N43" s="12"/>
      <c r="O43" s="19"/>
      <c r="P43" s="15"/>
      <c r="Q43" s="15"/>
      <c r="R43" s="15"/>
      <c r="S43" s="15"/>
      <c r="T43" s="15"/>
      <c r="U43" s="15"/>
    </row>
    <row r="44" spans="1:21">
      <c r="A44" s="1">
        <v>40973</v>
      </c>
      <c r="B44">
        <v>1369.59</v>
      </c>
      <c r="C44">
        <v>1369.59</v>
      </c>
      <c r="D44">
        <v>1359.13</v>
      </c>
      <c r="E44">
        <v>1364.33</v>
      </c>
      <c r="F44">
        <v>3429480000</v>
      </c>
      <c r="G44">
        <v>1364.33</v>
      </c>
      <c r="H44" t="s">
        <v>1</v>
      </c>
      <c r="I44" s="22">
        <f t="shared" si="0"/>
        <v>-3.877164727582936E-3</v>
      </c>
      <c r="J44" s="22" t="str">
        <f t="shared" si="1"/>
        <v>lost money</v>
      </c>
      <c r="N44" s="12"/>
      <c r="O44" s="19"/>
      <c r="P44" s="15"/>
      <c r="Q44" s="15"/>
      <c r="R44" s="15"/>
      <c r="S44" s="15"/>
      <c r="T44" s="15"/>
      <c r="U44" s="15"/>
    </row>
    <row r="45" spans="1:21">
      <c r="A45" s="1">
        <v>40974</v>
      </c>
      <c r="B45">
        <v>1363.63</v>
      </c>
      <c r="C45">
        <v>1363.63</v>
      </c>
      <c r="D45">
        <v>1340.03</v>
      </c>
      <c r="E45">
        <v>1343.36</v>
      </c>
      <c r="F45">
        <v>4191060000</v>
      </c>
      <c r="G45">
        <v>1343.36</v>
      </c>
      <c r="H45" t="s">
        <v>1</v>
      </c>
      <c r="I45" s="22">
        <f t="shared" si="0"/>
        <v>-1.5489527433395317E-2</v>
      </c>
      <c r="J45" s="22" t="str">
        <f t="shared" si="1"/>
        <v>lost money</v>
      </c>
      <c r="N45" s="12"/>
      <c r="O45" s="19"/>
      <c r="P45" s="15"/>
      <c r="Q45" s="15"/>
      <c r="R45" s="15"/>
      <c r="S45" s="15"/>
      <c r="T45" s="15"/>
      <c r="U45" s="15"/>
    </row>
    <row r="46" spans="1:21">
      <c r="A46" s="1">
        <v>40975</v>
      </c>
      <c r="B46">
        <v>1343.39</v>
      </c>
      <c r="C46">
        <v>1354.85</v>
      </c>
      <c r="D46">
        <v>1343.39</v>
      </c>
      <c r="E46">
        <v>1352.63</v>
      </c>
      <c r="F46">
        <v>3580380000</v>
      </c>
      <c r="G46">
        <v>1352.63</v>
      </c>
      <c r="H46" t="s">
        <v>1</v>
      </c>
      <c r="I46" s="22">
        <f t="shared" si="0"/>
        <v>6.8769072088010284E-3</v>
      </c>
      <c r="J46" s="22" t="str">
        <f t="shared" si="1"/>
        <v/>
      </c>
      <c r="N46" s="12"/>
      <c r="O46" s="19"/>
      <c r="P46" s="15"/>
      <c r="Q46" s="15"/>
      <c r="R46" s="15"/>
      <c r="S46" s="15"/>
      <c r="T46" s="15"/>
      <c r="U46" s="15"/>
    </row>
    <row r="47" spans="1:21">
      <c r="A47" s="1">
        <v>40976</v>
      </c>
      <c r="B47">
        <v>1352.65</v>
      </c>
      <c r="C47">
        <v>1368.72</v>
      </c>
      <c r="D47">
        <v>1352.65</v>
      </c>
      <c r="E47">
        <v>1365.91</v>
      </c>
      <c r="F47">
        <v>3543060000</v>
      </c>
      <c r="G47">
        <v>1365.91</v>
      </c>
      <c r="H47" t="s">
        <v>1</v>
      </c>
      <c r="I47" s="22">
        <f t="shared" si="0"/>
        <v>9.7700277612063294E-3</v>
      </c>
      <c r="J47" s="22" t="str">
        <f t="shared" si="1"/>
        <v/>
      </c>
      <c r="N47" s="12"/>
      <c r="O47" s="19"/>
      <c r="P47" s="15"/>
      <c r="Q47" s="15"/>
      <c r="R47" s="15"/>
      <c r="S47" s="15"/>
      <c r="T47" s="15"/>
      <c r="U47" s="15"/>
    </row>
    <row r="48" spans="1:21">
      <c r="A48" s="1">
        <v>40977</v>
      </c>
      <c r="B48">
        <v>1365.97</v>
      </c>
      <c r="C48">
        <v>1374.76</v>
      </c>
      <c r="D48">
        <v>1365.97</v>
      </c>
      <c r="E48">
        <v>1370.87</v>
      </c>
      <c r="F48">
        <v>3639470000</v>
      </c>
      <c r="G48">
        <v>1370.87</v>
      </c>
      <c r="H48" t="s">
        <v>1</v>
      </c>
      <c r="I48" s="22">
        <f t="shared" si="0"/>
        <v>3.6247016059477617E-3</v>
      </c>
      <c r="J48" s="22" t="str">
        <f t="shared" si="1"/>
        <v/>
      </c>
      <c r="N48" s="12"/>
      <c r="O48" s="19"/>
      <c r="P48" s="15"/>
      <c r="Q48" s="15"/>
      <c r="R48" s="15"/>
      <c r="S48" s="15"/>
      <c r="T48" s="15"/>
      <c r="U48" s="15"/>
    </row>
    <row r="49" spans="1:22">
      <c r="A49" s="1">
        <v>40980</v>
      </c>
      <c r="B49">
        <v>1370.78</v>
      </c>
      <c r="C49">
        <v>1373.04</v>
      </c>
      <c r="D49">
        <v>1366.69</v>
      </c>
      <c r="E49">
        <v>1371.09</v>
      </c>
      <c r="F49">
        <v>3081870000</v>
      </c>
      <c r="G49">
        <v>1371.09</v>
      </c>
      <c r="H49" t="s">
        <v>1</v>
      </c>
      <c r="I49" s="22">
        <f t="shared" si="0"/>
        <v>1.6046915379674782E-4</v>
      </c>
      <c r="J49" s="22" t="str">
        <f t="shared" si="1"/>
        <v/>
      </c>
      <c r="N49" s="12"/>
      <c r="O49" s="19"/>
      <c r="P49" s="15"/>
      <c r="Q49" s="15"/>
      <c r="R49" s="15"/>
      <c r="S49" s="15"/>
      <c r="T49" s="15"/>
      <c r="U49" s="15"/>
    </row>
    <row r="50" spans="1:22">
      <c r="A50" s="1">
        <v>40981</v>
      </c>
      <c r="B50">
        <v>1371.92</v>
      </c>
      <c r="C50">
        <v>1396.13</v>
      </c>
      <c r="D50">
        <v>1371.92</v>
      </c>
      <c r="E50">
        <v>1395.95</v>
      </c>
      <c r="F50">
        <v>4386470000</v>
      </c>
      <c r="G50">
        <v>1395.95</v>
      </c>
      <c r="H50" t="s">
        <v>1</v>
      </c>
      <c r="I50" s="22">
        <f t="shared" si="0"/>
        <v>1.796914314001119E-2</v>
      </c>
      <c r="J50" s="22" t="str">
        <f t="shared" si="1"/>
        <v/>
      </c>
      <c r="N50" s="12"/>
    </row>
    <row r="51" spans="1:22">
      <c r="A51" s="1">
        <v>40982</v>
      </c>
      <c r="B51">
        <v>1395.95</v>
      </c>
      <c r="C51">
        <v>1399.42</v>
      </c>
      <c r="D51">
        <v>1389.97</v>
      </c>
      <c r="E51">
        <v>1394.28</v>
      </c>
      <c r="F51">
        <v>4502280000</v>
      </c>
      <c r="G51">
        <v>1394.28</v>
      </c>
      <c r="H51" t="s">
        <v>1</v>
      </c>
      <c r="I51" s="22">
        <f t="shared" si="0"/>
        <v>-1.1970340792054287E-3</v>
      </c>
      <c r="J51" s="22" t="str">
        <f t="shared" si="1"/>
        <v>lost money</v>
      </c>
      <c r="O51" s="18"/>
      <c r="P51" s="11"/>
      <c r="Q51" s="11"/>
      <c r="R51" s="11"/>
      <c r="S51" s="11"/>
    </row>
    <row r="52" spans="1:22">
      <c r="A52" s="1">
        <v>40983</v>
      </c>
      <c r="B52">
        <v>1394.17</v>
      </c>
      <c r="C52">
        <v>1402.63</v>
      </c>
      <c r="D52">
        <v>1392.78</v>
      </c>
      <c r="E52">
        <v>1402.6</v>
      </c>
      <c r="F52">
        <v>4271650000</v>
      </c>
      <c r="G52">
        <v>1402.6</v>
      </c>
      <c r="H52" t="s">
        <v>1</v>
      </c>
      <c r="I52" s="22">
        <f t="shared" si="0"/>
        <v>5.9495041200391232E-3</v>
      </c>
      <c r="J52" s="22" t="str">
        <f t="shared" si="1"/>
        <v/>
      </c>
      <c r="N52" s="6"/>
      <c r="O52" s="19"/>
      <c r="P52" s="13"/>
      <c r="Q52" s="13"/>
      <c r="R52" s="13"/>
      <c r="S52" s="13"/>
      <c r="T52" s="13"/>
      <c r="U52" s="13"/>
      <c r="V52" s="13"/>
    </row>
    <row r="53" spans="1:22">
      <c r="A53" s="1">
        <v>40984</v>
      </c>
      <c r="B53">
        <v>1402.55</v>
      </c>
      <c r="C53">
        <v>1405.88</v>
      </c>
      <c r="D53">
        <v>1401.47</v>
      </c>
      <c r="E53">
        <v>1404.17</v>
      </c>
      <c r="F53">
        <v>5163950000</v>
      </c>
      <c r="G53">
        <v>1404.17</v>
      </c>
      <c r="H53" t="s">
        <v>1</v>
      </c>
      <c r="I53" s="22">
        <f t="shared" si="0"/>
        <v>1.1187237741202927E-3</v>
      </c>
      <c r="J53" s="22" t="str">
        <f t="shared" si="1"/>
        <v/>
      </c>
      <c r="N53" s="6"/>
      <c r="O53" s="19"/>
      <c r="P53" s="16"/>
      <c r="Q53" s="16"/>
      <c r="R53" s="16"/>
      <c r="S53" s="16"/>
      <c r="T53" s="16"/>
      <c r="U53" s="16"/>
      <c r="V53" s="16"/>
    </row>
    <row r="54" spans="1:22">
      <c r="A54" s="1">
        <v>40987</v>
      </c>
      <c r="B54">
        <v>1404.17</v>
      </c>
      <c r="C54">
        <v>1414</v>
      </c>
      <c r="D54">
        <v>1402.43</v>
      </c>
      <c r="E54">
        <v>1409.75</v>
      </c>
      <c r="F54">
        <v>3932570000</v>
      </c>
      <c r="G54">
        <v>1409.75</v>
      </c>
      <c r="H54" t="s">
        <v>1</v>
      </c>
      <c r="I54" s="22">
        <f t="shared" si="0"/>
        <v>3.9660028103612023E-3</v>
      </c>
      <c r="J54" s="22" t="str">
        <f t="shared" si="1"/>
        <v/>
      </c>
      <c r="N54" s="13"/>
      <c r="O54" s="19"/>
    </row>
    <row r="55" spans="1:22">
      <c r="A55" s="1">
        <v>40988</v>
      </c>
      <c r="B55">
        <v>1409.59</v>
      </c>
      <c r="C55">
        <v>1409.59</v>
      </c>
      <c r="D55">
        <v>1397.68</v>
      </c>
      <c r="E55">
        <v>1405.52</v>
      </c>
      <c r="F55">
        <v>3695280000</v>
      </c>
      <c r="G55">
        <v>1405.52</v>
      </c>
      <c r="H55" t="s">
        <v>1</v>
      </c>
      <c r="I55" s="22">
        <f t="shared" si="0"/>
        <v>-3.0050426304927035E-3</v>
      </c>
      <c r="J55" s="22" t="str">
        <f t="shared" si="1"/>
        <v>lost money</v>
      </c>
      <c r="N55" s="13"/>
      <c r="O55" s="19"/>
    </row>
    <row r="56" spans="1:22">
      <c r="A56" s="1">
        <v>40989</v>
      </c>
      <c r="B56">
        <v>1405.52</v>
      </c>
      <c r="C56">
        <v>1407.75</v>
      </c>
      <c r="D56">
        <v>1400.64</v>
      </c>
      <c r="E56">
        <v>1402.89</v>
      </c>
      <c r="F56">
        <v>3573590000</v>
      </c>
      <c r="G56">
        <v>1402.89</v>
      </c>
      <c r="H56" t="s">
        <v>1</v>
      </c>
      <c r="I56" s="22">
        <f t="shared" si="0"/>
        <v>-1.8729464492867856E-3</v>
      </c>
      <c r="J56" s="22" t="str">
        <f t="shared" si="1"/>
        <v>lost money</v>
      </c>
      <c r="N56" s="13"/>
      <c r="O56" s="19"/>
    </row>
    <row r="57" spans="1:22">
      <c r="A57" s="1">
        <v>40990</v>
      </c>
      <c r="B57">
        <v>1402.89</v>
      </c>
      <c r="C57">
        <v>1402.89</v>
      </c>
      <c r="D57">
        <v>1388.73</v>
      </c>
      <c r="E57">
        <v>1392.78</v>
      </c>
      <c r="F57">
        <v>3740590000</v>
      </c>
      <c r="G57">
        <v>1392.78</v>
      </c>
      <c r="H57" t="s">
        <v>1</v>
      </c>
      <c r="I57" s="22">
        <f t="shared" si="0"/>
        <v>-7.2326448201014181E-3</v>
      </c>
      <c r="J57" s="22" t="str">
        <f t="shared" si="1"/>
        <v>lost money</v>
      </c>
      <c r="N57" s="13"/>
      <c r="O57" s="19"/>
    </row>
    <row r="58" spans="1:22">
      <c r="A58" s="1">
        <v>40991</v>
      </c>
      <c r="B58">
        <v>1392.78</v>
      </c>
      <c r="C58">
        <v>1399.18</v>
      </c>
      <c r="D58">
        <v>1386.87</v>
      </c>
      <c r="E58">
        <v>1397.11</v>
      </c>
      <c r="F58">
        <v>3472950000</v>
      </c>
      <c r="G58">
        <v>1397.11</v>
      </c>
      <c r="H58" t="s">
        <v>1</v>
      </c>
      <c r="I58" s="22">
        <f t="shared" si="0"/>
        <v>3.1040675271881042E-3</v>
      </c>
      <c r="J58" s="22" t="str">
        <f t="shared" si="1"/>
        <v/>
      </c>
      <c r="N58" s="13"/>
      <c r="O58" s="19"/>
    </row>
    <row r="59" spans="1:22">
      <c r="A59" s="1">
        <v>40994</v>
      </c>
      <c r="B59">
        <v>1397.11</v>
      </c>
      <c r="C59">
        <v>1416.58</v>
      </c>
      <c r="D59">
        <v>1397.11</v>
      </c>
      <c r="E59">
        <v>1416.51</v>
      </c>
      <c r="F59">
        <v>3576950000</v>
      </c>
      <c r="G59">
        <v>1416.51</v>
      </c>
      <c r="H59" t="s">
        <v>1</v>
      </c>
      <c r="I59" s="22">
        <f t="shared" si="0"/>
        <v>1.3790282585130287E-2</v>
      </c>
      <c r="J59" s="22" t="str">
        <f t="shared" si="1"/>
        <v/>
      </c>
      <c r="N59" s="13"/>
      <c r="O59" s="19"/>
    </row>
    <row r="60" spans="1:22">
      <c r="A60" s="1">
        <v>40995</v>
      </c>
      <c r="B60">
        <v>1416.55</v>
      </c>
      <c r="C60">
        <v>1419.15</v>
      </c>
      <c r="D60">
        <v>1411.95</v>
      </c>
      <c r="E60">
        <v>1412.52</v>
      </c>
      <c r="F60">
        <v>3513640000</v>
      </c>
      <c r="G60">
        <v>1412.52</v>
      </c>
      <c r="H60" t="s">
        <v>1</v>
      </c>
      <c r="I60" s="22">
        <f t="shared" si="0"/>
        <v>-2.8207566873393645E-3</v>
      </c>
      <c r="J60" s="22" t="str">
        <f t="shared" si="1"/>
        <v>lost money</v>
      </c>
      <c r="N60" s="13"/>
      <c r="O60" s="19"/>
    </row>
    <row r="61" spans="1:22">
      <c r="A61" s="1">
        <v>40996</v>
      </c>
      <c r="B61">
        <v>1412.52</v>
      </c>
      <c r="C61">
        <v>1413.65</v>
      </c>
      <c r="D61">
        <v>1397.2</v>
      </c>
      <c r="E61">
        <v>1405.54</v>
      </c>
      <c r="F61">
        <v>3892800000</v>
      </c>
      <c r="G61">
        <v>1405.54</v>
      </c>
      <c r="H61" t="s">
        <v>1</v>
      </c>
      <c r="I61" s="22">
        <f t="shared" si="0"/>
        <v>-4.9537726478604228E-3</v>
      </c>
      <c r="J61" s="22" t="str">
        <f t="shared" si="1"/>
        <v>lost money</v>
      </c>
      <c r="N61" s="13"/>
      <c r="O61" s="19"/>
    </row>
    <row r="62" spans="1:22">
      <c r="A62" s="1">
        <v>40997</v>
      </c>
      <c r="B62">
        <v>1405.39</v>
      </c>
      <c r="C62">
        <v>1405.39</v>
      </c>
      <c r="D62">
        <v>1391.56</v>
      </c>
      <c r="E62">
        <v>1403.28</v>
      </c>
      <c r="F62">
        <v>3832000000</v>
      </c>
      <c r="G62">
        <v>1403.28</v>
      </c>
      <c r="H62" t="s">
        <v>1</v>
      </c>
      <c r="I62" s="22">
        <f t="shared" si="0"/>
        <v>-1.6092170290043855E-3</v>
      </c>
      <c r="J62" s="22" t="str">
        <f t="shared" si="1"/>
        <v>lost money</v>
      </c>
      <c r="N62" s="13"/>
      <c r="O62" s="19"/>
    </row>
    <row r="63" spans="1:22">
      <c r="A63" s="1">
        <v>40998</v>
      </c>
      <c r="B63">
        <v>1403.31</v>
      </c>
      <c r="C63">
        <v>1410.89</v>
      </c>
      <c r="D63">
        <v>1401.42</v>
      </c>
      <c r="E63">
        <v>1408.47</v>
      </c>
      <c r="F63">
        <v>3676890000</v>
      </c>
      <c r="G63">
        <v>1408.47</v>
      </c>
      <c r="H63" t="s">
        <v>1</v>
      </c>
      <c r="I63" s="22">
        <f t="shared" si="0"/>
        <v>3.6916552995440582E-3</v>
      </c>
      <c r="J63" s="22" t="str">
        <f t="shared" si="1"/>
        <v/>
      </c>
      <c r="N63" s="13"/>
      <c r="O63" s="19"/>
    </row>
    <row r="64" spans="1:22">
      <c r="A64" s="1">
        <v>41001</v>
      </c>
      <c r="B64">
        <v>1408.47</v>
      </c>
      <c r="C64">
        <v>1422.38</v>
      </c>
      <c r="D64">
        <v>1404.46</v>
      </c>
      <c r="E64">
        <v>1419.04</v>
      </c>
      <c r="F64">
        <v>3572010000</v>
      </c>
      <c r="G64">
        <v>1419.04</v>
      </c>
      <c r="H64" t="s">
        <v>1</v>
      </c>
      <c r="I64" s="22">
        <f t="shared" si="0"/>
        <v>7.4765777930732918E-3</v>
      </c>
      <c r="J64" s="22" t="str">
        <f t="shared" si="1"/>
        <v/>
      </c>
      <c r="N64" s="13"/>
      <c r="O64" s="19"/>
    </row>
    <row r="65" spans="1:15">
      <c r="A65" s="1">
        <v>41002</v>
      </c>
      <c r="B65">
        <v>1418.98</v>
      </c>
      <c r="C65">
        <v>1419</v>
      </c>
      <c r="D65">
        <v>1404.62</v>
      </c>
      <c r="E65">
        <v>1413.38</v>
      </c>
      <c r="F65">
        <v>3822090000</v>
      </c>
      <c r="G65">
        <v>1413.38</v>
      </c>
      <c r="H65" t="s">
        <v>1</v>
      </c>
      <c r="I65" s="22">
        <f t="shared" si="0"/>
        <v>-3.9965877474346378E-3</v>
      </c>
      <c r="J65" s="22" t="str">
        <f t="shared" si="1"/>
        <v>lost money</v>
      </c>
      <c r="N65" s="13"/>
      <c r="O65" s="19"/>
    </row>
    <row r="66" spans="1:15">
      <c r="A66" s="1">
        <v>41003</v>
      </c>
      <c r="B66">
        <v>1413.09</v>
      </c>
      <c r="C66">
        <v>1413.09</v>
      </c>
      <c r="D66">
        <v>1394.09</v>
      </c>
      <c r="E66">
        <v>1398.96</v>
      </c>
      <c r="F66">
        <v>3938290000</v>
      </c>
      <c r="G66">
        <v>1398.96</v>
      </c>
      <c r="H66" t="s">
        <v>1</v>
      </c>
      <c r="I66" s="22">
        <f t="shared" si="0"/>
        <v>-1.0254895475303529E-2</v>
      </c>
      <c r="J66" s="22" t="str">
        <f t="shared" si="1"/>
        <v>lost money</v>
      </c>
      <c r="N66" s="13"/>
      <c r="O66" s="19"/>
    </row>
    <row r="67" spans="1:15">
      <c r="A67" s="1">
        <v>41004</v>
      </c>
      <c r="B67">
        <v>1398.79</v>
      </c>
      <c r="C67">
        <v>1401.6</v>
      </c>
      <c r="D67">
        <v>1392.92</v>
      </c>
      <c r="E67">
        <v>1398.08</v>
      </c>
      <c r="F67">
        <v>3303740000</v>
      </c>
      <c r="G67">
        <v>1398.08</v>
      </c>
      <c r="H67" t="s">
        <v>1</v>
      </c>
      <c r="I67" s="22">
        <f t="shared" ref="I67:I130" si="3">IF(A67=$A$2,"",LN(G67/G66))</f>
        <v>-6.2923664233309191E-4</v>
      </c>
      <c r="J67" s="22" t="str">
        <f t="shared" ref="J67:J130" si="4">IF(B67&gt;E67,"lost money","")</f>
        <v>lost money</v>
      </c>
      <c r="N67" s="13"/>
      <c r="O67" s="19"/>
    </row>
    <row r="68" spans="1:15">
      <c r="A68" s="1">
        <v>41008</v>
      </c>
      <c r="B68">
        <v>1397.45</v>
      </c>
      <c r="C68">
        <v>1397.45</v>
      </c>
      <c r="D68">
        <v>1378.24</v>
      </c>
      <c r="E68">
        <v>1382.2</v>
      </c>
      <c r="F68">
        <v>3468980000</v>
      </c>
      <c r="G68">
        <v>1382.2</v>
      </c>
      <c r="H68" t="s">
        <v>1</v>
      </c>
      <c r="I68" s="22">
        <f t="shared" si="3"/>
        <v>-1.1423434105777059E-2</v>
      </c>
      <c r="J68" s="22" t="str">
        <f t="shared" si="4"/>
        <v>lost money</v>
      </c>
      <c r="N68" s="13"/>
      <c r="O68" s="19"/>
    </row>
    <row r="69" spans="1:15">
      <c r="A69" s="1">
        <v>41009</v>
      </c>
      <c r="B69">
        <v>1382.18</v>
      </c>
      <c r="C69">
        <v>1383.01</v>
      </c>
      <c r="D69">
        <v>1357.38</v>
      </c>
      <c r="E69">
        <v>1358.59</v>
      </c>
      <c r="F69">
        <v>4631730000</v>
      </c>
      <c r="G69">
        <v>1358.59</v>
      </c>
      <c r="H69" t="s">
        <v>1</v>
      </c>
      <c r="I69" s="22">
        <f t="shared" si="3"/>
        <v>-1.7229035445361768E-2</v>
      </c>
      <c r="J69" s="22" t="str">
        <f t="shared" si="4"/>
        <v>lost money</v>
      </c>
      <c r="M69" s="7"/>
      <c r="N69" s="13"/>
      <c r="O69" s="19"/>
    </row>
    <row r="70" spans="1:15">
      <c r="A70" s="1">
        <v>41010</v>
      </c>
      <c r="B70">
        <v>1358.98</v>
      </c>
      <c r="C70">
        <v>1374.71</v>
      </c>
      <c r="D70">
        <v>1358.98</v>
      </c>
      <c r="E70">
        <v>1368.71</v>
      </c>
      <c r="F70">
        <v>3743040000</v>
      </c>
      <c r="G70">
        <v>1368.71</v>
      </c>
      <c r="H70" t="s">
        <v>1</v>
      </c>
      <c r="I70" s="22">
        <f t="shared" si="3"/>
        <v>7.4212931815645089E-3</v>
      </c>
      <c r="J70" s="22" t="str">
        <f t="shared" si="4"/>
        <v/>
      </c>
      <c r="M70" s="7"/>
      <c r="N70" s="13"/>
      <c r="O70" s="19"/>
    </row>
    <row r="71" spans="1:15">
      <c r="A71" s="1">
        <v>41011</v>
      </c>
      <c r="B71">
        <v>1368.77</v>
      </c>
      <c r="C71">
        <v>1388.13</v>
      </c>
      <c r="D71">
        <v>1368.77</v>
      </c>
      <c r="E71">
        <v>1387.57</v>
      </c>
      <c r="F71">
        <v>3618280000</v>
      </c>
      <c r="G71">
        <v>1387.57</v>
      </c>
      <c r="H71" t="s">
        <v>1</v>
      </c>
      <c r="I71" s="22">
        <f t="shared" si="3"/>
        <v>1.3685325404961968E-2</v>
      </c>
      <c r="J71" s="22" t="str">
        <f t="shared" si="4"/>
        <v/>
      </c>
      <c r="M71" s="7"/>
      <c r="N71"/>
    </row>
    <row r="72" spans="1:15">
      <c r="A72" s="1">
        <v>41012</v>
      </c>
      <c r="B72">
        <v>1387.61</v>
      </c>
      <c r="C72">
        <v>1387.61</v>
      </c>
      <c r="D72">
        <v>1369.85</v>
      </c>
      <c r="E72">
        <v>1370.26</v>
      </c>
      <c r="F72">
        <v>3631160000</v>
      </c>
      <c r="G72">
        <v>1370.26</v>
      </c>
      <c r="H72" t="s">
        <v>1</v>
      </c>
      <c r="I72" s="22">
        <f t="shared" si="3"/>
        <v>-1.2553512960530443E-2</v>
      </c>
      <c r="J72" s="22" t="str">
        <f t="shared" si="4"/>
        <v>lost money</v>
      </c>
      <c r="M72" s="7"/>
    </row>
    <row r="73" spans="1:15">
      <c r="A73" s="1">
        <v>41015</v>
      </c>
      <c r="B73">
        <v>1370.27</v>
      </c>
      <c r="C73">
        <v>1379.66</v>
      </c>
      <c r="D73">
        <v>1365.38</v>
      </c>
      <c r="E73">
        <v>1369.57</v>
      </c>
      <c r="F73">
        <v>3574780000</v>
      </c>
      <c r="G73">
        <v>1369.57</v>
      </c>
      <c r="H73" t="s">
        <v>1</v>
      </c>
      <c r="I73" s="22">
        <f t="shared" si="3"/>
        <v>-5.036808959588716E-4</v>
      </c>
      <c r="J73" s="22" t="str">
        <f t="shared" si="4"/>
        <v>lost money</v>
      </c>
      <c r="N73" s="14"/>
    </row>
    <row r="74" spans="1:15">
      <c r="A74" s="1">
        <v>41016</v>
      </c>
      <c r="B74">
        <v>1369.57</v>
      </c>
      <c r="C74">
        <v>1392.76</v>
      </c>
      <c r="D74">
        <v>1369.57</v>
      </c>
      <c r="E74">
        <v>1390.78</v>
      </c>
      <c r="F74">
        <v>3456200000</v>
      </c>
      <c r="G74">
        <v>1390.78</v>
      </c>
      <c r="H74" t="s">
        <v>1</v>
      </c>
      <c r="I74" s="22">
        <f t="shared" si="3"/>
        <v>1.5367918875513488E-2</v>
      </c>
      <c r="J74" s="22" t="str">
        <f t="shared" si="4"/>
        <v/>
      </c>
      <c r="N74" s="14"/>
    </row>
    <row r="75" spans="1:15">
      <c r="A75" s="1">
        <v>41017</v>
      </c>
      <c r="B75">
        <v>1390.78</v>
      </c>
      <c r="C75">
        <v>1390.78</v>
      </c>
      <c r="D75">
        <v>1383.29</v>
      </c>
      <c r="E75">
        <v>1385.14</v>
      </c>
      <c r="F75">
        <v>3463140000</v>
      </c>
      <c r="G75">
        <v>1385.14</v>
      </c>
      <c r="H75" t="s">
        <v>1</v>
      </c>
      <c r="I75" s="22">
        <f t="shared" si="3"/>
        <v>-4.0635232720984613E-3</v>
      </c>
      <c r="J75" s="22" t="str">
        <f t="shared" si="4"/>
        <v>lost money</v>
      </c>
      <c r="N75" s="14"/>
    </row>
    <row r="76" spans="1:15">
      <c r="A76" s="1">
        <v>41018</v>
      </c>
      <c r="B76">
        <v>1385.08</v>
      </c>
      <c r="C76">
        <v>1390.46</v>
      </c>
      <c r="D76">
        <v>1370.3</v>
      </c>
      <c r="E76">
        <v>1376.92</v>
      </c>
      <c r="F76">
        <v>4180020000</v>
      </c>
      <c r="G76">
        <v>1376.92</v>
      </c>
      <c r="H76" t="s">
        <v>1</v>
      </c>
      <c r="I76" s="22">
        <f t="shared" si="3"/>
        <v>-5.952096817443118E-3</v>
      </c>
      <c r="J76" s="22" t="str">
        <f t="shared" si="4"/>
        <v>lost money</v>
      </c>
      <c r="N76" s="14"/>
    </row>
    <row r="77" spans="1:15">
      <c r="A77" s="1">
        <v>41019</v>
      </c>
      <c r="B77">
        <v>1376.96</v>
      </c>
      <c r="C77">
        <v>1387.4</v>
      </c>
      <c r="D77">
        <v>1376.96</v>
      </c>
      <c r="E77">
        <v>1378.53</v>
      </c>
      <c r="F77">
        <v>3833320000</v>
      </c>
      <c r="G77">
        <v>1378.53</v>
      </c>
      <c r="H77" t="s">
        <v>1</v>
      </c>
      <c r="I77" s="22">
        <f t="shared" si="3"/>
        <v>1.1685932847406632E-3</v>
      </c>
      <c r="J77" s="22" t="str">
        <f t="shared" si="4"/>
        <v/>
      </c>
      <c r="N77" s="14"/>
    </row>
    <row r="78" spans="1:15">
      <c r="A78" s="1">
        <v>41022</v>
      </c>
      <c r="B78">
        <v>1378.53</v>
      </c>
      <c r="C78">
        <v>1378.53</v>
      </c>
      <c r="D78">
        <v>1358.79</v>
      </c>
      <c r="E78">
        <v>1366.94</v>
      </c>
      <c r="F78">
        <v>3654860000</v>
      </c>
      <c r="G78">
        <v>1366.94</v>
      </c>
      <c r="H78" t="s">
        <v>1</v>
      </c>
      <c r="I78" s="22">
        <f t="shared" si="3"/>
        <v>-8.4430489857261516E-3</v>
      </c>
      <c r="J78" s="22" t="str">
        <f t="shared" si="4"/>
        <v>lost money</v>
      </c>
      <c r="N78" s="14"/>
    </row>
    <row r="79" spans="1:15">
      <c r="A79" s="1">
        <v>41023</v>
      </c>
      <c r="B79">
        <v>1366.97</v>
      </c>
      <c r="C79">
        <v>1375.57</v>
      </c>
      <c r="D79">
        <v>1366.82</v>
      </c>
      <c r="E79">
        <v>1371.97</v>
      </c>
      <c r="F79">
        <v>3617100000</v>
      </c>
      <c r="G79">
        <v>1371.97</v>
      </c>
      <c r="H79" t="s">
        <v>1</v>
      </c>
      <c r="I79" s="22">
        <f t="shared" si="3"/>
        <v>3.6729981305998567E-3</v>
      </c>
      <c r="J79" s="22" t="str">
        <f t="shared" si="4"/>
        <v/>
      </c>
      <c r="N79" s="14"/>
    </row>
    <row r="80" spans="1:15">
      <c r="A80" s="1">
        <v>41024</v>
      </c>
      <c r="B80">
        <v>1372.11</v>
      </c>
      <c r="C80">
        <v>1391.37</v>
      </c>
      <c r="D80">
        <v>1372.11</v>
      </c>
      <c r="E80">
        <v>1390.69</v>
      </c>
      <c r="F80">
        <v>3998430000</v>
      </c>
      <c r="G80">
        <v>1390.69</v>
      </c>
      <c r="H80" t="s">
        <v>1</v>
      </c>
      <c r="I80" s="22">
        <f t="shared" si="3"/>
        <v>1.3552363677729872E-2</v>
      </c>
      <c r="J80" s="22" t="str">
        <f t="shared" si="4"/>
        <v/>
      </c>
      <c r="N80" s="14"/>
    </row>
    <row r="81" spans="1:14">
      <c r="A81" s="1">
        <v>41025</v>
      </c>
      <c r="B81">
        <v>1390.64</v>
      </c>
      <c r="C81">
        <v>1402.09</v>
      </c>
      <c r="D81">
        <v>1387.28</v>
      </c>
      <c r="E81">
        <v>1399.98</v>
      </c>
      <c r="F81">
        <v>4034700000</v>
      </c>
      <c r="G81">
        <v>1399.98</v>
      </c>
      <c r="H81" t="s">
        <v>1</v>
      </c>
      <c r="I81" s="22">
        <f t="shared" si="3"/>
        <v>6.6579239517370777E-3</v>
      </c>
      <c r="J81" s="22" t="str">
        <f t="shared" si="4"/>
        <v/>
      </c>
      <c r="N81" s="14"/>
    </row>
    <row r="82" spans="1:14">
      <c r="A82" s="1">
        <v>41026</v>
      </c>
      <c r="B82">
        <v>1400.19</v>
      </c>
      <c r="C82">
        <v>1406.64</v>
      </c>
      <c r="D82">
        <v>1397.31</v>
      </c>
      <c r="E82">
        <v>1403.36</v>
      </c>
      <c r="F82">
        <v>3645830000</v>
      </c>
      <c r="G82">
        <v>1403.36</v>
      </c>
      <c r="H82" t="s">
        <v>1</v>
      </c>
      <c r="I82" s="22">
        <f t="shared" si="3"/>
        <v>2.4114104160489723E-3</v>
      </c>
      <c r="J82" s="22" t="str">
        <f t="shared" si="4"/>
        <v/>
      </c>
      <c r="N82" s="14"/>
    </row>
    <row r="83" spans="1:14">
      <c r="A83" s="1">
        <v>41029</v>
      </c>
      <c r="B83">
        <v>1403.26</v>
      </c>
      <c r="C83">
        <v>1403.26</v>
      </c>
      <c r="D83">
        <v>1394</v>
      </c>
      <c r="E83">
        <v>1397.91</v>
      </c>
      <c r="F83">
        <v>3574010000</v>
      </c>
      <c r="G83">
        <v>1397.91</v>
      </c>
      <c r="H83" t="s">
        <v>1</v>
      </c>
      <c r="I83" s="22">
        <f t="shared" si="3"/>
        <v>-3.8910971640511403E-3</v>
      </c>
      <c r="J83" s="22" t="str">
        <f t="shared" si="4"/>
        <v>lost money</v>
      </c>
    </row>
    <row r="84" spans="1:14">
      <c r="A84" s="1">
        <v>41030</v>
      </c>
      <c r="B84">
        <v>1397.86</v>
      </c>
      <c r="C84">
        <v>1415.32</v>
      </c>
      <c r="D84">
        <v>1395.73</v>
      </c>
      <c r="E84">
        <v>1405.82</v>
      </c>
      <c r="F84">
        <v>3807950000</v>
      </c>
      <c r="G84">
        <v>1405.82</v>
      </c>
      <c r="H84" t="s">
        <v>1</v>
      </c>
      <c r="I84" s="22">
        <f t="shared" si="3"/>
        <v>5.6424983763752054E-3</v>
      </c>
      <c r="J84" s="22" t="str">
        <f t="shared" si="4"/>
        <v/>
      </c>
    </row>
    <row r="85" spans="1:14">
      <c r="A85" s="1">
        <v>41031</v>
      </c>
      <c r="B85">
        <v>1405.5</v>
      </c>
      <c r="C85">
        <v>1405.5</v>
      </c>
      <c r="D85">
        <v>1393.92</v>
      </c>
      <c r="E85">
        <v>1402.31</v>
      </c>
      <c r="F85">
        <v>3803860000</v>
      </c>
      <c r="G85">
        <v>1402.31</v>
      </c>
      <c r="H85" t="s">
        <v>1</v>
      </c>
      <c r="I85" s="22">
        <f t="shared" si="3"/>
        <v>-2.4998855665210461E-3</v>
      </c>
      <c r="J85" s="22" t="str">
        <f t="shared" si="4"/>
        <v>lost money</v>
      </c>
    </row>
    <row r="86" spans="1:14">
      <c r="A86" s="1">
        <v>41032</v>
      </c>
      <c r="B86">
        <v>1402.32</v>
      </c>
      <c r="C86">
        <v>1403.07</v>
      </c>
      <c r="D86">
        <v>1388.71</v>
      </c>
      <c r="E86">
        <v>1391.57</v>
      </c>
      <c r="F86">
        <v>4004910000</v>
      </c>
      <c r="G86">
        <v>1391.57</v>
      </c>
      <c r="H86" t="s">
        <v>1</v>
      </c>
      <c r="I86" s="22">
        <f t="shared" si="3"/>
        <v>-7.688270722404974E-3</v>
      </c>
      <c r="J86" s="22" t="str">
        <f t="shared" si="4"/>
        <v>lost money</v>
      </c>
    </row>
    <row r="87" spans="1:14">
      <c r="A87" s="1">
        <v>41033</v>
      </c>
      <c r="B87">
        <v>1391.51</v>
      </c>
      <c r="C87">
        <v>1391.51</v>
      </c>
      <c r="D87">
        <v>1367.96</v>
      </c>
      <c r="E87">
        <v>1369.1</v>
      </c>
      <c r="F87">
        <v>3975140000</v>
      </c>
      <c r="G87">
        <v>1369.1</v>
      </c>
      <c r="H87" t="s">
        <v>1</v>
      </c>
      <c r="I87" s="22">
        <f t="shared" si="3"/>
        <v>-1.6279016486759133E-2</v>
      </c>
      <c r="J87" s="22" t="str">
        <f t="shared" si="4"/>
        <v>lost money</v>
      </c>
    </row>
    <row r="88" spans="1:14">
      <c r="A88" s="1">
        <v>41036</v>
      </c>
      <c r="B88">
        <v>1368.79</v>
      </c>
      <c r="C88">
        <v>1373.91</v>
      </c>
      <c r="D88">
        <v>1363.94</v>
      </c>
      <c r="E88">
        <v>1369.58</v>
      </c>
      <c r="F88">
        <v>3559390000</v>
      </c>
      <c r="G88">
        <v>1369.58</v>
      </c>
      <c r="H88" t="s">
        <v>1</v>
      </c>
      <c r="I88" s="22">
        <f t="shared" si="3"/>
        <v>3.5053383740709244E-4</v>
      </c>
      <c r="J88" s="22" t="str">
        <f t="shared" si="4"/>
        <v/>
      </c>
    </row>
    <row r="89" spans="1:14">
      <c r="A89" s="1">
        <v>41037</v>
      </c>
      <c r="B89">
        <v>1369.16</v>
      </c>
      <c r="C89">
        <v>1369.16</v>
      </c>
      <c r="D89">
        <v>1347.75</v>
      </c>
      <c r="E89">
        <v>1363.72</v>
      </c>
      <c r="F89">
        <v>4261670000</v>
      </c>
      <c r="G89">
        <v>1363.72</v>
      </c>
      <c r="H89" t="s">
        <v>1</v>
      </c>
      <c r="I89" s="22">
        <f t="shared" si="3"/>
        <v>-4.2878637386193951E-3</v>
      </c>
      <c r="J89" s="22" t="str">
        <f t="shared" si="4"/>
        <v>lost money</v>
      </c>
    </row>
    <row r="90" spans="1:14">
      <c r="A90" s="1">
        <v>41038</v>
      </c>
      <c r="B90">
        <v>1363.2</v>
      </c>
      <c r="C90">
        <v>1363.73</v>
      </c>
      <c r="D90">
        <v>1343.13</v>
      </c>
      <c r="E90">
        <v>1354.58</v>
      </c>
      <c r="F90">
        <v>4288540000</v>
      </c>
      <c r="G90">
        <v>1354.58</v>
      </c>
      <c r="H90" t="s">
        <v>1</v>
      </c>
      <c r="I90" s="22">
        <f t="shared" si="3"/>
        <v>-6.7248165728184027E-3</v>
      </c>
      <c r="J90" s="22" t="str">
        <f t="shared" si="4"/>
        <v>lost money</v>
      </c>
    </row>
    <row r="91" spans="1:14">
      <c r="A91" s="1">
        <v>41039</v>
      </c>
      <c r="B91">
        <v>1354.58</v>
      </c>
      <c r="C91">
        <v>1365.88</v>
      </c>
      <c r="D91">
        <v>1354.58</v>
      </c>
      <c r="E91">
        <v>1357.99</v>
      </c>
      <c r="F91">
        <v>3727990000</v>
      </c>
      <c r="G91">
        <v>1357.99</v>
      </c>
      <c r="H91" t="s">
        <v>1</v>
      </c>
      <c r="I91" s="22">
        <f t="shared" si="3"/>
        <v>2.5142221555989205E-3</v>
      </c>
      <c r="J91" s="22" t="str">
        <f t="shared" si="4"/>
        <v/>
      </c>
    </row>
    <row r="92" spans="1:14">
      <c r="A92" s="1">
        <v>41040</v>
      </c>
      <c r="B92">
        <v>1358.11</v>
      </c>
      <c r="C92">
        <v>1365.66</v>
      </c>
      <c r="D92">
        <v>1348.89</v>
      </c>
      <c r="E92">
        <v>1353.39</v>
      </c>
      <c r="F92">
        <v>3869070000</v>
      </c>
      <c r="G92">
        <v>1353.39</v>
      </c>
      <c r="H92" t="s">
        <v>1</v>
      </c>
      <c r="I92" s="22">
        <f t="shared" si="3"/>
        <v>-3.3931093490318499E-3</v>
      </c>
      <c r="J92" s="22" t="str">
        <f t="shared" si="4"/>
        <v>lost money</v>
      </c>
    </row>
    <row r="93" spans="1:14">
      <c r="A93" s="1">
        <v>41043</v>
      </c>
      <c r="B93">
        <v>1351.93</v>
      </c>
      <c r="C93">
        <v>1351.93</v>
      </c>
      <c r="D93">
        <v>1336.61</v>
      </c>
      <c r="E93">
        <v>1338.35</v>
      </c>
      <c r="F93">
        <v>3688120000</v>
      </c>
      <c r="G93">
        <v>1338.35</v>
      </c>
      <c r="H93" t="s">
        <v>1</v>
      </c>
      <c r="I93" s="22">
        <f t="shared" si="3"/>
        <v>-1.1175044036911441E-2</v>
      </c>
      <c r="J93" s="22" t="str">
        <f t="shared" si="4"/>
        <v>lost money</v>
      </c>
    </row>
    <row r="94" spans="1:14">
      <c r="A94" s="1">
        <v>41044</v>
      </c>
      <c r="B94">
        <v>1338.36</v>
      </c>
      <c r="C94">
        <v>1344.94</v>
      </c>
      <c r="D94">
        <v>1328.41</v>
      </c>
      <c r="E94">
        <v>1330.66</v>
      </c>
      <c r="F94">
        <v>4114040000</v>
      </c>
      <c r="G94">
        <v>1330.66</v>
      </c>
      <c r="H94" t="s">
        <v>1</v>
      </c>
      <c r="I94" s="22">
        <f t="shared" si="3"/>
        <v>-5.7624522046803815E-3</v>
      </c>
      <c r="J94" s="22" t="str">
        <f t="shared" si="4"/>
        <v>lost money</v>
      </c>
    </row>
    <row r="95" spans="1:14">
      <c r="A95" s="1">
        <v>41045</v>
      </c>
      <c r="B95">
        <v>1330.78</v>
      </c>
      <c r="C95">
        <v>1341.78</v>
      </c>
      <c r="D95">
        <v>1324.79</v>
      </c>
      <c r="E95">
        <v>1324.8</v>
      </c>
      <c r="F95">
        <v>4280420000</v>
      </c>
      <c r="G95">
        <v>1324.8</v>
      </c>
      <c r="H95" t="s">
        <v>1</v>
      </c>
      <c r="I95" s="22">
        <f t="shared" si="3"/>
        <v>-4.4135550996594808E-3</v>
      </c>
      <c r="J95" s="22" t="str">
        <f t="shared" si="4"/>
        <v>lost money</v>
      </c>
    </row>
    <row r="96" spans="1:14">
      <c r="A96" s="1">
        <v>41046</v>
      </c>
      <c r="B96">
        <v>1324.82</v>
      </c>
      <c r="C96">
        <v>1326.36</v>
      </c>
      <c r="D96">
        <v>1304.8599999999999</v>
      </c>
      <c r="E96">
        <v>1304.8599999999999</v>
      </c>
      <c r="F96">
        <v>4664280000</v>
      </c>
      <c r="G96">
        <v>1304.8599999999999</v>
      </c>
      <c r="H96" t="s">
        <v>1</v>
      </c>
      <c r="I96" s="22">
        <f t="shared" si="3"/>
        <v>-1.516574932256603E-2</v>
      </c>
      <c r="J96" s="22" t="str">
        <f t="shared" si="4"/>
        <v>lost money</v>
      </c>
    </row>
    <row r="97" spans="1:10">
      <c r="A97" s="1">
        <v>41047</v>
      </c>
      <c r="B97">
        <v>1305.05</v>
      </c>
      <c r="C97">
        <v>1312.24</v>
      </c>
      <c r="D97">
        <v>1291.98</v>
      </c>
      <c r="E97">
        <v>1295.22</v>
      </c>
      <c r="F97">
        <v>4512470000</v>
      </c>
      <c r="G97">
        <v>1295.22</v>
      </c>
      <c r="H97" t="s">
        <v>1</v>
      </c>
      <c r="I97" s="22">
        <f t="shared" si="3"/>
        <v>-7.4151904335883496E-3</v>
      </c>
      <c r="J97" s="22" t="str">
        <f t="shared" si="4"/>
        <v>lost money</v>
      </c>
    </row>
    <row r="98" spans="1:10">
      <c r="A98" s="1">
        <v>41050</v>
      </c>
      <c r="B98">
        <v>1295.73</v>
      </c>
      <c r="C98">
        <v>1316.39</v>
      </c>
      <c r="D98">
        <v>1295.73</v>
      </c>
      <c r="E98">
        <v>1315.99</v>
      </c>
      <c r="F98">
        <v>3786750000</v>
      </c>
      <c r="G98">
        <v>1315.99</v>
      </c>
      <c r="H98" t="s">
        <v>1</v>
      </c>
      <c r="I98" s="22">
        <f t="shared" si="3"/>
        <v>1.5908669197356163E-2</v>
      </c>
      <c r="J98" s="22" t="str">
        <f t="shared" si="4"/>
        <v/>
      </c>
    </row>
    <row r="99" spans="1:10">
      <c r="A99" s="1">
        <v>41051</v>
      </c>
      <c r="B99">
        <v>1316.09</v>
      </c>
      <c r="C99">
        <v>1328.49</v>
      </c>
      <c r="D99">
        <v>1310.04</v>
      </c>
      <c r="E99">
        <v>1316.63</v>
      </c>
      <c r="F99">
        <v>4123680000</v>
      </c>
      <c r="G99">
        <v>1316.63</v>
      </c>
      <c r="H99" t="s">
        <v>1</v>
      </c>
      <c r="I99" s="22">
        <f t="shared" si="3"/>
        <v>4.8620766582948318E-4</v>
      </c>
      <c r="J99" s="22" t="str">
        <f t="shared" si="4"/>
        <v/>
      </c>
    </row>
    <row r="100" spans="1:10">
      <c r="A100" s="1">
        <v>41052</v>
      </c>
      <c r="B100">
        <v>1316.02</v>
      </c>
      <c r="C100">
        <v>1320.71</v>
      </c>
      <c r="D100">
        <v>1296.53</v>
      </c>
      <c r="E100">
        <v>1318.86</v>
      </c>
      <c r="F100">
        <v>4108330000</v>
      </c>
      <c r="G100">
        <v>1318.86</v>
      </c>
      <c r="H100" t="s">
        <v>1</v>
      </c>
      <c r="I100" s="22">
        <f t="shared" si="3"/>
        <v>1.6922853300106668E-3</v>
      </c>
      <c r="J100" s="22" t="str">
        <f t="shared" si="4"/>
        <v/>
      </c>
    </row>
    <row r="101" spans="1:10">
      <c r="A101" s="1">
        <v>41053</v>
      </c>
      <c r="B101">
        <v>1318.72</v>
      </c>
      <c r="C101">
        <v>1324.14</v>
      </c>
      <c r="D101">
        <v>1310.5</v>
      </c>
      <c r="E101">
        <v>1320.68</v>
      </c>
      <c r="F101">
        <v>3937670000</v>
      </c>
      <c r="G101">
        <v>1320.68</v>
      </c>
      <c r="H101" t="s">
        <v>1</v>
      </c>
      <c r="I101" s="22">
        <f t="shared" si="3"/>
        <v>1.3790283825421373E-3</v>
      </c>
      <c r="J101" s="22" t="str">
        <f t="shared" si="4"/>
        <v/>
      </c>
    </row>
    <row r="102" spans="1:10">
      <c r="A102" s="1">
        <v>41054</v>
      </c>
      <c r="B102">
        <v>1320.81</v>
      </c>
      <c r="C102">
        <v>1324.2</v>
      </c>
      <c r="D102">
        <v>1314.23</v>
      </c>
      <c r="E102">
        <v>1317.82</v>
      </c>
      <c r="F102">
        <v>2872660000</v>
      </c>
      <c r="G102">
        <v>1317.82</v>
      </c>
      <c r="H102" t="s">
        <v>1</v>
      </c>
      <c r="I102" s="22">
        <f t="shared" si="3"/>
        <v>-2.167899276191806E-3</v>
      </c>
      <c r="J102" s="22" t="str">
        <f t="shared" si="4"/>
        <v>lost money</v>
      </c>
    </row>
    <row r="103" spans="1:10">
      <c r="A103" s="1">
        <v>41058</v>
      </c>
      <c r="B103">
        <v>1318.9</v>
      </c>
      <c r="C103">
        <v>1334.93</v>
      </c>
      <c r="D103">
        <v>1318.9</v>
      </c>
      <c r="E103">
        <v>1332.42</v>
      </c>
      <c r="F103">
        <v>3441640000</v>
      </c>
      <c r="G103">
        <v>1332.42</v>
      </c>
      <c r="H103" t="s">
        <v>1</v>
      </c>
      <c r="I103" s="22">
        <f t="shared" si="3"/>
        <v>1.1017981539835837E-2</v>
      </c>
      <c r="J103" s="22" t="str">
        <f t="shared" si="4"/>
        <v/>
      </c>
    </row>
    <row r="104" spans="1:10">
      <c r="A104" s="1">
        <v>41059</v>
      </c>
      <c r="B104">
        <v>1331.25</v>
      </c>
      <c r="C104">
        <v>1331.25</v>
      </c>
      <c r="D104">
        <v>1310.76</v>
      </c>
      <c r="E104">
        <v>1313.32</v>
      </c>
      <c r="F104">
        <v>3534290000</v>
      </c>
      <c r="G104">
        <v>1313.32</v>
      </c>
      <c r="H104" t="s">
        <v>1</v>
      </c>
      <c r="I104" s="22">
        <f t="shared" si="3"/>
        <v>-1.4438555426152216E-2</v>
      </c>
      <c r="J104" s="22" t="str">
        <f t="shared" si="4"/>
        <v>lost money</v>
      </c>
    </row>
    <row r="105" spans="1:10">
      <c r="A105" s="1">
        <v>41060</v>
      </c>
      <c r="B105">
        <v>1313.09</v>
      </c>
      <c r="C105">
        <v>1319.74</v>
      </c>
      <c r="D105">
        <v>1298.9000000000001</v>
      </c>
      <c r="E105">
        <v>1310.33</v>
      </c>
      <c r="F105">
        <v>4557620000</v>
      </c>
      <c r="G105">
        <v>1310.33</v>
      </c>
      <c r="H105" t="s">
        <v>1</v>
      </c>
      <c r="I105" s="22">
        <f t="shared" si="3"/>
        <v>-2.2792684195200048E-3</v>
      </c>
      <c r="J105" s="22" t="str">
        <f t="shared" si="4"/>
        <v>lost money</v>
      </c>
    </row>
    <row r="106" spans="1:10">
      <c r="A106" s="1">
        <v>41061</v>
      </c>
      <c r="B106">
        <v>1309.8699999999999</v>
      </c>
      <c r="C106">
        <v>1309.8699999999999</v>
      </c>
      <c r="D106">
        <v>1277.25</v>
      </c>
      <c r="E106">
        <v>1278.04</v>
      </c>
      <c r="F106">
        <v>4669350000</v>
      </c>
      <c r="G106">
        <v>1278.04</v>
      </c>
      <c r="H106" t="s">
        <v>1</v>
      </c>
      <c r="I106" s="22">
        <f t="shared" si="3"/>
        <v>-2.4951359516333108E-2</v>
      </c>
      <c r="J106" s="22" t="str">
        <f t="shared" si="4"/>
        <v>lost money</v>
      </c>
    </row>
    <row r="107" spans="1:10">
      <c r="A107" s="1">
        <v>41064</v>
      </c>
      <c r="B107">
        <v>1278.29</v>
      </c>
      <c r="C107">
        <v>1282.55</v>
      </c>
      <c r="D107">
        <v>1266.74</v>
      </c>
      <c r="E107">
        <v>1278.18</v>
      </c>
      <c r="F107">
        <v>4011960000</v>
      </c>
      <c r="G107">
        <v>1278.18</v>
      </c>
      <c r="H107" t="s">
        <v>1</v>
      </c>
      <c r="I107" s="22">
        <f t="shared" si="3"/>
        <v>1.0953673794903053E-4</v>
      </c>
      <c r="J107" s="22" t="str">
        <f t="shared" si="4"/>
        <v>lost money</v>
      </c>
    </row>
    <row r="108" spans="1:10">
      <c r="A108" s="1">
        <v>41065</v>
      </c>
      <c r="B108">
        <v>1277.82</v>
      </c>
      <c r="C108">
        <v>1287.6199999999999</v>
      </c>
      <c r="D108">
        <v>1274.1600000000001</v>
      </c>
      <c r="E108">
        <v>1285.5</v>
      </c>
      <c r="F108">
        <v>3403230000</v>
      </c>
      <c r="G108">
        <v>1285.5</v>
      </c>
      <c r="H108" t="s">
        <v>1</v>
      </c>
      <c r="I108" s="22">
        <f t="shared" si="3"/>
        <v>5.7105566157771509E-3</v>
      </c>
      <c r="J108" s="22" t="str">
        <f t="shared" si="4"/>
        <v/>
      </c>
    </row>
    <row r="109" spans="1:10">
      <c r="A109" s="1">
        <v>41066</v>
      </c>
      <c r="B109">
        <v>1285.6099999999999</v>
      </c>
      <c r="C109">
        <v>1315.13</v>
      </c>
      <c r="D109">
        <v>1285.6099999999999</v>
      </c>
      <c r="E109">
        <v>1315.13</v>
      </c>
      <c r="F109">
        <v>4268360000</v>
      </c>
      <c r="G109">
        <v>1315.13</v>
      </c>
      <c r="H109" t="s">
        <v>1</v>
      </c>
      <c r="I109" s="22">
        <f t="shared" si="3"/>
        <v>2.2787772335250183E-2</v>
      </c>
      <c r="J109" s="22" t="str">
        <f t="shared" si="4"/>
        <v/>
      </c>
    </row>
    <row r="110" spans="1:10">
      <c r="A110" s="1">
        <v>41067</v>
      </c>
      <c r="B110">
        <v>1316.15</v>
      </c>
      <c r="C110">
        <v>1329.05</v>
      </c>
      <c r="D110">
        <v>1312.68</v>
      </c>
      <c r="E110">
        <v>1314.99</v>
      </c>
      <c r="F110">
        <v>4258140000</v>
      </c>
      <c r="G110">
        <v>1314.99</v>
      </c>
      <c r="H110" t="s">
        <v>1</v>
      </c>
      <c r="I110" s="22">
        <f t="shared" si="3"/>
        <v>-1.0645902098176338E-4</v>
      </c>
      <c r="J110" s="22" t="str">
        <f t="shared" si="4"/>
        <v>lost money</v>
      </c>
    </row>
    <row r="111" spans="1:10">
      <c r="A111" s="1">
        <v>41068</v>
      </c>
      <c r="B111">
        <v>1314.99</v>
      </c>
      <c r="C111">
        <v>1325.81</v>
      </c>
      <c r="D111">
        <v>1307.77</v>
      </c>
      <c r="E111">
        <v>1325.66</v>
      </c>
      <c r="F111">
        <v>3497190000</v>
      </c>
      <c r="G111">
        <v>1325.66</v>
      </c>
      <c r="H111" t="s">
        <v>1</v>
      </c>
      <c r="I111" s="22">
        <f t="shared" si="3"/>
        <v>8.0813875904548593E-3</v>
      </c>
      <c r="J111" s="22" t="str">
        <f t="shared" si="4"/>
        <v/>
      </c>
    </row>
    <row r="112" spans="1:10">
      <c r="A112" s="1">
        <v>41071</v>
      </c>
      <c r="B112">
        <v>1325.72</v>
      </c>
      <c r="C112">
        <v>1335.52</v>
      </c>
      <c r="D112">
        <v>1307.73</v>
      </c>
      <c r="E112">
        <v>1308.93</v>
      </c>
      <c r="F112">
        <v>3537530000</v>
      </c>
      <c r="G112">
        <v>1308.93</v>
      </c>
      <c r="H112" t="s">
        <v>1</v>
      </c>
      <c r="I112" s="22">
        <f t="shared" si="3"/>
        <v>-1.2700439066485178E-2</v>
      </c>
      <c r="J112" s="22" t="str">
        <f t="shared" si="4"/>
        <v>lost money</v>
      </c>
    </row>
    <row r="113" spans="1:10">
      <c r="A113" s="1">
        <v>41072</v>
      </c>
      <c r="B113">
        <v>1309.4000000000001</v>
      </c>
      <c r="C113">
        <v>1324.31</v>
      </c>
      <c r="D113">
        <v>1306.6199999999999</v>
      </c>
      <c r="E113">
        <v>1324.18</v>
      </c>
      <c r="F113">
        <v>3442920000</v>
      </c>
      <c r="G113">
        <v>1324.18</v>
      </c>
      <c r="H113" t="s">
        <v>1</v>
      </c>
      <c r="I113" s="22">
        <f t="shared" si="3"/>
        <v>1.1583390373813106E-2</v>
      </c>
      <c r="J113" s="22" t="str">
        <f t="shared" si="4"/>
        <v/>
      </c>
    </row>
    <row r="114" spans="1:10">
      <c r="A114" s="1">
        <v>41073</v>
      </c>
      <c r="B114">
        <v>1324.02</v>
      </c>
      <c r="C114">
        <v>1327.28</v>
      </c>
      <c r="D114">
        <v>1310.51</v>
      </c>
      <c r="E114">
        <v>1314.88</v>
      </c>
      <c r="F114">
        <v>3506510000</v>
      </c>
      <c r="G114">
        <v>1314.88</v>
      </c>
      <c r="H114" t="s">
        <v>1</v>
      </c>
      <c r="I114" s="22">
        <f t="shared" si="3"/>
        <v>-7.0479932229503646E-3</v>
      </c>
      <c r="J114" s="22" t="str">
        <f t="shared" si="4"/>
        <v>lost money</v>
      </c>
    </row>
    <row r="115" spans="1:10">
      <c r="A115" s="1">
        <v>41074</v>
      </c>
      <c r="B115">
        <v>1314.88</v>
      </c>
      <c r="C115">
        <v>1333.68</v>
      </c>
      <c r="D115">
        <v>1314.14</v>
      </c>
      <c r="E115">
        <v>1329.1</v>
      </c>
      <c r="F115">
        <v>3687720000</v>
      </c>
      <c r="G115">
        <v>1329.1</v>
      </c>
      <c r="H115" t="s">
        <v>1</v>
      </c>
      <c r="I115" s="22">
        <f t="shared" si="3"/>
        <v>1.0756614732241909E-2</v>
      </c>
      <c r="J115" s="22" t="str">
        <f t="shared" si="4"/>
        <v/>
      </c>
    </row>
    <row r="116" spans="1:10">
      <c r="A116" s="1">
        <v>41075</v>
      </c>
      <c r="B116">
        <v>1329.19</v>
      </c>
      <c r="C116">
        <v>1343.32</v>
      </c>
      <c r="D116">
        <v>1329.19</v>
      </c>
      <c r="E116">
        <v>1342.84</v>
      </c>
      <c r="F116">
        <v>4401570000</v>
      </c>
      <c r="G116">
        <v>1342.84</v>
      </c>
      <c r="H116" t="s">
        <v>1</v>
      </c>
      <c r="I116" s="22">
        <f t="shared" si="3"/>
        <v>1.0284752736562524E-2</v>
      </c>
      <c r="J116" s="22" t="str">
        <f t="shared" si="4"/>
        <v/>
      </c>
    </row>
    <row r="117" spans="1:10">
      <c r="A117" s="1">
        <v>41078</v>
      </c>
      <c r="B117">
        <v>1342.42</v>
      </c>
      <c r="C117">
        <v>1348.22</v>
      </c>
      <c r="D117">
        <v>1334.46</v>
      </c>
      <c r="E117">
        <v>1344.78</v>
      </c>
      <c r="F117">
        <v>3259430000</v>
      </c>
      <c r="G117">
        <v>1344.78</v>
      </c>
      <c r="H117" t="s">
        <v>1</v>
      </c>
      <c r="I117" s="22">
        <f t="shared" si="3"/>
        <v>1.4436567200249713E-3</v>
      </c>
      <c r="J117" s="22" t="str">
        <f t="shared" si="4"/>
        <v/>
      </c>
    </row>
    <row r="118" spans="1:10">
      <c r="A118" s="1">
        <v>41079</v>
      </c>
      <c r="B118">
        <v>1344.83</v>
      </c>
      <c r="C118">
        <v>1363.46</v>
      </c>
      <c r="D118">
        <v>1344.83</v>
      </c>
      <c r="E118">
        <v>1357.98</v>
      </c>
      <c r="F118">
        <v>3815350000</v>
      </c>
      <c r="G118">
        <v>1357.98</v>
      </c>
      <c r="H118" t="s">
        <v>1</v>
      </c>
      <c r="I118" s="22">
        <f t="shared" si="3"/>
        <v>9.767870585814924E-3</v>
      </c>
      <c r="J118" s="22" t="str">
        <f t="shared" si="4"/>
        <v/>
      </c>
    </row>
    <row r="119" spans="1:10">
      <c r="A119" s="1">
        <v>41080</v>
      </c>
      <c r="B119">
        <v>1358.04</v>
      </c>
      <c r="C119">
        <v>1361.57</v>
      </c>
      <c r="D119">
        <v>1346.45</v>
      </c>
      <c r="E119">
        <v>1355.69</v>
      </c>
      <c r="F119">
        <v>3695700000</v>
      </c>
      <c r="G119">
        <v>1355.69</v>
      </c>
      <c r="H119" t="s">
        <v>1</v>
      </c>
      <c r="I119" s="22">
        <f t="shared" si="3"/>
        <v>-1.6877516747354983E-3</v>
      </c>
      <c r="J119" s="22" t="str">
        <f t="shared" si="4"/>
        <v>lost money</v>
      </c>
    </row>
    <row r="120" spans="1:10">
      <c r="A120" s="1">
        <v>41081</v>
      </c>
      <c r="B120">
        <v>1355.43</v>
      </c>
      <c r="C120">
        <v>1358.27</v>
      </c>
      <c r="D120">
        <v>1324.41</v>
      </c>
      <c r="E120">
        <v>1325.51</v>
      </c>
      <c r="F120">
        <v>4094470000</v>
      </c>
      <c r="G120">
        <v>1325.51</v>
      </c>
      <c r="H120" t="s">
        <v>1</v>
      </c>
      <c r="I120" s="22">
        <f t="shared" si="3"/>
        <v>-2.2513258771434952E-2</v>
      </c>
      <c r="J120" s="22" t="str">
        <f t="shared" si="4"/>
        <v>lost money</v>
      </c>
    </row>
    <row r="121" spans="1:10">
      <c r="A121" s="1">
        <v>41082</v>
      </c>
      <c r="B121">
        <v>1325.92</v>
      </c>
      <c r="C121">
        <v>1337.82</v>
      </c>
      <c r="D121">
        <v>1325.92</v>
      </c>
      <c r="E121">
        <v>1335.02</v>
      </c>
      <c r="F121">
        <v>5271490000</v>
      </c>
      <c r="G121">
        <v>1335.02</v>
      </c>
      <c r="H121" t="s">
        <v>1</v>
      </c>
      <c r="I121" s="22">
        <f t="shared" si="3"/>
        <v>7.1489819720210544E-3</v>
      </c>
      <c r="J121" s="22" t="str">
        <f t="shared" si="4"/>
        <v/>
      </c>
    </row>
    <row r="122" spans="1:10">
      <c r="A122" s="1">
        <v>41085</v>
      </c>
      <c r="B122">
        <v>1334.9</v>
      </c>
      <c r="C122">
        <v>1334.9</v>
      </c>
      <c r="D122">
        <v>1309.27</v>
      </c>
      <c r="E122">
        <v>1313.72</v>
      </c>
      <c r="F122">
        <v>3501820000</v>
      </c>
      <c r="G122">
        <v>1313.72</v>
      </c>
      <c r="H122" t="s">
        <v>1</v>
      </c>
      <c r="I122" s="22">
        <f t="shared" si="3"/>
        <v>-1.6083465459972662E-2</v>
      </c>
      <c r="J122" s="22" t="str">
        <f t="shared" si="4"/>
        <v>lost money</v>
      </c>
    </row>
    <row r="123" spans="1:10">
      <c r="A123" s="1">
        <v>41086</v>
      </c>
      <c r="B123">
        <v>1314.09</v>
      </c>
      <c r="C123">
        <v>1324.24</v>
      </c>
      <c r="D123">
        <v>1310.3</v>
      </c>
      <c r="E123">
        <v>1319.99</v>
      </c>
      <c r="F123">
        <v>3412940000</v>
      </c>
      <c r="G123">
        <v>1319.99</v>
      </c>
      <c r="H123" t="s">
        <v>1</v>
      </c>
      <c r="I123" s="22">
        <f t="shared" si="3"/>
        <v>4.7613532585773716E-3</v>
      </c>
      <c r="J123" s="22" t="str">
        <f t="shared" si="4"/>
        <v/>
      </c>
    </row>
    <row r="124" spans="1:10">
      <c r="A124" s="1">
        <v>41087</v>
      </c>
      <c r="B124">
        <v>1320.71</v>
      </c>
      <c r="C124">
        <v>1334.4</v>
      </c>
      <c r="D124">
        <v>1320.71</v>
      </c>
      <c r="E124">
        <v>1331.85</v>
      </c>
      <c r="F124">
        <v>3286910000</v>
      </c>
      <c r="G124">
        <v>1331.85</v>
      </c>
      <c r="H124" t="s">
        <v>1</v>
      </c>
      <c r="I124" s="22">
        <f t="shared" si="3"/>
        <v>8.9447923523008708E-3</v>
      </c>
      <c r="J124" s="22" t="str">
        <f t="shared" si="4"/>
        <v/>
      </c>
    </row>
    <row r="125" spans="1:10">
      <c r="A125" s="1">
        <v>41088</v>
      </c>
      <c r="B125">
        <v>1331.52</v>
      </c>
      <c r="C125">
        <v>1331.52</v>
      </c>
      <c r="D125">
        <v>1313.29</v>
      </c>
      <c r="E125">
        <v>1329.04</v>
      </c>
      <c r="F125">
        <v>3969370000</v>
      </c>
      <c r="G125">
        <v>1329.04</v>
      </c>
      <c r="H125" t="s">
        <v>1</v>
      </c>
      <c r="I125" s="22">
        <f t="shared" si="3"/>
        <v>-2.112076068222122E-3</v>
      </c>
      <c r="J125" s="22" t="str">
        <f t="shared" si="4"/>
        <v>lost money</v>
      </c>
    </row>
    <row r="126" spans="1:10">
      <c r="A126" s="1">
        <v>41089</v>
      </c>
      <c r="B126">
        <v>1330.12</v>
      </c>
      <c r="C126">
        <v>1362.17</v>
      </c>
      <c r="D126">
        <v>1330.12</v>
      </c>
      <c r="E126">
        <v>1362.16</v>
      </c>
      <c r="F126">
        <v>4590480000</v>
      </c>
      <c r="G126">
        <v>1362.16</v>
      </c>
      <c r="H126" t="s">
        <v>1</v>
      </c>
      <c r="I126" s="22">
        <f t="shared" si="3"/>
        <v>2.4614798034165282E-2</v>
      </c>
      <c r="J126" s="22" t="str">
        <f t="shared" si="4"/>
        <v/>
      </c>
    </row>
    <row r="127" spans="1:10">
      <c r="A127" s="1">
        <v>41092</v>
      </c>
      <c r="B127">
        <v>1362.33</v>
      </c>
      <c r="C127">
        <v>1366.35</v>
      </c>
      <c r="D127">
        <v>1355.7</v>
      </c>
      <c r="E127">
        <v>1365.51</v>
      </c>
      <c r="F127">
        <v>3301650000</v>
      </c>
      <c r="G127">
        <v>1365.51</v>
      </c>
      <c r="H127" t="s">
        <v>1</v>
      </c>
      <c r="I127" s="22">
        <f t="shared" si="3"/>
        <v>2.4563100993451855E-3</v>
      </c>
      <c r="J127" s="22" t="str">
        <f t="shared" si="4"/>
        <v/>
      </c>
    </row>
    <row r="128" spans="1:10">
      <c r="A128" s="1">
        <v>41093</v>
      </c>
      <c r="B128">
        <v>1365.75</v>
      </c>
      <c r="C128">
        <v>1374.81</v>
      </c>
      <c r="D128">
        <v>1363.53</v>
      </c>
      <c r="E128">
        <v>1374.02</v>
      </c>
      <c r="F128">
        <v>2116390000</v>
      </c>
      <c r="G128">
        <v>1374.02</v>
      </c>
      <c r="H128" t="s">
        <v>1</v>
      </c>
      <c r="I128" s="22">
        <f t="shared" si="3"/>
        <v>6.2127645053796339E-3</v>
      </c>
      <c r="J128" s="22" t="str">
        <f t="shared" si="4"/>
        <v/>
      </c>
    </row>
    <row r="129" spans="1:10">
      <c r="A129" s="1">
        <v>41095</v>
      </c>
      <c r="B129">
        <v>1373.72</v>
      </c>
      <c r="C129">
        <v>1373.85</v>
      </c>
      <c r="D129">
        <v>1363.02</v>
      </c>
      <c r="E129">
        <v>1367.58</v>
      </c>
      <c r="F129">
        <v>3041520000</v>
      </c>
      <c r="G129">
        <v>1367.58</v>
      </c>
      <c r="H129" t="s">
        <v>1</v>
      </c>
      <c r="I129" s="22">
        <f t="shared" si="3"/>
        <v>-4.6979952180121604E-3</v>
      </c>
      <c r="J129" s="22" t="str">
        <f t="shared" si="4"/>
        <v>lost money</v>
      </c>
    </row>
    <row r="130" spans="1:10">
      <c r="A130" s="1">
        <v>41096</v>
      </c>
      <c r="B130">
        <v>1367.09</v>
      </c>
      <c r="C130">
        <v>1367.09</v>
      </c>
      <c r="D130">
        <v>1348.03</v>
      </c>
      <c r="E130">
        <v>1354.68</v>
      </c>
      <c r="F130">
        <v>2745140000</v>
      </c>
      <c r="G130">
        <v>1354.68</v>
      </c>
      <c r="H130" t="s">
        <v>1</v>
      </c>
      <c r="I130" s="22">
        <f t="shared" si="3"/>
        <v>-9.4774904376453764E-3</v>
      </c>
      <c r="J130" s="22" t="str">
        <f t="shared" si="4"/>
        <v>lost money</v>
      </c>
    </row>
    <row r="131" spans="1:10">
      <c r="A131" s="1">
        <v>41099</v>
      </c>
      <c r="B131">
        <v>1354.66</v>
      </c>
      <c r="C131">
        <v>1354.87</v>
      </c>
      <c r="D131">
        <v>1346.65</v>
      </c>
      <c r="E131">
        <v>1352.46</v>
      </c>
      <c r="F131">
        <v>2904860000</v>
      </c>
      <c r="G131">
        <v>1352.46</v>
      </c>
      <c r="H131" t="s">
        <v>1</v>
      </c>
      <c r="I131" s="22">
        <f t="shared" ref="I131:I194" si="5">IF(A131=$A$2,"",LN(G131/G130))</f>
        <v>-1.6401076395319903E-3</v>
      </c>
      <c r="J131" s="22" t="str">
        <f t="shared" ref="J131:J194" si="6">IF(B131&gt;E131,"lost money","")</f>
        <v>lost money</v>
      </c>
    </row>
    <row r="132" spans="1:10">
      <c r="A132" s="1">
        <v>41100</v>
      </c>
      <c r="B132">
        <v>1352.96</v>
      </c>
      <c r="C132">
        <v>1361.54</v>
      </c>
      <c r="D132">
        <v>1336.27</v>
      </c>
      <c r="E132">
        <v>1341.47</v>
      </c>
      <c r="F132">
        <v>3470600000</v>
      </c>
      <c r="G132">
        <v>1341.47</v>
      </c>
      <c r="H132" t="s">
        <v>1</v>
      </c>
      <c r="I132" s="22">
        <f t="shared" si="5"/>
        <v>-8.1591288327641839E-3</v>
      </c>
      <c r="J132" s="22" t="str">
        <f t="shared" si="6"/>
        <v>lost money</v>
      </c>
    </row>
    <row r="133" spans="1:10">
      <c r="A133" s="1">
        <v>41101</v>
      </c>
      <c r="B133">
        <v>1341.4</v>
      </c>
      <c r="C133">
        <v>1345</v>
      </c>
      <c r="D133">
        <v>1333.25</v>
      </c>
      <c r="E133">
        <v>1341.45</v>
      </c>
      <c r="F133">
        <v>3426290000</v>
      </c>
      <c r="G133">
        <v>1341.45</v>
      </c>
      <c r="H133" t="s">
        <v>1</v>
      </c>
      <c r="I133" s="22">
        <f t="shared" si="5"/>
        <v>-1.490912885989825E-5</v>
      </c>
      <c r="J133" s="22" t="str">
        <f t="shared" si="6"/>
        <v/>
      </c>
    </row>
    <row r="134" spans="1:10">
      <c r="A134" s="1">
        <v>41102</v>
      </c>
      <c r="B134">
        <v>1341.29</v>
      </c>
      <c r="C134">
        <v>1341.29</v>
      </c>
      <c r="D134">
        <v>1325.41</v>
      </c>
      <c r="E134">
        <v>1334.76</v>
      </c>
      <c r="F134">
        <v>3654440000</v>
      </c>
      <c r="G134">
        <v>1334.76</v>
      </c>
      <c r="H134" t="s">
        <v>1</v>
      </c>
      <c r="I134" s="22">
        <f t="shared" si="5"/>
        <v>-4.9996180683616704E-3</v>
      </c>
      <c r="J134" s="22" t="str">
        <f t="shared" si="6"/>
        <v>lost money</v>
      </c>
    </row>
    <row r="135" spans="1:10">
      <c r="A135" s="1">
        <v>41103</v>
      </c>
      <c r="B135">
        <v>1334.81</v>
      </c>
      <c r="C135">
        <v>1357.7</v>
      </c>
      <c r="D135">
        <v>1334.81</v>
      </c>
      <c r="E135">
        <v>1356.78</v>
      </c>
      <c r="F135">
        <v>3212930000</v>
      </c>
      <c r="G135">
        <v>1356.78</v>
      </c>
      <c r="H135" t="s">
        <v>1</v>
      </c>
      <c r="I135" s="22">
        <f t="shared" si="5"/>
        <v>1.636274497101934E-2</v>
      </c>
      <c r="J135" s="22" t="str">
        <f t="shared" si="6"/>
        <v/>
      </c>
    </row>
    <row r="136" spans="1:10">
      <c r="A136" s="1">
        <v>41106</v>
      </c>
      <c r="B136">
        <v>1356.5</v>
      </c>
      <c r="C136">
        <v>1357.26</v>
      </c>
      <c r="D136">
        <v>1348.51</v>
      </c>
      <c r="E136">
        <v>1353.64</v>
      </c>
      <c r="F136">
        <v>2862720000</v>
      </c>
      <c r="G136">
        <v>1353.64</v>
      </c>
      <c r="H136" t="s">
        <v>1</v>
      </c>
      <c r="I136" s="22">
        <f t="shared" si="5"/>
        <v>-2.316985120192678E-3</v>
      </c>
      <c r="J136" s="22" t="str">
        <f t="shared" si="6"/>
        <v>lost money</v>
      </c>
    </row>
    <row r="137" spans="1:10">
      <c r="A137" s="1">
        <v>41107</v>
      </c>
      <c r="B137">
        <v>1353.68</v>
      </c>
      <c r="C137">
        <v>1365.36</v>
      </c>
      <c r="D137">
        <v>1345.07</v>
      </c>
      <c r="E137">
        <v>1363.67</v>
      </c>
      <c r="F137">
        <v>3566680000</v>
      </c>
      <c r="G137">
        <v>1363.67</v>
      </c>
      <c r="H137" t="s">
        <v>1</v>
      </c>
      <c r="I137" s="22">
        <f t="shared" si="5"/>
        <v>7.3823344056611782E-3</v>
      </c>
      <c r="J137" s="22" t="str">
        <f t="shared" si="6"/>
        <v/>
      </c>
    </row>
    <row r="138" spans="1:10">
      <c r="A138" s="1">
        <v>41108</v>
      </c>
      <c r="B138">
        <v>1363.58</v>
      </c>
      <c r="C138">
        <v>1375.26</v>
      </c>
      <c r="D138">
        <v>1358.96</v>
      </c>
      <c r="E138">
        <v>1372.78</v>
      </c>
      <c r="F138">
        <v>3642630000</v>
      </c>
      <c r="G138">
        <v>1372.78</v>
      </c>
      <c r="H138" t="s">
        <v>1</v>
      </c>
      <c r="I138" s="22">
        <f t="shared" si="5"/>
        <v>6.6582862145774472E-3</v>
      </c>
      <c r="J138" s="22" t="str">
        <f t="shared" si="6"/>
        <v/>
      </c>
    </row>
    <row r="139" spans="1:10">
      <c r="A139" s="1">
        <v>41109</v>
      </c>
      <c r="B139">
        <v>1373.01</v>
      </c>
      <c r="C139">
        <v>1380.39</v>
      </c>
      <c r="D139">
        <v>1371.21</v>
      </c>
      <c r="E139">
        <v>1376.51</v>
      </c>
      <c r="F139">
        <v>4043360000</v>
      </c>
      <c r="G139">
        <v>1376.51</v>
      </c>
      <c r="H139" t="s">
        <v>1</v>
      </c>
      <c r="I139" s="22">
        <f t="shared" si="5"/>
        <v>2.7134294953041031E-3</v>
      </c>
      <c r="J139" s="22" t="str">
        <f t="shared" si="6"/>
        <v/>
      </c>
    </row>
    <row r="140" spans="1:10">
      <c r="A140" s="1">
        <v>41110</v>
      </c>
      <c r="B140">
        <v>1376.51</v>
      </c>
      <c r="C140">
        <v>1376.51</v>
      </c>
      <c r="D140">
        <v>1362.19</v>
      </c>
      <c r="E140">
        <v>1362.66</v>
      </c>
      <c r="F140">
        <v>3925020000</v>
      </c>
      <c r="G140">
        <v>1362.66</v>
      </c>
      <c r="H140" t="s">
        <v>1</v>
      </c>
      <c r="I140" s="22">
        <f t="shared" si="5"/>
        <v>-1.011263852275059E-2</v>
      </c>
      <c r="J140" s="22" t="str">
        <f t="shared" si="6"/>
        <v>lost money</v>
      </c>
    </row>
    <row r="141" spans="1:10">
      <c r="A141" s="1">
        <v>41113</v>
      </c>
      <c r="B141">
        <v>1362.34</v>
      </c>
      <c r="C141">
        <v>1362.34</v>
      </c>
      <c r="D141">
        <v>1337.56</v>
      </c>
      <c r="E141">
        <v>1350.52</v>
      </c>
      <c r="F141">
        <v>3717180000</v>
      </c>
      <c r="G141">
        <v>1350.52</v>
      </c>
      <c r="H141" t="s">
        <v>1</v>
      </c>
      <c r="I141" s="22">
        <f t="shared" si="5"/>
        <v>-8.9489683826660012E-3</v>
      </c>
      <c r="J141" s="22" t="str">
        <f t="shared" si="6"/>
        <v>lost money</v>
      </c>
    </row>
    <row r="142" spans="1:10">
      <c r="A142" s="1">
        <v>41114</v>
      </c>
      <c r="B142">
        <v>1350.52</v>
      </c>
      <c r="C142">
        <v>1351.53</v>
      </c>
      <c r="D142">
        <v>1329.24</v>
      </c>
      <c r="E142">
        <v>1338.31</v>
      </c>
      <c r="F142">
        <v>3891290000</v>
      </c>
      <c r="G142">
        <v>1338.31</v>
      </c>
      <c r="H142" t="s">
        <v>1</v>
      </c>
      <c r="I142" s="22">
        <f t="shared" si="5"/>
        <v>-9.0820795122977943E-3</v>
      </c>
      <c r="J142" s="22" t="str">
        <f t="shared" si="6"/>
        <v>lost money</v>
      </c>
    </row>
    <row r="143" spans="1:10">
      <c r="A143" s="1">
        <v>41115</v>
      </c>
      <c r="B143">
        <v>1338.35</v>
      </c>
      <c r="C143">
        <v>1343.98</v>
      </c>
      <c r="D143">
        <v>1331.5</v>
      </c>
      <c r="E143">
        <v>1337.89</v>
      </c>
      <c r="F143">
        <v>3719170000</v>
      </c>
      <c r="G143">
        <v>1337.89</v>
      </c>
      <c r="H143" t="s">
        <v>1</v>
      </c>
      <c r="I143" s="22">
        <f t="shared" si="5"/>
        <v>-3.1387788913235705E-4</v>
      </c>
      <c r="J143" s="22" t="str">
        <f t="shared" si="6"/>
        <v>lost money</v>
      </c>
    </row>
    <row r="144" spans="1:10">
      <c r="A144" s="1">
        <v>41116</v>
      </c>
      <c r="B144">
        <v>1338.17</v>
      </c>
      <c r="C144">
        <v>1363.13</v>
      </c>
      <c r="D144">
        <v>1338.17</v>
      </c>
      <c r="E144">
        <v>1360.02</v>
      </c>
      <c r="F144">
        <v>4429300000</v>
      </c>
      <c r="G144">
        <v>1360.02</v>
      </c>
      <c r="H144" t="s">
        <v>1</v>
      </c>
      <c r="I144" s="22">
        <f t="shared" si="5"/>
        <v>1.6405659452859416E-2</v>
      </c>
      <c r="J144" s="22" t="str">
        <f t="shared" si="6"/>
        <v/>
      </c>
    </row>
    <row r="145" spans="1:10">
      <c r="A145" s="1">
        <v>41117</v>
      </c>
      <c r="B145">
        <v>1360.05</v>
      </c>
      <c r="C145">
        <v>1389.19</v>
      </c>
      <c r="D145">
        <v>1360.05</v>
      </c>
      <c r="E145">
        <v>1385.97</v>
      </c>
      <c r="F145">
        <v>4399010000</v>
      </c>
      <c r="G145">
        <v>1385.97</v>
      </c>
      <c r="H145" t="s">
        <v>1</v>
      </c>
      <c r="I145" s="22">
        <f t="shared" si="5"/>
        <v>1.8900849989626385E-2</v>
      </c>
      <c r="J145" s="22" t="str">
        <f t="shared" si="6"/>
        <v/>
      </c>
    </row>
    <row r="146" spans="1:10">
      <c r="A146" s="1">
        <v>41120</v>
      </c>
      <c r="B146">
        <v>1385.94</v>
      </c>
      <c r="C146">
        <v>1391.74</v>
      </c>
      <c r="D146">
        <v>1381.37</v>
      </c>
      <c r="E146">
        <v>1385.3</v>
      </c>
      <c r="F146">
        <v>3212060000</v>
      </c>
      <c r="G146">
        <v>1385.3</v>
      </c>
      <c r="H146" t="s">
        <v>1</v>
      </c>
      <c r="I146" s="22">
        <f t="shared" si="5"/>
        <v>-4.8353283011341573E-4</v>
      </c>
      <c r="J146" s="22" t="str">
        <f t="shared" si="6"/>
        <v>lost money</v>
      </c>
    </row>
    <row r="147" spans="1:10">
      <c r="A147" s="1">
        <v>41121</v>
      </c>
      <c r="B147">
        <v>1385.27</v>
      </c>
      <c r="C147">
        <v>1387.16</v>
      </c>
      <c r="D147">
        <v>1379.17</v>
      </c>
      <c r="E147">
        <v>1379.32</v>
      </c>
      <c r="F147">
        <v>3821570000</v>
      </c>
      <c r="G147">
        <v>1379.32</v>
      </c>
      <c r="H147" t="s">
        <v>1</v>
      </c>
      <c r="I147" s="22">
        <f t="shared" si="5"/>
        <v>-4.3260985787338772E-3</v>
      </c>
      <c r="J147" s="22" t="str">
        <f t="shared" si="6"/>
        <v>lost money</v>
      </c>
    </row>
    <row r="148" spans="1:10">
      <c r="A148" s="1">
        <v>41122</v>
      </c>
      <c r="B148">
        <v>1379.32</v>
      </c>
      <c r="C148">
        <v>1385.03</v>
      </c>
      <c r="D148">
        <v>1373.35</v>
      </c>
      <c r="E148">
        <v>1375.32</v>
      </c>
      <c r="F148">
        <v>4440920000</v>
      </c>
      <c r="G148">
        <v>1375.32</v>
      </c>
      <c r="H148" t="s">
        <v>1</v>
      </c>
      <c r="I148" s="22">
        <f t="shared" si="5"/>
        <v>-2.9041927884913225E-3</v>
      </c>
      <c r="J148" s="22" t="str">
        <f t="shared" si="6"/>
        <v>lost money</v>
      </c>
    </row>
    <row r="149" spans="1:10">
      <c r="A149" s="1">
        <v>41123</v>
      </c>
      <c r="B149">
        <v>1375.13</v>
      </c>
      <c r="C149">
        <v>1375.13</v>
      </c>
      <c r="D149">
        <v>1354.65</v>
      </c>
      <c r="E149">
        <v>1365</v>
      </c>
      <c r="F149">
        <v>4193740000</v>
      </c>
      <c r="G149">
        <v>1365</v>
      </c>
      <c r="H149" t="s">
        <v>1</v>
      </c>
      <c r="I149" s="22">
        <f t="shared" si="5"/>
        <v>-7.532002677547946E-3</v>
      </c>
      <c r="J149" s="22" t="str">
        <f t="shared" si="6"/>
        <v>lost money</v>
      </c>
    </row>
    <row r="150" spans="1:10">
      <c r="A150" s="1">
        <v>41124</v>
      </c>
      <c r="B150">
        <v>1365.45</v>
      </c>
      <c r="C150">
        <v>1394.16</v>
      </c>
      <c r="D150">
        <v>1365.45</v>
      </c>
      <c r="E150">
        <v>1390.99</v>
      </c>
      <c r="F150">
        <v>3751170000</v>
      </c>
      <c r="G150">
        <v>1390.99</v>
      </c>
      <c r="H150" t="s">
        <v>1</v>
      </c>
      <c r="I150" s="22">
        <f t="shared" si="5"/>
        <v>1.8861295205931709E-2</v>
      </c>
      <c r="J150" s="22" t="str">
        <f t="shared" si="6"/>
        <v/>
      </c>
    </row>
    <row r="151" spans="1:10">
      <c r="A151" s="1">
        <v>41127</v>
      </c>
      <c r="B151">
        <v>1391.04</v>
      </c>
      <c r="C151">
        <v>1399.63</v>
      </c>
      <c r="D151">
        <v>1391.04</v>
      </c>
      <c r="E151">
        <v>1394.23</v>
      </c>
      <c r="F151">
        <v>3122050000</v>
      </c>
      <c r="G151">
        <v>1394.23</v>
      </c>
      <c r="H151" t="s">
        <v>1</v>
      </c>
      <c r="I151" s="22">
        <f t="shared" si="5"/>
        <v>2.3265677120569918E-3</v>
      </c>
      <c r="J151" s="22" t="str">
        <f t="shared" si="6"/>
        <v/>
      </c>
    </row>
    <row r="152" spans="1:10">
      <c r="A152" s="1">
        <v>41128</v>
      </c>
      <c r="B152">
        <v>1394.46</v>
      </c>
      <c r="C152">
        <v>1407.14</v>
      </c>
      <c r="D152">
        <v>1394.46</v>
      </c>
      <c r="E152">
        <v>1401.35</v>
      </c>
      <c r="F152">
        <v>3682490000</v>
      </c>
      <c r="G152">
        <v>1401.35</v>
      </c>
      <c r="H152" t="s">
        <v>1</v>
      </c>
      <c r="I152" s="22">
        <f t="shared" si="5"/>
        <v>5.0937661557810326E-3</v>
      </c>
      <c r="J152" s="22" t="str">
        <f t="shared" si="6"/>
        <v/>
      </c>
    </row>
    <row r="153" spans="1:10">
      <c r="A153" s="1">
        <v>41129</v>
      </c>
      <c r="B153">
        <v>1401.23</v>
      </c>
      <c r="C153">
        <v>1404.14</v>
      </c>
      <c r="D153">
        <v>1396.13</v>
      </c>
      <c r="E153">
        <v>1402.22</v>
      </c>
      <c r="F153">
        <v>3221790000</v>
      </c>
      <c r="G153">
        <v>1402.22</v>
      </c>
      <c r="H153" t="s">
        <v>1</v>
      </c>
      <c r="I153" s="22">
        <f t="shared" si="5"/>
        <v>6.2063727884550447E-4</v>
      </c>
      <c r="J153" s="22" t="str">
        <f t="shared" si="6"/>
        <v/>
      </c>
    </row>
    <row r="154" spans="1:10">
      <c r="A154" s="1">
        <v>41130</v>
      </c>
      <c r="B154">
        <v>1402.26</v>
      </c>
      <c r="C154">
        <v>1405.95</v>
      </c>
      <c r="D154">
        <v>1398.8</v>
      </c>
      <c r="E154">
        <v>1402.8</v>
      </c>
      <c r="F154">
        <v>3119610000</v>
      </c>
      <c r="G154">
        <v>1402.8</v>
      </c>
      <c r="H154" t="s">
        <v>1</v>
      </c>
      <c r="I154" s="22">
        <f t="shared" si="5"/>
        <v>4.13544294347905E-4</v>
      </c>
      <c r="J154" s="22" t="str">
        <f t="shared" si="6"/>
        <v/>
      </c>
    </row>
    <row r="155" spans="1:10">
      <c r="A155" s="1">
        <v>41131</v>
      </c>
      <c r="B155">
        <v>1402.58</v>
      </c>
      <c r="C155">
        <v>1405.98</v>
      </c>
      <c r="D155">
        <v>1395.62</v>
      </c>
      <c r="E155">
        <v>1405.87</v>
      </c>
      <c r="F155">
        <v>2767980000</v>
      </c>
      <c r="G155">
        <v>1405.87</v>
      </c>
      <c r="H155" t="s">
        <v>1</v>
      </c>
      <c r="I155" s="22">
        <f t="shared" si="5"/>
        <v>2.1860889478816747E-3</v>
      </c>
      <c r="J155" s="22" t="str">
        <f t="shared" si="6"/>
        <v/>
      </c>
    </row>
    <row r="156" spans="1:10">
      <c r="A156" s="1">
        <v>41134</v>
      </c>
      <c r="B156">
        <v>1405.87</v>
      </c>
      <c r="C156">
        <v>1405.87</v>
      </c>
      <c r="D156">
        <v>1397.32</v>
      </c>
      <c r="E156">
        <v>1404.11</v>
      </c>
      <c r="F156">
        <v>2499990000</v>
      </c>
      <c r="G156">
        <v>1404.11</v>
      </c>
      <c r="H156" t="s">
        <v>1</v>
      </c>
      <c r="I156" s="22">
        <f t="shared" si="5"/>
        <v>-1.2526781188120387E-3</v>
      </c>
      <c r="J156" s="22" t="str">
        <f t="shared" si="6"/>
        <v>lost money</v>
      </c>
    </row>
    <row r="157" spans="1:10">
      <c r="A157" s="1">
        <v>41135</v>
      </c>
      <c r="B157">
        <v>1404.36</v>
      </c>
      <c r="C157">
        <v>1410.03</v>
      </c>
      <c r="D157">
        <v>1400.6</v>
      </c>
      <c r="E157">
        <v>1403.93</v>
      </c>
      <c r="F157">
        <v>2930900000</v>
      </c>
      <c r="G157">
        <v>1403.93</v>
      </c>
      <c r="H157" t="s">
        <v>1</v>
      </c>
      <c r="I157" s="22">
        <f t="shared" si="5"/>
        <v>-1.2820330212278219E-4</v>
      </c>
      <c r="J157" s="22" t="str">
        <f t="shared" si="6"/>
        <v>lost money</v>
      </c>
    </row>
    <row r="158" spans="1:10">
      <c r="A158" s="1">
        <v>41136</v>
      </c>
      <c r="B158">
        <v>1403.89</v>
      </c>
      <c r="C158">
        <v>1407.73</v>
      </c>
      <c r="D158">
        <v>1401.83</v>
      </c>
      <c r="E158">
        <v>1405.53</v>
      </c>
      <c r="F158">
        <v>2655750000</v>
      </c>
      <c r="G158">
        <v>1405.53</v>
      </c>
      <c r="H158" t="s">
        <v>1</v>
      </c>
      <c r="I158" s="22">
        <f t="shared" si="5"/>
        <v>1.1390090430037803E-3</v>
      </c>
      <c r="J158" s="22" t="str">
        <f t="shared" si="6"/>
        <v/>
      </c>
    </row>
    <row r="159" spans="1:10">
      <c r="A159" s="1">
        <v>41137</v>
      </c>
      <c r="B159">
        <v>1405.57</v>
      </c>
      <c r="C159">
        <v>1417.44</v>
      </c>
      <c r="D159">
        <v>1404.15</v>
      </c>
      <c r="E159">
        <v>1415.51</v>
      </c>
      <c r="F159">
        <v>3114100000</v>
      </c>
      <c r="G159">
        <v>1415.51</v>
      </c>
      <c r="H159" t="s">
        <v>1</v>
      </c>
      <c r="I159" s="22">
        <f t="shared" si="5"/>
        <v>7.0754343324954463E-3</v>
      </c>
      <c r="J159" s="22" t="str">
        <f t="shared" si="6"/>
        <v/>
      </c>
    </row>
    <row r="160" spans="1:10">
      <c r="A160" s="1">
        <v>41138</v>
      </c>
      <c r="B160">
        <v>1415.84</v>
      </c>
      <c r="C160">
        <v>1418.71</v>
      </c>
      <c r="D160">
        <v>1414.67</v>
      </c>
      <c r="E160">
        <v>1418.16</v>
      </c>
      <c r="F160">
        <v>2922990000</v>
      </c>
      <c r="G160">
        <v>1418.16</v>
      </c>
      <c r="H160" t="s">
        <v>1</v>
      </c>
      <c r="I160" s="22">
        <f t="shared" si="5"/>
        <v>1.8703665370596102E-3</v>
      </c>
      <c r="J160" s="22" t="str">
        <f t="shared" si="6"/>
        <v/>
      </c>
    </row>
    <row r="161" spans="1:10">
      <c r="A161" s="1">
        <v>41141</v>
      </c>
      <c r="B161">
        <v>1417.85</v>
      </c>
      <c r="C161">
        <v>1418.13</v>
      </c>
      <c r="D161">
        <v>1412.12</v>
      </c>
      <c r="E161">
        <v>1418.13</v>
      </c>
      <c r="F161">
        <v>2766320000</v>
      </c>
      <c r="G161">
        <v>1418.13</v>
      </c>
      <c r="H161" t="s">
        <v>1</v>
      </c>
      <c r="I161" s="22">
        <f t="shared" si="5"/>
        <v>-2.1154395355287849E-5</v>
      </c>
      <c r="J161" s="22" t="str">
        <f t="shared" si="6"/>
        <v/>
      </c>
    </row>
    <row r="162" spans="1:10">
      <c r="A162" s="1">
        <v>41142</v>
      </c>
      <c r="B162">
        <v>1418.13</v>
      </c>
      <c r="C162">
        <v>1426.68</v>
      </c>
      <c r="D162">
        <v>1410.86</v>
      </c>
      <c r="E162">
        <v>1413.17</v>
      </c>
      <c r="F162">
        <v>3282950000</v>
      </c>
      <c r="G162">
        <v>1413.17</v>
      </c>
      <c r="H162" t="s">
        <v>1</v>
      </c>
      <c r="I162" s="22">
        <f t="shared" si="5"/>
        <v>-3.5036944682847937E-3</v>
      </c>
      <c r="J162" s="22" t="str">
        <f t="shared" si="6"/>
        <v>lost money</v>
      </c>
    </row>
    <row r="163" spans="1:10">
      <c r="A163" s="1">
        <v>41143</v>
      </c>
      <c r="B163">
        <v>1413.09</v>
      </c>
      <c r="C163">
        <v>1416.12</v>
      </c>
      <c r="D163">
        <v>1406.78</v>
      </c>
      <c r="E163">
        <v>1413.49</v>
      </c>
      <c r="F163">
        <v>3062690000</v>
      </c>
      <c r="G163">
        <v>1413.49</v>
      </c>
      <c r="H163" t="s">
        <v>1</v>
      </c>
      <c r="I163" s="22">
        <f t="shared" si="5"/>
        <v>2.2641562930589981E-4</v>
      </c>
      <c r="J163" s="22" t="str">
        <f t="shared" si="6"/>
        <v/>
      </c>
    </row>
    <row r="164" spans="1:10">
      <c r="A164" s="1">
        <v>41144</v>
      </c>
      <c r="B164">
        <v>1413.49</v>
      </c>
      <c r="C164">
        <v>1413.49</v>
      </c>
      <c r="D164">
        <v>1400.5</v>
      </c>
      <c r="E164">
        <v>1402.08</v>
      </c>
      <c r="F164">
        <v>3008240000</v>
      </c>
      <c r="G164">
        <v>1402.08</v>
      </c>
      <c r="H164" t="s">
        <v>1</v>
      </c>
      <c r="I164" s="22">
        <f t="shared" si="5"/>
        <v>-8.1049751636543699E-3</v>
      </c>
      <c r="J164" s="22" t="str">
        <f t="shared" si="6"/>
        <v>lost money</v>
      </c>
    </row>
    <row r="165" spans="1:10">
      <c r="A165" s="1">
        <v>41145</v>
      </c>
      <c r="B165">
        <v>1401.99</v>
      </c>
      <c r="C165">
        <v>1413.46</v>
      </c>
      <c r="D165">
        <v>1398.04</v>
      </c>
      <c r="E165">
        <v>1411.13</v>
      </c>
      <c r="F165">
        <v>2598790000</v>
      </c>
      <c r="G165">
        <v>1411.13</v>
      </c>
      <c r="H165" t="s">
        <v>1</v>
      </c>
      <c r="I165" s="22">
        <f t="shared" si="5"/>
        <v>6.4339535401051222E-3</v>
      </c>
      <c r="J165" s="22" t="str">
        <f t="shared" si="6"/>
        <v/>
      </c>
    </row>
    <row r="166" spans="1:10">
      <c r="A166" s="1">
        <v>41148</v>
      </c>
      <c r="B166">
        <v>1411.13</v>
      </c>
      <c r="C166">
        <v>1416.17</v>
      </c>
      <c r="D166">
        <v>1409.11</v>
      </c>
      <c r="E166">
        <v>1410.44</v>
      </c>
      <c r="F166">
        <v>2472500000</v>
      </c>
      <c r="G166">
        <v>1410.44</v>
      </c>
      <c r="H166" t="s">
        <v>1</v>
      </c>
      <c r="I166" s="22">
        <f t="shared" si="5"/>
        <v>-4.8908941741975952E-4</v>
      </c>
      <c r="J166" s="22" t="str">
        <f t="shared" si="6"/>
        <v>lost money</v>
      </c>
    </row>
    <row r="167" spans="1:10">
      <c r="A167" s="1">
        <v>41149</v>
      </c>
      <c r="B167">
        <v>1410.44</v>
      </c>
      <c r="C167">
        <v>1413.63</v>
      </c>
      <c r="D167">
        <v>1405.59</v>
      </c>
      <c r="E167">
        <v>1409.3</v>
      </c>
      <c r="F167">
        <v>2629090000</v>
      </c>
      <c r="G167">
        <v>1409.3</v>
      </c>
      <c r="H167" t="s">
        <v>1</v>
      </c>
      <c r="I167" s="22">
        <f t="shared" si="5"/>
        <v>-8.0858523276048809E-4</v>
      </c>
      <c r="J167" s="22" t="str">
        <f t="shared" si="6"/>
        <v>lost money</v>
      </c>
    </row>
    <row r="168" spans="1:10">
      <c r="A168" s="1">
        <v>41150</v>
      </c>
      <c r="B168">
        <v>1409.32</v>
      </c>
      <c r="C168">
        <v>1413.95</v>
      </c>
      <c r="D168">
        <v>1406.57</v>
      </c>
      <c r="E168">
        <v>1410.49</v>
      </c>
      <c r="F168">
        <v>2571220000</v>
      </c>
      <c r="G168">
        <v>1410.49</v>
      </c>
      <c r="H168" t="s">
        <v>1</v>
      </c>
      <c r="I168" s="22">
        <f t="shared" si="5"/>
        <v>8.4403453494465283E-4</v>
      </c>
      <c r="J168" s="22" t="str">
        <f t="shared" si="6"/>
        <v/>
      </c>
    </row>
    <row r="169" spans="1:10">
      <c r="A169" s="1">
        <v>41151</v>
      </c>
      <c r="B169">
        <v>1410.08</v>
      </c>
      <c r="C169">
        <v>1410.08</v>
      </c>
      <c r="D169">
        <v>1397.01</v>
      </c>
      <c r="E169">
        <v>1399.48</v>
      </c>
      <c r="F169">
        <v>2530280000</v>
      </c>
      <c r="G169">
        <v>1399.48</v>
      </c>
      <c r="H169" t="s">
        <v>1</v>
      </c>
      <c r="I169" s="22">
        <f t="shared" si="5"/>
        <v>-7.836422697165871E-3</v>
      </c>
      <c r="J169" s="22" t="str">
        <f t="shared" si="6"/>
        <v>lost money</v>
      </c>
    </row>
    <row r="170" spans="1:10">
      <c r="A170" s="1">
        <v>41152</v>
      </c>
      <c r="B170">
        <v>1400.07</v>
      </c>
      <c r="C170">
        <v>1413.09</v>
      </c>
      <c r="D170">
        <v>1398.96</v>
      </c>
      <c r="E170">
        <v>1406.58</v>
      </c>
      <c r="F170">
        <v>2938250000</v>
      </c>
      <c r="G170">
        <v>1406.58</v>
      </c>
      <c r="H170" t="s">
        <v>1</v>
      </c>
      <c r="I170" s="22">
        <f t="shared" si="5"/>
        <v>5.0604870542372508E-3</v>
      </c>
      <c r="J170" s="22" t="str">
        <f t="shared" si="6"/>
        <v/>
      </c>
    </row>
    <row r="171" spans="1:10">
      <c r="A171" s="1">
        <v>41156</v>
      </c>
      <c r="B171">
        <v>1406.54</v>
      </c>
      <c r="C171">
        <v>1409.31</v>
      </c>
      <c r="D171">
        <v>1396.56</v>
      </c>
      <c r="E171">
        <v>1404.94</v>
      </c>
      <c r="F171">
        <v>3200310000</v>
      </c>
      <c r="G171">
        <v>1404.94</v>
      </c>
      <c r="H171" t="s">
        <v>1</v>
      </c>
      <c r="I171" s="22">
        <f t="shared" si="5"/>
        <v>-1.1666288598383128E-3</v>
      </c>
      <c r="J171" s="22" t="str">
        <f t="shared" si="6"/>
        <v>lost money</v>
      </c>
    </row>
    <row r="172" spans="1:10">
      <c r="A172" s="1">
        <v>41157</v>
      </c>
      <c r="B172">
        <v>1404.94</v>
      </c>
      <c r="C172">
        <v>1408.81</v>
      </c>
      <c r="D172">
        <v>1401.25</v>
      </c>
      <c r="E172">
        <v>1403.44</v>
      </c>
      <c r="F172">
        <v>3389110000</v>
      </c>
      <c r="G172">
        <v>1403.44</v>
      </c>
      <c r="H172" t="s">
        <v>1</v>
      </c>
      <c r="I172" s="22">
        <f t="shared" si="5"/>
        <v>-1.0682316087138285E-3</v>
      </c>
      <c r="J172" s="22" t="str">
        <f t="shared" si="6"/>
        <v>lost money</v>
      </c>
    </row>
    <row r="173" spans="1:10">
      <c r="A173" s="1">
        <v>41158</v>
      </c>
      <c r="B173">
        <v>1403.74</v>
      </c>
      <c r="C173">
        <v>1432.12</v>
      </c>
      <c r="D173">
        <v>1403.74</v>
      </c>
      <c r="E173">
        <v>1432.12</v>
      </c>
      <c r="F173">
        <v>3952870000</v>
      </c>
      <c r="G173">
        <v>1432.12</v>
      </c>
      <c r="H173" t="s">
        <v>1</v>
      </c>
      <c r="I173" s="22">
        <f t="shared" si="5"/>
        <v>2.0229498271412946E-2</v>
      </c>
      <c r="J173" s="22" t="str">
        <f t="shared" si="6"/>
        <v/>
      </c>
    </row>
    <row r="174" spans="1:10">
      <c r="A174" s="1">
        <v>41159</v>
      </c>
      <c r="B174">
        <v>1432.12</v>
      </c>
      <c r="C174">
        <v>1437.92</v>
      </c>
      <c r="D174">
        <v>1431.45</v>
      </c>
      <c r="E174">
        <v>1437.92</v>
      </c>
      <c r="F174">
        <v>3717620000</v>
      </c>
      <c r="G174">
        <v>1437.92</v>
      </c>
      <c r="H174" t="s">
        <v>1</v>
      </c>
      <c r="I174" s="22">
        <f t="shared" si="5"/>
        <v>4.0417610177212364E-3</v>
      </c>
      <c r="J174" s="22" t="str">
        <f t="shared" si="6"/>
        <v/>
      </c>
    </row>
    <row r="175" spans="1:10">
      <c r="A175" s="1">
        <v>41162</v>
      </c>
      <c r="B175">
        <v>1437.92</v>
      </c>
      <c r="C175">
        <v>1438.74</v>
      </c>
      <c r="D175">
        <v>1428.98</v>
      </c>
      <c r="E175">
        <v>1429.08</v>
      </c>
      <c r="F175">
        <v>3223670000</v>
      </c>
      <c r="G175">
        <v>1429.08</v>
      </c>
      <c r="H175" t="s">
        <v>1</v>
      </c>
      <c r="I175" s="22">
        <f t="shared" si="5"/>
        <v>-6.1667443421586504E-3</v>
      </c>
      <c r="J175" s="22" t="str">
        <f t="shared" si="6"/>
        <v>lost money</v>
      </c>
    </row>
    <row r="176" spans="1:10">
      <c r="A176" s="1">
        <v>41163</v>
      </c>
      <c r="B176">
        <v>1429.13</v>
      </c>
      <c r="C176">
        <v>1437.76</v>
      </c>
      <c r="D176">
        <v>1429.13</v>
      </c>
      <c r="E176">
        <v>1433.56</v>
      </c>
      <c r="F176">
        <v>3509630000</v>
      </c>
      <c r="G176">
        <v>1433.56</v>
      </c>
      <c r="H176" t="s">
        <v>1</v>
      </c>
      <c r="I176" s="22">
        <f t="shared" si="5"/>
        <v>3.1299804777848361E-3</v>
      </c>
      <c r="J176" s="22" t="str">
        <f t="shared" si="6"/>
        <v/>
      </c>
    </row>
    <row r="177" spans="1:10">
      <c r="A177" s="1">
        <v>41164</v>
      </c>
      <c r="B177">
        <v>1433.56</v>
      </c>
      <c r="C177">
        <v>1439.15</v>
      </c>
      <c r="D177">
        <v>1432.99</v>
      </c>
      <c r="E177">
        <v>1436.56</v>
      </c>
      <c r="F177">
        <v>3641200000</v>
      </c>
      <c r="G177">
        <v>1436.56</v>
      </c>
      <c r="H177" t="s">
        <v>1</v>
      </c>
      <c r="I177" s="22">
        <f t="shared" si="5"/>
        <v>2.0905056879527827E-3</v>
      </c>
      <c r="J177" s="22" t="str">
        <f t="shared" si="6"/>
        <v/>
      </c>
    </row>
    <row r="178" spans="1:10">
      <c r="A178" s="1">
        <v>41165</v>
      </c>
      <c r="B178">
        <v>1436.56</v>
      </c>
      <c r="C178">
        <v>1463.76</v>
      </c>
      <c r="D178">
        <v>1435.34</v>
      </c>
      <c r="E178">
        <v>1459.99</v>
      </c>
      <c r="F178">
        <v>4606550000</v>
      </c>
      <c r="G178">
        <v>1459.99</v>
      </c>
      <c r="H178" t="s">
        <v>1</v>
      </c>
      <c r="I178" s="22">
        <f t="shared" si="5"/>
        <v>1.617821963021452E-2</v>
      </c>
      <c r="J178" s="22" t="str">
        <f t="shared" si="6"/>
        <v/>
      </c>
    </row>
    <row r="179" spans="1:10">
      <c r="A179" s="1">
        <v>41166</v>
      </c>
      <c r="B179">
        <v>1460.07</v>
      </c>
      <c r="C179">
        <v>1474.51</v>
      </c>
      <c r="D179">
        <v>1460.07</v>
      </c>
      <c r="E179">
        <v>1465.77</v>
      </c>
      <c r="F179">
        <v>5041990000</v>
      </c>
      <c r="G179">
        <v>1465.77</v>
      </c>
      <c r="H179" t="s">
        <v>1</v>
      </c>
      <c r="I179" s="22">
        <f t="shared" si="5"/>
        <v>3.9511152790704966E-3</v>
      </c>
      <c r="J179" s="22" t="str">
        <f t="shared" si="6"/>
        <v/>
      </c>
    </row>
    <row r="180" spans="1:10">
      <c r="A180" s="1">
        <v>41169</v>
      </c>
      <c r="B180">
        <v>1465.42</v>
      </c>
      <c r="C180">
        <v>1465.63</v>
      </c>
      <c r="D180">
        <v>1457.55</v>
      </c>
      <c r="E180">
        <v>1461.19</v>
      </c>
      <c r="F180">
        <v>3482430000</v>
      </c>
      <c r="G180">
        <v>1461.19</v>
      </c>
      <c r="H180" t="s">
        <v>1</v>
      </c>
      <c r="I180" s="22">
        <f t="shared" si="5"/>
        <v>-3.1295294353358739E-3</v>
      </c>
      <c r="J180" s="22" t="str">
        <f t="shared" si="6"/>
        <v>lost money</v>
      </c>
    </row>
    <row r="181" spans="1:10">
      <c r="A181" s="1">
        <v>41170</v>
      </c>
      <c r="B181">
        <v>1461.19</v>
      </c>
      <c r="C181">
        <v>1461.47</v>
      </c>
      <c r="D181">
        <v>1456.13</v>
      </c>
      <c r="E181">
        <v>1459.32</v>
      </c>
      <c r="F181">
        <v>3377390000</v>
      </c>
      <c r="G181">
        <v>1459.32</v>
      </c>
      <c r="H181" t="s">
        <v>1</v>
      </c>
      <c r="I181" s="22">
        <f t="shared" si="5"/>
        <v>-1.2805984266831857E-3</v>
      </c>
      <c r="J181" s="22" t="str">
        <f t="shared" si="6"/>
        <v>lost money</v>
      </c>
    </row>
    <row r="182" spans="1:10">
      <c r="A182" s="1">
        <v>41171</v>
      </c>
      <c r="B182">
        <v>1459.5</v>
      </c>
      <c r="C182">
        <v>1465.15</v>
      </c>
      <c r="D182">
        <v>1457.88</v>
      </c>
      <c r="E182">
        <v>1461.05</v>
      </c>
      <c r="F182">
        <v>3451360000</v>
      </c>
      <c r="G182">
        <v>1461.05</v>
      </c>
      <c r="H182" t="s">
        <v>1</v>
      </c>
      <c r="I182" s="22">
        <f t="shared" si="5"/>
        <v>1.18478151903211E-3</v>
      </c>
      <c r="J182" s="22" t="str">
        <f t="shared" si="6"/>
        <v/>
      </c>
    </row>
    <row r="183" spans="1:10">
      <c r="A183" s="1">
        <v>41172</v>
      </c>
      <c r="B183">
        <v>1461.05</v>
      </c>
      <c r="C183">
        <v>1461.23</v>
      </c>
      <c r="D183">
        <v>1449.98</v>
      </c>
      <c r="E183">
        <v>1460.26</v>
      </c>
      <c r="F183">
        <v>3382520000</v>
      </c>
      <c r="G183">
        <v>1460.26</v>
      </c>
      <c r="H183" t="s">
        <v>1</v>
      </c>
      <c r="I183" s="22">
        <f t="shared" si="5"/>
        <v>-5.4085326052881347E-4</v>
      </c>
      <c r="J183" s="22" t="str">
        <f t="shared" si="6"/>
        <v>lost money</v>
      </c>
    </row>
    <row r="184" spans="1:10">
      <c r="A184" s="1">
        <v>41173</v>
      </c>
      <c r="B184">
        <v>1460.34</v>
      </c>
      <c r="C184">
        <v>1467.07</v>
      </c>
      <c r="D184">
        <v>1459.51</v>
      </c>
      <c r="E184">
        <v>1460.15</v>
      </c>
      <c r="F184">
        <v>4833870000</v>
      </c>
      <c r="G184">
        <v>1460.15</v>
      </c>
      <c r="H184" t="s">
        <v>1</v>
      </c>
      <c r="I184" s="22">
        <f t="shared" si="5"/>
        <v>-7.5331888366289224E-5</v>
      </c>
      <c r="J184" s="22" t="str">
        <f t="shared" si="6"/>
        <v>lost money</v>
      </c>
    </row>
    <row r="185" spans="1:10">
      <c r="A185" s="1">
        <v>41176</v>
      </c>
      <c r="B185">
        <v>1459.76</v>
      </c>
      <c r="C185">
        <v>1460.72</v>
      </c>
      <c r="D185">
        <v>1452.06</v>
      </c>
      <c r="E185">
        <v>1456.89</v>
      </c>
      <c r="F185">
        <v>3008920000</v>
      </c>
      <c r="G185">
        <v>1456.89</v>
      </c>
      <c r="H185" t="s">
        <v>1</v>
      </c>
      <c r="I185" s="22">
        <f t="shared" si="5"/>
        <v>-2.2351434037312782E-3</v>
      </c>
      <c r="J185" s="22" t="str">
        <f t="shared" si="6"/>
        <v>lost money</v>
      </c>
    </row>
    <row r="186" spans="1:10">
      <c r="A186" s="1">
        <v>41177</v>
      </c>
      <c r="B186">
        <v>1456.94</v>
      </c>
      <c r="C186">
        <v>1463.24</v>
      </c>
      <c r="D186">
        <v>1441.59</v>
      </c>
      <c r="E186">
        <v>1441.59</v>
      </c>
      <c r="F186">
        <v>3739900000</v>
      </c>
      <c r="G186">
        <v>1441.59</v>
      </c>
      <c r="H186" t="s">
        <v>1</v>
      </c>
      <c r="I186" s="22">
        <f t="shared" si="5"/>
        <v>-1.0557355654258943E-2</v>
      </c>
      <c r="J186" s="22" t="str">
        <f t="shared" si="6"/>
        <v>lost money</v>
      </c>
    </row>
    <row r="187" spans="1:10">
      <c r="A187" s="1">
        <v>41178</v>
      </c>
      <c r="B187">
        <v>1441.6</v>
      </c>
      <c r="C187">
        <v>1441.6</v>
      </c>
      <c r="D187">
        <v>1430.53</v>
      </c>
      <c r="E187">
        <v>1433.32</v>
      </c>
      <c r="F187">
        <v>3565380000</v>
      </c>
      <c r="G187">
        <v>1433.32</v>
      </c>
      <c r="H187" t="s">
        <v>1</v>
      </c>
      <c r="I187" s="22">
        <f t="shared" si="5"/>
        <v>-5.7532394483594748E-3</v>
      </c>
      <c r="J187" s="22" t="str">
        <f t="shared" si="6"/>
        <v>lost money</v>
      </c>
    </row>
    <row r="188" spans="1:10">
      <c r="A188" s="1">
        <v>41179</v>
      </c>
      <c r="B188">
        <v>1433.36</v>
      </c>
      <c r="C188">
        <v>1450.2</v>
      </c>
      <c r="D188">
        <v>1433.36</v>
      </c>
      <c r="E188">
        <v>1447.15</v>
      </c>
      <c r="F188">
        <v>3150330000</v>
      </c>
      <c r="G188">
        <v>1447.15</v>
      </c>
      <c r="H188" t="s">
        <v>1</v>
      </c>
      <c r="I188" s="22">
        <f t="shared" si="5"/>
        <v>9.6026733646948151E-3</v>
      </c>
      <c r="J188" s="22" t="str">
        <f t="shared" si="6"/>
        <v/>
      </c>
    </row>
    <row r="189" spans="1:10">
      <c r="A189" s="1">
        <v>41180</v>
      </c>
      <c r="B189">
        <v>1447.13</v>
      </c>
      <c r="C189">
        <v>1447.13</v>
      </c>
      <c r="D189">
        <v>1435.6</v>
      </c>
      <c r="E189">
        <v>1440.67</v>
      </c>
      <c r="F189">
        <v>3509230000</v>
      </c>
      <c r="G189">
        <v>1440.67</v>
      </c>
      <c r="H189" t="s">
        <v>1</v>
      </c>
      <c r="I189" s="22">
        <f t="shared" si="5"/>
        <v>-4.4878218697084783E-3</v>
      </c>
      <c r="J189" s="22" t="str">
        <f t="shared" si="6"/>
        <v>lost money</v>
      </c>
    </row>
    <row r="190" spans="1:10">
      <c r="A190" s="1">
        <v>41183</v>
      </c>
      <c r="B190">
        <v>1440.9</v>
      </c>
      <c r="C190">
        <v>1457.14</v>
      </c>
      <c r="D190">
        <v>1440.9</v>
      </c>
      <c r="E190">
        <v>1444.49</v>
      </c>
      <c r="F190">
        <v>3505080000</v>
      </c>
      <c r="G190">
        <v>1444.49</v>
      </c>
      <c r="H190" t="s">
        <v>1</v>
      </c>
      <c r="I190" s="22">
        <f t="shared" si="5"/>
        <v>2.6480349319839992E-3</v>
      </c>
      <c r="J190" s="22" t="str">
        <f t="shared" si="6"/>
        <v/>
      </c>
    </row>
    <row r="191" spans="1:10">
      <c r="A191" s="1">
        <v>41184</v>
      </c>
      <c r="B191">
        <v>1444.99</v>
      </c>
      <c r="C191">
        <v>1451.52</v>
      </c>
      <c r="D191">
        <v>1439.01</v>
      </c>
      <c r="E191">
        <v>1445.75</v>
      </c>
      <c r="F191">
        <v>3321790000</v>
      </c>
      <c r="G191">
        <v>1445.75</v>
      </c>
      <c r="H191" t="s">
        <v>1</v>
      </c>
      <c r="I191" s="22">
        <f t="shared" si="5"/>
        <v>8.7189996666161944E-4</v>
      </c>
      <c r="J191" s="22" t="str">
        <f t="shared" si="6"/>
        <v/>
      </c>
    </row>
    <row r="192" spans="1:10">
      <c r="A192" s="1">
        <v>41185</v>
      </c>
      <c r="B192">
        <v>1446.05</v>
      </c>
      <c r="C192">
        <v>1454.3</v>
      </c>
      <c r="D192">
        <v>1441.99</v>
      </c>
      <c r="E192">
        <v>1450.99</v>
      </c>
      <c r="F192">
        <v>3531640000</v>
      </c>
      <c r="G192">
        <v>1450.99</v>
      </c>
      <c r="H192" t="s">
        <v>1</v>
      </c>
      <c r="I192" s="22">
        <f t="shared" si="5"/>
        <v>3.6178640233520921E-3</v>
      </c>
      <c r="J192" s="22" t="str">
        <f t="shared" si="6"/>
        <v/>
      </c>
    </row>
    <row r="193" spans="1:10">
      <c r="A193" s="1">
        <v>41186</v>
      </c>
      <c r="B193">
        <v>1451.08</v>
      </c>
      <c r="C193">
        <v>1463.14</v>
      </c>
      <c r="D193">
        <v>1451.08</v>
      </c>
      <c r="E193">
        <v>1461.4</v>
      </c>
      <c r="F193">
        <v>3615860000</v>
      </c>
      <c r="G193">
        <v>1461.4</v>
      </c>
      <c r="H193" t="s">
        <v>1</v>
      </c>
      <c r="I193" s="22">
        <f t="shared" si="5"/>
        <v>7.1487982954376974E-3</v>
      </c>
      <c r="J193" s="22" t="str">
        <f t="shared" si="6"/>
        <v/>
      </c>
    </row>
    <row r="194" spans="1:10">
      <c r="A194" s="1">
        <v>41187</v>
      </c>
      <c r="B194">
        <v>1461.4</v>
      </c>
      <c r="C194">
        <v>1470.96</v>
      </c>
      <c r="D194">
        <v>1456.89</v>
      </c>
      <c r="E194">
        <v>1460.93</v>
      </c>
      <c r="F194">
        <v>3172940000</v>
      </c>
      <c r="G194">
        <v>1460.93</v>
      </c>
      <c r="H194" t="s">
        <v>1</v>
      </c>
      <c r="I194" s="22">
        <f t="shared" si="5"/>
        <v>-3.2166114302795205E-4</v>
      </c>
      <c r="J194" s="22" t="str">
        <f t="shared" si="6"/>
        <v>lost money</v>
      </c>
    </row>
    <row r="195" spans="1:10">
      <c r="A195" s="1">
        <v>41190</v>
      </c>
      <c r="B195">
        <v>1460.93</v>
      </c>
      <c r="C195">
        <v>1460.93</v>
      </c>
      <c r="D195">
        <v>1453.1</v>
      </c>
      <c r="E195">
        <v>1455.88</v>
      </c>
      <c r="F195">
        <v>2328720000</v>
      </c>
      <c r="G195">
        <v>1455.88</v>
      </c>
      <c r="H195" t="s">
        <v>1</v>
      </c>
      <c r="I195" s="22">
        <f t="shared" ref="I195:I258" si="7">IF(A195=$A$2,"",LN(G195/G194))</f>
        <v>-3.4626904363913532E-3</v>
      </c>
      <c r="J195" s="22" t="str">
        <f t="shared" ref="J195:J258" si="8">IF(B195&gt;E195,"lost money","")</f>
        <v>lost money</v>
      </c>
    </row>
    <row r="196" spans="1:10">
      <c r="A196" s="1">
        <v>41191</v>
      </c>
      <c r="B196">
        <v>1455.9</v>
      </c>
      <c r="C196">
        <v>1455.9</v>
      </c>
      <c r="D196">
        <v>1441.18</v>
      </c>
      <c r="E196">
        <v>1441.48</v>
      </c>
      <c r="F196">
        <v>3216320000</v>
      </c>
      <c r="G196">
        <v>1441.48</v>
      </c>
      <c r="H196" t="s">
        <v>1</v>
      </c>
      <c r="I196" s="22">
        <f t="shared" si="7"/>
        <v>-9.9401652318431739E-3</v>
      </c>
      <c r="J196" s="22" t="str">
        <f t="shared" si="8"/>
        <v>lost money</v>
      </c>
    </row>
    <row r="197" spans="1:10">
      <c r="A197" s="1">
        <v>41192</v>
      </c>
      <c r="B197">
        <v>1441.48</v>
      </c>
      <c r="C197">
        <v>1442.52</v>
      </c>
      <c r="D197">
        <v>1430.64</v>
      </c>
      <c r="E197">
        <v>1432.56</v>
      </c>
      <c r="F197">
        <v>3225060000</v>
      </c>
      <c r="G197">
        <v>1432.56</v>
      </c>
      <c r="H197" t="s">
        <v>1</v>
      </c>
      <c r="I197" s="22">
        <f t="shared" si="7"/>
        <v>-6.2073100173509251E-3</v>
      </c>
      <c r="J197" s="22" t="str">
        <f t="shared" si="8"/>
        <v>lost money</v>
      </c>
    </row>
    <row r="198" spans="1:10">
      <c r="A198" s="1">
        <v>41193</v>
      </c>
      <c r="B198">
        <v>1432.82</v>
      </c>
      <c r="C198">
        <v>1443.9</v>
      </c>
      <c r="D198">
        <v>1432.82</v>
      </c>
      <c r="E198">
        <v>1432.84</v>
      </c>
      <c r="F198">
        <v>3672540000</v>
      </c>
      <c r="G198">
        <v>1432.84</v>
      </c>
      <c r="H198" t="s">
        <v>1</v>
      </c>
      <c r="I198" s="22">
        <f t="shared" si="7"/>
        <v>1.954351929163438E-4</v>
      </c>
      <c r="J198" s="22" t="str">
        <f t="shared" si="8"/>
        <v/>
      </c>
    </row>
    <row r="199" spans="1:10">
      <c r="A199" s="1">
        <v>41194</v>
      </c>
      <c r="B199">
        <v>1432.84</v>
      </c>
      <c r="C199">
        <v>1438.43</v>
      </c>
      <c r="D199">
        <v>1425.53</v>
      </c>
      <c r="E199">
        <v>1428.59</v>
      </c>
      <c r="F199">
        <v>3134750000</v>
      </c>
      <c r="G199">
        <v>1428.59</v>
      </c>
      <c r="H199" t="s">
        <v>1</v>
      </c>
      <c r="I199" s="22">
        <f t="shared" si="7"/>
        <v>-2.9705448850503111E-3</v>
      </c>
      <c r="J199" s="22" t="str">
        <f t="shared" si="8"/>
        <v>lost money</v>
      </c>
    </row>
    <row r="200" spans="1:10">
      <c r="A200" s="1">
        <v>41197</v>
      </c>
      <c r="B200">
        <v>1428.75</v>
      </c>
      <c r="C200">
        <v>1441.31</v>
      </c>
      <c r="D200">
        <v>1427.24</v>
      </c>
      <c r="E200">
        <v>1440.13</v>
      </c>
      <c r="F200">
        <v>3483810000</v>
      </c>
      <c r="G200">
        <v>1440.13</v>
      </c>
      <c r="H200" t="s">
        <v>1</v>
      </c>
      <c r="I200" s="22">
        <f t="shared" si="7"/>
        <v>8.0454434366606341E-3</v>
      </c>
      <c r="J200" s="22" t="str">
        <f t="shared" si="8"/>
        <v/>
      </c>
    </row>
    <row r="201" spans="1:10">
      <c r="A201" s="1">
        <v>41198</v>
      </c>
      <c r="B201">
        <v>1440.31</v>
      </c>
      <c r="C201">
        <v>1455.51</v>
      </c>
      <c r="D201">
        <v>1440.31</v>
      </c>
      <c r="E201">
        <v>1454.92</v>
      </c>
      <c r="F201">
        <v>3568770000</v>
      </c>
      <c r="G201">
        <v>1454.92</v>
      </c>
      <c r="H201" t="s">
        <v>1</v>
      </c>
      <c r="I201" s="22">
        <f t="shared" si="7"/>
        <v>1.0217529003082159E-2</v>
      </c>
      <c r="J201" s="22" t="str">
        <f t="shared" si="8"/>
        <v/>
      </c>
    </row>
    <row r="202" spans="1:10">
      <c r="A202" s="1">
        <v>41199</v>
      </c>
      <c r="B202">
        <v>1454.22</v>
      </c>
      <c r="C202">
        <v>1462.2</v>
      </c>
      <c r="D202">
        <v>1453.35</v>
      </c>
      <c r="E202">
        <v>1460.91</v>
      </c>
      <c r="F202">
        <v>3655320000</v>
      </c>
      <c r="G202">
        <v>1460.91</v>
      </c>
      <c r="H202" t="s">
        <v>1</v>
      </c>
      <c r="I202" s="22">
        <f t="shared" si="7"/>
        <v>4.1086129344168739E-3</v>
      </c>
      <c r="J202" s="22" t="str">
        <f t="shared" si="8"/>
        <v/>
      </c>
    </row>
    <row r="203" spans="1:10">
      <c r="A203" s="1">
        <v>41200</v>
      </c>
      <c r="B203">
        <v>1460.94</v>
      </c>
      <c r="C203">
        <v>1464.02</v>
      </c>
      <c r="D203">
        <v>1452.63</v>
      </c>
      <c r="E203">
        <v>1457.34</v>
      </c>
      <c r="F203">
        <v>3880030000</v>
      </c>
      <c r="G203">
        <v>1457.34</v>
      </c>
      <c r="H203" t="s">
        <v>1</v>
      </c>
      <c r="I203" s="22">
        <f t="shared" si="7"/>
        <v>-2.4466730272574805E-3</v>
      </c>
      <c r="J203" s="22" t="str">
        <f t="shared" si="8"/>
        <v>lost money</v>
      </c>
    </row>
    <row r="204" spans="1:10">
      <c r="A204" s="1">
        <v>41201</v>
      </c>
      <c r="B204">
        <v>1457.34</v>
      </c>
      <c r="C204">
        <v>1457.34</v>
      </c>
      <c r="D204">
        <v>1429.85</v>
      </c>
      <c r="E204">
        <v>1433.19</v>
      </c>
      <c r="F204">
        <v>3875170000</v>
      </c>
      <c r="G204">
        <v>1433.19</v>
      </c>
      <c r="H204" t="s">
        <v>1</v>
      </c>
      <c r="I204" s="22">
        <f t="shared" si="7"/>
        <v>-1.6710127170061661E-2</v>
      </c>
      <c r="J204" s="22" t="str">
        <f t="shared" si="8"/>
        <v>lost money</v>
      </c>
    </row>
    <row r="205" spans="1:10">
      <c r="A205" s="1">
        <v>41204</v>
      </c>
      <c r="B205">
        <v>1433.21</v>
      </c>
      <c r="C205">
        <v>1435.46</v>
      </c>
      <c r="D205">
        <v>1422.06</v>
      </c>
      <c r="E205">
        <v>1433.82</v>
      </c>
      <c r="F205">
        <v>3216220000</v>
      </c>
      <c r="G205">
        <v>1433.82</v>
      </c>
      <c r="H205" t="s">
        <v>1</v>
      </c>
      <c r="I205" s="22">
        <f t="shared" si="7"/>
        <v>4.3948225512983235E-4</v>
      </c>
      <c r="J205" s="22" t="str">
        <f t="shared" si="8"/>
        <v/>
      </c>
    </row>
    <row r="206" spans="1:10">
      <c r="A206" s="1">
        <v>41205</v>
      </c>
      <c r="B206">
        <v>1433.74</v>
      </c>
      <c r="C206">
        <v>1433.74</v>
      </c>
      <c r="D206">
        <v>1407.56</v>
      </c>
      <c r="E206">
        <v>1413.11</v>
      </c>
      <c r="F206">
        <v>3587670000</v>
      </c>
      <c r="G206">
        <v>1413.11</v>
      </c>
      <c r="H206" t="s">
        <v>1</v>
      </c>
      <c r="I206" s="22">
        <f t="shared" si="7"/>
        <v>-1.4549262064668257E-2</v>
      </c>
      <c r="J206" s="22" t="str">
        <f t="shared" si="8"/>
        <v>lost money</v>
      </c>
    </row>
    <row r="207" spans="1:10">
      <c r="A207" s="1">
        <v>41206</v>
      </c>
      <c r="B207">
        <v>1413.2</v>
      </c>
      <c r="C207">
        <v>1420.04</v>
      </c>
      <c r="D207">
        <v>1407.1</v>
      </c>
      <c r="E207">
        <v>1408.75</v>
      </c>
      <c r="F207">
        <v>3385970000</v>
      </c>
      <c r="G207">
        <v>1408.75</v>
      </c>
      <c r="H207" t="s">
        <v>1</v>
      </c>
      <c r="I207" s="22">
        <f t="shared" si="7"/>
        <v>-3.0901628496863881E-3</v>
      </c>
      <c r="J207" s="22" t="str">
        <f t="shared" si="8"/>
        <v>lost money</v>
      </c>
    </row>
    <row r="208" spans="1:10">
      <c r="A208" s="1">
        <v>41207</v>
      </c>
      <c r="B208">
        <v>1409.74</v>
      </c>
      <c r="C208">
        <v>1421.12</v>
      </c>
      <c r="D208">
        <v>1405.14</v>
      </c>
      <c r="E208">
        <v>1412.97</v>
      </c>
      <c r="F208">
        <v>3512640000</v>
      </c>
      <c r="G208">
        <v>1412.97</v>
      </c>
      <c r="H208" t="s">
        <v>1</v>
      </c>
      <c r="I208" s="22">
        <f t="shared" si="7"/>
        <v>2.9910856826463454E-3</v>
      </c>
      <c r="J208" s="22" t="str">
        <f t="shared" si="8"/>
        <v/>
      </c>
    </row>
    <row r="209" spans="1:10">
      <c r="A209" s="1">
        <v>41208</v>
      </c>
      <c r="B209">
        <v>1412.97</v>
      </c>
      <c r="C209">
        <v>1417.09</v>
      </c>
      <c r="D209">
        <v>1403.28</v>
      </c>
      <c r="E209">
        <v>1411.94</v>
      </c>
      <c r="F209">
        <v>3284910000</v>
      </c>
      <c r="G209">
        <v>1411.94</v>
      </c>
      <c r="H209" t="s">
        <v>1</v>
      </c>
      <c r="I209" s="22">
        <f t="shared" si="7"/>
        <v>-7.2922680414156456E-4</v>
      </c>
      <c r="J209" s="22" t="str">
        <f t="shared" si="8"/>
        <v>lost money</v>
      </c>
    </row>
    <row r="210" spans="1:10">
      <c r="A210" s="1">
        <v>41213</v>
      </c>
      <c r="B210">
        <v>1410.99</v>
      </c>
      <c r="C210">
        <v>1418.76</v>
      </c>
      <c r="D210">
        <v>1405.95</v>
      </c>
      <c r="E210">
        <v>1412.16</v>
      </c>
      <c r="F210">
        <v>3577110000</v>
      </c>
      <c r="G210">
        <v>1412.16</v>
      </c>
      <c r="H210" t="s">
        <v>1</v>
      </c>
      <c r="I210" s="22">
        <f t="shared" si="7"/>
        <v>1.5580184869156202E-4</v>
      </c>
      <c r="J210" s="22" t="str">
        <f t="shared" si="8"/>
        <v/>
      </c>
    </row>
    <row r="211" spans="1:10">
      <c r="A211" s="1">
        <v>41214</v>
      </c>
      <c r="B211">
        <v>1412.2</v>
      </c>
      <c r="C211">
        <v>1428.35</v>
      </c>
      <c r="D211">
        <v>1412.2</v>
      </c>
      <c r="E211">
        <v>1427.59</v>
      </c>
      <c r="F211">
        <v>3929890000</v>
      </c>
      <c r="G211">
        <v>1427.59</v>
      </c>
      <c r="H211" t="s">
        <v>1</v>
      </c>
      <c r="I211" s="22">
        <f t="shared" si="7"/>
        <v>1.0867260747050345E-2</v>
      </c>
      <c r="J211" s="22" t="str">
        <f t="shared" si="8"/>
        <v/>
      </c>
    </row>
    <row r="212" spans="1:10">
      <c r="A212" s="1">
        <v>41215</v>
      </c>
      <c r="B212">
        <v>1427.59</v>
      </c>
      <c r="C212">
        <v>1434.27</v>
      </c>
      <c r="D212">
        <v>1412.91</v>
      </c>
      <c r="E212">
        <v>1414.2</v>
      </c>
      <c r="F212">
        <v>3732480000</v>
      </c>
      <c r="G212">
        <v>1414.2</v>
      </c>
      <c r="H212" t="s">
        <v>1</v>
      </c>
      <c r="I212" s="22">
        <f t="shared" si="7"/>
        <v>-9.4237076580922455E-3</v>
      </c>
      <c r="J212" s="22" t="str">
        <f t="shared" si="8"/>
        <v>lost money</v>
      </c>
    </row>
    <row r="213" spans="1:10">
      <c r="A213" s="1">
        <v>41218</v>
      </c>
      <c r="B213">
        <v>1414.02</v>
      </c>
      <c r="C213">
        <v>1419.9</v>
      </c>
      <c r="D213">
        <v>1408.13</v>
      </c>
      <c r="E213">
        <v>1417.26</v>
      </c>
      <c r="F213">
        <v>2921040000</v>
      </c>
      <c r="G213">
        <v>1417.26</v>
      </c>
      <c r="H213" t="s">
        <v>1</v>
      </c>
      <c r="I213" s="22">
        <f t="shared" si="7"/>
        <v>2.1614299275310735E-3</v>
      </c>
      <c r="J213" s="22" t="str">
        <f t="shared" si="8"/>
        <v/>
      </c>
    </row>
    <row r="214" spans="1:10">
      <c r="A214" s="1">
        <v>41219</v>
      </c>
      <c r="B214">
        <v>1417.26</v>
      </c>
      <c r="C214">
        <v>1433.38</v>
      </c>
      <c r="D214">
        <v>1417.26</v>
      </c>
      <c r="E214">
        <v>1428.39</v>
      </c>
      <c r="F214">
        <v>3306970000</v>
      </c>
      <c r="G214">
        <v>1428.39</v>
      </c>
      <c r="H214" t="s">
        <v>1</v>
      </c>
      <c r="I214" s="22">
        <f t="shared" si="7"/>
        <v>7.822505758014995E-3</v>
      </c>
      <c r="J214" s="22" t="str">
        <f t="shared" si="8"/>
        <v/>
      </c>
    </row>
    <row r="215" spans="1:10">
      <c r="A215" s="1">
        <v>41220</v>
      </c>
      <c r="B215">
        <v>1428.27</v>
      </c>
      <c r="C215">
        <v>1428.27</v>
      </c>
      <c r="D215">
        <v>1388.14</v>
      </c>
      <c r="E215">
        <v>1394.53</v>
      </c>
      <c r="F215">
        <v>4356490000</v>
      </c>
      <c r="G215">
        <v>1394.53</v>
      </c>
      <c r="H215" t="s">
        <v>1</v>
      </c>
      <c r="I215" s="22">
        <f t="shared" si="7"/>
        <v>-2.3990494932418175E-2</v>
      </c>
      <c r="J215" s="22" t="str">
        <f t="shared" si="8"/>
        <v>lost money</v>
      </c>
    </row>
    <row r="216" spans="1:10">
      <c r="A216" s="1">
        <v>41221</v>
      </c>
      <c r="B216">
        <v>1394.53</v>
      </c>
      <c r="C216">
        <v>1401.23</v>
      </c>
      <c r="D216">
        <v>1377.51</v>
      </c>
      <c r="E216">
        <v>1377.51</v>
      </c>
      <c r="F216">
        <v>3779520000</v>
      </c>
      <c r="G216">
        <v>1377.51</v>
      </c>
      <c r="H216" t="s">
        <v>1</v>
      </c>
      <c r="I216" s="22">
        <f t="shared" si="7"/>
        <v>-1.2279919394418561E-2</v>
      </c>
      <c r="J216" s="22" t="str">
        <f t="shared" si="8"/>
        <v>lost money</v>
      </c>
    </row>
    <row r="217" spans="1:10">
      <c r="A217" s="1">
        <v>41222</v>
      </c>
      <c r="B217">
        <v>1377.55</v>
      </c>
      <c r="C217">
        <v>1391.39</v>
      </c>
      <c r="D217">
        <v>1373.03</v>
      </c>
      <c r="E217">
        <v>1379.85</v>
      </c>
      <c r="F217">
        <v>3647350000</v>
      </c>
      <c r="G217">
        <v>1379.85</v>
      </c>
      <c r="H217" t="s">
        <v>1</v>
      </c>
      <c r="I217" s="22">
        <f t="shared" si="7"/>
        <v>1.6972760624259981E-3</v>
      </c>
      <c r="J217" s="22" t="str">
        <f t="shared" si="8"/>
        <v/>
      </c>
    </row>
    <row r="218" spans="1:10">
      <c r="A218" s="1">
        <v>41225</v>
      </c>
      <c r="B218">
        <v>1379.86</v>
      </c>
      <c r="C218">
        <v>1384.87</v>
      </c>
      <c r="D218">
        <v>1377.19</v>
      </c>
      <c r="E218">
        <v>1380.03</v>
      </c>
      <c r="F218">
        <v>2567540000</v>
      </c>
      <c r="G218">
        <v>1380.03</v>
      </c>
      <c r="H218" t="s">
        <v>1</v>
      </c>
      <c r="I218" s="22">
        <f t="shared" si="7"/>
        <v>1.3044045411771709E-4</v>
      </c>
      <c r="J218" s="22" t="str">
        <f t="shared" si="8"/>
        <v/>
      </c>
    </row>
    <row r="219" spans="1:10">
      <c r="A219" s="1">
        <v>41226</v>
      </c>
      <c r="B219">
        <v>1380.03</v>
      </c>
      <c r="C219">
        <v>1388.81</v>
      </c>
      <c r="D219">
        <v>1371.39</v>
      </c>
      <c r="E219">
        <v>1374.53</v>
      </c>
      <c r="F219">
        <v>3455550000</v>
      </c>
      <c r="G219">
        <v>1374.53</v>
      </c>
      <c r="H219" t="s">
        <v>1</v>
      </c>
      <c r="I219" s="22">
        <f t="shared" si="7"/>
        <v>-3.9933835596909703E-3</v>
      </c>
      <c r="J219" s="22" t="str">
        <f t="shared" si="8"/>
        <v>lost money</v>
      </c>
    </row>
    <row r="220" spans="1:10">
      <c r="A220" s="1">
        <v>41227</v>
      </c>
      <c r="B220">
        <v>1374.64</v>
      </c>
      <c r="C220">
        <v>1380.13</v>
      </c>
      <c r="D220">
        <v>1352.5</v>
      </c>
      <c r="E220">
        <v>1355.49</v>
      </c>
      <c r="F220">
        <v>4109510000</v>
      </c>
      <c r="G220">
        <v>1355.49</v>
      </c>
      <c r="H220" t="s">
        <v>1</v>
      </c>
      <c r="I220" s="22">
        <f t="shared" si="7"/>
        <v>-1.394884192572606E-2</v>
      </c>
      <c r="J220" s="22" t="str">
        <f t="shared" si="8"/>
        <v>lost money</v>
      </c>
    </row>
    <row r="221" spans="1:10">
      <c r="A221" s="1">
        <v>41228</v>
      </c>
      <c r="B221">
        <v>1355.41</v>
      </c>
      <c r="C221">
        <v>1360.62</v>
      </c>
      <c r="D221">
        <v>1348.05</v>
      </c>
      <c r="E221">
        <v>1353.33</v>
      </c>
      <c r="F221">
        <v>3928870000</v>
      </c>
      <c r="G221">
        <v>1353.33</v>
      </c>
      <c r="H221" t="s">
        <v>1</v>
      </c>
      <c r="I221" s="22">
        <f t="shared" si="7"/>
        <v>-1.5947906895285239E-3</v>
      </c>
      <c r="J221" s="22" t="str">
        <f t="shared" si="8"/>
        <v>lost money</v>
      </c>
    </row>
    <row r="222" spans="1:10">
      <c r="A222" s="1">
        <v>41229</v>
      </c>
      <c r="B222">
        <v>1353.36</v>
      </c>
      <c r="C222">
        <v>1362.03</v>
      </c>
      <c r="D222">
        <v>1343.35</v>
      </c>
      <c r="E222">
        <v>1359.88</v>
      </c>
      <c r="F222">
        <v>4045910000</v>
      </c>
      <c r="G222">
        <v>1359.88</v>
      </c>
      <c r="H222" t="s">
        <v>1</v>
      </c>
      <c r="I222" s="22">
        <f t="shared" si="7"/>
        <v>4.8282386725694085E-3</v>
      </c>
      <c r="J222" s="22" t="str">
        <f t="shared" si="8"/>
        <v/>
      </c>
    </row>
    <row r="223" spans="1:10">
      <c r="A223" s="1">
        <v>41232</v>
      </c>
      <c r="B223">
        <v>1359.88</v>
      </c>
      <c r="C223">
        <v>1386.89</v>
      </c>
      <c r="D223">
        <v>1359.88</v>
      </c>
      <c r="E223">
        <v>1386.89</v>
      </c>
      <c r="F223">
        <v>3374800000</v>
      </c>
      <c r="G223">
        <v>1386.89</v>
      </c>
      <c r="H223" t="s">
        <v>1</v>
      </c>
      <c r="I223" s="22">
        <f t="shared" si="7"/>
        <v>1.9667369768091868E-2</v>
      </c>
      <c r="J223" s="22" t="str">
        <f t="shared" si="8"/>
        <v/>
      </c>
    </row>
    <row r="224" spans="1:10">
      <c r="A224" s="1">
        <v>41233</v>
      </c>
      <c r="B224">
        <v>1386.82</v>
      </c>
      <c r="C224">
        <v>1389.77</v>
      </c>
      <c r="D224">
        <v>1377.04</v>
      </c>
      <c r="E224">
        <v>1387.81</v>
      </c>
      <c r="F224">
        <v>3207160000</v>
      </c>
      <c r="G224">
        <v>1387.81</v>
      </c>
      <c r="H224" t="s">
        <v>1</v>
      </c>
      <c r="I224" s="22">
        <f t="shared" si="7"/>
        <v>6.6313477760757589E-4</v>
      </c>
      <c r="J224" s="22" t="str">
        <f t="shared" si="8"/>
        <v/>
      </c>
    </row>
    <row r="225" spans="1:10">
      <c r="A225" s="1">
        <v>41234</v>
      </c>
      <c r="B225">
        <v>1387.79</v>
      </c>
      <c r="C225">
        <v>1391.25</v>
      </c>
      <c r="D225">
        <v>1386.39</v>
      </c>
      <c r="E225">
        <v>1391.03</v>
      </c>
      <c r="F225">
        <v>2667090000</v>
      </c>
      <c r="G225">
        <v>1391.03</v>
      </c>
      <c r="H225" t="s">
        <v>1</v>
      </c>
      <c r="I225" s="22">
        <f t="shared" si="7"/>
        <v>2.3175148199859131E-3</v>
      </c>
      <c r="J225" s="22" t="str">
        <f t="shared" si="8"/>
        <v/>
      </c>
    </row>
    <row r="226" spans="1:10">
      <c r="A226" s="1">
        <v>41236</v>
      </c>
      <c r="B226">
        <v>1391.03</v>
      </c>
      <c r="C226">
        <v>1409.16</v>
      </c>
      <c r="D226">
        <v>1391.03</v>
      </c>
      <c r="E226">
        <v>1409.15</v>
      </c>
      <c r="F226">
        <v>1504960000</v>
      </c>
      <c r="G226">
        <v>1409.15</v>
      </c>
      <c r="H226" t="s">
        <v>1</v>
      </c>
      <c r="I226" s="22">
        <f t="shared" si="7"/>
        <v>1.2942205804867957E-2</v>
      </c>
      <c r="J226" s="22" t="str">
        <f t="shared" si="8"/>
        <v/>
      </c>
    </row>
    <row r="227" spans="1:10">
      <c r="A227" s="1">
        <v>41239</v>
      </c>
      <c r="B227">
        <v>1409.15</v>
      </c>
      <c r="C227">
        <v>1409.15</v>
      </c>
      <c r="D227">
        <v>1397.68</v>
      </c>
      <c r="E227">
        <v>1406.29</v>
      </c>
      <c r="F227">
        <v>2948960000</v>
      </c>
      <c r="G227">
        <v>1406.29</v>
      </c>
      <c r="H227" t="s">
        <v>1</v>
      </c>
      <c r="I227" s="22">
        <f t="shared" si="7"/>
        <v>-2.0316547209315592E-3</v>
      </c>
      <c r="J227" s="22" t="str">
        <f t="shared" si="8"/>
        <v>lost money</v>
      </c>
    </row>
    <row r="228" spans="1:10">
      <c r="A228" s="1">
        <v>41240</v>
      </c>
      <c r="B228">
        <v>1406.29</v>
      </c>
      <c r="C228">
        <v>1409.01</v>
      </c>
      <c r="D228">
        <v>1398.03</v>
      </c>
      <c r="E228">
        <v>1398.94</v>
      </c>
      <c r="F228">
        <v>3323120000</v>
      </c>
      <c r="G228">
        <v>1398.94</v>
      </c>
      <c r="H228" t="s">
        <v>1</v>
      </c>
      <c r="I228" s="22">
        <f t="shared" si="7"/>
        <v>-5.2402240238485368E-3</v>
      </c>
      <c r="J228" s="22" t="str">
        <f t="shared" si="8"/>
        <v>lost money</v>
      </c>
    </row>
    <row r="229" spans="1:10">
      <c r="A229" s="1">
        <v>41241</v>
      </c>
      <c r="B229">
        <v>1398.77</v>
      </c>
      <c r="C229">
        <v>1410.31</v>
      </c>
      <c r="D229">
        <v>1385.43</v>
      </c>
      <c r="E229">
        <v>1409.93</v>
      </c>
      <c r="F229">
        <v>3359250000</v>
      </c>
      <c r="G229">
        <v>1409.93</v>
      </c>
      <c r="H229" t="s">
        <v>1</v>
      </c>
      <c r="I229" s="22">
        <f t="shared" si="7"/>
        <v>7.8252507809793547E-3</v>
      </c>
      <c r="J229" s="22" t="str">
        <f t="shared" si="8"/>
        <v/>
      </c>
    </row>
    <row r="230" spans="1:10">
      <c r="A230" s="1">
        <v>41242</v>
      </c>
      <c r="B230">
        <v>1409.96</v>
      </c>
      <c r="C230">
        <v>1419.7</v>
      </c>
      <c r="D230">
        <v>1409.04</v>
      </c>
      <c r="E230">
        <v>1415.95</v>
      </c>
      <c r="F230">
        <v>3356850000</v>
      </c>
      <c r="G230">
        <v>1415.95</v>
      </c>
      <c r="H230" t="s">
        <v>1</v>
      </c>
      <c r="I230" s="22">
        <f t="shared" si="7"/>
        <v>4.2606261459933554E-3</v>
      </c>
      <c r="J230" s="22" t="str">
        <f t="shared" si="8"/>
        <v/>
      </c>
    </row>
    <row r="231" spans="1:10">
      <c r="A231" s="1">
        <v>41243</v>
      </c>
      <c r="B231">
        <v>1415.95</v>
      </c>
      <c r="C231">
        <v>1418.86</v>
      </c>
      <c r="D231">
        <v>1411.63</v>
      </c>
      <c r="E231">
        <v>1416.18</v>
      </c>
      <c r="F231">
        <v>3966000000</v>
      </c>
      <c r="G231">
        <v>1416.18</v>
      </c>
      <c r="H231" t="s">
        <v>1</v>
      </c>
      <c r="I231" s="22">
        <f t="shared" si="7"/>
        <v>1.6242192307947768E-4</v>
      </c>
      <c r="J231" s="22" t="str">
        <f t="shared" si="8"/>
        <v/>
      </c>
    </row>
    <row r="232" spans="1:10">
      <c r="A232" s="1">
        <v>41246</v>
      </c>
      <c r="B232">
        <v>1416.34</v>
      </c>
      <c r="C232">
        <v>1423.73</v>
      </c>
      <c r="D232">
        <v>1408.46</v>
      </c>
      <c r="E232">
        <v>1409.46</v>
      </c>
      <c r="F232">
        <v>3074280000</v>
      </c>
      <c r="G232">
        <v>1409.46</v>
      </c>
      <c r="H232" t="s">
        <v>1</v>
      </c>
      <c r="I232" s="22">
        <f t="shared" si="7"/>
        <v>-4.7564535251138646E-3</v>
      </c>
      <c r="J232" s="22" t="str">
        <f t="shared" si="8"/>
        <v>lost money</v>
      </c>
    </row>
    <row r="233" spans="1:10">
      <c r="A233" s="1">
        <v>41247</v>
      </c>
      <c r="B233">
        <v>1409.46</v>
      </c>
      <c r="C233">
        <v>1413.14</v>
      </c>
      <c r="D233">
        <v>1403.65</v>
      </c>
      <c r="E233">
        <v>1407.05</v>
      </c>
      <c r="F233">
        <v>3247710000</v>
      </c>
      <c r="G233">
        <v>1407.05</v>
      </c>
      <c r="H233" t="s">
        <v>1</v>
      </c>
      <c r="I233" s="22">
        <f t="shared" si="7"/>
        <v>-1.7113382080492271E-3</v>
      </c>
      <c r="J233" s="22" t="str">
        <f t="shared" si="8"/>
        <v>lost money</v>
      </c>
    </row>
    <row r="234" spans="1:10">
      <c r="A234" s="1">
        <v>41248</v>
      </c>
      <c r="B234">
        <v>1407.05</v>
      </c>
      <c r="C234">
        <v>1415.56</v>
      </c>
      <c r="D234">
        <v>1398.23</v>
      </c>
      <c r="E234">
        <v>1409.28</v>
      </c>
      <c r="F234">
        <v>4253920000</v>
      </c>
      <c r="G234">
        <v>1409.28</v>
      </c>
      <c r="H234" t="s">
        <v>1</v>
      </c>
      <c r="I234" s="22">
        <f t="shared" si="7"/>
        <v>1.5836215685260085E-3</v>
      </c>
      <c r="J234" s="22" t="str">
        <f t="shared" si="8"/>
        <v/>
      </c>
    </row>
    <row r="235" spans="1:10">
      <c r="A235" s="1">
        <v>41249</v>
      </c>
      <c r="B235">
        <v>1409.43</v>
      </c>
      <c r="C235">
        <v>1413.95</v>
      </c>
      <c r="D235">
        <v>1405.93</v>
      </c>
      <c r="E235">
        <v>1413.94</v>
      </c>
      <c r="F235">
        <v>3229700000</v>
      </c>
      <c r="G235">
        <v>1413.94</v>
      </c>
      <c r="H235" t="s">
        <v>1</v>
      </c>
      <c r="I235" s="22">
        <f t="shared" si="7"/>
        <v>3.3011980873050694E-3</v>
      </c>
      <c r="J235" s="22" t="str">
        <f t="shared" si="8"/>
        <v/>
      </c>
    </row>
    <row r="236" spans="1:10">
      <c r="A236" s="1">
        <v>41250</v>
      </c>
      <c r="B236">
        <v>1413.95</v>
      </c>
      <c r="C236">
        <v>1420.34</v>
      </c>
      <c r="D236">
        <v>1410.9</v>
      </c>
      <c r="E236">
        <v>1418.07</v>
      </c>
      <c r="F236">
        <v>3125160000</v>
      </c>
      <c r="G236">
        <v>1418.07</v>
      </c>
      <c r="H236" t="s">
        <v>1</v>
      </c>
      <c r="I236" s="22">
        <f t="shared" si="7"/>
        <v>2.916658435379544E-3</v>
      </c>
      <c r="J236" s="22" t="str">
        <f t="shared" si="8"/>
        <v/>
      </c>
    </row>
    <row r="237" spans="1:10">
      <c r="A237" s="1">
        <v>41253</v>
      </c>
      <c r="B237">
        <v>1418.07</v>
      </c>
      <c r="C237">
        <v>1421.64</v>
      </c>
      <c r="D237">
        <v>1415.64</v>
      </c>
      <c r="E237">
        <v>1418.55</v>
      </c>
      <c r="F237">
        <v>2999430000</v>
      </c>
      <c r="G237">
        <v>1418.55</v>
      </c>
      <c r="H237" t="s">
        <v>1</v>
      </c>
      <c r="I237" s="22">
        <f t="shared" si="7"/>
        <v>3.3843095274054159E-4</v>
      </c>
      <c r="J237" s="22" t="str">
        <f t="shared" si="8"/>
        <v/>
      </c>
    </row>
    <row r="238" spans="1:10">
      <c r="A238" s="1">
        <v>41254</v>
      </c>
      <c r="B238">
        <v>1418.55</v>
      </c>
      <c r="C238">
        <v>1434.27</v>
      </c>
      <c r="D238">
        <v>1418.55</v>
      </c>
      <c r="E238">
        <v>1427.84</v>
      </c>
      <c r="F238">
        <v>3650230000</v>
      </c>
      <c r="G238">
        <v>1427.84</v>
      </c>
      <c r="H238" t="s">
        <v>1</v>
      </c>
      <c r="I238" s="22">
        <f t="shared" si="7"/>
        <v>6.52758967448202E-3</v>
      </c>
      <c r="J238" s="22" t="str">
        <f t="shared" si="8"/>
        <v/>
      </c>
    </row>
    <row r="239" spans="1:10">
      <c r="A239" s="1">
        <v>41255</v>
      </c>
      <c r="B239">
        <v>1427.84</v>
      </c>
      <c r="C239">
        <v>1438.59</v>
      </c>
      <c r="D239">
        <v>1426.76</v>
      </c>
      <c r="E239">
        <v>1428.48</v>
      </c>
      <c r="F239">
        <v>3709050000</v>
      </c>
      <c r="G239">
        <v>1428.48</v>
      </c>
      <c r="H239" t="s">
        <v>1</v>
      </c>
      <c r="I239" s="22">
        <f t="shared" si="7"/>
        <v>4.4812906866902318E-4</v>
      </c>
      <c r="J239" s="22" t="str">
        <f t="shared" si="8"/>
        <v/>
      </c>
    </row>
    <row r="240" spans="1:10">
      <c r="A240" s="1">
        <v>41256</v>
      </c>
      <c r="B240">
        <v>1428.48</v>
      </c>
      <c r="C240">
        <v>1431.36</v>
      </c>
      <c r="D240">
        <v>1416</v>
      </c>
      <c r="E240">
        <v>1419.45</v>
      </c>
      <c r="F240">
        <v>3349960000</v>
      </c>
      <c r="G240">
        <v>1419.45</v>
      </c>
      <c r="H240" t="s">
        <v>1</v>
      </c>
      <c r="I240" s="22">
        <f t="shared" si="7"/>
        <v>-6.3414692504306803E-3</v>
      </c>
      <c r="J240" s="22" t="str">
        <f t="shared" si="8"/>
        <v>lost money</v>
      </c>
    </row>
    <row r="241" spans="1:10">
      <c r="A241" s="1">
        <v>41257</v>
      </c>
      <c r="B241">
        <v>1419.45</v>
      </c>
      <c r="C241">
        <v>1419.45</v>
      </c>
      <c r="D241">
        <v>1411.88</v>
      </c>
      <c r="E241">
        <v>1413.58</v>
      </c>
      <c r="F241">
        <v>3210170000</v>
      </c>
      <c r="G241">
        <v>1413.58</v>
      </c>
      <c r="H241" t="s">
        <v>1</v>
      </c>
      <c r="I241" s="22">
        <f t="shared" si="7"/>
        <v>-4.1439789908631845E-3</v>
      </c>
      <c r="J241" s="22" t="str">
        <f t="shared" si="8"/>
        <v>lost money</v>
      </c>
    </row>
    <row r="242" spans="1:10">
      <c r="A242" s="1">
        <v>41260</v>
      </c>
      <c r="B242">
        <v>1413.54</v>
      </c>
      <c r="C242">
        <v>1430.67</v>
      </c>
      <c r="D242">
        <v>1413.54</v>
      </c>
      <c r="E242">
        <v>1430.36</v>
      </c>
      <c r="F242">
        <v>3455610000</v>
      </c>
      <c r="G242">
        <v>1430.36</v>
      </c>
      <c r="H242" t="s">
        <v>1</v>
      </c>
      <c r="I242" s="22">
        <f t="shared" si="7"/>
        <v>1.1800667190939215E-2</v>
      </c>
      <c r="J242" s="22" t="str">
        <f t="shared" si="8"/>
        <v/>
      </c>
    </row>
    <row r="243" spans="1:10">
      <c r="A243" s="1">
        <v>41261</v>
      </c>
      <c r="B243">
        <v>1430.47</v>
      </c>
      <c r="C243">
        <v>1448</v>
      </c>
      <c r="D243">
        <v>1430.47</v>
      </c>
      <c r="E243">
        <v>1446.79</v>
      </c>
      <c r="F243">
        <v>4302240000</v>
      </c>
      <c r="G243">
        <v>1446.79</v>
      </c>
      <c r="H243" t="s">
        <v>1</v>
      </c>
      <c r="I243" s="22">
        <f t="shared" si="7"/>
        <v>1.1421148426265303E-2</v>
      </c>
      <c r="J243" s="22" t="str">
        <f t="shared" si="8"/>
        <v/>
      </c>
    </row>
    <row r="244" spans="1:10">
      <c r="A244" s="1">
        <v>41262</v>
      </c>
      <c r="B244">
        <v>1446.79</v>
      </c>
      <c r="C244">
        <v>1447.75</v>
      </c>
      <c r="D244">
        <v>1435.8</v>
      </c>
      <c r="E244">
        <v>1435.81</v>
      </c>
      <c r="F244">
        <v>3869800000</v>
      </c>
      <c r="G244">
        <v>1435.81</v>
      </c>
      <c r="H244" t="s">
        <v>1</v>
      </c>
      <c r="I244" s="22">
        <f t="shared" si="7"/>
        <v>-7.6181593722409987E-3</v>
      </c>
      <c r="J244" s="22" t="str">
        <f t="shared" si="8"/>
        <v>lost money</v>
      </c>
    </row>
    <row r="245" spans="1:10">
      <c r="A245" s="1">
        <v>41263</v>
      </c>
      <c r="B245">
        <v>1435.81</v>
      </c>
      <c r="C245">
        <v>1443.7</v>
      </c>
      <c r="D245">
        <v>1432.82</v>
      </c>
      <c r="E245">
        <v>1443.69</v>
      </c>
      <c r="F245">
        <v>3686580000</v>
      </c>
      <c r="G245">
        <v>1443.69</v>
      </c>
      <c r="H245" t="s">
        <v>1</v>
      </c>
      <c r="I245" s="22">
        <f t="shared" si="7"/>
        <v>5.4731860885176876E-3</v>
      </c>
      <c r="J245" s="22" t="str">
        <f t="shared" si="8"/>
        <v/>
      </c>
    </row>
    <row r="246" spans="1:10">
      <c r="A246" s="1">
        <v>41264</v>
      </c>
      <c r="B246">
        <v>1443.67</v>
      </c>
      <c r="C246">
        <v>1443.67</v>
      </c>
      <c r="D246">
        <v>1422.58</v>
      </c>
      <c r="E246">
        <v>1430.15</v>
      </c>
      <c r="F246">
        <v>5229160000</v>
      </c>
      <c r="G246">
        <v>1430.15</v>
      </c>
      <c r="H246" t="s">
        <v>1</v>
      </c>
      <c r="I246" s="22">
        <f t="shared" si="7"/>
        <v>-9.4230021072279815E-3</v>
      </c>
      <c r="J246" s="22" t="str">
        <f t="shared" si="8"/>
        <v>lost money</v>
      </c>
    </row>
    <row r="247" spans="1:10">
      <c r="A247" s="1">
        <v>41267</v>
      </c>
      <c r="B247">
        <v>1430.15</v>
      </c>
      <c r="C247">
        <v>1430.15</v>
      </c>
      <c r="D247">
        <v>1424.66</v>
      </c>
      <c r="E247">
        <v>1426.66</v>
      </c>
      <c r="F247">
        <v>1248960000</v>
      </c>
      <c r="G247">
        <v>1426.66</v>
      </c>
      <c r="H247" t="s">
        <v>1</v>
      </c>
      <c r="I247" s="22">
        <f t="shared" si="7"/>
        <v>-2.4432858581227004E-3</v>
      </c>
      <c r="J247" s="22" t="str">
        <f t="shared" si="8"/>
        <v>lost money</v>
      </c>
    </row>
    <row r="248" spans="1:10">
      <c r="A248" s="1">
        <v>41269</v>
      </c>
      <c r="B248">
        <v>1426.66</v>
      </c>
      <c r="C248">
        <v>1429.42</v>
      </c>
      <c r="D248">
        <v>1416.43</v>
      </c>
      <c r="E248">
        <v>1419.83</v>
      </c>
      <c r="F248">
        <v>2285030000</v>
      </c>
      <c r="G248">
        <v>1419.83</v>
      </c>
      <c r="H248" t="s">
        <v>1</v>
      </c>
      <c r="I248" s="22">
        <f t="shared" si="7"/>
        <v>-4.7989018809801616E-3</v>
      </c>
      <c r="J248" s="22" t="str">
        <f t="shared" si="8"/>
        <v>lost money</v>
      </c>
    </row>
    <row r="249" spans="1:10">
      <c r="A249" s="1">
        <v>41270</v>
      </c>
      <c r="B249">
        <v>1419.83</v>
      </c>
      <c r="C249">
        <v>1422.8</v>
      </c>
      <c r="D249">
        <v>1401.8</v>
      </c>
      <c r="E249">
        <v>1418.1</v>
      </c>
      <c r="F249">
        <v>2830180000</v>
      </c>
      <c r="G249">
        <v>1418.1</v>
      </c>
      <c r="H249" t="s">
        <v>1</v>
      </c>
      <c r="I249" s="22">
        <f t="shared" si="7"/>
        <v>-1.2191986513380225E-3</v>
      </c>
      <c r="J249" s="22" t="str">
        <f t="shared" si="8"/>
        <v>lost money</v>
      </c>
    </row>
    <row r="250" spans="1:10">
      <c r="A250" s="1">
        <v>41271</v>
      </c>
      <c r="B250">
        <v>1418.1</v>
      </c>
      <c r="C250">
        <v>1418.1</v>
      </c>
      <c r="D250">
        <v>1401.58</v>
      </c>
      <c r="E250">
        <v>1402.43</v>
      </c>
      <c r="F250">
        <v>2426680000</v>
      </c>
      <c r="G250">
        <v>1402.43</v>
      </c>
      <c r="H250" t="s">
        <v>1</v>
      </c>
      <c r="I250" s="22">
        <f t="shared" si="7"/>
        <v>-1.11115011894783E-2</v>
      </c>
      <c r="J250" s="22" t="str">
        <f t="shared" si="8"/>
        <v>lost money</v>
      </c>
    </row>
    <row r="251" spans="1:10">
      <c r="A251" s="1">
        <v>41274</v>
      </c>
      <c r="B251">
        <v>1402.43</v>
      </c>
      <c r="C251">
        <v>1426.74</v>
      </c>
      <c r="D251">
        <v>1398.11</v>
      </c>
      <c r="E251">
        <v>1426.19</v>
      </c>
      <c r="F251">
        <v>3204330000</v>
      </c>
      <c r="G251">
        <v>1426.19</v>
      </c>
      <c r="H251" t="s">
        <v>1</v>
      </c>
      <c r="I251" s="22">
        <f t="shared" si="7"/>
        <v>1.6800106652478265E-2</v>
      </c>
      <c r="J251" s="22" t="str">
        <f t="shared" si="8"/>
        <v/>
      </c>
    </row>
    <row r="252" spans="1:10">
      <c r="A252" s="1">
        <v>41276</v>
      </c>
      <c r="B252">
        <v>1426.19</v>
      </c>
      <c r="C252">
        <v>1462.43</v>
      </c>
      <c r="D252">
        <v>1426.19</v>
      </c>
      <c r="E252">
        <v>1462.42</v>
      </c>
      <c r="F252">
        <v>4202600000</v>
      </c>
      <c r="G252">
        <v>1462.42</v>
      </c>
      <c r="H252" t="s">
        <v>1</v>
      </c>
      <c r="I252" s="22">
        <f t="shared" si="7"/>
        <v>2.5086044824864026E-2</v>
      </c>
      <c r="J252" s="22" t="str">
        <f t="shared" si="8"/>
        <v/>
      </c>
    </row>
    <row r="253" spans="1:10">
      <c r="A253" s="1">
        <v>41277</v>
      </c>
      <c r="B253">
        <v>1462.42</v>
      </c>
      <c r="C253">
        <v>1465.47</v>
      </c>
      <c r="D253">
        <v>1455.53</v>
      </c>
      <c r="E253">
        <v>1459.37</v>
      </c>
      <c r="F253">
        <v>3829730000</v>
      </c>
      <c r="G253">
        <v>1459.37</v>
      </c>
      <c r="H253" t="s">
        <v>1</v>
      </c>
      <c r="I253" s="22">
        <f t="shared" si="7"/>
        <v>-2.0877620279685176E-3</v>
      </c>
      <c r="J253" s="22" t="str">
        <f t="shared" si="8"/>
        <v>lost money</v>
      </c>
    </row>
    <row r="254" spans="1:10">
      <c r="A254" s="1">
        <v>41278</v>
      </c>
      <c r="B254">
        <v>1459.37</v>
      </c>
      <c r="C254">
        <v>1467.94</v>
      </c>
      <c r="D254">
        <v>1458.99</v>
      </c>
      <c r="E254">
        <v>1466.47</v>
      </c>
      <c r="F254">
        <v>3424290000</v>
      </c>
      <c r="G254">
        <v>1466.47</v>
      </c>
      <c r="H254" t="s">
        <v>1</v>
      </c>
      <c r="I254" s="22">
        <f t="shared" si="7"/>
        <v>4.8533166109664457E-3</v>
      </c>
      <c r="J254" s="22" t="str">
        <f t="shared" si="8"/>
        <v/>
      </c>
    </row>
    <row r="255" spans="1:10">
      <c r="A255" s="1">
        <v>41281</v>
      </c>
      <c r="B255">
        <v>1466.47</v>
      </c>
      <c r="C255">
        <v>1466.47</v>
      </c>
      <c r="D255">
        <v>1456.62</v>
      </c>
      <c r="E255">
        <v>1461.89</v>
      </c>
      <c r="F255">
        <v>3304970000</v>
      </c>
      <c r="G255">
        <v>1461.89</v>
      </c>
      <c r="H255" t="s">
        <v>1</v>
      </c>
      <c r="I255" s="22">
        <f t="shared" si="7"/>
        <v>-3.1280332571486792E-3</v>
      </c>
      <c r="J255" s="22" t="str">
        <f t="shared" si="8"/>
        <v>lost money</v>
      </c>
    </row>
    <row r="256" spans="1:10">
      <c r="A256" s="1">
        <v>41282</v>
      </c>
      <c r="B256">
        <v>1461.89</v>
      </c>
      <c r="C256">
        <v>1461.89</v>
      </c>
      <c r="D256">
        <v>1451.64</v>
      </c>
      <c r="E256">
        <v>1457.15</v>
      </c>
      <c r="F256">
        <v>3601600000</v>
      </c>
      <c r="G256">
        <v>1457.15</v>
      </c>
      <c r="H256" t="s">
        <v>1</v>
      </c>
      <c r="I256" s="22">
        <f t="shared" si="7"/>
        <v>-3.2476459151946561E-3</v>
      </c>
      <c r="J256" s="22" t="str">
        <f t="shared" si="8"/>
        <v>lost money</v>
      </c>
    </row>
    <row r="257" spans="1:10">
      <c r="A257" s="1">
        <v>41283</v>
      </c>
      <c r="B257">
        <v>1457.15</v>
      </c>
      <c r="C257">
        <v>1464.73</v>
      </c>
      <c r="D257">
        <v>1457.15</v>
      </c>
      <c r="E257">
        <v>1461.02</v>
      </c>
      <c r="F257">
        <v>3674390000</v>
      </c>
      <c r="G257">
        <v>1461.02</v>
      </c>
      <c r="H257" t="s">
        <v>1</v>
      </c>
      <c r="I257" s="22">
        <f t="shared" si="7"/>
        <v>2.6523487451191913E-3</v>
      </c>
      <c r="J257" s="22" t="str">
        <f t="shared" si="8"/>
        <v/>
      </c>
    </row>
    <row r="258" spans="1:10">
      <c r="A258" s="1">
        <v>41284</v>
      </c>
      <c r="B258">
        <v>1461.02</v>
      </c>
      <c r="C258">
        <v>1472.3</v>
      </c>
      <c r="D258">
        <v>1461.02</v>
      </c>
      <c r="E258">
        <v>1472.12</v>
      </c>
      <c r="F258">
        <v>4081840000</v>
      </c>
      <c r="G258">
        <v>1472.12</v>
      </c>
      <c r="H258" t="s">
        <v>1</v>
      </c>
      <c r="I258" s="22">
        <f t="shared" si="7"/>
        <v>7.5687167942973159E-3</v>
      </c>
      <c r="J258" s="22" t="str">
        <f t="shared" si="8"/>
        <v/>
      </c>
    </row>
    <row r="259" spans="1:10">
      <c r="A259" s="1">
        <v>41285</v>
      </c>
      <c r="B259">
        <v>1472.12</v>
      </c>
      <c r="C259">
        <v>1472.75</v>
      </c>
      <c r="D259">
        <v>1467.58</v>
      </c>
      <c r="E259">
        <v>1472.05</v>
      </c>
      <c r="F259">
        <v>3340650000</v>
      </c>
      <c r="G259">
        <v>1472.05</v>
      </c>
      <c r="H259" t="s">
        <v>1</v>
      </c>
      <c r="I259" s="22">
        <f t="shared" ref="I259:I322" si="9">IF(A259=$A$2,"",LN(G259/G258))</f>
        <v>-4.7551601988409018E-5</v>
      </c>
      <c r="J259" s="22" t="str">
        <f t="shared" ref="J259:J322" si="10">IF(B259&gt;E259,"lost money","")</f>
        <v>lost money</v>
      </c>
    </row>
    <row r="260" spans="1:10">
      <c r="A260" s="1">
        <v>41288</v>
      </c>
      <c r="B260">
        <v>1472.05</v>
      </c>
      <c r="C260">
        <v>1472.05</v>
      </c>
      <c r="D260">
        <v>1465.69</v>
      </c>
      <c r="E260">
        <v>1470.68</v>
      </c>
      <c r="F260">
        <v>3003010000</v>
      </c>
      <c r="G260">
        <v>1470.68</v>
      </c>
      <c r="H260" t="s">
        <v>1</v>
      </c>
      <c r="I260" s="22">
        <f t="shared" si="9"/>
        <v>-9.3110825592432821E-4</v>
      </c>
      <c r="J260" s="22" t="str">
        <f t="shared" si="10"/>
        <v>lost money</v>
      </c>
    </row>
    <row r="261" spans="1:10">
      <c r="A261" s="1">
        <v>41289</v>
      </c>
      <c r="B261">
        <v>1470.67</v>
      </c>
      <c r="C261">
        <v>1473.31</v>
      </c>
      <c r="D261">
        <v>1463.76</v>
      </c>
      <c r="E261">
        <v>1472.34</v>
      </c>
      <c r="F261">
        <v>3135350000</v>
      </c>
      <c r="G261">
        <v>1472.34</v>
      </c>
      <c r="H261" t="s">
        <v>1</v>
      </c>
      <c r="I261" s="22">
        <f t="shared" si="9"/>
        <v>1.128093030996665E-3</v>
      </c>
      <c r="J261" s="22" t="str">
        <f t="shared" si="10"/>
        <v/>
      </c>
    </row>
    <row r="262" spans="1:10">
      <c r="A262" s="1">
        <v>41290</v>
      </c>
      <c r="B262">
        <v>1472.33</v>
      </c>
      <c r="C262">
        <v>1473.96</v>
      </c>
      <c r="D262">
        <v>1467.6</v>
      </c>
      <c r="E262">
        <v>1472.63</v>
      </c>
      <c r="F262">
        <v>3384080000</v>
      </c>
      <c r="G262">
        <v>1472.63</v>
      </c>
      <c r="H262" t="s">
        <v>1</v>
      </c>
      <c r="I262" s="22">
        <f t="shared" si="9"/>
        <v>1.969459797129973E-4</v>
      </c>
      <c r="J262" s="22" t="str">
        <f t="shared" si="10"/>
        <v/>
      </c>
    </row>
    <row r="263" spans="1:10">
      <c r="A263" s="1">
        <v>41291</v>
      </c>
      <c r="B263">
        <v>1472.63</v>
      </c>
      <c r="C263">
        <v>1485.16</v>
      </c>
      <c r="D263">
        <v>1472.63</v>
      </c>
      <c r="E263">
        <v>1480.94</v>
      </c>
      <c r="F263">
        <v>3706710000</v>
      </c>
      <c r="G263">
        <v>1480.94</v>
      </c>
      <c r="H263" t="s">
        <v>1</v>
      </c>
      <c r="I263" s="22">
        <f t="shared" si="9"/>
        <v>5.6271034223067872E-3</v>
      </c>
      <c r="J263" s="22" t="str">
        <f t="shared" si="10"/>
        <v/>
      </c>
    </row>
    <row r="264" spans="1:10">
      <c r="A264" s="1">
        <v>41292</v>
      </c>
      <c r="B264">
        <v>1480.95</v>
      </c>
      <c r="C264">
        <v>1485.98</v>
      </c>
      <c r="D264">
        <v>1475.81</v>
      </c>
      <c r="E264">
        <v>1485.98</v>
      </c>
      <c r="F264">
        <v>3795740000</v>
      </c>
      <c r="G264">
        <v>1485.98</v>
      </c>
      <c r="H264" t="s">
        <v>1</v>
      </c>
      <c r="I264" s="22">
        <f t="shared" si="9"/>
        <v>3.3974659565910057E-3</v>
      </c>
      <c r="J264" s="22" t="str">
        <f t="shared" si="10"/>
        <v/>
      </c>
    </row>
    <row r="265" spans="1:10">
      <c r="A265" s="1">
        <v>41296</v>
      </c>
      <c r="B265">
        <v>1485.98</v>
      </c>
      <c r="C265">
        <v>1492.56</v>
      </c>
      <c r="D265">
        <v>1481.16</v>
      </c>
      <c r="E265">
        <v>1492.56</v>
      </c>
      <c r="F265">
        <v>3570950000</v>
      </c>
      <c r="G265">
        <v>1492.56</v>
      </c>
      <c r="H265" t="s">
        <v>1</v>
      </c>
      <c r="I265" s="22">
        <f t="shared" si="9"/>
        <v>4.41827922681335E-3</v>
      </c>
      <c r="J265" s="22" t="str">
        <f t="shared" si="10"/>
        <v/>
      </c>
    </row>
    <row r="266" spans="1:10">
      <c r="A266" s="1">
        <v>41297</v>
      </c>
      <c r="B266">
        <v>1492.56</v>
      </c>
      <c r="C266">
        <v>1496.13</v>
      </c>
      <c r="D266">
        <v>1489.9</v>
      </c>
      <c r="E266">
        <v>1494.81</v>
      </c>
      <c r="F266">
        <v>3552010000</v>
      </c>
      <c r="G266">
        <v>1494.81</v>
      </c>
      <c r="H266" t="s">
        <v>1</v>
      </c>
      <c r="I266" s="22">
        <f t="shared" si="9"/>
        <v>1.5063419833833689E-3</v>
      </c>
      <c r="J266" s="22" t="str">
        <f t="shared" si="10"/>
        <v/>
      </c>
    </row>
    <row r="267" spans="1:10">
      <c r="A267" s="1">
        <v>41298</v>
      </c>
      <c r="B267">
        <v>1494.81</v>
      </c>
      <c r="C267">
        <v>1502.27</v>
      </c>
      <c r="D267">
        <v>1489.46</v>
      </c>
      <c r="E267">
        <v>1494.82</v>
      </c>
      <c r="F267">
        <v>3699430000</v>
      </c>
      <c r="G267">
        <v>1494.82</v>
      </c>
      <c r="H267" t="s">
        <v>1</v>
      </c>
      <c r="I267" s="22">
        <f t="shared" si="9"/>
        <v>6.689791044299383E-6</v>
      </c>
      <c r="J267" s="22" t="str">
        <f t="shared" si="10"/>
        <v/>
      </c>
    </row>
    <row r="268" spans="1:10">
      <c r="A268" s="1">
        <v>41299</v>
      </c>
      <c r="B268">
        <v>1494.82</v>
      </c>
      <c r="C268">
        <v>1503.26</v>
      </c>
      <c r="D268">
        <v>1494.82</v>
      </c>
      <c r="E268">
        <v>1502.96</v>
      </c>
      <c r="F268">
        <v>3476290000</v>
      </c>
      <c r="G268">
        <v>1502.96</v>
      </c>
      <c r="H268" t="s">
        <v>1</v>
      </c>
      <c r="I268" s="22">
        <f t="shared" si="9"/>
        <v>5.4306987208722545E-3</v>
      </c>
      <c r="J268" s="22" t="str">
        <f t="shared" si="10"/>
        <v/>
      </c>
    </row>
    <row r="269" spans="1:10">
      <c r="A269" s="1">
        <v>41302</v>
      </c>
      <c r="B269">
        <v>1502.96</v>
      </c>
      <c r="C269">
        <v>1503.23</v>
      </c>
      <c r="D269">
        <v>1496.33</v>
      </c>
      <c r="E269">
        <v>1500.18</v>
      </c>
      <c r="F269">
        <v>3388540000</v>
      </c>
      <c r="G269">
        <v>1500.18</v>
      </c>
      <c r="H269" t="s">
        <v>1</v>
      </c>
      <c r="I269" s="22">
        <f t="shared" si="9"/>
        <v>-1.8513960681661246E-3</v>
      </c>
      <c r="J269" s="22" t="str">
        <f t="shared" si="10"/>
        <v>lost money</v>
      </c>
    </row>
    <row r="270" spans="1:10">
      <c r="A270" s="1">
        <v>41303</v>
      </c>
      <c r="B270">
        <v>1500.18</v>
      </c>
      <c r="C270">
        <v>1509.35</v>
      </c>
      <c r="D270">
        <v>1498.09</v>
      </c>
      <c r="E270">
        <v>1507.84</v>
      </c>
      <c r="F270">
        <v>3949640000</v>
      </c>
      <c r="G270">
        <v>1507.84</v>
      </c>
      <c r="H270" t="s">
        <v>1</v>
      </c>
      <c r="I270" s="22">
        <f t="shared" si="9"/>
        <v>5.0930622521802886E-3</v>
      </c>
      <c r="J270" s="22" t="str">
        <f t="shared" si="10"/>
        <v/>
      </c>
    </row>
    <row r="271" spans="1:10">
      <c r="A271" s="1">
        <v>41304</v>
      </c>
      <c r="B271">
        <v>1507.84</v>
      </c>
      <c r="C271">
        <v>1509.94</v>
      </c>
      <c r="D271">
        <v>1500.11</v>
      </c>
      <c r="E271">
        <v>1501.96</v>
      </c>
      <c r="F271">
        <v>3726810000</v>
      </c>
      <c r="G271">
        <v>1501.96</v>
      </c>
      <c r="H271" t="s">
        <v>1</v>
      </c>
      <c r="I271" s="22">
        <f t="shared" si="9"/>
        <v>-3.9072413320486547E-3</v>
      </c>
      <c r="J271" s="22" t="str">
        <f t="shared" si="10"/>
        <v>lost money</v>
      </c>
    </row>
    <row r="272" spans="1:10">
      <c r="A272" s="1">
        <v>41305</v>
      </c>
      <c r="B272">
        <v>1501.96</v>
      </c>
      <c r="C272">
        <v>1504.19</v>
      </c>
      <c r="D272">
        <v>1496.76</v>
      </c>
      <c r="E272">
        <v>1498.11</v>
      </c>
      <c r="F272">
        <v>3999880000</v>
      </c>
      <c r="G272">
        <v>1498.11</v>
      </c>
      <c r="H272" t="s">
        <v>1</v>
      </c>
      <c r="I272" s="22">
        <f t="shared" si="9"/>
        <v>-2.5666081881304615E-3</v>
      </c>
      <c r="J272" s="22" t="str">
        <f t="shared" si="10"/>
        <v>lost money</v>
      </c>
    </row>
    <row r="273" spans="1:10">
      <c r="A273" s="1">
        <v>41306</v>
      </c>
      <c r="B273">
        <v>1498.11</v>
      </c>
      <c r="C273">
        <v>1514.41</v>
      </c>
      <c r="D273">
        <v>1498.11</v>
      </c>
      <c r="E273">
        <v>1513.17</v>
      </c>
      <c r="F273">
        <v>3836320000</v>
      </c>
      <c r="G273">
        <v>1513.17</v>
      </c>
      <c r="H273" t="s">
        <v>1</v>
      </c>
      <c r="I273" s="22">
        <f t="shared" si="9"/>
        <v>1.0002474404177631E-2</v>
      </c>
      <c r="J273" s="22" t="str">
        <f t="shared" si="10"/>
        <v/>
      </c>
    </row>
    <row r="274" spans="1:10">
      <c r="A274" s="1">
        <v>41309</v>
      </c>
      <c r="B274">
        <v>1513.17</v>
      </c>
      <c r="C274">
        <v>1513.17</v>
      </c>
      <c r="D274">
        <v>1495.02</v>
      </c>
      <c r="E274">
        <v>1495.71</v>
      </c>
      <c r="F274">
        <v>3390000000</v>
      </c>
      <c r="G274">
        <v>1495.71</v>
      </c>
      <c r="H274" t="s">
        <v>1</v>
      </c>
      <c r="I274" s="22">
        <f t="shared" si="9"/>
        <v>-1.1605777551404992E-2</v>
      </c>
      <c r="J274" s="22" t="str">
        <f t="shared" si="10"/>
        <v>lost money</v>
      </c>
    </row>
    <row r="275" spans="1:10">
      <c r="A275" s="1">
        <v>41310</v>
      </c>
      <c r="B275">
        <v>1495.71</v>
      </c>
      <c r="C275">
        <v>1514.96</v>
      </c>
      <c r="D275">
        <v>1495.71</v>
      </c>
      <c r="E275">
        <v>1511.29</v>
      </c>
      <c r="F275">
        <v>3618360000</v>
      </c>
      <c r="G275">
        <v>1511.29</v>
      </c>
      <c r="H275" t="s">
        <v>1</v>
      </c>
      <c r="I275" s="22">
        <f t="shared" si="9"/>
        <v>1.036258025857612E-2</v>
      </c>
      <c r="J275" s="22" t="str">
        <f t="shared" si="10"/>
        <v/>
      </c>
    </row>
    <row r="276" spans="1:10">
      <c r="A276" s="1">
        <v>41311</v>
      </c>
      <c r="B276">
        <v>1511.29</v>
      </c>
      <c r="C276">
        <v>1512.53</v>
      </c>
      <c r="D276">
        <v>1504.71</v>
      </c>
      <c r="E276">
        <v>1512.12</v>
      </c>
      <c r="F276">
        <v>3611570000</v>
      </c>
      <c r="G276">
        <v>1512.12</v>
      </c>
      <c r="H276" t="s">
        <v>1</v>
      </c>
      <c r="I276" s="22">
        <f t="shared" si="9"/>
        <v>5.4904893537455462E-4</v>
      </c>
      <c r="J276" s="22" t="str">
        <f t="shared" si="10"/>
        <v/>
      </c>
    </row>
    <row r="277" spans="1:10">
      <c r="A277" s="1">
        <v>41312</v>
      </c>
      <c r="B277">
        <v>1512.12</v>
      </c>
      <c r="C277">
        <v>1512.9</v>
      </c>
      <c r="D277">
        <v>1498.49</v>
      </c>
      <c r="E277">
        <v>1509.39</v>
      </c>
      <c r="F277">
        <v>3614580000</v>
      </c>
      <c r="G277">
        <v>1509.39</v>
      </c>
      <c r="H277" t="s">
        <v>1</v>
      </c>
      <c r="I277" s="22">
        <f t="shared" si="9"/>
        <v>-1.807043989846203E-3</v>
      </c>
      <c r="J277" s="22" t="str">
        <f t="shared" si="10"/>
        <v>lost money</v>
      </c>
    </row>
    <row r="278" spans="1:10">
      <c r="A278" s="1">
        <v>41313</v>
      </c>
      <c r="B278">
        <v>1509.39</v>
      </c>
      <c r="C278">
        <v>1518.31</v>
      </c>
      <c r="D278">
        <v>1509.39</v>
      </c>
      <c r="E278">
        <v>1517.93</v>
      </c>
      <c r="F278">
        <v>2986150000</v>
      </c>
      <c r="G278">
        <v>1517.93</v>
      </c>
      <c r="H278" t="s">
        <v>1</v>
      </c>
      <c r="I278" s="22">
        <f t="shared" si="9"/>
        <v>5.6419689055853262E-3</v>
      </c>
      <c r="J278" s="22" t="str">
        <f t="shared" si="10"/>
        <v/>
      </c>
    </row>
    <row r="279" spans="1:10">
      <c r="A279" s="1">
        <v>41316</v>
      </c>
      <c r="B279">
        <v>1517.93</v>
      </c>
      <c r="C279">
        <v>1518.31</v>
      </c>
      <c r="D279">
        <v>1513.61</v>
      </c>
      <c r="E279">
        <v>1517.01</v>
      </c>
      <c r="F279">
        <v>2684100000</v>
      </c>
      <c r="G279">
        <v>1517.01</v>
      </c>
      <c r="H279" t="s">
        <v>1</v>
      </c>
      <c r="I279" s="22">
        <f t="shared" si="9"/>
        <v>-6.0627230072434325E-4</v>
      </c>
      <c r="J279" s="22" t="str">
        <f t="shared" si="10"/>
        <v>lost money</v>
      </c>
    </row>
    <row r="280" spans="1:10">
      <c r="A280" s="1">
        <v>41317</v>
      </c>
      <c r="B280">
        <v>1517.01</v>
      </c>
      <c r="C280">
        <v>1522.29</v>
      </c>
      <c r="D280">
        <v>1515.61</v>
      </c>
      <c r="E280">
        <v>1519.43</v>
      </c>
      <c r="F280">
        <v>3414370000</v>
      </c>
      <c r="G280">
        <v>1519.43</v>
      </c>
      <c r="H280" t="s">
        <v>1</v>
      </c>
      <c r="I280" s="22">
        <f t="shared" si="9"/>
        <v>1.5939722256221329E-3</v>
      </c>
      <c r="J280" s="22" t="str">
        <f t="shared" si="10"/>
        <v/>
      </c>
    </row>
    <row r="281" spans="1:10">
      <c r="A281" s="1">
        <v>41318</v>
      </c>
      <c r="B281">
        <v>1519.43</v>
      </c>
      <c r="C281">
        <v>1524.69</v>
      </c>
      <c r="D281">
        <v>1515.93</v>
      </c>
      <c r="E281">
        <v>1520.33</v>
      </c>
      <c r="F281">
        <v>3385880000</v>
      </c>
      <c r="G281">
        <v>1520.33</v>
      </c>
      <c r="H281" t="s">
        <v>1</v>
      </c>
      <c r="I281" s="22">
        <f t="shared" si="9"/>
        <v>5.92152029303837E-4</v>
      </c>
      <c r="J281" s="22" t="str">
        <f t="shared" si="10"/>
        <v/>
      </c>
    </row>
    <row r="282" spans="1:10">
      <c r="A282" s="1">
        <v>41319</v>
      </c>
      <c r="B282">
        <v>1520.33</v>
      </c>
      <c r="C282">
        <v>1523.14</v>
      </c>
      <c r="D282">
        <v>1514.02</v>
      </c>
      <c r="E282">
        <v>1521.38</v>
      </c>
      <c r="F282">
        <v>3759740000</v>
      </c>
      <c r="G282">
        <v>1521.38</v>
      </c>
      <c r="H282" t="s">
        <v>1</v>
      </c>
      <c r="I282" s="22">
        <f t="shared" si="9"/>
        <v>6.9040115047624235E-4</v>
      </c>
      <c r="J282" s="22" t="str">
        <f t="shared" si="10"/>
        <v/>
      </c>
    </row>
    <row r="283" spans="1:10">
      <c r="A283" s="1">
        <v>41320</v>
      </c>
      <c r="B283">
        <v>1521.38</v>
      </c>
      <c r="C283">
        <v>1524.24</v>
      </c>
      <c r="D283">
        <v>1514.14</v>
      </c>
      <c r="E283">
        <v>1519.79</v>
      </c>
      <c r="F283">
        <v>3838510000</v>
      </c>
      <c r="G283">
        <v>1519.79</v>
      </c>
      <c r="H283" t="s">
        <v>1</v>
      </c>
      <c r="I283" s="22">
        <f t="shared" si="9"/>
        <v>-1.0456502891147328E-3</v>
      </c>
      <c r="J283" s="22" t="str">
        <f t="shared" si="10"/>
        <v>lost money</v>
      </c>
    </row>
    <row r="284" spans="1:10">
      <c r="A284" s="1">
        <v>41324</v>
      </c>
      <c r="B284">
        <v>1519.79</v>
      </c>
      <c r="C284">
        <v>1530.94</v>
      </c>
      <c r="D284">
        <v>1519.79</v>
      </c>
      <c r="E284">
        <v>1530.94</v>
      </c>
      <c r="F284">
        <v>3748910000</v>
      </c>
      <c r="G284">
        <v>1530.94</v>
      </c>
      <c r="H284" t="s">
        <v>1</v>
      </c>
      <c r="I284" s="22">
        <f t="shared" si="9"/>
        <v>7.3097584169803118E-3</v>
      </c>
      <c r="J284" s="22" t="str">
        <f t="shared" si="10"/>
        <v/>
      </c>
    </row>
    <row r="285" spans="1:10">
      <c r="A285" s="1">
        <v>41325</v>
      </c>
      <c r="B285">
        <v>1530.94</v>
      </c>
      <c r="C285">
        <v>1530.94</v>
      </c>
      <c r="D285">
        <v>1511.41</v>
      </c>
      <c r="E285">
        <v>1511.95</v>
      </c>
      <c r="F285">
        <v>4240570000</v>
      </c>
      <c r="G285">
        <v>1511.95</v>
      </c>
      <c r="H285" t="s">
        <v>1</v>
      </c>
      <c r="I285" s="22">
        <f t="shared" si="9"/>
        <v>-1.248171740825915E-2</v>
      </c>
      <c r="J285" s="22" t="str">
        <f t="shared" si="10"/>
        <v>lost money</v>
      </c>
    </row>
    <row r="286" spans="1:10">
      <c r="A286" s="1">
        <v>41326</v>
      </c>
      <c r="B286">
        <v>1511.95</v>
      </c>
      <c r="C286">
        <v>1511.95</v>
      </c>
      <c r="D286">
        <v>1497.29</v>
      </c>
      <c r="E286">
        <v>1502.42</v>
      </c>
      <c r="F286">
        <v>4274600000</v>
      </c>
      <c r="G286">
        <v>1502.42</v>
      </c>
      <c r="H286" t="s">
        <v>1</v>
      </c>
      <c r="I286" s="22">
        <f t="shared" si="9"/>
        <v>-6.3230670101523416E-3</v>
      </c>
      <c r="J286" s="22" t="str">
        <f t="shared" si="10"/>
        <v>lost money</v>
      </c>
    </row>
    <row r="287" spans="1:10">
      <c r="A287" s="1">
        <v>41327</v>
      </c>
      <c r="B287">
        <v>1502.42</v>
      </c>
      <c r="C287">
        <v>1515.64</v>
      </c>
      <c r="D287">
        <v>1502.42</v>
      </c>
      <c r="E287">
        <v>1515.6</v>
      </c>
      <c r="F287">
        <v>3419320000</v>
      </c>
      <c r="G287">
        <v>1515.6</v>
      </c>
      <c r="H287" t="s">
        <v>1</v>
      </c>
      <c r="I287" s="22">
        <f t="shared" si="9"/>
        <v>8.7342587449727293E-3</v>
      </c>
      <c r="J287" s="22" t="str">
        <f t="shared" si="10"/>
        <v/>
      </c>
    </row>
    <row r="288" spans="1:10">
      <c r="A288" s="1">
        <v>41330</v>
      </c>
      <c r="B288">
        <v>1515.6</v>
      </c>
      <c r="C288">
        <v>1525.84</v>
      </c>
      <c r="D288">
        <v>1487.85</v>
      </c>
      <c r="E288">
        <v>1487.85</v>
      </c>
      <c r="F288">
        <v>4011050000</v>
      </c>
      <c r="G288">
        <v>1487.85</v>
      </c>
      <c r="H288" t="s">
        <v>1</v>
      </c>
      <c r="I288" s="22">
        <f t="shared" si="9"/>
        <v>-1.8479275284333255E-2</v>
      </c>
      <c r="J288" s="22" t="str">
        <f t="shared" si="10"/>
        <v>lost money</v>
      </c>
    </row>
    <row r="289" spans="1:10">
      <c r="A289" s="1">
        <v>41331</v>
      </c>
      <c r="B289">
        <v>1487.85</v>
      </c>
      <c r="C289">
        <v>1498.99</v>
      </c>
      <c r="D289">
        <v>1485.01</v>
      </c>
      <c r="E289">
        <v>1496.94</v>
      </c>
      <c r="F289">
        <v>3975280000</v>
      </c>
      <c r="G289">
        <v>1496.94</v>
      </c>
      <c r="H289" t="s">
        <v>1</v>
      </c>
      <c r="I289" s="22">
        <f t="shared" si="9"/>
        <v>6.0908995959643225E-3</v>
      </c>
      <c r="J289" s="22" t="str">
        <f t="shared" si="10"/>
        <v/>
      </c>
    </row>
    <row r="290" spans="1:10">
      <c r="A290" s="1">
        <v>41332</v>
      </c>
      <c r="B290">
        <v>1496.94</v>
      </c>
      <c r="C290">
        <v>1520.08</v>
      </c>
      <c r="D290">
        <v>1494.88</v>
      </c>
      <c r="E290">
        <v>1515.99</v>
      </c>
      <c r="F290">
        <v>3551850000</v>
      </c>
      <c r="G290">
        <v>1515.99</v>
      </c>
      <c r="H290" t="s">
        <v>1</v>
      </c>
      <c r="I290" s="22">
        <f t="shared" si="9"/>
        <v>1.2645666418416045E-2</v>
      </c>
      <c r="J290" s="22" t="str">
        <f t="shared" si="10"/>
        <v/>
      </c>
    </row>
    <row r="291" spans="1:10">
      <c r="A291" s="1">
        <v>41333</v>
      </c>
      <c r="B291">
        <v>1515.99</v>
      </c>
      <c r="C291">
        <v>1525.34</v>
      </c>
      <c r="D291">
        <v>1514.46</v>
      </c>
      <c r="E291">
        <v>1514.68</v>
      </c>
      <c r="F291">
        <v>3912320000</v>
      </c>
      <c r="G291">
        <v>1514.68</v>
      </c>
      <c r="H291" t="s">
        <v>1</v>
      </c>
      <c r="I291" s="22">
        <f t="shared" si="9"/>
        <v>-8.644953634581831E-4</v>
      </c>
      <c r="J291" s="22" t="str">
        <f t="shared" si="10"/>
        <v>lost money</v>
      </c>
    </row>
    <row r="292" spans="1:10">
      <c r="A292" s="1">
        <v>41334</v>
      </c>
      <c r="B292">
        <v>1514.68</v>
      </c>
      <c r="C292">
        <v>1519.99</v>
      </c>
      <c r="D292">
        <v>1501.48</v>
      </c>
      <c r="E292">
        <v>1518.2</v>
      </c>
      <c r="F292">
        <v>3695610000</v>
      </c>
      <c r="G292">
        <v>1518.2</v>
      </c>
      <c r="H292" t="s">
        <v>1</v>
      </c>
      <c r="I292" s="22">
        <f t="shared" si="9"/>
        <v>2.3212270716333073E-3</v>
      </c>
      <c r="J292" s="22" t="str">
        <f t="shared" si="10"/>
        <v/>
      </c>
    </row>
    <row r="293" spans="1:10">
      <c r="A293" s="1">
        <v>41337</v>
      </c>
      <c r="B293">
        <v>1518.2</v>
      </c>
      <c r="C293">
        <v>1525.27</v>
      </c>
      <c r="D293">
        <v>1512.29</v>
      </c>
      <c r="E293">
        <v>1525.2</v>
      </c>
      <c r="F293">
        <v>3414430000</v>
      </c>
      <c r="G293">
        <v>1525.2</v>
      </c>
      <c r="H293" t="s">
        <v>1</v>
      </c>
      <c r="I293" s="22">
        <f t="shared" si="9"/>
        <v>4.6001264007408333E-3</v>
      </c>
      <c r="J293" s="22" t="str">
        <f t="shared" si="10"/>
        <v/>
      </c>
    </row>
    <row r="294" spans="1:10">
      <c r="A294" s="1">
        <v>41338</v>
      </c>
      <c r="B294">
        <v>1525.2</v>
      </c>
      <c r="C294">
        <v>1543.47</v>
      </c>
      <c r="D294">
        <v>1525.2</v>
      </c>
      <c r="E294">
        <v>1539.79</v>
      </c>
      <c r="F294">
        <v>3610690000</v>
      </c>
      <c r="G294">
        <v>1539.79</v>
      </c>
      <c r="H294" t="s">
        <v>1</v>
      </c>
      <c r="I294" s="22">
        <f t="shared" si="9"/>
        <v>9.5204944895365129E-3</v>
      </c>
      <c r="J294" s="22" t="str">
        <f t="shared" si="10"/>
        <v/>
      </c>
    </row>
    <row r="295" spans="1:10">
      <c r="A295" s="1">
        <v>41339</v>
      </c>
      <c r="B295">
        <v>1539.79</v>
      </c>
      <c r="C295">
        <v>1545.25</v>
      </c>
      <c r="D295">
        <v>1538.11</v>
      </c>
      <c r="E295">
        <v>1541.46</v>
      </c>
      <c r="F295">
        <v>3676890000</v>
      </c>
      <c r="G295">
        <v>1541.46</v>
      </c>
      <c r="H295" t="s">
        <v>1</v>
      </c>
      <c r="I295" s="22">
        <f t="shared" si="9"/>
        <v>1.0839757653689358E-3</v>
      </c>
      <c r="J295" s="22" t="str">
        <f t="shared" si="10"/>
        <v/>
      </c>
    </row>
    <row r="296" spans="1:10">
      <c r="A296" s="1">
        <v>41340</v>
      </c>
      <c r="B296">
        <v>1541.46</v>
      </c>
      <c r="C296">
        <v>1545.78</v>
      </c>
      <c r="D296">
        <v>1541.46</v>
      </c>
      <c r="E296">
        <v>1544.26</v>
      </c>
      <c r="F296">
        <v>3634710000</v>
      </c>
      <c r="G296">
        <v>1544.26</v>
      </c>
      <c r="H296" t="s">
        <v>1</v>
      </c>
      <c r="I296" s="22">
        <f t="shared" si="9"/>
        <v>1.8148119521493281E-3</v>
      </c>
      <c r="J296" s="22" t="str">
        <f t="shared" si="10"/>
        <v/>
      </c>
    </row>
    <row r="297" spans="1:10">
      <c r="A297" s="1">
        <v>41341</v>
      </c>
      <c r="B297">
        <v>1544.26</v>
      </c>
      <c r="C297">
        <v>1552.48</v>
      </c>
      <c r="D297">
        <v>1542.94</v>
      </c>
      <c r="E297">
        <v>1551.18</v>
      </c>
      <c r="F297">
        <v>3652260000</v>
      </c>
      <c r="G297">
        <v>1551.18</v>
      </c>
      <c r="H297" t="s">
        <v>1</v>
      </c>
      <c r="I297" s="22">
        <f t="shared" si="9"/>
        <v>4.4711004109199912E-3</v>
      </c>
      <c r="J297" s="22" t="str">
        <f t="shared" si="10"/>
        <v/>
      </c>
    </row>
    <row r="298" spans="1:10">
      <c r="A298" s="1">
        <v>41344</v>
      </c>
      <c r="B298">
        <v>1551.15</v>
      </c>
      <c r="C298">
        <v>1556.27</v>
      </c>
      <c r="D298">
        <v>1547.36</v>
      </c>
      <c r="E298">
        <v>1556.22</v>
      </c>
      <c r="F298">
        <v>3091080000</v>
      </c>
      <c r="G298">
        <v>1556.22</v>
      </c>
      <c r="H298" t="s">
        <v>1</v>
      </c>
      <c r="I298" s="22">
        <f t="shared" si="9"/>
        <v>3.2438723173948535E-3</v>
      </c>
      <c r="J298" s="22" t="str">
        <f t="shared" si="10"/>
        <v/>
      </c>
    </row>
    <row r="299" spans="1:10">
      <c r="A299" s="1">
        <v>41345</v>
      </c>
      <c r="B299">
        <v>1556.22</v>
      </c>
      <c r="C299">
        <v>1556.77</v>
      </c>
      <c r="D299">
        <v>1548.24</v>
      </c>
      <c r="E299">
        <v>1552.48</v>
      </c>
      <c r="F299">
        <v>3274910000</v>
      </c>
      <c r="G299">
        <v>1552.48</v>
      </c>
      <c r="H299" t="s">
        <v>1</v>
      </c>
      <c r="I299" s="22">
        <f t="shared" si="9"/>
        <v>-2.4061516417888235E-3</v>
      </c>
      <c r="J299" s="22" t="str">
        <f t="shared" si="10"/>
        <v>lost money</v>
      </c>
    </row>
    <row r="300" spans="1:10">
      <c r="A300" s="1">
        <v>41346</v>
      </c>
      <c r="B300">
        <v>1552.48</v>
      </c>
      <c r="C300">
        <v>1556.39</v>
      </c>
      <c r="D300">
        <v>1548.25</v>
      </c>
      <c r="E300">
        <v>1554.52</v>
      </c>
      <c r="F300">
        <v>3073830000</v>
      </c>
      <c r="G300">
        <v>1554.52</v>
      </c>
      <c r="H300" t="s">
        <v>1</v>
      </c>
      <c r="I300" s="22">
        <f t="shared" si="9"/>
        <v>1.3131640123256268E-3</v>
      </c>
      <c r="J300" s="22" t="str">
        <f t="shared" si="10"/>
        <v/>
      </c>
    </row>
    <row r="301" spans="1:10">
      <c r="A301" s="1">
        <v>41347</v>
      </c>
      <c r="B301">
        <v>1554.52</v>
      </c>
      <c r="C301">
        <v>1563.32</v>
      </c>
      <c r="D301">
        <v>1554.52</v>
      </c>
      <c r="E301">
        <v>1563.23</v>
      </c>
      <c r="F301">
        <v>3459260000</v>
      </c>
      <c r="G301">
        <v>1563.23</v>
      </c>
      <c r="H301" t="s">
        <v>1</v>
      </c>
      <c r="I301" s="22">
        <f t="shared" si="9"/>
        <v>5.5873772173025285E-3</v>
      </c>
      <c r="J301" s="22" t="str">
        <f t="shared" si="10"/>
        <v/>
      </c>
    </row>
    <row r="302" spans="1:10">
      <c r="A302" s="1">
        <v>41348</v>
      </c>
      <c r="B302">
        <v>1563.21</v>
      </c>
      <c r="C302">
        <v>1563.62</v>
      </c>
      <c r="D302">
        <v>1555.74</v>
      </c>
      <c r="E302">
        <v>1560.7</v>
      </c>
      <c r="F302">
        <v>5175850000</v>
      </c>
      <c r="G302">
        <v>1560.7</v>
      </c>
      <c r="H302" t="s">
        <v>1</v>
      </c>
      <c r="I302" s="22">
        <f t="shared" si="9"/>
        <v>-1.6197549581095975E-3</v>
      </c>
      <c r="J302" s="22" t="str">
        <f t="shared" si="10"/>
        <v>lost money</v>
      </c>
    </row>
    <row r="303" spans="1:10">
      <c r="A303" s="1">
        <v>41351</v>
      </c>
      <c r="B303">
        <v>1560.7</v>
      </c>
      <c r="C303">
        <v>1560.7</v>
      </c>
      <c r="D303">
        <v>1545.13</v>
      </c>
      <c r="E303">
        <v>1552.1</v>
      </c>
      <c r="F303">
        <v>3164560000</v>
      </c>
      <c r="G303">
        <v>1552.1</v>
      </c>
      <c r="H303" t="s">
        <v>1</v>
      </c>
      <c r="I303" s="22">
        <f t="shared" si="9"/>
        <v>-5.5255858913691377E-3</v>
      </c>
      <c r="J303" s="22" t="str">
        <f t="shared" si="10"/>
        <v>lost money</v>
      </c>
    </row>
    <row r="304" spans="1:10">
      <c r="A304" s="1">
        <v>41352</v>
      </c>
      <c r="B304">
        <v>1552.1</v>
      </c>
      <c r="C304">
        <v>1557.25</v>
      </c>
      <c r="D304">
        <v>1538.57</v>
      </c>
      <c r="E304">
        <v>1548.34</v>
      </c>
      <c r="F304">
        <v>3796210000</v>
      </c>
      <c r="G304">
        <v>1548.34</v>
      </c>
      <c r="H304" t="s">
        <v>1</v>
      </c>
      <c r="I304" s="22">
        <f t="shared" si="9"/>
        <v>-2.4254633815200036E-3</v>
      </c>
      <c r="J304" s="22" t="str">
        <f t="shared" si="10"/>
        <v>lost money</v>
      </c>
    </row>
    <row r="305" spans="1:10">
      <c r="A305" s="1">
        <v>41353</v>
      </c>
      <c r="B305">
        <v>1548.34</v>
      </c>
      <c r="C305">
        <v>1561.56</v>
      </c>
      <c r="D305">
        <v>1548.34</v>
      </c>
      <c r="E305">
        <v>1558.71</v>
      </c>
      <c r="F305">
        <v>3349090000</v>
      </c>
      <c r="G305">
        <v>1558.71</v>
      </c>
      <c r="H305" t="s">
        <v>1</v>
      </c>
      <c r="I305" s="22">
        <f t="shared" si="9"/>
        <v>6.6751668015524457E-3</v>
      </c>
      <c r="J305" s="22" t="str">
        <f t="shared" si="10"/>
        <v/>
      </c>
    </row>
    <row r="306" spans="1:10">
      <c r="A306" s="1">
        <v>41354</v>
      </c>
      <c r="B306">
        <v>1558.71</v>
      </c>
      <c r="C306">
        <v>1558.71</v>
      </c>
      <c r="D306">
        <v>1543.55</v>
      </c>
      <c r="E306">
        <v>1545.8</v>
      </c>
      <c r="F306">
        <v>3243270000</v>
      </c>
      <c r="G306">
        <v>1545.8</v>
      </c>
      <c r="H306" t="s">
        <v>1</v>
      </c>
      <c r="I306" s="22">
        <f t="shared" si="9"/>
        <v>-8.3169804044007662E-3</v>
      </c>
      <c r="J306" s="22" t="str">
        <f t="shared" si="10"/>
        <v>lost money</v>
      </c>
    </row>
    <row r="307" spans="1:10">
      <c r="A307" s="1">
        <v>41355</v>
      </c>
      <c r="B307">
        <v>1545.9</v>
      </c>
      <c r="C307">
        <v>1557.74</v>
      </c>
      <c r="D307">
        <v>1545.9</v>
      </c>
      <c r="E307">
        <v>1556.89</v>
      </c>
      <c r="F307">
        <v>2948380000</v>
      </c>
      <c r="G307">
        <v>1556.89</v>
      </c>
      <c r="H307" t="s">
        <v>1</v>
      </c>
      <c r="I307" s="22">
        <f t="shared" si="9"/>
        <v>7.1486659821265496E-3</v>
      </c>
      <c r="J307" s="22" t="str">
        <f t="shared" si="10"/>
        <v/>
      </c>
    </row>
    <row r="308" spans="1:10">
      <c r="A308" s="1">
        <v>41358</v>
      </c>
      <c r="B308">
        <v>1556.89</v>
      </c>
      <c r="C308">
        <v>1564.91</v>
      </c>
      <c r="D308">
        <v>1546.22</v>
      </c>
      <c r="E308">
        <v>1551.69</v>
      </c>
      <c r="F308">
        <v>3178170000</v>
      </c>
      <c r="G308">
        <v>1551.69</v>
      </c>
      <c r="H308" t="s">
        <v>1</v>
      </c>
      <c r="I308" s="22">
        <f t="shared" si="9"/>
        <v>-3.3455821309178592E-3</v>
      </c>
      <c r="J308" s="22" t="str">
        <f t="shared" si="10"/>
        <v>lost money</v>
      </c>
    </row>
    <row r="309" spans="1:10">
      <c r="A309" s="1">
        <v>41359</v>
      </c>
      <c r="B309">
        <v>1551.69</v>
      </c>
      <c r="C309">
        <v>1563.95</v>
      </c>
      <c r="D309">
        <v>1551.69</v>
      </c>
      <c r="E309">
        <v>1563.77</v>
      </c>
      <c r="F309">
        <v>2869260000</v>
      </c>
      <c r="G309">
        <v>1563.77</v>
      </c>
      <c r="H309" t="s">
        <v>1</v>
      </c>
      <c r="I309" s="22">
        <f t="shared" si="9"/>
        <v>7.7549129435386119E-3</v>
      </c>
      <c r="J309" s="22" t="str">
        <f t="shared" si="10"/>
        <v/>
      </c>
    </row>
    <row r="310" spans="1:10">
      <c r="A310" s="1">
        <v>41360</v>
      </c>
      <c r="B310">
        <v>1563.75</v>
      </c>
      <c r="C310">
        <v>1564.07</v>
      </c>
      <c r="D310">
        <v>1551.9</v>
      </c>
      <c r="E310">
        <v>1562.85</v>
      </c>
      <c r="F310">
        <v>2914210000</v>
      </c>
      <c r="G310">
        <v>1562.85</v>
      </c>
      <c r="H310" t="s">
        <v>1</v>
      </c>
      <c r="I310" s="22">
        <f t="shared" si="9"/>
        <v>-5.8849494121564802E-4</v>
      </c>
      <c r="J310" s="22" t="str">
        <f t="shared" si="10"/>
        <v>lost money</v>
      </c>
    </row>
    <row r="311" spans="1:10">
      <c r="A311" s="1">
        <v>41361</v>
      </c>
      <c r="B311">
        <v>1562.86</v>
      </c>
      <c r="C311">
        <v>1570.28</v>
      </c>
      <c r="D311">
        <v>1561.08</v>
      </c>
      <c r="E311">
        <v>1569.19</v>
      </c>
      <c r="F311">
        <v>3304440000</v>
      </c>
      <c r="G311">
        <v>1569.19</v>
      </c>
      <c r="H311" t="s">
        <v>1</v>
      </c>
      <c r="I311" s="22">
        <f t="shared" si="9"/>
        <v>4.0484851148155808E-3</v>
      </c>
      <c r="J311" s="22" t="str">
        <f t="shared" si="10"/>
        <v/>
      </c>
    </row>
    <row r="312" spans="1:10">
      <c r="A312" s="1">
        <v>41365</v>
      </c>
      <c r="B312">
        <v>1569.18</v>
      </c>
      <c r="C312">
        <v>1570.57</v>
      </c>
      <c r="D312">
        <v>1558.47</v>
      </c>
      <c r="E312">
        <v>1562.17</v>
      </c>
      <c r="F312">
        <v>2753110000</v>
      </c>
      <c r="G312">
        <v>1562.17</v>
      </c>
      <c r="H312" t="s">
        <v>1</v>
      </c>
      <c r="I312" s="22">
        <f t="shared" si="9"/>
        <v>-4.4836823364220995E-3</v>
      </c>
      <c r="J312" s="22" t="str">
        <f t="shared" si="10"/>
        <v>lost money</v>
      </c>
    </row>
    <row r="313" spans="1:10">
      <c r="A313" s="1">
        <v>41366</v>
      </c>
      <c r="B313">
        <v>1562.17</v>
      </c>
      <c r="C313">
        <v>1573.66</v>
      </c>
      <c r="D313">
        <v>1562.17</v>
      </c>
      <c r="E313">
        <v>1570.25</v>
      </c>
      <c r="F313">
        <v>3312160000</v>
      </c>
      <c r="G313">
        <v>1570.25</v>
      </c>
      <c r="H313" t="s">
        <v>1</v>
      </c>
      <c r="I313" s="22">
        <f t="shared" si="9"/>
        <v>5.1589620297942326E-3</v>
      </c>
      <c r="J313" s="22" t="str">
        <f t="shared" si="10"/>
        <v/>
      </c>
    </row>
    <row r="314" spans="1:10">
      <c r="A314" s="1">
        <v>41367</v>
      </c>
      <c r="B314">
        <v>1570.25</v>
      </c>
      <c r="C314">
        <v>1571.47</v>
      </c>
      <c r="D314">
        <v>1549.8</v>
      </c>
      <c r="E314">
        <v>1553.69</v>
      </c>
      <c r="F314">
        <v>4060610000</v>
      </c>
      <c r="G314">
        <v>1553.69</v>
      </c>
      <c r="H314" t="s">
        <v>1</v>
      </c>
      <c r="I314" s="22">
        <f t="shared" si="9"/>
        <v>-1.0602095506201462E-2</v>
      </c>
      <c r="J314" s="22" t="str">
        <f t="shared" si="10"/>
        <v>lost money</v>
      </c>
    </row>
    <row r="315" spans="1:10">
      <c r="A315" s="1">
        <v>41368</v>
      </c>
      <c r="B315">
        <v>1553.69</v>
      </c>
      <c r="C315">
        <v>1562.6</v>
      </c>
      <c r="D315">
        <v>1552.52</v>
      </c>
      <c r="E315">
        <v>1559.98</v>
      </c>
      <c r="F315">
        <v>3350670000</v>
      </c>
      <c r="G315">
        <v>1559.98</v>
      </c>
      <c r="H315" t="s">
        <v>1</v>
      </c>
      <c r="I315" s="22">
        <f t="shared" si="9"/>
        <v>4.0402538202902035E-3</v>
      </c>
      <c r="J315" s="22" t="str">
        <f t="shared" si="10"/>
        <v/>
      </c>
    </row>
    <row r="316" spans="1:10">
      <c r="A316" s="1">
        <v>41369</v>
      </c>
      <c r="B316">
        <v>1559.98</v>
      </c>
      <c r="C316">
        <v>1559.98</v>
      </c>
      <c r="D316">
        <v>1539.5</v>
      </c>
      <c r="E316">
        <v>1553.28</v>
      </c>
      <c r="F316">
        <v>3515410000</v>
      </c>
      <c r="G316">
        <v>1553.28</v>
      </c>
      <c r="H316" t="s">
        <v>1</v>
      </c>
      <c r="I316" s="22">
        <f t="shared" si="9"/>
        <v>-4.3041765503969041E-3</v>
      </c>
      <c r="J316" s="22" t="str">
        <f t="shared" si="10"/>
        <v>lost money</v>
      </c>
    </row>
    <row r="317" spans="1:10">
      <c r="A317" s="1">
        <v>41372</v>
      </c>
      <c r="B317">
        <v>1553.26</v>
      </c>
      <c r="C317">
        <v>1563.07</v>
      </c>
      <c r="D317">
        <v>1548.63</v>
      </c>
      <c r="E317">
        <v>1563.07</v>
      </c>
      <c r="F317">
        <v>2887120000</v>
      </c>
      <c r="G317">
        <v>1563.07</v>
      </c>
      <c r="H317" t="s">
        <v>1</v>
      </c>
      <c r="I317" s="22">
        <f t="shared" si="9"/>
        <v>6.2830119890327149E-3</v>
      </c>
      <c r="J317" s="22" t="str">
        <f t="shared" si="10"/>
        <v/>
      </c>
    </row>
    <row r="318" spans="1:10">
      <c r="A318" s="1">
        <v>41373</v>
      </c>
      <c r="B318">
        <v>1563.11</v>
      </c>
      <c r="C318">
        <v>1573.89</v>
      </c>
      <c r="D318">
        <v>1560.92</v>
      </c>
      <c r="E318">
        <v>1568.61</v>
      </c>
      <c r="F318">
        <v>3252780000</v>
      </c>
      <c r="G318">
        <v>1568.61</v>
      </c>
      <c r="H318" t="s">
        <v>1</v>
      </c>
      <c r="I318" s="22">
        <f t="shared" si="9"/>
        <v>3.5380407825949659E-3</v>
      </c>
      <c r="J318" s="22" t="str">
        <f t="shared" si="10"/>
        <v/>
      </c>
    </row>
    <row r="319" spans="1:10">
      <c r="A319" s="1">
        <v>41374</v>
      </c>
      <c r="B319">
        <v>1568.61</v>
      </c>
      <c r="C319">
        <v>1589.07</v>
      </c>
      <c r="D319">
        <v>1568.61</v>
      </c>
      <c r="E319">
        <v>1587.73</v>
      </c>
      <c r="F319">
        <v>3453350000</v>
      </c>
      <c r="G319">
        <v>1587.73</v>
      </c>
      <c r="H319" t="s">
        <v>1</v>
      </c>
      <c r="I319" s="22">
        <f t="shared" si="9"/>
        <v>1.2115446292433605E-2</v>
      </c>
      <c r="J319" s="22" t="str">
        <f t="shared" si="10"/>
        <v/>
      </c>
    </row>
    <row r="320" spans="1:10">
      <c r="A320" s="1">
        <v>41375</v>
      </c>
      <c r="B320">
        <v>1587.73</v>
      </c>
      <c r="C320">
        <v>1597.35</v>
      </c>
      <c r="D320">
        <v>1586.17</v>
      </c>
      <c r="E320">
        <v>1593.37</v>
      </c>
      <c r="F320">
        <v>3393950000</v>
      </c>
      <c r="G320">
        <v>1593.37</v>
      </c>
      <c r="H320" t="s">
        <v>1</v>
      </c>
      <c r="I320" s="22">
        <f t="shared" si="9"/>
        <v>3.5459469426653589E-3</v>
      </c>
      <c r="J320" s="22" t="str">
        <f t="shared" si="10"/>
        <v/>
      </c>
    </row>
    <row r="321" spans="1:10">
      <c r="A321" s="1">
        <v>41376</v>
      </c>
      <c r="B321">
        <v>1593.3</v>
      </c>
      <c r="C321">
        <v>1593.3</v>
      </c>
      <c r="D321">
        <v>1579.97</v>
      </c>
      <c r="E321">
        <v>1588.85</v>
      </c>
      <c r="F321">
        <v>3206290000</v>
      </c>
      <c r="G321">
        <v>1588.85</v>
      </c>
      <c r="H321" t="s">
        <v>1</v>
      </c>
      <c r="I321" s="22">
        <f t="shared" si="9"/>
        <v>-2.8407860171352811E-3</v>
      </c>
      <c r="J321" s="22" t="str">
        <f t="shared" si="10"/>
        <v>lost money</v>
      </c>
    </row>
    <row r="322" spans="1:10">
      <c r="A322" s="1">
        <v>41379</v>
      </c>
      <c r="B322">
        <v>1588.84</v>
      </c>
      <c r="C322">
        <v>1588.84</v>
      </c>
      <c r="D322">
        <v>1552.28</v>
      </c>
      <c r="E322">
        <v>1552.36</v>
      </c>
      <c r="F322">
        <v>4660130000</v>
      </c>
      <c r="G322">
        <v>1552.36</v>
      </c>
      <c r="H322" t="s">
        <v>1</v>
      </c>
      <c r="I322" s="22">
        <f t="shared" si="9"/>
        <v>-2.3234130479996954E-2</v>
      </c>
      <c r="J322" s="22" t="str">
        <f t="shared" si="10"/>
        <v>lost money</v>
      </c>
    </row>
    <row r="323" spans="1:10">
      <c r="A323" s="1">
        <v>41380</v>
      </c>
      <c r="B323">
        <v>1552.36</v>
      </c>
      <c r="C323">
        <v>1575.35</v>
      </c>
      <c r="D323">
        <v>1552.36</v>
      </c>
      <c r="E323">
        <v>1574.57</v>
      </c>
      <c r="F323">
        <v>3654700000</v>
      </c>
      <c r="G323">
        <v>1574.57</v>
      </c>
      <c r="H323" t="s">
        <v>1</v>
      </c>
      <c r="I323" s="22">
        <f t="shared" ref="I323:I386" si="11">IF(A323=$A$2,"",LN(G323/G322))</f>
        <v>1.4205865503323178E-2</v>
      </c>
      <c r="J323" s="22" t="str">
        <f t="shared" ref="J323:J386" si="12">IF(B323&gt;E323,"lost money","")</f>
        <v/>
      </c>
    </row>
    <row r="324" spans="1:10">
      <c r="A324" s="1">
        <v>41381</v>
      </c>
      <c r="B324">
        <v>1574.57</v>
      </c>
      <c r="C324">
        <v>1574.57</v>
      </c>
      <c r="D324">
        <v>1543.69</v>
      </c>
      <c r="E324">
        <v>1552.01</v>
      </c>
      <c r="F324">
        <v>4250310000</v>
      </c>
      <c r="G324">
        <v>1552.01</v>
      </c>
      <c r="H324" t="s">
        <v>1</v>
      </c>
      <c r="I324" s="22">
        <f t="shared" si="11"/>
        <v>-1.4431354089724242E-2</v>
      </c>
      <c r="J324" s="22" t="str">
        <f t="shared" si="12"/>
        <v>lost money</v>
      </c>
    </row>
    <row r="325" spans="1:10">
      <c r="A325" s="1">
        <v>41382</v>
      </c>
      <c r="B325">
        <v>1552.03</v>
      </c>
      <c r="C325">
        <v>1554.38</v>
      </c>
      <c r="D325">
        <v>1536.03</v>
      </c>
      <c r="E325">
        <v>1541.61</v>
      </c>
      <c r="F325">
        <v>3890800000</v>
      </c>
      <c r="G325">
        <v>1541.61</v>
      </c>
      <c r="H325" t="s">
        <v>1</v>
      </c>
      <c r="I325" s="22">
        <f t="shared" si="11"/>
        <v>-6.7235401752622328E-3</v>
      </c>
      <c r="J325" s="22" t="str">
        <f t="shared" si="12"/>
        <v>lost money</v>
      </c>
    </row>
    <row r="326" spans="1:10">
      <c r="A326" s="1">
        <v>41383</v>
      </c>
      <c r="B326">
        <v>1541.61</v>
      </c>
      <c r="C326">
        <v>1555.89</v>
      </c>
      <c r="D326">
        <v>1539.4</v>
      </c>
      <c r="E326">
        <v>1555.25</v>
      </c>
      <c r="F326">
        <v>3569870000</v>
      </c>
      <c r="G326">
        <v>1555.25</v>
      </c>
      <c r="H326" t="s">
        <v>1</v>
      </c>
      <c r="I326" s="22">
        <f t="shared" si="11"/>
        <v>8.8089795490163252E-3</v>
      </c>
      <c r="J326" s="22" t="str">
        <f t="shared" si="12"/>
        <v/>
      </c>
    </row>
    <row r="327" spans="1:10">
      <c r="A327" s="1">
        <v>41386</v>
      </c>
      <c r="B327">
        <v>1555.25</v>
      </c>
      <c r="C327">
        <v>1565.55</v>
      </c>
      <c r="D327">
        <v>1548.19</v>
      </c>
      <c r="E327">
        <v>1562.5</v>
      </c>
      <c r="F327">
        <v>2979880000</v>
      </c>
      <c r="G327">
        <v>1562.5</v>
      </c>
      <c r="H327" t="s">
        <v>1</v>
      </c>
      <c r="I327" s="22">
        <f t="shared" si="11"/>
        <v>4.6507982154273889E-3</v>
      </c>
      <c r="J327" s="22" t="str">
        <f t="shared" si="12"/>
        <v/>
      </c>
    </row>
    <row r="328" spans="1:10">
      <c r="A328" s="1">
        <v>41387</v>
      </c>
      <c r="B328">
        <v>1562.5</v>
      </c>
      <c r="C328">
        <v>1579.58</v>
      </c>
      <c r="D328">
        <v>1562.5</v>
      </c>
      <c r="E328">
        <v>1578.78</v>
      </c>
      <c r="F328">
        <v>3565150000</v>
      </c>
      <c r="G328">
        <v>1578.78</v>
      </c>
      <c r="H328" t="s">
        <v>1</v>
      </c>
      <c r="I328" s="22">
        <f t="shared" si="11"/>
        <v>1.0365294248898439E-2</v>
      </c>
      <c r="J328" s="22" t="str">
        <f t="shared" si="12"/>
        <v/>
      </c>
    </row>
    <row r="329" spans="1:10">
      <c r="A329" s="1">
        <v>41388</v>
      </c>
      <c r="B329">
        <v>1578.78</v>
      </c>
      <c r="C329">
        <v>1583</v>
      </c>
      <c r="D329">
        <v>1575.8</v>
      </c>
      <c r="E329">
        <v>1578.79</v>
      </c>
      <c r="F329">
        <v>3598240000</v>
      </c>
      <c r="G329">
        <v>1578.79</v>
      </c>
      <c r="H329" t="s">
        <v>1</v>
      </c>
      <c r="I329" s="22">
        <f t="shared" si="11"/>
        <v>6.3339846780946741E-6</v>
      </c>
      <c r="J329" s="22" t="str">
        <f t="shared" si="12"/>
        <v/>
      </c>
    </row>
    <row r="330" spans="1:10">
      <c r="A330" s="1">
        <v>41389</v>
      </c>
      <c r="B330">
        <v>1578.93</v>
      </c>
      <c r="C330">
        <v>1592.64</v>
      </c>
      <c r="D330">
        <v>1578.93</v>
      </c>
      <c r="E330">
        <v>1585.16</v>
      </c>
      <c r="F330">
        <v>3908580000</v>
      </c>
      <c r="G330">
        <v>1585.16</v>
      </c>
      <c r="H330" t="s">
        <v>1</v>
      </c>
      <c r="I330" s="22">
        <f t="shared" si="11"/>
        <v>4.0266177447456745E-3</v>
      </c>
      <c r="J330" s="22" t="str">
        <f t="shared" si="12"/>
        <v/>
      </c>
    </row>
    <row r="331" spans="1:10">
      <c r="A331" s="1">
        <v>41390</v>
      </c>
      <c r="B331">
        <v>1585.16</v>
      </c>
      <c r="C331">
        <v>1585.78</v>
      </c>
      <c r="D331">
        <v>1577.56</v>
      </c>
      <c r="E331">
        <v>1582.24</v>
      </c>
      <c r="F331">
        <v>3198620000</v>
      </c>
      <c r="G331">
        <v>1582.24</v>
      </c>
      <c r="H331" t="s">
        <v>1</v>
      </c>
      <c r="I331" s="22">
        <f t="shared" si="11"/>
        <v>-1.8437840671979098E-3</v>
      </c>
      <c r="J331" s="22" t="str">
        <f t="shared" si="12"/>
        <v>lost money</v>
      </c>
    </row>
    <row r="332" spans="1:10">
      <c r="A332" s="1">
        <v>41393</v>
      </c>
      <c r="B332">
        <v>1582.34</v>
      </c>
      <c r="C332">
        <v>1596.65</v>
      </c>
      <c r="D332">
        <v>1582.34</v>
      </c>
      <c r="E332">
        <v>1593.61</v>
      </c>
      <c r="F332">
        <v>2891200000</v>
      </c>
      <c r="G332">
        <v>1593.61</v>
      </c>
      <c r="H332" t="s">
        <v>1</v>
      </c>
      <c r="I332" s="22">
        <f t="shared" si="11"/>
        <v>7.1603183893662135E-3</v>
      </c>
      <c r="J332" s="22" t="str">
        <f t="shared" si="12"/>
        <v/>
      </c>
    </row>
    <row r="333" spans="1:10">
      <c r="A333" s="1">
        <v>41394</v>
      </c>
      <c r="B333">
        <v>1593.58</v>
      </c>
      <c r="C333">
        <v>1597.57</v>
      </c>
      <c r="D333">
        <v>1586.5</v>
      </c>
      <c r="E333">
        <v>1597.57</v>
      </c>
      <c r="F333">
        <v>3745070000</v>
      </c>
      <c r="G333">
        <v>1597.57</v>
      </c>
      <c r="H333" t="s">
        <v>1</v>
      </c>
      <c r="I333" s="22">
        <f t="shared" si="11"/>
        <v>2.4818418469955725E-3</v>
      </c>
      <c r="J333" s="22" t="str">
        <f t="shared" si="12"/>
        <v/>
      </c>
    </row>
    <row r="334" spans="1:10">
      <c r="A334" s="1">
        <v>41395</v>
      </c>
      <c r="B334">
        <v>1597.55</v>
      </c>
      <c r="C334">
        <v>1597.55</v>
      </c>
      <c r="D334">
        <v>1581.28</v>
      </c>
      <c r="E334">
        <v>1582.7</v>
      </c>
      <c r="F334">
        <v>3530320000</v>
      </c>
      <c r="G334">
        <v>1582.7</v>
      </c>
      <c r="H334" t="s">
        <v>1</v>
      </c>
      <c r="I334" s="22">
        <f t="shared" si="11"/>
        <v>-9.3514754188050771E-3</v>
      </c>
      <c r="J334" s="22" t="str">
        <f t="shared" si="12"/>
        <v>lost money</v>
      </c>
    </row>
    <row r="335" spans="1:10">
      <c r="A335" s="1">
        <v>41396</v>
      </c>
      <c r="B335">
        <v>1582.77</v>
      </c>
      <c r="C335">
        <v>1598.6</v>
      </c>
      <c r="D335">
        <v>1582.77</v>
      </c>
      <c r="E335">
        <v>1597.59</v>
      </c>
      <c r="F335">
        <v>3366950000</v>
      </c>
      <c r="G335">
        <v>1597.59</v>
      </c>
      <c r="H335" t="s">
        <v>1</v>
      </c>
      <c r="I335" s="22">
        <f t="shared" si="11"/>
        <v>9.3639943536941335E-3</v>
      </c>
      <c r="J335" s="22" t="str">
        <f t="shared" si="12"/>
        <v/>
      </c>
    </row>
    <row r="336" spans="1:10">
      <c r="A336" s="1">
        <v>41397</v>
      </c>
      <c r="B336">
        <v>1597.6</v>
      </c>
      <c r="C336">
        <v>1618.46</v>
      </c>
      <c r="D336">
        <v>1597.6</v>
      </c>
      <c r="E336">
        <v>1614.42</v>
      </c>
      <c r="F336">
        <v>3603910000</v>
      </c>
      <c r="G336">
        <v>1614.42</v>
      </c>
      <c r="H336" t="s">
        <v>1</v>
      </c>
      <c r="I336" s="22">
        <f t="shared" si="11"/>
        <v>1.04795153331448E-2</v>
      </c>
      <c r="J336" s="22" t="str">
        <f t="shared" si="12"/>
        <v/>
      </c>
    </row>
    <row r="337" spans="1:10">
      <c r="A337" s="1">
        <v>41400</v>
      </c>
      <c r="B337">
        <v>1614.4</v>
      </c>
      <c r="C337">
        <v>1619.77</v>
      </c>
      <c r="D337">
        <v>1614.21</v>
      </c>
      <c r="E337">
        <v>1617.5</v>
      </c>
      <c r="F337">
        <v>3062240000</v>
      </c>
      <c r="G337">
        <v>1617.5</v>
      </c>
      <c r="H337" t="s">
        <v>1</v>
      </c>
      <c r="I337" s="22">
        <f t="shared" si="11"/>
        <v>1.9059883489792062E-3</v>
      </c>
      <c r="J337" s="22" t="str">
        <f t="shared" si="12"/>
        <v/>
      </c>
    </row>
    <row r="338" spans="1:10">
      <c r="A338" s="1">
        <v>41401</v>
      </c>
      <c r="B338">
        <v>1617.55</v>
      </c>
      <c r="C338">
        <v>1626.03</v>
      </c>
      <c r="D338">
        <v>1616.64</v>
      </c>
      <c r="E338">
        <v>1625.96</v>
      </c>
      <c r="F338">
        <v>3309580000</v>
      </c>
      <c r="G338">
        <v>1625.96</v>
      </c>
      <c r="H338" t="s">
        <v>1</v>
      </c>
      <c r="I338" s="22">
        <f t="shared" si="11"/>
        <v>5.2166631841068997E-3</v>
      </c>
      <c r="J338" s="22" t="str">
        <f t="shared" si="12"/>
        <v/>
      </c>
    </row>
    <row r="339" spans="1:10">
      <c r="A339" s="1">
        <v>41402</v>
      </c>
      <c r="B339">
        <v>1625.95</v>
      </c>
      <c r="C339">
        <v>1632.78</v>
      </c>
      <c r="D339">
        <v>1622.7</v>
      </c>
      <c r="E339">
        <v>1632.69</v>
      </c>
      <c r="F339">
        <v>3554700000</v>
      </c>
      <c r="G339">
        <v>1632.69</v>
      </c>
      <c r="H339" t="s">
        <v>1</v>
      </c>
      <c r="I339" s="22">
        <f t="shared" si="11"/>
        <v>4.1305507302880854E-3</v>
      </c>
      <c r="J339" s="22" t="str">
        <f t="shared" si="12"/>
        <v/>
      </c>
    </row>
    <row r="340" spans="1:10">
      <c r="A340" s="1">
        <v>41403</v>
      </c>
      <c r="B340">
        <v>1632.69</v>
      </c>
      <c r="C340">
        <v>1635.01</v>
      </c>
      <c r="D340">
        <v>1623.09</v>
      </c>
      <c r="E340">
        <v>1626.67</v>
      </c>
      <c r="F340">
        <v>3457400000</v>
      </c>
      <c r="G340">
        <v>1626.67</v>
      </c>
      <c r="H340" t="s">
        <v>1</v>
      </c>
      <c r="I340" s="22">
        <f t="shared" si="11"/>
        <v>-3.6939809321391258E-3</v>
      </c>
      <c r="J340" s="22" t="str">
        <f t="shared" si="12"/>
        <v>lost money</v>
      </c>
    </row>
    <row r="341" spans="1:10">
      <c r="A341" s="1">
        <v>41404</v>
      </c>
      <c r="B341">
        <v>1626.69</v>
      </c>
      <c r="C341">
        <v>1633.7</v>
      </c>
      <c r="D341">
        <v>1623.71</v>
      </c>
      <c r="E341">
        <v>1633.7</v>
      </c>
      <c r="F341">
        <v>3086470000</v>
      </c>
      <c r="G341">
        <v>1633.7</v>
      </c>
      <c r="H341" t="s">
        <v>1</v>
      </c>
      <c r="I341" s="22">
        <f t="shared" si="11"/>
        <v>4.3124006751514296E-3</v>
      </c>
      <c r="J341" s="22" t="str">
        <f t="shared" si="12"/>
        <v/>
      </c>
    </row>
    <row r="342" spans="1:10">
      <c r="A342" s="1">
        <v>41407</v>
      </c>
      <c r="B342">
        <v>1632.1</v>
      </c>
      <c r="C342">
        <v>1636</v>
      </c>
      <c r="D342">
        <v>1626.74</v>
      </c>
      <c r="E342">
        <v>1633.77</v>
      </c>
      <c r="F342">
        <v>2910600000</v>
      </c>
      <c r="G342">
        <v>1633.77</v>
      </c>
      <c r="H342" t="s">
        <v>1</v>
      </c>
      <c r="I342" s="22">
        <f t="shared" si="11"/>
        <v>4.2846606096343147E-5</v>
      </c>
      <c r="J342" s="22" t="str">
        <f t="shared" si="12"/>
        <v/>
      </c>
    </row>
    <row r="343" spans="1:10">
      <c r="A343" s="1">
        <v>41408</v>
      </c>
      <c r="B343">
        <v>1633.75</v>
      </c>
      <c r="C343">
        <v>1651.1</v>
      </c>
      <c r="D343">
        <v>1633.75</v>
      </c>
      <c r="E343">
        <v>1650.34</v>
      </c>
      <c r="F343">
        <v>3457790000</v>
      </c>
      <c r="G343">
        <v>1650.34</v>
      </c>
      <c r="H343" t="s">
        <v>1</v>
      </c>
      <c r="I343" s="22">
        <f t="shared" si="11"/>
        <v>1.0091099634557102E-2</v>
      </c>
      <c r="J343" s="22" t="str">
        <f t="shared" si="12"/>
        <v/>
      </c>
    </row>
    <row r="344" spans="1:10">
      <c r="A344" s="1">
        <v>41409</v>
      </c>
      <c r="B344">
        <v>1649.13</v>
      </c>
      <c r="C344">
        <v>1661.49</v>
      </c>
      <c r="D344">
        <v>1646.68</v>
      </c>
      <c r="E344">
        <v>1658.78</v>
      </c>
      <c r="F344">
        <v>3657440000</v>
      </c>
      <c r="G344">
        <v>1658.78</v>
      </c>
      <c r="H344" t="s">
        <v>1</v>
      </c>
      <c r="I344" s="22">
        <f t="shared" si="11"/>
        <v>5.1010651178161831E-3</v>
      </c>
      <c r="J344" s="22" t="str">
        <f t="shared" si="12"/>
        <v/>
      </c>
    </row>
    <row r="345" spans="1:10">
      <c r="A345" s="1">
        <v>41410</v>
      </c>
      <c r="B345">
        <v>1658.07</v>
      </c>
      <c r="C345">
        <v>1660.51</v>
      </c>
      <c r="D345">
        <v>1648.6</v>
      </c>
      <c r="E345">
        <v>1650.47</v>
      </c>
      <c r="F345">
        <v>3513130000</v>
      </c>
      <c r="G345">
        <v>1650.47</v>
      </c>
      <c r="H345" t="s">
        <v>1</v>
      </c>
      <c r="I345" s="22">
        <f t="shared" si="11"/>
        <v>-5.0222965730849136E-3</v>
      </c>
      <c r="J345" s="22" t="str">
        <f t="shared" si="12"/>
        <v>lost money</v>
      </c>
    </row>
    <row r="346" spans="1:10">
      <c r="A346" s="1">
        <v>41411</v>
      </c>
      <c r="B346">
        <v>1652.45</v>
      </c>
      <c r="C346">
        <v>1667.47</v>
      </c>
      <c r="D346">
        <v>1652.45</v>
      </c>
      <c r="E346">
        <v>1667.47</v>
      </c>
      <c r="F346">
        <v>3440710000</v>
      </c>
      <c r="G346">
        <v>1667.47</v>
      </c>
      <c r="H346" t="s">
        <v>1</v>
      </c>
      <c r="I346" s="22">
        <f t="shared" si="11"/>
        <v>1.0247411805593496E-2</v>
      </c>
      <c r="J346" s="22" t="str">
        <f t="shared" si="12"/>
        <v/>
      </c>
    </row>
    <row r="347" spans="1:10">
      <c r="A347" s="1">
        <v>41414</v>
      </c>
      <c r="B347">
        <v>1665.71</v>
      </c>
      <c r="C347">
        <v>1672.84</v>
      </c>
      <c r="D347">
        <v>1663.52</v>
      </c>
      <c r="E347">
        <v>1666.29</v>
      </c>
      <c r="F347">
        <v>3275080000</v>
      </c>
      <c r="G347">
        <v>1666.29</v>
      </c>
      <c r="H347" t="s">
        <v>1</v>
      </c>
      <c r="I347" s="22">
        <f t="shared" si="11"/>
        <v>-7.0790941716164719E-4</v>
      </c>
      <c r="J347" s="22" t="str">
        <f t="shared" si="12"/>
        <v/>
      </c>
    </row>
    <row r="348" spans="1:10">
      <c r="A348" s="1">
        <v>41415</v>
      </c>
      <c r="B348">
        <v>1666.2</v>
      </c>
      <c r="C348">
        <v>1674.93</v>
      </c>
      <c r="D348">
        <v>1662.67</v>
      </c>
      <c r="E348">
        <v>1669.16</v>
      </c>
      <c r="F348">
        <v>3513560000</v>
      </c>
      <c r="G348">
        <v>1669.16</v>
      </c>
      <c r="H348" t="s">
        <v>1</v>
      </c>
      <c r="I348" s="22">
        <f t="shared" si="11"/>
        <v>1.7209076486218429E-3</v>
      </c>
      <c r="J348" s="22" t="str">
        <f t="shared" si="12"/>
        <v/>
      </c>
    </row>
    <row r="349" spans="1:10">
      <c r="A349" s="1">
        <v>41416</v>
      </c>
      <c r="B349">
        <v>1669.39</v>
      </c>
      <c r="C349">
        <v>1687.18</v>
      </c>
      <c r="D349">
        <v>1648.86</v>
      </c>
      <c r="E349">
        <v>1655.35</v>
      </c>
      <c r="F349">
        <v>4361020000</v>
      </c>
      <c r="G349">
        <v>1655.35</v>
      </c>
      <c r="H349" t="s">
        <v>1</v>
      </c>
      <c r="I349" s="22">
        <f t="shared" si="11"/>
        <v>-8.3080390400197494E-3</v>
      </c>
      <c r="J349" s="22" t="str">
        <f t="shared" si="12"/>
        <v>lost money</v>
      </c>
    </row>
    <row r="350" spans="1:10">
      <c r="A350" s="1">
        <v>41417</v>
      </c>
      <c r="B350">
        <v>1651.62</v>
      </c>
      <c r="C350">
        <v>1655.5</v>
      </c>
      <c r="D350">
        <v>1635.53</v>
      </c>
      <c r="E350">
        <v>1650.51</v>
      </c>
      <c r="F350">
        <v>3945510000</v>
      </c>
      <c r="G350">
        <v>1650.51</v>
      </c>
      <c r="H350" t="s">
        <v>1</v>
      </c>
      <c r="I350" s="22">
        <f t="shared" si="11"/>
        <v>-2.928135769918223E-3</v>
      </c>
      <c r="J350" s="22" t="str">
        <f t="shared" si="12"/>
        <v>lost money</v>
      </c>
    </row>
    <row r="351" spans="1:10">
      <c r="A351" s="1">
        <v>41418</v>
      </c>
      <c r="B351">
        <v>1646.67</v>
      </c>
      <c r="C351">
        <v>1649.78</v>
      </c>
      <c r="D351">
        <v>1636.88</v>
      </c>
      <c r="E351">
        <v>1649.6</v>
      </c>
      <c r="F351">
        <v>2758080000</v>
      </c>
      <c r="G351">
        <v>1649.6</v>
      </c>
      <c r="H351" t="s">
        <v>1</v>
      </c>
      <c r="I351" s="22">
        <f t="shared" si="11"/>
        <v>-5.5149678226770488E-4</v>
      </c>
      <c r="J351" s="22" t="str">
        <f t="shared" si="12"/>
        <v/>
      </c>
    </row>
    <row r="352" spans="1:10">
      <c r="A352" s="1">
        <v>41422</v>
      </c>
      <c r="B352">
        <v>1652.63</v>
      </c>
      <c r="C352">
        <v>1674.21</v>
      </c>
      <c r="D352">
        <v>1652.63</v>
      </c>
      <c r="E352">
        <v>1660.06</v>
      </c>
      <c r="F352">
        <v>3457400000</v>
      </c>
      <c r="G352">
        <v>1660.06</v>
      </c>
      <c r="H352" t="s">
        <v>1</v>
      </c>
      <c r="I352" s="22">
        <f t="shared" si="11"/>
        <v>6.3209120130071905E-3</v>
      </c>
      <c r="J352" s="22" t="str">
        <f t="shared" si="12"/>
        <v/>
      </c>
    </row>
    <row r="353" spans="1:10">
      <c r="A353" s="1">
        <v>41423</v>
      </c>
      <c r="B353">
        <v>1656.57</v>
      </c>
      <c r="C353">
        <v>1656.57</v>
      </c>
      <c r="D353">
        <v>1640.05</v>
      </c>
      <c r="E353">
        <v>1648.36</v>
      </c>
      <c r="F353">
        <v>3587140000</v>
      </c>
      <c r="G353">
        <v>1648.36</v>
      </c>
      <c r="H353" t="s">
        <v>1</v>
      </c>
      <c r="I353" s="22">
        <f t="shared" si="11"/>
        <v>-7.072892060328735E-3</v>
      </c>
      <c r="J353" s="22" t="str">
        <f t="shared" si="12"/>
        <v>lost money</v>
      </c>
    </row>
    <row r="354" spans="1:10">
      <c r="A354" s="1">
        <v>41424</v>
      </c>
      <c r="B354">
        <v>1649.14</v>
      </c>
      <c r="C354">
        <v>1661.91</v>
      </c>
      <c r="D354">
        <v>1648.61</v>
      </c>
      <c r="E354">
        <v>1654.41</v>
      </c>
      <c r="F354">
        <v>3498620000</v>
      </c>
      <c r="G354">
        <v>1654.41</v>
      </c>
      <c r="H354" t="s">
        <v>1</v>
      </c>
      <c r="I354" s="22">
        <f t="shared" si="11"/>
        <v>3.6635955678957278E-3</v>
      </c>
      <c r="J354" s="22" t="str">
        <f t="shared" si="12"/>
        <v/>
      </c>
    </row>
    <row r="355" spans="1:10">
      <c r="A355" s="1">
        <v>41425</v>
      </c>
      <c r="B355">
        <v>1652.13</v>
      </c>
      <c r="C355">
        <v>1658.99</v>
      </c>
      <c r="D355">
        <v>1630.74</v>
      </c>
      <c r="E355">
        <v>1630.74</v>
      </c>
      <c r="F355">
        <v>4099600000</v>
      </c>
      <c r="G355">
        <v>1630.74</v>
      </c>
      <c r="H355" t="s">
        <v>1</v>
      </c>
      <c r="I355" s="22">
        <f t="shared" si="11"/>
        <v>-1.4410550273650714E-2</v>
      </c>
      <c r="J355" s="22" t="str">
        <f t="shared" si="12"/>
        <v>lost money</v>
      </c>
    </row>
    <row r="356" spans="1:10">
      <c r="A356" s="1">
        <v>41428</v>
      </c>
      <c r="B356">
        <v>1631.71</v>
      </c>
      <c r="C356">
        <v>1640.42</v>
      </c>
      <c r="D356">
        <v>1622.72</v>
      </c>
      <c r="E356">
        <v>1640.42</v>
      </c>
      <c r="F356">
        <v>3952070000</v>
      </c>
      <c r="G356">
        <v>1640.42</v>
      </c>
      <c r="H356" t="s">
        <v>1</v>
      </c>
      <c r="I356" s="22">
        <f t="shared" si="11"/>
        <v>5.9184070822181989E-3</v>
      </c>
      <c r="J356" s="22" t="str">
        <f t="shared" si="12"/>
        <v/>
      </c>
    </row>
    <row r="357" spans="1:10">
      <c r="A357" s="1">
        <v>41429</v>
      </c>
      <c r="B357">
        <v>1640.73</v>
      </c>
      <c r="C357">
        <v>1646.53</v>
      </c>
      <c r="D357">
        <v>1623.62</v>
      </c>
      <c r="E357">
        <v>1631.38</v>
      </c>
      <c r="F357">
        <v>3653840000</v>
      </c>
      <c r="G357">
        <v>1631.38</v>
      </c>
      <c r="H357" t="s">
        <v>1</v>
      </c>
      <c r="I357" s="22">
        <f t="shared" si="11"/>
        <v>-5.5260242096006633E-3</v>
      </c>
      <c r="J357" s="22" t="str">
        <f t="shared" si="12"/>
        <v>lost money</v>
      </c>
    </row>
    <row r="358" spans="1:10">
      <c r="A358" s="1">
        <v>41430</v>
      </c>
      <c r="B358">
        <v>1629.05</v>
      </c>
      <c r="C358">
        <v>1629.31</v>
      </c>
      <c r="D358">
        <v>1607.09</v>
      </c>
      <c r="E358">
        <v>1608.9</v>
      </c>
      <c r="F358">
        <v>3632350000</v>
      </c>
      <c r="G358">
        <v>1608.9</v>
      </c>
      <c r="H358" t="s">
        <v>1</v>
      </c>
      <c r="I358" s="22">
        <f t="shared" si="11"/>
        <v>-1.3875566725247141E-2</v>
      </c>
      <c r="J358" s="22" t="str">
        <f t="shared" si="12"/>
        <v>lost money</v>
      </c>
    </row>
    <row r="359" spans="1:10">
      <c r="A359" s="1">
        <v>41431</v>
      </c>
      <c r="B359">
        <v>1609.29</v>
      </c>
      <c r="C359">
        <v>1622.56</v>
      </c>
      <c r="D359">
        <v>1598.23</v>
      </c>
      <c r="E359">
        <v>1622.56</v>
      </c>
      <c r="F359">
        <v>3547380000</v>
      </c>
      <c r="G359">
        <v>1622.56</v>
      </c>
      <c r="H359" t="s">
        <v>1</v>
      </c>
      <c r="I359" s="22">
        <f t="shared" si="11"/>
        <v>8.4544332066969503E-3</v>
      </c>
      <c r="J359" s="22" t="str">
        <f t="shared" si="12"/>
        <v/>
      </c>
    </row>
    <row r="360" spans="1:10">
      <c r="A360" s="1">
        <v>41432</v>
      </c>
      <c r="B360">
        <v>1625.27</v>
      </c>
      <c r="C360">
        <v>1644.4</v>
      </c>
      <c r="D360">
        <v>1625.27</v>
      </c>
      <c r="E360">
        <v>1643.38</v>
      </c>
      <c r="F360">
        <v>3371990000</v>
      </c>
      <c r="G360">
        <v>1643.38</v>
      </c>
      <c r="H360" t="s">
        <v>1</v>
      </c>
      <c r="I360" s="22">
        <f t="shared" si="11"/>
        <v>1.2749947667659597E-2</v>
      </c>
      <c r="J360" s="22" t="str">
        <f t="shared" si="12"/>
        <v/>
      </c>
    </row>
    <row r="361" spans="1:10">
      <c r="A361" s="1">
        <v>41435</v>
      </c>
      <c r="B361">
        <v>1644.67</v>
      </c>
      <c r="C361">
        <v>1648.69</v>
      </c>
      <c r="D361">
        <v>1639.26</v>
      </c>
      <c r="E361">
        <v>1642.81</v>
      </c>
      <c r="F361">
        <v>2978730000</v>
      </c>
      <c r="G361">
        <v>1642.81</v>
      </c>
      <c r="H361" t="s">
        <v>1</v>
      </c>
      <c r="I361" s="22">
        <f t="shared" si="11"/>
        <v>-3.4690629921981507E-4</v>
      </c>
      <c r="J361" s="22" t="str">
        <f t="shared" si="12"/>
        <v>lost money</v>
      </c>
    </row>
    <row r="362" spans="1:10">
      <c r="A362" s="1">
        <v>41436</v>
      </c>
      <c r="B362">
        <v>1638.64</v>
      </c>
      <c r="C362">
        <v>1640.13</v>
      </c>
      <c r="D362">
        <v>1622.92</v>
      </c>
      <c r="E362">
        <v>1626.13</v>
      </c>
      <c r="F362">
        <v>3435710000</v>
      </c>
      <c r="G362">
        <v>1626.13</v>
      </c>
      <c r="H362" t="s">
        <v>1</v>
      </c>
      <c r="I362" s="22">
        <f t="shared" si="11"/>
        <v>-1.020523152075696E-2</v>
      </c>
      <c r="J362" s="22" t="str">
        <f t="shared" si="12"/>
        <v>lost money</v>
      </c>
    </row>
    <row r="363" spans="1:10">
      <c r="A363" s="1">
        <v>41437</v>
      </c>
      <c r="B363">
        <v>1629.94</v>
      </c>
      <c r="C363">
        <v>1637.71</v>
      </c>
      <c r="D363">
        <v>1610.92</v>
      </c>
      <c r="E363">
        <v>1612.52</v>
      </c>
      <c r="F363">
        <v>3202550000</v>
      </c>
      <c r="G363">
        <v>1612.52</v>
      </c>
      <c r="H363" t="s">
        <v>1</v>
      </c>
      <c r="I363" s="22">
        <f t="shared" si="11"/>
        <v>-8.404786017584211E-3</v>
      </c>
      <c r="J363" s="22" t="str">
        <f t="shared" si="12"/>
        <v>lost money</v>
      </c>
    </row>
    <row r="364" spans="1:10">
      <c r="A364" s="1">
        <v>41438</v>
      </c>
      <c r="B364">
        <v>1612.15</v>
      </c>
      <c r="C364">
        <v>1639.25</v>
      </c>
      <c r="D364">
        <v>1608.07</v>
      </c>
      <c r="E364">
        <v>1636.36</v>
      </c>
      <c r="F364">
        <v>3378620000</v>
      </c>
      <c r="G364">
        <v>1636.36</v>
      </c>
      <c r="H364" t="s">
        <v>1</v>
      </c>
      <c r="I364" s="22">
        <f t="shared" si="11"/>
        <v>1.4676090161454946E-2</v>
      </c>
      <c r="J364" s="22" t="str">
        <f t="shared" si="12"/>
        <v/>
      </c>
    </row>
    <row r="365" spans="1:10">
      <c r="A365" s="1">
        <v>41439</v>
      </c>
      <c r="B365">
        <v>1635.52</v>
      </c>
      <c r="C365">
        <v>1640.8</v>
      </c>
      <c r="D365">
        <v>1623.96</v>
      </c>
      <c r="E365">
        <v>1626.73</v>
      </c>
      <c r="F365">
        <v>2939400000</v>
      </c>
      <c r="G365">
        <v>1626.73</v>
      </c>
      <c r="H365" t="s">
        <v>1</v>
      </c>
      <c r="I365" s="22">
        <f t="shared" si="11"/>
        <v>-5.902398007852176E-3</v>
      </c>
      <c r="J365" s="22" t="str">
        <f t="shared" si="12"/>
        <v>lost money</v>
      </c>
    </row>
    <row r="366" spans="1:10">
      <c r="A366" s="1">
        <v>41442</v>
      </c>
      <c r="B366">
        <v>1630.64</v>
      </c>
      <c r="C366">
        <v>1646.5</v>
      </c>
      <c r="D366">
        <v>1630.34</v>
      </c>
      <c r="E366">
        <v>1639.04</v>
      </c>
      <c r="F366">
        <v>3137080000</v>
      </c>
      <c r="G366">
        <v>1639.04</v>
      </c>
      <c r="H366" t="s">
        <v>1</v>
      </c>
      <c r="I366" s="22">
        <f t="shared" si="11"/>
        <v>7.5388397237181716E-3</v>
      </c>
      <c r="J366" s="22" t="str">
        <f t="shared" si="12"/>
        <v/>
      </c>
    </row>
    <row r="367" spans="1:10">
      <c r="A367" s="1">
        <v>41443</v>
      </c>
      <c r="B367">
        <v>1639.77</v>
      </c>
      <c r="C367">
        <v>1654.19</v>
      </c>
      <c r="D367">
        <v>1639.77</v>
      </c>
      <c r="E367">
        <v>1651.81</v>
      </c>
      <c r="F367">
        <v>3120980000</v>
      </c>
      <c r="G367">
        <v>1651.81</v>
      </c>
      <c r="H367" t="s">
        <v>1</v>
      </c>
      <c r="I367" s="22">
        <f t="shared" si="11"/>
        <v>7.7609517888806018E-3</v>
      </c>
      <c r="J367" s="22" t="str">
        <f t="shared" si="12"/>
        <v/>
      </c>
    </row>
    <row r="368" spans="1:10">
      <c r="A368" s="1">
        <v>41444</v>
      </c>
      <c r="B368">
        <v>1651.83</v>
      </c>
      <c r="C368">
        <v>1652.45</v>
      </c>
      <c r="D368">
        <v>1628.91</v>
      </c>
      <c r="E368">
        <v>1628.93</v>
      </c>
      <c r="F368">
        <v>3545060000</v>
      </c>
      <c r="G368">
        <v>1628.93</v>
      </c>
      <c r="H368" t="s">
        <v>1</v>
      </c>
      <c r="I368" s="22">
        <f t="shared" si="11"/>
        <v>-1.3948298829170962E-2</v>
      </c>
      <c r="J368" s="22" t="str">
        <f t="shared" si="12"/>
        <v>lost money</v>
      </c>
    </row>
    <row r="369" spans="1:10">
      <c r="A369" s="1">
        <v>41445</v>
      </c>
      <c r="B369">
        <v>1624.62</v>
      </c>
      <c r="C369">
        <v>1624.62</v>
      </c>
      <c r="D369">
        <v>1584.32</v>
      </c>
      <c r="E369">
        <v>1588.19</v>
      </c>
      <c r="F369">
        <v>4858850000</v>
      </c>
      <c r="G369">
        <v>1588.19</v>
      </c>
      <c r="H369" t="s">
        <v>1</v>
      </c>
      <c r="I369" s="22">
        <f t="shared" si="11"/>
        <v>-2.532835452574456E-2</v>
      </c>
      <c r="J369" s="22" t="str">
        <f t="shared" si="12"/>
        <v>lost money</v>
      </c>
    </row>
    <row r="370" spans="1:10">
      <c r="A370" s="1">
        <v>41446</v>
      </c>
      <c r="B370">
        <v>1588.62</v>
      </c>
      <c r="C370">
        <v>1599.19</v>
      </c>
      <c r="D370">
        <v>1577.7</v>
      </c>
      <c r="E370">
        <v>1592.43</v>
      </c>
      <c r="F370">
        <v>5797280000</v>
      </c>
      <c r="G370">
        <v>1592.43</v>
      </c>
      <c r="H370" t="s">
        <v>1</v>
      </c>
      <c r="I370" s="22">
        <f t="shared" si="11"/>
        <v>2.6661484311964016E-3</v>
      </c>
      <c r="J370" s="22" t="str">
        <f t="shared" si="12"/>
        <v/>
      </c>
    </row>
    <row r="371" spans="1:10">
      <c r="A371" s="1">
        <v>41449</v>
      </c>
      <c r="B371">
        <v>1588.77</v>
      </c>
      <c r="C371">
        <v>1588.77</v>
      </c>
      <c r="D371">
        <v>1560.33</v>
      </c>
      <c r="E371">
        <v>1573.09</v>
      </c>
      <c r="F371">
        <v>4733660000</v>
      </c>
      <c r="G371">
        <v>1573.09</v>
      </c>
      <c r="H371" t="s">
        <v>1</v>
      </c>
      <c r="I371" s="22">
        <f t="shared" si="11"/>
        <v>-1.2219313502973374E-2</v>
      </c>
      <c r="J371" s="22" t="str">
        <f t="shared" si="12"/>
        <v>lost money</v>
      </c>
    </row>
    <row r="372" spans="1:10">
      <c r="A372" s="1">
        <v>41450</v>
      </c>
      <c r="B372">
        <v>1577.52</v>
      </c>
      <c r="C372">
        <v>1593.79</v>
      </c>
      <c r="D372">
        <v>1577.09</v>
      </c>
      <c r="E372">
        <v>1588.03</v>
      </c>
      <c r="F372">
        <v>3761170000</v>
      </c>
      <c r="G372">
        <v>1588.03</v>
      </c>
      <c r="H372" t="s">
        <v>1</v>
      </c>
      <c r="I372" s="22">
        <f t="shared" si="11"/>
        <v>9.4524163829988878E-3</v>
      </c>
      <c r="J372" s="22" t="str">
        <f t="shared" si="12"/>
        <v/>
      </c>
    </row>
    <row r="373" spans="1:10">
      <c r="A373" s="1">
        <v>41451</v>
      </c>
      <c r="B373">
        <v>1592.27</v>
      </c>
      <c r="C373">
        <v>1606.83</v>
      </c>
      <c r="D373">
        <v>1592.27</v>
      </c>
      <c r="E373">
        <v>1603.26</v>
      </c>
      <c r="F373">
        <v>3558340000</v>
      </c>
      <c r="G373">
        <v>1603.26</v>
      </c>
      <c r="H373" t="s">
        <v>1</v>
      </c>
      <c r="I373" s="22">
        <f t="shared" si="11"/>
        <v>9.5448020236501563E-3</v>
      </c>
      <c r="J373" s="22" t="str">
        <f t="shared" si="12"/>
        <v/>
      </c>
    </row>
    <row r="374" spans="1:10">
      <c r="A374" s="1">
        <v>41452</v>
      </c>
      <c r="B374">
        <v>1606.44</v>
      </c>
      <c r="C374">
        <v>1620.07</v>
      </c>
      <c r="D374">
        <v>1606.44</v>
      </c>
      <c r="E374">
        <v>1613.2</v>
      </c>
      <c r="F374">
        <v>3364540000</v>
      </c>
      <c r="G374">
        <v>1613.2</v>
      </c>
      <c r="H374" t="s">
        <v>1</v>
      </c>
      <c r="I374" s="22">
        <f t="shared" si="11"/>
        <v>6.1807276592703957E-3</v>
      </c>
      <c r="J374" s="22" t="str">
        <f t="shared" si="12"/>
        <v/>
      </c>
    </row>
    <row r="375" spans="1:10">
      <c r="A375" s="1">
        <v>41453</v>
      </c>
      <c r="B375">
        <v>1611.12</v>
      </c>
      <c r="C375">
        <v>1615.94</v>
      </c>
      <c r="D375">
        <v>1601.06</v>
      </c>
      <c r="E375">
        <v>1606.28</v>
      </c>
      <c r="F375">
        <v>4977190000</v>
      </c>
      <c r="G375">
        <v>1606.28</v>
      </c>
      <c r="H375" t="s">
        <v>1</v>
      </c>
      <c r="I375" s="22">
        <f t="shared" si="11"/>
        <v>-4.2988374872954703E-3</v>
      </c>
      <c r="J375" s="22" t="str">
        <f t="shared" si="12"/>
        <v>lost money</v>
      </c>
    </row>
    <row r="376" spans="1:10">
      <c r="A376" s="1">
        <v>41456</v>
      </c>
      <c r="B376">
        <v>1609.78</v>
      </c>
      <c r="C376">
        <v>1626.61</v>
      </c>
      <c r="D376">
        <v>1609.78</v>
      </c>
      <c r="E376">
        <v>1614.96</v>
      </c>
      <c r="F376">
        <v>3104690000</v>
      </c>
      <c r="G376">
        <v>1614.96</v>
      </c>
      <c r="H376" t="s">
        <v>1</v>
      </c>
      <c r="I376" s="22">
        <f t="shared" si="11"/>
        <v>5.3892420362545825E-3</v>
      </c>
      <c r="J376" s="22" t="str">
        <f t="shared" si="12"/>
        <v/>
      </c>
    </row>
    <row r="377" spans="1:10">
      <c r="A377" s="1">
        <v>41457</v>
      </c>
      <c r="B377">
        <v>1614.29</v>
      </c>
      <c r="C377">
        <v>1624.26</v>
      </c>
      <c r="D377">
        <v>1606.77</v>
      </c>
      <c r="E377">
        <v>1614.08</v>
      </c>
      <c r="F377">
        <v>3317130000</v>
      </c>
      <c r="G377">
        <v>1614.08</v>
      </c>
      <c r="H377" t="s">
        <v>1</v>
      </c>
      <c r="I377" s="22">
        <f t="shared" si="11"/>
        <v>-5.4505365172693261E-4</v>
      </c>
      <c r="J377" s="22" t="str">
        <f t="shared" si="12"/>
        <v>lost money</v>
      </c>
    </row>
    <row r="378" spans="1:10">
      <c r="A378" s="1">
        <v>41458</v>
      </c>
      <c r="B378">
        <v>1611.48</v>
      </c>
      <c r="C378">
        <v>1618.97</v>
      </c>
      <c r="D378">
        <v>1604.57</v>
      </c>
      <c r="E378">
        <v>1615.41</v>
      </c>
      <c r="F378">
        <v>1966050000</v>
      </c>
      <c r="G378">
        <v>1615.41</v>
      </c>
      <c r="H378" t="s">
        <v>1</v>
      </c>
      <c r="I378" s="22">
        <f t="shared" si="11"/>
        <v>8.236595098241727E-4</v>
      </c>
      <c r="J378" s="22" t="str">
        <f t="shared" si="12"/>
        <v/>
      </c>
    </row>
    <row r="379" spans="1:10">
      <c r="A379" s="1">
        <v>41460</v>
      </c>
      <c r="B379">
        <v>1618.65</v>
      </c>
      <c r="C379">
        <v>1632.07</v>
      </c>
      <c r="D379">
        <v>1614.71</v>
      </c>
      <c r="E379">
        <v>1631.89</v>
      </c>
      <c r="F379">
        <v>2634140000</v>
      </c>
      <c r="G379">
        <v>1631.89</v>
      </c>
      <c r="H379" t="s">
        <v>1</v>
      </c>
      <c r="I379" s="22">
        <f t="shared" si="11"/>
        <v>1.0150057885384197E-2</v>
      </c>
      <c r="J379" s="22" t="str">
        <f t="shared" si="12"/>
        <v/>
      </c>
    </row>
    <row r="380" spans="1:10">
      <c r="A380" s="1">
        <v>41463</v>
      </c>
      <c r="B380">
        <v>1634.2</v>
      </c>
      <c r="C380">
        <v>1644.68</v>
      </c>
      <c r="D380">
        <v>1634.2</v>
      </c>
      <c r="E380">
        <v>1640.46</v>
      </c>
      <c r="F380">
        <v>3514590000</v>
      </c>
      <c r="G380">
        <v>1640.46</v>
      </c>
      <c r="H380" t="s">
        <v>1</v>
      </c>
      <c r="I380" s="22">
        <f t="shared" si="11"/>
        <v>5.2378380021182091E-3</v>
      </c>
      <c r="J380" s="22" t="str">
        <f t="shared" si="12"/>
        <v/>
      </c>
    </row>
    <row r="381" spans="1:10">
      <c r="A381" s="1">
        <v>41464</v>
      </c>
      <c r="B381">
        <v>1642.89</v>
      </c>
      <c r="C381">
        <v>1654.18</v>
      </c>
      <c r="D381">
        <v>1642.89</v>
      </c>
      <c r="E381">
        <v>1652.32</v>
      </c>
      <c r="F381">
        <v>3155360000</v>
      </c>
      <c r="G381">
        <v>1652.32</v>
      </c>
      <c r="H381" t="s">
        <v>1</v>
      </c>
      <c r="I381" s="22">
        <f t="shared" si="11"/>
        <v>7.2036706293219874E-3</v>
      </c>
      <c r="J381" s="22" t="str">
        <f t="shared" si="12"/>
        <v/>
      </c>
    </row>
    <row r="382" spans="1:10">
      <c r="A382" s="1">
        <v>41465</v>
      </c>
      <c r="B382">
        <v>1651.56</v>
      </c>
      <c r="C382">
        <v>1657.92</v>
      </c>
      <c r="D382">
        <v>1647.66</v>
      </c>
      <c r="E382">
        <v>1652.62</v>
      </c>
      <c r="F382">
        <v>3011010000</v>
      </c>
      <c r="G382">
        <v>1652.62</v>
      </c>
      <c r="H382" t="s">
        <v>1</v>
      </c>
      <c r="I382" s="22">
        <f t="shared" si="11"/>
        <v>1.8154641283901302E-4</v>
      </c>
      <c r="J382" s="22" t="str">
        <f t="shared" si="12"/>
        <v/>
      </c>
    </row>
    <row r="383" spans="1:10">
      <c r="A383" s="1">
        <v>41466</v>
      </c>
      <c r="B383">
        <v>1657.41</v>
      </c>
      <c r="C383">
        <v>1676.63</v>
      </c>
      <c r="D383">
        <v>1657.41</v>
      </c>
      <c r="E383">
        <v>1675.02</v>
      </c>
      <c r="F383">
        <v>3446340000</v>
      </c>
      <c r="G383">
        <v>1675.02</v>
      </c>
      <c r="H383" t="s">
        <v>1</v>
      </c>
      <c r="I383" s="22">
        <f t="shared" si="11"/>
        <v>1.3463198150456835E-2</v>
      </c>
      <c r="J383" s="22" t="str">
        <f t="shared" si="12"/>
        <v/>
      </c>
    </row>
    <row r="384" spans="1:10">
      <c r="A384" s="1">
        <v>41467</v>
      </c>
      <c r="B384">
        <v>1675.26</v>
      </c>
      <c r="C384">
        <v>1680.19</v>
      </c>
      <c r="D384">
        <v>1672.33</v>
      </c>
      <c r="E384">
        <v>1680.19</v>
      </c>
      <c r="F384">
        <v>3039070000</v>
      </c>
      <c r="G384">
        <v>1680.19</v>
      </c>
      <c r="H384" t="s">
        <v>1</v>
      </c>
      <c r="I384" s="22">
        <f t="shared" si="11"/>
        <v>3.0817767542262128E-3</v>
      </c>
      <c r="J384" s="22" t="str">
        <f t="shared" si="12"/>
        <v/>
      </c>
    </row>
    <row r="385" spans="1:10">
      <c r="A385" s="1">
        <v>41470</v>
      </c>
      <c r="B385">
        <v>1679.59</v>
      </c>
      <c r="C385">
        <v>1684.51</v>
      </c>
      <c r="D385">
        <v>1677.89</v>
      </c>
      <c r="E385">
        <v>1682.5</v>
      </c>
      <c r="F385">
        <v>2623200000</v>
      </c>
      <c r="G385">
        <v>1682.5</v>
      </c>
      <c r="H385" t="s">
        <v>1</v>
      </c>
      <c r="I385" s="22">
        <f t="shared" si="11"/>
        <v>1.3739002782673193E-3</v>
      </c>
      <c r="J385" s="22" t="str">
        <f t="shared" si="12"/>
        <v/>
      </c>
    </row>
    <row r="386" spans="1:10">
      <c r="A386" s="1">
        <v>41471</v>
      </c>
      <c r="B386">
        <v>1682.7</v>
      </c>
      <c r="C386">
        <v>1683.73</v>
      </c>
      <c r="D386">
        <v>1671.84</v>
      </c>
      <c r="E386">
        <v>1676.26</v>
      </c>
      <c r="F386">
        <v>3081710000</v>
      </c>
      <c r="G386">
        <v>1676.26</v>
      </c>
      <c r="H386" t="s">
        <v>1</v>
      </c>
      <c r="I386" s="22">
        <f t="shared" si="11"/>
        <v>-3.7156612435484218E-3</v>
      </c>
      <c r="J386" s="22" t="str">
        <f t="shared" si="12"/>
        <v>lost money</v>
      </c>
    </row>
    <row r="387" spans="1:10">
      <c r="A387" s="1">
        <v>41472</v>
      </c>
      <c r="B387">
        <v>1677.91</v>
      </c>
      <c r="C387">
        <v>1684.75</v>
      </c>
      <c r="D387">
        <v>1677.91</v>
      </c>
      <c r="E387">
        <v>1680.91</v>
      </c>
      <c r="F387">
        <v>3153440000</v>
      </c>
      <c r="G387">
        <v>1680.91</v>
      </c>
      <c r="H387" t="s">
        <v>1</v>
      </c>
      <c r="I387" s="22">
        <f t="shared" ref="I387:I450" si="13">IF(A387=$A$2,"",LN(G387/G386))</f>
        <v>2.7701921402020061E-3</v>
      </c>
      <c r="J387" s="22" t="str">
        <f t="shared" ref="J387:J450" si="14">IF(B387&gt;E387,"lost money","")</f>
        <v/>
      </c>
    </row>
    <row r="388" spans="1:10">
      <c r="A388" s="1">
        <v>41473</v>
      </c>
      <c r="B388">
        <v>1681.05</v>
      </c>
      <c r="C388">
        <v>1693.12</v>
      </c>
      <c r="D388">
        <v>1681.05</v>
      </c>
      <c r="E388">
        <v>1689.37</v>
      </c>
      <c r="F388">
        <v>3452370000</v>
      </c>
      <c r="G388">
        <v>1689.37</v>
      </c>
      <c r="H388" t="s">
        <v>1</v>
      </c>
      <c r="I388" s="22">
        <f t="shared" si="13"/>
        <v>5.0203649363598224E-3</v>
      </c>
      <c r="J388" s="22" t="str">
        <f t="shared" si="14"/>
        <v/>
      </c>
    </row>
    <row r="389" spans="1:10">
      <c r="A389" s="1">
        <v>41474</v>
      </c>
      <c r="B389">
        <v>1686.15</v>
      </c>
      <c r="C389">
        <v>1692.09</v>
      </c>
      <c r="D389">
        <v>1684.08</v>
      </c>
      <c r="E389">
        <v>1692.09</v>
      </c>
      <c r="F389">
        <v>3302580000</v>
      </c>
      <c r="G389">
        <v>1692.09</v>
      </c>
      <c r="H389" t="s">
        <v>1</v>
      </c>
      <c r="I389" s="22">
        <f t="shared" si="13"/>
        <v>1.6087728890168559E-3</v>
      </c>
      <c r="J389" s="22" t="str">
        <f t="shared" si="14"/>
        <v/>
      </c>
    </row>
    <row r="390" spans="1:10">
      <c r="A390" s="1">
        <v>41477</v>
      </c>
      <c r="B390">
        <v>1694.41</v>
      </c>
      <c r="C390">
        <v>1697.61</v>
      </c>
      <c r="D390">
        <v>1690.67</v>
      </c>
      <c r="E390">
        <v>1695.53</v>
      </c>
      <c r="F390">
        <v>2779130000</v>
      </c>
      <c r="G390">
        <v>1695.53</v>
      </c>
      <c r="H390" t="s">
        <v>1</v>
      </c>
      <c r="I390" s="22">
        <f t="shared" si="13"/>
        <v>2.0309250638510861E-3</v>
      </c>
      <c r="J390" s="22" t="str">
        <f t="shared" si="14"/>
        <v/>
      </c>
    </row>
    <row r="391" spans="1:10">
      <c r="A391" s="1">
        <v>41478</v>
      </c>
      <c r="B391">
        <v>1696.63</v>
      </c>
      <c r="C391">
        <v>1698.78</v>
      </c>
      <c r="D391">
        <v>1691.13</v>
      </c>
      <c r="E391">
        <v>1692.39</v>
      </c>
      <c r="F391">
        <v>3096180000</v>
      </c>
      <c r="G391">
        <v>1692.39</v>
      </c>
      <c r="H391" t="s">
        <v>1</v>
      </c>
      <c r="I391" s="22">
        <f t="shared" si="13"/>
        <v>-1.8536452449211241E-3</v>
      </c>
      <c r="J391" s="22" t="str">
        <f t="shared" si="14"/>
        <v>lost money</v>
      </c>
    </row>
    <row r="392" spans="1:10">
      <c r="A392" s="1">
        <v>41479</v>
      </c>
      <c r="B392">
        <v>1696.06</v>
      </c>
      <c r="C392">
        <v>1698.38</v>
      </c>
      <c r="D392">
        <v>1682.57</v>
      </c>
      <c r="E392">
        <v>1685.94</v>
      </c>
      <c r="F392">
        <v>3336120000</v>
      </c>
      <c r="G392">
        <v>1685.94</v>
      </c>
      <c r="H392" t="s">
        <v>1</v>
      </c>
      <c r="I392" s="22">
        <f t="shared" si="13"/>
        <v>-3.8184593198933806E-3</v>
      </c>
      <c r="J392" s="22" t="str">
        <f t="shared" si="14"/>
        <v>lost money</v>
      </c>
    </row>
    <row r="393" spans="1:10">
      <c r="A393" s="1">
        <v>41480</v>
      </c>
      <c r="B393">
        <v>1685.21</v>
      </c>
      <c r="C393">
        <v>1690.94</v>
      </c>
      <c r="D393">
        <v>1680.07</v>
      </c>
      <c r="E393">
        <v>1690.25</v>
      </c>
      <c r="F393">
        <v>3322500000</v>
      </c>
      <c r="G393">
        <v>1690.25</v>
      </c>
      <c r="H393" t="s">
        <v>1</v>
      </c>
      <c r="I393" s="22">
        <f t="shared" si="13"/>
        <v>2.5531752308375314E-3</v>
      </c>
      <c r="J393" s="22" t="str">
        <f t="shared" si="14"/>
        <v/>
      </c>
    </row>
    <row r="394" spans="1:10">
      <c r="A394" s="1">
        <v>41481</v>
      </c>
      <c r="B394">
        <v>1687.31</v>
      </c>
      <c r="C394">
        <v>1691.85</v>
      </c>
      <c r="D394">
        <v>1676.03</v>
      </c>
      <c r="E394">
        <v>1691.65</v>
      </c>
      <c r="F394">
        <v>2762770000</v>
      </c>
      <c r="G394">
        <v>1691.65</v>
      </c>
      <c r="H394" t="s">
        <v>1</v>
      </c>
      <c r="I394" s="22">
        <f t="shared" si="13"/>
        <v>8.2793700580897325E-4</v>
      </c>
      <c r="J394" s="22" t="str">
        <f t="shared" si="14"/>
        <v/>
      </c>
    </row>
    <row r="395" spans="1:10">
      <c r="A395" s="1">
        <v>41484</v>
      </c>
      <c r="B395">
        <v>1690.32</v>
      </c>
      <c r="C395">
        <v>1690.92</v>
      </c>
      <c r="D395">
        <v>1681.86</v>
      </c>
      <c r="E395">
        <v>1685.33</v>
      </c>
      <c r="F395">
        <v>2840520000</v>
      </c>
      <c r="G395">
        <v>1685.33</v>
      </c>
      <c r="H395" t="s">
        <v>1</v>
      </c>
      <c r="I395" s="22">
        <f t="shared" si="13"/>
        <v>-3.7429936680698351E-3</v>
      </c>
      <c r="J395" s="22" t="str">
        <f t="shared" si="14"/>
        <v>lost money</v>
      </c>
    </row>
    <row r="396" spans="1:10">
      <c r="A396" s="1">
        <v>41485</v>
      </c>
      <c r="B396">
        <v>1687.92</v>
      </c>
      <c r="C396">
        <v>1693.19</v>
      </c>
      <c r="D396">
        <v>1682.42</v>
      </c>
      <c r="E396">
        <v>1685.96</v>
      </c>
      <c r="F396">
        <v>3320530000</v>
      </c>
      <c r="G396">
        <v>1685.96</v>
      </c>
      <c r="H396" t="s">
        <v>1</v>
      </c>
      <c r="I396" s="22">
        <f t="shared" si="13"/>
        <v>3.7374417942905253E-4</v>
      </c>
      <c r="J396" s="22" t="str">
        <f t="shared" si="14"/>
        <v>lost money</v>
      </c>
    </row>
    <row r="397" spans="1:10">
      <c r="A397" s="1">
        <v>41486</v>
      </c>
      <c r="B397">
        <v>1687.76</v>
      </c>
      <c r="C397">
        <v>1698.43</v>
      </c>
      <c r="D397">
        <v>1684.94</v>
      </c>
      <c r="E397">
        <v>1685.73</v>
      </c>
      <c r="F397">
        <v>3847390000</v>
      </c>
      <c r="G397">
        <v>1685.73</v>
      </c>
      <c r="H397" t="s">
        <v>1</v>
      </c>
      <c r="I397" s="22">
        <f t="shared" si="13"/>
        <v>-1.3643009906418412E-4</v>
      </c>
      <c r="J397" s="22" t="str">
        <f t="shared" si="14"/>
        <v>lost money</v>
      </c>
    </row>
    <row r="398" spans="1:10">
      <c r="A398" s="1">
        <v>41487</v>
      </c>
      <c r="B398">
        <v>1689.42</v>
      </c>
      <c r="C398">
        <v>1707.85</v>
      </c>
      <c r="D398">
        <v>1689.42</v>
      </c>
      <c r="E398">
        <v>1706.87</v>
      </c>
      <c r="F398">
        <v>3775170000</v>
      </c>
      <c r="G398">
        <v>1706.87</v>
      </c>
      <c r="H398" t="s">
        <v>1</v>
      </c>
      <c r="I398" s="22">
        <f t="shared" si="13"/>
        <v>1.2462579504871753E-2</v>
      </c>
      <c r="J398" s="22" t="str">
        <f t="shared" si="14"/>
        <v/>
      </c>
    </row>
    <row r="399" spans="1:10">
      <c r="A399" s="1">
        <v>41488</v>
      </c>
      <c r="B399">
        <v>1706.1</v>
      </c>
      <c r="C399">
        <v>1709.67</v>
      </c>
      <c r="D399">
        <v>1700.68</v>
      </c>
      <c r="E399">
        <v>1709.67</v>
      </c>
      <c r="F399">
        <v>3136630000</v>
      </c>
      <c r="G399">
        <v>1709.67</v>
      </c>
      <c r="H399" t="s">
        <v>1</v>
      </c>
      <c r="I399" s="22">
        <f t="shared" si="13"/>
        <v>1.6390855232919159E-3</v>
      </c>
      <c r="J399" s="22" t="str">
        <f t="shared" si="14"/>
        <v/>
      </c>
    </row>
    <row r="400" spans="1:10">
      <c r="A400" s="1">
        <v>41491</v>
      </c>
      <c r="B400">
        <v>1708.01</v>
      </c>
      <c r="C400">
        <v>1709.24</v>
      </c>
      <c r="D400">
        <v>1703.55</v>
      </c>
      <c r="E400">
        <v>1707.14</v>
      </c>
      <c r="F400">
        <v>2529300000</v>
      </c>
      <c r="G400">
        <v>1707.14</v>
      </c>
      <c r="H400" t="s">
        <v>1</v>
      </c>
      <c r="I400" s="22">
        <f t="shared" si="13"/>
        <v>-1.480913754279429E-3</v>
      </c>
      <c r="J400" s="22" t="str">
        <f t="shared" si="14"/>
        <v>lost money</v>
      </c>
    </row>
    <row r="401" spans="1:10">
      <c r="A401" s="1">
        <v>41492</v>
      </c>
      <c r="B401">
        <v>1705.79</v>
      </c>
      <c r="C401">
        <v>1705.79</v>
      </c>
      <c r="D401">
        <v>1693.29</v>
      </c>
      <c r="E401">
        <v>1697.37</v>
      </c>
      <c r="F401">
        <v>3141210000</v>
      </c>
      <c r="G401">
        <v>1697.37</v>
      </c>
      <c r="H401" t="s">
        <v>1</v>
      </c>
      <c r="I401" s="22">
        <f t="shared" si="13"/>
        <v>-5.7394613731720544E-3</v>
      </c>
      <c r="J401" s="22" t="str">
        <f t="shared" si="14"/>
        <v>lost money</v>
      </c>
    </row>
    <row r="402" spans="1:10">
      <c r="A402" s="1">
        <v>41493</v>
      </c>
      <c r="B402">
        <v>1695.3</v>
      </c>
      <c r="C402">
        <v>1695.3</v>
      </c>
      <c r="D402">
        <v>1684.91</v>
      </c>
      <c r="E402">
        <v>1690.91</v>
      </c>
      <c r="F402">
        <v>3010230000</v>
      </c>
      <c r="G402">
        <v>1690.91</v>
      </c>
      <c r="H402" t="s">
        <v>1</v>
      </c>
      <c r="I402" s="22">
        <f t="shared" si="13"/>
        <v>-3.81314875241731E-3</v>
      </c>
      <c r="J402" s="22" t="str">
        <f t="shared" si="14"/>
        <v>lost money</v>
      </c>
    </row>
    <row r="403" spans="1:10">
      <c r="A403" s="1">
        <v>41494</v>
      </c>
      <c r="B403">
        <v>1693.35</v>
      </c>
      <c r="C403">
        <v>1700.18</v>
      </c>
      <c r="D403">
        <v>1688.38</v>
      </c>
      <c r="E403">
        <v>1697.48</v>
      </c>
      <c r="F403">
        <v>3271660000</v>
      </c>
      <c r="G403">
        <v>1697.48</v>
      </c>
      <c r="H403" t="s">
        <v>1</v>
      </c>
      <c r="I403" s="22">
        <f t="shared" si="13"/>
        <v>3.8779527938558253E-3</v>
      </c>
      <c r="J403" s="22" t="str">
        <f t="shared" si="14"/>
        <v/>
      </c>
    </row>
    <row r="404" spans="1:10">
      <c r="A404" s="1">
        <v>41495</v>
      </c>
      <c r="B404">
        <v>1696.1</v>
      </c>
      <c r="C404">
        <v>1699.42</v>
      </c>
      <c r="D404">
        <v>1686.02</v>
      </c>
      <c r="E404">
        <v>1691.42</v>
      </c>
      <c r="F404">
        <v>2957670000</v>
      </c>
      <c r="G404">
        <v>1691.42</v>
      </c>
      <c r="H404" t="s">
        <v>1</v>
      </c>
      <c r="I404" s="22">
        <f t="shared" si="13"/>
        <v>-3.5763855287662917E-3</v>
      </c>
      <c r="J404" s="22" t="str">
        <f t="shared" si="14"/>
        <v>lost money</v>
      </c>
    </row>
    <row r="405" spans="1:10">
      <c r="A405" s="1">
        <v>41498</v>
      </c>
      <c r="B405">
        <v>1688.37</v>
      </c>
      <c r="C405">
        <v>1691.49</v>
      </c>
      <c r="D405">
        <v>1683.35</v>
      </c>
      <c r="E405">
        <v>1689.47</v>
      </c>
      <c r="F405">
        <v>2789160000</v>
      </c>
      <c r="G405">
        <v>1689.47</v>
      </c>
      <c r="H405" t="s">
        <v>1</v>
      </c>
      <c r="I405" s="22">
        <f t="shared" si="13"/>
        <v>-1.1535425383448848E-3</v>
      </c>
      <c r="J405" s="22" t="str">
        <f t="shared" si="14"/>
        <v/>
      </c>
    </row>
    <row r="406" spans="1:10">
      <c r="A406" s="1">
        <v>41499</v>
      </c>
      <c r="B406">
        <v>1690.65</v>
      </c>
      <c r="C406">
        <v>1696.81</v>
      </c>
      <c r="D406">
        <v>1682.62</v>
      </c>
      <c r="E406">
        <v>1694.16</v>
      </c>
      <c r="F406">
        <v>3035560000</v>
      </c>
      <c r="G406">
        <v>1694.16</v>
      </c>
      <c r="H406" t="s">
        <v>1</v>
      </c>
      <c r="I406" s="22">
        <f t="shared" si="13"/>
        <v>2.7721724913956085E-3</v>
      </c>
      <c r="J406" s="22" t="str">
        <f t="shared" si="14"/>
        <v/>
      </c>
    </row>
    <row r="407" spans="1:10">
      <c r="A407" s="1">
        <v>41500</v>
      </c>
      <c r="B407">
        <v>1693.88</v>
      </c>
      <c r="C407">
        <v>1695.52</v>
      </c>
      <c r="D407">
        <v>1684.83</v>
      </c>
      <c r="E407">
        <v>1685.39</v>
      </c>
      <c r="F407">
        <v>2871430000</v>
      </c>
      <c r="G407">
        <v>1685.39</v>
      </c>
      <c r="H407" t="s">
        <v>1</v>
      </c>
      <c r="I407" s="22">
        <f t="shared" si="13"/>
        <v>-5.1900517442756379E-3</v>
      </c>
      <c r="J407" s="22" t="str">
        <f t="shared" si="14"/>
        <v>lost money</v>
      </c>
    </row>
    <row r="408" spans="1:10">
      <c r="A408" s="1">
        <v>41501</v>
      </c>
      <c r="B408">
        <v>1679.61</v>
      </c>
      <c r="C408">
        <v>1679.61</v>
      </c>
      <c r="D408">
        <v>1658.59</v>
      </c>
      <c r="E408">
        <v>1661.32</v>
      </c>
      <c r="F408">
        <v>3426690000</v>
      </c>
      <c r="G408">
        <v>1661.32</v>
      </c>
      <c r="H408" t="s">
        <v>1</v>
      </c>
      <c r="I408" s="22">
        <f t="shared" si="13"/>
        <v>-1.4384523926260438E-2</v>
      </c>
      <c r="J408" s="22" t="str">
        <f t="shared" si="14"/>
        <v>lost money</v>
      </c>
    </row>
    <row r="409" spans="1:10">
      <c r="A409" s="1">
        <v>41502</v>
      </c>
      <c r="B409">
        <v>1661.22</v>
      </c>
      <c r="C409">
        <v>1663.6</v>
      </c>
      <c r="D409">
        <v>1652.61</v>
      </c>
      <c r="E409">
        <v>1655.83</v>
      </c>
      <c r="F409">
        <v>3211450000</v>
      </c>
      <c r="G409">
        <v>1655.83</v>
      </c>
      <c r="H409" t="s">
        <v>1</v>
      </c>
      <c r="I409" s="22">
        <f t="shared" si="13"/>
        <v>-3.3100734140073594E-3</v>
      </c>
      <c r="J409" s="22" t="str">
        <f t="shared" si="14"/>
        <v>lost money</v>
      </c>
    </row>
    <row r="410" spans="1:10">
      <c r="A410" s="1">
        <v>41505</v>
      </c>
      <c r="B410">
        <v>1655.25</v>
      </c>
      <c r="C410">
        <v>1659.18</v>
      </c>
      <c r="D410">
        <v>1645.84</v>
      </c>
      <c r="E410">
        <v>1646.06</v>
      </c>
      <c r="F410">
        <v>2904530000</v>
      </c>
      <c r="G410">
        <v>1646.06</v>
      </c>
      <c r="H410" t="s">
        <v>1</v>
      </c>
      <c r="I410" s="22">
        <f t="shared" si="13"/>
        <v>-5.9178400932658947E-3</v>
      </c>
      <c r="J410" s="22" t="str">
        <f t="shared" si="14"/>
        <v>lost money</v>
      </c>
    </row>
    <row r="411" spans="1:10">
      <c r="A411" s="1">
        <v>41506</v>
      </c>
      <c r="B411">
        <v>1646.81</v>
      </c>
      <c r="C411">
        <v>1658.92</v>
      </c>
      <c r="D411">
        <v>1646.08</v>
      </c>
      <c r="E411">
        <v>1652.35</v>
      </c>
      <c r="F411">
        <v>2994090000</v>
      </c>
      <c r="G411">
        <v>1652.35</v>
      </c>
      <c r="H411" t="s">
        <v>1</v>
      </c>
      <c r="I411" s="22">
        <f t="shared" si="13"/>
        <v>3.8139634700918462E-3</v>
      </c>
      <c r="J411" s="22" t="str">
        <f t="shared" si="14"/>
        <v/>
      </c>
    </row>
    <row r="412" spans="1:10">
      <c r="A412" s="1">
        <v>41507</v>
      </c>
      <c r="B412">
        <v>1650.66</v>
      </c>
      <c r="C412">
        <v>1656.99</v>
      </c>
      <c r="D412">
        <v>1639.43</v>
      </c>
      <c r="E412">
        <v>1642.8</v>
      </c>
      <c r="F412">
        <v>2932180000</v>
      </c>
      <c r="G412">
        <v>1642.8</v>
      </c>
      <c r="H412" t="s">
        <v>1</v>
      </c>
      <c r="I412" s="22">
        <f t="shared" si="13"/>
        <v>-5.7964139652054766E-3</v>
      </c>
      <c r="J412" s="22" t="str">
        <f t="shared" si="14"/>
        <v>lost money</v>
      </c>
    </row>
    <row r="413" spans="1:10">
      <c r="A413" s="1">
        <v>41508</v>
      </c>
      <c r="B413">
        <v>1645.03</v>
      </c>
      <c r="C413">
        <v>1659.55</v>
      </c>
      <c r="D413">
        <v>1645.03</v>
      </c>
      <c r="E413">
        <v>1656.96</v>
      </c>
      <c r="F413">
        <v>2537460000</v>
      </c>
      <c r="G413">
        <v>1656.96</v>
      </c>
      <c r="H413" t="s">
        <v>1</v>
      </c>
      <c r="I413" s="22">
        <f t="shared" si="13"/>
        <v>8.5824950407145766E-3</v>
      </c>
      <c r="J413" s="22" t="str">
        <f t="shared" si="14"/>
        <v/>
      </c>
    </row>
    <row r="414" spans="1:10">
      <c r="A414" s="1">
        <v>41509</v>
      </c>
      <c r="B414">
        <v>1659.92</v>
      </c>
      <c r="C414">
        <v>1664.85</v>
      </c>
      <c r="D414">
        <v>1654.81</v>
      </c>
      <c r="E414">
        <v>1663.5</v>
      </c>
      <c r="F414">
        <v>2582670000</v>
      </c>
      <c r="G414">
        <v>1663.5</v>
      </c>
      <c r="H414" t="s">
        <v>1</v>
      </c>
      <c r="I414" s="22">
        <f t="shared" si="13"/>
        <v>3.9392183354132132E-3</v>
      </c>
      <c r="J414" s="22" t="str">
        <f t="shared" si="14"/>
        <v/>
      </c>
    </row>
    <row r="415" spans="1:10">
      <c r="A415" s="1">
        <v>41512</v>
      </c>
      <c r="B415">
        <v>1664.29</v>
      </c>
      <c r="C415">
        <v>1669.51</v>
      </c>
      <c r="D415">
        <v>1656.02</v>
      </c>
      <c r="E415">
        <v>1656.78</v>
      </c>
      <c r="F415">
        <v>2430670000</v>
      </c>
      <c r="G415">
        <v>1656.78</v>
      </c>
      <c r="H415" t="s">
        <v>1</v>
      </c>
      <c r="I415" s="22">
        <f t="shared" si="13"/>
        <v>-4.047856913079035E-3</v>
      </c>
      <c r="J415" s="22" t="str">
        <f t="shared" si="14"/>
        <v>lost money</v>
      </c>
    </row>
    <row r="416" spans="1:10">
      <c r="A416" s="1">
        <v>41513</v>
      </c>
      <c r="B416">
        <v>1652.54</v>
      </c>
      <c r="C416">
        <v>1652.54</v>
      </c>
      <c r="D416">
        <v>1629.05</v>
      </c>
      <c r="E416">
        <v>1630.48</v>
      </c>
      <c r="F416">
        <v>3219190000</v>
      </c>
      <c r="G416">
        <v>1630.48</v>
      </c>
      <c r="H416" t="s">
        <v>1</v>
      </c>
      <c r="I416" s="22">
        <f t="shared" si="13"/>
        <v>-1.6001509567328324E-2</v>
      </c>
      <c r="J416" s="22" t="str">
        <f t="shared" si="14"/>
        <v>lost money</v>
      </c>
    </row>
    <row r="417" spans="1:10">
      <c r="A417" s="1">
        <v>41514</v>
      </c>
      <c r="B417">
        <v>1630.25</v>
      </c>
      <c r="C417">
        <v>1641.18</v>
      </c>
      <c r="D417">
        <v>1627.47</v>
      </c>
      <c r="E417">
        <v>1634.96</v>
      </c>
      <c r="F417">
        <v>2784010000</v>
      </c>
      <c r="G417">
        <v>1634.96</v>
      </c>
      <c r="H417" t="s">
        <v>1</v>
      </c>
      <c r="I417" s="22">
        <f t="shared" si="13"/>
        <v>2.7438892221566106E-3</v>
      </c>
      <c r="J417" s="22" t="str">
        <f t="shared" si="14"/>
        <v/>
      </c>
    </row>
    <row r="418" spans="1:10">
      <c r="A418" s="1">
        <v>41515</v>
      </c>
      <c r="B418">
        <v>1633.5</v>
      </c>
      <c r="C418">
        <v>1646.41</v>
      </c>
      <c r="D418">
        <v>1630.88</v>
      </c>
      <c r="E418">
        <v>1638.17</v>
      </c>
      <c r="F418">
        <v>2527550000</v>
      </c>
      <c r="G418">
        <v>1638.17</v>
      </c>
      <c r="H418" t="s">
        <v>1</v>
      </c>
      <c r="I418" s="22">
        <f t="shared" si="13"/>
        <v>1.9614259312179068E-3</v>
      </c>
      <c r="J418" s="22" t="str">
        <f t="shared" si="14"/>
        <v/>
      </c>
    </row>
    <row r="419" spans="1:10">
      <c r="A419" s="1">
        <v>41516</v>
      </c>
      <c r="B419">
        <v>1638.89</v>
      </c>
      <c r="C419">
        <v>1640.08</v>
      </c>
      <c r="D419">
        <v>1628.05</v>
      </c>
      <c r="E419">
        <v>1632.97</v>
      </c>
      <c r="F419">
        <v>2734300000</v>
      </c>
      <c r="G419">
        <v>1632.97</v>
      </c>
      <c r="H419" t="s">
        <v>1</v>
      </c>
      <c r="I419" s="22">
        <f t="shared" si="13"/>
        <v>-3.1793224259261555E-3</v>
      </c>
      <c r="J419" s="22" t="str">
        <f t="shared" si="14"/>
        <v>lost money</v>
      </c>
    </row>
    <row r="420" spans="1:10">
      <c r="A420" s="1">
        <v>41520</v>
      </c>
      <c r="B420">
        <v>1635.95</v>
      </c>
      <c r="C420">
        <v>1651.35</v>
      </c>
      <c r="D420">
        <v>1633.41</v>
      </c>
      <c r="E420">
        <v>1639.77</v>
      </c>
      <c r="F420">
        <v>3731610000</v>
      </c>
      <c r="G420">
        <v>1639.77</v>
      </c>
      <c r="H420" t="s">
        <v>1</v>
      </c>
      <c r="I420" s="22">
        <f t="shared" si="13"/>
        <v>4.1555453751369511E-3</v>
      </c>
      <c r="J420" s="22" t="str">
        <f t="shared" si="14"/>
        <v/>
      </c>
    </row>
    <row r="421" spans="1:10">
      <c r="A421" s="1">
        <v>41521</v>
      </c>
      <c r="B421">
        <v>1640.72</v>
      </c>
      <c r="C421">
        <v>1655.72</v>
      </c>
      <c r="D421">
        <v>1637.41</v>
      </c>
      <c r="E421">
        <v>1653.08</v>
      </c>
      <c r="F421">
        <v>3312150000</v>
      </c>
      <c r="G421">
        <v>1653.08</v>
      </c>
      <c r="H421" t="s">
        <v>1</v>
      </c>
      <c r="I421" s="22">
        <f t="shared" si="13"/>
        <v>8.0842264234291927E-3</v>
      </c>
      <c r="J421" s="22" t="str">
        <f t="shared" si="14"/>
        <v/>
      </c>
    </row>
    <row r="422" spans="1:10">
      <c r="A422" s="1">
        <v>41522</v>
      </c>
      <c r="B422">
        <v>1653.28</v>
      </c>
      <c r="C422">
        <v>1659.17</v>
      </c>
      <c r="D422">
        <v>1653.07</v>
      </c>
      <c r="E422">
        <v>1655.08</v>
      </c>
      <c r="F422">
        <v>2957110000</v>
      </c>
      <c r="G422">
        <v>1655.08</v>
      </c>
      <c r="H422" t="s">
        <v>1</v>
      </c>
      <c r="I422" s="22">
        <f t="shared" si="13"/>
        <v>1.2091315073432651E-3</v>
      </c>
      <c r="J422" s="22" t="str">
        <f t="shared" si="14"/>
        <v/>
      </c>
    </row>
    <row r="423" spans="1:10">
      <c r="A423" s="1">
        <v>41523</v>
      </c>
      <c r="B423">
        <v>1657.44</v>
      </c>
      <c r="C423">
        <v>1664.83</v>
      </c>
      <c r="D423">
        <v>1640.62</v>
      </c>
      <c r="E423">
        <v>1655.17</v>
      </c>
      <c r="F423">
        <v>3123880000</v>
      </c>
      <c r="G423">
        <v>1655.17</v>
      </c>
      <c r="H423" t="s">
        <v>1</v>
      </c>
      <c r="I423" s="22">
        <f t="shared" si="13"/>
        <v>5.4376557675273835E-5</v>
      </c>
      <c r="J423" s="22" t="str">
        <f t="shared" si="14"/>
        <v>lost money</v>
      </c>
    </row>
    <row r="424" spans="1:10">
      <c r="A424" s="1">
        <v>41526</v>
      </c>
      <c r="B424">
        <v>1656.85</v>
      </c>
      <c r="C424">
        <v>1672.4</v>
      </c>
      <c r="D424">
        <v>1656.85</v>
      </c>
      <c r="E424">
        <v>1671.71</v>
      </c>
      <c r="F424">
        <v>3102780000</v>
      </c>
      <c r="G424">
        <v>1671.71</v>
      </c>
      <c r="H424" t="s">
        <v>1</v>
      </c>
      <c r="I424" s="22">
        <f t="shared" si="13"/>
        <v>9.9433320560937486E-3</v>
      </c>
      <c r="J424" s="22" t="str">
        <f t="shared" si="14"/>
        <v/>
      </c>
    </row>
    <row r="425" spans="1:10">
      <c r="A425" s="1">
        <v>41527</v>
      </c>
      <c r="B425">
        <v>1675.11</v>
      </c>
      <c r="C425">
        <v>1684.09</v>
      </c>
      <c r="D425">
        <v>1675.11</v>
      </c>
      <c r="E425">
        <v>1683.99</v>
      </c>
      <c r="F425">
        <v>3691800000</v>
      </c>
      <c r="G425">
        <v>1683.99</v>
      </c>
      <c r="H425" t="s">
        <v>1</v>
      </c>
      <c r="I425" s="22">
        <f t="shared" si="13"/>
        <v>7.3189229171092005E-3</v>
      </c>
      <c r="J425" s="22" t="str">
        <f t="shared" si="14"/>
        <v/>
      </c>
    </row>
    <row r="426" spans="1:10">
      <c r="A426" s="1">
        <v>41528</v>
      </c>
      <c r="B426">
        <v>1681.04</v>
      </c>
      <c r="C426">
        <v>1689.13</v>
      </c>
      <c r="D426">
        <v>1678.7</v>
      </c>
      <c r="E426">
        <v>1689.13</v>
      </c>
      <c r="F426">
        <v>3135460000</v>
      </c>
      <c r="G426">
        <v>1689.13</v>
      </c>
      <c r="H426" t="s">
        <v>1</v>
      </c>
      <c r="I426" s="22">
        <f t="shared" si="13"/>
        <v>3.0476259239930587E-3</v>
      </c>
      <c r="J426" s="22" t="str">
        <f t="shared" si="14"/>
        <v/>
      </c>
    </row>
    <row r="427" spans="1:10">
      <c r="A427" s="1">
        <v>41529</v>
      </c>
      <c r="B427">
        <v>1689.21</v>
      </c>
      <c r="C427">
        <v>1689.97</v>
      </c>
      <c r="D427">
        <v>1681.96</v>
      </c>
      <c r="E427">
        <v>1683.42</v>
      </c>
      <c r="F427">
        <v>3106290000</v>
      </c>
      <c r="G427">
        <v>1683.42</v>
      </c>
      <c r="H427" t="s">
        <v>1</v>
      </c>
      <c r="I427" s="22">
        <f t="shared" si="13"/>
        <v>-3.3861650418574234E-3</v>
      </c>
      <c r="J427" s="22" t="str">
        <f t="shared" si="14"/>
        <v>lost money</v>
      </c>
    </row>
    <row r="428" spans="1:10">
      <c r="A428" s="1">
        <v>41530</v>
      </c>
      <c r="B428">
        <v>1685.04</v>
      </c>
      <c r="C428">
        <v>1688.73</v>
      </c>
      <c r="D428">
        <v>1682.22</v>
      </c>
      <c r="E428">
        <v>1687.99</v>
      </c>
      <c r="F428">
        <v>2736500000</v>
      </c>
      <c r="G428">
        <v>1687.99</v>
      </c>
      <c r="H428" t="s">
        <v>1</v>
      </c>
      <c r="I428" s="22">
        <f t="shared" si="13"/>
        <v>2.7110335432424617E-3</v>
      </c>
      <c r="J428" s="22" t="str">
        <f t="shared" si="14"/>
        <v/>
      </c>
    </row>
    <row r="429" spans="1:10">
      <c r="A429" s="1">
        <v>41533</v>
      </c>
      <c r="B429">
        <v>1691.7</v>
      </c>
      <c r="C429">
        <v>1704.95</v>
      </c>
      <c r="D429">
        <v>1691.7</v>
      </c>
      <c r="E429">
        <v>1697.6</v>
      </c>
      <c r="F429">
        <v>3079800000</v>
      </c>
      <c r="G429">
        <v>1697.6</v>
      </c>
      <c r="H429" t="s">
        <v>1</v>
      </c>
      <c r="I429" s="22">
        <f t="shared" si="13"/>
        <v>5.6770168919803715E-3</v>
      </c>
      <c r="J429" s="22" t="str">
        <f t="shared" si="14"/>
        <v/>
      </c>
    </row>
    <row r="430" spans="1:10">
      <c r="A430" s="1">
        <v>41534</v>
      </c>
      <c r="B430">
        <v>1697.73</v>
      </c>
      <c r="C430">
        <v>1705.52</v>
      </c>
      <c r="D430">
        <v>1697.73</v>
      </c>
      <c r="E430">
        <v>1704.76</v>
      </c>
      <c r="F430">
        <v>2774240000</v>
      </c>
      <c r="G430">
        <v>1704.76</v>
      </c>
      <c r="H430" t="s">
        <v>1</v>
      </c>
      <c r="I430" s="22">
        <f t="shared" si="13"/>
        <v>4.2088494865901299E-3</v>
      </c>
      <c r="J430" s="22" t="str">
        <f t="shared" si="14"/>
        <v/>
      </c>
    </row>
    <row r="431" spans="1:10">
      <c r="A431" s="1">
        <v>41535</v>
      </c>
      <c r="B431">
        <v>1705.74</v>
      </c>
      <c r="C431">
        <v>1729.44</v>
      </c>
      <c r="D431">
        <v>1700.35</v>
      </c>
      <c r="E431">
        <v>1725.52</v>
      </c>
      <c r="F431">
        <v>3989760000</v>
      </c>
      <c r="G431">
        <v>1725.52</v>
      </c>
      <c r="H431" t="s">
        <v>1</v>
      </c>
      <c r="I431" s="22">
        <f t="shared" si="13"/>
        <v>1.2104115967809937E-2</v>
      </c>
      <c r="J431" s="22" t="str">
        <f t="shared" si="14"/>
        <v/>
      </c>
    </row>
    <row r="432" spans="1:10">
      <c r="A432" s="1">
        <v>41536</v>
      </c>
      <c r="B432">
        <v>1727.34</v>
      </c>
      <c r="C432">
        <v>1729.86</v>
      </c>
      <c r="D432">
        <v>1720.2</v>
      </c>
      <c r="E432">
        <v>1722.34</v>
      </c>
      <c r="F432">
        <v>3740130000</v>
      </c>
      <c r="G432">
        <v>1722.34</v>
      </c>
      <c r="H432" t="s">
        <v>1</v>
      </c>
      <c r="I432" s="22">
        <f t="shared" si="13"/>
        <v>-1.8446229845168335E-3</v>
      </c>
      <c r="J432" s="22" t="str">
        <f t="shared" si="14"/>
        <v>lost money</v>
      </c>
    </row>
    <row r="433" spans="1:10">
      <c r="A433" s="1">
        <v>41537</v>
      </c>
      <c r="B433">
        <v>1722.44</v>
      </c>
      <c r="C433">
        <v>1725.23</v>
      </c>
      <c r="D433">
        <v>1708.89</v>
      </c>
      <c r="E433">
        <v>1709.91</v>
      </c>
      <c r="F433">
        <v>5074030000</v>
      </c>
      <c r="G433">
        <v>1709.91</v>
      </c>
      <c r="H433" t="s">
        <v>1</v>
      </c>
      <c r="I433" s="22">
        <f t="shared" si="13"/>
        <v>-7.2430937969337897E-3</v>
      </c>
      <c r="J433" s="22" t="str">
        <f t="shared" si="14"/>
        <v>lost money</v>
      </c>
    </row>
    <row r="434" spans="1:10">
      <c r="A434" s="1">
        <v>41540</v>
      </c>
      <c r="B434">
        <v>1711.44</v>
      </c>
      <c r="C434">
        <v>1711.44</v>
      </c>
      <c r="D434">
        <v>1697.1</v>
      </c>
      <c r="E434">
        <v>1701.84</v>
      </c>
      <c r="F434">
        <v>3126950000</v>
      </c>
      <c r="G434">
        <v>1701.84</v>
      </c>
      <c r="H434" t="s">
        <v>1</v>
      </c>
      <c r="I434" s="22">
        <f t="shared" si="13"/>
        <v>-4.7307188688171364E-3</v>
      </c>
      <c r="J434" s="22" t="str">
        <f t="shared" si="14"/>
        <v>lost money</v>
      </c>
    </row>
    <row r="435" spans="1:10">
      <c r="A435" s="1">
        <v>41541</v>
      </c>
      <c r="B435">
        <v>1702.6</v>
      </c>
      <c r="C435">
        <v>1707.63</v>
      </c>
      <c r="D435">
        <v>1694.9</v>
      </c>
      <c r="E435">
        <v>1697.42</v>
      </c>
      <c r="F435">
        <v>3268930000</v>
      </c>
      <c r="G435">
        <v>1697.42</v>
      </c>
      <c r="H435" t="s">
        <v>1</v>
      </c>
      <c r="I435" s="22">
        <f t="shared" si="13"/>
        <v>-2.6005674711671984E-3</v>
      </c>
      <c r="J435" s="22" t="str">
        <f t="shared" si="14"/>
        <v>lost money</v>
      </c>
    </row>
    <row r="436" spans="1:10">
      <c r="A436" s="1">
        <v>41542</v>
      </c>
      <c r="B436">
        <v>1698.02</v>
      </c>
      <c r="C436">
        <v>1701.71</v>
      </c>
      <c r="D436">
        <v>1691.88</v>
      </c>
      <c r="E436">
        <v>1692.77</v>
      </c>
      <c r="F436">
        <v>3148730000</v>
      </c>
      <c r="G436">
        <v>1692.77</v>
      </c>
      <c r="H436" t="s">
        <v>1</v>
      </c>
      <c r="I436" s="22">
        <f t="shared" si="13"/>
        <v>-2.7432108029442847E-3</v>
      </c>
      <c r="J436" s="22" t="str">
        <f t="shared" si="14"/>
        <v>lost money</v>
      </c>
    </row>
    <row r="437" spans="1:10">
      <c r="A437" s="1">
        <v>41543</v>
      </c>
      <c r="B437">
        <v>1694.05</v>
      </c>
      <c r="C437">
        <v>1703.85</v>
      </c>
      <c r="D437">
        <v>1693.11</v>
      </c>
      <c r="E437">
        <v>1698.67</v>
      </c>
      <c r="F437">
        <v>2813930000</v>
      </c>
      <c r="G437">
        <v>1698.67</v>
      </c>
      <c r="H437" t="s">
        <v>1</v>
      </c>
      <c r="I437" s="22">
        <f t="shared" si="13"/>
        <v>3.4793515156158698E-3</v>
      </c>
      <c r="J437" s="22" t="str">
        <f t="shared" si="14"/>
        <v/>
      </c>
    </row>
    <row r="438" spans="1:10">
      <c r="A438" s="1">
        <v>41544</v>
      </c>
      <c r="B438">
        <v>1695.52</v>
      </c>
      <c r="C438">
        <v>1695.52</v>
      </c>
      <c r="D438">
        <v>1687.11</v>
      </c>
      <c r="E438">
        <v>1691.75</v>
      </c>
      <c r="F438">
        <v>2951700000</v>
      </c>
      <c r="G438">
        <v>1691.75</v>
      </c>
      <c r="H438" t="s">
        <v>1</v>
      </c>
      <c r="I438" s="22">
        <f t="shared" si="13"/>
        <v>-4.0820957930202389E-3</v>
      </c>
      <c r="J438" s="22" t="str">
        <f t="shared" si="14"/>
        <v>lost money</v>
      </c>
    </row>
    <row r="439" spans="1:10">
      <c r="A439" s="1">
        <v>41547</v>
      </c>
      <c r="B439">
        <v>1687.26</v>
      </c>
      <c r="C439">
        <v>1687.26</v>
      </c>
      <c r="D439">
        <v>1674.99</v>
      </c>
      <c r="E439">
        <v>1681.55</v>
      </c>
      <c r="F439">
        <v>3308630000</v>
      </c>
      <c r="G439">
        <v>1681.55</v>
      </c>
      <c r="H439" t="s">
        <v>1</v>
      </c>
      <c r="I439" s="22">
        <f t="shared" si="13"/>
        <v>-6.0475090187600816E-3</v>
      </c>
      <c r="J439" s="22" t="str">
        <f t="shared" si="14"/>
        <v>lost money</v>
      </c>
    </row>
    <row r="440" spans="1:10">
      <c r="A440" s="1">
        <v>41548</v>
      </c>
      <c r="B440">
        <v>1682.41</v>
      </c>
      <c r="C440">
        <v>1696.55</v>
      </c>
      <c r="D440">
        <v>1682.07</v>
      </c>
      <c r="E440">
        <v>1695</v>
      </c>
      <c r="F440">
        <v>3238690000</v>
      </c>
      <c r="G440">
        <v>1695</v>
      </c>
      <c r="H440" t="s">
        <v>1</v>
      </c>
      <c r="I440" s="22">
        <f t="shared" si="13"/>
        <v>7.9667537209757739E-3</v>
      </c>
      <c r="J440" s="22" t="str">
        <f t="shared" si="14"/>
        <v/>
      </c>
    </row>
    <row r="441" spans="1:10">
      <c r="A441" s="1">
        <v>41549</v>
      </c>
      <c r="B441">
        <v>1691.9</v>
      </c>
      <c r="C441">
        <v>1693.87</v>
      </c>
      <c r="D441">
        <v>1680.34</v>
      </c>
      <c r="E441">
        <v>1693.87</v>
      </c>
      <c r="F441">
        <v>3148600000</v>
      </c>
      <c r="G441">
        <v>1693.87</v>
      </c>
      <c r="H441" t="s">
        <v>1</v>
      </c>
      <c r="I441" s="22">
        <f t="shared" si="13"/>
        <v>-6.6688898770376765E-4</v>
      </c>
      <c r="J441" s="22" t="str">
        <f t="shared" si="14"/>
        <v/>
      </c>
    </row>
    <row r="442" spans="1:10">
      <c r="A442" s="1">
        <v>41550</v>
      </c>
      <c r="B442">
        <v>1692.35</v>
      </c>
      <c r="C442">
        <v>1692.35</v>
      </c>
      <c r="D442">
        <v>1670.36</v>
      </c>
      <c r="E442">
        <v>1678.66</v>
      </c>
      <c r="F442">
        <v>3279650000</v>
      </c>
      <c r="G442">
        <v>1678.66</v>
      </c>
      <c r="H442" t="s">
        <v>1</v>
      </c>
      <c r="I442" s="22">
        <f t="shared" si="13"/>
        <v>-9.0199957444824265E-3</v>
      </c>
      <c r="J442" s="22" t="str">
        <f t="shared" si="14"/>
        <v>lost money</v>
      </c>
    </row>
    <row r="443" spans="1:10">
      <c r="A443" s="1">
        <v>41551</v>
      </c>
      <c r="B443">
        <v>1678.79</v>
      </c>
      <c r="C443">
        <v>1691.94</v>
      </c>
      <c r="D443">
        <v>1677.33</v>
      </c>
      <c r="E443">
        <v>1690.5</v>
      </c>
      <c r="F443">
        <v>2880270000</v>
      </c>
      <c r="G443">
        <v>1690.5</v>
      </c>
      <c r="H443" t="s">
        <v>1</v>
      </c>
      <c r="I443" s="22">
        <f t="shared" si="13"/>
        <v>7.0284870655762189E-3</v>
      </c>
      <c r="J443" s="22" t="str">
        <f t="shared" si="14"/>
        <v/>
      </c>
    </row>
    <row r="444" spans="1:10">
      <c r="A444" s="1">
        <v>41554</v>
      </c>
      <c r="B444">
        <v>1687.15</v>
      </c>
      <c r="C444">
        <v>1687.15</v>
      </c>
      <c r="D444">
        <v>1674.7</v>
      </c>
      <c r="E444">
        <v>1676.12</v>
      </c>
      <c r="F444">
        <v>2678490000</v>
      </c>
      <c r="G444">
        <v>1676.12</v>
      </c>
      <c r="H444" t="s">
        <v>1</v>
      </c>
      <c r="I444" s="22">
        <f t="shared" si="13"/>
        <v>-8.5427446236556424E-3</v>
      </c>
      <c r="J444" s="22" t="str">
        <f t="shared" si="14"/>
        <v>lost money</v>
      </c>
    </row>
    <row r="445" spans="1:10">
      <c r="A445" s="1">
        <v>41555</v>
      </c>
      <c r="B445">
        <v>1676.22</v>
      </c>
      <c r="C445">
        <v>1676.79</v>
      </c>
      <c r="D445">
        <v>1655.03</v>
      </c>
      <c r="E445">
        <v>1655.45</v>
      </c>
      <c r="F445">
        <v>3569230000</v>
      </c>
      <c r="G445">
        <v>1655.45</v>
      </c>
      <c r="H445" t="s">
        <v>1</v>
      </c>
      <c r="I445" s="22">
        <f t="shared" si="13"/>
        <v>-1.2408723348868085E-2</v>
      </c>
      <c r="J445" s="22" t="str">
        <f t="shared" si="14"/>
        <v>lost money</v>
      </c>
    </row>
    <row r="446" spans="1:10">
      <c r="A446" s="1">
        <v>41556</v>
      </c>
      <c r="B446">
        <v>1656.99</v>
      </c>
      <c r="C446">
        <v>1662.47</v>
      </c>
      <c r="D446">
        <v>1646.47</v>
      </c>
      <c r="E446">
        <v>1656.4</v>
      </c>
      <c r="F446">
        <v>3577840000</v>
      </c>
      <c r="G446">
        <v>1656.4</v>
      </c>
      <c r="H446" t="s">
        <v>1</v>
      </c>
      <c r="I446" s="22">
        <f t="shared" si="13"/>
        <v>5.7369749599523064E-4</v>
      </c>
      <c r="J446" s="22" t="str">
        <f t="shared" si="14"/>
        <v>lost money</v>
      </c>
    </row>
    <row r="447" spans="1:10">
      <c r="A447" s="1">
        <v>41557</v>
      </c>
      <c r="B447">
        <v>1660.88</v>
      </c>
      <c r="C447">
        <v>1692.56</v>
      </c>
      <c r="D447">
        <v>1660.88</v>
      </c>
      <c r="E447">
        <v>1692.56</v>
      </c>
      <c r="F447">
        <v>3362300000</v>
      </c>
      <c r="G447">
        <v>1692.56</v>
      </c>
      <c r="H447" t="s">
        <v>1</v>
      </c>
      <c r="I447" s="22">
        <f t="shared" si="13"/>
        <v>2.1595603003649867E-2</v>
      </c>
      <c r="J447" s="22" t="str">
        <f t="shared" si="14"/>
        <v/>
      </c>
    </row>
    <row r="448" spans="1:10">
      <c r="A448" s="1">
        <v>41558</v>
      </c>
      <c r="B448">
        <v>1691.09</v>
      </c>
      <c r="C448">
        <v>1703.44</v>
      </c>
      <c r="D448">
        <v>1688.52</v>
      </c>
      <c r="E448">
        <v>1703.2</v>
      </c>
      <c r="F448">
        <v>2944670000</v>
      </c>
      <c r="G448">
        <v>1703.2</v>
      </c>
      <c r="H448" t="s">
        <v>1</v>
      </c>
      <c r="I448" s="22">
        <f t="shared" si="13"/>
        <v>6.2666589042077387E-3</v>
      </c>
      <c r="J448" s="22" t="str">
        <f t="shared" si="14"/>
        <v/>
      </c>
    </row>
    <row r="449" spans="1:10">
      <c r="A449" s="1">
        <v>41561</v>
      </c>
      <c r="B449">
        <v>1699.86</v>
      </c>
      <c r="C449">
        <v>1711.03</v>
      </c>
      <c r="D449">
        <v>1692.13</v>
      </c>
      <c r="E449">
        <v>1710.14</v>
      </c>
      <c r="F449">
        <v>2580580000</v>
      </c>
      <c r="G449">
        <v>1710.14</v>
      </c>
      <c r="H449" t="s">
        <v>1</v>
      </c>
      <c r="I449" s="22">
        <f t="shared" si="13"/>
        <v>4.0664039111895159E-3</v>
      </c>
      <c r="J449" s="22" t="str">
        <f t="shared" si="14"/>
        <v/>
      </c>
    </row>
    <row r="450" spans="1:10">
      <c r="A450" s="1">
        <v>41562</v>
      </c>
      <c r="B450">
        <v>1709.17</v>
      </c>
      <c r="C450">
        <v>1711.57</v>
      </c>
      <c r="D450">
        <v>1695.93</v>
      </c>
      <c r="E450">
        <v>1698.06</v>
      </c>
      <c r="F450">
        <v>3327740000</v>
      </c>
      <c r="G450">
        <v>1698.06</v>
      </c>
      <c r="H450" t="s">
        <v>1</v>
      </c>
      <c r="I450" s="22">
        <f t="shared" si="13"/>
        <v>-7.0888155544114413E-3</v>
      </c>
      <c r="J450" s="22" t="str">
        <f t="shared" si="14"/>
        <v>lost money</v>
      </c>
    </row>
    <row r="451" spans="1:10">
      <c r="A451" s="1">
        <v>41563</v>
      </c>
      <c r="B451">
        <v>1700.49</v>
      </c>
      <c r="C451">
        <v>1721.76</v>
      </c>
      <c r="D451">
        <v>1700.49</v>
      </c>
      <c r="E451">
        <v>1721.54</v>
      </c>
      <c r="F451">
        <v>3486180000</v>
      </c>
      <c r="G451">
        <v>1721.54</v>
      </c>
      <c r="H451" t="s">
        <v>1</v>
      </c>
      <c r="I451" s="22">
        <f t="shared" ref="I451:I514" si="15">IF(A451=$A$2,"",LN(G451/G450))</f>
        <v>1.3732816122981576E-2</v>
      </c>
      <c r="J451" s="22" t="str">
        <f t="shared" ref="J451:J514" si="16">IF(B451&gt;E451,"lost money","")</f>
        <v/>
      </c>
    </row>
    <row r="452" spans="1:10">
      <c r="A452" s="1">
        <v>41564</v>
      </c>
      <c r="B452">
        <v>1720.17</v>
      </c>
      <c r="C452">
        <v>1733.45</v>
      </c>
      <c r="D452">
        <v>1714.12</v>
      </c>
      <c r="E452">
        <v>1733.15</v>
      </c>
      <c r="F452">
        <v>3453590000</v>
      </c>
      <c r="G452">
        <v>1733.15</v>
      </c>
      <c r="H452" t="s">
        <v>1</v>
      </c>
      <c r="I452" s="22">
        <f t="shared" si="15"/>
        <v>6.7213230176509332E-3</v>
      </c>
      <c r="J452" s="22" t="str">
        <f t="shared" si="16"/>
        <v/>
      </c>
    </row>
    <row r="453" spans="1:10">
      <c r="A453" s="1">
        <v>41565</v>
      </c>
      <c r="B453">
        <v>1736.72</v>
      </c>
      <c r="C453">
        <v>1745.31</v>
      </c>
      <c r="D453">
        <v>1735.74</v>
      </c>
      <c r="E453">
        <v>1744.5</v>
      </c>
      <c r="F453">
        <v>3664890000</v>
      </c>
      <c r="G453">
        <v>1744.5</v>
      </c>
      <c r="H453" t="s">
        <v>1</v>
      </c>
      <c r="I453" s="22">
        <f t="shared" si="15"/>
        <v>6.5274195501484516E-3</v>
      </c>
      <c r="J453" s="22" t="str">
        <f t="shared" si="16"/>
        <v/>
      </c>
    </row>
    <row r="454" spans="1:10">
      <c r="A454" s="1">
        <v>41568</v>
      </c>
      <c r="B454">
        <v>1745.2</v>
      </c>
      <c r="C454">
        <v>1747.79</v>
      </c>
      <c r="D454">
        <v>1740.67</v>
      </c>
      <c r="E454">
        <v>1744.66</v>
      </c>
      <c r="F454">
        <v>3052710000</v>
      </c>
      <c r="G454">
        <v>1744.66</v>
      </c>
      <c r="H454" t="s">
        <v>1</v>
      </c>
      <c r="I454" s="22">
        <f t="shared" si="15"/>
        <v>9.1712618574313345E-5</v>
      </c>
      <c r="J454" s="22" t="str">
        <f t="shared" si="16"/>
        <v>lost money</v>
      </c>
    </row>
    <row r="455" spans="1:10">
      <c r="A455" s="1">
        <v>41569</v>
      </c>
      <c r="B455">
        <v>1746.48</v>
      </c>
      <c r="C455">
        <v>1759.33</v>
      </c>
      <c r="D455">
        <v>1746.48</v>
      </c>
      <c r="E455">
        <v>1754.67</v>
      </c>
      <c r="F455">
        <v>3850840000</v>
      </c>
      <c r="G455">
        <v>1754.67</v>
      </c>
      <c r="H455" t="s">
        <v>1</v>
      </c>
      <c r="I455" s="22">
        <f t="shared" si="15"/>
        <v>5.7211107858845976E-3</v>
      </c>
      <c r="J455" s="22" t="str">
        <f t="shared" si="16"/>
        <v/>
      </c>
    </row>
    <row r="456" spans="1:10">
      <c r="A456" s="1">
        <v>41570</v>
      </c>
      <c r="B456">
        <v>1752.27</v>
      </c>
      <c r="C456">
        <v>1752.27</v>
      </c>
      <c r="D456">
        <v>1740.5</v>
      </c>
      <c r="E456">
        <v>1746.38</v>
      </c>
      <c r="F456">
        <v>3713380000</v>
      </c>
      <c r="G456">
        <v>1746.38</v>
      </c>
      <c r="H456" t="s">
        <v>1</v>
      </c>
      <c r="I456" s="22">
        <f t="shared" si="15"/>
        <v>-4.7357309912257808E-3</v>
      </c>
      <c r="J456" s="22" t="str">
        <f t="shared" si="16"/>
        <v>lost money</v>
      </c>
    </row>
    <row r="457" spans="1:10">
      <c r="A457" s="1">
        <v>41571</v>
      </c>
      <c r="B457">
        <v>1747.48</v>
      </c>
      <c r="C457">
        <v>1753.94</v>
      </c>
      <c r="D457">
        <v>1745.5</v>
      </c>
      <c r="E457">
        <v>1752.07</v>
      </c>
      <c r="F457">
        <v>3671700000</v>
      </c>
      <c r="G457">
        <v>1752.07</v>
      </c>
      <c r="H457" t="s">
        <v>1</v>
      </c>
      <c r="I457" s="22">
        <f t="shared" si="15"/>
        <v>3.2528719960210105E-3</v>
      </c>
      <c r="J457" s="22" t="str">
        <f t="shared" si="16"/>
        <v/>
      </c>
    </row>
    <row r="458" spans="1:10">
      <c r="A458" s="1">
        <v>41572</v>
      </c>
      <c r="B458">
        <v>1756.01</v>
      </c>
      <c r="C458">
        <v>1759.82</v>
      </c>
      <c r="D458">
        <v>1752.45</v>
      </c>
      <c r="E458">
        <v>1759.77</v>
      </c>
      <c r="F458">
        <v>3175720000</v>
      </c>
      <c r="G458">
        <v>1759.77</v>
      </c>
      <c r="H458" t="s">
        <v>1</v>
      </c>
      <c r="I458" s="22">
        <f t="shared" si="15"/>
        <v>4.3851726383198801E-3</v>
      </c>
      <c r="J458" s="22" t="str">
        <f t="shared" si="16"/>
        <v/>
      </c>
    </row>
    <row r="459" spans="1:10">
      <c r="A459" s="1">
        <v>41575</v>
      </c>
      <c r="B459">
        <v>1759.42</v>
      </c>
      <c r="C459">
        <v>1764.99</v>
      </c>
      <c r="D459">
        <v>1757.67</v>
      </c>
      <c r="E459">
        <v>1762.11</v>
      </c>
      <c r="F459">
        <v>3282300000</v>
      </c>
      <c r="G459">
        <v>1762.11</v>
      </c>
      <c r="H459" t="s">
        <v>1</v>
      </c>
      <c r="I459" s="22">
        <f t="shared" si="15"/>
        <v>1.328835930998072E-3</v>
      </c>
      <c r="J459" s="22" t="str">
        <f t="shared" si="16"/>
        <v/>
      </c>
    </row>
    <row r="460" spans="1:10">
      <c r="A460" s="1">
        <v>41576</v>
      </c>
      <c r="B460">
        <v>1762.93</v>
      </c>
      <c r="C460">
        <v>1772.09</v>
      </c>
      <c r="D460">
        <v>1762.93</v>
      </c>
      <c r="E460">
        <v>1771.95</v>
      </c>
      <c r="F460">
        <v>3358460000</v>
      </c>
      <c r="G460">
        <v>1771.95</v>
      </c>
      <c r="H460" t="s">
        <v>1</v>
      </c>
      <c r="I460" s="22">
        <f t="shared" si="15"/>
        <v>5.568680457237637E-3</v>
      </c>
      <c r="J460" s="22" t="str">
        <f t="shared" si="16"/>
        <v/>
      </c>
    </row>
    <row r="461" spans="1:10">
      <c r="A461" s="1">
        <v>41577</v>
      </c>
      <c r="B461">
        <v>1772.27</v>
      </c>
      <c r="C461">
        <v>1775.22</v>
      </c>
      <c r="D461">
        <v>1757.24</v>
      </c>
      <c r="E461">
        <v>1763.31</v>
      </c>
      <c r="F461">
        <v>3523040000</v>
      </c>
      <c r="G461">
        <v>1763.31</v>
      </c>
      <c r="H461" t="s">
        <v>1</v>
      </c>
      <c r="I461" s="22">
        <f t="shared" si="15"/>
        <v>-4.8879104801314577E-3</v>
      </c>
      <c r="J461" s="22" t="str">
        <f t="shared" si="16"/>
        <v>lost money</v>
      </c>
    </row>
    <row r="462" spans="1:10">
      <c r="A462" s="1">
        <v>41578</v>
      </c>
      <c r="B462">
        <v>1763.24</v>
      </c>
      <c r="C462">
        <v>1768.53</v>
      </c>
      <c r="D462">
        <v>1755.72</v>
      </c>
      <c r="E462">
        <v>1756.54</v>
      </c>
      <c r="F462">
        <v>3826530000</v>
      </c>
      <c r="G462">
        <v>1756.54</v>
      </c>
      <c r="H462" t="s">
        <v>1</v>
      </c>
      <c r="I462" s="22">
        <f t="shared" si="15"/>
        <v>-3.846759576849974E-3</v>
      </c>
      <c r="J462" s="22" t="str">
        <f t="shared" si="16"/>
        <v>lost money</v>
      </c>
    </row>
    <row r="463" spans="1:10">
      <c r="A463" s="1">
        <v>41579</v>
      </c>
      <c r="B463">
        <v>1758.7</v>
      </c>
      <c r="C463">
        <v>1765.67</v>
      </c>
      <c r="D463">
        <v>1752.7</v>
      </c>
      <c r="E463">
        <v>1761.64</v>
      </c>
      <c r="F463">
        <v>3686290000</v>
      </c>
      <c r="G463">
        <v>1761.64</v>
      </c>
      <c r="H463" t="s">
        <v>1</v>
      </c>
      <c r="I463" s="22">
        <f t="shared" si="15"/>
        <v>2.8992283353028092E-3</v>
      </c>
      <c r="J463" s="22" t="str">
        <f t="shared" si="16"/>
        <v/>
      </c>
    </row>
    <row r="464" spans="1:10">
      <c r="A464" s="1">
        <v>41582</v>
      </c>
      <c r="B464">
        <v>1763.4</v>
      </c>
      <c r="C464">
        <v>1768.78</v>
      </c>
      <c r="D464">
        <v>1761.56</v>
      </c>
      <c r="E464">
        <v>1767.93</v>
      </c>
      <c r="F464">
        <v>3194870000</v>
      </c>
      <c r="G464">
        <v>1767.93</v>
      </c>
      <c r="H464" t="s">
        <v>1</v>
      </c>
      <c r="I464" s="22">
        <f t="shared" si="15"/>
        <v>3.5641773126337483E-3</v>
      </c>
      <c r="J464" s="22" t="str">
        <f t="shared" si="16"/>
        <v/>
      </c>
    </row>
    <row r="465" spans="1:10">
      <c r="A465" s="1">
        <v>41583</v>
      </c>
      <c r="B465">
        <v>1765.67</v>
      </c>
      <c r="C465">
        <v>1767.03</v>
      </c>
      <c r="D465">
        <v>1755.76</v>
      </c>
      <c r="E465">
        <v>1762.97</v>
      </c>
      <c r="F465">
        <v>3516680000</v>
      </c>
      <c r="G465">
        <v>1762.97</v>
      </c>
      <c r="H465" t="s">
        <v>1</v>
      </c>
      <c r="I465" s="22">
        <f t="shared" si="15"/>
        <v>-2.8094838497391963E-3</v>
      </c>
      <c r="J465" s="22" t="str">
        <f t="shared" si="16"/>
        <v>lost money</v>
      </c>
    </row>
    <row r="466" spans="1:10">
      <c r="A466" s="1">
        <v>41584</v>
      </c>
      <c r="B466">
        <v>1765</v>
      </c>
      <c r="C466">
        <v>1773.74</v>
      </c>
      <c r="D466">
        <v>1764.4</v>
      </c>
      <c r="E466">
        <v>1770.49</v>
      </c>
      <c r="F466">
        <v>3322100000</v>
      </c>
      <c r="G466">
        <v>1770.49</v>
      </c>
      <c r="H466" t="s">
        <v>1</v>
      </c>
      <c r="I466" s="22">
        <f t="shared" si="15"/>
        <v>4.2564576101536706E-3</v>
      </c>
      <c r="J466" s="22" t="str">
        <f t="shared" si="16"/>
        <v/>
      </c>
    </row>
    <row r="467" spans="1:10">
      <c r="A467" s="1">
        <v>41585</v>
      </c>
      <c r="B467">
        <v>1770.74</v>
      </c>
      <c r="C467">
        <v>1774.54</v>
      </c>
      <c r="D467">
        <v>1746.2</v>
      </c>
      <c r="E467">
        <v>1747.15</v>
      </c>
      <c r="F467">
        <v>4143200000</v>
      </c>
      <c r="G467">
        <v>1747.15</v>
      </c>
      <c r="H467" t="s">
        <v>1</v>
      </c>
      <c r="I467" s="22">
        <f t="shared" si="15"/>
        <v>-1.327045548901987E-2</v>
      </c>
      <c r="J467" s="22" t="str">
        <f t="shared" si="16"/>
        <v>lost money</v>
      </c>
    </row>
    <row r="468" spans="1:10">
      <c r="A468" s="1">
        <v>41586</v>
      </c>
      <c r="B468">
        <v>1748.37</v>
      </c>
      <c r="C468">
        <v>1770.78</v>
      </c>
      <c r="D468">
        <v>1747.63</v>
      </c>
      <c r="E468">
        <v>1770.61</v>
      </c>
      <c r="F468">
        <v>3837170000</v>
      </c>
      <c r="G468">
        <v>1770.61</v>
      </c>
      <c r="H468" t="s">
        <v>1</v>
      </c>
      <c r="I468" s="22">
        <f t="shared" si="15"/>
        <v>1.333823103901602E-2</v>
      </c>
      <c r="J468" s="22" t="str">
        <f t="shared" si="16"/>
        <v/>
      </c>
    </row>
    <row r="469" spans="1:10">
      <c r="A469" s="1">
        <v>41589</v>
      </c>
      <c r="B469">
        <v>1769.96</v>
      </c>
      <c r="C469">
        <v>1773.44</v>
      </c>
      <c r="D469">
        <v>1767.85</v>
      </c>
      <c r="E469">
        <v>1771.89</v>
      </c>
      <c r="F469">
        <v>2534060000</v>
      </c>
      <c r="G469">
        <v>1771.89</v>
      </c>
      <c r="H469" t="s">
        <v>1</v>
      </c>
      <c r="I469" s="22">
        <f t="shared" si="15"/>
        <v>7.2265352474504111E-4</v>
      </c>
      <c r="J469" s="22" t="str">
        <f t="shared" si="16"/>
        <v/>
      </c>
    </row>
    <row r="470" spans="1:10">
      <c r="A470" s="1">
        <v>41590</v>
      </c>
      <c r="B470">
        <v>1769.51</v>
      </c>
      <c r="C470">
        <v>1771.78</v>
      </c>
      <c r="D470">
        <v>1762.29</v>
      </c>
      <c r="E470">
        <v>1767.69</v>
      </c>
      <c r="F470">
        <v>3221030000</v>
      </c>
      <c r="G470">
        <v>1767.69</v>
      </c>
      <c r="H470" t="s">
        <v>1</v>
      </c>
      <c r="I470" s="22">
        <f t="shared" si="15"/>
        <v>-2.3731640314203425E-3</v>
      </c>
      <c r="J470" s="22" t="str">
        <f t="shared" si="16"/>
        <v>lost money</v>
      </c>
    </row>
    <row r="471" spans="1:10">
      <c r="A471" s="1">
        <v>41591</v>
      </c>
      <c r="B471">
        <v>1764.37</v>
      </c>
      <c r="C471">
        <v>1782</v>
      </c>
      <c r="D471">
        <v>1760.64</v>
      </c>
      <c r="E471">
        <v>1782</v>
      </c>
      <c r="F471">
        <v>3327480000</v>
      </c>
      <c r="G471">
        <v>1782</v>
      </c>
      <c r="H471" t="s">
        <v>1</v>
      </c>
      <c r="I471" s="22">
        <f t="shared" si="15"/>
        <v>8.0627195734255634E-3</v>
      </c>
      <c r="J471" s="22" t="str">
        <f t="shared" si="16"/>
        <v/>
      </c>
    </row>
    <row r="472" spans="1:10">
      <c r="A472" s="1">
        <v>41592</v>
      </c>
      <c r="B472">
        <v>1782.75</v>
      </c>
      <c r="C472">
        <v>1791.53</v>
      </c>
      <c r="D472">
        <v>1780.22</v>
      </c>
      <c r="E472">
        <v>1790.62</v>
      </c>
      <c r="F472">
        <v>3139060000</v>
      </c>
      <c r="G472">
        <v>1790.62</v>
      </c>
      <c r="H472" t="s">
        <v>1</v>
      </c>
      <c r="I472" s="22">
        <f t="shared" si="15"/>
        <v>4.8255995473341796E-3</v>
      </c>
      <c r="J472" s="22" t="str">
        <f t="shared" si="16"/>
        <v/>
      </c>
    </row>
    <row r="473" spans="1:10">
      <c r="A473" s="1">
        <v>41593</v>
      </c>
      <c r="B473">
        <v>1790.66</v>
      </c>
      <c r="C473">
        <v>1798.22</v>
      </c>
      <c r="D473">
        <v>1790.66</v>
      </c>
      <c r="E473">
        <v>1798.18</v>
      </c>
      <c r="F473">
        <v>3254820000</v>
      </c>
      <c r="G473">
        <v>1798.18</v>
      </c>
      <c r="H473" t="s">
        <v>1</v>
      </c>
      <c r="I473" s="22">
        <f t="shared" si="15"/>
        <v>4.2131136773868576E-3</v>
      </c>
      <c r="J473" s="22" t="str">
        <f t="shared" si="16"/>
        <v/>
      </c>
    </row>
    <row r="474" spans="1:10">
      <c r="A474" s="1">
        <v>41596</v>
      </c>
      <c r="B474">
        <v>1798.82</v>
      </c>
      <c r="C474">
        <v>1802.33</v>
      </c>
      <c r="D474">
        <v>1788</v>
      </c>
      <c r="E474">
        <v>1791.53</v>
      </c>
      <c r="F474">
        <v>3168520000</v>
      </c>
      <c r="G474">
        <v>1791.53</v>
      </c>
      <c r="H474" t="s">
        <v>1</v>
      </c>
      <c r="I474" s="22">
        <f t="shared" si="15"/>
        <v>-3.7050389068854113E-3</v>
      </c>
      <c r="J474" s="22" t="str">
        <f t="shared" si="16"/>
        <v>lost money</v>
      </c>
    </row>
    <row r="475" spans="1:10">
      <c r="A475" s="1">
        <v>41597</v>
      </c>
      <c r="B475">
        <v>1790.79</v>
      </c>
      <c r="C475">
        <v>1795.51</v>
      </c>
      <c r="D475">
        <v>1784.72</v>
      </c>
      <c r="E475">
        <v>1787.87</v>
      </c>
      <c r="F475">
        <v>3224450000</v>
      </c>
      <c r="G475">
        <v>1787.87</v>
      </c>
      <c r="H475" t="s">
        <v>1</v>
      </c>
      <c r="I475" s="22">
        <f t="shared" si="15"/>
        <v>-2.0450361935312332E-3</v>
      </c>
      <c r="J475" s="22" t="str">
        <f t="shared" si="16"/>
        <v>lost money</v>
      </c>
    </row>
    <row r="476" spans="1:10">
      <c r="A476" s="1">
        <v>41598</v>
      </c>
      <c r="B476">
        <v>1789.59</v>
      </c>
      <c r="C476">
        <v>1795.73</v>
      </c>
      <c r="D476">
        <v>1777.23</v>
      </c>
      <c r="E476">
        <v>1781.37</v>
      </c>
      <c r="F476">
        <v>3109140000</v>
      </c>
      <c r="G476">
        <v>1781.37</v>
      </c>
      <c r="H476" t="s">
        <v>1</v>
      </c>
      <c r="I476" s="22">
        <f t="shared" si="15"/>
        <v>-3.642235986195912E-3</v>
      </c>
      <c r="J476" s="22" t="str">
        <f t="shared" si="16"/>
        <v>lost money</v>
      </c>
    </row>
    <row r="477" spans="1:10">
      <c r="A477" s="1">
        <v>41599</v>
      </c>
      <c r="B477">
        <v>1783.52</v>
      </c>
      <c r="C477">
        <v>1797.16</v>
      </c>
      <c r="D477">
        <v>1783.52</v>
      </c>
      <c r="E477">
        <v>1795.85</v>
      </c>
      <c r="F477">
        <v>3256630000</v>
      </c>
      <c r="G477">
        <v>1795.85</v>
      </c>
      <c r="H477" t="s">
        <v>1</v>
      </c>
      <c r="I477" s="22">
        <f t="shared" si="15"/>
        <v>8.0957162744240488E-3</v>
      </c>
      <c r="J477" s="22" t="str">
        <f t="shared" si="16"/>
        <v/>
      </c>
    </row>
    <row r="478" spans="1:10">
      <c r="A478" s="1">
        <v>41600</v>
      </c>
      <c r="B478">
        <v>1797.21</v>
      </c>
      <c r="C478">
        <v>1804.84</v>
      </c>
      <c r="D478">
        <v>1794.7</v>
      </c>
      <c r="E478">
        <v>1804.76</v>
      </c>
      <c r="F478">
        <v>3055140000</v>
      </c>
      <c r="G478">
        <v>1804.76</v>
      </c>
      <c r="H478" t="s">
        <v>1</v>
      </c>
      <c r="I478" s="22">
        <f t="shared" si="15"/>
        <v>4.9491714942796741E-3</v>
      </c>
      <c r="J478" s="22" t="str">
        <f t="shared" si="16"/>
        <v/>
      </c>
    </row>
    <row r="479" spans="1:10">
      <c r="A479" s="1">
        <v>41603</v>
      </c>
      <c r="B479">
        <v>1806.33</v>
      </c>
      <c r="C479">
        <v>1808.1</v>
      </c>
      <c r="D479">
        <v>1800.58</v>
      </c>
      <c r="E479">
        <v>1802.48</v>
      </c>
      <c r="F479">
        <v>2998540000</v>
      </c>
      <c r="G479">
        <v>1802.48</v>
      </c>
      <c r="H479" t="s">
        <v>1</v>
      </c>
      <c r="I479" s="22">
        <f t="shared" si="15"/>
        <v>-1.2641245404365169E-3</v>
      </c>
      <c r="J479" s="22" t="str">
        <f t="shared" si="16"/>
        <v>lost money</v>
      </c>
    </row>
    <row r="480" spans="1:10">
      <c r="A480" s="1">
        <v>41604</v>
      </c>
      <c r="B480">
        <v>1802.87</v>
      </c>
      <c r="C480">
        <v>1808.42</v>
      </c>
      <c r="D480">
        <v>1800.77</v>
      </c>
      <c r="E480">
        <v>1802.75</v>
      </c>
      <c r="F480">
        <v>3427120000</v>
      </c>
      <c r="G480">
        <v>1802.75</v>
      </c>
      <c r="H480" t="s">
        <v>1</v>
      </c>
      <c r="I480" s="22">
        <f t="shared" si="15"/>
        <v>1.4978239973848013E-4</v>
      </c>
      <c r="J480" s="22" t="str">
        <f t="shared" si="16"/>
        <v>lost money</v>
      </c>
    </row>
    <row r="481" spans="1:10">
      <c r="A481" s="1">
        <v>41605</v>
      </c>
      <c r="B481">
        <v>1803.48</v>
      </c>
      <c r="C481">
        <v>1808.27</v>
      </c>
      <c r="D481">
        <v>1802.77</v>
      </c>
      <c r="E481">
        <v>1807.23</v>
      </c>
      <c r="F481">
        <v>2613590000</v>
      </c>
      <c r="G481">
        <v>1807.23</v>
      </c>
      <c r="H481" t="s">
        <v>1</v>
      </c>
      <c r="I481" s="22">
        <f t="shared" si="15"/>
        <v>2.4820094847459511E-3</v>
      </c>
      <c r="J481" s="22" t="str">
        <f t="shared" si="16"/>
        <v/>
      </c>
    </row>
    <row r="482" spans="1:10">
      <c r="A482" s="1">
        <v>41607</v>
      </c>
      <c r="B482">
        <v>1808.69</v>
      </c>
      <c r="C482">
        <v>1813.55</v>
      </c>
      <c r="D482">
        <v>1803.98</v>
      </c>
      <c r="E482">
        <v>1805.81</v>
      </c>
      <c r="F482">
        <v>1598300000</v>
      </c>
      <c r="G482">
        <v>1805.81</v>
      </c>
      <c r="H482" t="s">
        <v>1</v>
      </c>
      <c r="I482" s="22">
        <f t="shared" si="15"/>
        <v>-7.8604171175170024E-4</v>
      </c>
      <c r="J482" s="22" t="str">
        <f t="shared" si="16"/>
        <v>lost money</v>
      </c>
    </row>
    <row r="483" spans="1:10">
      <c r="A483" s="1">
        <v>40911</v>
      </c>
      <c r="B483">
        <v>5.75</v>
      </c>
      <c r="C483">
        <v>5.89</v>
      </c>
      <c r="D483">
        <v>5.74</v>
      </c>
      <c r="E483">
        <v>5.8</v>
      </c>
      <c r="F483">
        <v>246293200</v>
      </c>
      <c r="G483">
        <v>5.75</v>
      </c>
      <c r="H483" t="s">
        <v>2</v>
      </c>
      <c r="I483" s="22" t="str">
        <f t="shared" si="15"/>
        <v/>
      </c>
      <c r="J483" s="22" t="str">
        <f t="shared" si="16"/>
        <v/>
      </c>
    </row>
    <row r="484" spans="1:10">
      <c r="A484" s="1">
        <v>40912</v>
      </c>
      <c r="B484">
        <v>5.71</v>
      </c>
      <c r="C484">
        <v>5.88</v>
      </c>
      <c r="D484">
        <v>5.62</v>
      </c>
      <c r="E484">
        <v>5.81</v>
      </c>
      <c r="F484">
        <v>243711200</v>
      </c>
      <c r="G484">
        <v>5.76</v>
      </c>
      <c r="H484" t="s">
        <v>2</v>
      </c>
      <c r="I484" s="22">
        <f t="shared" si="15"/>
        <v>1.7376198985406563E-3</v>
      </c>
      <c r="J484" s="22" t="str">
        <f t="shared" si="16"/>
        <v/>
      </c>
    </row>
    <row r="485" spans="1:10">
      <c r="A485" s="1">
        <v>40913</v>
      </c>
      <c r="B485">
        <v>5.75</v>
      </c>
      <c r="C485">
        <v>6.35</v>
      </c>
      <c r="D485">
        <v>5.71</v>
      </c>
      <c r="E485">
        <v>6.31</v>
      </c>
      <c r="F485">
        <v>547780000</v>
      </c>
      <c r="G485">
        <v>6.26</v>
      </c>
      <c r="H485" t="s">
        <v>2</v>
      </c>
      <c r="I485" s="22">
        <f t="shared" si="15"/>
        <v>8.3242710404207304E-2</v>
      </c>
      <c r="J485" s="22" t="str">
        <f t="shared" si="16"/>
        <v/>
      </c>
    </row>
    <row r="486" spans="1:10">
      <c r="A486" s="1">
        <v>40914</v>
      </c>
      <c r="B486">
        <v>6.21</v>
      </c>
      <c r="C486">
        <v>6.3</v>
      </c>
      <c r="D486">
        <v>6.06</v>
      </c>
      <c r="E486">
        <v>6.18</v>
      </c>
      <c r="F486">
        <v>299630600</v>
      </c>
      <c r="G486">
        <v>6.13</v>
      </c>
      <c r="H486" t="s">
        <v>2</v>
      </c>
      <c r="I486" s="22">
        <f t="shared" si="15"/>
        <v>-2.0985435163887119E-2</v>
      </c>
      <c r="J486" s="22" t="str">
        <f t="shared" si="16"/>
        <v>lost money</v>
      </c>
    </row>
    <row r="487" spans="1:10">
      <c r="A487" s="1">
        <v>40917</v>
      </c>
      <c r="B487">
        <v>6.26</v>
      </c>
      <c r="C487">
        <v>6.37</v>
      </c>
      <c r="D487">
        <v>6.19</v>
      </c>
      <c r="E487">
        <v>6.27</v>
      </c>
      <c r="F487">
        <v>240614400</v>
      </c>
      <c r="G487">
        <v>6.22</v>
      </c>
      <c r="H487" t="s">
        <v>2</v>
      </c>
      <c r="I487" s="22">
        <f t="shared" si="15"/>
        <v>1.4575156802968087E-2</v>
      </c>
      <c r="J487" s="22" t="str">
        <f t="shared" si="16"/>
        <v/>
      </c>
    </row>
    <row r="488" spans="1:10">
      <c r="A488" s="1">
        <v>40918</v>
      </c>
      <c r="B488">
        <v>6.44</v>
      </c>
      <c r="C488">
        <v>6.66</v>
      </c>
      <c r="D488">
        <v>6.44</v>
      </c>
      <c r="E488">
        <v>6.63</v>
      </c>
      <c r="F488">
        <v>354292100</v>
      </c>
      <c r="G488">
        <v>6.58</v>
      </c>
      <c r="H488" t="s">
        <v>2</v>
      </c>
      <c r="I488" s="22">
        <f t="shared" si="15"/>
        <v>5.6264838586137844E-2</v>
      </c>
      <c r="J488" s="22" t="str">
        <f t="shared" si="16"/>
        <v/>
      </c>
    </row>
    <row r="489" spans="1:10">
      <c r="A489" s="1">
        <v>40919</v>
      </c>
      <c r="B489">
        <v>6.6</v>
      </c>
      <c r="C489">
        <v>6.9</v>
      </c>
      <c r="D489">
        <v>6.52</v>
      </c>
      <c r="E489">
        <v>6.87</v>
      </c>
      <c r="F489">
        <v>354039600</v>
      </c>
      <c r="G489">
        <v>6.82</v>
      </c>
      <c r="H489" t="s">
        <v>2</v>
      </c>
      <c r="I489" s="22">
        <f t="shared" si="15"/>
        <v>3.5824726518145007E-2</v>
      </c>
      <c r="J489" s="22" t="str">
        <f t="shared" si="16"/>
        <v/>
      </c>
    </row>
    <row r="490" spans="1:10">
      <c r="A490" s="1">
        <v>40920</v>
      </c>
      <c r="B490">
        <v>6.99</v>
      </c>
      <c r="C490">
        <v>7.02</v>
      </c>
      <c r="D490">
        <v>6.66</v>
      </c>
      <c r="E490">
        <v>6.79</v>
      </c>
      <c r="F490">
        <v>362099600</v>
      </c>
      <c r="G490">
        <v>6.74</v>
      </c>
      <c r="H490" t="s">
        <v>2</v>
      </c>
      <c r="I490" s="22">
        <f t="shared" si="15"/>
        <v>-1.1799546931155055E-2</v>
      </c>
      <c r="J490" s="22" t="str">
        <f t="shared" si="16"/>
        <v>lost money</v>
      </c>
    </row>
    <row r="491" spans="1:10">
      <c r="A491" s="1">
        <v>40921</v>
      </c>
      <c r="B491">
        <v>6.49</v>
      </c>
      <c r="C491">
        <v>6.69</v>
      </c>
      <c r="D491">
        <v>6.41</v>
      </c>
      <c r="E491">
        <v>6.61</v>
      </c>
      <c r="F491">
        <v>337048400</v>
      </c>
      <c r="G491">
        <v>6.56</v>
      </c>
      <c r="H491" t="s">
        <v>2</v>
      </c>
      <c r="I491" s="22">
        <f t="shared" si="15"/>
        <v>-2.7069321968218027E-2</v>
      </c>
      <c r="J491" s="22" t="str">
        <f t="shared" si="16"/>
        <v/>
      </c>
    </row>
    <row r="492" spans="1:10">
      <c r="A492" s="1">
        <v>40925</v>
      </c>
      <c r="B492">
        <v>6.63</v>
      </c>
      <c r="C492">
        <v>6.82</v>
      </c>
      <c r="D492">
        <v>6.44</v>
      </c>
      <c r="E492">
        <v>6.48</v>
      </c>
      <c r="F492">
        <v>294196500</v>
      </c>
      <c r="G492">
        <v>6.43</v>
      </c>
      <c r="H492" t="s">
        <v>2</v>
      </c>
      <c r="I492" s="22">
        <f t="shared" si="15"/>
        <v>-2.0016064706469616E-2</v>
      </c>
      <c r="J492" s="22" t="str">
        <f t="shared" si="16"/>
        <v>lost money</v>
      </c>
    </row>
    <row r="493" spans="1:10">
      <c r="A493" s="1">
        <v>40926</v>
      </c>
      <c r="B493">
        <v>6.5</v>
      </c>
      <c r="C493">
        <v>6.8</v>
      </c>
      <c r="D493">
        <v>6.46</v>
      </c>
      <c r="E493">
        <v>6.8</v>
      </c>
      <c r="F493">
        <v>302497700</v>
      </c>
      <c r="G493">
        <v>6.75</v>
      </c>
      <c r="H493" t="s">
        <v>2</v>
      </c>
      <c r="I493" s="22">
        <f t="shared" si="15"/>
        <v>4.8567966634910531E-2</v>
      </c>
      <c r="J493" s="22" t="str">
        <f t="shared" si="16"/>
        <v/>
      </c>
    </row>
    <row r="494" spans="1:10">
      <c r="A494" s="1">
        <v>40927</v>
      </c>
      <c r="B494">
        <v>7.21</v>
      </c>
      <c r="C494">
        <v>7.29</v>
      </c>
      <c r="D494">
        <v>6.75</v>
      </c>
      <c r="E494">
        <v>6.96</v>
      </c>
      <c r="F494">
        <v>491008100</v>
      </c>
      <c r="G494">
        <v>6.91</v>
      </c>
      <c r="H494" t="s">
        <v>2</v>
      </c>
      <c r="I494" s="22">
        <f t="shared" si="15"/>
        <v>2.3427132895140149E-2</v>
      </c>
      <c r="J494" s="22" t="str">
        <f t="shared" si="16"/>
        <v>lost money</v>
      </c>
    </row>
    <row r="495" spans="1:10">
      <c r="A495" s="1">
        <v>40928</v>
      </c>
      <c r="B495">
        <v>6.95</v>
      </c>
      <c r="C495">
        <v>7.08</v>
      </c>
      <c r="D495">
        <v>6.83</v>
      </c>
      <c r="E495">
        <v>7.07</v>
      </c>
      <c r="F495">
        <v>236630700</v>
      </c>
      <c r="G495">
        <v>7.01</v>
      </c>
      <c r="H495" t="s">
        <v>2</v>
      </c>
      <c r="I495" s="22">
        <f t="shared" si="15"/>
        <v>1.4368063266920193E-2</v>
      </c>
      <c r="J495" s="22" t="str">
        <f t="shared" si="16"/>
        <v/>
      </c>
    </row>
    <row r="496" spans="1:10">
      <c r="A496" s="1">
        <v>40931</v>
      </c>
      <c r="B496">
        <v>7.13</v>
      </c>
      <c r="C496">
        <v>7.37</v>
      </c>
      <c r="D496">
        <v>7.11</v>
      </c>
      <c r="E496">
        <v>7.25</v>
      </c>
      <c r="F496">
        <v>339942200</v>
      </c>
      <c r="G496">
        <v>7.19</v>
      </c>
      <c r="H496" t="s">
        <v>2</v>
      </c>
      <c r="I496" s="22">
        <f t="shared" si="15"/>
        <v>2.5353470686456669E-2</v>
      </c>
      <c r="J496" s="22" t="str">
        <f t="shared" si="16"/>
        <v/>
      </c>
    </row>
    <row r="497" spans="1:10">
      <c r="A497" s="1">
        <v>40932</v>
      </c>
      <c r="B497">
        <v>7.11</v>
      </c>
      <c r="C497">
        <v>7.35</v>
      </c>
      <c r="D497">
        <v>7.06</v>
      </c>
      <c r="E497">
        <v>7.29</v>
      </c>
      <c r="F497">
        <v>228810300</v>
      </c>
      <c r="G497">
        <v>7.23</v>
      </c>
      <c r="H497" t="s">
        <v>2</v>
      </c>
      <c r="I497" s="22">
        <f t="shared" si="15"/>
        <v>5.547864437717963E-3</v>
      </c>
      <c r="J497" s="22" t="str">
        <f t="shared" si="16"/>
        <v/>
      </c>
    </row>
    <row r="498" spans="1:10">
      <c r="A498" s="1">
        <v>40933</v>
      </c>
      <c r="B498">
        <v>7.2</v>
      </c>
      <c r="C498">
        <v>7.37</v>
      </c>
      <c r="D498">
        <v>7.15</v>
      </c>
      <c r="E498">
        <v>7.35</v>
      </c>
      <c r="F498">
        <v>249340100</v>
      </c>
      <c r="G498">
        <v>7.29</v>
      </c>
      <c r="H498" t="s">
        <v>2</v>
      </c>
      <c r="I498" s="22">
        <f t="shared" si="15"/>
        <v>8.2645098498934314E-3</v>
      </c>
      <c r="J498" s="22" t="str">
        <f t="shared" si="16"/>
        <v/>
      </c>
    </row>
    <row r="499" spans="1:10">
      <c r="A499" s="1">
        <v>40934</v>
      </c>
      <c r="B499">
        <v>7.45</v>
      </c>
      <c r="C499">
        <v>7.5</v>
      </c>
      <c r="D499">
        <v>7.23</v>
      </c>
      <c r="E499">
        <v>7.3</v>
      </c>
      <c r="F499">
        <v>265938800</v>
      </c>
      <c r="G499">
        <v>7.24</v>
      </c>
      <c r="H499" t="s">
        <v>2</v>
      </c>
      <c r="I499" s="22">
        <f t="shared" si="15"/>
        <v>-6.8823396229417888E-3</v>
      </c>
      <c r="J499" s="22" t="str">
        <f t="shared" si="16"/>
        <v>lost money</v>
      </c>
    </row>
    <row r="500" spans="1:10">
      <c r="A500" s="1">
        <v>40935</v>
      </c>
      <c r="B500">
        <v>7.21</v>
      </c>
      <c r="C500">
        <v>7.35</v>
      </c>
      <c r="D500">
        <v>7.2</v>
      </c>
      <c r="E500">
        <v>7.29</v>
      </c>
      <c r="F500">
        <v>230914000</v>
      </c>
      <c r="G500">
        <v>7.23</v>
      </c>
      <c r="H500" t="s">
        <v>2</v>
      </c>
      <c r="I500" s="22">
        <f t="shared" si="15"/>
        <v>-1.3821702269516474E-3</v>
      </c>
      <c r="J500" s="22" t="str">
        <f t="shared" si="16"/>
        <v/>
      </c>
    </row>
    <row r="501" spans="1:10">
      <c r="A501" s="1">
        <v>40938</v>
      </c>
      <c r="B501">
        <v>7.13</v>
      </c>
      <c r="C501">
        <v>7.15</v>
      </c>
      <c r="D501">
        <v>7.02</v>
      </c>
      <c r="E501">
        <v>7.07</v>
      </c>
      <c r="F501">
        <v>231240100</v>
      </c>
      <c r="G501">
        <v>7.01</v>
      </c>
      <c r="H501" t="s">
        <v>2</v>
      </c>
      <c r="I501" s="22">
        <f t="shared" si="15"/>
        <v>-3.0901335124174714E-2</v>
      </c>
      <c r="J501" s="22" t="str">
        <f t="shared" si="16"/>
        <v>lost money</v>
      </c>
    </row>
    <row r="502" spans="1:10">
      <c r="A502" s="1">
        <v>40939</v>
      </c>
      <c r="B502">
        <v>7.17</v>
      </c>
      <c r="C502">
        <v>7.19</v>
      </c>
      <c r="D502">
        <v>7.05</v>
      </c>
      <c r="E502">
        <v>7.13</v>
      </c>
      <c r="F502">
        <v>212736300</v>
      </c>
      <c r="G502">
        <v>7.07</v>
      </c>
      <c r="H502" t="s">
        <v>2</v>
      </c>
      <c r="I502" s="22">
        <f t="shared" si="15"/>
        <v>8.5227788619828358E-3</v>
      </c>
      <c r="J502" s="22" t="str">
        <f t="shared" si="16"/>
        <v>lost money</v>
      </c>
    </row>
    <row r="503" spans="1:10">
      <c r="A503" s="1">
        <v>40940</v>
      </c>
      <c r="B503">
        <v>7.25</v>
      </c>
      <c r="C503">
        <v>7.44</v>
      </c>
      <c r="D503">
        <v>7.21</v>
      </c>
      <c r="E503">
        <v>7.36</v>
      </c>
      <c r="F503">
        <v>318811000</v>
      </c>
      <c r="G503">
        <v>7.3</v>
      </c>
      <c r="H503" t="s">
        <v>2</v>
      </c>
      <c r="I503" s="22">
        <f t="shared" si="15"/>
        <v>3.2013868245863962E-2</v>
      </c>
      <c r="J503" s="22" t="str">
        <f t="shared" si="16"/>
        <v/>
      </c>
    </row>
    <row r="504" spans="1:10">
      <c r="A504" s="1">
        <v>40941</v>
      </c>
      <c r="B504">
        <v>7.43</v>
      </c>
      <c r="C504">
        <v>7.49</v>
      </c>
      <c r="D504">
        <v>7.33</v>
      </c>
      <c r="E504">
        <v>7.45</v>
      </c>
      <c r="F504">
        <v>232425400</v>
      </c>
      <c r="G504">
        <v>7.39</v>
      </c>
      <c r="H504" t="s">
        <v>2</v>
      </c>
      <c r="I504" s="22">
        <f t="shared" si="15"/>
        <v>1.2253386805764967E-2</v>
      </c>
      <c r="J504" s="22" t="str">
        <f t="shared" si="16"/>
        <v/>
      </c>
    </row>
    <row r="505" spans="1:10">
      <c r="A505" s="1">
        <v>40942</v>
      </c>
      <c r="B505">
        <v>7.66</v>
      </c>
      <c r="C505">
        <v>7.89</v>
      </c>
      <c r="D505">
        <v>7.63</v>
      </c>
      <c r="E505">
        <v>7.84</v>
      </c>
      <c r="F505">
        <v>364195700</v>
      </c>
      <c r="G505">
        <v>7.78</v>
      </c>
      <c r="H505" t="s">
        <v>2</v>
      </c>
      <c r="I505" s="22">
        <f t="shared" si="15"/>
        <v>5.1428603230189815E-2</v>
      </c>
      <c r="J505" s="22" t="str">
        <f t="shared" si="16"/>
        <v/>
      </c>
    </row>
    <row r="506" spans="1:10">
      <c r="A506" s="1">
        <v>40945</v>
      </c>
      <c r="B506">
        <v>7.79</v>
      </c>
      <c r="C506">
        <v>7.97</v>
      </c>
      <c r="D506">
        <v>7.77</v>
      </c>
      <c r="E506">
        <v>7.97</v>
      </c>
      <c r="F506">
        <v>236316000</v>
      </c>
      <c r="G506">
        <v>7.91</v>
      </c>
      <c r="H506" t="s">
        <v>2</v>
      </c>
      <c r="I506" s="22">
        <f t="shared" si="15"/>
        <v>1.6571443589262162E-2</v>
      </c>
      <c r="J506" s="22" t="str">
        <f t="shared" si="16"/>
        <v/>
      </c>
    </row>
    <row r="507" spans="1:10">
      <c r="A507" s="1">
        <v>40946</v>
      </c>
      <c r="B507">
        <v>7.95</v>
      </c>
      <c r="C507">
        <v>7.99</v>
      </c>
      <c r="D507">
        <v>7.8</v>
      </c>
      <c r="E507">
        <v>7.85</v>
      </c>
      <c r="F507">
        <v>253694200</v>
      </c>
      <c r="G507">
        <v>7.79</v>
      </c>
      <c r="H507" t="s">
        <v>2</v>
      </c>
      <c r="I507" s="22">
        <f t="shared" si="15"/>
        <v>-1.5286921896905651E-2</v>
      </c>
      <c r="J507" s="22" t="str">
        <f t="shared" si="16"/>
        <v>lost money</v>
      </c>
    </row>
    <row r="508" spans="1:10">
      <c r="A508" s="1">
        <v>40947</v>
      </c>
      <c r="B508">
        <v>7.96</v>
      </c>
      <c r="C508">
        <v>8.15</v>
      </c>
      <c r="D508">
        <v>7.93</v>
      </c>
      <c r="E508">
        <v>8.1300000000000008</v>
      </c>
      <c r="F508">
        <v>436439700</v>
      </c>
      <c r="G508">
        <v>8.07</v>
      </c>
      <c r="H508" t="s">
        <v>2</v>
      </c>
      <c r="I508" s="22">
        <f t="shared" si="15"/>
        <v>3.5312622399200473E-2</v>
      </c>
      <c r="J508" s="22" t="str">
        <f t="shared" si="16"/>
        <v/>
      </c>
    </row>
    <row r="509" spans="1:10">
      <c r="A509" s="1">
        <v>40948</v>
      </c>
      <c r="B509">
        <v>8.31</v>
      </c>
      <c r="C509">
        <v>8.35</v>
      </c>
      <c r="D509">
        <v>8.1</v>
      </c>
      <c r="E509">
        <v>8.18</v>
      </c>
      <c r="F509">
        <v>480206700</v>
      </c>
      <c r="G509">
        <v>8.1199999999999992</v>
      </c>
      <c r="H509" t="s">
        <v>2</v>
      </c>
      <c r="I509" s="22">
        <f t="shared" si="15"/>
        <v>6.1766718917289163E-3</v>
      </c>
      <c r="J509" s="22" t="str">
        <f t="shared" si="16"/>
        <v>lost money</v>
      </c>
    </row>
    <row r="510" spans="1:10">
      <c r="A510" s="1">
        <v>40949</v>
      </c>
      <c r="B510">
        <v>8.0500000000000007</v>
      </c>
      <c r="C510">
        <v>8.1199999999999992</v>
      </c>
      <c r="D510">
        <v>7.98</v>
      </c>
      <c r="E510">
        <v>8.07</v>
      </c>
      <c r="F510">
        <v>254420800</v>
      </c>
      <c r="G510">
        <v>8.01</v>
      </c>
      <c r="H510" t="s">
        <v>2</v>
      </c>
      <c r="I510" s="22">
        <f t="shared" si="15"/>
        <v>-1.3639393093318686E-2</v>
      </c>
      <c r="J510" s="22" t="str">
        <f t="shared" si="16"/>
        <v/>
      </c>
    </row>
    <row r="511" spans="1:10">
      <c r="A511" s="1">
        <v>40952</v>
      </c>
      <c r="B511">
        <v>8.27</v>
      </c>
      <c r="C511">
        <v>8.31</v>
      </c>
      <c r="D511">
        <v>8.2100000000000009</v>
      </c>
      <c r="E511">
        <v>8.25</v>
      </c>
      <c r="F511">
        <v>308490200</v>
      </c>
      <c r="G511">
        <v>8.19</v>
      </c>
      <c r="H511" t="s">
        <v>2</v>
      </c>
      <c r="I511" s="22">
        <f t="shared" si="15"/>
        <v>2.2223136784710256E-2</v>
      </c>
      <c r="J511" s="22" t="str">
        <f t="shared" si="16"/>
        <v>lost money</v>
      </c>
    </row>
    <row r="512" spans="1:10">
      <c r="A512" s="1">
        <v>40953</v>
      </c>
      <c r="B512">
        <v>8.15</v>
      </c>
      <c r="C512">
        <v>8.17</v>
      </c>
      <c r="D512">
        <v>7.95</v>
      </c>
      <c r="E512">
        <v>7.98</v>
      </c>
      <c r="F512">
        <v>384682800</v>
      </c>
      <c r="G512">
        <v>7.92</v>
      </c>
      <c r="H512" t="s">
        <v>2</v>
      </c>
      <c r="I512" s="22">
        <f t="shared" si="15"/>
        <v>-3.352269203864356E-2</v>
      </c>
      <c r="J512" s="22" t="str">
        <f t="shared" si="16"/>
        <v>lost money</v>
      </c>
    </row>
    <row r="513" spans="1:10">
      <c r="A513" s="1">
        <v>40954</v>
      </c>
      <c r="B513">
        <v>8.01</v>
      </c>
      <c r="C513">
        <v>8.1199999999999992</v>
      </c>
      <c r="D513">
        <v>7.77</v>
      </c>
      <c r="E513">
        <v>7.78</v>
      </c>
      <c r="F513">
        <v>372981400</v>
      </c>
      <c r="G513">
        <v>7.72</v>
      </c>
      <c r="H513" t="s">
        <v>2</v>
      </c>
      <c r="I513" s="22">
        <f t="shared" si="15"/>
        <v>-2.5576841789649737E-2</v>
      </c>
      <c r="J513" s="22" t="str">
        <f t="shared" si="16"/>
        <v>lost money</v>
      </c>
    </row>
    <row r="514" spans="1:10">
      <c r="A514" s="1">
        <v>40955</v>
      </c>
      <c r="B514">
        <v>7.71</v>
      </c>
      <c r="C514">
        <v>8.1300000000000008</v>
      </c>
      <c r="D514">
        <v>7.66</v>
      </c>
      <c r="E514">
        <v>8.09</v>
      </c>
      <c r="F514">
        <v>337131800</v>
      </c>
      <c r="G514">
        <v>8.0299999999999994</v>
      </c>
      <c r="H514" t="s">
        <v>2</v>
      </c>
      <c r="I514" s="22">
        <f t="shared" si="15"/>
        <v>3.9370163921985425E-2</v>
      </c>
      <c r="J514" s="22" t="str">
        <f t="shared" si="16"/>
        <v/>
      </c>
    </row>
    <row r="515" spans="1:10">
      <c r="A515" s="1">
        <v>40956</v>
      </c>
      <c r="B515">
        <v>8.0399999999999991</v>
      </c>
      <c r="C515">
        <v>8.08</v>
      </c>
      <c r="D515">
        <v>7.92</v>
      </c>
      <c r="E515">
        <v>8.02</v>
      </c>
      <c r="F515">
        <v>355445600</v>
      </c>
      <c r="G515">
        <v>7.96</v>
      </c>
      <c r="H515" t="s">
        <v>2</v>
      </c>
      <c r="I515" s="22">
        <f t="shared" ref="I515:I578" si="17">IF(A515=$A$2,"",LN(G515/G514))</f>
        <v>-8.7555281023785816E-3</v>
      </c>
      <c r="J515" s="22" t="str">
        <f t="shared" ref="J515:J578" si="18">IF(B515&gt;E515,"lost money","")</f>
        <v>lost money</v>
      </c>
    </row>
    <row r="516" spans="1:10">
      <c r="A516" s="1">
        <v>40960</v>
      </c>
      <c r="B516">
        <v>8.0299999999999994</v>
      </c>
      <c r="C516">
        <v>8.1999999999999993</v>
      </c>
      <c r="D516">
        <v>8</v>
      </c>
      <c r="E516">
        <v>8.11</v>
      </c>
      <c r="F516">
        <v>333407700</v>
      </c>
      <c r="G516">
        <v>8.0500000000000007</v>
      </c>
      <c r="H516" t="s">
        <v>2</v>
      </c>
      <c r="I516" s="22">
        <f t="shared" si="17"/>
        <v>1.1243091574180377E-2</v>
      </c>
      <c r="J516" s="22" t="str">
        <f t="shared" si="18"/>
        <v/>
      </c>
    </row>
    <row r="517" spans="1:10">
      <c r="A517" s="1">
        <v>40961</v>
      </c>
      <c r="B517">
        <v>8.06</v>
      </c>
      <c r="C517">
        <v>8.1300000000000008</v>
      </c>
      <c r="D517">
        <v>7.95</v>
      </c>
      <c r="E517">
        <v>7.95</v>
      </c>
      <c r="F517">
        <v>228867800</v>
      </c>
      <c r="G517">
        <v>7.89</v>
      </c>
      <c r="H517" t="s">
        <v>2</v>
      </c>
      <c r="I517" s="22">
        <f t="shared" si="17"/>
        <v>-2.0075956572689301E-2</v>
      </c>
      <c r="J517" s="22" t="str">
        <f t="shared" si="18"/>
        <v>lost money</v>
      </c>
    </row>
    <row r="518" spans="1:10">
      <c r="A518" s="1">
        <v>40962</v>
      </c>
      <c r="B518">
        <v>7.97</v>
      </c>
      <c r="C518">
        <v>8.0500000000000007</v>
      </c>
      <c r="D518">
        <v>7.9</v>
      </c>
      <c r="E518">
        <v>8.02</v>
      </c>
      <c r="F518">
        <v>144231800</v>
      </c>
      <c r="G518">
        <v>7.96</v>
      </c>
      <c r="H518" t="s">
        <v>2</v>
      </c>
      <c r="I518" s="22">
        <f t="shared" si="17"/>
        <v>8.8328649985088842E-3</v>
      </c>
      <c r="J518" s="22" t="str">
        <f t="shared" si="18"/>
        <v/>
      </c>
    </row>
    <row r="519" spans="1:10">
      <c r="A519" s="1">
        <v>40963</v>
      </c>
      <c r="B519">
        <v>8.0500000000000007</v>
      </c>
      <c r="C519">
        <v>8.09</v>
      </c>
      <c r="D519">
        <v>7.88</v>
      </c>
      <c r="E519">
        <v>7.88</v>
      </c>
      <c r="F519">
        <v>163128200</v>
      </c>
      <c r="G519">
        <v>7.82</v>
      </c>
      <c r="H519" t="s">
        <v>2</v>
      </c>
      <c r="I519" s="22">
        <f t="shared" si="17"/>
        <v>-1.7744445299071841E-2</v>
      </c>
      <c r="J519" s="22" t="str">
        <f t="shared" si="18"/>
        <v>lost money</v>
      </c>
    </row>
    <row r="520" spans="1:10">
      <c r="A520" s="1">
        <v>40966</v>
      </c>
      <c r="B520">
        <v>7.79</v>
      </c>
      <c r="C520">
        <v>8.0500000000000007</v>
      </c>
      <c r="D520">
        <v>7.67</v>
      </c>
      <c r="E520">
        <v>8.0399999999999991</v>
      </c>
      <c r="F520">
        <v>298930800</v>
      </c>
      <c r="G520">
        <v>7.98</v>
      </c>
      <c r="H520" t="s">
        <v>2</v>
      </c>
      <c r="I520" s="22">
        <f t="shared" si="17"/>
        <v>2.0253856904497596E-2</v>
      </c>
      <c r="J520" s="22" t="str">
        <f t="shared" si="18"/>
        <v/>
      </c>
    </row>
    <row r="521" spans="1:10">
      <c r="A521" s="1">
        <v>40967</v>
      </c>
      <c r="B521">
        <v>8.0500000000000007</v>
      </c>
      <c r="C521">
        <v>8.15</v>
      </c>
      <c r="D521">
        <v>8</v>
      </c>
      <c r="E521">
        <v>8.1199999999999992</v>
      </c>
      <c r="F521">
        <v>193443200</v>
      </c>
      <c r="G521">
        <v>8.06</v>
      </c>
      <c r="H521" t="s">
        <v>2</v>
      </c>
      <c r="I521" s="22">
        <f t="shared" si="17"/>
        <v>9.9751450568195243E-3</v>
      </c>
      <c r="J521" s="22" t="str">
        <f t="shared" si="18"/>
        <v/>
      </c>
    </row>
    <row r="522" spans="1:10">
      <c r="A522" s="1">
        <v>40968</v>
      </c>
      <c r="B522">
        <v>8.16</v>
      </c>
      <c r="C522">
        <v>8.24</v>
      </c>
      <c r="D522">
        <v>7.97</v>
      </c>
      <c r="E522">
        <v>7.97</v>
      </c>
      <c r="F522">
        <v>266720500</v>
      </c>
      <c r="G522">
        <v>7.92</v>
      </c>
      <c r="H522" t="s">
        <v>2</v>
      </c>
      <c r="I522" s="22">
        <f t="shared" si="17"/>
        <v>-1.7522350692202489E-2</v>
      </c>
      <c r="J522" s="22" t="str">
        <f t="shared" si="18"/>
        <v>lost money</v>
      </c>
    </row>
    <row r="523" spans="1:10">
      <c r="A523" s="1">
        <v>40969</v>
      </c>
      <c r="B523">
        <v>8.09</v>
      </c>
      <c r="C523">
        <v>8.17</v>
      </c>
      <c r="D523">
        <v>8.0500000000000007</v>
      </c>
      <c r="E523">
        <v>8.1199999999999992</v>
      </c>
      <c r="F523">
        <v>197850100</v>
      </c>
      <c r="G523">
        <v>8.07</v>
      </c>
      <c r="H523" t="s">
        <v>2</v>
      </c>
      <c r="I523" s="22">
        <f t="shared" si="17"/>
        <v>1.8762276455523034E-2</v>
      </c>
      <c r="J523" s="22" t="str">
        <f t="shared" si="18"/>
        <v/>
      </c>
    </row>
    <row r="524" spans="1:10">
      <c r="A524" s="1">
        <v>40970</v>
      </c>
      <c r="B524">
        <v>8.11</v>
      </c>
      <c r="C524">
        <v>8.2100000000000009</v>
      </c>
      <c r="D524">
        <v>8.1</v>
      </c>
      <c r="E524">
        <v>8.1300000000000008</v>
      </c>
      <c r="F524">
        <v>143887500</v>
      </c>
      <c r="G524">
        <v>8.08</v>
      </c>
      <c r="H524" t="s">
        <v>2</v>
      </c>
      <c r="I524" s="22">
        <f t="shared" si="17"/>
        <v>1.2383902511466224E-3</v>
      </c>
      <c r="J524" s="22" t="str">
        <f t="shared" si="18"/>
        <v/>
      </c>
    </row>
    <row r="525" spans="1:10">
      <c r="A525" s="1">
        <v>40973</v>
      </c>
      <c r="B525">
        <v>8.09</v>
      </c>
      <c r="C525">
        <v>8.1300000000000008</v>
      </c>
      <c r="D525">
        <v>7.95</v>
      </c>
      <c r="E525">
        <v>7.97</v>
      </c>
      <c r="F525">
        <v>196328300</v>
      </c>
      <c r="G525">
        <v>7.92</v>
      </c>
      <c r="H525" t="s">
        <v>2</v>
      </c>
      <c r="I525" s="22">
        <f t="shared" si="17"/>
        <v>-2.0000666706669543E-2</v>
      </c>
      <c r="J525" s="22" t="str">
        <f t="shared" si="18"/>
        <v>lost money</v>
      </c>
    </row>
    <row r="526" spans="1:10">
      <c r="A526" s="1">
        <v>40974</v>
      </c>
      <c r="B526">
        <v>7.78</v>
      </c>
      <c r="C526">
        <v>7.79</v>
      </c>
      <c r="D526">
        <v>7.66</v>
      </c>
      <c r="E526">
        <v>7.71</v>
      </c>
      <c r="F526">
        <v>262871200</v>
      </c>
      <c r="G526">
        <v>7.66</v>
      </c>
      <c r="H526" t="s">
        <v>2</v>
      </c>
      <c r="I526" s="22">
        <f t="shared" si="17"/>
        <v>-3.3379222073834487E-2</v>
      </c>
      <c r="J526" s="22" t="str">
        <f t="shared" si="18"/>
        <v>lost money</v>
      </c>
    </row>
    <row r="527" spans="1:10">
      <c r="A527" s="1">
        <v>40975</v>
      </c>
      <c r="B527">
        <v>7.81</v>
      </c>
      <c r="C527">
        <v>8.02</v>
      </c>
      <c r="D527">
        <v>7.77</v>
      </c>
      <c r="E527">
        <v>8.02</v>
      </c>
      <c r="F527">
        <v>328331900</v>
      </c>
      <c r="G527">
        <v>7.97</v>
      </c>
      <c r="H527" t="s">
        <v>2</v>
      </c>
      <c r="I527" s="22">
        <f t="shared" si="17"/>
        <v>3.9672509049623668E-2</v>
      </c>
      <c r="J527" s="22" t="str">
        <f t="shared" si="18"/>
        <v/>
      </c>
    </row>
    <row r="528" spans="1:10">
      <c r="A528" s="1">
        <v>40976</v>
      </c>
      <c r="B528">
        <v>8.07</v>
      </c>
      <c r="C528">
        <v>8.1199999999999992</v>
      </c>
      <c r="D528">
        <v>8</v>
      </c>
      <c r="E528">
        <v>8.06</v>
      </c>
      <c r="F528">
        <v>160282000</v>
      </c>
      <c r="G528">
        <v>8.01</v>
      </c>
      <c r="H528" t="s">
        <v>2</v>
      </c>
      <c r="I528" s="22">
        <f t="shared" si="17"/>
        <v>5.0062682781442224E-3</v>
      </c>
      <c r="J528" s="22" t="str">
        <f t="shared" si="18"/>
        <v>lost money</v>
      </c>
    </row>
    <row r="529" spans="1:10">
      <c r="A529" s="1">
        <v>40977</v>
      </c>
      <c r="B529">
        <v>8.1199999999999992</v>
      </c>
      <c r="C529">
        <v>8.19</v>
      </c>
      <c r="D529">
        <v>8.01</v>
      </c>
      <c r="E529">
        <v>8.0500000000000007</v>
      </c>
      <c r="F529">
        <v>195281400</v>
      </c>
      <c r="G529">
        <v>8</v>
      </c>
      <c r="H529" t="s">
        <v>2</v>
      </c>
      <c r="I529" s="22">
        <f t="shared" si="17"/>
        <v>-1.2492194004319278E-3</v>
      </c>
      <c r="J529" s="22" t="str">
        <f t="shared" si="18"/>
        <v>lost money</v>
      </c>
    </row>
    <row r="530" spans="1:10">
      <c r="A530" s="1">
        <v>40980</v>
      </c>
      <c r="B530">
        <v>8.01</v>
      </c>
      <c r="C530">
        <v>8.06</v>
      </c>
      <c r="D530">
        <v>7.91</v>
      </c>
      <c r="E530">
        <v>7.99</v>
      </c>
      <c r="F530">
        <v>165298900</v>
      </c>
      <c r="G530">
        <v>7.94</v>
      </c>
      <c r="H530" t="s">
        <v>2</v>
      </c>
      <c r="I530" s="22">
        <f t="shared" si="17"/>
        <v>-7.5282664207915245E-3</v>
      </c>
      <c r="J530" s="22" t="str">
        <f t="shared" si="18"/>
        <v>lost money</v>
      </c>
    </row>
    <row r="531" spans="1:10">
      <c r="A531" s="1">
        <v>40981</v>
      </c>
      <c r="B531">
        <v>8.07</v>
      </c>
      <c r="C531">
        <v>8.5</v>
      </c>
      <c r="D531">
        <v>8.0500000000000007</v>
      </c>
      <c r="E531">
        <v>8.49</v>
      </c>
      <c r="F531">
        <v>385984100</v>
      </c>
      <c r="G531">
        <v>8.43</v>
      </c>
      <c r="H531" t="s">
        <v>2</v>
      </c>
      <c r="I531" s="22">
        <f t="shared" si="17"/>
        <v>5.9883496754719566E-2</v>
      </c>
      <c r="J531" s="22" t="str">
        <f t="shared" si="18"/>
        <v/>
      </c>
    </row>
    <row r="532" spans="1:10">
      <c r="A532" s="1">
        <v>40982</v>
      </c>
      <c r="B532">
        <v>8.66</v>
      </c>
      <c r="C532">
        <v>8.9</v>
      </c>
      <c r="D532">
        <v>8.56</v>
      </c>
      <c r="E532">
        <v>8.84</v>
      </c>
      <c r="F532">
        <v>488077000</v>
      </c>
      <c r="G532">
        <v>8.7799999999999994</v>
      </c>
      <c r="H532" t="s">
        <v>2</v>
      </c>
      <c r="I532" s="22">
        <f t="shared" si="17"/>
        <v>4.0679635633261178E-2</v>
      </c>
      <c r="J532" s="22" t="str">
        <f t="shared" si="18"/>
        <v/>
      </c>
    </row>
    <row r="533" spans="1:10">
      <c r="A533" s="1">
        <v>40983</v>
      </c>
      <c r="B533">
        <v>8.98</v>
      </c>
      <c r="C533">
        <v>9.25</v>
      </c>
      <c r="D533">
        <v>8.85</v>
      </c>
      <c r="E533">
        <v>9.24</v>
      </c>
      <c r="F533">
        <v>489593000</v>
      </c>
      <c r="G533">
        <v>9.18</v>
      </c>
      <c r="H533" t="s">
        <v>2</v>
      </c>
      <c r="I533" s="22">
        <f t="shared" si="17"/>
        <v>4.4550796985373758E-2</v>
      </c>
      <c r="J533" s="22" t="str">
        <f t="shared" si="18"/>
        <v/>
      </c>
    </row>
    <row r="534" spans="1:10">
      <c r="A534" s="1">
        <v>40984</v>
      </c>
      <c r="B534">
        <v>9.41</v>
      </c>
      <c r="C534">
        <v>9.8000000000000007</v>
      </c>
      <c r="D534">
        <v>9.33</v>
      </c>
      <c r="E534">
        <v>9.8000000000000007</v>
      </c>
      <c r="F534">
        <v>582294100</v>
      </c>
      <c r="G534">
        <v>9.74</v>
      </c>
      <c r="H534" t="s">
        <v>2</v>
      </c>
      <c r="I534" s="22">
        <f t="shared" si="17"/>
        <v>5.9213913022044783E-2</v>
      </c>
      <c r="J534" s="22" t="str">
        <f t="shared" si="18"/>
        <v/>
      </c>
    </row>
    <row r="535" spans="1:10">
      <c r="A535" s="1">
        <v>40987</v>
      </c>
      <c r="B535">
        <v>9.7799999999999994</v>
      </c>
      <c r="C535">
        <v>10.1</v>
      </c>
      <c r="D535">
        <v>9.51</v>
      </c>
      <c r="E535">
        <v>9.5299999999999994</v>
      </c>
      <c r="F535">
        <v>669479900</v>
      </c>
      <c r="G535">
        <v>9.4700000000000006</v>
      </c>
      <c r="H535" t="s">
        <v>2</v>
      </c>
      <c r="I535" s="22">
        <f t="shared" si="17"/>
        <v>-2.811221045645685E-2</v>
      </c>
      <c r="J535" s="22" t="str">
        <f t="shared" si="18"/>
        <v>lost money</v>
      </c>
    </row>
    <row r="536" spans="1:10">
      <c r="A536" s="1">
        <v>40988</v>
      </c>
      <c r="B536">
        <v>9.6300000000000008</v>
      </c>
      <c r="C536">
        <v>9.9700000000000006</v>
      </c>
      <c r="D536">
        <v>9.59</v>
      </c>
      <c r="E536">
        <v>9.81</v>
      </c>
      <c r="F536">
        <v>451213900</v>
      </c>
      <c r="G536">
        <v>9.75</v>
      </c>
      <c r="H536" t="s">
        <v>2</v>
      </c>
      <c r="I536" s="22">
        <f t="shared" si="17"/>
        <v>2.9138377811768767E-2</v>
      </c>
      <c r="J536" s="22" t="str">
        <f t="shared" si="18"/>
        <v/>
      </c>
    </row>
    <row r="537" spans="1:10">
      <c r="A537" s="1">
        <v>40989</v>
      </c>
      <c r="B537">
        <v>9.9600000000000009</v>
      </c>
      <c r="C537">
        <v>10.029999999999999</v>
      </c>
      <c r="D537">
        <v>9.74</v>
      </c>
      <c r="E537">
        <v>9.82</v>
      </c>
      <c r="F537">
        <v>326573800</v>
      </c>
      <c r="G537">
        <v>9.76</v>
      </c>
      <c r="H537" t="s">
        <v>2</v>
      </c>
      <c r="I537" s="22">
        <f t="shared" si="17"/>
        <v>1.0251154152453505E-3</v>
      </c>
      <c r="J537" s="22" t="str">
        <f t="shared" si="18"/>
        <v>lost money</v>
      </c>
    </row>
    <row r="538" spans="1:10">
      <c r="A538" s="1">
        <v>40990</v>
      </c>
      <c r="B538">
        <v>9.66</v>
      </c>
      <c r="C538">
        <v>9.77</v>
      </c>
      <c r="D538">
        <v>9.52</v>
      </c>
      <c r="E538">
        <v>9.6</v>
      </c>
      <c r="F538">
        <v>264520500</v>
      </c>
      <c r="G538">
        <v>9.5399999999999991</v>
      </c>
      <c r="H538" t="s">
        <v>2</v>
      </c>
      <c r="I538" s="22">
        <f t="shared" si="17"/>
        <v>-2.2798914964806013E-2</v>
      </c>
      <c r="J538" s="22" t="str">
        <f t="shared" si="18"/>
        <v>lost money</v>
      </c>
    </row>
    <row r="539" spans="1:10">
      <c r="A539" s="1">
        <v>40991</v>
      </c>
      <c r="B539">
        <v>9.4700000000000006</v>
      </c>
      <c r="C539">
        <v>9.85</v>
      </c>
      <c r="D539">
        <v>9.4</v>
      </c>
      <c r="E539">
        <v>9.85</v>
      </c>
      <c r="F539">
        <v>283110900</v>
      </c>
      <c r="G539">
        <v>9.7899999999999991</v>
      </c>
      <c r="H539" t="s">
        <v>2</v>
      </c>
      <c r="I539" s="22">
        <f t="shared" si="17"/>
        <v>2.5867971082223815E-2</v>
      </c>
      <c r="J539" s="22" t="str">
        <f t="shared" si="18"/>
        <v/>
      </c>
    </row>
    <row r="540" spans="1:10">
      <c r="A540" s="1">
        <v>40994</v>
      </c>
      <c r="B540">
        <v>10.01</v>
      </c>
      <c r="C540">
        <v>10.039999999999999</v>
      </c>
      <c r="D540">
        <v>9.85</v>
      </c>
      <c r="E540">
        <v>9.93</v>
      </c>
      <c r="F540">
        <v>241605700</v>
      </c>
      <c r="G540">
        <v>9.86</v>
      </c>
      <c r="H540" t="s">
        <v>2</v>
      </c>
      <c r="I540" s="22">
        <f t="shared" si="17"/>
        <v>7.1247120721251523E-3</v>
      </c>
      <c r="J540" s="22" t="str">
        <f t="shared" si="18"/>
        <v>lost money</v>
      </c>
    </row>
    <row r="541" spans="1:10">
      <c r="A541" s="1">
        <v>40995</v>
      </c>
      <c r="B541">
        <v>9.8699999999999992</v>
      </c>
      <c r="C541">
        <v>9.9</v>
      </c>
      <c r="D541">
        <v>9.58</v>
      </c>
      <c r="E541">
        <v>9.6</v>
      </c>
      <c r="F541">
        <v>250069600</v>
      </c>
      <c r="G541">
        <v>9.5399999999999991</v>
      </c>
      <c r="H541" t="s">
        <v>2</v>
      </c>
      <c r="I541" s="22">
        <f t="shared" si="17"/>
        <v>-3.299268315434889E-2</v>
      </c>
      <c r="J541" s="22" t="str">
        <f t="shared" si="18"/>
        <v>lost money</v>
      </c>
    </row>
    <row r="542" spans="1:10">
      <c r="A542" s="1">
        <v>40996</v>
      </c>
      <c r="B542">
        <v>9.6199999999999992</v>
      </c>
      <c r="C542">
        <v>9.7799999999999994</v>
      </c>
      <c r="D542">
        <v>9.58</v>
      </c>
      <c r="E542">
        <v>9.75</v>
      </c>
      <c r="F542">
        <v>234021500</v>
      </c>
      <c r="G542">
        <v>9.69</v>
      </c>
      <c r="H542" t="s">
        <v>2</v>
      </c>
      <c r="I542" s="22">
        <f t="shared" si="17"/>
        <v>1.560094044247981E-2</v>
      </c>
      <c r="J542" s="22" t="str">
        <f t="shared" si="18"/>
        <v/>
      </c>
    </row>
    <row r="543" spans="1:10">
      <c r="A543" s="1">
        <v>40997</v>
      </c>
      <c r="B543">
        <v>9.6300000000000008</v>
      </c>
      <c r="C543">
        <v>9.68</v>
      </c>
      <c r="D543">
        <v>9.43</v>
      </c>
      <c r="E543">
        <v>9.5299999999999994</v>
      </c>
      <c r="F543">
        <v>253625800</v>
      </c>
      <c r="G543">
        <v>9.4700000000000006</v>
      </c>
      <c r="H543" t="s">
        <v>2</v>
      </c>
      <c r="I543" s="22">
        <f t="shared" si="17"/>
        <v>-2.296551870468784E-2</v>
      </c>
      <c r="J543" s="22" t="str">
        <f t="shared" si="18"/>
        <v>lost money</v>
      </c>
    </row>
    <row r="544" spans="1:10">
      <c r="A544" s="1">
        <v>40998</v>
      </c>
      <c r="B544">
        <v>9.61</v>
      </c>
      <c r="C544">
        <v>9.64</v>
      </c>
      <c r="D544">
        <v>9.35</v>
      </c>
      <c r="E544">
        <v>9.57</v>
      </c>
      <c r="F544">
        <v>250234500</v>
      </c>
      <c r="G544">
        <v>9.51</v>
      </c>
      <c r="H544" t="s">
        <v>2</v>
      </c>
      <c r="I544" s="22">
        <f t="shared" si="17"/>
        <v>4.2149693593119108E-3</v>
      </c>
      <c r="J544" s="22" t="str">
        <f t="shared" si="18"/>
        <v>lost money</v>
      </c>
    </row>
    <row r="545" spans="1:10">
      <c r="A545" s="1">
        <v>41001</v>
      </c>
      <c r="B545">
        <v>9.5399999999999991</v>
      </c>
      <c r="C545">
        <v>9.7799999999999994</v>
      </c>
      <c r="D545">
        <v>9.41</v>
      </c>
      <c r="E545">
        <v>9.68</v>
      </c>
      <c r="F545">
        <v>179229000</v>
      </c>
      <c r="G545">
        <v>9.6199999999999992</v>
      </c>
      <c r="H545" t="s">
        <v>2</v>
      </c>
      <c r="I545" s="22">
        <f t="shared" si="17"/>
        <v>1.1500388120316113E-2</v>
      </c>
      <c r="J545" s="22" t="str">
        <f t="shared" si="18"/>
        <v/>
      </c>
    </row>
    <row r="546" spans="1:10">
      <c r="A546" s="1">
        <v>41002</v>
      </c>
      <c r="B546">
        <v>9.67</v>
      </c>
      <c r="C546">
        <v>9.67</v>
      </c>
      <c r="D546">
        <v>9.41</v>
      </c>
      <c r="E546">
        <v>9.49</v>
      </c>
      <c r="F546">
        <v>190453400</v>
      </c>
      <c r="G546">
        <v>9.43</v>
      </c>
      <c r="H546" t="s">
        <v>2</v>
      </c>
      <c r="I546" s="22">
        <f t="shared" si="17"/>
        <v>-1.9948168032248911E-2</v>
      </c>
      <c r="J546" s="22" t="str">
        <f t="shared" si="18"/>
        <v>lost money</v>
      </c>
    </row>
    <row r="547" spans="1:10">
      <c r="A547" s="1">
        <v>41003</v>
      </c>
      <c r="B547">
        <v>9.35</v>
      </c>
      <c r="C547">
        <v>9.36</v>
      </c>
      <c r="D547">
        <v>9.15</v>
      </c>
      <c r="E547">
        <v>9.1999999999999993</v>
      </c>
      <c r="F547">
        <v>228560600</v>
      </c>
      <c r="G547">
        <v>9.14</v>
      </c>
      <c r="H547" t="s">
        <v>2</v>
      </c>
      <c r="I547" s="22">
        <f t="shared" si="17"/>
        <v>-3.1235711179307415E-2</v>
      </c>
      <c r="J547" s="22" t="str">
        <f t="shared" si="18"/>
        <v>lost money</v>
      </c>
    </row>
    <row r="548" spans="1:10">
      <c r="A548" s="1">
        <v>41004</v>
      </c>
      <c r="B548">
        <v>9.14</v>
      </c>
      <c r="C548">
        <v>9.4</v>
      </c>
      <c r="D548">
        <v>9.11</v>
      </c>
      <c r="E548">
        <v>9.23</v>
      </c>
      <c r="F548">
        <v>180868100</v>
      </c>
      <c r="G548">
        <v>9.17</v>
      </c>
      <c r="H548" t="s">
        <v>2</v>
      </c>
      <c r="I548" s="22">
        <f t="shared" si="17"/>
        <v>3.2769008023147911E-3</v>
      </c>
      <c r="J548" s="22" t="str">
        <f t="shared" si="18"/>
        <v/>
      </c>
    </row>
    <row r="549" spans="1:10">
      <c r="A549" s="1">
        <v>41008</v>
      </c>
      <c r="B549">
        <v>9.0399999999999991</v>
      </c>
      <c r="C549">
        <v>9.0399999999999991</v>
      </c>
      <c r="D549">
        <v>8.83</v>
      </c>
      <c r="E549">
        <v>8.93</v>
      </c>
      <c r="F549">
        <v>211427600</v>
      </c>
      <c r="G549">
        <v>8.8699999999999992</v>
      </c>
      <c r="H549" t="s">
        <v>2</v>
      </c>
      <c r="I549" s="22">
        <f t="shared" si="17"/>
        <v>-3.3262489946885382E-2</v>
      </c>
      <c r="J549" s="22" t="str">
        <f t="shared" si="18"/>
        <v>lost money</v>
      </c>
    </row>
    <row r="550" spans="1:10">
      <c r="A550" s="1">
        <v>41009</v>
      </c>
      <c r="B550">
        <v>8.9700000000000006</v>
      </c>
      <c r="C550">
        <v>9.09</v>
      </c>
      <c r="D550">
        <v>8.5</v>
      </c>
      <c r="E550">
        <v>8.5399999999999991</v>
      </c>
      <c r="F550">
        <v>377220000</v>
      </c>
      <c r="G550">
        <v>8.48</v>
      </c>
      <c r="H550" t="s">
        <v>2</v>
      </c>
      <c r="I550" s="22">
        <f t="shared" si="17"/>
        <v>-4.4964346517676286E-2</v>
      </c>
      <c r="J550" s="22" t="str">
        <f t="shared" si="18"/>
        <v>lost money</v>
      </c>
    </row>
    <row r="551" spans="1:10">
      <c r="A551" s="1">
        <v>41010</v>
      </c>
      <c r="B551">
        <v>8.7799999999999994</v>
      </c>
      <c r="C551">
        <v>8.91</v>
      </c>
      <c r="D551">
        <v>8.7200000000000006</v>
      </c>
      <c r="E551">
        <v>8.86</v>
      </c>
      <c r="F551">
        <v>252563700</v>
      </c>
      <c r="G551">
        <v>8.8000000000000007</v>
      </c>
      <c r="H551" t="s">
        <v>2</v>
      </c>
      <c r="I551" s="22">
        <f t="shared" si="17"/>
        <v>3.7041271680349076E-2</v>
      </c>
      <c r="J551" s="22" t="str">
        <f t="shared" si="18"/>
        <v/>
      </c>
    </row>
    <row r="552" spans="1:10">
      <c r="A552" s="1">
        <v>41011</v>
      </c>
      <c r="B552">
        <v>8.93</v>
      </c>
      <c r="C552">
        <v>9.18</v>
      </c>
      <c r="D552">
        <v>8.91</v>
      </c>
      <c r="E552">
        <v>9.17</v>
      </c>
      <c r="F552">
        <v>223979900</v>
      </c>
      <c r="G552">
        <v>9.11</v>
      </c>
      <c r="H552" t="s">
        <v>2</v>
      </c>
      <c r="I552" s="22">
        <f t="shared" si="17"/>
        <v>3.46209897877061E-2</v>
      </c>
      <c r="J552" s="22" t="str">
        <f t="shared" si="18"/>
        <v/>
      </c>
    </row>
    <row r="553" spans="1:10">
      <c r="A553" s="1">
        <v>41012</v>
      </c>
      <c r="B553">
        <v>9.08</v>
      </c>
      <c r="C553">
        <v>9.08</v>
      </c>
      <c r="D553">
        <v>8.68</v>
      </c>
      <c r="E553">
        <v>8.68</v>
      </c>
      <c r="F553">
        <v>282354600</v>
      </c>
      <c r="G553">
        <v>8.6199999999999992</v>
      </c>
      <c r="H553" t="s">
        <v>2</v>
      </c>
      <c r="I553" s="22">
        <f t="shared" si="17"/>
        <v>-5.5287626596265307E-2</v>
      </c>
      <c r="J553" s="22" t="str">
        <f t="shared" si="18"/>
        <v>lost money</v>
      </c>
    </row>
    <row r="554" spans="1:10">
      <c r="A554" s="1">
        <v>41015</v>
      </c>
      <c r="B554">
        <v>8.8699999999999992</v>
      </c>
      <c r="C554">
        <v>8.93</v>
      </c>
      <c r="D554">
        <v>8.6199999999999992</v>
      </c>
      <c r="E554">
        <v>8.7899999999999991</v>
      </c>
      <c r="F554">
        <v>217284500</v>
      </c>
      <c r="G554">
        <v>8.73</v>
      </c>
      <c r="H554" t="s">
        <v>2</v>
      </c>
      <c r="I554" s="22">
        <f t="shared" si="17"/>
        <v>1.268028517590921E-2</v>
      </c>
      <c r="J554" s="22" t="str">
        <f t="shared" si="18"/>
        <v>lost money</v>
      </c>
    </row>
    <row r="555" spans="1:10">
      <c r="A555" s="1">
        <v>41016</v>
      </c>
      <c r="B555">
        <v>8.9700000000000006</v>
      </c>
      <c r="C555">
        <v>9</v>
      </c>
      <c r="D555">
        <v>8.8699999999999992</v>
      </c>
      <c r="E555">
        <v>8.92</v>
      </c>
      <c r="F555">
        <v>193424400</v>
      </c>
      <c r="G555">
        <v>8.86</v>
      </c>
      <c r="H555" t="s">
        <v>2</v>
      </c>
      <c r="I555" s="22">
        <f t="shared" si="17"/>
        <v>1.4781394765478691E-2</v>
      </c>
      <c r="J555" s="22" t="str">
        <f t="shared" si="18"/>
        <v>lost money</v>
      </c>
    </row>
    <row r="556" spans="1:10">
      <c r="A556" s="1">
        <v>41017</v>
      </c>
      <c r="B556">
        <v>8.8800000000000008</v>
      </c>
      <c r="C556">
        <v>9</v>
      </c>
      <c r="D556">
        <v>8.84</v>
      </c>
      <c r="E556">
        <v>8.92</v>
      </c>
      <c r="F556">
        <v>160064100</v>
      </c>
      <c r="G556">
        <v>8.86</v>
      </c>
      <c r="H556" t="s">
        <v>2</v>
      </c>
      <c r="I556" s="22">
        <f t="shared" si="17"/>
        <v>0</v>
      </c>
      <c r="J556" s="22" t="str">
        <f t="shared" si="18"/>
        <v/>
      </c>
    </row>
    <row r="557" spans="1:10">
      <c r="A557" s="1">
        <v>41018</v>
      </c>
      <c r="B557">
        <v>9.16</v>
      </c>
      <c r="C557">
        <v>9.17</v>
      </c>
      <c r="D557">
        <v>8.67</v>
      </c>
      <c r="E557">
        <v>8.77</v>
      </c>
      <c r="F557">
        <v>348804500</v>
      </c>
      <c r="G557">
        <v>8.7100000000000009</v>
      </c>
      <c r="H557" t="s">
        <v>2</v>
      </c>
      <c r="I557" s="22">
        <f t="shared" si="17"/>
        <v>-1.7074973752578007E-2</v>
      </c>
      <c r="J557" s="22" t="str">
        <f t="shared" si="18"/>
        <v>lost money</v>
      </c>
    </row>
    <row r="558" spans="1:10">
      <c r="A558" s="1">
        <v>41019</v>
      </c>
      <c r="B558">
        <v>8.7799999999999994</v>
      </c>
      <c r="C558">
        <v>8.7799999999999994</v>
      </c>
      <c r="D558">
        <v>8.33</v>
      </c>
      <c r="E558">
        <v>8.36</v>
      </c>
      <c r="F558">
        <v>277965300</v>
      </c>
      <c r="G558">
        <v>8.31</v>
      </c>
      <c r="H558" t="s">
        <v>2</v>
      </c>
      <c r="I558" s="22">
        <f t="shared" si="17"/>
        <v>-4.7012181997054599E-2</v>
      </c>
      <c r="J558" s="22" t="str">
        <f t="shared" si="18"/>
        <v>lost money</v>
      </c>
    </row>
    <row r="559" spans="1:10">
      <c r="A559" s="1">
        <v>41022</v>
      </c>
      <c r="B559">
        <v>8.02</v>
      </c>
      <c r="C559">
        <v>8.3000000000000007</v>
      </c>
      <c r="D559">
        <v>7.95</v>
      </c>
      <c r="E559">
        <v>8.18</v>
      </c>
      <c r="F559">
        <v>256073900</v>
      </c>
      <c r="G559">
        <v>8.1300000000000008</v>
      </c>
      <c r="H559" t="s">
        <v>2</v>
      </c>
      <c r="I559" s="22">
        <f t="shared" si="17"/>
        <v>-2.1898685307637573E-2</v>
      </c>
      <c r="J559" s="22" t="str">
        <f t="shared" si="18"/>
        <v/>
      </c>
    </row>
    <row r="560" spans="1:10">
      <c r="A560" s="1">
        <v>41023</v>
      </c>
      <c r="B560">
        <v>8.25</v>
      </c>
      <c r="C560">
        <v>8.27</v>
      </c>
      <c r="D560">
        <v>8.1</v>
      </c>
      <c r="E560">
        <v>8.2100000000000009</v>
      </c>
      <c r="F560">
        <v>192443800</v>
      </c>
      <c r="G560">
        <v>8.16</v>
      </c>
      <c r="H560" t="s">
        <v>2</v>
      </c>
      <c r="I560" s="22">
        <f t="shared" si="17"/>
        <v>3.683245416296368E-3</v>
      </c>
      <c r="J560" s="22" t="str">
        <f t="shared" si="18"/>
        <v>lost money</v>
      </c>
    </row>
    <row r="561" spans="1:10">
      <c r="A561" s="1">
        <v>41024</v>
      </c>
      <c r="B561">
        <v>8.3000000000000007</v>
      </c>
      <c r="C561">
        <v>8.35</v>
      </c>
      <c r="D561">
        <v>8.17</v>
      </c>
      <c r="E561">
        <v>8.26</v>
      </c>
      <c r="F561">
        <v>164902400</v>
      </c>
      <c r="G561">
        <v>8.2100000000000009</v>
      </c>
      <c r="H561" t="s">
        <v>2</v>
      </c>
      <c r="I561" s="22">
        <f t="shared" si="17"/>
        <v>6.1087544883211909E-3</v>
      </c>
      <c r="J561" s="22" t="str">
        <f t="shared" si="18"/>
        <v>lost money</v>
      </c>
    </row>
    <row r="562" spans="1:10">
      <c r="A562" s="1">
        <v>41025</v>
      </c>
      <c r="B562">
        <v>8.19</v>
      </c>
      <c r="C562">
        <v>8.4</v>
      </c>
      <c r="D562">
        <v>8.17</v>
      </c>
      <c r="E562">
        <v>8.27</v>
      </c>
      <c r="F562">
        <v>131586300</v>
      </c>
      <c r="G562">
        <v>8.2200000000000006</v>
      </c>
      <c r="H562" t="s">
        <v>2</v>
      </c>
      <c r="I562" s="22">
        <f t="shared" si="17"/>
        <v>1.2172856037517249E-3</v>
      </c>
      <c r="J562" s="22" t="str">
        <f t="shared" si="18"/>
        <v/>
      </c>
    </row>
    <row r="563" spans="1:10">
      <c r="A563" s="1">
        <v>41026</v>
      </c>
      <c r="B563">
        <v>8.34</v>
      </c>
      <c r="C563">
        <v>8.34</v>
      </c>
      <c r="D563">
        <v>8.19</v>
      </c>
      <c r="E563">
        <v>8.25</v>
      </c>
      <c r="F563">
        <v>120948200</v>
      </c>
      <c r="G563">
        <v>8.1999999999999993</v>
      </c>
      <c r="H563" t="s">
        <v>2</v>
      </c>
      <c r="I563" s="22">
        <f t="shared" si="17"/>
        <v>-2.4360547978813383E-3</v>
      </c>
      <c r="J563" s="22" t="str">
        <f t="shared" si="18"/>
        <v>lost money</v>
      </c>
    </row>
    <row r="564" spans="1:10">
      <c r="A564" s="1">
        <v>41029</v>
      </c>
      <c r="B564">
        <v>8.2200000000000006</v>
      </c>
      <c r="C564">
        <v>8.24</v>
      </c>
      <c r="D564">
        <v>8.0399999999999991</v>
      </c>
      <c r="E564">
        <v>8.11</v>
      </c>
      <c r="F564">
        <v>137422300</v>
      </c>
      <c r="G564">
        <v>8.06</v>
      </c>
      <c r="H564" t="s">
        <v>2</v>
      </c>
      <c r="I564" s="22">
        <f t="shared" si="17"/>
        <v>-1.7220597751670407E-2</v>
      </c>
      <c r="J564" s="22" t="str">
        <f t="shared" si="18"/>
        <v>lost money</v>
      </c>
    </row>
    <row r="565" spans="1:10">
      <c r="A565" s="1">
        <v>41030</v>
      </c>
      <c r="B565">
        <v>8.11</v>
      </c>
      <c r="C565">
        <v>8.4</v>
      </c>
      <c r="D565">
        <v>8.08</v>
      </c>
      <c r="E565">
        <v>8.31</v>
      </c>
      <c r="F565">
        <v>177953400</v>
      </c>
      <c r="G565">
        <v>8.26</v>
      </c>
      <c r="H565" t="s">
        <v>2</v>
      </c>
      <c r="I565" s="22">
        <f t="shared" si="17"/>
        <v>2.4511031014349784E-2</v>
      </c>
      <c r="J565" s="22" t="str">
        <f t="shared" si="18"/>
        <v/>
      </c>
    </row>
    <row r="566" spans="1:10">
      <c r="A566" s="1">
        <v>41031</v>
      </c>
      <c r="B566">
        <v>8.2100000000000009</v>
      </c>
      <c r="C566">
        <v>8.23</v>
      </c>
      <c r="D566">
        <v>8.1199999999999992</v>
      </c>
      <c r="E566">
        <v>8.16</v>
      </c>
      <c r="F566">
        <v>136208900</v>
      </c>
      <c r="G566">
        <v>8.11</v>
      </c>
      <c r="H566" t="s">
        <v>2</v>
      </c>
      <c r="I566" s="22">
        <f t="shared" si="17"/>
        <v>-1.8326719405565225E-2</v>
      </c>
      <c r="J566" s="22" t="str">
        <f t="shared" si="18"/>
        <v>lost money</v>
      </c>
    </row>
    <row r="567" spans="1:10">
      <c r="A567" s="1">
        <v>41032</v>
      </c>
      <c r="B567">
        <v>8.18</v>
      </c>
      <c r="C567">
        <v>8.18</v>
      </c>
      <c r="D567">
        <v>7.91</v>
      </c>
      <c r="E567">
        <v>8</v>
      </c>
      <c r="F567">
        <v>204584500</v>
      </c>
      <c r="G567">
        <v>7.95</v>
      </c>
      <c r="H567" t="s">
        <v>2</v>
      </c>
      <c r="I567" s="22">
        <f t="shared" si="17"/>
        <v>-1.9925939461080951E-2</v>
      </c>
      <c r="J567" s="22" t="str">
        <f t="shared" si="18"/>
        <v>lost money</v>
      </c>
    </row>
    <row r="568" spans="1:10">
      <c r="A568" s="1">
        <v>41033</v>
      </c>
      <c r="B568">
        <v>7.9</v>
      </c>
      <c r="C568">
        <v>7.92</v>
      </c>
      <c r="D568">
        <v>7.7</v>
      </c>
      <c r="E568">
        <v>7.74</v>
      </c>
      <c r="F568">
        <v>194857200</v>
      </c>
      <c r="G568">
        <v>7.69</v>
      </c>
      <c r="H568" t="s">
        <v>2</v>
      </c>
      <c r="I568" s="22">
        <f t="shared" si="17"/>
        <v>-3.3251145148687919E-2</v>
      </c>
      <c r="J568" s="22" t="str">
        <f t="shared" si="18"/>
        <v>lost money</v>
      </c>
    </row>
    <row r="569" spans="1:10">
      <c r="A569" s="1">
        <v>41036</v>
      </c>
      <c r="B569">
        <v>7.71</v>
      </c>
      <c r="C569">
        <v>8</v>
      </c>
      <c r="D569">
        <v>7.66</v>
      </c>
      <c r="E569">
        <v>7.96</v>
      </c>
      <c r="F569">
        <v>167662600</v>
      </c>
      <c r="G569">
        <v>7.91</v>
      </c>
      <c r="H569" t="s">
        <v>2</v>
      </c>
      <c r="I569" s="22">
        <f t="shared" si="17"/>
        <v>2.8206998262009859E-2</v>
      </c>
      <c r="J569" s="22" t="str">
        <f t="shared" si="18"/>
        <v/>
      </c>
    </row>
    <row r="570" spans="1:10">
      <c r="A570" s="1">
        <v>41037</v>
      </c>
      <c r="B570">
        <v>7.87</v>
      </c>
      <c r="C570">
        <v>7.9</v>
      </c>
      <c r="D570">
        <v>7.69</v>
      </c>
      <c r="E570">
        <v>7.79</v>
      </c>
      <c r="F570">
        <v>180627900</v>
      </c>
      <c r="G570">
        <v>7.74</v>
      </c>
      <c r="H570" t="s">
        <v>2</v>
      </c>
      <c r="I570" s="22">
        <f t="shared" si="17"/>
        <v>-2.1726094177926709E-2</v>
      </c>
      <c r="J570" s="22" t="str">
        <f t="shared" si="18"/>
        <v>lost money</v>
      </c>
    </row>
    <row r="571" spans="1:10">
      <c r="A571" s="1">
        <v>41038</v>
      </c>
      <c r="B571">
        <v>7.67</v>
      </c>
      <c r="C571">
        <v>7.82</v>
      </c>
      <c r="D571">
        <v>7.65</v>
      </c>
      <c r="E571">
        <v>7.73</v>
      </c>
      <c r="F571">
        <v>174742300</v>
      </c>
      <c r="G571">
        <v>7.68</v>
      </c>
      <c r="H571" t="s">
        <v>2</v>
      </c>
      <c r="I571" s="22">
        <f t="shared" si="17"/>
        <v>-7.7821404420549628E-3</v>
      </c>
      <c r="J571" s="22" t="str">
        <f t="shared" si="18"/>
        <v/>
      </c>
    </row>
    <row r="572" spans="1:10">
      <c r="A572" s="1">
        <v>41039</v>
      </c>
      <c r="B572">
        <v>7.91</v>
      </c>
      <c r="C572">
        <v>7.94</v>
      </c>
      <c r="D572">
        <v>7.67</v>
      </c>
      <c r="E572">
        <v>7.7</v>
      </c>
      <c r="F572">
        <v>156787300</v>
      </c>
      <c r="G572">
        <v>7.65</v>
      </c>
      <c r="H572" t="s">
        <v>2</v>
      </c>
      <c r="I572" s="22">
        <f t="shared" si="17"/>
        <v>-3.9138993211362176E-3</v>
      </c>
      <c r="J572" s="22" t="str">
        <f t="shared" si="18"/>
        <v>lost money</v>
      </c>
    </row>
    <row r="573" spans="1:10">
      <c r="A573" s="1">
        <v>41040</v>
      </c>
      <c r="B573">
        <v>7.48</v>
      </c>
      <c r="C573">
        <v>7.77</v>
      </c>
      <c r="D573">
        <v>7.41</v>
      </c>
      <c r="E573">
        <v>7.55</v>
      </c>
      <c r="F573">
        <v>245533600</v>
      </c>
      <c r="G573">
        <v>7.5</v>
      </c>
      <c r="H573" t="s">
        <v>2</v>
      </c>
      <c r="I573" s="22">
        <f t="shared" si="17"/>
        <v>-1.9802627296179754E-2</v>
      </c>
      <c r="J573" s="22" t="str">
        <f t="shared" si="18"/>
        <v/>
      </c>
    </row>
    <row r="574" spans="1:10">
      <c r="A574" s="1">
        <v>41043</v>
      </c>
      <c r="B574">
        <v>7.37</v>
      </c>
      <c r="C574">
        <v>7.52</v>
      </c>
      <c r="D574">
        <v>7.35</v>
      </c>
      <c r="E574">
        <v>7.35</v>
      </c>
      <c r="F574">
        <v>170716800</v>
      </c>
      <c r="G574">
        <v>7.3</v>
      </c>
      <c r="H574" t="s">
        <v>2</v>
      </c>
      <c r="I574" s="22">
        <f t="shared" si="17"/>
        <v>-2.7028672387919374E-2</v>
      </c>
      <c r="J574" s="22" t="str">
        <f t="shared" si="18"/>
        <v>lost money</v>
      </c>
    </row>
    <row r="575" spans="1:10">
      <c r="A575" s="1">
        <v>41044</v>
      </c>
      <c r="B575">
        <v>7.37</v>
      </c>
      <c r="C575">
        <v>7.55</v>
      </c>
      <c r="D575">
        <v>7.25</v>
      </c>
      <c r="E575">
        <v>7.3</v>
      </c>
      <c r="F575">
        <v>201254900</v>
      </c>
      <c r="G575">
        <v>7.25</v>
      </c>
      <c r="H575" t="s">
        <v>2</v>
      </c>
      <c r="I575" s="22">
        <f t="shared" si="17"/>
        <v>-6.8728792877620643E-3</v>
      </c>
      <c r="J575" s="22" t="str">
        <f t="shared" si="18"/>
        <v>lost money</v>
      </c>
    </row>
    <row r="576" spans="1:10">
      <c r="A576" s="1">
        <v>41045</v>
      </c>
      <c r="B576">
        <v>7.4</v>
      </c>
      <c r="C576">
        <v>7.47</v>
      </c>
      <c r="D576">
        <v>7.08</v>
      </c>
      <c r="E576">
        <v>7.11</v>
      </c>
      <c r="F576">
        <v>216226100</v>
      </c>
      <c r="G576">
        <v>7.06</v>
      </c>
      <c r="H576" t="s">
        <v>2</v>
      </c>
      <c r="I576" s="22">
        <f t="shared" si="17"/>
        <v>-2.6556417361432709E-2</v>
      </c>
      <c r="J576" s="22" t="str">
        <f t="shared" si="18"/>
        <v>lost money</v>
      </c>
    </row>
    <row r="577" spans="1:10">
      <c r="A577" s="1">
        <v>41046</v>
      </c>
      <c r="B577">
        <v>7.1</v>
      </c>
      <c r="C577">
        <v>7.25</v>
      </c>
      <c r="D577">
        <v>6.93</v>
      </c>
      <c r="E577">
        <v>6.98</v>
      </c>
      <c r="F577">
        <v>241468300</v>
      </c>
      <c r="G577">
        <v>6.93</v>
      </c>
      <c r="H577" t="s">
        <v>2</v>
      </c>
      <c r="I577" s="22">
        <f t="shared" si="17"/>
        <v>-1.8585238303338782E-2</v>
      </c>
      <c r="J577" s="22" t="str">
        <f t="shared" si="18"/>
        <v>lost money</v>
      </c>
    </row>
    <row r="578" spans="1:10">
      <c r="A578" s="1">
        <v>41047</v>
      </c>
      <c r="B578">
        <v>7.01</v>
      </c>
      <c r="C578">
        <v>7.03</v>
      </c>
      <c r="D578">
        <v>6.89</v>
      </c>
      <c r="E578">
        <v>7.02</v>
      </c>
      <c r="F578">
        <v>223783500</v>
      </c>
      <c r="G578">
        <v>6.97</v>
      </c>
      <c r="H578" t="s">
        <v>2</v>
      </c>
      <c r="I578" s="22">
        <f t="shared" si="17"/>
        <v>5.7554115706207522E-3</v>
      </c>
      <c r="J578" s="22" t="str">
        <f t="shared" si="18"/>
        <v/>
      </c>
    </row>
    <row r="579" spans="1:10">
      <c r="A579" s="1">
        <v>41050</v>
      </c>
      <c r="B579">
        <v>7.03</v>
      </c>
      <c r="C579">
        <v>7.11</v>
      </c>
      <c r="D579">
        <v>6.72</v>
      </c>
      <c r="E579">
        <v>6.83</v>
      </c>
      <c r="F579">
        <v>229980800</v>
      </c>
      <c r="G579">
        <v>6.79</v>
      </c>
      <c r="H579" t="s">
        <v>2</v>
      </c>
      <c r="I579" s="22">
        <f t="shared" ref="I579:I642" si="19">IF(A579=$A$2,"",LN(G579/G578))</f>
        <v>-2.6164283201827693E-2</v>
      </c>
      <c r="J579" s="22" t="str">
        <f t="shared" ref="J579:J642" si="20">IF(B579&gt;E579,"lost money","")</f>
        <v>lost money</v>
      </c>
    </row>
    <row r="580" spans="1:10">
      <c r="A580" s="1">
        <v>41051</v>
      </c>
      <c r="B580">
        <v>6.92</v>
      </c>
      <c r="C580">
        <v>7.15</v>
      </c>
      <c r="D580">
        <v>6.86</v>
      </c>
      <c r="E580">
        <v>6.98</v>
      </c>
      <c r="F580">
        <v>221551500</v>
      </c>
      <c r="G580">
        <v>6.93</v>
      </c>
      <c r="H580" t="s">
        <v>2</v>
      </c>
      <c r="I580" s="22">
        <f t="shared" si="19"/>
        <v>2.0408871631207033E-2</v>
      </c>
      <c r="J580" s="22" t="str">
        <f t="shared" si="20"/>
        <v/>
      </c>
    </row>
    <row r="581" spans="1:10">
      <c r="A581" s="1">
        <v>41052</v>
      </c>
      <c r="B581">
        <v>6.9</v>
      </c>
      <c r="C581">
        <v>7.17</v>
      </c>
      <c r="D581">
        <v>6.85</v>
      </c>
      <c r="E581">
        <v>7.17</v>
      </c>
      <c r="F581">
        <v>194441500</v>
      </c>
      <c r="G581">
        <v>7.12</v>
      </c>
      <c r="H581" t="s">
        <v>2</v>
      </c>
      <c r="I581" s="22">
        <f t="shared" si="19"/>
        <v>2.7047912222072677E-2</v>
      </c>
      <c r="J581" s="22" t="str">
        <f t="shared" si="20"/>
        <v/>
      </c>
    </row>
    <row r="582" spans="1:10">
      <c r="A582" s="1">
        <v>41053</v>
      </c>
      <c r="B582">
        <v>7.26</v>
      </c>
      <c r="C582">
        <v>7.33</v>
      </c>
      <c r="D582">
        <v>7.01</v>
      </c>
      <c r="E582">
        <v>7.14</v>
      </c>
      <c r="F582">
        <v>206041500</v>
      </c>
      <c r="G582">
        <v>7.09</v>
      </c>
      <c r="H582" t="s">
        <v>2</v>
      </c>
      <c r="I582" s="22">
        <f t="shared" si="19"/>
        <v>-4.2223848798482498E-3</v>
      </c>
      <c r="J582" s="22" t="str">
        <f t="shared" si="20"/>
        <v>lost money</v>
      </c>
    </row>
    <row r="583" spans="1:10">
      <c r="A583" s="1">
        <v>41054</v>
      </c>
      <c r="B583">
        <v>7.07</v>
      </c>
      <c r="C583">
        <v>7.25</v>
      </c>
      <c r="D583">
        <v>7.07</v>
      </c>
      <c r="E583">
        <v>7.15</v>
      </c>
      <c r="F583">
        <v>108661200</v>
      </c>
      <c r="G583">
        <v>7.1</v>
      </c>
      <c r="H583" t="s">
        <v>2</v>
      </c>
      <c r="I583" s="22">
        <f t="shared" si="19"/>
        <v>1.4094435032336039E-3</v>
      </c>
      <c r="J583" s="22" t="str">
        <f t="shared" si="20"/>
        <v/>
      </c>
    </row>
    <row r="584" spans="1:10">
      <c r="A584" s="1">
        <v>41058</v>
      </c>
      <c r="B584">
        <v>7.28</v>
      </c>
      <c r="C584">
        <v>7.45</v>
      </c>
      <c r="D584">
        <v>7.22</v>
      </c>
      <c r="E584">
        <v>7.44</v>
      </c>
      <c r="F584">
        <v>159872200</v>
      </c>
      <c r="G584">
        <v>7.39</v>
      </c>
      <c r="H584" t="s">
        <v>2</v>
      </c>
      <c r="I584" s="22">
        <f t="shared" si="19"/>
        <v>4.0032950912840613E-2</v>
      </c>
      <c r="J584" s="22" t="str">
        <f t="shared" si="20"/>
        <v/>
      </c>
    </row>
    <row r="585" spans="1:10">
      <c r="A585" s="1">
        <v>41059</v>
      </c>
      <c r="B585">
        <v>7.33</v>
      </c>
      <c r="C585">
        <v>7.41</v>
      </c>
      <c r="D585">
        <v>7.1</v>
      </c>
      <c r="E585">
        <v>7.2</v>
      </c>
      <c r="F585">
        <v>206801500</v>
      </c>
      <c r="G585">
        <v>7.16</v>
      </c>
      <c r="H585" t="s">
        <v>2</v>
      </c>
      <c r="I585" s="22">
        <f t="shared" si="19"/>
        <v>-3.1617753987556139E-2</v>
      </c>
      <c r="J585" s="22" t="str">
        <f t="shared" si="20"/>
        <v>lost money</v>
      </c>
    </row>
    <row r="586" spans="1:10">
      <c r="A586" s="1">
        <v>41060</v>
      </c>
      <c r="B586">
        <v>7.21</v>
      </c>
      <c r="C586">
        <v>7.37</v>
      </c>
      <c r="D586">
        <v>7.04</v>
      </c>
      <c r="E586">
        <v>7.35</v>
      </c>
      <c r="F586">
        <v>203267300</v>
      </c>
      <c r="G586">
        <v>7.31</v>
      </c>
      <c r="H586" t="s">
        <v>2</v>
      </c>
      <c r="I586" s="22">
        <f t="shared" si="19"/>
        <v>2.0733292789132853E-2</v>
      </c>
      <c r="J586" s="22" t="str">
        <f t="shared" si="20"/>
        <v/>
      </c>
    </row>
    <row r="587" spans="1:10">
      <c r="A587" s="1">
        <v>41061</v>
      </c>
      <c r="B587">
        <v>7.12</v>
      </c>
      <c r="C587">
        <v>7.19</v>
      </c>
      <c r="D587">
        <v>6.94</v>
      </c>
      <c r="E587">
        <v>7.02</v>
      </c>
      <c r="F587">
        <v>240859000</v>
      </c>
      <c r="G587">
        <v>6.98</v>
      </c>
      <c r="H587" t="s">
        <v>2</v>
      </c>
      <c r="I587" s="22">
        <f t="shared" si="19"/>
        <v>-4.6194356987405955E-2</v>
      </c>
      <c r="J587" s="22" t="str">
        <f t="shared" si="20"/>
        <v>lost money</v>
      </c>
    </row>
    <row r="588" spans="1:10">
      <c r="A588" s="1">
        <v>41064</v>
      </c>
      <c r="B588">
        <v>7.1</v>
      </c>
      <c r="C588">
        <v>7.1</v>
      </c>
      <c r="D588">
        <v>6.85</v>
      </c>
      <c r="E588">
        <v>6.9</v>
      </c>
      <c r="F588">
        <v>163821500</v>
      </c>
      <c r="G588">
        <v>6.86</v>
      </c>
      <c r="H588" t="s">
        <v>2</v>
      </c>
      <c r="I588" s="22">
        <f t="shared" si="19"/>
        <v>-1.7341475036487215E-2</v>
      </c>
      <c r="J588" s="22" t="str">
        <f t="shared" si="20"/>
        <v>lost money</v>
      </c>
    </row>
    <row r="589" spans="1:10">
      <c r="A589" s="1">
        <v>41065</v>
      </c>
      <c r="B589">
        <v>6.91</v>
      </c>
      <c r="C589">
        <v>7.14</v>
      </c>
      <c r="D589">
        <v>6.9</v>
      </c>
      <c r="E589">
        <v>7.1</v>
      </c>
      <c r="F589">
        <v>147346700</v>
      </c>
      <c r="G589">
        <v>7.06</v>
      </c>
      <c r="H589" t="s">
        <v>2</v>
      </c>
      <c r="I589" s="22">
        <f t="shared" si="19"/>
        <v>2.8737609767356731E-2</v>
      </c>
      <c r="J589" s="22" t="str">
        <f t="shared" si="20"/>
        <v/>
      </c>
    </row>
    <row r="590" spans="1:10">
      <c r="A590" s="1">
        <v>41066</v>
      </c>
      <c r="B590">
        <v>7.24</v>
      </c>
      <c r="C590">
        <v>7.77</v>
      </c>
      <c r="D590">
        <v>7.18</v>
      </c>
      <c r="E590">
        <v>7.64</v>
      </c>
      <c r="F590">
        <v>356852900</v>
      </c>
      <c r="G590">
        <v>7.6</v>
      </c>
      <c r="H590" t="s">
        <v>2</v>
      </c>
      <c r="I590" s="22">
        <f t="shared" si="19"/>
        <v>7.3703195787134593E-2</v>
      </c>
      <c r="J590" s="22" t="str">
        <f t="shared" si="20"/>
        <v/>
      </c>
    </row>
    <row r="591" spans="1:10">
      <c r="A591" s="1">
        <v>41067</v>
      </c>
      <c r="B591">
        <v>7.81</v>
      </c>
      <c r="C591">
        <v>7.9</v>
      </c>
      <c r="D591">
        <v>7.38</v>
      </c>
      <c r="E591">
        <v>7.42</v>
      </c>
      <c r="F591">
        <v>276170400</v>
      </c>
      <c r="G591">
        <v>7.38</v>
      </c>
      <c r="H591" t="s">
        <v>2</v>
      </c>
      <c r="I591" s="22">
        <f t="shared" si="19"/>
        <v>-2.9374608679904244E-2</v>
      </c>
      <c r="J591" s="22" t="str">
        <f t="shared" si="20"/>
        <v>lost money</v>
      </c>
    </row>
    <row r="592" spans="1:10">
      <c r="A592" s="1">
        <v>41068</v>
      </c>
      <c r="B592">
        <v>7.35</v>
      </c>
      <c r="C592">
        <v>7.58</v>
      </c>
      <c r="D592">
        <v>7.2</v>
      </c>
      <c r="E592">
        <v>7.56</v>
      </c>
      <c r="F592">
        <v>234555000</v>
      </c>
      <c r="G592">
        <v>7.52</v>
      </c>
      <c r="H592" t="s">
        <v>2</v>
      </c>
      <c r="I592" s="22">
        <f t="shared" si="19"/>
        <v>1.879249934936732E-2</v>
      </c>
      <c r="J592" s="22" t="str">
        <f t="shared" si="20"/>
        <v/>
      </c>
    </row>
    <row r="593" spans="1:10">
      <c r="A593" s="1">
        <v>41071</v>
      </c>
      <c r="B593">
        <v>7.72</v>
      </c>
      <c r="C593">
        <v>7.77</v>
      </c>
      <c r="D593">
        <v>7.28</v>
      </c>
      <c r="E593">
        <v>7.28</v>
      </c>
      <c r="F593">
        <v>204590700</v>
      </c>
      <c r="G593">
        <v>7.24</v>
      </c>
      <c r="H593" t="s">
        <v>2</v>
      </c>
      <c r="I593" s="22">
        <f t="shared" si="19"/>
        <v>-3.7944931564123367E-2</v>
      </c>
      <c r="J593" s="22" t="str">
        <f t="shared" si="20"/>
        <v>lost money</v>
      </c>
    </row>
    <row r="594" spans="1:10">
      <c r="A594" s="1">
        <v>41072</v>
      </c>
      <c r="B594">
        <v>7.32</v>
      </c>
      <c r="C594">
        <v>7.5</v>
      </c>
      <c r="D594">
        <v>7.22</v>
      </c>
      <c r="E594">
        <v>7.49</v>
      </c>
      <c r="F594">
        <v>148255600</v>
      </c>
      <c r="G594">
        <v>7.45</v>
      </c>
      <c r="H594" t="s">
        <v>2</v>
      </c>
      <c r="I594" s="22">
        <f t="shared" si="19"/>
        <v>2.8592825993843052E-2</v>
      </c>
      <c r="J594" s="22" t="str">
        <f t="shared" si="20"/>
        <v/>
      </c>
    </row>
    <row r="595" spans="1:10">
      <c r="A595" s="1">
        <v>41073</v>
      </c>
      <c r="B595">
        <v>7.4</v>
      </c>
      <c r="C595">
        <v>7.61</v>
      </c>
      <c r="D595">
        <v>7.35</v>
      </c>
      <c r="E595">
        <v>7.5</v>
      </c>
      <c r="F595">
        <v>218697600</v>
      </c>
      <c r="G595">
        <v>7.46</v>
      </c>
      <c r="H595" t="s">
        <v>2</v>
      </c>
      <c r="I595" s="22">
        <f t="shared" si="19"/>
        <v>1.3413818242013111E-3</v>
      </c>
      <c r="J595" s="22" t="str">
        <f t="shared" si="20"/>
        <v/>
      </c>
    </row>
    <row r="596" spans="1:10">
      <c r="A596" s="1">
        <v>41074</v>
      </c>
      <c r="B596">
        <v>7.52</v>
      </c>
      <c r="C596">
        <v>7.69</v>
      </c>
      <c r="D596">
        <v>7.45</v>
      </c>
      <c r="E596">
        <v>7.66</v>
      </c>
      <c r="F596">
        <v>157528300</v>
      </c>
      <c r="G596">
        <v>7.62</v>
      </c>
      <c r="H596" t="s">
        <v>2</v>
      </c>
      <c r="I596" s="22">
        <f t="shared" si="19"/>
        <v>2.1220955482885436E-2</v>
      </c>
      <c r="J596" s="22" t="str">
        <f t="shared" si="20"/>
        <v/>
      </c>
    </row>
    <row r="597" spans="1:10">
      <c r="A597" s="1">
        <v>41075</v>
      </c>
      <c r="B597">
        <v>7.72</v>
      </c>
      <c r="C597">
        <v>7.9</v>
      </c>
      <c r="D597">
        <v>7.55</v>
      </c>
      <c r="E597">
        <v>7.9</v>
      </c>
      <c r="F597">
        <v>211751900</v>
      </c>
      <c r="G597">
        <v>7.86</v>
      </c>
      <c r="H597" t="s">
        <v>2</v>
      </c>
      <c r="I597" s="22">
        <f t="shared" si="19"/>
        <v>3.1010236742560218E-2</v>
      </c>
      <c r="J597" s="22" t="str">
        <f t="shared" si="20"/>
        <v/>
      </c>
    </row>
    <row r="598" spans="1:10">
      <c r="A598" s="1">
        <v>41078</v>
      </c>
      <c r="B598">
        <v>7.77</v>
      </c>
      <c r="C598">
        <v>7.91</v>
      </c>
      <c r="D598">
        <v>7.73</v>
      </c>
      <c r="E598">
        <v>7.76</v>
      </c>
      <c r="F598">
        <v>140319900</v>
      </c>
      <c r="G598">
        <v>7.72</v>
      </c>
      <c r="H598" t="s">
        <v>2</v>
      </c>
      <c r="I598" s="22">
        <f t="shared" si="19"/>
        <v>-1.7972242404430482E-2</v>
      </c>
      <c r="J598" s="22" t="str">
        <f t="shared" si="20"/>
        <v>lost money</v>
      </c>
    </row>
    <row r="599" spans="1:10">
      <c r="A599" s="1">
        <v>41079</v>
      </c>
      <c r="B599">
        <v>7.88</v>
      </c>
      <c r="C599">
        <v>8.2100000000000009</v>
      </c>
      <c r="D599">
        <v>7.86</v>
      </c>
      <c r="E599">
        <v>8.11</v>
      </c>
      <c r="F599">
        <v>248771500</v>
      </c>
      <c r="G599">
        <v>8.07</v>
      </c>
      <c r="H599" t="s">
        <v>2</v>
      </c>
      <c r="I599" s="22">
        <f t="shared" si="19"/>
        <v>4.4339118245172782E-2</v>
      </c>
      <c r="J599" s="22" t="str">
        <f t="shared" si="20"/>
        <v/>
      </c>
    </row>
    <row r="600" spans="1:10">
      <c r="A600" s="1">
        <v>41080</v>
      </c>
      <c r="B600">
        <v>8.16</v>
      </c>
      <c r="C600">
        <v>8.2200000000000006</v>
      </c>
      <c r="D600">
        <v>8.02</v>
      </c>
      <c r="E600">
        <v>8.14</v>
      </c>
      <c r="F600">
        <v>213582800</v>
      </c>
      <c r="G600">
        <v>8.1</v>
      </c>
      <c r="H600" t="s">
        <v>2</v>
      </c>
      <c r="I600" s="22">
        <f t="shared" si="19"/>
        <v>3.7105793965355534E-3</v>
      </c>
      <c r="J600" s="22" t="str">
        <f t="shared" si="20"/>
        <v>lost money</v>
      </c>
    </row>
    <row r="601" spans="1:10">
      <c r="A601" s="1">
        <v>41081</v>
      </c>
      <c r="B601">
        <v>8.11</v>
      </c>
      <c r="C601">
        <v>8.17</v>
      </c>
      <c r="D601">
        <v>7.8</v>
      </c>
      <c r="E601">
        <v>7.82</v>
      </c>
      <c r="F601">
        <v>227157600</v>
      </c>
      <c r="G601">
        <v>7.78</v>
      </c>
      <c r="H601" t="s">
        <v>2</v>
      </c>
      <c r="I601" s="22">
        <f t="shared" si="19"/>
        <v>-4.030772348809275E-2</v>
      </c>
      <c r="J601" s="22" t="str">
        <f t="shared" si="20"/>
        <v>lost money</v>
      </c>
    </row>
    <row r="602" spans="1:10">
      <c r="A602" s="1">
        <v>41082</v>
      </c>
      <c r="B602">
        <v>7.97</v>
      </c>
      <c r="C602">
        <v>8.01</v>
      </c>
      <c r="D602">
        <v>7.79</v>
      </c>
      <c r="E602">
        <v>7.94</v>
      </c>
      <c r="F602">
        <v>142219300</v>
      </c>
      <c r="G602">
        <v>7.9</v>
      </c>
      <c r="H602" t="s">
        <v>2</v>
      </c>
      <c r="I602" s="22">
        <f t="shared" si="19"/>
        <v>1.5306421282675507E-2</v>
      </c>
      <c r="J602" s="22" t="str">
        <f t="shared" si="20"/>
        <v>lost money</v>
      </c>
    </row>
    <row r="603" spans="1:10">
      <c r="A603" s="1">
        <v>41085</v>
      </c>
      <c r="B603">
        <v>7.74</v>
      </c>
      <c r="C603">
        <v>7.74</v>
      </c>
      <c r="D603">
        <v>7.56</v>
      </c>
      <c r="E603">
        <v>7.6</v>
      </c>
      <c r="F603">
        <v>151907200</v>
      </c>
      <c r="G603">
        <v>7.56</v>
      </c>
      <c r="H603" t="s">
        <v>2</v>
      </c>
      <c r="I603" s="22">
        <f t="shared" si="19"/>
        <v>-4.3991569281534304E-2</v>
      </c>
      <c r="J603" s="22" t="str">
        <f t="shared" si="20"/>
        <v>lost money</v>
      </c>
    </row>
    <row r="604" spans="1:10">
      <c r="A604" s="1">
        <v>41086</v>
      </c>
      <c r="B604">
        <v>7.65</v>
      </c>
      <c r="C604">
        <v>7.68</v>
      </c>
      <c r="D604">
        <v>7.48</v>
      </c>
      <c r="E604">
        <v>7.62</v>
      </c>
      <c r="F604">
        <v>129776500</v>
      </c>
      <c r="G604">
        <v>7.58</v>
      </c>
      <c r="H604" t="s">
        <v>2</v>
      </c>
      <c r="I604" s="22">
        <f t="shared" si="19"/>
        <v>2.6420094628387975E-3</v>
      </c>
      <c r="J604" s="22" t="str">
        <f t="shared" si="20"/>
        <v>lost money</v>
      </c>
    </row>
    <row r="605" spans="1:10">
      <c r="A605" s="1">
        <v>41087</v>
      </c>
      <c r="B605">
        <v>7.68</v>
      </c>
      <c r="C605">
        <v>7.82</v>
      </c>
      <c r="D605">
        <v>7.61</v>
      </c>
      <c r="E605">
        <v>7.77</v>
      </c>
      <c r="F605">
        <v>111335500</v>
      </c>
      <c r="G605">
        <v>7.73</v>
      </c>
      <c r="H605" t="s">
        <v>2</v>
      </c>
      <c r="I605" s="22">
        <f t="shared" si="19"/>
        <v>1.9595662945050416E-2</v>
      </c>
      <c r="J605" s="22" t="str">
        <f t="shared" si="20"/>
        <v/>
      </c>
    </row>
    <row r="606" spans="1:10">
      <c r="A606" s="1">
        <v>41088</v>
      </c>
      <c r="B606">
        <v>7.62</v>
      </c>
      <c r="C606">
        <v>7.75</v>
      </c>
      <c r="D606">
        <v>7.53</v>
      </c>
      <c r="E606">
        <v>7.74</v>
      </c>
      <c r="F606">
        <v>133125300</v>
      </c>
      <c r="G606">
        <v>7.7</v>
      </c>
      <c r="H606" t="s">
        <v>2</v>
      </c>
      <c r="I606" s="22">
        <f t="shared" si="19"/>
        <v>-3.8885337396924805E-3</v>
      </c>
      <c r="J606" s="22" t="str">
        <f t="shared" si="20"/>
        <v/>
      </c>
    </row>
    <row r="607" spans="1:10">
      <c r="A607" s="1">
        <v>41089</v>
      </c>
      <c r="B607">
        <v>8</v>
      </c>
      <c r="C607">
        <v>8.1999999999999993</v>
      </c>
      <c r="D607">
        <v>7.95</v>
      </c>
      <c r="E607">
        <v>8.18</v>
      </c>
      <c r="F607">
        <v>258769800</v>
      </c>
      <c r="G607">
        <v>8.14</v>
      </c>
      <c r="H607" t="s">
        <v>2</v>
      </c>
      <c r="I607" s="22">
        <f t="shared" si="19"/>
        <v>5.5569851154810786E-2</v>
      </c>
      <c r="J607" s="22" t="str">
        <f t="shared" si="20"/>
        <v/>
      </c>
    </row>
    <row r="608" spans="1:10">
      <c r="A608" s="1">
        <v>41092</v>
      </c>
      <c r="B608">
        <v>8.1999999999999993</v>
      </c>
      <c r="C608">
        <v>8.2100000000000009</v>
      </c>
      <c r="D608">
        <v>7.87</v>
      </c>
      <c r="E608">
        <v>8.0500000000000007</v>
      </c>
      <c r="F608">
        <v>152974000</v>
      </c>
      <c r="G608">
        <v>8.01</v>
      </c>
      <c r="H608" t="s">
        <v>2</v>
      </c>
      <c r="I608" s="22">
        <f t="shared" si="19"/>
        <v>-1.6099418934181126E-2</v>
      </c>
      <c r="J608" s="22" t="str">
        <f t="shared" si="20"/>
        <v>lost money</v>
      </c>
    </row>
    <row r="609" spans="1:10">
      <c r="A609" s="1">
        <v>41093</v>
      </c>
      <c r="B609">
        <v>8.06</v>
      </c>
      <c r="C609">
        <v>8.1199999999999992</v>
      </c>
      <c r="D609">
        <v>8.01</v>
      </c>
      <c r="E609">
        <v>8.06</v>
      </c>
      <c r="F609">
        <v>57653700</v>
      </c>
      <c r="G609">
        <v>8.02</v>
      </c>
      <c r="H609" t="s">
        <v>2</v>
      </c>
      <c r="I609" s="22">
        <f t="shared" si="19"/>
        <v>1.2476607981552772E-3</v>
      </c>
      <c r="J609" s="22" t="str">
        <f t="shared" si="20"/>
        <v/>
      </c>
    </row>
    <row r="610" spans="1:10">
      <c r="A610" s="1">
        <v>41095</v>
      </c>
      <c r="B610">
        <v>8.0299999999999994</v>
      </c>
      <c r="C610">
        <v>8.06</v>
      </c>
      <c r="D610">
        <v>7.82</v>
      </c>
      <c r="E610">
        <v>7.82</v>
      </c>
      <c r="F610">
        <v>120162000</v>
      </c>
      <c r="G610">
        <v>7.78</v>
      </c>
      <c r="H610" t="s">
        <v>2</v>
      </c>
      <c r="I610" s="22">
        <f t="shared" si="19"/>
        <v>-3.0382083688122802E-2</v>
      </c>
      <c r="J610" s="22" t="str">
        <f t="shared" si="20"/>
        <v>lost money</v>
      </c>
    </row>
    <row r="611" spans="1:10">
      <c r="A611" s="1">
        <v>41096</v>
      </c>
      <c r="B611">
        <v>7.69</v>
      </c>
      <c r="C611">
        <v>7.8</v>
      </c>
      <c r="D611">
        <v>7.65</v>
      </c>
      <c r="E611">
        <v>7.66</v>
      </c>
      <c r="F611">
        <v>116595200</v>
      </c>
      <c r="G611">
        <v>7.62</v>
      </c>
      <c r="H611" t="s">
        <v>2</v>
      </c>
      <c r="I611" s="22">
        <f t="shared" si="19"/>
        <v>-2.077996849174531E-2</v>
      </c>
      <c r="J611" s="22" t="str">
        <f t="shared" si="20"/>
        <v>lost money</v>
      </c>
    </row>
    <row r="612" spans="1:10">
      <c r="A612" s="1">
        <v>41099</v>
      </c>
      <c r="B612">
        <v>7.63</v>
      </c>
      <c r="C612">
        <v>7.7</v>
      </c>
      <c r="D612">
        <v>7.53</v>
      </c>
      <c r="E612">
        <v>7.56</v>
      </c>
      <c r="F612">
        <v>87078300</v>
      </c>
      <c r="G612">
        <v>7.52</v>
      </c>
      <c r="H612" t="s">
        <v>2</v>
      </c>
      <c r="I612" s="22">
        <f t="shared" si="19"/>
        <v>-1.3210231736806575E-2</v>
      </c>
      <c r="J612" s="22" t="str">
        <f t="shared" si="20"/>
        <v>lost money</v>
      </c>
    </row>
    <row r="613" spans="1:10">
      <c r="A613" s="1">
        <v>41100</v>
      </c>
      <c r="B613">
        <v>7.65</v>
      </c>
      <c r="C613">
        <v>7.67</v>
      </c>
      <c r="D613">
        <v>7.4</v>
      </c>
      <c r="E613">
        <v>7.48</v>
      </c>
      <c r="F613">
        <v>101758300</v>
      </c>
      <c r="G613">
        <v>7.44</v>
      </c>
      <c r="H613" t="s">
        <v>2</v>
      </c>
      <c r="I613" s="22">
        <f t="shared" si="19"/>
        <v>-1.0695289116747806E-2</v>
      </c>
      <c r="J613" s="22" t="str">
        <f t="shared" si="20"/>
        <v>lost money</v>
      </c>
    </row>
    <row r="614" spans="1:10">
      <c r="A614" s="1">
        <v>41101</v>
      </c>
      <c r="B614">
        <v>7.49</v>
      </c>
      <c r="C614">
        <v>7.69</v>
      </c>
      <c r="D614">
        <v>7.45</v>
      </c>
      <c r="E614">
        <v>7.63</v>
      </c>
      <c r="F614">
        <v>128619400</v>
      </c>
      <c r="G614">
        <v>7.59</v>
      </c>
      <c r="H614" t="s">
        <v>2</v>
      </c>
      <c r="I614" s="22">
        <f t="shared" si="19"/>
        <v>1.9960742562537933E-2</v>
      </c>
      <c r="J614" s="22" t="str">
        <f t="shared" si="20"/>
        <v/>
      </c>
    </row>
    <row r="615" spans="1:10">
      <c r="A615" s="1">
        <v>41102</v>
      </c>
      <c r="B615">
        <v>7.53</v>
      </c>
      <c r="C615">
        <v>7.55</v>
      </c>
      <c r="D615">
        <v>7.43</v>
      </c>
      <c r="E615">
        <v>7.48</v>
      </c>
      <c r="F615">
        <v>107637000</v>
      </c>
      <c r="G615">
        <v>7.44</v>
      </c>
      <c r="H615" t="s">
        <v>2</v>
      </c>
      <c r="I615" s="22">
        <f t="shared" si="19"/>
        <v>-1.9960742562537943E-2</v>
      </c>
      <c r="J615" s="22" t="str">
        <f t="shared" si="20"/>
        <v>lost money</v>
      </c>
    </row>
    <row r="616" spans="1:10">
      <c r="A616" s="1">
        <v>41103</v>
      </c>
      <c r="B616">
        <v>7.56</v>
      </c>
      <c r="C616">
        <v>7.83</v>
      </c>
      <c r="D616">
        <v>7.55</v>
      </c>
      <c r="E616">
        <v>7.82</v>
      </c>
      <c r="F616">
        <v>177154500</v>
      </c>
      <c r="G616">
        <v>7.78</v>
      </c>
      <c r="H616" t="s">
        <v>2</v>
      </c>
      <c r="I616" s="22">
        <f t="shared" si="19"/>
        <v>4.46854893452997E-2</v>
      </c>
      <c r="J616" s="22" t="str">
        <f t="shared" si="20"/>
        <v/>
      </c>
    </row>
    <row r="617" spans="1:10">
      <c r="A617" s="1">
        <v>41106</v>
      </c>
      <c r="B617">
        <v>7.93</v>
      </c>
      <c r="C617">
        <v>7.96</v>
      </c>
      <c r="D617">
        <v>7.77</v>
      </c>
      <c r="E617">
        <v>7.81</v>
      </c>
      <c r="F617">
        <v>109439900</v>
      </c>
      <c r="G617">
        <v>7.77</v>
      </c>
      <c r="H617" t="s">
        <v>2</v>
      </c>
      <c r="I617" s="22">
        <f t="shared" si="19"/>
        <v>-1.2861738107442296E-3</v>
      </c>
      <c r="J617" s="22" t="str">
        <f t="shared" si="20"/>
        <v>lost money</v>
      </c>
    </row>
    <row r="618" spans="1:10">
      <c r="A618" s="1">
        <v>41107</v>
      </c>
      <c r="B618">
        <v>7.92</v>
      </c>
      <c r="C618">
        <v>7.93</v>
      </c>
      <c r="D618">
        <v>7.75</v>
      </c>
      <c r="E618">
        <v>7.92</v>
      </c>
      <c r="F618">
        <v>127266800</v>
      </c>
      <c r="G618">
        <v>7.88</v>
      </c>
      <c r="H618" t="s">
        <v>2</v>
      </c>
      <c r="I618" s="22">
        <f t="shared" si="19"/>
        <v>1.405773949023173E-2</v>
      </c>
      <c r="J618" s="22" t="str">
        <f t="shared" si="20"/>
        <v/>
      </c>
    </row>
    <row r="619" spans="1:10">
      <c r="A619" s="1">
        <v>41108</v>
      </c>
      <c r="B619">
        <v>7.88</v>
      </c>
      <c r="C619">
        <v>7.93</v>
      </c>
      <c r="D619">
        <v>7.5</v>
      </c>
      <c r="E619">
        <v>7.53</v>
      </c>
      <c r="F619">
        <v>254341100</v>
      </c>
      <c r="G619">
        <v>7.49</v>
      </c>
      <c r="H619" t="s">
        <v>2</v>
      </c>
      <c r="I619" s="22">
        <f t="shared" si="19"/>
        <v>-5.0759106340659658E-2</v>
      </c>
      <c r="J619" s="22" t="str">
        <f t="shared" si="20"/>
        <v>lost money</v>
      </c>
    </row>
    <row r="620" spans="1:10">
      <c r="A620" s="1">
        <v>41109</v>
      </c>
      <c r="B620">
        <v>7.56</v>
      </c>
      <c r="C620">
        <v>7.65</v>
      </c>
      <c r="D620">
        <v>7.12</v>
      </c>
      <c r="E620">
        <v>7.26</v>
      </c>
      <c r="F620">
        <v>260959200</v>
      </c>
      <c r="G620">
        <v>7.22</v>
      </c>
      <c r="H620" t="s">
        <v>2</v>
      </c>
      <c r="I620" s="22">
        <f t="shared" si="19"/>
        <v>-3.6713844624393352E-2</v>
      </c>
      <c r="J620" s="22" t="str">
        <f t="shared" si="20"/>
        <v>lost money</v>
      </c>
    </row>
    <row r="621" spans="1:10">
      <c r="A621" s="1">
        <v>41110</v>
      </c>
      <c r="B621">
        <v>7.21</v>
      </c>
      <c r="C621">
        <v>7.21</v>
      </c>
      <c r="D621">
        <v>7.06</v>
      </c>
      <c r="E621">
        <v>7.07</v>
      </c>
      <c r="F621">
        <v>160463000</v>
      </c>
      <c r="G621">
        <v>7.03</v>
      </c>
      <c r="H621" t="s">
        <v>2</v>
      </c>
      <c r="I621" s="22">
        <f t="shared" si="19"/>
        <v>-2.6668247082161294E-2</v>
      </c>
      <c r="J621" s="22" t="str">
        <f t="shared" si="20"/>
        <v>lost money</v>
      </c>
    </row>
    <row r="622" spans="1:10">
      <c r="A622" s="1">
        <v>41113</v>
      </c>
      <c r="B622">
        <v>6.94</v>
      </c>
      <c r="C622">
        <v>7.15</v>
      </c>
      <c r="D622">
        <v>6.9</v>
      </c>
      <c r="E622">
        <v>7.09</v>
      </c>
      <c r="F622">
        <v>168638000</v>
      </c>
      <c r="G622">
        <v>7.05</v>
      </c>
      <c r="H622" t="s">
        <v>2</v>
      </c>
      <c r="I622" s="22">
        <f t="shared" si="19"/>
        <v>2.8409110016036497E-3</v>
      </c>
      <c r="J622" s="22" t="str">
        <f t="shared" si="20"/>
        <v/>
      </c>
    </row>
    <row r="623" spans="1:10">
      <c r="A623" s="1">
        <v>41114</v>
      </c>
      <c r="B623">
        <v>7.16</v>
      </c>
      <c r="C623">
        <v>7.18</v>
      </c>
      <c r="D623">
        <v>6.97</v>
      </c>
      <c r="E623">
        <v>7.04</v>
      </c>
      <c r="F623">
        <v>138286700</v>
      </c>
      <c r="G623">
        <v>7</v>
      </c>
      <c r="H623" t="s">
        <v>2</v>
      </c>
      <c r="I623" s="22">
        <f t="shared" si="19"/>
        <v>-7.1174677688639896E-3</v>
      </c>
      <c r="J623" s="22" t="str">
        <f t="shared" si="20"/>
        <v>lost money</v>
      </c>
    </row>
    <row r="624" spans="1:10">
      <c r="A624" s="1">
        <v>41115</v>
      </c>
      <c r="B624">
        <v>7.11</v>
      </c>
      <c r="C624">
        <v>7.16</v>
      </c>
      <c r="D624">
        <v>7.01</v>
      </c>
      <c r="E624">
        <v>7.07</v>
      </c>
      <c r="F624">
        <v>117241300</v>
      </c>
      <c r="G624">
        <v>7.03</v>
      </c>
      <c r="H624" t="s">
        <v>2</v>
      </c>
      <c r="I624" s="22">
        <f t="shared" si="19"/>
        <v>4.276556767260172E-3</v>
      </c>
      <c r="J624" s="22" t="str">
        <f t="shared" si="20"/>
        <v>lost money</v>
      </c>
    </row>
    <row r="625" spans="1:10">
      <c r="A625" s="1">
        <v>41116</v>
      </c>
      <c r="B625">
        <v>7.22</v>
      </c>
      <c r="C625">
        <v>7.24</v>
      </c>
      <c r="D625">
        <v>7.11</v>
      </c>
      <c r="E625">
        <v>7.17</v>
      </c>
      <c r="F625">
        <v>121121500</v>
      </c>
      <c r="G625">
        <v>7.13</v>
      </c>
      <c r="H625" t="s">
        <v>2</v>
      </c>
      <c r="I625" s="22">
        <f t="shared" si="19"/>
        <v>1.4124528603630981E-2</v>
      </c>
      <c r="J625" s="22" t="str">
        <f t="shared" si="20"/>
        <v>lost money</v>
      </c>
    </row>
    <row r="626" spans="1:10">
      <c r="A626" s="1">
        <v>41117</v>
      </c>
      <c r="B626">
        <v>7.2</v>
      </c>
      <c r="C626">
        <v>7.4</v>
      </c>
      <c r="D626">
        <v>7.14</v>
      </c>
      <c r="E626">
        <v>7.31</v>
      </c>
      <c r="F626">
        <v>146210900</v>
      </c>
      <c r="G626">
        <v>7.27</v>
      </c>
      <c r="H626" t="s">
        <v>2</v>
      </c>
      <c r="I626" s="22">
        <f t="shared" si="19"/>
        <v>1.9445057119223376E-2</v>
      </c>
      <c r="J626" s="22" t="str">
        <f t="shared" si="20"/>
        <v/>
      </c>
    </row>
    <row r="627" spans="1:10">
      <c r="A627" s="1">
        <v>41120</v>
      </c>
      <c r="B627">
        <v>7.28</v>
      </c>
      <c r="C627">
        <v>7.38</v>
      </c>
      <c r="D627">
        <v>7.26</v>
      </c>
      <c r="E627">
        <v>7.28</v>
      </c>
      <c r="F627">
        <v>74683800</v>
      </c>
      <c r="G627">
        <v>7.24</v>
      </c>
      <c r="H627" t="s">
        <v>2</v>
      </c>
      <c r="I627" s="22">
        <f t="shared" si="19"/>
        <v>-4.1350851478028786E-3</v>
      </c>
      <c r="J627" s="22" t="str">
        <f t="shared" si="20"/>
        <v/>
      </c>
    </row>
    <row r="628" spans="1:10">
      <c r="A628" s="1">
        <v>41121</v>
      </c>
      <c r="B628">
        <v>7.28</v>
      </c>
      <c r="C628">
        <v>7.34</v>
      </c>
      <c r="D628">
        <v>7.21</v>
      </c>
      <c r="E628">
        <v>7.34</v>
      </c>
      <c r="F628">
        <v>86093200</v>
      </c>
      <c r="G628">
        <v>7.3</v>
      </c>
      <c r="H628" t="s">
        <v>2</v>
      </c>
      <c r="I628" s="22">
        <f t="shared" si="19"/>
        <v>8.2531417567204817E-3</v>
      </c>
      <c r="J628" s="22" t="str">
        <f t="shared" si="20"/>
        <v/>
      </c>
    </row>
    <row r="629" spans="1:10">
      <c r="A629" s="1">
        <v>41122</v>
      </c>
      <c r="B629">
        <v>7.35</v>
      </c>
      <c r="C629">
        <v>7.36</v>
      </c>
      <c r="D629">
        <v>7.21</v>
      </c>
      <c r="E629">
        <v>7.22</v>
      </c>
      <c r="F629">
        <v>97187800</v>
      </c>
      <c r="G629">
        <v>7.18</v>
      </c>
      <c r="H629" t="s">
        <v>2</v>
      </c>
      <c r="I629" s="22">
        <f t="shared" si="19"/>
        <v>-1.6574965094212676E-2</v>
      </c>
      <c r="J629" s="22" t="str">
        <f t="shared" si="20"/>
        <v>lost money</v>
      </c>
    </row>
    <row r="630" spans="1:10">
      <c r="A630" s="1">
        <v>41123</v>
      </c>
      <c r="B630">
        <v>7.12</v>
      </c>
      <c r="C630">
        <v>7.26</v>
      </c>
      <c r="D630">
        <v>7.1</v>
      </c>
      <c r="E630">
        <v>7.18</v>
      </c>
      <c r="F630">
        <v>112848000</v>
      </c>
      <c r="G630">
        <v>7.14</v>
      </c>
      <c r="H630" t="s">
        <v>2</v>
      </c>
      <c r="I630" s="22">
        <f t="shared" si="19"/>
        <v>-5.5866067086398231E-3</v>
      </c>
      <c r="J630" s="22" t="str">
        <f t="shared" si="20"/>
        <v/>
      </c>
    </row>
    <row r="631" spans="1:10">
      <c r="A631" s="1">
        <v>41124</v>
      </c>
      <c r="B631">
        <v>7.3</v>
      </c>
      <c r="C631">
        <v>7.49</v>
      </c>
      <c r="D631">
        <v>7.27</v>
      </c>
      <c r="E631">
        <v>7.43</v>
      </c>
      <c r="F631">
        <v>130250800</v>
      </c>
      <c r="G631">
        <v>7.39</v>
      </c>
      <c r="H631" t="s">
        <v>2</v>
      </c>
      <c r="I631" s="22">
        <f t="shared" si="19"/>
        <v>3.4414958608617485E-2</v>
      </c>
      <c r="J631" s="22" t="str">
        <f t="shared" si="20"/>
        <v/>
      </c>
    </row>
    <row r="632" spans="1:10">
      <c r="A632" s="1">
        <v>41127</v>
      </c>
      <c r="B632">
        <v>7.45</v>
      </c>
      <c r="C632">
        <v>7.68</v>
      </c>
      <c r="D632">
        <v>7.44</v>
      </c>
      <c r="E632">
        <v>7.64</v>
      </c>
      <c r="F632">
        <v>112657000</v>
      </c>
      <c r="G632">
        <v>7.6</v>
      </c>
      <c r="H632" t="s">
        <v>2</v>
      </c>
      <c r="I632" s="22">
        <f t="shared" si="19"/>
        <v>2.80205123321749E-2</v>
      </c>
      <c r="J632" s="22" t="str">
        <f t="shared" si="20"/>
        <v/>
      </c>
    </row>
    <row r="633" spans="1:10">
      <c r="A633" s="1">
        <v>41128</v>
      </c>
      <c r="B633">
        <v>7.71</v>
      </c>
      <c r="C633">
        <v>7.85</v>
      </c>
      <c r="D633">
        <v>7.66</v>
      </c>
      <c r="E633">
        <v>7.67</v>
      </c>
      <c r="F633">
        <v>119572200</v>
      </c>
      <c r="G633">
        <v>7.63</v>
      </c>
      <c r="H633" t="s">
        <v>2</v>
      </c>
      <c r="I633" s="22">
        <f t="shared" si="19"/>
        <v>3.9395980040803098E-3</v>
      </c>
      <c r="J633" s="22" t="str">
        <f t="shared" si="20"/>
        <v>lost money</v>
      </c>
    </row>
    <row r="634" spans="1:10">
      <c r="A634" s="1">
        <v>41129</v>
      </c>
      <c r="B634">
        <v>7.58</v>
      </c>
      <c r="C634">
        <v>7.77</v>
      </c>
      <c r="D634">
        <v>7.57</v>
      </c>
      <c r="E634">
        <v>7.67</v>
      </c>
      <c r="F634">
        <v>73353500</v>
      </c>
      <c r="G634">
        <v>7.63</v>
      </c>
      <c r="H634" t="s">
        <v>2</v>
      </c>
      <c r="I634" s="22">
        <f t="shared" si="19"/>
        <v>0</v>
      </c>
      <c r="J634" s="22" t="str">
        <f t="shared" si="20"/>
        <v/>
      </c>
    </row>
    <row r="635" spans="1:10">
      <c r="A635" s="1">
        <v>41130</v>
      </c>
      <c r="B635">
        <v>7.68</v>
      </c>
      <c r="C635">
        <v>7.76</v>
      </c>
      <c r="D635">
        <v>7.67</v>
      </c>
      <c r="E635">
        <v>7.72</v>
      </c>
      <c r="F635">
        <v>59676500</v>
      </c>
      <c r="G635">
        <v>7.68</v>
      </c>
      <c r="H635" t="s">
        <v>2</v>
      </c>
      <c r="I635" s="22">
        <f t="shared" si="19"/>
        <v>6.5317018632150593E-3</v>
      </c>
      <c r="J635" s="22" t="str">
        <f t="shared" si="20"/>
        <v/>
      </c>
    </row>
    <row r="636" spans="1:10">
      <c r="A636" s="1">
        <v>41131</v>
      </c>
      <c r="B636">
        <v>7.66</v>
      </c>
      <c r="C636">
        <v>7.76</v>
      </c>
      <c r="D636">
        <v>7.63</v>
      </c>
      <c r="E636">
        <v>7.74</v>
      </c>
      <c r="F636">
        <v>50443800</v>
      </c>
      <c r="G636">
        <v>7.7</v>
      </c>
      <c r="H636" t="s">
        <v>2</v>
      </c>
      <c r="I636" s="22">
        <f t="shared" si="19"/>
        <v>2.6007817000574403E-3</v>
      </c>
      <c r="J636" s="22" t="str">
        <f t="shared" si="20"/>
        <v/>
      </c>
    </row>
    <row r="637" spans="1:10">
      <c r="A637" s="1">
        <v>41134</v>
      </c>
      <c r="B637">
        <v>7.72</v>
      </c>
      <c r="C637">
        <v>7.83</v>
      </c>
      <c r="D637">
        <v>7.68</v>
      </c>
      <c r="E637">
        <v>7.72</v>
      </c>
      <c r="F637">
        <v>58341300</v>
      </c>
      <c r="G637">
        <v>7.68</v>
      </c>
      <c r="H637" t="s">
        <v>2</v>
      </c>
      <c r="I637" s="22">
        <f t="shared" si="19"/>
        <v>-2.6007817000574785E-3</v>
      </c>
      <c r="J637" s="22" t="str">
        <f t="shared" si="20"/>
        <v/>
      </c>
    </row>
    <row r="638" spans="1:10">
      <c r="A638" s="1">
        <v>41135</v>
      </c>
      <c r="B638">
        <v>7.78</v>
      </c>
      <c r="C638">
        <v>7.9</v>
      </c>
      <c r="D638">
        <v>7.74</v>
      </c>
      <c r="E638">
        <v>7.78</v>
      </c>
      <c r="F638">
        <v>104644000</v>
      </c>
      <c r="G638">
        <v>7.74</v>
      </c>
      <c r="H638" t="s">
        <v>2</v>
      </c>
      <c r="I638" s="22">
        <f t="shared" si="19"/>
        <v>7.782140442054949E-3</v>
      </c>
      <c r="J638" s="22" t="str">
        <f t="shared" si="20"/>
        <v/>
      </c>
    </row>
    <row r="639" spans="1:10">
      <c r="A639" s="1">
        <v>41136</v>
      </c>
      <c r="B639">
        <v>7.75</v>
      </c>
      <c r="C639">
        <v>7.87</v>
      </c>
      <c r="D639">
        <v>7.73</v>
      </c>
      <c r="E639">
        <v>7.87</v>
      </c>
      <c r="F639">
        <v>73559200</v>
      </c>
      <c r="G639">
        <v>7.83</v>
      </c>
      <c r="H639" t="s">
        <v>2</v>
      </c>
      <c r="I639" s="22">
        <f t="shared" si="19"/>
        <v>1.1560822401076006E-2</v>
      </c>
      <c r="J639" s="22" t="str">
        <f t="shared" si="20"/>
        <v/>
      </c>
    </row>
    <row r="640" spans="1:10">
      <c r="A640" s="1">
        <v>41137</v>
      </c>
      <c r="B640">
        <v>7.89</v>
      </c>
      <c r="C640">
        <v>7.96</v>
      </c>
      <c r="D640">
        <v>7.83</v>
      </c>
      <c r="E640">
        <v>7.93</v>
      </c>
      <c r="F640">
        <v>78181200</v>
      </c>
      <c r="G640">
        <v>7.89</v>
      </c>
      <c r="H640" t="s">
        <v>2</v>
      </c>
      <c r="I640" s="22">
        <f t="shared" si="19"/>
        <v>7.6336248550709848E-3</v>
      </c>
      <c r="J640" s="22" t="str">
        <f t="shared" si="20"/>
        <v/>
      </c>
    </row>
    <row r="641" spans="1:10">
      <c r="A641" s="1">
        <v>41138</v>
      </c>
      <c r="B641">
        <v>7.97</v>
      </c>
      <c r="C641">
        <v>8.1199999999999992</v>
      </c>
      <c r="D641">
        <v>7.94</v>
      </c>
      <c r="E641">
        <v>8</v>
      </c>
      <c r="F641">
        <v>138307600</v>
      </c>
      <c r="G641">
        <v>7.96</v>
      </c>
      <c r="H641" t="s">
        <v>2</v>
      </c>
      <c r="I641" s="22">
        <f t="shared" si="19"/>
        <v>8.8328649985088842E-3</v>
      </c>
      <c r="J641" s="22" t="str">
        <f t="shared" si="20"/>
        <v/>
      </c>
    </row>
    <row r="642" spans="1:10">
      <c r="A642" s="1">
        <v>41141</v>
      </c>
      <c r="B642">
        <v>7.98</v>
      </c>
      <c r="C642">
        <v>8.19</v>
      </c>
      <c r="D642">
        <v>7.98</v>
      </c>
      <c r="E642">
        <v>8.15</v>
      </c>
      <c r="F642">
        <v>100276900</v>
      </c>
      <c r="G642">
        <v>8.11</v>
      </c>
      <c r="H642" t="s">
        <v>2</v>
      </c>
      <c r="I642" s="22">
        <f t="shared" si="19"/>
        <v>1.8668868271029797E-2</v>
      </c>
      <c r="J642" s="22" t="str">
        <f t="shared" si="20"/>
        <v/>
      </c>
    </row>
    <row r="643" spans="1:10">
      <c r="A643" s="1">
        <v>41142</v>
      </c>
      <c r="B643">
        <v>8.25</v>
      </c>
      <c r="C643">
        <v>8.4</v>
      </c>
      <c r="D643">
        <v>8.16</v>
      </c>
      <c r="E643">
        <v>8.19</v>
      </c>
      <c r="F643">
        <v>190820700</v>
      </c>
      <c r="G643">
        <v>8.15</v>
      </c>
      <c r="H643" t="s">
        <v>2</v>
      </c>
      <c r="I643" s="22">
        <f t="shared" ref="I643:I706" si="21">IF(A643=$A$2,"",LN(G643/G642))</f>
        <v>4.9200591254498528E-3</v>
      </c>
      <c r="J643" s="22" t="str">
        <f t="shared" ref="J643:J706" si="22">IF(B643&gt;E643,"lost money","")</f>
        <v>lost money</v>
      </c>
    </row>
    <row r="644" spans="1:10">
      <c r="A644" s="1">
        <v>41143</v>
      </c>
      <c r="B644">
        <v>8.14</v>
      </c>
      <c r="C644">
        <v>8.32</v>
      </c>
      <c r="D644">
        <v>8.1199999999999992</v>
      </c>
      <c r="E644">
        <v>8.2200000000000006</v>
      </c>
      <c r="F644">
        <v>140333800</v>
      </c>
      <c r="G644">
        <v>8.18</v>
      </c>
      <c r="H644" t="s">
        <v>2</v>
      </c>
      <c r="I644" s="22">
        <f t="shared" si="21"/>
        <v>3.6742233618843254E-3</v>
      </c>
      <c r="J644" s="22" t="str">
        <f t="shared" si="22"/>
        <v/>
      </c>
    </row>
    <row r="645" spans="1:10">
      <c r="A645" s="1">
        <v>41144</v>
      </c>
      <c r="B645">
        <v>8.2200000000000006</v>
      </c>
      <c r="C645">
        <v>8.27</v>
      </c>
      <c r="D645">
        <v>8.1199999999999992</v>
      </c>
      <c r="E645">
        <v>8.15</v>
      </c>
      <c r="F645">
        <v>98866200</v>
      </c>
      <c r="G645">
        <v>8.11</v>
      </c>
      <c r="H645" t="s">
        <v>2</v>
      </c>
      <c r="I645" s="22">
        <f t="shared" si="21"/>
        <v>-8.5942824873341452E-3</v>
      </c>
      <c r="J645" s="22" t="str">
        <f t="shared" si="22"/>
        <v>lost money</v>
      </c>
    </row>
    <row r="646" spans="1:10">
      <c r="A646" s="1">
        <v>41145</v>
      </c>
      <c r="B646">
        <v>8.1199999999999992</v>
      </c>
      <c r="C646">
        <v>8.2100000000000009</v>
      </c>
      <c r="D646">
        <v>8.0299999999999994</v>
      </c>
      <c r="E646">
        <v>8.16</v>
      </c>
      <c r="F646">
        <v>88822200</v>
      </c>
      <c r="G646">
        <v>8.1199999999999992</v>
      </c>
      <c r="H646" t="s">
        <v>2</v>
      </c>
      <c r="I646" s="22">
        <f t="shared" si="21"/>
        <v>1.2322860462651017E-3</v>
      </c>
      <c r="J646" s="22" t="str">
        <f t="shared" si="22"/>
        <v/>
      </c>
    </row>
    <row r="647" spans="1:10">
      <c r="A647" s="1">
        <v>41148</v>
      </c>
      <c r="B647">
        <v>8.1999999999999993</v>
      </c>
      <c r="C647">
        <v>8.1999999999999993</v>
      </c>
      <c r="D647">
        <v>8.0500000000000007</v>
      </c>
      <c r="E647">
        <v>8.07</v>
      </c>
      <c r="F647">
        <v>96142100</v>
      </c>
      <c r="G647">
        <v>8.0299999999999994</v>
      </c>
      <c r="H647" t="s">
        <v>2</v>
      </c>
      <c r="I647" s="22">
        <f t="shared" si="21"/>
        <v>-1.1145626214916292E-2</v>
      </c>
      <c r="J647" s="22" t="str">
        <f t="shared" si="22"/>
        <v>lost money</v>
      </c>
    </row>
    <row r="648" spans="1:10">
      <c r="A648" s="1">
        <v>41149</v>
      </c>
      <c r="B648">
        <v>8.0399999999999991</v>
      </c>
      <c r="C648">
        <v>8.11</v>
      </c>
      <c r="D648">
        <v>7.95</v>
      </c>
      <c r="E648">
        <v>7.96</v>
      </c>
      <c r="F648">
        <v>96280400</v>
      </c>
      <c r="G648">
        <v>7.92</v>
      </c>
      <c r="H648" t="s">
        <v>2</v>
      </c>
      <c r="I648" s="22">
        <f t="shared" si="21"/>
        <v>-1.3793322132335761E-2</v>
      </c>
      <c r="J648" s="22" t="str">
        <f t="shared" si="22"/>
        <v>lost money</v>
      </c>
    </row>
    <row r="649" spans="1:10">
      <c r="A649" s="1">
        <v>41150</v>
      </c>
      <c r="B649">
        <v>7.98</v>
      </c>
      <c r="C649">
        <v>8.1</v>
      </c>
      <c r="D649">
        <v>7.98</v>
      </c>
      <c r="E649">
        <v>8</v>
      </c>
      <c r="F649">
        <v>106910900</v>
      </c>
      <c r="G649">
        <v>7.96</v>
      </c>
      <c r="H649" t="s">
        <v>2</v>
      </c>
      <c r="I649" s="22">
        <f t="shared" si="21"/>
        <v>5.037794029957081E-3</v>
      </c>
      <c r="J649" s="22" t="str">
        <f t="shared" si="22"/>
        <v/>
      </c>
    </row>
    <row r="650" spans="1:10">
      <c r="A650" s="1">
        <v>41151</v>
      </c>
      <c r="B650">
        <v>7.95</v>
      </c>
      <c r="C650">
        <v>7.95</v>
      </c>
      <c r="D650">
        <v>7.83</v>
      </c>
      <c r="E650">
        <v>7.91</v>
      </c>
      <c r="F650">
        <v>91900100</v>
      </c>
      <c r="G650">
        <v>7.87</v>
      </c>
      <c r="H650" t="s">
        <v>2</v>
      </c>
      <c r="I650" s="22">
        <f t="shared" si="21"/>
        <v>-1.1370937426979809E-2</v>
      </c>
      <c r="J650" s="22" t="str">
        <f t="shared" si="22"/>
        <v>lost money</v>
      </c>
    </row>
    <row r="651" spans="1:10">
      <c r="A651" s="1">
        <v>41152</v>
      </c>
      <c r="B651">
        <v>8</v>
      </c>
      <c r="C651">
        <v>8.02</v>
      </c>
      <c r="D651">
        <v>7.88</v>
      </c>
      <c r="E651">
        <v>7.99</v>
      </c>
      <c r="F651">
        <v>91730500</v>
      </c>
      <c r="G651">
        <v>7.95</v>
      </c>
      <c r="H651" t="s">
        <v>2</v>
      </c>
      <c r="I651" s="22">
        <f t="shared" si="21"/>
        <v>1.0113866236928759E-2</v>
      </c>
      <c r="J651" s="22" t="str">
        <f t="shared" si="22"/>
        <v>lost money</v>
      </c>
    </row>
    <row r="652" spans="1:10">
      <c r="A652" s="1">
        <v>41156</v>
      </c>
      <c r="B652">
        <v>8</v>
      </c>
      <c r="C652">
        <v>8.11</v>
      </c>
      <c r="D652">
        <v>7.95</v>
      </c>
      <c r="E652">
        <v>8</v>
      </c>
      <c r="F652">
        <v>81461800</v>
      </c>
      <c r="G652">
        <v>7.96</v>
      </c>
      <c r="H652" t="s">
        <v>2</v>
      </c>
      <c r="I652" s="22">
        <f t="shared" si="21"/>
        <v>1.2570711900511137E-3</v>
      </c>
      <c r="J652" s="22" t="str">
        <f t="shared" si="22"/>
        <v/>
      </c>
    </row>
    <row r="653" spans="1:10">
      <c r="A653" s="1">
        <v>41157</v>
      </c>
      <c r="B653">
        <v>7.99</v>
      </c>
      <c r="C653">
        <v>8.02</v>
      </c>
      <c r="D653">
        <v>7.93</v>
      </c>
      <c r="E653">
        <v>7.95</v>
      </c>
      <c r="F653">
        <v>55769500</v>
      </c>
      <c r="G653">
        <v>7.92</v>
      </c>
      <c r="H653" t="s">
        <v>2</v>
      </c>
      <c r="I653" s="22">
        <f t="shared" si="21"/>
        <v>-5.0377940299571808E-3</v>
      </c>
      <c r="J653" s="22" t="str">
        <f t="shared" si="22"/>
        <v>lost money</v>
      </c>
    </row>
    <row r="654" spans="1:10">
      <c r="A654" s="1">
        <v>41158</v>
      </c>
      <c r="B654">
        <v>8.0399999999999991</v>
      </c>
      <c r="C654">
        <v>8.35</v>
      </c>
      <c r="D654">
        <v>8.0299999999999994</v>
      </c>
      <c r="E654">
        <v>8.35</v>
      </c>
      <c r="F654">
        <v>200570300</v>
      </c>
      <c r="G654">
        <v>8.32</v>
      </c>
      <c r="H654" t="s">
        <v>2</v>
      </c>
      <c r="I654" s="22">
        <f t="shared" si="21"/>
        <v>4.9271049006782835E-2</v>
      </c>
      <c r="J654" s="22" t="str">
        <f t="shared" si="22"/>
        <v/>
      </c>
    </row>
    <row r="655" spans="1:10">
      <c r="A655" s="1">
        <v>41159</v>
      </c>
      <c r="B655">
        <v>8.4700000000000006</v>
      </c>
      <c r="C655">
        <v>8.8000000000000007</v>
      </c>
      <c r="D655">
        <v>8.4499999999999993</v>
      </c>
      <c r="E655">
        <v>8.8000000000000007</v>
      </c>
      <c r="F655">
        <v>232843000</v>
      </c>
      <c r="G655">
        <v>8.76</v>
      </c>
      <c r="H655" t="s">
        <v>2</v>
      </c>
      <c r="I655" s="22">
        <f t="shared" si="21"/>
        <v>5.1533650115182877E-2</v>
      </c>
      <c r="J655" s="22" t="str">
        <f t="shared" si="22"/>
        <v/>
      </c>
    </row>
    <row r="656" spans="1:10">
      <c r="A656" s="1">
        <v>41162</v>
      </c>
      <c r="B656">
        <v>8.84</v>
      </c>
      <c r="C656">
        <v>8.92</v>
      </c>
      <c r="D656">
        <v>8.5299999999999994</v>
      </c>
      <c r="E656">
        <v>8.58</v>
      </c>
      <c r="F656">
        <v>190045600</v>
      </c>
      <c r="G656">
        <v>8.5500000000000007</v>
      </c>
      <c r="H656" t="s">
        <v>2</v>
      </c>
      <c r="I656" s="22">
        <f t="shared" si="21"/>
        <v>-2.4264621999631093E-2</v>
      </c>
      <c r="J656" s="22" t="str">
        <f t="shared" si="22"/>
        <v>lost money</v>
      </c>
    </row>
    <row r="657" spans="1:10">
      <c r="A657" s="1">
        <v>41163</v>
      </c>
      <c r="B657">
        <v>8.6300000000000008</v>
      </c>
      <c r="C657">
        <v>9.0500000000000007</v>
      </c>
      <c r="D657">
        <v>8.58</v>
      </c>
      <c r="E657">
        <v>9.0299999999999994</v>
      </c>
      <c r="F657">
        <v>201630400</v>
      </c>
      <c r="G657">
        <v>8.99</v>
      </c>
      <c r="H657" t="s">
        <v>2</v>
      </c>
      <c r="I657" s="22">
        <f t="shared" si="21"/>
        <v>5.0181565534859925E-2</v>
      </c>
      <c r="J657" s="22" t="str">
        <f t="shared" si="22"/>
        <v/>
      </c>
    </row>
    <row r="658" spans="1:10">
      <c r="A658" s="1">
        <v>41164</v>
      </c>
      <c r="B658">
        <v>9.15</v>
      </c>
      <c r="C658">
        <v>9.19</v>
      </c>
      <c r="D658">
        <v>8.8699999999999992</v>
      </c>
      <c r="E658">
        <v>8.9700000000000006</v>
      </c>
      <c r="F658">
        <v>204167100</v>
      </c>
      <c r="G658">
        <v>8.93</v>
      </c>
      <c r="H658" t="s">
        <v>2</v>
      </c>
      <c r="I658" s="22">
        <f t="shared" si="21"/>
        <v>-6.6964535951212975E-3</v>
      </c>
      <c r="J658" s="22" t="str">
        <f t="shared" si="22"/>
        <v>lost money</v>
      </c>
    </row>
    <row r="659" spans="1:10">
      <c r="A659" s="1">
        <v>41165</v>
      </c>
      <c r="B659">
        <v>8.89</v>
      </c>
      <c r="C659">
        <v>9.48</v>
      </c>
      <c r="D659">
        <v>8.81</v>
      </c>
      <c r="E659">
        <v>9.4</v>
      </c>
      <c r="F659">
        <v>330759200</v>
      </c>
      <c r="G659">
        <v>9.36</v>
      </c>
      <c r="H659" t="s">
        <v>2</v>
      </c>
      <c r="I659" s="22">
        <f t="shared" si="21"/>
        <v>4.7028895601092975E-2</v>
      </c>
      <c r="J659" s="22" t="str">
        <f t="shared" si="22"/>
        <v/>
      </c>
    </row>
    <row r="660" spans="1:10">
      <c r="A660" s="1">
        <v>41166</v>
      </c>
      <c r="B660">
        <v>9.6</v>
      </c>
      <c r="C660">
        <v>9.7899999999999991</v>
      </c>
      <c r="D660">
        <v>9.4499999999999993</v>
      </c>
      <c r="E660">
        <v>9.5500000000000007</v>
      </c>
      <c r="F660">
        <v>329619800</v>
      </c>
      <c r="G660">
        <v>9.51</v>
      </c>
      <c r="H660" t="s">
        <v>2</v>
      </c>
      <c r="I660" s="22">
        <f t="shared" si="21"/>
        <v>1.5898586067798204E-2</v>
      </c>
      <c r="J660" s="22" t="str">
        <f t="shared" si="22"/>
        <v>lost money</v>
      </c>
    </row>
    <row r="661" spans="1:10">
      <c r="A661" s="1">
        <v>41169</v>
      </c>
      <c r="B661">
        <v>9.39</v>
      </c>
      <c r="C661">
        <v>9.49</v>
      </c>
      <c r="D661">
        <v>9.27</v>
      </c>
      <c r="E661">
        <v>9.3000000000000007</v>
      </c>
      <c r="F661">
        <v>141409300</v>
      </c>
      <c r="G661">
        <v>9.26</v>
      </c>
      <c r="H661" t="s">
        <v>2</v>
      </c>
      <c r="I661" s="22">
        <f t="shared" si="21"/>
        <v>-2.6639827899210867E-2</v>
      </c>
      <c r="J661" s="22" t="str">
        <f t="shared" si="22"/>
        <v>lost money</v>
      </c>
    </row>
    <row r="662" spans="1:10">
      <c r="A662" s="1">
        <v>41170</v>
      </c>
      <c r="B662">
        <v>9.16</v>
      </c>
      <c r="C662">
        <v>9.2899999999999991</v>
      </c>
      <c r="D662">
        <v>9.09</v>
      </c>
      <c r="E662">
        <v>9.23</v>
      </c>
      <c r="F662">
        <v>150503600</v>
      </c>
      <c r="G662">
        <v>9.19</v>
      </c>
      <c r="H662" t="s">
        <v>2</v>
      </c>
      <c r="I662" s="22">
        <f t="shared" si="21"/>
        <v>-7.5881122904923231E-3</v>
      </c>
      <c r="J662" s="22" t="str">
        <f t="shared" si="22"/>
        <v/>
      </c>
    </row>
    <row r="663" spans="1:10">
      <c r="A663" s="1">
        <v>41171</v>
      </c>
      <c r="B663">
        <v>9.33</v>
      </c>
      <c r="C663">
        <v>9.4600000000000009</v>
      </c>
      <c r="D663">
        <v>9.26</v>
      </c>
      <c r="E663">
        <v>9.2899999999999991</v>
      </c>
      <c r="F663">
        <v>126360100</v>
      </c>
      <c r="G663">
        <v>9.25</v>
      </c>
      <c r="H663" t="s">
        <v>2</v>
      </c>
      <c r="I663" s="22">
        <f t="shared" si="21"/>
        <v>6.5076151567382149E-3</v>
      </c>
      <c r="J663" s="22" t="str">
        <f t="shared" si="22"/>
        <v>lost money</v>
      </c>
    </row>
    <row r="664" spans="1:10">
      <c r="A664" s="1">
        <v>41172</v>
      </c>
      <c r="B664">
        <v>9.14</v>
      </c>
      <c r="C664">
        <v>9.25</v>
      </c>
      <c r="D664">
        <v>9.08</v>
      </c>
      <c r="E664">
        <v>9.19</v>
      </c>
      <c r="F664">
        <v>111354300</v>
      </c>
      <c r="G664">
        <v>9.15</v>
      </c>
      <c r="H664" t="s">
        <v>2</v>
      </c>
      <c r="I664" s="22">
        <f t="shared" si="21"/>
        <v>-1.0869672236903879E-2</v>
      </c>
      <c r="J664" s="22" t="str">
        <f t="shared" si="22"/>
        <v/>
      </c>
    </row>
    <row r="665" spans="1:10">
      <c r="A665" s="1">
        <v>41173</v>
      </c>
      <c r="B665">
        <v>9.35</v>
      </c>
      <c r="C665">
        <v>9.35</v>
      </c>
      <c r="D665">
        <v>9.08</v>
      </c>
      <c r="E665">
        <v>9.11</v>
      </c>
      <c r="F665">
        <v>155865300</v>
      </c>
      <c r="G665">
        <v>9.07</v>
      </c>
      <c r="H665" t="s">
        <v>2</v>
      </c>
      <c r="I665" s="22">
        <f t="shared" si="21"/>
        <v>-8.7816151603846773E-3</v>
      </c>
      <c r="J665" s="22" t="str">
        <f t="shared" si="22"/>
        <v>lost money</v>
      </c>
    </row>
    <row r="666" spans="1:10">
      <c r="A666" s="1">
        <v>41176</v>
      </c>
      <c r="B666">
        <v>8.99</v>
      </c>
      <c r="C666">
        <v>9.1999999999999993</v>
      </c>
      <c r="D666">
        <v>8.9499999999999993</v>
      </c>
      <c r="E666">
        <v>9.1</v>
      </c>
      <c r="F666">
        <v>113331700</v>
      </c>
      <c r="G666">
        <v>9.06</v>
      </c>
      <c r="H666" t="s">
        <v>2</v>
      </c>
      <c r="I666" s="22">
        <f t="shared" si="21"/>
        <v>-1.1031440721572061E-3</v>
      </c>
      <c r="J666" s="22" t="str">
        <f t="shared" si="22"/>
        <v/>
      </c>
    </row>
    <row r="667" spans="1:10">
      <c r="A667" s="1">
        <v>41177</v>
      </c>
      <c r="B667">
        <v>9.17</v>
      </c>
      <c r="C667">
        <v>9.2100000000000009</v>
      </c>
      <c r="D667">
        <v>8.91</v>
      </c>
      <c r="E667">
        <v>8.93</v>
      </c>
      <c r="F667">
        <v>146678000</v>
      </c>
      <c r="G667">
        <v>8.89</v>
      </c>
      <c r="H667" t="s">
        <v>2</v>
      </c>
      <c r="I667" s="22">
        <f t="shared" si="21"/>
        <v>-1.8942070529074737E-2</v>
      </c>
      <c r="J667" s="22" t="str">
        <f t="shared" si="22"/>
        <v>lost money</v>
      </c>
    </row>
    <row r="668" spans="1:10">
      <c r="A668" s="1">
        <v>41178</v>
      </c>
      <c r="B668">
        <v>8.86</v>
      </c>
      <c r="C668">
        <v>8.91</v>
      </c>
      <c r="D668">
        <v>8.6999999999999993</v>
      </c>
      <c r="E668">
        <v>8.82</v>
      </c>
      <c r="F668">
        <v>158640100</v>
      </c>
      <c r="G668">
        <v>8.7799999999999994</v>
      </c>
      <c r="H668" t="s">
        <v>2</v>
      </c>
      <c r="I668" s="22">
        <f t="shared" si="21"/>
        <v>-1.2450641878788105E-2</v>
      </c>
      <c r="J668" s="22" t="str">
        <f t="shared" si="22"/>
        <v>lost money</v>
      </c>
    </row>
    <row r="669" spans="1:10">
      <c r="A669" s="1">
        <v>41179</v>
      </c>
      <c r="B669">
        <v>8.94</v>
      </c>
      <c r="C669">
        <v>9.07</v>
      </c>
      <c r="D669">
        <v>8.9</v>
      </c>
      <c r="E669">
        <v>8.9700000000000006</v>
      </c>
      <c r="F669">
        <v>119023800</v>
      </c>
      <c r="G669">
        <v>8.93</v>
      </c>
      <c r="H669" t="s">
        <v>2</v>
      </c>
      <c r="I669" s="22">
        <f t="shared" si="21"/>
        <v>1.6939987241382425E-2</v>
      </c>
      <c r="J669" s="22" t="str">
        <f t="shared" si="22"/>
        <v/>
      </c>
    </row>
    <row r="670" spans="1:10">
      <c r="A670" s="1">
        <v>41180</v>
      </c>
      <c r="B670">
        <v>8.89</v>
      </c>
      <c r="C670">
        <v>8.93</v>
      </c>
      <c r="D670">
        <v>8.7899999999999991</v>
      </c>
      <c r="E670">
        <v>8.83</v>
      </c>
      <c r="F670">
        <v>119039200</v>
      </c>
      <c r="G670">
        <v>8.7899999999999991</v>
      </c>
      <c r="H670" t="s">
        <v>2</v>
      </c>
      <c r="I670" s="22">
        <f t="shared" si="21"/>
        <v>-1.5801683191322059E-2</v>
      </c>
      <c r="J670" s="22" t="str">
        <f t="shared" si="22"/>
        <v>lost money</v>
      </c>
    </row>
    <row r="671" spans="1:10">
      <c r="A671" s="1">
        <v>41183</v>
      </c>
      <c r="B671">
        <v>8.8699999999999992</v>
      </c>
      <c r="C671">
        <v>9.1300000000000008</v>
      </c>
      <c r="D671">
        <v>8.85</v>
      </c>
      <c r="E671">
        <v>8.9600000000000009</v>
      </c>
      <c r="F671">
        <v>133194500</v>
      </c>
      <c r="G671">
        <v>8.92</v>
      </c>
      <c r="H671" t="s">
        <v>2</v>
      </c>
      <c r="I671" s="22">
        <f t="shared" si="21"/>
        <v>1.4681234894832524E-2</v>
      </c>
      <c r="J671" s="22" t="str">
        <f t="shared" si="22"/>
        <v/>
      </c>
    </row>
    <row r="672" spans="1:10">
      <c r="A672" s="1">
        <v>41184</v>
      </c>
      <c r="B672">
        <v>9.1</v>
      </c>
      <c r="C672">
        <v>9.11</v>
      </c>
      <c r="D672">
        <v>8.8800000000000008</v>
      </c>
      <c r="E672">
        <v>8.93</v>
      </c>
      <c r="F672">
        <v>109601600</v>
      </c>
      <c r="G672">
        <v>8.89</v>
      </c>
      <c r="H672" t="s">
        <v>2</v>
      </c>
      <c r="I672" s="22">
        <f t="shared" si="21"/>
        <v>-3.3688970661047532E-3</v>
      </c>
      <c r="J672" s="22" t="str">
        <f t="shared" si="22"/>
        <v>lost money</v>
      </c>
    </row>
    <row r="673" spans="1:10">
      <c r="A673" s="1">
        <v>41185</v>
      </c>
      <c r="B673">
        <v>8.98</v>
      </c>
      <c r="C673">
        <v>9.1199999999999992</v>
      </c>
      <c r="D673">
        <v>8.91</v>
      </c>
      <c r="E673">
        <v>9.11</v>
      </c>
      <c r="F673">
        <v>115670100</v>
      </c>
      <c r="G673">
        <v>9.07</v>
      </c>
      <c r="H673" t="s">
        <v>2</v>
      </c>
      <c r="I673" s="22">
        <f t="shared" si="21"/>
        <v>2.0045214601232084E-2</v>
      </c>
      <c r="J673" s="22" t="str">
        <f t="shared" si="22"/>
        <v/>
      </c>
    </row>
    <row r="674" spans="1:10">
      <c r="A674" s="1">
        <v>41186</v>
      </c>
      <c r="B674">
        <v>9.1999999999999993</v>
      </c>
      <c r="C674">
        <v>9.42</v>
      </c>
      <c r="D674">
        <v>9.15</v>
      </c>
      <c r="E674">
        <v>9.41</v>
      </c>
      <c r="F674">
        <v>160486300</v>
      </c>
      <c r="G674">
        <v>9.3699999999999992</v>
      </c>
      <c r="H674" t="s">
        <v>2</v>
      </c>
      <c r="I674" s="22">
        <f t="shared" si="21"/>
        <v>3.2540832123285568E-2</v>
      </c>
      <c r="J674" s="22" t="str">
        <f t="shared" si="22"/>
        <v/>
      </c>
    </row>
    <row r="675" spans="1:10">
      <c r="A675" s="1">
        <v>41187</v>
      </c>
      <c r="B675">
        <v>9.56</v>
      </c>
      <c r="C675">
        <v>9.65</v>
      </c>
      <c r="D675">
        <v>9.23</v>
      </c>
      <c r="E675">
        <v>9.32</v>
      </c>
      <c r="F675">
        <v>204255800</v>
      </c>
      <c r="G675">
        <v>9.2799999999999994</v>
      </c>
      <c r="H675" t="s">
        <v>2</v>
      </c>
      <c r="I675" s="22">
        <f t="shared" si="21"/>
        <v>-9.6515494522215854E-3</v>
      </c>
      <c r="J675" s="22" t="str">
        <f t="shared" si="22"/>
        <v>lost money</v>
      </c>
    </row>
    <row r="676" spans="1:10">
      <c r="A676" s="1">
        <v>41190</v>
      </c>
      <c r="B676">
        <v>9.16</v>
      </c>
      <c r="C676">
        <v>9.3800000000000008</v>
      </c>
      <c r="D676">
        <v>9.1300000000000008</v>
      </c>
      <c r="E676">
        <v>9.2799999999999994</v>
      </c>
      <c r="F676">
        <v>81944200</v>
      </c>
      <c r="G676">
        <v>9.24</v>
      </c>
      <c r="H676" t="s">
        <v>2</v>
      </c>
      <c r="I676" s="22">
        <f t="shared" si="21"/>
        <v>-4.3196611445162842E-3</v>
      </c>
      <c r="J676" s="22" t="str">
        <f t="shared" si="22"/>
        <v/>
      </c>
    </row>
    <row r="677" spans="1:10">
      <c r="A677" s="1">
        <v>41191</v>
      </c>
      <c r="B677">
        <v>9.33</v>
      </c>
      <c r="C677">
        <v>9.3800000000000008</v>
      </c>
      <c r="D677">
        <v>9.0399999999999991</v>
      </c>
      <c r="E677">
        <v>9.2100000000000009</v>
      </c>
      <c r="F677">
        <v>153036100</v>
      </c>
      <c r="G677">
        <v>9.17</v>
      </c>
      <c r="H677" t="s">
        <v>2</v>
      </c>
      <c r="I677" s="22">
        <f t="shared" si="21"/>
        <v>-7.6045993852193036E-3</v>
      </c>
      <c r="J677" s="22" t="str">
        <f t="shared" si="22"/>
        <v>lost money</v>
      </c>
    </row>
    <row r="678" spans="1:10">
      <c r="A678" s="1">
        <v>41192</v>
      </c>
      <c r="B678">
        <v>9.19</v>
      </c>
      <c r="C678">
        <v>9.27</v>
      </c>
      <c r="D678">
        <v>9.06</v>
      </c>
      <c r="E678">
        <v>9.2100000000000009</v>
      </c>
      <c r="F678">
        <v>110640900</v>
      </c>
      <c r="G678">
        <v>9.17</v>
      </c>
      <c r="H678" t="s">
        <v>2</v>
      </c>
      <c r="I678" s="22">
        <f t="shared" si="21"/>
        <v>0</v>
      </c>
      <c r="J678" s="22" t="str">
        <f t="shared" si="22"/>
        <v/>
      </c>
    </row>
    <row r="679" spans="1:10">
      <c r="A679" s="1">
        <v>41193</v>
      </c>
      <c r="B679">
        <v>9.39</v>
      </c>
      <c r="C679">
        <v>9.42</v>
      </c>
      <c r="D679">
        <v>9.3000000000000007</v>
      </c>
      <c r="E679">
        <v>9.34</v>
      </c>
      <c r="F679">
        <v>122925800</v>
      </c>
      <c r="G679">
        <v>9.3000000000000007</v>
      </c>
      <c r="H679" t="s">
        <v>2</v>
      </c>
      <c r="I679" s="22">
        <f t="shared" si="21"/>
        <v>1.4077113890836811E-2</v>
      </c>
      <c r="J679" s="22" t="str">
        <f t="shared" si="22"/>
        <v>lost money</v>
      </c>
    </row>
    <row r="680" spans="1:10">
      <c r="A680" s="1">
        <v>41194</v>
      </c>
      <c r="B680">
        <v>9.16</v>
      </c>
      <c r="C680">
        <v>9.2799999999999994</v>
      </c>
      <c r="D680">
        <v>9.0500000000000007</v>
      </c>
      <c r="E680">
        <v>9.1199999999999992</v>
      </c>
      <c r="F680">
        <v>158562500</v>
      </c>
      <c r="G680">
        <v>9.08</v>
      </c>
      <c r="H680" t="s">
        <v>2</v>
      </c>
      <c r="I680" s="22">
        <f t="shared" si="21"/>
        <v>-2.3940207546008351E-2</v>
      </c>
      <c r="J680" s="22" t="str">
        <f t="shared" si="22"/>
        <v>lost money</v>
      </c>
    </row>
    <row r="681" spans="1:10">
      <c r="A681" s="1">
        <v>41197</v>
      </c>
      <c r="B681">
        <v>9.24</v>
      </c>
      <c r="C681">
        <v>9.44</v>
      </c>
      <c r="D681">
        <v>9.16</v>
      </c>
      <c r="E681">
        <v>9.44</v>
      </c>
      <c r="F681">
        <v>154458500</v>
      </c>
      <c r="G681">
        <v>9.4</v>
      </c>
      <c r="H681" t="s">
        <v>2</v>
      </c>
      <c r="I681" s="22">
        <f t="shared" si="21"/>
        <v>3.4635496662756338E-2</v>
      </c>
      <c r="J681" s="22" t="str">
        <f t="shared" si="22"/>
        <v/>
      </c>
    </row>
    <row r="682" spans="1:10">
      <c r="A682" s="1">
        <v>41198</v>
      </c>
      <c r="B682">
        <v>9.5299999999999994</v>
      </c>
      <c r="C682">
        <v>9.6</v>
      </c>
      <c r="D682">
        <v>9.3800000000000008</v>
      </c>
      <c r="E682">
        <v>9.4600000000000009</v>
      </c>
      <c r="F682">
        <v>172663600</v>
      </c>
      <c r="G682">
        <v>9.42</v>
      </c>
      <c r="H682" t="s">
        <v>2</v>
      </c>
      <c r="I682" s="22">
        <f t="shared" si="21"/>
        <v>2.1253993123135366E-3</v>
      </c>
      <c r="J682" s="22" t="str">
        <f t="shared" si="22"/>
        <v>lost money</v>
      </c>
    </row>
    <row r="683" spans="1:10">
      <c r="A683" s="1">
        <v>41199</v>
      </c>
      <c r="B683">
        <v>9.42</v>
      </c>
      <c r="C683">
        <v>9.6</v>
      </c>
      <c r="D683">
        <v>9.3000000000000007</v>
      </c>
      <c r="E683">
        <v>9.44</v>
      </c>
      <c r="F683">
        <v>229733500</v>
      </c>
      <c r="G683">
        <v>9.4</v>
      </c>
      <c r="H683" t="s">
        <v>2</v>
      </c>
      <c r="I683" s="22">
        <f t="shared" si="21"/>
        <v>-2.1253993123134776E-3</v>
      </c>
      <c r="J683" s="22" t="str">
        <f t="shared" si="22"/>
        <v/>
      </c>
    </row>
    <row r="684" spans="1:10">
      <c r="A684" s="1">
        <v>41200</v>
      </c>
      <c r="B684">
        <v>9.3800000000000008</v>
      </c>
      <c r="C684">
        <v>9.57</v>
      </c>
      <c r="D684">
        <v>9.3699999999999992</v>
      </c>
      <c r="E684">
        <v>9.4700000000000006</v>
      </c>
      <c r="F684">
        <v>149739000</v>
      </c>
      <c r="G684">
        <v>9.43</v>
      </c>
      <c r="H684" t="s">
        <v>2</v>
      </c>
      <c r="I684" s="22">
        <f t="shared" si="21"/>
        <v>3.1864073694077809E-3</v>
      </c>
      <c r="J684" s="22" t="str">
        <f t="shared" si="22"/>
        <v/>
      </c>
    </row>
    <row r="685" spans="1:10">
      <c r="A685" s="1">
        <v>41201</v>
      </c>
      <c r="B685">
        <v>9.42</v>
      </c>
      <c r="C685">
        <v>9.5500000000000007</v>
      </c>
      <c r="D685">
        <v>9.39</v>
      </c>
      <c r="E685">
        <v>9.44</v>
      </c>
      <c r="F685">
        <v>169451300</v>
      </c>
      <c r="G685">
        <v>9.4</v>
      </c>
      <c r="H685" t="s">
        <v>2</v>
      </c>
      <c r="I685" s="22">
        <f t="shared" si="21"/>
        <v>-3.1864073694078689E-3</v>
      </c>
      <c r="J685" s="22" t="str">
        <f t="shared" si="22"/>
        <v/>
      </c>
    </row>
    <row r="686" spans="1:10">
      <c r="A686" s="1">
        <v>41204</v>
      </c>
      <c r="B686">
        <v>9.4700000000000006</v>
      </c>
      <c r="C686">
        <v>9.56</v>
      </c>
      <c r="D686">
        <v>9.41</v>
      </c>
      <c r="E686">
        <v>9.5500000000000007</v>
      </c>
      <c r="F686">
        <v>132617600</v>
      </c>
      <c r="G686">
        <v>9.51</v>
      </c>
      <c r="H686" t="s">
        <v>2</v>
      </c>
      <c r="I686" s="22">
        <f t="shared" si="21"/>
        <v>1.1634187281340604E-2</v>
      </c>
      <c r="J686" s="22" t="str">
        <f t="shared" si="22"/>
        <v/>
      </c>
    </row>
    <row r="687" spans="1:10">
      <c r="A687" s="1">
        <v>41205</v>
      </c>
      <c r="B687">
        <v>9.44</v>
      </c>
      <c r="C687">
        <v>9.4700000000000006</v>
      </c>
      <c r="D687">
        <v>9.2799999999999994</v>
      </c>
      <c r="E687">
        <v>9.36</v>
      </c>
      <c r="F687">
        <v>160627600</v>
      </c>
      <c r="G687">
        <v>9.32</v>
      </c>
      <c r="H687" t="s">
        <v>2</v>
      </c>
      <c r="I687" s="22">
        <f t="shared" si="21"/>
        <v>-2.0181247859799106E-2</v>
      </c>
      <c r="J687" s="22" t="str">
        <f t="shared" si="22"/>
        <v>lost money</v>
      </c>
    </row>
    <row r="688" spans="1:10">
      <c r="A688" s="1">
        <v>41206</v>
      </c>
      <c r="B688">
        <v>9.4499999999999993</v>
      </c>
      <c r="C688">
        <v>9.49</v>
      </c>
      <c r="D688">
        <v>9.3000000000000007</v>
      </c>
      <c r="E688">
        <v>9.31</v>
      </c>
      <c r="F688">
        <v>120868300</v>
      </c>
      <c r="G688">
        <v>9.27</v>
      </c>
      <c r="H688" t="s">
        <v>2</v>
      </c>
      <c r="I688" s="22">
        <f t="shared" si="21"/>
        <v>-5.3792491197360839E-3</v>
      </c>
      <c r="J688" s="22" t="str">
        <f t="shared" si="22"/>
        <v>lost money</v>
      </c>
    </row>
    <row r="689" spans="1:10">
      <c r="A689" s="1">
        <v>41207</v>
      </c>
      <c r="B689">
        <v>9.3699999999999992</v>
      </c>
      <c r="C689">
        <v>9.42</v>
      </c>
      <c r="D689">
        <v>9.17</v>
      </c>
      <c r="E689">
        <v>9.24</v>
      </c>
      <c r="F689">
        <v>121778900</v>
      </c>
      <c r="G689">
        <v>9.1999999999999993</v>
      </c>
      <c r="H689" t="s">
        <v>2</v>
      </c>
      <c r="I689" s="22">
        <f t="shared" si="21"/>
        <v>-7.5798955227692191E-3</v>
      </c>
      <c r="J689" s="22" t="str">
        <f t="shared" si="22"/>
        <v>lost money</v>
      </c>
    </row>
    <row r="690" spans="1:10">
      <c r="A690" s="1">
        <v>41208</v>
      </c>
      <c r="B690">
        <v>9.17</v>
      </c>
      <c r="C690">
        <v>9.27</v>
      </c>
      <c r="D690">
        <v>9.0500000000000007</v>
      </c>
      <c r="E690">
        <v>9.1199999999999992</v>
      </c>
      <c r="F690">
        <v>124687200</v>
      </c>
      <c r="G690">
        <v>9.08</v>
      </c>
      <c r="H690" t="s">
        <v>2</v>
      </c>
      <c r="I690" s="22">
        <f t="shared" si="21"/>
        <v>-1.3129291441792623E-2</v>
      </c>
      <c r="J690" s="22" t="str">
        <f t="shared" si="22"/>
        <v>lost money</v>
      </c>
    </row>
    <row r="691" spans="1:10">
      <c r="A691" s="1">
        <v>41213</v>
      </c>
      <c r="B691">
        <v>9.1999999999999993</v>
      </c>
      <c r="C691">
        <v>9.35</v>
      </c>
      <c r="D691">
        <v>9.15</v>
      </c>
      <c r="E691">
        <v>9.32</v>
      </c>
      <c r="F691">
        <v>94925500</v>
      </c>
      <c r="G691">
        <v>9.2799999999999994</v>
      </c>
      <c r="H691" t="s">
        <v>2</v>
      </c>
      <c r="I691" s="22">
        <f t="shared" si="21"/>
        <v>2.178735418490723E-2</v>
      </c>
      <c r="J691" s="22" t="str">
        <f t="shared" si="22"/>
        <v/>
      </c>
    </row>
    <row r="692" spans="1:10">
      <c r="A692" s="1">
        <v>41214</v>
      </c>
      <c r="B692">
        <v>9.34</v>
      </c>
      <c r="C692">
        <v>9.75</v>
      </c>
      <c r="D692">
        <v>9.27</v>
      </c>
      <c r="E692">
        <v>9.74</v>
      </c>
      <c r="F692">
        <v>205700000</v>
      </c>
      <c r="G692">
        <v>9.6999999999999993</v>
      </c>
      <c r="H692" t="s">
        <v>2</v>
      </c>
      <c r="I692" s="22">
        <f t="shared" si="21"/>
        <v>4.4264338711228007E-2</v>
      </c>
      <c r="J692" s="22" t="str">
        <f t="shared" si="22"/>
        <v/>
      </c>
    </row>
    <row r="693" spans="1:10">
      <c r="A693" s="1">
        <v>41215</v>
      </c>
      <c r="B693">
        <v>9.8699999999999992</v>
      </c>
      <c r="C693">
        <v>9.9700000000000006</v>
      </c>
      <c r="D693">
        <v>9.77</v>
      </c>
      <c r="E693">
        <v>9.85</v>
      </c>
      <c r="F693">
        <v>220993300</v>
      </c>
      <c r="G693">
        <v>9.81</v>
      </c>
      <c r="H693" t="s">
        <v>2</v>
      </c>
      <c r="I693" s="22">
        <f t="shared" si="21"/>
        <v>1.1276388067934757E-2</v>
      </c>
      <c r="J693" s="22" t="str">
        <f t="shared" si="22"/>
        <v>lost money</v>
      </c>
    </row>
    <row r="694" spans="1:10">
      <c r="A694" s="1">
        <v>41218</v>
      </c>
      <c r="B694">
        <v>9.83</v>
      </c>
      <c r="C694">
        <v>9.93</v>
      </c>
      <c r="D694">
        <v>9.6199999999999992</v>
      </c>
      <c r="E694">
        <v>9.75</v>
      </c>
      <c r="F694">
        <v>121104400</v>
      </c>
      <c r="G694">
        <v>9.7100000000000009</v>
      </c>
      <c r="H694" t="s">
        <v>2</v>
      </c>
      <c r="I694" s="22">
        <f t="shared" si="21"/>
        <v>-1.024599127403816E-2</v>
      </c>
      <c r="J694" s="22" t="str">
        <f t="shared" si="22"/>
        <v>lost money</v>
      </c>
    </row>
    <row r="695" spans="1:10">
      <c r="A695" s="1">
        <v>41219</v>
      </c>
      <c r="B695">
        <v>9.83</v>
      </c>
      <c r="C695">
        <v>9.9700000000000006</v>
      </c>
      <c r="D695">
        <v>9.75</v>
      </c>
      <c r="E695">
        <v>9.94</v>
      </c>
      <c r="F695">
        <v>132533500</v>
      </c>
      <c r="G695">
        <v>9.9</v>
      </c>
      <c r="H695" t="s">
        <v>2</v>
      </c>
      <c r="I695" s="22">
        <f t="shared" si="21"/>
        <v>1.9378474837310696E-2</v>
      </c>
      <c r="J695" s="22" t="str">
        <f t="shared" si="22"/>
        <v/>
      </c>
    </row>
    <row r="696" spans="1:10">
      <c r="A696" s="1">
        <v>41220</v>
      </c>
      <c r="B696">
        <v>9.6300000000000008</v>
      </c>
      <c r="C696">
        <v>9.67</v>
      </c>
      <c r="D696">
        <v>9.2200000000000006</v>
      </c>
      <c r="E696">
        <v>9.23</v>
      </c>
      <c r="F696">
        <v>286124300</v>
      </c>
      <c r="G696">
        <v>9.19</v>
      </c>
      <c r="H696" t="s">
        <v>2</v>
      </c>
      <c r="I696" s="22">
        <f t="shared" si="21"/>
        <v>-7.4418820772948702E-2</v>
      </c>
      <c r="J696" s="22" t="str">
        <f t="shared" si="22"/>
        <v>lost money</v>
      </c>
    </row>
    <row r="697" spans="1:10">
      <c r="A697" s="1">
        <v>41221</v>
      </c>
      <c r="B697">
        <v>9.49</v>
      </c>
      <c r="C697">
        <v>9.6</v>
      </c>
      <c r="D697">
        <v>9.3800000000000008</v>
      </c>
      <c r="E697">
        <v>9.39</v>
      </c>
      <c r="F697">
        <v>223927000</v>
      </c>
      <c r="G697">
        <v>9.35</v>
      </c>
      <c r="H697" t="s">
        <v>2</v>
      </c>
      <c r="I697" s="22">
        <f t="shared" si="21"/>
        <v>1.7260406932999992E-2</v>
      </c>
      <c r="J697" s="22" t="str">
        <f t="shared" si="22"/>
        <v>lost money</v>
      </c>
    </row>
    <row r="698" spans="1:10">
      <c r="A698" s="1">
        <v>41222</v>
      </c>
      <c r="B698">
        <v>9.3000000000000007</v>
      </c>
      <c r="C698">
        <v>9.59</v>
      </c>
      <c r="D698">
        <v>9.27</v>
      </c>
      <c r="E698">
        <v>9.43</v>
      </c>
      <c r="F698">
        <v>141093100</v>
      </c>
      <c r="G698">
        <v>9.39</v>
      </c>
      <c r="H698" t="s">
        <v>2</v>
      </c>
      <c r="I698" s="22">
        <f t="shared" si="21"/>
        <v>4.2689499195760145E-3</v>
      </c>
      <c r="J698" s="22" t="str">
        <f t="shared" si="22"/>
        <v/>
      </c>
    </row>
    <row r="699" spans="1:10">
      <c r="A699" s="1">
        <v>41225</v>
      </c>
      <c r="B699">
        <v>9.5</v>
      </c>
      <c r="C699">
        <v>9.52</v>
      </c>
      <c r="D699">
        <v>9.3800000000000008</v>
      </c>
      <c r="E699">
        <v>9.39</v>
      </c>
      <c r="F699">
        <v>68498300</v>
      </c>
      <c r="G699">
        <v>9.35</v>
      </c>
      <c r="H699" t="s">
        <v>2</v>
      </c>
      <c r="I699" s="22">
        <f t="shared" si="21"/>
        <v>-4.2689499195760015E-3</v>
      </c>
      <c r="J699" s="22" t="str">
        <f t="shared" si="22"/>
        <v>lost money</v>
      </c>
    </row>
    <row r="700" spans="1:10">
      <c r="A700" s="1">
        <v>41226</v>
      </c>
      <c r="B700">
        <v>9.31</v>
      </c>
      <c r="C700">
        <v>9.5500000000000007</v>
      </c>
      <c r="D700">
        <v>9.2799999999999994</v>
      </c>
      <c r="E700">
        <v>9.33</v>
      </c>
      <c r="F700">
        <v>119629700</v>
      </c>
      <c r="G700">
        <v>9.2899999999999991</v>
      </c>
      <c r="H700" t="s">
        <v>2</v>
      </c>
      <c r="I700" s="22">
        <f t="shared" si="21"/>
        <v>-6.4377904748485299E-3</v>
      </c>
      <c r="J700" s="22" t="str">
        <f t="shared" si="22"/>
        <v/>
      </c>
    </row>
    <row r="701" spans="1:10">
      <c r="A701" s="1">
        <v>41227</v>
      </c>
      <c r="B701">
        <v>9.3800000000000008</v>
      </c>
      <c r="C701">
        <v>9.42</v>
      </c>
      <c r="D701">
        <v>8.9499999999999993</v>
      </c>
      <c r="E701">
        <v>8.99</v>
      </c>
      <c r="F701">
        <v>197392900</v>
      </c>
      <c r="G701">
        <v>8.9499999999999993</v>
      </c>
      <c r="H701" t="s">
        <v>2</v>
      </c>
      <c r="I701" s="22">
        <f t="shared" si="21"/>
        <v>-3.7285020538983124E-2</v>
      </c>
      <c r="J701" s="22" t="str">
        <f t="shared" si="22"/>
        <v>lost money</v>
      </c>
    </row>
    <row r="702" spans="1:10">
      <c r="A702" s="1">
        <v>41228</v>
      </c>
      <c r="B702">
        <v>9.0299999999999994</v>
      </c>
      <c r="C702">
        <v>9.1999999999999993</v>
      </c>
      <c r="D702">
        <v>9.02</v>
      </c>
      <c r="E702">
        <v>9.09</v>
      </c>
      <c r="F702">
        <v>144569800</v>
      </c>
      <c r="G702">
        <v>9.0500000000000007</v>
      </c>
      <c r="H702" t="s">
        <v>2</v>
      </c>
      <c r="I702" s="22">
        <f t="shared" si="21"/>
        <v>1.1111225425070849E-2</v>
      </c>
      <c r="J702" s="22" t="str">
        <f t="shared" si="22"/>
        <v/>
      </c>
    </row>
    <row r="703" spans="1:10">
      <c r="A703" s="1">
        <v>41229</v>
      </c>
      <c r="B703">
        <v>9.1199999999999992</v>
      </c>
      <c r="C703">
        <v>9.2100000000000009</v>
      </c>
      <c r="D703">
        <v>8.92</v>
      </c>
      <c r="E703">
        <v>9.1199999999999992</v>
      </c>
      <c r="F703">
        <v>178995000</v>
      </c>
      <c r="G703">
        <v>9.08</v>
      </c>
      <c r="H703" t="s">
        <v>2</v>
      </c>
      <c r="I703" s="22">
        <f t="shared" si="21"/>
        <v>3.3094349013670092E-3</v>
      </c>
      <c r="J703" s="22" t="str">
        <f t="shared" si="22"/>
        <v/>
      </c>
    </row>
    <row r="704" spans="1:10">
      <c r="A704" s="1">
        <v>41232</v>
      </c>
      <c r="B704">
        <v>9.36</v>
      </c>
      <c r="C704">
        <v>9.5299999999999994</v>
      </c>
      <c r="D704">
        <v>9.32</v>
      </c>
      <c r="E704">
        <v>9.49</v>
      </c>
      <c r="F704">
        <v>146244000</v>
      </c>
      <c r="G704">
        <v>9.4499999999999993</v>
      </c>
      <c r="H704" t="s">
        <v>2</v>
      </c>
      <c r="I704" s="22">
        <f t="shared" si="21"/>
        <v>3.9940548892449287E-2</v>
      </c>
      <c r="J704" s="22" t="str">
        <f t="shared" si="22"/>
        <v/>
      </c>
    </row>
    <row r="705" spans="1:10">
      <c r="A705" s="1">
        <v>41233</v>
      </c>
      <c r="B705">
        <v>9.4700000000000006</v>
      </c>
      <c r="C705">
        <v>9.68</v>
      </c>
      <c r="D705">
        <v>9.42</v>
      </c>
      <c r="E705">
        <v>9.6300000000000008</v>
      </c>
      <c r="F705">
        <v>150696200</v>
      </c>
      <c r="G705">
        <v>9.59</v>
      </c>
      <c r="H705" t="s">
        <v>2</v>
      </c>
      <c r="I705" s="22">
        <f t="shared" si="21"/>
        <v>1.4706147389695487E-2</v>
      </c>
      <c r="J705" s="22" t="str">
        <f t="shared" si="22"/>
        <v/>
      </c>
    </row>
    <row r="706" spans="1:10">
      <c r="A706" s="1">
        <v>41234</v>
      </c>
      <c r="B706">
        <v>9.67</v>
      </c>
      <c r="C706">
        <v>9.7799999999999994</v>
      </c>
      <c r="D706">
        <v>9.6300000000000008</v>
      </c>
      <c r="E706">
        <v>9.77</v>
      </c>
      <c r="F706">
        <v>132499300</v>
      </c>
      <c r="G706">
        <v>9.73</v>
      </c>
      <c r="H706" t="s">
        <v>2</v>
      </c>
      <c r="I706" s="22">
        <f t="shared" si="21"/>
        <v>1.4493007302566824E-2</v>
      </c>
      <c r="J706" s="22" t="str">
        <f t="shared" si="22"/>
        <v/>
      </c>
    </row>
    <row r="707" spans="1:10">
      <c r="A707" s="1">
        <v>41236</v>
      </c>
      <c r="B707">
        <v>9.84</v>
      </c>
      <c r="C707">
        <v>9.9</v>
      </c>
      <c r="D707">
        <v>9.8000000000000007</v>
      </c>
      <c r="E707">
        <v>9.9</v>
      </c>
      <c r="F707">
        <v>59048000</v>
      </c>
      <c r="G707">
        <v>9.86</v>
      </c>
      <c r="H707" t="s">
        <v>2</v>
      </c>
      <c r="I707" s="22">
        <f t="shared" ref="I707:I770" si="23">IF(A707=$A$2,"",LN(G707/G706))</f>
        <v>1.3272272416630209E-2</v>
      </c>
      <c r="J707" s="22" t="str">
        <f t="shared" ref="J707:J770" si="24">IF(B707&gt;E707,"lost money","")</f>
        <v/>
      </c>
    </row>
    <row r="708" spans="1:10">
      <c r="A708" s="1">
        <v>41239</v>
      </c>
      <c r="B708">
        <v>9.82</v>
      </c>
      <c r="C708">
        <v>9.8699999999999992</v>
      </c>
      <c r="D708">
        <v>9.75</v>
      </c>
      <c r="E708">
        <v>9.84</v>
      </c>
      <c r="F708">
        <v>99730900</v>
      </c>
      <c r="G708">
        <v>9.8000000000000007</v>
      </c>
      <c r="H708" t="s">
        <v>2</v>
      </c>
      <c r="I708" s="22">
        <f t="shared" si="23"/>
        <v>-6.1037829380176873E-3</v>
      </c>
      <c r="J708" s="22" t="str">
        <f t="shared" si="24"/>
        <v/>
      </c>
    </row>
    <row r="709" spans="1:10">
      <c r="A709" s="1">
        <v>41240</v>
      </c>
      <c r="B709">
        <v>9.89</v>
      </c>
      <c r="C709">
        <v>9.9499999999999993</v>
      </c>
      <c r="D709">
        <v>9.66</v>
      </c>
      <c r="E709">
        <v>9.66</v>
      </c>
      <c r="F709">
        <v>149684000</v>
      </c>
      <c r="G709">
        <v>9.6199999999999992</v>
      </c>
      <c r="H709" t="s">
        <v>2</v>
      </c>
      <c r="I709" s="22">
        <f t="shared" si="23"/>
        <v>-1.8538120998911226E-2</v>
      </c>
      <c r="J709" s="22" t="str">
        <f t="shared" si="24"/>
        <v>lost money</v>
      </c>
    </row>
    <row r="710" spans="1:10">
      <c r="A710" s="1">
        <v>41241</v>
      </c>
      <c r="B710">
        <v>9.56</v>
      </c>
      <c r="C710">
        <v>9.76</v>
      </c>
      <c r="D710">
        <v>9.3800000000000008</v>
      </c>
      <c r="E710">
        <v>9.76</v>
      </c>
      <c r="F710">
        <v>152946500</v>
      </c>
      <c r="G710">
        <v>9.7200000000000006</v>
      </c>
      <c r="H710" t="s">
        <v>2</v>
      </c>
      <c r="I710" s="22">
        <f t="shared" si="23"/>
        <v>1.0341353794732751E-2</v>
      </c>
      <c r="J710" s="22" t="str">
        <f t="shared" si="24"/>
        <v/>
      </c>
    </row>
    <row r="711" spans="1:10">
      <c r="A711" s="1">
        <v>41242</v>
      </c>
      <c r="B711">
        <v>9.84</v>
      </c>
      <c r="C711">
        <v>9.8800000000000008</v>
      </c>
      <c r="D711">
        <v>9.76</v>
      </c>
      <c r="E711">
        <v>9.83</v>
      </c>
      <c r="F711">
        <v>125905400</v>
      </c>
      <c r="G711">
        <v>9.7899999999999991</v>
      </c>
      <c r="H711" t="s">
        <v>2</v>
      </c>
      <c r="I711" s="22">
        <f t="shared" si="23"/>
        <v>7.1758380700711914E-3</v>
      </c>
      <c r="J711" s="22" t="str">
        <f t="shared" si="24"/>
        <v>lost money</v>
      </c>
    </row>
    <row r="712" spans="1:10">
      <c r="A712" s="1">
        <v>41243</v>
      </c>
      <c r="B712">
        <v>9.7799999999999994</v>
      </c>
      <c r="C712">
        <v>9.8699999999999992</v>
      </c>
      <c r="D712">
        <v>9.76</v>
      </c>
      <c r="E712">
        <v>9.86</v>
      </c>
      <c r="F712">
        <v>108739700</v>
      </c>
      <c r="G712">
        <v>9.82</v>
      </c>
      <c r="H712" t="s">
        <v>2</v>
      </c>
      <c r="I712" s="22">
        <f t="shared" si="23"/>
        <v>3.0596658239557145E-3</v>
      </c>
      <c r="J712" s="22" t="str">
        <f t="shared" si="24"/>
        <v/>
      </c>
    </row>
    <row r="713" spans="1:10">
      <c r="A713" s="1">
        <v>41246</v>
      </c>
      <c r="B713">
        <v>9.93</v>
      </c>
      <c r="C713">
        <v>9.94</v>
      </c>
      <c r="D713">
        <v>9.7799999999999994</v>
      </c>
      <c r="E713">
        <v>9.8000000000000007</v>
      </c>
      <c r="F713">
        <v>99872800</v>
      </c>
      <c r="G713">
        <v>9.76</v>
      </c>
      <c r="H713" t="s">
        <v>2</v>
      </c>
      <c r="I713" s="22">
        <f t="shared" si="23"/>
        <v>-6.1287219413734993E-3</v>
      </c>
      <c r="J713" s="22" t="str">
        <f t="shared" si="24"/>
        <v>lost money</v>
      </c>
    </row>
    <row r="714" spans="1:10">
      <c r="A714" s="1">
        <v>41247</v>
      </c>
      <c r="B714">
        <v>9.7899999999999991</v>
      </c>
      <c r="C714">
        <v>9.91</v>
      </c>
      <c r="D714">
        <v>9.77</v>
      </c>
      <c r="E714">
        <v>9.91</v>
      </c>
      <c r="F714">
        <v>144124500</v>
      </c>
      <c r="G714">
        <v>9.8699999999999992</v>
      </c>
      <c r="H714" t="s">
        <v>2</v>
      </c>
      <c r="I714" s="22">
        <f t="shared" si="23"/>
        <v>1.1207453020389068E-2</v>
      </c>
      <c r="J714" s="22" t="str">
        <f t="shared" si="24"/>
        <v/>
      </c>
    </row>
    <row r="715" spans="1:10">
      <c r="A715" s="1">
        <v>41248</v>
      </c>
      <c r="B715">
        <v>9.9700000000000006</v>
      </c>
      <c r="C715">
        <v>10.56</v>
      </c>
      <c r="D715">
        <v>9.9499999999999993</v>
      </c>
      <c r="E715">
        <v>10.46</v>
      </c>
      <c r="F715">
        <v>463491000</v>
      </c>
      <c r="G715">
        <v>10.43</v>
      </c>
      <c r="H715" t="s">
        <v>2</v>
      </c>
      <c r="I715" s="22">
        <f t="shared" si="23"/>
        <v>5.5186415567290939E-2</v>
      </c>
      <c r="J715" s="22" t="str">
        <f t="shared" si="24"/>
        <v/>
      </c>
    </row>
    <row r="716" spans="1:10">
      <c r="A716" s="1">
        <v>41249</v>
      </c>
      <c r="B716">
        <v>10.51</v>
      </c>
      <c r="C716">
        <v>10.58</v>
      </c>
      <c r="D716">
        <v>10.29</v>
      </c>
      <c r="E716">
        <v>10.46</v>
      </c>
      <c r="F716">
        <v>176607900</v>
      </c>
      <c r="G716">
        <v>10.43</v>
      </c>
      <c r="H716" t="s">
        <v>2</v>
      </c>
      <c r="I716" s="22">
        <f t="shared" si="23"/>
        <v>0</v>
      </c>
      <c r="J716" s="22" t="str">
        <f t="shared" si="24"/>
        <v>lost money</v>
      </c>
    </row>
    <row r="717" spans="1:10">
      <c r="A717" s="1">
        <v>41250</v>
      </c>
      <c r="B717">
        <v>10.56</v>
      </c>
      <c r="C717">
        <v>10.68</v>
      </c>
      <c r="D717">
        <v>10.48</v>
      </c>
      <c r="E717">
        <v>10.64</v>
      </c>
      <c r="F717">
        <v>192055100</v>
      </c>
      <c r="G717">
        <v>10.61</v>
      </c>
      <c r="H717" t="s">
        <v>2</v>
      </c>
      <c r="I717" s="22">
        <f t="shared" si="23"/>
        <v>1.7110683613210727E-2</v>
      </c>
      <c r="J717" s="22" t="str">
        <f t="shared" si="24"/>
        <v/>
      </c>
    </row>
    <row r="718" spans="1:10">
      <c r="A718" s="1">
        <v>41253</v>
      </c>
      <c r="B718">
        <v>10.6</v>
      </c>
      <c r="C718">
        <v>10.63</v>
      </c>
      <c r="D718">
        <v>10.46</v>
      </c>
      <c r="E718">
        <v>10.57</v>
      </c>
      <c r="F718">
        <v>148065200</v>
      </c>
      <c r="G718">
        <v>10.54</v>
      </c>
      <c r="H718" t="s">
        <v>2</v>
      </c>
      <c r="I718" s="22">
        <f t="shared" si="23"/>
        <v>-6.6194095126755554E-3</v>
      </c>
      <c r="J718" s="22" t="str">
        <f t="shared" si="24"/>
        <v>lost money</v>
      </c>
    </row>
    <row r="719" spans="1:10">
      <c r="A719" s="1">
        <v>41254</v>
      </c>
      <c r="B719">
        <v>10.64</v>
      </c>
      <c r="C719">
        <v>10.71</v>
      </c>
      <c r="D719">
        <v>10.5</v>
      </c>
      <c r="E719">
        <v>10.51</v>
      </c>
      <c r="F719">
        <v>159121300</v>
      </c>
      <c r="G719">
        <v>10.48</v>
      </c>
      <c r="H719" t="s">
        <v>2</v>
      </c>
      <c r="I719" s="22">
        <f t="shared" si="23"/>
        <v>-5.7088642203200922E-3</v>
      </c>
      <c r="J719" s="22" t="str">
        <f t="shared" si="24"/>
        <v>lost money</v>
      </c>
    </row>
    <row r="720" spans="1:10">
      <c r="A720" s="1">
        <v>41255</v>
      </c>
      <c r="B720">
        <v>10.59</v>
      </c>
      <c r="C720">
        <v>10.7</v>
      </c>
      <c r="D720">
        <v>10.51</v>
      </c>
      <c r="E720">
        <v>10.61</v>
      </c>
      <c r="F720">
        <v>166819300</v>
      </c>
      <c r="G720">
        <v>10.58</v>
      </c>
      <c r="H720" t="s">
        <v>2</v>
      </c>
      <c r="I720" s="22">
        <f t="shared" si="23"/>
        <v>9.4967475372572073E-3</v>
      </c>
      <c r="J720" s="22" t="str">
        <f t="shared" si="24"/>
        <v/>
      </c>
    </row>
    <row r="721" spans="1:10">
      <c r="A721" s="1">
        <v>41256</v>
      </c>
      <c r="B721">
        <v>10.59</v>
      </c>
      <c r="C721">
        <v>10.66</v>
      </c>
      <c r="D721">
        <v>10.51</v>
      </c>
      <c r="E721">
        <v>10.54</v>
      </c>
      <c r="F721">
        <v>106232100</v>
      </c>
      <c r="G721">
        <v>10.51</v>
      </c>
      <c r="H721" t="s">
        <v>2</v>
      </c>
      <c r="I721" s="22">
        <f t="shared" si="23"/>
        <v>-6.6382415412936293E-3</v>
      </c>
      <c r="J721" s="22" t="str">
        <f t="shared" si="24"/>
        <v>lost money</v>
      </c>
    </row>
    <row r="722" spans="1:10">
      <c r="A722" s="1">
        <v>41257</v>
      </c>
      <c r="B722">
        <v>10.55</v>
      </c>
      <c r="C722">
        <v>10.6</v>
      </c>
      <c r="D722">
        <v>10.52</v>
      </c>
      <c r="E722">
        <v>10.58</v>
      </c>
      <c r="F722">
        <v>91707200</v>
      </c>
      <c r="G722">
        <v>10.55</v>
      </c>
      <c r="H722" t="s">
        <v>2</v>
      </c>
      <c r="I722" s="22">
        <f t="shared" si="23"/>
        <v>3.7986750332157384E-3</v>
      </c>
      <c r="J722" s="22" t="str">
        <f t="shared" si="24"/>
        <v/>
      </c>
    </row>
    <row r="723" spans="1:10">
      <c r="A723" s="1">
        <v>41260</v>
      </c>
      <c r="B723">
        <v>10.65</v>
      </c>
      <c r="C723">
        <v>11</v>
      </c>
      <c r="D723">
        <v>10.64</v>
      </c>
      <c r="E723">
        <v>11</v>
      </c>
      <c r="F723">
        <v>170087700</v>
      </c>
      <c r="G723">
        <v>10.97</v>
      </c>
      <c r="H723" t="s">
        <v>2</v>
      </c>
      <c r="I723" s="22">
        <f t="shared" si="23"/>
        <v>3.9038414365063341E-2</v>
      </c>
      <c r="J723" s="22" t="str">
        <f t="shared" si="24"/>
        <v/>
      </c>
    </row>
    <row r="724" spans="1:10">
      <c r="A724" s="1">
        <v>41261</v>
      </c>
      <c r="B724">
        <v>11.24</v>
      </c>
      <c r="C724">
        <v>11.36</v>
      </c>
      <c r="D724">
        <v>11.05</v>
      </c>
      <c r="E724">
        <v>11.36</v>
      </c>
      <c r="F724">
        <v>255238400</v>
      </c>
      <c r="G724">
        <v>11.33</v>
      </c>
      <c r="H724" t="s">
        <v>2</v>
      </c>
      <c r="I724" s="22">
        <f t="shared" si="23"/>
        <v>3.2289800752775995E-2</v>
      </c>
      <c r="J724" s="22" t="str">
        <f t="shared" si="24"/>
        <v/>
      </c>
    </row>
    <row r="725" spans="1:10">
      <c r="A725" s="1">
        <v>41262</v>
      </c>
      <c r="B725">
        <v>11.4</v>
      </c>
      <c r="C725">
        <v>11.49</v>
      </c>
      <c r="D725">
        <v>11.17</v>
      </c>
      <c r="E725">
        <v>11.19</v>
      </c>
      <c r="F725">
        <v>193013700</v>
      </c>
      <c r="G725">
        <v>11.16</v>
      </c>
      <c r="H725" t="s">
        <v>2</v>
      </c>
      <c r="I725" s="22">
        <f t="shared" si="23"/>
        <v>-1.5118118086750112E-2</v>
      </c>
      <c r="J725" s="22" t="str">
        <f t="shared" si="24"/>
        <v>lost money</v>
      </c>
    </row>
    <row r="726" spans="1:10">
      <c r="A726" s="1">
        <v>41263</v>
      </c>
      <c r="B726">
        <v>11.1</v>
      </c>
      <c r="C726">
        <v>11.52</v>
      </c>
      <c r="D726">
        <v>11.08</v>
      </c>
      <c r="E726">
        <v>11.52</v>
      </c>
      <c r="F726">
        <v>184449000</v>
      </c>
      <c r="G726">
        <v>11.49</v>
      </c>
      <c r="H726" t="s">
        <v>2</v>
      </c>
      <c r="I726" s="22">
        <f t="shared" si="23"/>
        <v>2.9141134907499408E-2</v>
      </c>
      <c r="J726" s="22" t="str">
        <f t="shared" si="24"/>
        <v/>
      </c>
    </row>
    <row r="727" spans="1:10">
      <c r="A727" s="1">
        <v>41264</v>
      </c>
      <c r="B727">
        <v>11.2</v>
      </c>
      <c r="C727">
        <v>11.35</v>
      </c>
      <c r="D727">
        <v>11.12</v>
      </c>
      <c r="E727">
        <v>11.29</v>
      </c>
      <c r="F727">
        <v>244892300</v>
      </c>
      <c r="G727">
        <v>11.26</v>
      </c>
      <c r="H727" t="s">
        <v>2</v>
      </c>
      <c r="I727" s="22">
        <f t="shared" si="23"/>
        <v>-2.0220469149120016E-2</v>
      </c>
      <c r="J727" s="22" t="str">
        <f t="shared" si="24"/>
        <v/>
      </c>
    </row>
    <row r="728" spans="1:10">
      <c r="A728" s="1">
        <v>41267</v>
      </c>
      <c r="B728">
        <v>11.27</v>
      </c>
      <c r="C728">
        <v>11.29</v>
      </c>
      <c r="D728">
        <v>11.21</v>
      </c>
      <c r="E728">
        <v>11.25</v>
      </c>
      <c r="F728">
        <v>50657100</v>
      </c>
      <c r="G728">
        <v>11.22</v>
      </c>
      <c r="H728" t="s">
        <v>2</v>
      </c>
      <c r="I728" s="22">
        <f t="shared" si="23"/>
        <v>-3.5587226169939952E-3</v>
      </c>
      <c r="J728" s="22" t="str">
        <f t="shared" si="24"/>
        <v>lost money</v>
      </c>
    </row>
    <row r="729" spans="1:10">
      <c r="A729" s="1">
        <v>41269</v>
      </c>
      <c r="B729">
        <v>11.29</v>
      </c>
      <c r="C729">
        <v>11.63</v>
      </c>
      <c r="D729">
        <v>11.27</v>
      </c>
      <c r="E729">
        <v>11.54</v>
      </c>
      <c r="F729">
        <v>146097900</v>
      </c>
      <c r="G729">
        <v>11.51</v>
      </c>
      <c r="H729" t="s">
        <v>2</v>
      </c>
      <c r="I729" s="22">
        <f t="shared" si="23"/>
        <v>2.5518322639241049E-2</v>
      </c>
      <c r="J729" s="22" t="str">
        <f t="shared" si="24"/>
        <v/>
      </c>
    </row>
    <row r="730" spans="1:10">
      <c r="A730" s="1">
        <v>41270</v>
      </c>
      <c r="B730">
        <v>11.66</v>
      </c>
      <c r="C730">
        <v>11.69</v>
      </c>
      <c r="D730">
        <v>11.23</v>
      </c>
      <c r="E730">
        <v>11.47</v>
      </c>
      <c r="F730">
        <v>210411400</v>
      </c>
      <c r="G730">
        <v>11.44</v>
      </c>
      <c r="H730" t="s">
        <v>2</v>
      </c>
      <c r="I730" s="22">
        <f t="shared" si="23"/>
        <v>-6.1002367821394654E-3</v>
      </c>
      <c r="J730" s="22" t="str">
        <f t="shared" si="24"/>
        <v>lost money</v>
      </c>
    </row>
    <row r="731" spans="1:10">
      <c r="A731" s="1">
        <v>41271</v>
      </c>
      <c r="B731">
        <v>11.32</v>
      </c>
      <c r="C731">
        <v>11.49</v>
      </c>
      <c r="D731">
        <v>11.27</v>
      </c>
      <c r="E731">
        <v>11.36</v>
      </c>
      <c r="F731">
        <v>131872200</v>
      </c>
      <c r="G731">
        <v>11.33</v>
      </c>
      <c r="H731" t="s">
        <v>2</v>
      </c>
      <c r="I731" s="22">
        <f t="shared" si="23"/>
        <v>-9.6619109117368589E-3</v>
      </c>
      <c r="J731" s="22" t="str">
        <f t="shared" si="24"/>
        <v/>
      </c>
    </row>
    <row r="732" spans="1:10">
      <c r="A732" s="1">
        <v>41274</v>
      </c>
      <c r="B732">
        <v>11.37</v>
      </c>
      <c r="C732">
        <v>11.65</v>
      </c>
      <c r="D732">
        <v>11.3</v>
      </c>
      <c r="E732">
        <v>11.61</v>
      </c>
      <c r="F732">
        <v>170837500</v>
      </c>
      <c r="G732">
        <v>11.58</v>
      </c>
      <c r="H732" t="s">
        <v>2</v>
      </c>
      <c r="I732" s="22">
        <f t="shared" si="23"/>
        <v>2.1825397104934308E-2</v>
      </c>
      <c r="J732" s="22" t="str">
        <f t="shared" si="24"/>
        <v/>
      </c>
    </row>
    <row r="733" spans="1:10">
      <c r="A733" s="1">
        <v>41276</v>
      </c>
      <c r="B733">
        <v>12.05</v>
      </c>
      <c r="C733">
        <v>12.15</v>
      </c>
      <c r="D733">
        <v>11.9</v>
      </c>
      <c r="E733">
        <v>12.03</v>
      </c>
      <c r="F733">
        <v>236021400</v>
      </c>
      <c r="G733">
        <v>11.99</v>
      </c>
      <c r="H733" t="s">
        <v>2</v>
      </c>
      <c r="I733" s="22">
        <f t="shared" si="23"/>
        <v>3.4793496894573672E-2</v>
      </c>
      <c r="J733" s="22" t="str">
        <f t="shared" si="24"/>
        <v>lost money</v>
      </c>
    </row>
    <row r="734" spans="1:10">
      <c r="A734" s="1">
        <v>41277</v>
      </c>
      <c r="B734">
        <v>12.01</v>
      </c>
      <c r="C734">
        <v>12.05</v>
      </c>
      <c r="D734">
        <v>11.88</v>
      </c>
      <c r="E734">
        <v>11.96</v>
      </c>
      <c r="F734">
        <v>157149700</v>
      </c>
      <c r="G734">
        <v>11.92</v>
      </c>
      <c r="H734" t="s">
        <v>2</v>
      </c>
      <c r="I734" s="22">
        <f t="shared" si="23"/>
        <v>-5.8553074022192212E-3</v>
      </c>
      <c r="J734" s="22" t="str">
        <f t="shared" si="24"/>
        <v>lost money</v>
      </c>
    </row>
    <row r="735" spans="1:10">
      <c r="A735" s="1">
        <v>41278</v>
      </c>
      <c r="B735">
        <v>11.97</v>
      </c>
      <c r="C735">
        <v>12.11</v>
      </c>
      <c r="D735">
        <v>11.93</v>
      </c>
      <c r="E735">
        <v>12.11</v>
      </c>
      <c r="F735">
        <v>132601900</v>
      </c>
      <c r="G735">
        <v>12.07</v>
      </c>
      <c r="H735" t="s">
        <v>2</v>
      </c>
      <c r="I735" s="22">
        <f t="shared" si="23"/>
        <v>1.250537347223651E-2</v>
      </c>
      <c r="J735" s="22" t="str">
        <f t="shared" si="24"/>
        <v/>
      </c>
    </row>
    <row r="736" spans="1:10">
      <c r="A736" s="1">
        <v>41281</v>
      </c>
      <c r="B736">
        <v>12.15</v>
      </c>
      <c r="C736">
        <v>12.2</v>
      </c>
      <c r="D736">
        <v>12</v>
      </c>
      <c r="E736">
        <v>12.09</v>
      </c>
      <c r="F736">
        <v>201403500</v>
      </c>
      <c r="G736">
        <v>12.05</v>
      </c>
      <c r="H736" t="s">
        <v>2</v>
      </c>
      <c r="I736" s="22">
        <f t="shared" si="23"/>
        <v>-1.6583751727761162E-3</v>
      </c>
      <c r="J736" s="22" t="str">
        <f t="shared" si="24"/>
        <v>lost money</v>
      </c>
    </row>
    <row r="737" spans="1:10">
      <c r="A737" s="1">
        <v>41282</v>
      </c>
      <c r="B737">
        <v>12.09</v>
      </c>
      <c r="C737">
        <v>12.1</v>
      </c>
      <c r="D737">
        <v>11.89</v>
      </c>
      <c r="E737">
        <v>11.98</v>
      </c>
      <c r="F737">
        <v>168461100</v>
      </c>
      <c r="G737">
        <v>11.94</v>
      </c>
      <c r="H737" t="s">
        <v>2</v>
      </c>
      <c r="I737" s="22">
        <f t="shared" si="23"/>
        <v>-9.1705519722080527E-3</v>
      </c>
      <c r="J737" s="22" t="str">
        <f t="shared" si="24"/>
        <v>lost money</v>
      </c>
    </row>
    <row r="738" spans="1:10">
      <c r="A738" s="1">
        <v>41283</v>
      </c>
      <c r="B738">
        <v>11.87</v>
      </c>
      <c r="C738">
        <v>12</v>
      </c>
      <c r="D738">
        <v>11.33</v>
      </c>
      <c r="E738">
        <v>11.43</v>
      </c>
      <c r="F738">
        <v>335692000</v>
      </c>
      <c r="G738">
        <v>11.4</v>
      </c>
      <c r="H738" t="s">
        <v>2</v>
      </c>
      <c r="I738" s="22">
        <f t="shared" si="23"/>
        <v>-4.6280752564006225E-2</v>
      </c>
      <c r="J738" s="22" t="str">
        <f t="shared" si="24"/>
        <v>lost money</v>
      </c>
    </row>
    <row r="739" spans="1:10">
      <c r="A739" s="1">
        <v>41284</v>
      </c>
      <c r="B739">
        <v>11.61</v>
      </c>
      <c r="C739">
        <v>11.81</v>
      </c>
      <c r="D739">
        <v>11.54</v>
      </c>
      <c r="E739">
        <v>11.78</v>
      </c>
      <c r="F739">
        <v>199964900</v>
      </c>
      <c r="G739">
        <v>11.74</v>
      </c>
      <c r="H739" t="s">
        <v>2</v>
      </c>
      <c r="I739" s="22">
        <f t="shared" si="23"/>
        <v>2.9388458999500704E-2</v>
      </c>
      <c r="J739" s="22" t="str">
        <f t="shared" si="24"/>
        <v/>
      </c>
    </row>
    <row r="740" spans="1:10">
      <c r="A740" s="1">
        <v>41285</v>
      </c>
      <c r="B740">
        <v>11.7</v>
      </c>
      <c r="C740">
        <v>11.72</v>
      </c>
      <c r="D740">
        <v>11.51</v>
      </c>
      <c r="E740">
        <v>11.63</v>
      </c>
      <c r="F740">
        <v>146136700</v>
      </c>
      <c r="G740">
        <v>11.6</v>
      </c>
      <c r="H740" t="s">
        <v>2</v>
      </c>
      <c r="I740" s="22">
        <f t="shared" si="23"/>
        <v>-1.1996716287631437E-2</v>
      </c>
      <c r="J740" s="22" t="str">
        <f t="shared" si="24"/>
        <v>lost money</v>
      </c>
    </row>
    <row r="741" spans="1:10">
      <c r="A741" s="1">
        <v>41288</v>
      </c>
      <c r="B741">
        <v>11.61</v>
      </c>
      <c r="C741">
        <v>11.63</v>
      </c>
      <c r="D741">
        <v>11.38</v>
      </c>
      <c r="E741">
        <v>11.47</v>
      </c>
      <c r="F741">
        <v>110032900</v>
      </c>
      <c r="G741">
        <v>11.44</v>
      </c>
      <c r="H741" t="s">
        <v>2</v>
      </c>
      <c r="I741" s="22">
        <f t="shared" si="23"/>
        <v>-1.388911216066715E-2</v>
      </c>
      <c r="J741" s="22" t="str">
        <f t="shared" si="24"/>
        <v>lost money</v>
      </c>
    </row>
    <row r="742" spans="1:10">
      <c r="A742" s="1">
        <v>41289</v>
      </c>
      <c r="B742">
        <v>11.38</v>
      </c>
      <c r="C742">
        <v>11.62</v>
      </c>
      <c r="D742">
        <v>11.3</v>
      </c>
      <c r="E742">
        <v>11.55</v>
      </c>
      <c r="F742">
        <v>126058300</v>
      </c>
      <c r="G742">
        <v>11.52</v>
      </c>
      <c r="H742" t="s">
        <v>2</v>
      </c>
      <c r="I742" s="22">
        <f t="shared" si="23"/>
        <v>6.9686693160934355E-3</v>
      </c>
      <c r="J742" s="22" t="str">
        <f t="shared" si="24"/>
        <v/>
      </c>
    </row>
    <row r="743" spans="1:10">
      <c r="A743" s="1">
        <v>41290</v>
      </c>
      <c r="B743">
        <v>11.58</v>
      </c>
      <c r="C743">
        <v>11.79</v>
      </c>
      <c r="D743">
        <v>11.47</v>
      </c>
      <c r="E743">
        <v>11.78</v>
      </c>
      <c r="F743">
        <v>164579300</v>
      </c>
      <c r="G743">
        <v>11.74</v>
      </c>
      <c r="H743" t="s">
        <v>2</v>
      </c>
      <c r="I743" s="22">
        <f t="shared" si="23"/>
        <v>1.8917159132205305E-2</v>
      </c>
      <c r="J743" s="22" t="str">
        <f t="shared" si="24"/>
        <v/>
      </c>
    </row>
    <row r="744" spans="1:10">
      <c r="A744" s="1">
        <v>41291</v>
      </c>
      <c r="B744">
        <v>11.69</v>
      </c>
      <c r="C744">
        <v>11.7</v>
      </c>
      <c r="D744">
        <v>11.17</v>
      </c>
      <c r="E744">
        <v>11.28</v>
      </c>
      <c r="F744">
        <v>323622200</v>
      </c>
      <c r="G744">
        <v>11.25</v>
      </c>
      <c r="H744" t="s">
        <v>2</v>
      </c>
      <c r="I744" s="22">
        <f t="shared" si="23"/>
        <v>-4.2633685749521227E-2</v>
      </c>
      <c r="J744" s="22" t="str">
        <f t="shared" si="24"/>
        <v>lost money</v>
      </c>
    </row>
    <row r="745" spans="1:10">
      <c r="A745" s="1">
        <v>41292</v>
      </c>
      <c r="B745">
        <v>11.26</v>
      </c>
      <c r="C745">
        <v>11.33</v>
      </c>
      <c r="D745">
        <v>11.02</v>
      </c>
      <c r="E745">
        <v>11.14</v>
      </c>
      <c r="F745">
        <v>179971800</v>
      </c>
      <c r="G745">
        <v>11.11</v>
      </c>
      <c r="H745" t="s">
        <v>2</v>
      </c>
      <c r="I745" s="22">
        <f t="shared" si="23"/>
        <v>-1.2522524998890549E-2</v>
      </c>
      <c r="J745" s="22" t="str">
        <f t="shared" si="24"/>
        <v>lost money</v>
      </c>
    </row>
    <row r="746" spans="1:10">
      <c r="A746" s="1">
        <v>41296</v>
      </c>
      <c r="B746">
        <v>11.12</v>
      </c>
      <c r="C746">
        <v>11.36</v>
      </c>
      <c r="D746">
        <v>11.09</v>
      </c>
      <c r="E746">
        <v>11.35</v>
      </c>
      <c r="F746">
        <v>137242700</v>
      </c>
      <c r="G746">
        <v>11.32</v>
      </c>
      <c r="H746" t="s">
        <v>2</v>
      </c>
      <c r="I746" s="22">
        <f t="shared" si="23"/>
        <v>1.8725469123498345E-2</v>
      </c>
      <c r="J746" s="22" t="str">
        <f t="shared" si="24"/>
        <v/>
      </c>
    </row>
    <row r="747" spans="1:10">
      <c r="A747" s="1">
        <v>41297</v>
      </c>
      <c r="B747">
        <v>11.38</v>
      </c>
      <c r="C747">
        <v>11.44</v>
      </c>
      <c r="D747">
        <v>11.23</v>
      </c>
      <c r="E747">
        <v>11.42</v>
      </c>
      <c r="F747">
        <v>121638200</v>
      </c>
      <c r="G747">
        <v>11.39</v>
      </c>
      <c r="H747" t="s">
        <v>2</v>
      </c>
      <c r="I747" s="22">
        <f t="shared" si="23"/>
        <v>6.1647046840539402E-3</v>
      </c>
      <c r="J747" s="22" t="str">
        <f t="shared" si="24"/>
        <v/>
      </c>
    </row>
    <row r="748" spans="1:10">
      <c r="A748" s="1">
        <v>41298</v>
      </c>
      <c r="B748">
        <v>11.45</v>
      </c>
      <c r="C748">
        <v>11.67</v>
      </c>
      <c r="D748">
        <v>11.42</v>
      </c>
      <c r="E748">
        <v>11.53</v>
      </c>
      <c r="F748">
        <v>127870800</v>
      </c>
      <c r="G748">
        <v>11.5</v>
      </c>
      <c r="H748" t="s">
        <v>2</v>
      </c>
      <c r="I748" s="22">
        <f t="shared" si="23"/>
        <v>9.611257910113585E-3</v>
      </c>
      <c r="J748" s="22" t="str">
        <f t="shared" si="24"/>
        <v/>
      </c>
    </row>
    <row r="749" spans="1:10">
      <c r="A749" s="1">
        <v>41299</v>
      </c>
      <c r="B749">
        <v>11.69</v>
      </c>
      <c r="C749">
        <v>11.72</v>
      </c>
      <c r="D749">
        <v>11.51</v>
      </c>
      <c r="E749">
        <v>11.62</v>
      </c>
      <c r="F749">
        <v>100171600</v>
      </c>
      <c r="G749">
        <v>11.59</v>
      </c>
      <c r="H749" t="s">
        <v>2</v>
      </c>
      <c r="I749" s="22">
        <f t="shared" si="23"/>
        <v>7.7956219824558701E-3</v>
      </c>
      <c r="J749" s="22" t="str">
        <f t="shared" si="24"/>
        <v>lost money</v>
      </c>
    </row>
    <row r="750" spans="1:10">
      <c r="A750" s="1">
        <v>41302</v>
      </c>
      <c r="B750">
        <v>11.64</v>
      </c>
      <c r="C750">
        <v>11.67</v>
      </c>
      <c r="D750">
        <v>11.43</v>
      </c>
      <c r="E750">
        <v>11.48</v>
      </c>
      <c r="F750">
        <v>91304200</v>
      </c>
      <c r="G750">
        <v>11.45</v>
      </c>
      <c r="H750" t="s">
        <v>2</v>
      </c>
      <c r="I750" s="22">
        <f t="shared" si="23"/>
        <v>-1.2152927351411736E-2</v>
      </c>
      <c r="J750" s="22" t="str">
        <f t="shared" si="24"/>
        <v>lost money</v>
      </c>
    </row>
    <row r="751" spans="1:10">
      <c r="A751" s="1">
        <v>41303</v>
      </c>
      <c r="B751">
        <v>11.42</v>
      </c>
      <c r="C751">
        <v>11.58</v>
      </c>
      <c r="D751">
        <v>11.4</v>
      </c>
      <c r="E751">
        <v>11.49</v>
      </c>
      <c r="F751">
        <v>96824100</v>
      </c>
      <c r="G751">
        <v>11.46</v>
      </c>
      <c r="H751" t="s">
        <v>2</v>
      </c>
      <c r="I751" s="22">
        <f t="shared" si="23"/>
        <v>8.7298128634491923E-4</v>
      </c>
      <c r="J751" s="22" t="str">
        <f t="shared" si="24"/>
        <v/>
      </c>
    </row>
    <row r="752" spans="1:10">
      <c r="A752" s="1">
        <v>41304</v>
      </c>
      <c r="B752">
        <v>11.49</v>
      </c>
      <c r="C752">
        <v>11.54</v>
      </c>
      <c r="D752">
        <v>11.35</v>
      </c>
      <c r="E752">
        <v>11.38</v>
      </c>
      <c r="F752">
        <v>89130200</v>
      </c>
      <c r="G752">
        <v>11.35</v>
      </c>
      <c r="H752" t="s">
        <v>2</v>
      </c>
      <c r="I752" s="22">
        <f t="shared" si="23"/>
        <v>-9.6449673591819558E-3</v>
      </c>
      <c r="J752" s="22" t="str">
        <f t="shared" si="24"/>
        <v>lost money</v>
      </c>
    </row>
    <row r="753" spans="1:10">
      <c r="A753" s="1">
        <v>41305</v>
      </c>
      <c r="B753">
        <v>11.32</v>
      </c>
      <c r="C753">
        <v>11.36</v>
      </c>
      <c r="D753">
        <v>11.22</v>
      </c>
      <c r="E753">
        <v>11.32</v>
      </c>
      <c r="F753">
        <v>97024700</v>
      </c>
      <c r="G753">
        <v>11.29</v>
      </c>
      <c r="H753" t="s">
        <v>2</v>
      </c>
      <c r="I753" s="22">
        <f t="shared" si="23"/>
        <v>-5.3003657658410516E-3</v>
      </c>
      <c r="J753" s="22" t="str">
        <f t="shared" si="24"/>
        <v/>
      </c>
    </row>
    <row r="754" spans="1:10">
      <c r="A754" s="1">
        <v>41306</v>
      </c>
      <c r="B754">
        <v>11.41</v>
      </c>
      <c r="C754">
        <v>11.73</v>
      </c>
      <c r="D754">
        <v>11.37</v>
      </c>
      <c r="E754">
        <v>11.71</v>
      </c>
      <c r="F754">
        <v>161141300</v>
      </c>
      <c r="G754">
        <v>11.68</v>
      </c>
      <c r="H754" t="s">
        <v>2</v>
      </c>
      <c r="I754" s="22">
        <f t="shared" si="23"/>
        <v>3.3960599238510435E-2</v>
      </c>
      <c r="J754" s="22" t="str">
        <f t="shared" si="24"/>
        <v/>
      </c>
    </row>
    <row r="755" spans="1:10">
      <c r="A755" s="1">
        <v>41309</v>
      </c>
      <c r="B755">
        <v>11.58</v>
      </c>
      <c r="C755">
        <v>11.69</v>
      </c>
      <c r="D755">
        <v>11.46</v>
      </c>
      <c r="E755">
        <v>11.48</v>
      </c>
      <c r="F755">
        <v>139733000</v>
      </c>
      <c r="G755">
        <v>11.45</v>
      </c>
      <c r="H755" t="s">
        <v>2</v>
      </c>
      <c r="I755" s="22">
        <f t="shared" si="23"/>
        <v>-1.9888247399832339E-2</v>
      </c>
      <c r="J755" s="22" t="str">
        <f t="shared" si="24"/>
        <v>lost money</v>
      </c>
    </row>
    <row r="756" spans="1:10">
      <c r="A756" s="1">
        <v>41310</v>
      </c>
      <c r="B756">
        <v>11.59</v>
      </c>
      <c r="C756">
        <v>11.98</v>
      </c>
      <c r="D756">
        <v>11.56</v>
      </c>
      <c r="E756">
        <v>11.88</v>
      </c>
      <c r="F756">
        <v>187785900</v>
      </c>
      <c r="G756">
        <v>11.84</v>
      </c>
      <c r="H756" t="s">
        <v>2</v>
      </c>
      <c r="I756" s="22">
        <f t="shared" si="23"/>
        <v>3.349389945561098E-2</v>
      </c>
      <c r="J756" s="22" t="str">
        <f t="shared" si="24"/>
        <v/>
      </c>
    </row>
    <row r="757" spans="1:10">
      <c r="A757" s="1">
        <v>41311</v>
      </c>
      <c r="B757">
        <v>11.73</v>
      </c>
      <c r="C757">
        <v>11.97</v>
      </c>
      <c r="D757">
        <v>11.73</v>
      </c>
      <c r="E757">
        <v>11.93</v>
      </c>
      <c r="F757">
        <v>173626800</v>
      </c>
      <c r="G757">
        <v>11.89</v>
      </c>
      <c r="H757" t="s">
        <v>2</v>
      </c>
      <c r="I757" s="22">
        <f t="shared" si="23"/>
        <v>4.2140812468308931E-3</v>
      </c>
      <c r="J757" s="22" t="str">
        <f t="shared" si="24"/>
        <v/>
      </c>
    </row>
    <row r="758" spans="1:10">
      <c r="A758" s="1">
        <v>41312</v>
      </c>
      <c r="B758">
        <v>11.97</v>
      </c>
      <c r="C758">
        <v>11.98</v>
      </c>
      <c r="D758">
        <v>11.73</v>
      </c>
      <c r="E758">
        <v>11.84</v>
      </c>
      <c r="F758">
        <v>173209900</v>
      </c>
      <c r="G758">
        <v>11.8</v>
      </c>
      <c r="H758" t="s">
        <v>2</v>
      </c>
      <c r="I758" s="22">
        <f t="shared" si="23"/>
        <v>-7.5981792310713669E-3</v>
      </c>
      <c r="J758" s="22" t="str">
        <f t="shared" si="24"/>
        <v>lost money</v>
      </c>
    </row>
    <row r="759" spans="1:10">
      <c r="A759" s="1">
        <v>41313</v>
      </c>
      <c r="B759">
        <v>11.86</v>
      </c>
      <c r="C759">
        <v>11.9</v>
      </c>
      <c r="D759">
        <v>11.72</v>
      </c>
      <c r="E759">
        <v>11.76</v>
      </c>
      <c r="F759">
        <v>145321100</v>
      </c>
      <c r="G759">
        <v>11.72</v>
      </c>
      <c r="H759" t="s">
        <v>2</v>
      </c>
      <c r="I759" s="22">
        <f t="shared" si="23"/>
        <v>-6.8027473227525231E-3</v>
      </c>
      <c r="J759" s="22" t="str">
        <f t="shared" si="24"/>
        <v>lost money</v>
      </c>
    </row>
    <row r="760" spans="1:10">
      <c r="A760" s="1">
        <v>41316</v>
      </c>
      <c r="B760">
        <v>11.73</v>
      </c>
      <c r="C760">
        <v>11.9</v>
      </c>
      <c r="D760">
        <v>11.67</v>
      </c>
      <c r="E760">
        <v>11.86</v>
      </c>
      <c r="F760">
        <v>103510800</v>
      </c>
      <c r="G760">
        <v>11.82</v>
      </c>
      <c r="H760" t="s">
        <v>2</v>
      </c>
      <c r="I760" s="22">
        <f t="shared" si="23"/>
        <v>8.4962278290855991E-3</v>
      </c>
      <c r="J760" s="22" t="str">
        <f t="shared" si="24"/>
        <v/>
      </c>
    </row>
    <row r="761" spans="1:10">
      <c r="A761" s="1">
        <v>41317</v>
      </c>
      <c r="B761">
        <v>11.87</v>
      </c>
      <c r="C761">
        <v>12.34</v>
      </c>
      <c r="D761">
        <v>11.78</v>
      </c>
      <c r="E761">
        <v>12.25</v>
      </c>
      <c r="F761">
        <v>232173900</v>
      </c>
      <c r="G761">
        <v>12.21</v>
      </c>
      <c r="H761" t="s">
        <v>2</v>
      </c>
      <c r="I761" s="22">
        <f t="shared" si="23"/>
        <v>3.2462276144661323E-2</v>
      </c>
      <c r="J761" s="22" t="str">
        <f t="shared" si="24"/>
        <v/>
      </c>
    </row>
    <row r="762" spans="1:10">
      <c r="A762" s="1">
        <v>41318</v>
      </c>
      <c r="B762">
        <v>12.35</v>
      </c>
      <c r="C762">
        <v>12.42</v>
      </c>
      <c r="D762">
        <v>12.05</v>
      </c>
      <c r="E762">
        <v>12.17</v>
      </c>
      <c r="F762">
        <v>192742500</v>
      </c>
      <c r="G762">
        <v>12.13</v>
      </c>
      <c r="H762" t="s">
        <v>2</v>
      </c>
      <c r="I762" s="22">
        <f t="shared" si="23"/>
        <v>-6.5735651666546033E-3</v>
      </c>
      <c r="J762" s="22" t="str">
        <f t="shared" si="24"/>
        <v>lost money</v>
      </c>
    </row>
    <row r="763" spans="1:10">
      <c r="A763" s="1">
        <v>41319</v>
      </c>
      <c r="B763">
        <v>12.09</v>
      </c>
      <c r="C763">
        <v>12.27</v>
      </c>
      <c r="D763">
        <v>12.07</v>
      </c>
      <c r="E763">
        <v>12.13</v>
      </c>
      <c r="F763">
        <v>144104800</v>
      </c>
      <c r="G763">
        <v>12.09</v>
      </c>
      <c r="H763" t="s">
        <v>2</v>
      </c>
      <c r="I763" s="22">
        <f t="shared" si="23"/>
        <v>-3.3030583292575134E-3</v>
      </c>
      <c r="J763" s="22" t="str">
        <f t="shared" si="24"/>
        <v/>
      </c>
    </row>
    <row r="764" spans="1:10">
      <c r="A764" s="1">
        <v>41320</v>
      </c>
      <c r="B764">
        <v>12.21</v>
      </c>
      <c r="C764">
        <v>12.21</v>
      </c>
      <c r="D764">
        <v>11.97</v>
      </c>
      <c r="E764">
        <v>12.03</v>
      </c>
      <c r="F764">
        <v>158242700</v>
      </c>
      <c r="G764">
        <v>11.99</v>
      </c>
      <c r="H764" t="s">
        <v>2</v>
      </c>
      <c r="I764" s="22">
        <f t="shared" si="23"/>
        <v>-8.3056955872783961E-3</v>
      </c>
      <c r="J764" s="22" t="str">
        <f t="shared" si="24"/>
        <v>lost money</v>
      </c>
    </row>
    <row r="765" spans="1:10">
      <c r="A765" s="1">
        <v>41324</v>
      </c>
      <c r="B765">
        <v>12.1</v>
      </c>
      <c r="C765">
        <v>12.31</v>
      </c>
      <c r="D765">
        <v>12.06</v>
      </c>
      <c r="E765">
        <v>12.19</v>
      </c>
      <c r="F765">
        <v>170783400</v>
      </c>
      <c r="G765">
        <v>12.15</v>
      </c>
      <c r="H765" t="s">
        <v>2</v>
      </c>
      <c r="I765" s="22">
        <f t="shared" si="23"/>
        <v>1.3256200747134628E-2</v>
      </c>
      <c r="J765" s="22" t="str">
        <f t="shared" si="24"/>
        <v/>
      </c>
    </row>
    <row r="766" spans="1:10">
      <c r="A766" s="1">
        <v>41325</v>
      </c>
      <c r="B766">
        <v>12.18</v>
      </c>
      <c r="C766">
        <v>12.29</v>
      </c>
      <c r="D766">
        <v>11.75</v>
      </c>
      <c r="E766">
        <v>11.8</v>
      </c>
      <c r="F766">
        <v>193466400</v>
      </c>
      <c r="G766">
        <v>11.76</v>
      </c>
      <c r="H766" t="s">
        <v>2</v>
      </c>
      <c r="I766" s="22">
        <f t="shared" si="23"/>
        <v>-3.2625227316076609E-2</v>
      </c>
      <c r="J766" s="22" t="str">
        <f t="shared" si="24"/>
        <v>lost money</v>
      </c>
    </row>
    <row r="767" spans="1:10">
      <c r="A767" s="1">
        <v>41326</v>
      </c>
      <c r="B767">
        <v>11.73</v>
      </c>
      <c r="C767">
        <v>11.73</v>
      </c>
      <c r="D767">
        <v>11.35</v>
      </c>
      <c r="E767">
        <v>11.42</v>
      </c>
      <c r="F767">
        <v>235532400</v>
      </c>
      <c r="G767">
        <v>11.39</v>
      </c>
      <c r="H767" t="s">
        <v>2</v>
      </c>
      <c r="I767" s="22">
        <f t="shared" si="23"/>
        <v>-3.1968165011390041E-2</v>
      </c>
      <c r="J767" s="22" t="str">
        <f t="shared" si="24"/>
        <v>lost money</v>
      </c>
    </row>
    <row r="768" spans="1:10">
      <c r="A768" s="1">
        <v>41327</v>
      </c>
      <c r="B768">
        <v>11.62</v>
      </c>
      <c r="C768">
        <v>11.64</v>
      </c>
      <c r="D768">
        <v>11.26</v>
      </c>
      <c r="E768">
        <v>11.44</v>
      </c>
      <c r="F768">
        <v>179268200</v>
      </c>
      <c r="G768">
        <v>11.41</v>
      </c>
      <c r="H768" t="s">
        <v>2</v>
      </c>
      <c r="I768" s="22">
        <f t="shared" si="23"/>
        <v>1.7543864148933739E-3</v>
      </c>
      <c r="J768" s="22" t="str">
        <f t="shared" si="24"/>
        <v>lost money</v>
      </c>
    </row>
    <row r="769" spans="1:10">
      <c r="A769" s="1">
        <v>41330</v>
      </c>
      <c r="B769">
        <v>11.6</v>
      </c>
      <c r="C769">
        <v>11.61</v>
      </c>
      <c r="D769">
        <v>10.98</v>
      </c>
      <c r="E769">
        <v>11.03</v>
      </c>
      <c r="F769">
        <v>206893900</v>
      </c>
      <c r="G769">
        <v>11</v>
      </c>
      <c r="H769" t="s">
        <v>2</v>
      </c>
      <c r="I769" s="22">
        <f t="shared" si="23"/>
        <v>-3.6594891075613693E-2</v>
      </c>
      <c r="J769" s="22" t="str">
        <f t="shared" si="24"/>
        <v>lost money</v>
      </c>
    </row>
    <row r="770" spans="1:10">
      <c r="A770" s="1">
        <v>41331</v>
      </c>
      <c r="B770">
        <v>11.12</v>
      </c>
      <c r="C770">
        <v>11.22</v>
      </c>
      <c r="D770">
        <v>11.03</v>
      </c>
      <c r="E770">
        <v>11.13</v>
      </c>
      <c r="F770">
        <v>173039600</v>
      </c>
      <c r="G770">
        <v>11.1</v>
      </c>
      <c r="H770" t="s">
        <v>2</v>
      </c>
      <c r="I770" s="22">
        <f t="shared" si="23"/>
        <v>9.0498355199178562E-3</v>
      </c>
      <c r="J770" s="22" t="str">
        <f t="shared" si="24"/>
        <v/>
      </c>
    </row>
    <row r="771" spans="1:10">
      <c r="A771" s="1">
        <v>41332</v>
      </c>
      <c r="B771">
        <v>11.15</v>
      </c>
      <c r="C771">
        <v>11.36</v>
      </c>
      <c r="D771">
        <v>11.1</v>
      </c>
      <c r="E771">
        <v>11.3</v>
      </c>
      <c r="F771">
        <v>147145400</v>
      </c>
      <c r="G771">
        <v>11.28</v>
      </c>
      <c r="H771" t="s">
        <v>2</v>
      </c>
      <c r="I771" s="22">
        <f t="shared" ref="I771:I834" si="25">IF(A771=$A$2,"",LN(G771/G770))</f>
        <v>1.6086137751624444E-2</v>
      </c>
      <c r="J771" s="22" t="str">
        <f t="shared" ref="J771:J834" si="26">IF(B771&gt;E771,"lost money","")</f>
        <v/>
      </c>
    </row>
    <row r="772" spans="1:10">
      <c r="A772" s="1">
        <v>41333</v>
      </c>
      <c r="B772">
        <v>11.33</v>
      </c>
      <c r="C772">
        <v>11.37</v>
      </c>
      <c r="D772">
        <v>11.2</v>
      </c>
      <c r="E772">
        <v>11.23</v>
      </c>
      <c r="F772">
        <v>143546700</v>
      </c>
      <c r="G772">
        <v>11.21</v>
      </c>
      <c r="H772" t="s">
        <v>2</v>
      </c>
      <c r="I772" s="22">
        <f t="shared" si="25"/>
        <v>-6.2250089858442072E-3</v>
      </c>
      <c r="J772" s="22" t="str">
        <f t="shared" si="26"/>
        <v>lost money</v>
      </c>
    </row>
    <row r="773" spans="1:10">
      <c r="A773" s="1">
        <v>41334</v>
      </c>
      <c r="B773">
        <v>11.13</v>
      </c>
      <c r="C773">
        <v>11.55</v>
      </c>
      <c r="D773">
        <v>11.02</v>
      </c>
      <c r="E773">
        <v>11.34</v>
      </c>
      <c r="F773">
        <v>189050700</v>
      </c>
      <c r="G773">
        <v>11.32</v>
      </c>
      <c r="H773" t="s">
        <v>2</v>
      </c>
      <c r="I773" s="22">
        <f t="shared" si="25"/>
        <v>9.7648356909682023E-3</v>
      </c>
      <c r="J773" s="22" t="str">
        <f t="shared" si="26"/>
        <v/>
      </c>
    </row>
    <row r="774" spans="1:10">
      <c r="A774" s="1">
        <v>41337</v>
      </c>
      <c r="B774">
        <v>11.27</v>
      </c>
      <c r="C774">
        <v>11.45</v>
      </c>
      <c r="D774">
        <v>11.22</v>
      </c>
      <c r="E774">
        <v>11.41</v>
      </c>
      <c r="F774">
        <v>116436000</v>
      </c>
      <c r="G774">
        <v>11.39</v>
      </c>
      <c r="H774" t="s">
        <v>2</v>
      </c>
      <c r="I774" s="22">
        <f t="shared" si="25"/>
        <v>6.1647046840539402E-3</v>
      </c>
      <c r="J774" s="22" t="str">
        <f t="shared" si="26"/>
        <v/>
      </c>
    </row>
    <row r="775" spans="1:10">
      <c r="A775" s="1">
        <v>41338</v>
      </c>
      <c r="B775">
        <v>11.56</v>
      </c>
      <c r="C775">
        <v>11.71</v>
      </c>
      <c r="D775">
        <v>11.53</v>
      </c>
      <c r="E775">
        <v>11.55</v>
      </c>
      <c r="F775">
        <v>135869700</v>
      </c>
      <c r="G775">
        <v>11.53</v>
      </c>
      <c r="H775" t="s">
        <v>2</v>
      </c>
      <c r="I775" s="22">
        <f t="shared" si="25"/>
        <v>1.2216556821876676E-2</v>
      </c>
      <c r="J775" s="22" t="str">
        <f t="shared" si="26"/>
        <v>lost money</v>
      </c>
    </row>
    <row r="776" spans="1:10">
      <c r="A776" s="1">
        <v>41339</v>
      </c>
      <c r="B776">
        <v>11.77</v>
      </c>
      <c r="C776">
        <v>12.02</v>
      </c>
      <c r="D776">
        <v>11.76</v>
      </c>
      <c r="E776">
        <v>11.92</v>
      </c>
      <c r="F776">
        <v>182557500</v>
      </c>
      <c r="G776">
        <v>11.9</v>
      </c>
      <c r="H776" t="s">
        <v>2</v>
      </c>
      <c r="I776" s="22">
        <f t="shared" si="25"/>
        <v>3.1586065836516207E-2</v>
      </c>
      <c r="J776" s="22" t="str">
        <f t="shared" si="26"/>
        <v/>
      </c>
    </row>
    <row r="777" spans="1:10">
      <c r="A777" s="1">
        <v>41340</v>
      </c>
      <c r="B777">
        <v>12</v>
      </c>
      <c r="C777">
        <v>12.28</v>
      </c>
      <c r="D777">
        <v>11.98</v>
      </c>
      <c r="E777">
        <v>12.26</v>
      </c>
      <c r="F777">
        <v>212403800</v>
      </c>
      <c r="G777">
        <v>12.23</v>
      </c>
      <c r="H777" t="s">
        <v>2</v>
      </c>
      <c r="I777" s="22">
        <f t="shared" si="25"/>
        <v>2.7353549581597188E-2</v>
      </c>
      <c r="J777" s="22" t="str">
        <f t="shared" si="26"/>
        <v/>
      </c>
    </row>
    <row r="778" spans="1:10">
      <c r="A778" s="1">
        <v>41341</v>
      </c>
      <c r="B778">
        <v>12.42</v>
      </c>
      <c r="C778">
        <v>12.44</v>
      </c>
      <c r="D778">
        <v>12.02</v>
      </c>
      <c r="E778">
        <v>12.07</v>
      </c>
      <c r="F778">
        <v>209777100</v>
      </c>
      <c r="G778">
        <v>12.04</v>
      </c>
      <c r="H778" t="s">
        <v>2</v>
      </c>
      <c r="I778" s="22">
        <f t="shared" si="25"/>
        <v>-1.5657509818406096E-2</v>
      </c>
      <c r="J778" s="22" t="str">
        <f t="shared" si="26"/>
        <v>lost money</v>
      </c>
    </row>
    <row r="779" spans="1:10">
      <c r="A779" s="1">
        <v>41344</v>
      </c>
      <c r="B779">
        <v>12.08</v>
      </c>
      <c r="C779">
        <v>12.22</v>
      </c>
      <c r="D779">
        <v>12.02</v>
      </c>
      <c r="E779">
        <v>12.15</v>
      </c>
      <c r="F779">
        <v>106427800</v>
      </c>
      <c r="G779">
        <v>12.12</v>
      </c>
      <c r="H779" t="s">
        <v>2</v>
      </c>
      <c r="I779" s="22">
        <f t="shared" si="25"/>
        <v>6.6225407604934569E-3</v>
      </c>
      <c r="J779" s="22" t="str">
        <f t="shared" si="26"/>
        <v/>
      </c>
    </row>
    <row r="780" spans="1:10">
      <c r="A780" s="1">
        <v>41345</v>
      </c>
      <c r="B780">
        <v>12.11</v>
      </c>
      <c r="C780">
        <v>12.18</v>
      </c>
      <c r="D780">
        <v>11.91</v>
      </c>
      <c r="E780">
        <v>12.01</v>
      </c>
      <c r="F780">
        <v>128134700</v>
      </c>
      <c r="G780">
        <v>11.98</v>
      </c>
      <c r="H780" t="s">
        <v>2</v>
      </c>
      <c r="I780" s="22">
        <f t="shared" si="25"/>
        <v>-1.1618387953864964E-2</v>
      </c>
      <c r="J780" s="22" t="str">
        <f t="shared" si="26"/>
        <v>lost money</v>
      </c>
    </row>
    <row r="781" spans="1:10">
      <c r="A781" s="1">
        <v>41346</v>
      </c>
      <c r="B781">
        <v>12.04</v>
      </c>
      <c r="C781">
        <v>12.11</v>
      </c>
      <c r="D781">
        <v>11.98</v>
      </c>
      <c r="E781">
        <v>12.06</v>
      </c>
      <c r="F781">
        <v>86216800</v>
      </c>
      <c r="G781">
        <v>12.03</v>
      </c>
      <c r="H781" t="s">
        <v>2</v>
      </c>
      <c r="I781" s="22">
        <f t="shared" si="25"/>
        <v>4.1649372992842021E-3</v>
      </c>
      <c r="J781" s="22" t="str">
        <f t="shared" si="26"/>
        <v/>
      </c>
    </row>
    <row r="782" spans="1:10">
      <c r="A782" s="1">
        <v>41347</v>
      </c>
      <c r="B782">
        <v>12.12</v>
      </c>
      <c r="C782">
        <v>12.19</v>
      </c>
      <c r="D782">
        <v>12.1</v>
      </c>
      <c r="E782">
        <v>12.11</v>
      </c>
      <c r="F782">
        <v>115440000</v>
      </c>
      <c r="G782">
        <v>12.08</v>
      </c>
      <c r="H782" t="s">
        <v>2</v>
      </c>
      <c r="I782" s="22">
        <f t="shared" si="25"/>
        <v>4.1476625200813797E-3</v>
      </c>
      <c r="J782" s="22" t="str">
        <f t="shared" si="26"/>
        <v>lost money</v>
      </c>
    </row>
    <row r="783" spans="1:10">
      <c r="A783" s="1">
        <v>41348</v>
      </c>
      <c r="B783">
        <v>12.52</v>
      </c>
      <c r="C783">
        <v>12.66</v>
      </c>
      <c r="D783">
        <v>12.35</v>
      </c>
      <c r="E783">
        <v>12.57</v>
      </c>
      <c r="F783">
        <v>319019100</v>
      </c>
      <c r="G783">
        <v>12.54</v>
      </c>
      <c r="H783" t="s">
        <v>2</v>
      </c>
      <c r="I783" s="22">
        <f t="shared" si="25"/>
        <v>3.7372342698105777E-2</v>
      </c>
      <c r="J783" s="22" t="str">
        <f t="shared" si="26"/>
        <v/>
      </c>
    </row>
    <row r="784" spans="1:10">
      <c r="A784" s="1">
        <v>41351</v>
      </c>
      <c r="B784">
        <v>12.29</v>
      </c>
      <c r="C784">
        <v>12.68</v>
      </c>
      <c r="D784">
        <v>12.26</v>
      </c>
      <c r="E784">
        <v>12.56</v>
      </c>
      <c r="F784">
        <v>189783300</v>
      </c>
      <c r="G784">
        <v>12.53</v>
      </c>
      <c r="H784" t="s">
        <v>2</v>
      </c>
      <c r="I784" s="22">
        <f t="shared" si="25"/>
        <v>-7.9776629679772625E-4</v>
      </c>
      <c r="J784" s="22" t="str">
        <f t="shared" si="26"/>
        <v/>
      </c>
    </row>
    <row r="785" spans="1:10">
      <c r="A785" s="1">
        <v>41352</v>
      </c>
      <c r="B785">
        <v>12.79</v>
      </c>
      <c r="C785">
        <v>12.94</v>
      </c>
      <c r="D785">
        <v>12.59</v>
      </c>
      <c r="E785">
        <v>12.71</v>
      </c>
      <c r="F785">
        <v>242939600</v>
      </c>
      <c r="G785">
        <v>12.68</v>
      </c>
      <c r="H785" t="s">
        <v>2</v>
      </c>
      <c r="I785" s="22">
        <f t="shared" si="25"/>
        <v>1.1900180101103037E-2</v>
      </c>
      <c r="J785" s="22" t="str">
        <f t="shared" si="26"/>
        <v>lost money</v>
      </c>
    </row>
    <row r="786" spans="1:10">
      <c r="A786" s="1">
        <v>41353</v>
      </c>
      <c r="B786">
        <v>12.79</v>
      </c>
      <c r="C786">
        <v>12.89</v>
      </c>
      <c r="D786">
        <v>12.71</v>
      </c>
      <c r="E786">
        <v>12.78</v>
      </c>
      <c r="F786">
        <v>219121700</v>
      </c>
      <c r="G786">
        <v>12.75</v>
      </c>
      <c r="H786" t="s">
        <v>2</v>
      </c>
      <c r="I786" s="22">
        <f t="shared" si="25"/>
        <v>5.5053225953552538E-3</v>
      </c>
      <c r="J786" s="22" t="str">
        <f t="shared" si="26"/>
        <v>lost money</v>
      </c>
    </row>
    <row r="787" spans="1:10">
      <c r="A787" s="1">
        <v>41354</v>
      </c>
      <c r="B787">
        <v>12.71</v>
      </c>
      <c r="C787">
        <v>12.84</v>
      </c>
      <c r="D787">
        <v>12.55</v>
      </c>
      <c r="E787">
        <v>12.57</v>
      </c>
      <c r="F787">
        <v>154529400</v>
      </c>
      <c r="G787">
        <v>12.54</v>
      </c>
      <c r="H787" t="s">
        <v>2</v>
      </c>
      <c r="I787" s="22">
        <f t="shared" si="25"/>
        <v>-1.6607736399660636E-2</v>
      </c>
      <c r="J787" s="22" t="str">
        <f t="shared" si="26"/>
        <v>lost money</v>
      </c>
    </row>
    <row r="788" spans="1:10">
      <c r="A788" s="1">
        <v>41355</v>
      </c>
      <c r="B788">
        <v>12.62</v>
      </c>
      <c r="C788">
        <v>12.67</v>
      </c>
      <c r="D788">
        <v>12.48</v>
      </c>
      <c r="E788">
        <v>12.56</v>
      </c>
      <c r="F788">
        <v>101974400</v>
      </c>
      <c r="G788">
        <v>12.53</v>
      </c>
      <c r="H788" t="s">
        <v>2</v>
      </c>
      <c r="I788" s="22">
        <f t="shared" si="25"/>
        <v>-7.9776629679772625E-4</v>
      </c>
      <c r="J788" s="22" t="str">
        <f t="shared" si="26"/>
        <v>lost money</v>
      </c>
    </row>
    <row r="789" spans="1:10">
      <c r="A789" s="1">
        <v>41358</v>
      </c>
      <c r="B789">
        <v>12.68</v>
      </c>
      <c r="C789">
        <v>12.72</v>
      </c>
      <c r="D789">
        <v>12.32</v>
      </c>
      <c r="E789">
        <v>12.4</v>
      </c>
      <c r="F789">
        <v>154320200</v>
      </c>
      <c r="G789">
        <v>12.37</v>
      </c>
      <c r="H789" t="s">
        <v>2</v>
      </c>
      <c r="I789" s="22">
        <f t="shared" si="25"/>
        <v>-1.2851582503580405E-2</v>
      </c>
      <c r="J789" s="22" t="str">
        <f t="shared" si="26"/>
        <v>lost money</v>
      </c>
    </row>
    <row r="790" spans="1:10">
      <c r="A790" s="1">
        <v>41359</v>
      </c>
      <c r="B790">
        <v>12.45</v>
      </c>
      <c r="C790">
        <v>12.5</v>
      </c>
      <c r="D790">
        <v>12.15</v>
      </c>
      <c r="E790">
        <v>12.28</v>
      </c>
      <c r="F790">
        <v>135654700</v>
      </c>
      <c r="G790">
        <v>12.25</v>
      </c>
      <c r="H790" t="s">
        <v>2</v>
      </c>
      <c r="I790" s="22">
        <f t="shared" si="25"/>
        <v>-9.7482494136604779E-3</v>
      </c>
      <c r="J790" s="22" t="str">
        <f t="shared" si="26"/>
        <v>lost money</v>
      </c>
    </row>
    <row r="791" spans="1:10">
      <c r="A791" s="1">
        <v>41360</v>
      </c>
      <c r="B791">
        <v>12.14</v>
      </c>
      <c r="C791">
        <v>12.28</v>
      </c>
      <c r="D791">
        <v>12.12</v>
      </c>
      <c r="E791">
        <v>12.23</v>
      </c>
      <c r="F791">
        <v>107177200</v>
      </c>
      <c r="G791">
        <v>12.2</v>
      </c>
      <c r="H791" t="s">
        <v>2</v>
      </c>
      <c r="I791" s="22">
        <f t="shared" si="25"/>
        <v>-4.0899852515251661E-3</v>
      </c>
      <c r="J791" s="22" t="str">
        <f t="shared" si="26"/>
        <v/>
      </c>
    </row>
    <row r="792" spans="1:10">
      <c r="A792" s="1">
        <v>41361</v>
      </c>
      <c r="B792">
        <v>12.24</v>
      </c>
      <c r="C792">
        <v>12.28</v>
      </c>
      <c r="D792">
        <v>12.11</v>
      </c>
      <c r="E792">
        <v>12.18</v>
      </c>
      <c r="F792">
        <v>92013900</v>
      </c>
      <c r="G792">
        <v>12.15</v>
      </c>
      <c r="H792" t="s">
        <v>2</v>
      </c>
      <c r="I792" s="22">
        <f t="shared" si="25"/>
        <v>-4.1067819526533593E-3</v>
      </c>
      <c r="J792" s="22" t="str">
        <f t="shared" si="26"/>
        <v>lost money</v>
      </c>
    </row>
    <row r="793" spans="1:10">
      <c r="A793" s="1">
        <v>41365</v>
      </c>
      <c r="B793">
        <v>12.15</v>
      </c>
      <c r="C793">
        <v>12.28</v>
      </c>
      <c r="D793">
        <v>12.1</v>
      </c>
      <c r="E793">
        <v>12.15</v>
      </c>
      <c r="F793">
        <v>86281600</v>
      </c>
      <c r="G793">
        <v>12.12</v>
      </c>
      <c r="H793" t="s">
        <v>2</v>
      </c>
      <c r="I793" s="22">
        <f t="shared" si="25"/>
        <v>-2.4721891453891483E-3</v>
      </c>
      <c r="J793" s="22" t="str">
        <f t="shared" si="26"/>
        <v/>
      </c>
    </row>
    <row r="794" spans="1:10">
      <c r="A794" s="1">
        <v>41366</v>
      </c>
      <c r="B794">
        <v>12.24</v>
      </c>
      <c r="C794">
        <v>12.25</v>
      </c>
      <c r="D794">
        <v>12.14</v>
      </c>
      <c r="E794">
        <v>12.15</v>
      </c>
      <c r="F794">
        <v>102626000</v>
      </c>
      <c r="G794">
        <v>12.12</v>
      </c>
      <c r="H794" t="s">
        <v>2</v>
      </c>
      <c r="I794" s="22">
        <f t="shared" si="25"/>
        <v>0</v>
      </c>
      <c r="J794" s="22" t="str">
        <f t="shared" si="26"/>
        <v>lost money</v>
      </c>
    </row>
    <row r="795" spans="1:10">
      <c r="A795" s="1">
        <v>41367</v>
      </c>
      <c r="B795">
        <v>12.12</v>
      </c>
      <c r="C795">
        <v>12.14</v>
      </c>
      <c r="D795">
        <v>11.72</v>
      </c>
      <c r="E795">
        <v>11.81</v>
      </c>
      <c r="F795">
        <v>199765800</v>
      </c>
      <c r="G795">
        <v>11.79</v>
      </c>
      <c r="H795" t="s">
        <v>2</v>
      </c>
      <c r="I795" s="22">
        <f t="shared" si="25"/>
        <v>-2.7605266091888857E-2</v>
      </c>
      <c r="J795" s="22" t="str">
        <f t="shared" si="26"/>
        <v>lost money</v>
      </c>
    </row>
    <row r="796" spans="1:10">
      <c r="A796" s="1">
        <v>41368</v>
      </c>
      <c r="B796">
        <v>11.81</v>
      </c>
      <c r="C796">
        <v>11.99</v>
      </c>
      <c r="D796">
        <v>11.72</v>
      </c>
      <c r="E796">
        <v>11.94</v>
      </c>
      <c r="F796">
        <v>117831400</v>
      </c>
      <c r="G796">
        <v>11.92</v>
      </c>
      <c r="H796" t="s">
        <v>2</v>
      </c>
      <c r="I796" s="22">
        <f t="shared" si="25"/>
        <v>1.0965947087924295E-2</v>
      </c>
      <c r="J796" s="22" t="str">
        <f t="shared" si="26"/>
        <v/>
      </c>
    </row>
    <row r="797" spans="1:10">
      <c r="A797" s="1">
        <v>41369</v>
      </c>
      <c r="B797">
        <v>11.67</v>
      </c>
      <c r="C797">
        <v>12.01</v>
      </c>
      <c r="D797">
        <v>11.64</v>
      </c>
      <c r="E797">
        <v>11.97</v>
      </c>
      <c r="F797">
        <v>141061900</v>
      </c>
      <c r="G797">
        <v>11.94</v>
      </c>
      <c r="H797" t="s">
        <v>2</v>
      </c>
      <c r="I797" s="22">
        <f t="shared" si="25"/>
        <v>1.6764463272523522E-3</v>
      </c>
      <c r="J797" s="22" t="str">
        <f t="shared" si="26"/>
        <v/>
      </c>
    </row>
    <row r="798" spans="1:10">
      <c r="A798" s="1">
        <v>41372</v>
      </c>
      <c r="B798">
        <v>12</v>
      </c>
      <c r="C798">
        <v>12.21</v>
      </c>
      <c r="D798">
        <v>11.91</v>
      </c>
      <c r="E798">
        <v>12.21</v>
      </c>
      <c r="F798">
        <v>101419200</v>
      </c>
      <c r="G798">
        <v>12.18</v>
      </c>
      <c r="H798" t="s">
        <v>2</v>
      </c>
      <c r="I798" s="22">
        <f t="shared" si="25"/>
        <v>1.9901154317295021E-2</v>
      </c>
      <c r="J798" s="22" t="str">
        <f t="shared" si="26"/>
        <v/>
      </c>
    </row>
    <row r="799" spans="1:10">
      <c r="A799" s="1">
        <v>41373</v>
      </c>
      <c r="B799">
        <v>12.25</v>
      </c>
      <c r="C799">
        <v>12.35</v>
      </c>
      <c r="D799">
        <v>12.21</v>
      </c>
      <c r="E799">
        <v>12.25</v>
      </c>
      <c r="F799">
        <v>132365800</v>
      </c>
      <c r="G799">
        <v>12.22</v>
      </c>
      <c r="H799" t="s">
        <v>2</v>
      </c>
      <c r="I799" s="22">
        <f t="shared" si="25"/>
        <v>3.2786914616982953E-3</v>
      </c>
      <c r="J799" s="22" t="str">
        <f t="shared" si="26"/>
        <v/>
      </c>
    </row>
    <row r="800" spans="1:10">
      <c r="A800" s="1">
        <v>41374</v>
      </c>
      <c r="B800">
        <v>12.31</v>
      </c>
      <c r="C800">
        <v>12.4</v>
      </c>
      <c r="D800">
        <v>12.26</v>
      </c>
      <c r="E800">
        <v>12.32</v>
      </c>
      <c r="F800">
        <v>105853900</v>
      </c>
      <c r="G800">
        <v>12.29</v>
      </c>
      <c r="H800" t="s">
        <v>2</v>
      </c>
      <c r="I800" s="22">
        <f t="shared" si="25"/>
        <v>5.7119698344940233E-3</v>
      </c>
      <c r="J800" s="22" t="str">
        <f t="shared" si="26"/>
        <v/>
      </c>
    </row>
    <row r="801" spans="1:10">
      <c r="A801" s="1">
        <v>41375</v>
      </c>
      <c r="B801">
        <v>12.31</v>
      </c>
      <c r="C801">
        <v>12.33</v>
      </c>
      <c r="D801">
        <v>12.16</v>
      </c>
      <c r="E801">
        <v>12.27</v>
      </c>
      <c r="F801">
        <v>100241900</v>
      </c>
      <c r="G801">
        <v>12.24</v>
      </c>
      <c r="H801" t="s">
        <v>2</v>
      </c>
      <c r="I801" s="22">
        <f t="shared" si="25"/>
        <v>-4.0766464937633763E-3</v>
      </c>
      <c r="J801" s="22" t="str">
        <f t="shared" si="26"/>
        <v>lost money</v>
      </c>
    </row>
    <row r="802" spans="1:10">
      <c r="A802" s="1">
        <v>41376</v>
      </c>
      <c r="B802">
        <v>12.15</v>
      </c>
      <c r="C802">
        <v>12.25</v>
      </c>
      <c r="D802">
        <v>12.07</v>
      </c>
      <c r="E802">
        <v>12.17</v>
      </c>
      <c r="F802">
        <v>88191700</v>
      </c>
      <c r="G802">
        <v>12.14</v>
      </c>
      <c r="H802" t="s">
        <v>2</v>
      </c>
      <c r="I802" s="22">
        <f t="shared" si="25"/>
        <v>-8.2034914528277911E-3</v>
      </c>
      <c r="J802" s="22" t="str">
        <f t="shared" si="26"/>
        <v/>
      </c>
    </row>
    <row r="803" spans="1:10">
      <c r="A803" s="1">
        <v>41379</v>
      </c>
      <c r="B803">
        <v>12.19</v>
      </c>
      <c r="C803">
        <v>12.32</v>
      </c>
      <c r="D803">
        <v>11.97</v>
      </c>
      <c r="E803">
        <v>11.98</v>
      </c>
      <c r="F803">
        <v>176504300</v>
      </c>
      <c r="G803">
        <v>11.95</v>
      </c>
      <c r="H803" t="s">
        <v>2</v>
      </c>
      <c r="I803" s="22">
        <f t="shared" si="25"/>
        <v>-1.5774507253832597E-2</v>
      </c>
      <c r="J803" s="22" t="str">
        <f t="shared" si="26"/>
        <v>lost money</v>
      </c>
    </row>
    <row r="804" spans="1:10">
      <c r="A804" s="1">
        <v>41380</v>
      </c>
      <c r="B804">
        <v>12.21</v>
      </c>
      <c r="C804">
        <v>12.36</v>
      </c>
      <c r="D804">
        <v>12.08</v>
      </c>
      <c r="E804">
        <v>12.28</v>
      </c>
      <c r="F804">
        <v>147641900</v>
      </c>
      <c r="G804">
        <v>12.25</v>
      </c>
      <c r="H804" t="s">
        <v>2</v>
      </c>
      <c r="I804" s="22">
        <f t="shared" si="25"/>
        <v>2.4794658613216274E-2</v>
      </c>
      <c r="J804" s="22" t="str">
        <f t="shared" si="26"/>
        <v/>
      </c>
    </row>
    <row r="805" spans="1:10">
      <c r="A805" s="1">
        <v>41381</v>
      </c>
      <c r="B805">
        <v>11.91</v>
      </c>
      <c r="C805">
        <v>12.02</v>
      </c>
      <c r="D805">
        <v>11.45</v>
      </c>
      <c r="E805">
        <v>11.7</v>
      </c>
      <c r="F805">
        <v>335408600</v>
      </c>
      <c r="G805">
        <v>11.68</v>
      </c>
      <c r="H805" t="s">
        <v>2</v>
      </c>
      <c r="I805" s="22">
        <f t="shared" si="25"/>
        <v>-4.7647959590654994E-2</v>
      </c>
      <c r="J805" s="22" t="str">
        <f t="shared" si="26"/>
        <v>lost money</v>
      </c>
    </row>
    <row r="806" spans="1:10">
      <c r="A806" s="1">
        <v>41382</v>
      </c>
      <c r="B806">
        <v>11.61</v>
      </c>
      <c r="C806">
        <v>11.65</v>
      </c>
      <c r="D806">
        <v>11.23</v>
      </c>
      <c r="E806">
        <v>11.44</v>
      </c>
      <c r="F806">
        <v>220290500</v>
      </c>
      <c r="G806">
        <v>11.42</v>
      </c>
      <c r="H806" t="s">
        <v>2</v>
      </c>
      <c r="I806" s="22">
        <f t="shared" si="25"/>
        <v>-2.2511773172216875E-2</v>
      </c>
      <c r="J806" s="22" t="str">
        <f t="shared" si="26"/>
        <v>lost money</v>
      </c>
    </row>
    <row r="807" spans="1:10">
      <c r="A807" s="1">
        <v>41383</v>
      </c>
      <c r="B807">
        <v>11.56</v>
      </c>
      <c r="C807">
        <v>11.69</v>
      </c>
      <c r="D807">
        <v>11.43</v>
      </c>
      <c r="E807">
        <v>11.66</v>
      </c>
      <c r="F807">
        <v>119792000</v>
      </c>
      <c r="G807">
        <v>11.64</v>
      </c>
      <c r="H807" t="s">
        <v>2</v>
      </c>
      <c r="I807" s="22">
        <f t="shared" si="25"/>
        <v>1.908123807542771E-2</v>
      </c>
      <c r="J807" s="22" t="str">
        <f t="shared" si="26"/>
        <v/>
      </c>
    </row>
    <row r="808" spans="1:10">
      <c r="A808" s="1">
        <v>41386</v>
      </c>
      <c r="B808">
        <v>11.68</v>
      </c>
      <c r="C808">
        <v>11.75</v>
      </c>
      <c r="D808">
        <v>11.57</v>
      </c>
      <c r="E808">
        <v>11.72</v>
      </c>
      <c r="F808">
        <v>88532300</v>
      </c>
      <c r="G808">
        <v>11.7</v>
      </c>
      <c r="H808" t="s">
        <v>2</v>
      </c>
      <c r="I808" s="22">
        <f t="shared" si="25"/>
        <v>5.1413995004186523E-3</v>
      </c>
      <c r="J808" s="22" t="str">
        <f t="shared" si="26"/>
        <v/>
      </c>
    </row>
    <row r="809" spans="1:10">
      <c r="A809" s="1">
        <v>41387</v>
      </c>
      <c r="B809">
        <v>11.92</v>
      </c>
      <c r="C809">
        <v>12.16</v>
      </c>
      <c r="D809">
        <v>11.9</v>
      </c>
      <c r="E809">
        <v>12.07</v>
      </c>
      <c r="F809">
        <v>176816000</v>
      </c>
      <c r="G809">
        <v>12.04</v>
      </c>
      <c r="H809" t="s">
        <v>2</v>
      </c>
      <c r="I809" s="22">
        <f t="shared" si="25"/>
        <v>2.8645598076964443E-2</v>
      </c>
      <c r="J809" s="22" t="str">
        <f t="shared" si="26"/>
        <v/>
      </c>
    </row>
    <row r="810" spans="1:10">
      <c r="A810" s="1">
        <v>41388</v>
      </c>
      <c r="B810">
        <v>12.14</v>
      </c>
      <c r="C810">
        <v>12.37</v>
      </c>
      <c r="D810">
        <v>12.12</v>
      </c>
      <c r="E810">
        <v>12.31</v>
      </c>
      <c r="F810">
        <v>120624900</v>
      </c>
      <c r="G810">
        <v>12.28</v>
      </c>
      <c r="H810" t="s">
        <v>2</v>
      </c>
      <c r="I810" s="22">
        <f t="shared" si="25"/>
        <v>1.9737482838321337E-2</v>
      </c>
      <c r="J810" s="22" t="str">
        <f t="shared" si="26"/>
        <v/>
      </c>
    </row>
    <row r="811" spans="1:10">
      <c r="A811" s="1">
        <v>41389</v>
      </c>
      <c r="B811">
        <v>12.39</v>
      </c>
      <c r="C811">
        <v>12.54</v>
      </c>
      <c r="D811">
        <v>12.36</v>
      </c>
      <c r="E811">
        <v>12.44</v>
      </c>
      <c r="F811">
        <v>118694600</v>
      </c>
      <c r="G811">
        <v>12.41</v>
      </c>
      <c r="H811" t="s">
        <v>2</v>
      </c>
      <c r="I811" s="22">
        <f t="shared" si="25"/>
        <v>1.0530676497519551E-2</v>
      </c>
      <c r="J811" s="22" t="str">
        <f t="shared" si="26"/>
        <v/>
      </c>
    </row>
    <row r="812" spans="1:10">
      <c r="A812" s="1">
        <v>41390</v>
      </c>
      <c r="B812">
        <v>12.34</v>
      </c>
      <c r="C812">
        <v>12.46</v>
      </c>
      <c r="D812">
        <v>12.29</v>
      </c>
      <c r="E812">
        <v>12.42</v>
      </c>
      <c r="F812">
        <v>83093200</v>
      </c>
      <c r="G812">
        <v>12.39</v>
      </c>
      <c r="H812" t="s">
        <v>2</v>
      </c>
      <c r="I812" s="22">
        <f t="shared" si="25"/>
        <v>-1.6129035754647687E-3</v>
      </c>
      <c r="J812" s="22" t="str">
        <f t="shared" si="26"/>
        <v/>
      </c>
    </row>
    <row r="813" spans="1:10">
      <c r="A813" s="1">
        <v>41393</v>
      </c>
      <c r="B813">
        <v>12.45</v>
      </c>
      <c r="C813">
        <v>12.48</v>
      </c>
      <c r="D813">
        <v>12.37</v>
      </c>
      <c r="E813">
        <v>12.38</v>
      </c>
      <c r="F813">
        <v>65432400</v>
      </c>
      <c r="G813">
        <v>12.35</v>
      </c>
      <c r="H813" t="s">
        <v>2</v>
      </c>
      <c r="I813" s="22">
        <f t="shared" si="25"/>
        <v>-3.2336325670649104E-3</v>
      </c>
      <c r="J813" s="22" t="str">
        <f t="shared" si="26"/>
        <v>lost money</v>
      </c>
    </row>
    <row r="814" spans="1:10">
      <c r="A814" s="1">
        <v>41394</v>
      </c>
      <c r="B814">
        <v>12.39</v>
      </c>
      <c r="C814">
        <v>12.4</v>
      </c>
      <c r="D814">
        <v>12.2</v>
      </c>
      <c r="E814">
        <v>12.31</v>
      </c>
      <c r="F814">
        <v>89362100</v>
      </c>
      <c r="G814">
        <v>12.28</v>
      </c>
      <c r="H814" t="s">
        <v>2</v>
      </c>
      <c r="I814" s="22">
        <f t="shared" si="25"/>
        <v>-5.6841403549898074E-3</v>
      </c>
      <c r="J814" s="22" t="str">
        <f t="shared" si="26"/>
        <v>lost money</v>
      </c>
    </row>
    <row r="815" spans="1:10">
      <c r="A815" s="1">
        <v>41395</v>
      </c>
      <c r="B815">
        <v>12.2</v>
      </c>
      <c r="C815">
        <v>12.27</v>
      </c>
      <c r="D815">
        <v>12.08</v>
      </c>
      <c r="E815">
        <v>12.14</v>
      </c>
      <c r="F815">
        <v>88417800</v>
      </c>
      <c r="G815">
        <v>12.11</v>
      </c>
      <c r="H815" t="s">
        <v>2</v>
      </c>
      <c r="I815" s="22">
        <f t="shared" si="25"/>
        <v>-1.3940365153995526E-2</v>
      </c>
      <c r="J815" s="22" t="str">
        <f t="shared" si="26"/>
        <v>lost money</v>
      </c>
    </row>
    <row r="816" spans="1:10">
      <c r="A816" s="1">
        <v>41396</v>
      </c>
      <c r="B816">
        <v>12.17</v>
      </c>
      <c r="C816">
        <v>12.21</v>
      </c>
      <c r="D816">
        <v>12.05</v>
      </c>
      <c r="E816">
        <v>12.19</v>
      </c>
      <c r="F816">
        <v>76530500</v>
      </c>
      <c r="G816">
        <v>12.16</v>
      </c>
      <c r="H816" t="s">
        <v>2</v>
      </c>
      <c r="I816" s="22">
        <f t="shared" si="25"/>
        <v>4.1203189730200703E-3</v>
      </c>
      <c r="J816" s="22" t="str">
        <f t="shared" si="26"/>
        <v/>
      </c>
    </row>
    <row r="817" spans="1:10">
      <c r="A817" s="1">
        <v>41397</v>
      </c>
      <c r="B817">
        <v>12.36</v>
      </c>
      <c r="C817">
        <v>12.41</v>
      </c>
      <c r="D817">
        <v>12.21</v>
      </c>
      <c r="E817">
        <v>12.24</v>
      </c>
      <c r="F817">
        <v>94322600</v>
      </c>
      <c r="G817">
        <v>12.21</v>
      </c>
      <c r="H817" t="s">
        <v>2</v>
      </c>
      <c r="I817" s="22">
        <f t="shared" si="25"/>
        <v>4.1034115845924798E-3</v>
      </c>
      <c r="J817" s="22" t="str">
        <f t="shared" si="26"/>
        <v>lost money</v>
      </c>
    </row>
    <row r="818" spans="1:10">
      <c r="A818" s="1">
        <v>41400</v>
      </c>
      <c r="B818">
        <v>12.39</v>
      </c>
      <c r="C818">
        <v>12.89</v>
      </c>
      <c r="D818">
        <v>12.36</v>
      </c>
      <c r="E818">
        <v>12.88</v>
      </c>
      <c r="F818">
        <v>265062800</v>
      </c>
      <c r="G818">
        <v>12.85</v>
      </c>
      <c r="H818" t="s">
        <v>2</v>
      </c>
      <c r="I818" s="22">
        <f t="shared" si="25"/>
        <v>5.1088523218615484E-2</v>
      </c>
      <c r="J818" s="22" t="str">
        <f t="shared" si="26"/>
        <v/>
      </c>
    </row>
    <row r="819" spans="1:10">
      <c r="A819" s="1">
        <v>41401</v>
      </c>
      <c r="B819">
        <v>12.92</v>
      </c>
      <c r="C819">
        <v>13.11</v>
      </c>
      <c r="D819">
        <v>12.76</v>
      </c>
      <c r="E819">
        <v>12.9</v>
      </c>
      <c r="F819">
        <v>218248100</v>
      </c>
      <c r="G819">
        <v>12.87</v>
      </c>
      <c r="H819" t="s">
        <v>2</v>
      </c>
      <c r="I819" s="22">
        <f t="shared" si="25"/>
        <v>1.5552102668064845E-3</v>
      </c>
      <c r="J819" s="22" t="str">
        <f t="shared" si="26"/>
        <v>lost money</v>
      </c>
    </row>
    <row r="820" spans="1:10">
      <c r="A820" s="1">
        <v>41402</v>
      </c>
      <c r="B820">
        <v>12.85</v>
      </c>
      <c r="C820">
        <v>13.18</v>
      </c>
      <c r="D820">
        <v>12.84</v>
      </c>
      <c r="E820">
        <v>13.02</v>
      </c>
      <c r="F820">
        <v>149755400</v>
      </c>
      <c r="G820">
        <v>12.99</v>
      </c>
      <c r="H820" t="s">
        <v>2</v>
      </c>
      <c r="I820" s="22">
        <f t="shared" si="25"/>
        <v>9.2808090744730017E-3</v>
      </c>
      <c r="J820" s="22" t="str">
        <f t="shared" si="26"/>
        <v/>
      </c>
    </row>
    <row r="821" spans="1:10">
      <c r="A821" s="1">
        <v>41403</v>
      </c>
      <c r="B821">
        <v>13.05</v>
      </c>
      <c r="C821">
        <v>13.06</v>
      </c>
      <c r="D821">
        <v>12.87</v>
      </c>
      <c r="E821">
        <v>12.91</v>
      </c>
      <c r="F821">
        <v>112952300</v>
      </c>
      <c r="G821">
        <v>12.88</v>
      </c>
      <c r="H821" t="s">
        <v>2</v>
      </c>
      <c r="I821" s="22">
        <f t="shared" si="25"/>
        <v>-8.50411000630053E-3</v>
      </c>
      <c r="J821" s="22" t="str">
        <f t="shared" si="26"/>
        <v>lost money</v>
      </c>
    </row>
    <row r="822" spans="1:10">
      <c r="A822" s="1">
        <v>41404</v>
      </c>
      <c r="B822">
        <v>12.94</v>
      </c>
      <c r="C822">
        <v>13.04</v>
      </c>
      <c r="D822">
        <v>12.89</v>
      </c>
      <c r="E822">
        <v>13.02</v>
      </c>
      <c r="F822">
        <v>87625100</v>
      </c>
      <c r="G822">
        <v>12.99</v>
      </c>
      <c r="H822" t="s">
        <v>2</v>
      </c>
      <c r="I822" s="22">
        <f t="shared" si="25"/>
        <v>8.504110006300478E-3</v>
      </c>
      <c r="J822" s="22" t="str">
        <f t="shared" si="26"/>
        <v/>
      </c>
    </row>
    <row r="823" spans="1:10">
      <c r="A823" s="1">
        <v>41407</v>
      </c>
      <c r="B823">
        <v>12.98</v>
      </c>
      <c r="C823">
        <v>13.1</v>
      </c>
      <c r="D823">
        <v>12.95</v>
      </c>
      <c r="E823">
        <v>12.98</v>
      </c>
      <c r="F823">
        <v>94295600</v>
      </c>
      <c r="G823">
        <v>12.95</v>
      </c>
      <c r="H823" t="s">
        <v>2</v>
      </c>
      <c r="I823" s="22">
        <f t="shared" si="25"/>
        <v>-3.0840425369614449E-3</v>
      </c>
      <c r="J823" s="22" t="str">
        <f t="shared" si="26"/>
        <v/>
      </c>
    </row>
    <row r="824" spans="1:10">
      <c r="A824" s="1">
        <v>41408</v>
      </c>
      <c r="B824">
        <v>13.04</v>
      </c>
      <c r="C824">
        <v>13.36</v>
      </c>
      <c r="D824">
        <v>13.02</v>
      </c>
      <c r="E824">
        <v>13.34</v>
      </c>
      <c r="F824">
        <v>154128100</v>
      </c>
      <c r="G824">
        <v>13.31</v>
      </c>
      <c r="H824" t="s">
        <v>2</v>
      </c>
      <c r="I824" s="22">
        <f t="shared" si="25"/>
        <v>2.741984426147354E-2</v>
      </c>
      <c r="J824" s="22" t="str">
        <f t="shared" si="26"/>
        <v/>
      </c>
    </row>
    <row r="825" spans="1:10">
      <c r="A825" s="1">
        <v>41409</v>
      </c>
      <c r="B825">
        <v>13.29</v>
      </c>
      <c r="C825">
        <v>13.55</v>
      </c>
      <c r="D825">
        <v>13.29</v>
      </c>
      <c r="E825">
        <v>13.44</v>
      </c>
      <c r="F825">
        <v>139728300</v>
      </c>
      <c r="G825">
        <v>13.41</v>
      </c>
      <c r="H825" t="s">
        <v>2</v>
      </c>
      <c r="I825" s="22">
        <f t="shared" si="25"/>
        <v>7.4850648865669271E-3</v>
      </c>
      <c r="J825" s="22" t="str">
        <f t="shared" si="26"/>
        <v/>
      </c>
    </row>
    <row r="826" spans="1:10">
      <c r="A826" s="1">
        <v>41410</v>
      </c>
      <c r="B826">
        <v>13.41</v>
      </c>
      <c r="C826">
        <v>13.55</v>
      </c>
      <c r="D826">
        <v>13.32</v>
      </c>
      <c r="E826">
        <v>13.36</v>
      </c>
      <c r="F826">
        <v>117977000</v>
      </c>
      <c r="G826">
        <v>13.33</v>
      </c>
      <c r="H826" t="s">
        <v>2</v>
      </c>
      <c r="I826" s="22">
        <f t="shared" si="25"/>
        <v>-5.9835631029698704E-3</v>
      </c>
      <c r="J826" s="22" t="str">
        <f t="shared" si="26"/>
        <v>lost money</v>
      </c>
    </row>
    <row r="827" spans="1:10">
      <c r="A827" s="1">
        <v>41411</v>
      </c>
      <c r="B827">
        <v>13.5</v>
      </c>
      <c r="C827">
        <v>13.52</v>
      </c>
      <c r="D827">
        <v>13.39</v>
      </c>
      <c r="E827">
        <v>13.43</v>
      </c>
      <c r="F827">
        <v>107335600</v>
      </c>
      <c r="G827">
        <v>13.4</v>
      </c>
      <c r="H827" t="s">
        <v>2</v>
      </c>
      <c r="I827" s="22">
        <f t="shared" si="25"/>
        <v>5.2375727662483428E-3</v>
      </c>
      <c r="J827" s="22" t="str">
        <f t="shared" si="26"/>
        <v>lost money</v>
      </c>
    </row>
    <row r="828" spans="1:10">
      <c r="A828" s="1">
        <v>41414</v>
      </c>
      <c r="B828">
        <v>13.39</v>
      </c>
      <c r="C828">
        <v>13.6</v>
      </c>
      <c r="D828">
        <v>13.39</v>
      </c>
      <c r="E828">
        <v>13.51</v>
      </c>
      <c r="F828">
        <v>88941700</v>
      </c>
      <c r="G828">
        <v>13.48</v>
      </c>
      <c r="H828" t="s">
        <v>2</v>
      </c>
      <c r="I828" s="22">
        <f t="shared" si="25"/>
        <v>5.9523985272953517E-3</v>
      </c>
      <c r="J828" s="22" t="str">
        <f t="shared" si="26"/>
        <v/>
      </c>
    </row>
    <row r="829" spans="1:10">
      <c r="A829" s="1">
        <v>41415</v>
      </c>
      <c r="B829">
        <v>13.53</v>
      </c>
      <c r="C829">
        <v>13.56</v>
      </c>
      <c r="D829">
        <v>13.36</v>
      </c>
      <c r="E829">
        <v>13.44</v>
      </c>
      <c r="F829">
        <v>111810300</v>
      </c>
      <c r="G829">
        <v>13.41</v>
      </c>
      <c r="H829" t="s">
        <v>2</v>
      </c>
      <c r="I829" s="22">
        <f t="shared" si="25"/>
        <v>-5.2064081905738606E-3</v>
      </c>
      <c r="J829" s="22" t="str">
        <f t="shared" si="26"/>
        <v>lost money</v>
      </c>
    </row>
    <row r="830" spans="1:10">
      <c r="A830" s="1">
        <v>41416</v>
      </c>
      <c r="B830">
        <v>13.49</v>
      </c>
      <c r="C830">
        <v>13.73</v>
      </c>
      <c r="D830">
        <v>13.17</v>
      </c>
      <c r="E830">
        <v>13.31</v>
      </c>
      <c r="F830">
        <v>174531500</v>
      </c>
      <c r="G830">
        <v>13.28</v>
      </c>
      <c r="H830" t="s">
        <v>2</v>
      </c>
      <c r="I830" s="22">
        <f t="shared" si="25"/>
        <v>-9.7415532452994735E-3</v>
      </c>
      <c r="J830" s="22" t="str">
        <f t="shared" si="26"/>
        <v>lost money</v>
      </c>
    </row>
    <row r="831" spans="1:10">
      <c r="A831" s="1">
        <v>41417</v>
      </c>
      <c r="B831">
        <v>12.93</v>
      </c>
      <c r="C831">
        <v>13.42</v>
      </c>
      <c r="D831">
        <v>12.82</v>
      </c>
      <c r="E831">
        <v>13.21</v>
      </c>
      <c r="F831">
        <v>190522000</v>
      </c>
      <c r="G831">
        <v>13.18</v>
      </c>
      <c r="H831" t="s">
        <v>2</v>
      </c>
      <c r="I831" s="22">
        <f t="shared" si="25"/>
        <v>-7.5586149739266147E-3</v>
      </c>
      <c r="J831" s="22" t="str">
        <f t="shared" si="26"/>
        <v/>
      </c>
    </row>
    <row r="832" spans="1:10">
      <c r="A832" s="1">
        <v>41418</v>
      </c>
      <c r="B832">
        <v>13.17</v>
      </c>
      <c r="C832">
        <v>13.26</v>
      </c>
      <c r="D832">
        <v>13.12</v>
      </c>
      <c r="E832">
        <v>13.24</v>
      </c>
      <c r="F832">
        <v>83452600</v>
      </c>
      <c r="G832">
        <v>13.21</v>
      </c>
      <c r="H832" t="s">
        <v>2</v>
      </c>
      <c r="I832" s="22">
        <f t="shared" si="25"/>
        <v>2.2735894598728983E-3</v>
      </c>
      <c r="J832" s="22" t="str">
        <f t="shared" si="26"/>
        <v/>
      </c>
    </row>
    <row r="833" spans="1:10">
      <c r="A833" s="1">
        <v>41422</v>
      </c>
      <c r="B833">
        <v>13.49</v>
      </c>
      <c r="C833">
        <v>13.51</v>
      </c>
      <c r="D833">
        <v>13.31</v>
      </c>
      <c r="E833">
        <v>13.35</v>
      </c>
      <c r="F833">
        <v>133553000</v>
      </c>
      <c r="G833">
        <v>13.32</v>
      </c>
      <c r="H833" t="s">
        <v>2</v>
      </c>
      <c r="I833" s="22">
        <f t="shared" si="25"/>
        <v>8.2925465780091436E-3</v>
      </c>
      <c r="J833" s="22" t="str">
        <f t="shared" si="26"/>
        <v>lost money</v>
      </c>
    </row>
    <row r="834" spans="1:10">
      <c r="A834" s="1">
        <v>41423</v>
      </c>
      <c r="B834">
        <v>13.31</v>
      </c>
      <c r="C834">
        <v>13.56</v>
      </c>
      <c r="D834">
        <v>13.27</v>
      </c>
      <c r="E834">
        <v>13.48</v>
      </c>
      <c r="F834">
        <v>126397300</v>
      </c>
      <c r="G834">
        <v>13.45</v>
      </c>
      <c r="H834" t="s">
        <v>2</v>
      </c>
      <c r="I834" s="22">
        <f t="shared" si="25"/>
        <v>9.7124409356049001E-3</v>
      </c>
      <c r="J834" s="22" t="str">
        <f t="shared" si="26"/>
        <v/>
      </c>
    </row>
    <row r="835" spans="1:10">
      <c r="A835" s="1">
        <v>41424</v>
      </c>
      <c r="B835">
        <v>13.5</v>
      </c>
      <c r="C835">
        <v>13.93</v>
      </c>
      <c r="D835">
        <v>13.43</v>
      </c>
      <c r="E835">
        <v>13.83</v>
      </c>
      <c r="F835">
        <v>153383400</v>
      </c>
      <c r="G835">
        <v>13.8</v>
      </c>
      <c r="H835" t="s">
        <v>2</v>
      </c>
      <c r="I835" s="22">
        <f t="shared" ref="I835:I898" si="27">IF(A835=$A$2,"",LN(G835/G834))</f>
        <v>2.5689486115311085E-2</v>
      </c>
      <c r="J835" s="22" t="str">
        <f t="shared" ref="J835:J898" si="28">IF(B835&gt;E835,"lost money","")</f>
        <v/>
      </c>
    </row>
    <row r="836" spans="1:10">
      <c r="A836" s="1">
        <v>41425</v>
      </c>
      <c r="B836">
        <v>13.91</v>
      </c>
      <c r="C836">
        <v>13.99</v>
      </c>
      <c r="D836">
        <v>13.65</v>
      </c>
      <c r="E836">
        <v>13.66</v>
      </c>
      <c r="F836">
        <v>160176100</v>
      </c>
      <c r="G836">
        <v>13.63</v>
      </c>
      <c r="H836" t="s">
        <v>2</v>
      </c>
      <c r="I836" s="22">
        <f t="shared" si="27"/>
        <v>-1.2395346454717727E-2</v>
      </c>
      <c r="J836" s="22" t="str">
        <f t="shared" si="28"/>
        <v>lost money</v>
      </c>
    </row>
    <row r="837" spans="1:10">
      <c r="A837" s="1">
        <v>41428</v>
      </c>
      <c r="B837">
        <v>13.69</v>
      </c>
      <c r="C837">
        <v>13.73</v>
      </c>
      <c r="D837">
        <v>13.21</v>
      </c>
      <c r="E837">
        <v>13.55</v>
      </c>
      <c r="F837">
        <v>197168200</v>
      </c>
      <c r="G837">
        <v>13.52</v>
      </c>
      <c r="H837" t="s">
        <v>2</v>
      </c>
      <c r="I837" s="22">
        <f t="shared" si="27"/>
        <v>-8.1031750936233181E-3</v>
      </c>
      <c r="J837" s="22" t="str">
        <f t="shared" si="28"/>
        <v>lost money</v>
      </c>
    </row>
    <row r="838" spans="1:10">
      <c r="A838" s="1">
        <v>41429</v>
      </c>
      <c r="B838">
        <v>13.51</v>
      </c>
      <c r="C838">
        <v>13.67</v>
      </c>
      <c r="D838">
        <v>13.31</v>
      </c>
      <c r="E838">
        <v>13.36</v>
      </c>
      <c r="F838">
        <v>130055400</v>
      </c>
      <c r="G838">
        <v>13.33</v>
      </c>
      <c r="H838" t="s">
        <v>2</v>
      </c>
      <c r="I838" s="22">
        <f t="shared" si="27"/>
        <v>-1.4152936424200664E-2</v>
      </c>
      <c r="J838" s="22" t="str">
        <f t="shared" si="28"/>
        <v>lost money</v>
      </c>
    </row>
    <row r="839" spans="1:10">
      <c r="A839" s="1">
        <v>41430</v>
      </c>
      <c r="B839">
        <v>13.29</v>
      </c>
      <c r="C839">
        <v>13.45</v>
      </c>
      <c r="D839">
        <v>12.97</v>
      </c>
      <c r="E839">
        <v>13.09</v>
      </c>
      <c r="F839">
        <v>185778900</v>
      </c>
      <c r="G839">
        <v>13.07</v>
      </c>
      <c r="H839" t="s">
        <v>2</v>
      </c>
      <c r="I839" s="22">
        <f t="shared" si="27"/>
        <v>-1.9697606554486682E-2</v>
      </c>
      <c r="J839" s="22" t="str">
        <f t="shared" si="28"/>
        <v>lost money</v>
      </c>
    </row>
    <row r="840" spans="1:10">
      <c r="A840" s="1">
        <v>41431</v>
      </c>
      <c r="B840">
        <v>13.08</v>
      </c>
      <c r="C840">
        <v>13.24</v>
      </c>
      <c r="D840">
        <v>12.85</v>
      </c>
      <c r="E840">
        <v>13.2</v>
      </c>
      <c r="F840">
        <v>142361900</v>
      </c>
      <c r="G840">
        <v>13.18</v>
      </c>
      <c r="H840" t="s">
        <v>2</v>
      </c>
      <c r="I840" s="22">
        <f t="shared" si="27"/>
        <v>8.3810014382304371E-3</v>
      </c>
      <c r="J840" s="22" t="str">
        <f t="shared" si="28"/>
        <v/>
      </c>
    </row>
    <row r="841" spans="1:10">
      <c r="A841" s="1">
        <v>41432</v>
      </c>
      <c r="B841">
        <v>13.33</v>
      </c>
      <c r="C841">
        <v>13.39</v>
      </c>
      <c r="D841">
        <v>13.15</v>
      </c>
      <c r="E841">
        <v>13.38</v>
      </c>
      <c r="F841">
        <v>121057300</v>
      </c>
      <c r="G841">
        <v>13.36</v>
      </c>
      <c r="H841" t="s">
        <v>2</v>
      </c>
      <c r="I841" s="22">
        <f t="shared" si="27"/>
        <v>1.3564639034138492E-2</v>
      </c>
      <c r="J841" s="22" t="str">
        <f t="shared" si="28"/>
        <v/>
      </c>
    </row>
    <row r="842" spans="1:10">
      <c r="A842" s="1">
        <v>41435</v>
      </c>
      <c r="B842">
        <v>13.49</v>
      </c>
      <c r="C842">
        <v>13.55</v>
      </c>
      <c r="D842">
        <v>13.26</v>
      </c>
      <c r="E842">
        <v>13.3</v>
      </c>
      <c r="F842">
        <v>104648500</v>
      </c>
      <c r="G842">
        <v>13.28</v>
      </c>
      <c r="H842" t="s">
        <v>2</v>
      </c>
      <c r="I842" s="22">
        <f t="shared" si="27"/>
        <v>-6.0060240602119218E-3</v>
      </c>
      <c r="J842" s="22" t="str">
        <f t="shared" si="28"/>
        <v>lost money</v>
      </c>
    </row>
    <row r="843" spans="1:10">
      <c r="A843" s="1">
        <v>41436</v>
      </c>
      <c r="B843">
        <v>13.11</v>
      </c>
      <c r="C843">
        <v>13.28</v>
      </c>
      <c r="D843">
        <v>13.07</v>
      </c>
      <c r="E843">
        <v>13.12</v>
      </c>
      <c r="F843">
        <v>106369100</v>
      </c>
      <c r="G843">
        <v>13.1</v>
      </c>
      <c r="H843" t="s">
        <v>2</v>
      </c>
      <c r="I843" s="22">
        <f t="shared" si="27"/>
        <v>-1.3646913841181879E-2</v>
      </c>
      <c r="J843" s="22" t="str">
        <f t="shared" si="28"/>
        <v/>
      </c>
    </row>
    <row r="844" spans="1:10">
      <c r="A844" s="1">
        <v>41437</v>
      </c>
      <c r="B844">
        <v>13.24</v>
      </c>
      <c r="C844">
        <v>13.25</v>
      </c>
      <c r="D844">
        <v>12.97</v>
      </c>
      <c r="E844">
        <v>13.06</v>
      </c>
      <c r="F844">
        <v>117289400</v>
      </c>
      <c r="G844">
        <v>13.04</v>
      </c>
      <c r="H844" t="s">
        <v>2</v>
      </c>
      <c r="I844" s="22">
        <f t="shared" si="27"/>
        <v>-4.5906737085989512E-3</v>
      </c>
      <c r="J844" s="22" t="str">
        <f t="shared" si="28"/>
        <v>lost money</v>
      </c>
    </row>
    <row r="845" spans="1:10">
      <c r="A845" s="1">
        <v>41438</v>
      </c>
      <c r="B845">
        <v>13</v>
      </c>
      <c r="C845">
        <v>13.26</v>
      </c>
      <c r="D845">
        <v>12.97</v>
      </c>
      <c r="E845">
        <v>13.21</v>
      </c>
      <c r="F845">
        <v>103636400</v>
      </c>
      <c r="G845">
        <v>13.19</v>
      </c>
      <c r="H845" t="s">
        <v>2</v>
      </c>
      <c r="I845" s="22">
        <f t="shared" si="27"/>
        <v>1.1437410230716325E-2</v>
      </c>
      <c r="J845" s="22" t="str">
        <f t="shared" si="28"/>
        <v/>
      </c>
    </row>
    <row r="846" spans="1:10">
      <c r="A846" s="1">
        <v>41439</v>
      </c>
      <c r="B846">
        <v>13.23</v>
      </c>
      <c r="C846">
        <v>13.24</v>
      </c>
      <c r="D846">
        <v>13.03</v>
      </c>
      <c r="E846">
        <v>13.07</v>
      </c>
      <c r="F846">
        <v>101380700</v>
      </c>
      <c r="G846">
        <v>13.05</v>
      </c>
      <c r="H846" t="s">
        <v>2</v>
      </c>
      <c r="I846" s="22">
        <f t="shared" si="27"/>
        <v>-1.0670832960520751E-2</v>
      </c>
      <c r="J846" s="22" t="str">
        <f t="shared" si="28"/>
        <v>lost money</v>
      </c>
    </row>
    <row r="847" spans="1:10">
      <c r="A847" s="1">
        <v>41442</v>
      </c>
      <c r="B847">
        <v>13.17</v>
      </c>
      <c r="C847">
        <v>13.26</v>
      </c>
      <c r="D847">
        <v>13.13</v>
      </c>
      <c r="E847">
        <v>13.21</v>
      </c>
      <c r="F847">
        <v>115441500</v>
      </c>
      <c r="G847">
        <v>13.19</v>
      </c>
      <c r="H847" t="s">
        <v>2</v>
      </c>
      <c r="I847" s="22">
        <f t="shared" si="27"/>
        <v>1.067083296052064E-2</v>
      </c>
      <c r="J847" s="22" t="str">
        <f t="shared" si="28"/>
        <v/>
      </c>
    </row>
    <row r="848" spans="1:10">
      <c r="A848" s="1">
        <v>41443</v>
      </c>
      <c r="B848">
        <v>13.22</v>
      </c>
      <c r="C848">
        <v>13.34</v>
      </c>
      <c r="D848">
        <v>13.2</v>
      </c>
      <c r="E848">
        <v>13.27</v>
      </c>
      <c r="F848">
        <v>67257600</v>
      </c>
      <c r="G848">
        <v>13.25</v>
      </c>
      <c r="H848" t="s">
        <v>2</v>
      </c>
      <c r="I848" s="22">
        <f t="shared" si="27"/>
        <v>4.5385857030080376E-3</v>
      </c>
      <c r="J848" s="22" t="str">
        <f t="shared" si="28"/>
        <v/>
      </c>
    </row>
    <row r="849" spans="1:10">
      <c r="A849" s="1">
        <v>41444</v>
      </c>
      <c r="B849">
        <v>13.29</v>
      </c>
      <c r="C849">
        <v>13.4</v>
      </c>
      <c r="D849">
        <v>13.17</v>
      </c>
      <c r="E849">
        <v>13.19</v>
      </c>
      <c r="F849">
        <v>103850000</v>
      </c>
      <c r="G849">
        <v>13.17</v>
      </c>
      <c r="H849" t="s">
        <v>2</v>
      </c>
      <c r="I849" s="22">
        <f t="shared" si="27"/>
        <v>-6.056036677041585E-3</v>
      </c>
      <c r="J849" s="22" t="str">
        <f t="shared" si="28"/>
        <v>lost money</v>
      </c>
    </row>
    <row r="850" spans="1:10">
      <c r="A850" s="1">
        <v>41445</v>
      </c>
      <c r="B850">
        <v>13.08</v>
      </c>
      <c r="C850">
        <v>13.14</v>
      </c>
      <c r="D850">
        <v>12.8</v>
      </c>
      <c r="E850">
        <v>12.89</v>
      </c>
      <c r="F850">
        <v>185741100</v>
      </c>
      <c r="G850">
        <v>12.87</v>
      </c>
      <c r="H850" t="s">
        <v>2</v>
      </c>
      <c r="I850" s="22">
        <f t="shared" si="27"/>
        <v>-2.3042494147154469E-2</v>
      </c>
      <c r="J850" s="22" t="str">
        <f t="shared" si="28"/>
        <v>lost money</v>
      </c>
    </row>
    <row r="851" spans="1:10">
      <c r="A851" s="1">
        <v>41446</v>
      </c>
      <c r="B851">
        <v>12.99</v>
      </c>
      <c r="C851">
        <v>13</v>
      </c>
      <c r="D851">
        <v>12.39</v>
      </c>
      <c r="E851">
        <v>12.69</v>
      </c>
      <c r="F851">
        <v>196004700</v>
      </c>
      <c r="G851">
        <v>12.67</v>
      </c>
      <c r="H851" t="s">
        <v>2</v>
      </c>
      <c r="I851" s="22">
        <f t="shared" si="27"/>
        <v>-1.5662027274987566E-2</v>
      </c>
      <c r="J851" s="22" t="str">
        <f t="shared" si="28"/>
        <v>lost money</v>
      </c>
    </row>
    <row r="852" spans="1:10">
      <c r="A852" s="1">
        <v>41449</v>
      </c>
      <c r="B852">
        <v>12.4</v>
      </c>
      <c r="C852">
        <v>12.45</v>
      </c>
      <c r="D852">
        <v>12.13</v>
      </c>
      <c r="E852">
        <v>12.3</v>
      </c>
      <c r="F852">
        <v>159762500</v>
      </c>
      <c r="G852">
        <v>12.28</v>
      </c>
      <c r="H852" t="s">
        <v>2</v>
      </c>
      <c r="I852" s="22">
        <f t="shared" si="27"/>
        <v>-3.1265071614051329E-2</v>
      </c>
      <c r="J852" s="22" t="str">
        <f t="shared" si="28"/>
        <v>lost money</v>
      </c>
    </row>
    <row r="853" spans="1:10">
      <c r="A853" s="1">
        <v>41450</v>
      </c>
      <c r="B853">
        <v>12.61</v>
      </c>
      <c r="C853">
        <v>12.77</v>
      </c>
      <c r="D853">
        <v>12.43</v>
      </c>
      <c r="E853">
        <v>12.67</v>
      </c>
      <c r="F853">
        <v>132844500</v>
      </c>
      <c r="G853">
        <v>12.65</v>
      </c>
      <c r="H853" t="s">
        <v>2</v>
      </c>
      <c r="I853" s="22">
        <f t="shared" si="27"/>
        <v>2.9685292454532958E-2</v>
      </c>
      <c r="J853" s="22" t="str">
        <f t="shared" si="28"/>
        <v/>
      </c>
    </row>
    <row r="854" spans="1:10">
      <c r="A854" s="1">
        <v>41451</v>
      </c>
      <c r="B854">
        <v>12.84</v>
      </c>
      <c r="C854">
        <v>12.85</v>
      </c>
      <c r="D854">
        <v>12.68</v>
      </c>
      <c r="E854">
        <v>12.76</v>
      </c>
      <c r="F854">
        <v>105282000</v>
      </c>
      <c r="G854">
        <v>12.74</v>
      </c>
      <c r="H854" t="s">
        <v>2</v>
      </c>
      <c r="I854" s="22">
        <f t="shared" si="27"/>
        <v>7.0894349704880054E-3</v>
      </c>
      <c r="J854" s="22" t="str">
        <f t="shared" si="28"/>
        <v>lost money</v>
      </c>
    </row>
    <row r="855" spans="1:10">
      <c r="A855" s="1">
        <v>41452</v>
      </c>
      <c r="B855">
        <v>12.84</v>
      </c>
      <c r="C855">
        <v>13.03</v>
      </c>
      <c r="D855">
        <v>12.78</v>
      </c>
      <c r="E855">
        <v>13.01</v>
      </c>
      <c r="F855">
        <v>124616300</v>
      </c>
      <c r="G855">
        <v>12.99</v>
      </c>
      <c r="H855" t="s">
        <v>2</v>
      </c>
      <c r="I855" s="22">
        <f t="shared" si="27"/>
        <v>1.9433180538490843E-2</v>
      </c>
      <c r="J855" s="22" t="str">
        <f t="shared" si="28"/>
        <v/>
      </c>
    </row>
    <row r="856" spans="1:10">
      <c r="A856" s="1">
        <v>41453</v>
      </c>
      <c r="B856">
        <v>12.97</v>
      </c>
      <c r="C856">
        <v>13</v>
      </c>
      <c r="D856">
        <v>12.84</v>
      </c>
      <c r="E856">
        <v>12.86</v>
      </c>
      <c r="F856">
        <v>90297100</v>
      </c>
      <c r="G856">
        <v>12.84</v>
      </c>
      <c r="H856" t="s">
        <v>2</v>
      </c>
      <c r="I856" s="22">
        <f t="shared" si="27"/>
        <v>-1.1614532420693114E-2</v>
      </c>
      <c r="J856" s="22" t="str">
        <f t="shared" si="28"/>
        <v>lost money</v>
      </c>
    </row>
    <row r="857" spans="1:10">
      <c r="A857" s="1">
        <v>41456</v>
      </c>
      <c r="B857">
        <v>12.95</v>
      </c>
      <c r="C857">
        <v>13.1</v>
      </c>
      <c r="D857">
        <v>12.92</v>
      </c>
      <c r="E857">
        <v>12.93</v>
      </c>
      <c r="F857">
        <v>83146300</v>
      </c>
      <c r="G857">
        <v>12.91</v>
      </c>
      <c r="H857" t="s">
        <v>2</v>
      </c>
      <c r="I857" s="22">
        <f t="shared" si="27"/>
        <v>5.4369065967360443E-3</v>
      </c>
      <c r="J857" s="22" t="str">
        <f t="shared" si="28"/>
        <v>lost money</v>
      </c>
    </row>
    <row r="858" spans="1:10">
      <c r="A858" s="1">
        <v>41457</v>
      </c>
      <c r="B858">
        <v>12.95</v>
      </c>
      <c r="C858">
        <v>13.1</v>
      </c>
      <c r="D858">
        <v>12.8</v>
      </c>
      <c r="E858">
        <v>12.9</v>
      </c>
      <c r="F858">
        <v>83708600</v>
      </c>
      <c r="G858">
        <v>12.88</v>
      </c>
      <c r="H858" t="s">
        <v>2</v>
      </c>
      <c r="I858" s="22">
        <f t="shared" si="27"/>
        <v>-2.3264841823435363E-3</v>
      </c>
      <c r="J858" s="22" t="str">
        <f t="shared" si="28"/>
        <v>lost money</v>
      </c>
    </row>
    <row r="859" spans="1:10">
      <c r="A859" s="1">
        <v>41458</v>
      </c>
      <c r="B859">
        <v>12.82</v>
      </c>
      <c r="C859">
        <v>12.84</v>
      </c>
      <c r="D859">
        <v>12.73</v>
      </c>
      <c r="E859">
        <v>12.83</v>
      </c>
      <c r="F859">
        <v>37971700</v>
      </c>
      <c r="G859">
        <v>12.81</v>
      </c>
      <c r="H859" t="s">
        <v>2</v>
      </c>
      <c r="I859" s="22">
        <f t="shared" si="27"/>
        <v>-5.449604767564703E-3</v>
      </c>
      <c r="J859" s="22" t="str">
        <f t="shared" si="28"/>
        <v/>
      </c>
    </row>
    <row r="860" spans="1:10">
      <c r="A860" s="1">
        <v>41460</v>
      </c>
      <c r="B860">
        <v>12.99</v>
      </c>
      <c r="C860">
        <v>13.08</v>
      </c>
      <c r="D860">
        <v>12.91</v>
      </c>
      <c r="E860">
        <v>13.06</v>
      </c>
      <c r="F860">
        <v>80758500</v>
      </c>
      <c r="G860">
        <v>13.04</v>
      </c>
      <c r="H860" t="s">
        <v>2</v>
      </c>
      <c r="I860" s="22">
        <f t="shared" si="27"/>
        <v>1.779544058986382E-2</v>
      </c>
      <c r="J860" s="22" t="str">
        <f t="shared" si="28"/>
        <v/>
      </c>
    </row>
    <row r="861" spans="1:10">
      <c r="A861" s="1">
        <v>41463</v>
      </c>
      <c r="B861">
        <v>13.11</v>
      </c>
      <c r="C861">
        <v>13.37</v>
      </c>
      <c r="D861">
        <v>13.08</v>
      </c>
      <c r="E861">
        <v>13.28</v>
      </c>
      <c r="F861">
        <v>107441200</v>
      </c>
      <c r="G861">
        <v>13.26</v>
      </c>
      <c r="H861" t="s">
        <v>2</v>
      </c>
      <c r="I861" s="22">
        <f t="shared" si="27"/>
        <v>1.6730428259209569E-2</v>
      </c>
      <c r="J861" s="22" t="str">
        <f t="shared" si="28"/>
        <v/>
      </c>
    </row>
    <row r="862" spans="1:10">
      <c r="A862" s="1">
        <v>41464</v>
      </c>
      <c r="B862">
        <v>13.37</v>
      </c>
      <c r="C862">
        <v>13.53</v>
      </c>
      <c r="D862">
        <v>13.25</v>
      </c>
      <c r="E862">
        <v>13.53</v>
      </c>
      <c r="F862">
        <v>106067300</v>
      </c>
      <c r="G862">
        <v>13.51</v>
      </c>
      <c r="H862" t="s">
        <v>2</v>
      </c>
      <c r="I862" s="22">
        <f t="shared" si="27"/>
        <v>1.8678167214390973E-2</v>
      </c>
      <c r="J862" s="22" t="str">
        <f t="shared" si="28"/>
        <v/>
      </c>
    </row>
    <row r="863" spans="1:10">
      <c r="A863" s="1">
        <v>41465</v>
      </c>
      <c r="B863">
        <v>13.51</v>
      </c>
      <c r="C863">
        <v>13.53</v>
      </c>
      <c r="D863">
        <v>13.31</v>
      </c>
      <c r="E863">
        <v>13.37</v>
      </c>
      <c r="F863">
        <v>104353400</v>
      </c>
      <c r="G863">
        <v>13.35</v>
      </c>
      <c r="H863" t="s">
        <v>2</v>
      </c>
      <c r="I863" s="22">
        <f t="shared" si="27"/>
        <v>-1.1913767125848931E-2</v>
      </c>
      <c r="J863" s="22" t="str">
        <f t="shared" si="28"/>
        <v>lost money</v>
      </c>
    </row>
    <row r="864" spans="1:10">
      <c r="A864" s="1">
        <v>41466</v>
      </c>
      <c r="B864">
        <v>13.54</v>
      </c>
      <c r="C864">
        <v>13.58</v>
      </c>
      <c r="D864">
        <v>13.33</v>
      </c>
      <c r="E864">
        <v>13.51</v>
      </c>
      <c r="F864">
        <v>93756500</v>
      </c>
      <c r="G864">
        <v>13.49</v>
      </c>
      <c r="H864" t="s">
        <v>2</v>
      </c>
      <c r="I864" s="22">
        <f t="shared" si="27"/>
        <v>1.0432285373406047E-2</v>
      </c>
      <c r="J864" s="22" t="str">
        <f t="shared" si="28"/>
        <v>lost money</v>
      </c>
    </row>
    <row r="865" spans="1:10">
      <c r="A865" s="1">
        <v>41467</v>
      </c>
      <c r="B865">
        <v>13.54</v>
      </c>
      <c r="C865">
        <v>13.8</v>
      </c>
      <c r="D865">
        <v>13.47</v>
      </c>
      <c r="E865">
        <v>13.78</v>
      </c>
      <c r="F865">
        <v>123958400</v>
      </c>
      <c r="G865">
        <v>13.76</v>
      </c>
      <c r="H865" t="s">
        <v>2</v>
      </c>
      <c r="I865" s="22">
        <f t="shared" si="27"/>
        <v>1.9817162285533131E-2</v>
      </c>
      <c r="J865" s="22" t="str">
        <f t="shared" si="28"/>
        <v/>
      </c>
    </row>
    <row r="866" spans="1:10">
      <c r="A866" s="1">
        <v>41470</v>
      </c>
      <c r="B866">
        <v>13.93</v>
      </c>
      <c r="C866">
        <v>13.94</v>
      </c>
      <c r="D866">
        <v>13.76</v>
      </c>
      <c r="E866">
        <v>13.88</v>
      </c>
      <c r="F866">
        <v>90765200</v>
      </c>
      <c r="G866">
        <v>13.86</v>
      </c>
      <c r="H866" t="s">
        <v>2</v>
      </c>
      <c r="I866" s="22">
        <f t="shared" si="27"/>
        <v>7.2411612565594736E-3</v>
      </c>
      <c r="J866" s="22" t="str">
        <f t="shared" si="28"/>
        <v>lost money</v>
      </c>
    </row>
    <row r="867" spans="1:10">
      <c r="A867" s="1">
        <v>41471</v>
      </c>
      <c r="B867">
        <v>13.93</v>
      </c>
      <c r="C867">
        <v>14.02</v>
      </c>
      <c r="D867">
        <v>13.77</v>
      </c>
      <c r="E867">
        <v>13.92</v>
      </c>
      <c r="F867">
        <v>146041900</v>
      </c>
      <c r="G867">
        <v>13.9</v>
      </c>
      <c r="H867" t="s">
        <v>2</v>
      </c>
      <c r="I867" s="22">
        <f t="shared" si="27"/>
        <v>2.8818463748889502E-3</v>
      </c>
      <c r="J867" s="22" t="str">
        <f t="shared" si="28"/>
        <v>lost money</v>
      </c>
    </row>
    <row r="868" spans="1:10">
      <c r="A868" s="1">
        <v>41472</v>
      </c>
      <c r="B868">
        <v>14.06</v>
      </c>
      <c r="C868">
        <v>14.44</v>
      </c>
      <c r="D868">
        <v>14.04</v>
      </c>
      <c r="E868">
        <v>14.31</v>
      </c>
      <c r="F868">
        <v>249674500</v>
      </c>
      <c r="G868">
        <v>14.29</v>
      </c>
      <c r="H868" t="s">
        <v>2</v>
      </c>
      <c r="I868" s="22">
        <f t="shared" si="27"/>
        <v>2.7671151805129839E-2</v>
      </c>
      <c r="J868" s="22" t="str">
        <f t="shared" si="28"/>
        <v/>
      </c>
    </row>
    <row r="869" spans="1:10">
      <c r="A869" s="1">
        <v>41473</v>
      </c>
      <c r="B869">
        <v>14.4</v>
      </c>
      <c r="C869">
        <v>14.85</v>
      </c>
      <c r="D869">
        <v>14.4</v>
      </c>
      <c r="E869">
        <v>14.76</v>
      </c>
      <c r="F869">
        <v>221796400</v>
      </c>
      <c r="G869">
        <v>14.74</v>
      </c>
      <c r="H869" t="s">
        <v>2</v>
      </c>
      <c r="I869" s="22">
        <f t="shared" si="27"/>
        <v>3.1004894819414559E-2</v>
      </c>
      <c r="J869" s="22" t="str">
        <f t="shared" si="28"/>
        <v/>
      </c>
    </row>
    <row r="870" spans="1:10">
      <c r="A870" s="1">
        <v>41474</v>
      </c>
      <c r="B870">
        <v>14.76</v>
      </c>
      <c r="C870">
        <v>14.76</v>
      </c>
      <c r="D870">
        <v>14.6</v>
      </c>
      <c r="E870">
        <v>14.75</v>
      </c>
      <c r="F870">
        <v>136196600</v>
      </c>
      <c r="G870">
        <v>14.73</v>
      </c>
      <c r="H870" t="s">
        <v>2</v>
      </c>
      <c r="I870" s="22">
        <f t="shared" si="27"/>
        <v>-6.7865628665158433E-4</v>
      </c>
      <c r="J870" s="22" t="str">
        <f t="shared" si="28"/>
        <v>lost money</v>
      </c>
    </row>
    <row r="871" spans="1:10">
      <c r="A871" s="1">
        <v>41477</v>
      </c>
      <c r="B871">
        <v>14.74</v>
      </c>
      <c r="C871">
        <v>14.99</v>
      </c>
      <c r="D871">
        <v>14.65</v>
      </c>
      <c r="E871">
        <v>14.92</v>
      </c>
      <c r="F871">
        <v>112416800</v>
      </c>
      <c r="G871">
        <v>14.9</v>
      </c>
      <c r="H871" t="s">
        <v>2</v>
      </c>
      <c r="I871" s="22">
        <f t="shared" si="27"/>
        <v>1.1474982476874481E-2</v>
      </c>
      <c r="J871" s="22" t="str">
        <f t="shared" si="28"/>
        <v/>
      </c>
    </row>
    <row r="872" spans="1:10">
      <c r="A872" s="1">
        <v>41478</v>
      </c>
      <c r="B872">
        <v>14.98</v>
      </c>
      <c r="C872">
        <v>15.03</v>
      </c>
      <c r="D872">
        <v>14.86</v>
      </c>
      <c r="E872">
        <v>14.94</v>
      </c>
      <c r="F872">
        <v>113736000</v>
      </c>
      <c r="G872">
        <v>14.92</v>
      </c>
      <c r="H872" t="s">
        <v>2</v>
      </c>
      <c r="I872" s="22">
        <f t="shared" si="27"/>
        <v>1.3413818242013111E-3</v>
      </c>
      <c r="J872" s="22" t="str">
        <f t="shared" si="28"/>
        <v>lost money</v>
      </c>
    </row>
    <row r="873" spans="1:10">
      <c r="A873" s="1">
        <v>41479</v>
      </c>
      <c r="B873">
        <v>15</v>
      </c>
      <c r="C873">
        <v>15</v>
      </c>
      <c r="D873">
        <v>14.68</v>
      </c>
      <c r="E873">
        <v>14.71</v>
      </c>
      <c r="F873">
        <v>117771100</v>
      </c>
      <c r="G873">
        <v>14.69</v>
      </c>
      <c r="H873" t="s">
        <v>2</v>
      </c>
      <c r="I873" s="22">
        <f t="shared" si="27"/>
        <v>-1.5535604589828922E-2</v>
      </c>
      <c r="J873" s="22" t="str">
        <f t="shared" si="28"/>
        <v>lost money</v>
      </c>
    </row>
    <row r="874" spans="1:10">
      <c r="A874" s="1">
        <v>41480</v>
      </c>
      <c r="B874">
        <v>14.62</v>
      </c>
      <c r="C874">
        <v>14.85</v>
      </c>
      <c r="D874">
        <v>14.54</v>
      </c>
      <c r="E874">
        <v>14.83</v>
      </c>
      <c r="F874">
        <v>89243300</v>
      </c>
      <c r="G874">
        <v>14.81</v>
      </c>
      <c r="H874" t="s">
        <v>2</v>
      </c>
      <c r="I874" s="22">
        <f t="shared" si="27"/>
        <v>8.1356380939215586E-3</v>
      </c>
      <c r="J874" s="22" t="str">
        <f t="shared" si="28"/>
        <v/>
      </c>
    </row>
    <row r="875" spans="1:10">
      <c r="A875" s="1">
        <v>41481</v>
      </c>
      <c r="B875">
        <v>14.7</v>
      </c>
      <c r="C875">
        <v>14.76</v>
      </c>
      <c r="D875">
        <v>14.62</v>
      </c>
      <c r="E875">
        <v>14.73</v>
      </c>
      <c r="F875">
        <v>73777800</v>
      </c>
      <c r="G875">
        <v>14.71</v>
      </c>
      <c r="H875" t="s">
        <v>2</v>
      </c>
      <c r="I875" s="22">
        <f t="shared" si="27"/>
        <v>-6.7750936663612468E-3</v>
      </c>
      <c r="J875" s="22" t="str">
        <f t="shared" si="28"/>
        <v/>
      </c>
    </row>
    <row r="876" spans="1:10">
      <c r="A876" s="1">
        <v>41484</v>
      </c>
      <c r="B876">
        <v>14.65</v>
      </c>
      <c r="C876">
        <v>14.7</v>
      </c>
      <c r="D876">
        <v>14.45</v>
      </c>
      <c r="E876">
        <v>14.52</v>
      </c>
      <c r="F876">
        <v>88616700</v>
      </c>
      <c r="G876">
        <v>14.5</v>
      </c>
      <c r="H876" t="s">
        <v>2</v>
      </c>
      <c r="I876" s="22">
        <f t="shared" si="27"/>
        <v>-1.4378885186817498E-2</v>
      </c>
      <c r="J876" s="22" t="str">
        <f t="shared" si="28"/>
        <v>lost money</v>
      </c>
    </row>
    <row r="877" spans="1:10">
      <c r="A877" s="1">
        <v>41485</v>
      </c>
      <c r="B877">
        <v>14.58</v>
      </c>
      <c r="C877">
        <v>14.63</v>
      </c>
      <c r="D877">
        <v>14.46</v>
      </c>
      <c r="E877">
        <v>14.52</v>
      </c>
      <c r="F877">
        <v>71675200</v>
      </c>
      <c r="G877">
        <v>14.5</v>
      </c>
      <c r="H877" t="s">
        <v>2</v>
      </c>
      <c r="I877" s="22">
        <f t="shared" si="27"/>
        <v>0</v>
      </c>
      <c r="J877" s="22" t="str">
        <f t="shared" si="28"/>
        <v>lost money</v>
      </c>
    </row>
    <row r="878" spans="1:10">
      <c r="A878" s="1">
        <v>41486</v>
      </c>
      <c r="B878">
        <v>14.58</v>
      </c>
      <c r="C878">
        <v>14.85</v>
      </c>
      <c r="D878">
        <v>14.57</v>
      </c>
      <c r="E878">
        <v>14.6</v>
      </c>
      <c r="F878">
        <v>128182500</v>
      </c>
      <c r="G878">
        <v>14.58</v>
      </c>
      <c r="H878" t="s">
        <v>2</v>
      </c>
      <c r="I878" s="22">
        <f t="shared" si="27"/>
        <v>5.5020771539833384E-3</v>
      </c>
      <c r="J878" s="22" t="str">
        <f t="shared" si="28"/>
        <v/>
      </c>
    </row>
    <row r="879" spans="1:10">
      <c r="A879" s="1">
        <v>41487</v>
      </c>
      <c r="B879">
        <v>14.85</v>
      </c>
      <c r="C879">
        <v>14.97</v>
      </c>
      <c r="D879">
        <v>14.82</v>
      </c>
      <c r="E879">
        <v>14.95</v>
      </c>
      <c r="F879">
        <v>108554200</v>
      </c>
      <c r="G879">
        <v>14.93</v>
      </c>
      <c r="H879" t="s">
        <v>2</v>
      </c>
      <c r="I879" s="22">
        <f t="shared" si="27"/>
        <v>2.3721884970586839E-2</v>
      </c>
      <c r="J879" s="22" t="str">
        <f t="shared" si="28"/>
        <v/>
      </c>
    </row>
    <row r="880" spans="1:10">
      <c r="A880" s="1">
        <v>41488</v>
      </c>
      <c r="B880">
        <v>14.88</v>
      </c>
      <c r="C880">
        <v>14.91</v>
      </c>
      <c r="D880">
        <v>14.78</v>
      </c>
      <c r="E880">
        <v>14.84</v>
      </c>
      <c r="F880">
        <v>83367400</v>
      </c>
      <c r="G880">
        <v>14.82</v>
      </c>
      <c r="H880" t="s">
        <v>2</v>
      </c>
      <c r="I880" s="22">
        <f t="shared" si="27"/>
        <v>-7.3949916831581083E-3</v>
      </c>
      <c r="J880" s="22" t="str">
        <f t="shared" si="28"/>
        <v>lost money</v>
      </c>
    </row>
    <row r="881" spans="1:10">
      <c r="A881" s="1">
        <v>41491</v>
      </c>
      <c r="B881">
        <v>14.77</v>
      </c>
      <c r="C881">
        <v>14.84</v>
      </c>
      <c r="D881">
        <v>14.7</v>
      </c>
      <c r="E881">
        <v>14.8</v>
      </c>
      <c r="F881">
        <v>61711900</v>
      </c>
      <c r="G881">
        <v>14.78</v>
      </c>
      <c r="H881" t="s">
        <v>2</v>
      </c>
      <c r="I881" s="22">
        <f t="shared" si="27"/>
        <v>-2.7027043478851389E-3</v>
      </c>
      <c r="J881" s="22" t="str">
        <f t="shared" si="28"/>
        <v/>
      </c>
    </row>
    <row r="882" spans="1:10">
      <c r="A882" s="1">
        <v>41492</v>
      </c>
      <c r="B882">
        <v>14.74</v>
      </c>
      <c r="C882">
        <v>14.76</v>
      </c>
      <c r="D882">
        <v>14.63</v>
      </c>
      <c r="E882">
        <v>14.64</v>
      </c>
      <c r="F882">
        <v>84249800</v>
      </c>
      <c r="G882">
        <v>14.62</v>
      </c>
      <c r="H882" t="s">
        <v>2</v>
      </c>
      <c r="I882" s="22">
        <f t="shared" si="27"/>
        <v>-1.0884461198423331E-2</v>
      </c>
      <c r="J882" s="22" t="str">
        <f t="shared" si="28"/>
        <v>lost money</v>
      </c>
    </row>
    <row r="883" spans="1:10">
      <c r="A883" s="1">
        <v>41493</v>
      </c>
      <c r="B883">
        <v>14.43</v>
      </c>
      <c r="C883">
        <v>14.57</v>
      </c>
      <c r="D883">
        <v>14.25</v>
      </c>
      <c r="E883">
        <v>14.53</v>
      </c>
      <c r="F883">
        <v>128693600</v>
      </c>
      <c r="G883">
        <v>14.51</v>
      </c>
      <c r="H883" t="s">
        <v>2</v>
      </c>
      <c r="I883" s="22">
        <f t="shared" si="27"/>
        <v>-7.5523874255359735E-3</v>
      </c>
      <c r="J883" s="22" t="str">
        <f t="shared" si="28"/>
        <v/>
      </c>
    </row>
    <row r="884" spans="1:10">
      <c r="A884" s="1">
        <v>41494</v>
      </c>
      <c r="B884">
        <v>14.68</v>
      </c>
      <c r="C884">
        <v>14.7</v>
      </c>
      <c r="D884">
        <v>14.44</v>
      </c>
      <c r="E884">
        <v>14.61</v>
      </c>
      <c r="F884">
        <v>88544100</v>
      </c>
      <c r="G884">
        <v>14.59</v>
      </c>
      <c r="H884" t="s">
        <v>2</v>
      </c>
      <c r="I884" s="22">
        <f t="shared" si="27"/>
        <v>5.4982956385978762E-3</v>
      </c>
      <c r="J884" s="22" t="str">
        <f t="shared" si="28"/>
        <v>lost money</v>
      </c>
    </row>
    <row r="885" spans="1:10">
      <c r="A885" s="1">
        <v>41495</v>
      </c>
      <c r="B885">
        <v>14.56</v>
      </c>
      <c r="C885">
        <v>14.61</v>
      </c>
      <c r="D885">
        <v>14.4</v>
      </c>
      <c r="E885">
        <v>14.45</v>
      </c>
      <c r="F885">
        <v>72897900</v>
      </c>
      <c r="G885">
        <v>14.43</v>
      </c>
      <c r="H885" t="s">
        <v>2</v>
      </c>
      <c r="I885" s="22">
        <f t="shared" si="27"/>
        <v>-1.1026989748914764E-2</v>
      </c>
      <c r="J885" s="22" t="str">
        <f t="shared" si="28"/>
        <v>lost money</v>
      </c>
    </row>
    <row r="886" spans="1:10">
      <c r="A886" s="1">
        <v>41498</v>
      </c>
      <c r="B886">
        <v>14.36</v>
      </c>
      <c r="C886">
        <v>14.47</v>
      </c>
      <c r="D886">
        <v>14.32</v>
      </c>
      <c r="E886">
        <v>14.41</v>
      </c>
      <c r="F886">
        <v>60867500</v>
      </c>
      <c r="G886">
        <v>14.39</v>
      </c>
      <c r="H886" t="s">
        <v>2</v>
      </c>
      <c r="I886" s="22">
        <f t="shared" si="27"/>
        <v>-2.7758518865030179E-3</v>
      </c>
      <c r="J886" s="22" t="str">
        <f t="shared" si="28"/>
        <v/>
      </c>
    </row>
    <row r="887" spans="1:10">
      <c r="A887" s="1">
        <v>41499</v>
      </c>
      <c r="B887">
        <v>14.47</v>
      </c>
      <c r="C887">
        <v>14.62</v>
      </c>
      <c r="D887">
        <v>14.33</v>
      </c>
      <c r="E887">
        <v>14.51</v>
      </c>
      <c r="F887">
        <v>75777900</v>
      </c>
      <c r="G887">
        <v>14.49</v>
      </c>
      <c r="H887" t="s">
        <v>2</v>
      </c>
      <c r="I887" s="22">
        <f t="shared" si="27"/>
        <v>6.9252354333144877E-3</v>
      </c>
      <c r="J887" s="22" t="str">
        <f t="shared" si="28"/>
        <v/>
      </c>
    </row>
    <row r="888" spans="1:10">
      <c r="A888" s="1">
        <v>41500</v>
      </c>
      <c r="B888">
        <v>14.55</v>
      </c>
      <c r="C888">
        <v>14.75</v>
      </c>
      <c r="D888">
        <v>14.54</v>
      </c>
      <c r="E888">
        <v>14.6</v>
      </c>
      <c r="F888">
        <v>78553700</v>
      </c>
      <c r="G888">
        <v>14.58</v>
      </c>
      <c r="H888" t="s">
        <v>2</v>
      </c>
      <c r="I888" s="22">
        <f t="shared" si="27"/>
        <v>6.1919702479209804E-3</v>
      </c>
      <c r="J888" s="22" t="str">
        <f t="shared" si="28"/>
        <v/>
      </c>
    </row>
    <row r="889" spans="1:10">
      <c r="A889" s="1">
        <v>41501</v>
      </c>
      <c r="B889">
        <v>14.46</v>
      </c>
      <c r="C889">
        <v>14.47</v>
      </c>
      <c r="D889">
        <v>14.31</v>
      </c>
      <c r="E889">
        <v>14.32</v>
      </c>
      <c r="F889">
        <v>99238900</v>
      </c>
      <c r="G889">
        <v>14.3</v>
      </c>
      <c r="H889" t="s">
        <v>2</v>
      </c>
      <c r="I889" s="22">
        <f t="shared" si="27"/>
        <v>-1.9391189314650441E-2</v>
      </c>
      <c r="J889" s="22" t="str">
        <f t="shared" si="28"/>
        <v>lost money</v>
      </c>
    </row>
    <row r="890" spans="1:10">
      <c r="A890" s="1">
        <v>41502</v>
      </c>
      <c r="B890">
        <v>14.29</v>
      </c>
      <c r="C890">
        <v>14.47</v>
      </c>
      <c r="D890">
        <v>14.21</v>
      </c>
      <c r="E890">
        <v>14.42</v>
      </c>
      <c r="F890">
        <v>104959000</v>
      </c>
      <c r="G890">
        <v>14.4</v>
      </c>
      <c r="H890" t="s">
        <v>2</v>
      </c>
      <c r="I890" s="22">
        <f t="shared" si="27"/>
        <v>6.9686693160932152E-3</v>
      </c>
      <c r="J890" s="22" t="str">
        <f t="shared" si="28"/>
        <v/>
      </c>
    </row>
    <row r="891" spans="1:10">
      <c r="A891" s="1">
        <v>41505</v>
      </c>
      <c r="B891">
        <v>14.37</v>
      </c>
      <c r="C891">
        <v>14.38</v>
      </c>
      <c r="D891">
        <v>14.13</v>
      </c>
      <c r="E891">
        <v>14.15</v>
      </c>
      <c r="F891">
        <v>98384600</v>
      </c>
      <c r="G891">
        <v>14.13</v>
      </c>
      <c r="H891" t="s">
        <v>2</v>
      </c>
      <c r="I891" s="22">
        <f t="shared" si="27"/>
        <v>-1.8928009885518796E-2</v>
      </c>
      <c r="J891" s="22" t="str">
        <f t="shared" si="28"/>
        <v>lost money</v>
      </c>
    </row>
    <row r="892" spans="1:10">
      <c r="A892" s="1">
        <v>41506</v>
      </c>
      <c r="B892">
        <v>14.18</v>
      </c>
      <c r="C892">
        <v>14.38</v>
      </c>
      <c r="D892">
        <v>13.98</v>
      </c>
      <c r="E892">
        <v>14.29</v>
      </c>
      <c r="F892">
        <v>114332500</v>
      </c>
      <c r="G892">
        <v>14.27</v>
      </c>
      <c r="H892" t="s">
        <v>2</v>
      </c>
      <c r="I892" s="22">
        <f t="shared" si="27"/>
        <v>9.8592347923089005E-3</v>
      </c>
      <c r="J892" s="22" t="str">
        <f t="shared" si="28"/>
        <v/>
      </c>
    </row>
    <row r="893" spans="1:10">
      <c r="A893" s="1">
        <v>41507</v>
      </c>
      <c r="B893">
        <v>14.26</v>
      </c>
      <c r="C893">
        <v>14.48</v>
      </c>
      <c r="D893">
        <v>14.2</v>
      </c>
      <c r="E893">
        <v>14.34</v>
      </c>
      <c r="F893">
        <v>91680600</v>
      </c>
      <c r="G893">
        <v>14.32</v>
      </c>
      <c r="H893" t="s">
        <v>2</v>
      </c>
      <c r="I893" s="22">
        <f t="shared" si="27"/>
        <v>3.4977300437545834E-3</v>
      </c>
      <c r="J893" s="22" t="str">
        <f t="shared" si="28"/>
        <v/>
      </c>
    </row>
    <row r="894" spans="1:10">
      <c r="A894" s="1">
        <v>41508</v>
      </c>
      <c r="B894">
        <v>14.47</v>
      </c>
      <c r="C894">
        <v>14.6</v>
      </c>
      <c r="D894">
        <v>14.4</v>
      </c>
      <c r="E894">
        <v>14.57</v>
      </c>
      <c r="F894">
        <v>76348300</v>
      </c>
      <c r="G894">
        <v>14.55</v>
      </c>
      <c r="H894" t="s">
        <v>2</v>
      </c>
      <c r="I894" s="22">
        <f t="shared" si="27"/>
        <v>1.5933832085001886E-2</v>
      </c>
      <c r="J894" s="22" t="str">
        <f t="shared" si="28"/>
        <v/>
      </c>
    </row>
    <row r="895" spans="1:10">
      <c r="A895" s="1">
        <v>41509</v>
      </c>
      <c r="B895">
        <v>14.59</v>
      </c>
      <c r="C895">
        <v>14.69</v>
      </c>
      <c r="D895">
        <v>14.51</v>
      </c>
      <c r="E895">
        <v>14.57</v>
      </c>
      <c r="F895">
        <v>67699200</v>
      </c>
      <c r="G895">
        <v>14.55</v>
      </c>
      <c r="H895" t="s">
        <v>2</v>
      </c>
      <c r="I895" s="22">
        <f t="shared" si="27"/>
        <v>0</v>
      </c>
      <c r="J895" s="22" t="str">
        <f t="shared" si="28"/>
        <v>lost money</v>
      </c>
    </row>
    <row r="896" spans="1:10">
      <c r="A896" s="1">
        <v>41512</v>
      </c>
      <c r="B896">
        <v>14.53</v>
      </c>
      <c r="C896">
        <v>14.7</v>
      </c>
      <c r="D896">
        <v>14.49</v>
      </c>
      <c r="E896">
        <v>14.49</v>
      </c>
      <c r="F896">
        <v>68938900</v>
      </c>
      <c r="G896">
        <v>14.47</v>
      </c>
      <c r="H896" t="s">
        <v>2</v>
      </c>
      <c r="I896" s="22">
        <f t="shared" si="27"/>
        <v>-5.5134529741090073E-3</v>
      </c>
      <c r="J896" s="22" t="str">
        <f t="shared" si="28"/>
        <v>lost money</v>
      </c>
    </row>
    <row r="897" spans="1:10">
      <c r="A897" s="1">
        <v>41513</v>
      </c>
      <c r="B897">
        <v>14.26</v>
      </c>
      <c r="C897">
        <v>14.41</v>
      </c>
      <c r="D897">
        <v>14.1</v>
      </c>
      <c r="E897">
        <v>14.11</v>
      </c>
      <c r="F897">
        <v>122534200</v>
      </c>
      <c r="G897">
        <v>14.09</v>
      </c>
      <c r="H897" t="s">
        <v>2</v>
      </c>
      <c r="I897" s="22">
        <f t="shared" si="27"/>
        <v>-2.6612214732803709E-2</v>
      </c>
      <c r="J897" s="22" t="str">
        <f t="shared" si="28"/>
        <v>lost money</v>
      </c>
    </row>
    <row r="898" spans="1:10">
      <c r="A898" s="1">
        <v>41514</v>
      </c>
      <c r="B898">
        <v>14.07</v>
      </c>
      <c r="C898">
        <v>14.25</v>
      </c>
      <c r="D898">
        <v>13.99</v>
      </c>
      <c r="E898">
        <v>14.12</v>
      </c>
      <c r="F898">
        <v>96473600</v>
      </c>
      <c r="G898">
        <v>14.1</v>
      </c>
      <c r="H898" t="s">
        <v>2</v>
      </c>
      <c r="I898" s="22">
        <f t="shared" si="27"/>
        <v>7.0947147353377657E-4</v>
      </c>
      <c r="J898" s="22" t="str">
        <f t="shared" si="28"/>
        <v/>
      </c>
    </row>
    <row r="899" spans="1:10">
      <c r="A899" s="1">
        <v>41515</v>
      </c>
      <c r="B899">
        <v>14.14</v>
      </c>
      <c r="C899">
        <v>14.3</v>
      </c>
      <c r="D899">
        <v>14.12</v>
      </c>
      <c r="E899">
        <v>14.17</v>
      </c>
      <c r="F899">
        <v>76691500</v>
      </c>
      <c r="G899">
        <v>14.15</v>
      </c>
      <c r="H899" t="s">
        <v>2</v>
      </c>
      <c r="I899" s="22">
        <f t="shared" ref="I899:I962" si="29">IF(A899=$A$2,"",LN(G899/G898))</f>
        <v>3.5398267051239868E-3</v>
      </c>
      <c r="J899" s="22" t="str">
        <f t="shared" ref="J899:J962" si="30">IF(B899&gt;E899,"lost money","")</f>
        <v/>
      </c>
    </row>
    <row r="900" spans="1:10">
      <c r="A900" s="1">
        <v>41516</v>
      </c>
      <c r="B900">
        <v>14.23</v>
      </c>
      <c r="C900">
        <v>14.25</v>
      </c>
      <c r="D900">
        <v>14.07</v>
      </c>
      <c r="E900">
        <v>14.12</v>
      </c>
      <c r="F900">
        <v>73233400</v>
      </c>
      <c r="G900">
        <v>14.1</v>
      </c>
      <c r="H900" t="s">
        <v>2</v>
      </c>
      <c r="I900" s="22">
        <f t="shared" si="29"/>
        <v>-3.5398267051240623E-3</v>
      </c>
      <c r="J900" s="22" t="str">
        <f t="shared" si="30"/>
        <v>lost money</v>
      </c>
    </row>
    <row r="901" spans="1:10">
      <c r="A901" s="1">
        <v>41520</v>
      </c>
      <c r="B901">
        <v>14.3</v>
      </c>
      <c r="C901">
        <v>14.38</v>
      </c>
      <c r="D901">
        <v>14.18</v>
      </c>
      <c r="E901">
        <v>14.25</v>
      </c>
      <c r="F901">
        <v>74628700</v>
      </c>
      <c r="G901">
        <v>14.23</v>
      </c>
      <c r="H901" t="s">
        <v>2</v>
      </c>
      <c r="I901" s="22">
        <f t="shared" si="29"/>
        <v>9.1776147176383643E-3</v>
      </c>
      <c r="J901" s="22" t="str">
        <f t="shared" si="30"/>
        <v>lost money</v>
      </c>
    </row>
    <row r="902" spans="1:10">
      <c r="A902" s="1">
        <v>41521</v>
      </c>
      <c r="B902">
        <v>14.21</v>
      </c>
      <c r="C902">
        <v>14.4</v>
      </c>
      <c r="D902">
        <v>14.21</v>
      </c>
      <c r="E902">
        <v>14.32</v>
      </c>
      <c r="F902">
        <v>71132500</v>
      </c>
      <c r="G902">
        <v>14.31</v>
      </c>
      <c r="H902" t="s">
        <v>2</v>
      </c>
      <c r="I902" s="22">
        <f t="shared" si="29"/>
        <v>5.6061814665984647E-3</v>
      </c>
      <c r="J902" s="22" t="str">
        <f t="shared" si="30"/>
        <v/>
      </c>
    </row>
    <row r="903" spans="1:10">
      <c r="A903" s="1">
        <v>41522</v>
      </c>
      <c r="B903">
        <v>14.41</v>
      </c>
      <c r="C903">
        <v>14.55</v>
      </c>
      <c r="D903">
        <v>14.36</v>
      </c>
      <c r="E903">
        <v>14.37</v>
      </c>
      <c r="F903">
        <v>71229200</v>
      </c>
      <c r="G903">
        <v>14.36</v>
      </c>
      <c r="H903" t="s">
        <v>2</v>
      </c>
      <c r="I903" s="22">
        <f t="shared" si="29"/>
        <v>3.4879700517186072E-3</v>
      </c>
      <c r="J903" s="22" t="str">
        <f t="shared" si="30"/>
        <v>lost money</v>
      </c>
    </row>
    <row r="904" spans="1:10">
      <c r="A904" s="1">
        <v>41523</v>
      </c>
      <c r="B904">
        <v>14.47</v>
      </c>
      <c r="C904">
        <v>14.5</v>
      </c>
      <c r="D904">
        <v>14.27</v>
      </c>
      <c r="E904">
        <v>14.36</v>
      </c>
      <c r="F904">
        <v>75513100</v>
      </c>
      <c r="G904">
        <v>14.35</v>
      </c>
      <c r="H904" t="s">
        <v>2</v>
      </c>
      <c r="I904" s="22">
        <f t="shared" si="29"/>
        <v>-6.9662141444799775E-4</v>
      </c>
      <c r="J904" s="22" t="str">
        <f t="shared" si="30"/>
        <v>lost money</v>
      </c>
    </row>
    <row r="905" spans="1:10">
      <c r="A905" s="1">
        <v>41526</v>
      </c>
      <c r="B905">
        <v>14.41</v>
      </c>
      <c r="C905">
        <v>14.49</v>
      </c>
      <c r="D905">
        <v>14.37</v>
      </c>
      <c r="E905">
        <v>14.48</v>
      </c>
      <c r="F905">
        <v>53447300</v>
      </c>
      <c r="G905">
        <v>14.47</v>
      </c>
      <c r="H905" t="s">
        <v>2</v>
      </c>
      <c r="I905" s="22">
        <f t="shared" si="29"/>
        <v>8.3275984377623544E-3</v>
      </c>
      <c r="J905" s="22" t="str">
        <f t="shared" si="30"/>
        <v/>
      </c>
    </row>
    <row r="906" spans="1:10">
      <c r="A906" s="1">
        <v>41527</v>
      </c>
      <c r="B906">
        <v>14.52</v>
      </c>
      <c r="C906">
        <v>14.69</v>
      </c>
      <c r="D906">
        <v>14.52</v>
      </c>
      <c r="E906">
        <v>14.61</v>
      </c>
      <c r="F906">
        <v>93180300</v>
      </c>
      <c r="G906">
        <v>14.6</v>
      </c>
      <c r="H906" t="s">
        <v>2</v>
      </c>
      <c r="I906" s="22">
        <f t="shared" si="29"/>
        <v>8.9439880708981571E-3</v>
      </c>
      <c r="J906" s="22" t="str">
        <f t="shared" si="30"/>
        <v/>
      </c>
    </row>
    <row r="907" spans="1:10">
      <c r="A907" s="1">
        <v>41528</v>
      </c>
      <c r="B907">
        <v>14.56</v>
      </c>
      <c r="C907">
        <v>14.68</v>
      </c>
      <c r="D907">
        <v>14.52</v>
      </c>
      <c r="E907">
        <v>14.65</v>
      </c>
      <c r="F907">
        <v>81098900</v>
      </c>
      <c r="G907">
        <v>14.64</v>
      </c>
      <c r="H907" t="s">
        <v>2</v>
      </c>
      <c r="I907" s="22">
        <f t="shared" si="29"/>
        <v>2.7359798188748455E-3</v>
      </c>
      <c r="J907" s="22" t="str">
        <f t="shared" si="30"/>
        <v/>
      </c>
    </row>
    <row r="908" spans="1:10">
      <c r="A908" s="1">
        <v>41529</v>
      </c>
      <c r="B908">
        <v>14.65</v>
      </c>
      <c r="C908">
        <v>14.68</v>
      </c>
      <c r="D908">
        <v>14.46</v>
      </c>
      <c r="E908">
        <v>14.48</v>
      </c>
      <c r="F908">
        <v>63355900</v>
      </c>
      <c r="G908">
        <v>14.47</v>
      </c>
      <c r="H908" t="s">
        <v>2</v>
      </c>
      <c r="I908" s="22">
        <f t="shared" si="29"/>
        <v>-1.1679967889773048E-2</v>
      </c>
      <c r="J908" s="22" t="str">
        <f t="shared" si="30"/>
        <v>lost money</v>
      </c>
    </row>
    <row r="909" spans="1:10">
      <c r="A909" s="1">
        <v>41530</v>
      </c>
      <c r="B909">
        <v>14.46</v>
      </c>
      <c r="C909">
        <v>14.55</v>
      </c>
      <c r="D909">
        <v>14.45</v>
      </c>
      <c r="E909">
        <v>14.49</v>
      </c>
      <c r="F909">
        <v>56793400</v>
      </c>
      <c r="G909">
        <v>14.48</v>
      </c>
      <c r="H909" t="s">
        <v>2</v>
      </c>
      <c r="I909" s="22">
        <f t="shared" si="29"/>
        <v>6.9084631417777164E-4</v>
      </c>
      <c r="J909" s="22" t="str">
        <f t="shared" si="30"/>
        <v/>
      </c>
    </row>
    <row r="910" spans="1:10">
      <c r="A910" s="1">
        <v>41533</v>
      </c>
      <c r="B910">
        <v>14.61</v>
      </c>
      <c r="C910">
        <v>14.68</v>
      </c>
      <c r="D910">
        <v>14.53</v>
      </c>
      <c r="E910">
        <v>14.53</v>
      </c>
      <c r="F910">
        <v>65276500</v>
      </c>
      <c r="G910">
        <v>14.52</v>
      </c>
      <c r="H910" t="s">
        <v>2</v>
      </c>
      <c r="I910" s="22">
        <f t="shared" si="29"/>
        <v>2.7586224390796607E-3</v>
      </c>
      <c r="J910" s="22" t="str">
        <f t="shared" si="30"/>
        <v>lost money</v>
      </c>
    </row>
    <row r="911" spans="1:10">
      <c r="A911" s="1">
        <v>41534</v>
      </c>
      <c r="B911">
        <v>14.53</v>
      </c>
      <c r="C911">
        <v>14.62</v>
      </c>
      <c r="D911">
        <v>14.4</v>
      </c>
      <c r="E911">
        <v>14.55</v>
      </c>
      <c r="F911">
        <v>73686100</v>
      </c>
      <c r="G911">
        <v>14.54</v>
      </c>
      <c r="H911" t="s">
        <v>2</v>
      </c>
      <c r="I911" s="22">
        <f t="shared" si="29"/>
        <v>1.3764627087232354E-3</v>
      </c>
      <c r="J911" s="22" t="str">
        <f t="shared" si="30"/>
        <v/>
      </c>
    </row>
    <row r="912" spans="1:10">
      <c r="A912" s="1">
        <v>41535</v>
      </c>
      <c r="B912">
        <v>14.53</v>
      </c>
      <c r="C912">
        <v>14.82</v>
      </c>
      <c r="D912">
        <v>14.49</v>
      </c>
      <c r="E912">
        <v>14.71</v>
      </c>
      <c r="F912">
        <v>127092600</v>
      </c>
      <c r="G912">
        <v>14.7</v>
      </c>
      <c r="H912" t="s">
        <v>2</v>
      </c>
      <c r="I912" s="22">
        <f t="shared" si="29"/>
        <v>1.094402167931721E-2</v>
      </c>
      <c r="J912" s="22" t="str">
        <f t="shared" si="30"/>
        <v/>
      </c>
    </row>
    <row r="913" spans="1:10">
      <c r="A913" s="1">
        <v>41536</v>
      </c>
      <c r="B913">
        <v>14.8</v>
      </c>
      <c r="C913">
        <v>14.83</v>
      </c>
      <c r="D913">
        <v>14.58</v>
      </c>
      <c r="E913">
        <v>14.61</v>
      </c>
      <c r="F913">
        <v>79710700</v>
      </c>
      <c r="G913">
        <v>14.6</v>
      </c>
      <c r="H913" t="s">
        <v>2</v>
      </c>
      <c r="I913" s="22">
        <f t="shared" si="29"/>
        <v>-6.8259650703998706E-3</v>
      </c>
      <c r="J913" s="22" t="str">
        <f t="shared" si="30"/>
        <v>lost money</v>
      </c>
    </row>
    <row r="914" spans="1:10">
      <c r="A914" s="1">
        <v>41537</v>
      </c>
      <c r="B914">
        <v>14.65</v>
      </c>
      <c r="C914">
        <v>14.66</v>
      </c>
      <c r="D914">
        <v>14.44</v>
      </c>
      <c r="E914">
        <v>14.44</v>
      </c>
      <c r="F914">
        <v>145174800</v>
      </c>
      <c r="G914">
        <v>14.43</v>
      </c>
      <c r="H914" t="s">
        <v>2</v>
      </c>
      <c r="I914" s="22">
        <f t="shared" si="29"/>
        <v>-1.171215592851123E-2</v>
      </c>
      <c r="J914" s="22" t="str">
        <f t="shared" si="30"/>
        <v>lost money</v>
      </c>
    </row>
    <row r="915" spans="1:10">
      <c r="A915" s="1">
        <v>41540</v>
      </c>
      <c r="B915">
        <v>14.31</v>
      </c>
      <c r="C915">
        <v>14.32</v>
      </c>
      <c r="D915">
        <v>14.09</v>
      </c>
      <c r="E915">
        <v>14.14</v>
      </c>
      <c r="F915">
        <v>127283100</v>
      </c>
      <c r="G915">
        <v>14.13</v>
      </c>
      <c r="H915" t="s">
        <v>2</v>
      </c>
      <c r="I915" s="22">
        <f t="shared" si="29"/>
        <v>-2.1009176089343318E-2</v>
      </c>
      <c r="J915" s="22" t="str">
        <f t="shared" si="30"/>
        <v>lost money</v>
      </c>
    </row>
    <row r="916" spans="1:10">
      <c r="A916" s="1">
        <v>41541</v>
      </c>
      <c r="B916">
        <v>14.18</v>
      </c>
      <c r="C916">
        <v>14.25</v>
      </c>
      <c r="D916">
        <v>14.01</v>
      </c>
      <c r="E916">
        <v>14.09</v>
      </c>
      <c r="F916">
        <v>96912800</v>
      </c>
      <c r="G916">
        <v>14.08</v>
      </c>
      <c r="H916" t="s">
        <v>2</v>
      </c>
      <c r="I916" s="22">
        <f t="shared" si="29"/>
        <v>-3.5448459665397667E-3</v>
      </c>
      <c r="J916" s="22" t="str">
        <f t="shared" si="30"/>
        <v>lost money</v>
      </c>
    </row>
    <row r="917" spans="1:10">
      <c r="A917" s="1">
        <v>41542</v>
      </c>
      <c r="B917">
        <v>14.12</v>
      </c>
      <c r="C917">
        <v>14.24</v>
      </c>
      <c r="D917">
        <v>14.03</v>
      </c>
      <c r="E917">
        <v>14.14</v>
      </c>
      <c r="F917">
        <v>86546100</v>
      </c>
      <c r="G917">
        <v>14.13</v>
      </c>
      <c r="H917" t="s">
        <v>2</v>
      </c>
      <c r="I917" s="22">
        <f t="shared" si="29"/>
        <v>3.5448459665398308E-3</v>
      </c>
      <c r="J917" s="22" t="str">
        <f t="shared" si="30"/>
        <v/>
      </c>
    </row>
    <row r="918" spans="1:10">
      <c r="A918" s="1">
        <v>41543</v>
      </c>
      <c r="B918">
        <v>14.19</v>
      </c>
      <c r="C918">
        <v>14.22</v>
      </c>
      <c r="D918">
        <v>13.98</v>
      </c>
      <c r="E918">
        <v>14.08</v>
      </c>
      <c r="F918">
        <v>89352900</v>
      </c>
      <c r="G918">
        <v>14.07</v>
      </c>
      <c r="H918" t="s">
        <v>2</v>
      </c>
      <c r="I918" s="22">
        <f t="shared" si="29"/>
        <v>-4.2553255701383835E-3</v>
      </c>
      <c r="J918" s="22" t="str">
        <f t="shared" si="30"/>
        <v>lost money</v>
      </c>
    </row>
    <row r="919" spans="1:10">
      <c r="A919" s="1">
        <v>41544</v>
      </c>
      <c r="B919">
        <v>13.99</v>
      </c>
      <c r="C919">
        <v>14.03</v>
      </c>
      <c r="D919">
        <v>13.88</v>
      </c>
      <c r="E919">
        <v>13.9</v>
      </c>
      <c r="F919">
        <v>79156000</v>
      </c>
      <c r="G919">
        <v>13.89</v>
      </c>
      <c r="H919" t="s">
        <v>2</v>
      </c>
      <c r="I919" s="22">
        <f t="shared" si="29"/>
        <v>-1.287571436004528E-2</v>
      </c>
      <c r="J919" s="22" t="str">
        <f t="shared" si="30"/>
        <v>lost money</v>
      </c>
    </row>
    <row r="920" spans="1:10">
      <c r="A920" s="1">
        <v>41547</v>
      </c>
      <c r="B920">
        <v>13.69</v>
      </c>
      <c r="C920">
        <v>13.93</v>
      </c>
      <c r="D920">
        <v>13.6</v>
      </c>
      <c r="E920">
        <v>13.8</v>
      </c>
      <c r="F920">
        <v>104439900</v>
      </c>
      <c r="G920">
        <v>13.79</v>
      </c>
      <c r="H920" t="s">
        <v>2</v>
      </c>
      <c r="I920" s="22">
        <f t="shared" si="29"/>
        <v>-7.2254649610420706E-3</v>
      </c>
      <c r="J920" s="22" t="str">
        <f t="shared" si="30"/>
        <v/>
      </c>
    </row>
    <row r="921" spans="1:10">
      <c r="A921" s="1">
        <v>41548</v>
      </c>
      <c r="B921">
        <v>13.85</v>
      </c>
      <c r="C921">
        <v>13.92</v>
      </c>
      <c r="D921">
        <v>13.81</v>
      </c>
      <c r="E921">
        <v>13.9</v>
      </c>
      <c r="F921">
        <v>57631000</v>
      </c>
      <c r="G921">
        <v>13.89</v>
      </c>
      <c r="H921" t="s">
        <v>2</v>
      </c>
      <c r="I921" s="22">
        <f t="shared" si="29"/>
        <v>7.2254649610421643E-3</v>
      </c>
      <c r="J921" s="22" t="str">
        <f t="shared" si="30"/>
        <v/>
      </c>
    </row>
    <row r="922" spans="1:10">
      <c r="A922" s="1">
        <v>41549</v>
      </c>
      <c r="B922">
        <v>13.81</v>
      </c>
      <c r="C922">
        <v>14.1</v>
      </c>
      <c r="D922">
        <v>13.79</v>
      </c>
      <c r="E922">
        <v>14.06</v>
      </c>
      <c r="F922">
        <v>89186300</v>
      </c>
      <c r="G922">
        <v>14.05</v>
      </c>
      <c r="H922" t="s">
        <v>2</v>
      </c>
      <c r="I922" s="22">
        <f t="shared" si="29"/>
        <v>1.1453239013502295E-2</v>
      </c>
      <c r="J922" s="22" t="str">
        <f t="shared" si="30"/>
        <v/>
      </c>
    </row>
    <row r="923" spans="1:10">
      <c r="A923" s="1">
        <v>41550</v>
      </c>
      <c r="B923">
        <v>14.07</v>
      </c>
      <c r="C923">
        <v>14.1</v>
      </c>
      <c r="D923">
        <v>13.83</v>
      </c>
      <c r="E923">
        <v>14</v>
      </c>
      <c r="F923">
        <v>95269000</v>
      </c>
      <c r="G923">
        <v>13.99</v>
      </c>
      <c r="H923" t="s">
        <v>2</v>
      </c>
      <c r="I923" s="22">
        <f t="shared" si="29"/>
        <v>-4.2796071023649953E-3</v>
      </c>
      <c r="J923" s="22" t="str">
        <f t="shared" si="30"/>
        <v>lost money</v>
      </c>
    </row>
    <row r="924" spans="1:10">
      <c r="A924" s="1">
        <v>41551</v>
      </c>
      <c r="B924">
        <v>14.02</v>
      </c>
      <c r="C924">
        <v>14.08</v>
      </c>
      <c r="D924">
        <v>13.96</v>
      </c>
      <c r="E924">
        <v>14.05</v>
      </c>
      <c r="F924">
        <v>63495400</v>
      </c>
      <c r="G924">
        <v>14.04</v>
      </c>
      <c r="H924" t="s">
        <v>2</v>
      </c>
      <c r="I924" s="22">
        <f t="shared" si="29"/>
        <v>3.5676099202752473E-3</v>
      </c>
      <c r="J924" s="22" t="str">
        <f t="shared" si="30"/>
        <v/>
      </c>
    </row>
    <row r="925" spans="1:10">
      <c r="A925" s="1">
        <v>41554</v>
      </c>
      <c r="B925">
        <v>13.91</v>
      </c>
      <c r="C925">
        <v>13.95</v>
      </c>
      <c r="D925">
        <v>13.8</v>
      </c>
      <c r="E925">
        <v>13.81</v>
      </c>
      <c r="F925">
        <v>64822700</v>
      </c>
      <c r="G925">
        <v>13.8</v>
      </c>
      <c r="H925" t="s">
        <v>2</v>
      </c>
      <c r="I925" s="22">
        <f t="shared" si="29"/>
        <v>-1.7241806434505992E-2</v>
      </c>
      <c r="J925" s="22" t="str">
        <f t="shared" si="30"/>
        <v>lost money</v>
      </c>
    </row>
    <row r="926" spans="1:10">
      <c r="A926" s="1">
        <v>41555</v>
      </c>
      <c r="B926">
        <v>13.83</v>
      </c>
      <c r="C926">
        <v>13.9</v>
      </c>
      <c r="D926">
        <v>13.68</v>
      </c>
      <c r="E926">
        <v>13.69</v>
      </c>
      <c r="F926">
        <v>92746200</v>
      </c>
      <c r="G926">
        <v>13.68</v>
      </c>
      <c r="H926" t="s">
        <v>2</v>
      </c>
      <c r="I926" s="22">
        <f t="shared" si="29"/>
        <v>-8.7336799687546662E-3</v>
      </c>
      <c r="J926" s="22" t="str">
        <f t="shared" si="30"/>
        <v>lost money</v>
      </c>
    </row>
    <row r="927" spans="1:10">
      <c r="A927" s="1">
        <v>41556</v>
      </c>
      <c r="B927">
        <v>13.72</v>
      </c>
      <c r="C927">
        <v>13.93</v>
      </c>
      <c r="D927">
        <v>13.69</v>
      </c>
      <c r="E927">
        <v>13.84</v>
      </c>
      <c r="F927">
        <v>96012800</v>
      </c>
      <c r="G927">
        <v>13.83</v>
      </c>
      <c r="H927" t="s">
        <v>2</v>
      </c>
      <c r="I927" s="22">
        <f t="shared" si="29"/>
        <v>1.0905233482262527E-2</v>
      </c>
      <c r="J927" s="22" t="str">
        <f t="shared" si="30"/>
        <v/>
      </c>
    </row>
    <row r="928" spans="1:10">
      <c r="A928" s="1">
        <v>41557</v>
      </c>
      <c r="B928">
        <v>14.03</v>
      </c>
      <c r="C928">
        <v>14.25</v>
      </c>
      <c r="D928">
        <v>14.01</v>
      </c>
      <c r="E928">
        <v>14.23</v>
      </c>
      <c r="F928">
        <v>102305800</v>
      </c>
      <c r="G928">
        <v>14.22</v>
      </c>
      <c r="H928" t="s">
        <v>2</v>
      </c>
      <c r="I928" s="22">
        <f t="shared" si="29"/>
        <v>2.7809278698427923E-2</v>
      </c>
      <c r="J928" s="22" t="str">
        <f t="shared" si="30"/>
        <v/>
      </c>
    </row>
    <row r="929" spans="1:10">
      <c r="A929" s="1">
        <v>41558</v>
      </c>
      <c r="B929">
        <v>14.24</v>
      </c>
      <c r="C929">
        <v>14.28</v>
      </c>
      <c r="D929">
        <v>14.11</v>
      </c>
      <c r="E929">
        <v>14.19</v>
      </c>
      <c r="F929">
        <v>83422000</v>
      </c>
      <c r="G929">
        <v>14.18</v>
      </c>
      <c r="H929" t="s">
        <v>2</v>
      </c>
      <c r="I929" s="22">
        <f t="shared" si="29"/>
        <v>-2.8169032711134918E-3</v>
      </c>
      <c r="J929" s="22" t="str">
        <f t="shared" si="30"/>
        <v>lost money</v>
      </c>
    </row>
    <row r="930" spans="1:10">
      <c r="A930" s="1">
        <v>41561</v>
      </c>
      <c r="B930">
        <v>14.06</v>
      </c>
      <c r="C930">
        <v>14.39</v>
      </c>
      <c r="D930">
        <v>14.05</v>
      </c>
      <c r="E930">
        <v>14.35</v>
      </c>
      <c r="F930">
        <v>78367500</v>
      </c>
      <c r="G930">
        <v>14.34</v>
      </c>
      <c r="H930" t="s">
        <v>2</v>
      </c>
      <c r="I930" s="22">
        <f t="shared" si="29"/>
        <v>1.1220314067492842E-2</v>
      </c>
      <c r="J930" s="22" t="str">
        <f t="shared" si="30"/>
        <v/>
      </c>
    </row>
    <row r="931" spans="1:10">
      <c r="A931" s="1">
        <v>41562</v>
      </c>
      <c r="B931">
        <v>14.39</v>
      </c>
      <c r="C931">
        <v>14.43</v>
      </c>
      <c r="D931">
        <v>14.21</v>
      </c>
      <c r="E931">
        <v>14.24</v>
      </c>
      <c r="F931">
        <v>102099300</v>
      </c>
      <c r="G931">
        <v>14.23</v>
      </c>
      <c r="H931" t="s">
        <v>2</v>
      </c>
      <c r="I931" s="22">
        <f t="shared" si="29"/>
        <v>-7.7004230697132912E-3</v>
      </c>
      <c r="J931" s="22" t="str">
        <f t="shared" si="30"/>
        <v>lost money</v>
      </c>
    </row>
    <row r="932" spans="1:10">
      <c r="A932" s="1">
        <v>41563</v>
      </c>
      <c r="B932">
        <v>14.32</v>
      </c>
      <c r="C932">
        <v>14.61</v>
      </c>
      <c r="D932">
        <v>14.32</v>
      </c>
      <c r="E932">
        <v>14.56</v>
      </c>
      <c r="F932">
        <v>153481000</v>
      </c>
      <c r="G932">
        <v>14.55</v>
      </c>
      <c r="H932" t="s">
        <v>2</v>
      </c>
      <c r="I932" s="22">
        <f t="shared" si="29"/>
        <v>2.2238581515740444E-2</v>
      </c>
      <c r="J932" s="22" t="str">
        <f t="shared" si="30"/>
        <v/>
      </c>
    </row>
    <row r="933" spans="1:10">
      <c r="A933" s="1">
        <v>41564</v>
      </c>
      <c r="B933">
        <v>14.45</v>
      </c>
      <c r="C933">
        <v>14.66</v>
      </c>
      <c r="D933">
        <v>14.41</v>
      </c>
      <c r="E933">
        <v>14.66</v>
      </c>
      <c r="F933">
        <v>94090800</v>
      </c>
      <c r="G933">
        <v>14.65</v>
      </c>
      <c r="H933" t="s">
        <v>2</v>
      </c>
      <c r="I933" s="22">
        <f t="shared" si="29"/>
        <v>6.8493418455747683E-3</v>
      </c>
      <c r="J933" s="22" t="str">
        <f t="shared" si="30"/>
        <v/>
      </c>
    </row>
    <row r="934" spans="1:10">
      <c r="A934" s="1">
        <v>41565</v>
      </c>
      <c r="B934">
        <v>14.68</v>
      </c>
      <c r="C934">
        <v>14.72</v>
      </c>
      <c r="D934">
        <v>14.53</v>
      </c>
      <c r="E934">
        <v>14.63</v>
      </c>
      <c r="F934">
        <v>96986400</v>
      </c>
      <c r="G934">
        <v>14.62</v>
      </c>
      <c r="H934" t="s">
        <v>2</v>
      </c>
      <c r="I934" s="22">
        <f t="shared" si="29"/>
        <v>-2.0498811414439871E-3</v>
      </c>
      <c r="J934" s="22" t="str">
        <f t="shared" si="30"/>
        <v>lost money</v>
      </c>
    </row>
    <row r="935" spans="1:10">
      <c r="A935" s="1">
        <v>41568</v>
      </c>
      <c r="B935">
        <v>14.53</v>
      </c>
      <c r="C935">
        <v>14.59</v>
      </c>
      <c r="D935">
        <v>14.47</v>
      </c>
      <c r="E935">
        <v>14.52</v>
      </c>
      <c r="F935">
        <v>91280600</v>
      </c>
      <c r="G935">
        <v>14.51</v>
      </c>
      <c r="H935" t="s">
        <v>2</v>
      </c>
      <c r="I935" s="22">
        <f t="shared" si="29"/>
        <v>-7.5523874255359735E-3</v>
      </c>
      <c r="J935" s="22" t="str">
        <f t="shared" si="30"/>
        <v>lost money</v>
      </c>
    </row>
    <row r="936" spans="1:10">
      <c r="A936" s="1">
        <v>41569</v>
      </c>
      <c r="B936">
        <v>14.55</v>
      </c>
      <c r="C936">
        <v>14.63</v>
      </c>
      <c r="D936">
        <v>14.45</v>
      </c>
      <c r="E936">
        <v>14.52</v>
      </c>
      <c r="F936">
        <v>102836000</v>
      </c>
      <c r="G936">
        <v>14.51</v>
      </c>
      <c r="H936" t="s">
        <v>2</v>
      </c>
      <c r="I936" s="22">
        <f t="shared" si="29"/>
        <v>0</v>
      </c>
      <c r="J936" s="22" t="str">
        <f t="shared" si="30"/>
        <v>lost money</v>
      </c>
    </row>
    <row r="937" spans="1:10">
      <c r="A937" s="1">
        <v>41570</v>
      </c>
      <c r="B937">
        <v>14.45</v>
      </c>
      <c r="C937">
        <v>14.48</v>
      </c>
      <c r="D937">
        <v>14.17</v>
      </c>
      <c r="E937">
        <v>14.21</v>
      </c>
      <c r="F937">
        <v>108529700</v>
      </c>
      <c r="G937">
        <v>14.2</v>
      </c>
      <c r="H937" t="s">
        <v>2</v>
      </c>
      <c r="I937" s="22">
        <f t="shared" si="29"/>
        <v>-2.1596102288881511E-2</v>
      </c>
      <c r="J937" s="22" t="str">
        <f t="shared" si="30"/>
        <v>lost money</v>
      </c>
    </row>
    <row r="938" spans="1:10">
      <c r="A938" s="1">
        <v>41571</v>
      </c>
      <c r="B938">
        <v>14.12</v>
      </c>
      <c r="C938">
        <v>14.2</v>
      </c>
      <c r="D938">
        <v>14.07</v>
      </c>
      <c r="E938">
        <v>14.17</v>
      </c>
      <c r="F938">
        <v>92566100</v>
      </c>
      <c r="G938">
        <v>14.16</v>
      </c>
      <c r="H938" t="s">
        <v>2</v>
      </c>
      <c r="I938" s="22">
        <f t="shared" si="29"/>
        <v>-2.8208763416412296E-3</v>
      </c>
      <c r="J938" s="22" t="str">
        <f t="shared" si="30"/>
        <v/>
      </c>
    </row>
    <row r="939" spans="1:10">
      <c r="A939" s="1">
        <v>41572</v>
      </c>
      <c r="B939">
        <v>14.15</v>
      </c>
      <c r="C939">
        <v>14.27</v>
      </c>
      <c r="D939">
        <v>14.14</v>
      </c>
      <c r="E939">
        <v>14.26</v>
      </c>
      <c r="F939">
        <v>58592400</v>
      </c>
      <c r="G939">
        <v>14.25</v>
      </c>
      <c r="H939" t="s">
        <v>2</v>
      </c>
      <c r="I939" s="22">
        <f t="shared" si="29"/>
        <v>6.3358184490859238E-3</v>
      </c>
      <c r="J939" s="22" t="str">
        <f t="shared" si="30"/>
        <v/>
      </c>
    </row>
    <row r="940" spans="1:10">
      <c r="A940" s="1">
        <v>41575</v>
      </c>
      <c r="B940">
        <v>14.29</v>
      </c>
      <c r="C940">
        <v>14.32</v>
      </c>
      <c r="D940">
        <v>14.21</v>
      </c>
      <c r="E940">
        <v>14.23</v>
      </c>
      <c r="F940">
        <v>62328000</v>
      </c>
      <c r="G940">
        <v>14.22</v>
      </c>
      <c r="H940" t="s">
        <v>2</v>
      </c>
      <c r="I940" s="22">
        <f t="shared" si="29"/>
        <v>-2.1074823395646983E-3</v>
      </c>
      <c r="J940" s="22" t="str">
        <f t="shared" si="30"/>
        <v>lost money</v>
      </c>
    </row>
    <row r="941" spans="1:10">
      <c r="A941" s="1">
        <v>41576</v>
      </c>
      <c r="B941">
        <v>14.26</v>
      </c>
      <c r="C941">
        <v>14.29</v>
      </c>
      <c r="D941">
        <v>14.06</v>
      </c>
      <c r="E941">
        <v>14.15</v>
      </c>
      <c r="F941">
        <v>79563100</v>
      </c>
      <c r="G941">
        <v>14.14</v>
      </c>
      <c r="H941" t="s">
        <v>2</v>
      </c>
      <c r="I941" s="22">
        <f t="shared" si="29"/>
        <v>-5.6417639066681262E-3</v>
      </c>
      <c r="J941" s="22" t="str">
        <f t="shared" si="30"/>
        <v>lost money</v>
      </c>
    </row>
    <row r="942" spans="1:10">
      <c r="A942" s="1">
        <v>41577</v>
      </c>
      <c r="B942">
        <v>14.19</v>
      </c>
      <c r="C942">
        <v>14.29</v>
      </c>
      <c r="D942">
        <v>14.15</v>
      </c>
      <c r="E942">
        <v>14.17</v>
      </c>
      <c r="F942">
        <v>76624200</v>
      </c>
      <c r="G942">
        <v>14.16</v>
      </c>
      <c r="H942" t="s">
        <v>2</v>
      </c>
      <c r="I942" s="22">
        <f t="shared" si="29"/>
        <v>1.4134277971469427E-3</v>
      </c>
      <c r="J942" s="22" t="str">
        <f t="shared" si="30"/>
        <v>lost money</v>
      </c>
    </row>
    <row r="943" spans="1:10">
      <c r="A943" s="1">
        <v>41578</v>
      </c>
      <c r="B943">
        <v>14.14</v>
      </c>
      <c r="C943">
        <v>14.16</v>
      </c>
      <c r="D943">
        <v>13.96</v>
      </c>
      <c r="E943">
        <v>13.97</v>
      </c>
      <c r="F943">
        <v>105713400</v>
      </c>
      <c r="G943">
        <v>13.96</v>
      </c>
      <c r="H943" t="s">
        <v>2</v>
      </c>
      <c r="I943" s="22">
        <f t="shared" si="29"/>
        <v>-1.4224990931347213E-2</v>
      </c>
      <c r="J943" s="22" t="str">
        <f t="shared" si="30"/>
        <v>lost money</v>
      </c>
    </row>
    <row r="944" spans="1:10">
      <c r="A944" s="1">
        <v>41579</v>
      </c>
      <c r="B944">
        <v>14</v>
      </c>
      <c r="C944">
        <v>14.1</v>
      </c>
      <c r="D944">
        <v>13.96</v>
      </c>
      <c r="E944">
        <v>14.02</v>
      </c>
      <c r="F944">
        <v>75610400</v>
      </c>
      <c r="G944">
        <v>14.01</v>
      </c>
      <c r="H944" t="s">
        <v>2</v>
      </c>
      <c r="I944" s="22">
        <f t="shared" si="29"/>
        <v>3.5752630146890477E-3</v>
      </c>
      <c r="J944" s="22" t="str">
        <f t="shared" si="30"/>
        <v/>
      </c>
    </row>
    <row r="945" spans="1:10">
      <c r="A945" s="1">
        <v>41582</v>
      </c>
      <c r="B945">
        <v>14.09</v>
      </c>
      <c r="C945">
        <v>14.12</v>
      </c>
      <c r="D945">
        <v>14</v>
      </c>
      <c r="E945">
        <v>14.04</v>
      </c>
      <c r="F945">
        <v>53063200</v>
      </c>
      <c r="G945">
        <v>14.03</v>
      </c>
      <c r="H945" t="s">
        <v>2</v>
      </c>
      <c r="I945" s="22">
        <f t="shared" si="29"/>
        <v>1.4265337654537995E-3</v>
      </c>
      <c r="J945" s="22" t="str">
        <f t="shared" si="30"/>
        <v>lost money</v>
      </c>
    </row>
    <row r="946" spans="1:10">
      <c r="A946" s="1">
        <v>41583</v>
      </c>
      <c r="B946">
        <v>13.99</v>
      </c>
      <c r="C946">
        <v>14.02</v>
      </c>
      <c r="D946">
        <v>13.9</v>
      </c>
      <c r="E946">
        <v>13.93</v>
      </c>
      <c r="F946">
        <v>71809700</v>
      </c>
      <c r="G946">
        <v>13.92</v>
      </c>
      <c r="H946" t="s">
        <v>2</v>
      </c>
      <c r="I946" s="22">
        <f t="shared" si="29"/>
        <v>-7.871239208095987E-3</v>
      </c>
      <c r="J946" s="22" t="str">
        <f t="shared" si="30"/>
        <v>lost money</v>
      </c>
    </row>
    <row r="947" spans="1:10">
      <c r="A947" s="1">
        <v>41584</v>
      </c>
      <c r="B947">
        <v>13.99</v>
      </c>
      <c r="C947">
        <v>14.02</v>
      </c>
      <c r="D947">
        <v>13.91</v>
      </c>
      <c r="E947">
        <v>13.96</v>
      </c>
      <c r="F947">
        <v>66712900</v>
      </c>
      <c r="G947">
        <v>13.95</v>
      </c>
      <c r="H947" t="s">
        <v>2</v>
      </c>
      <c r="I947" s="22">
        <f t="shared" si="29"/>
        <v>2.1528533611010927E-3</v>
      </c>
      <c r="J947" s="22" t="str">
        <f t="shared" si="30"/>
        <v>lost money</v>
      </c>
    </row>
    <row r="948" spans="1:10">
      <c r="A948" s="1">
        <v>41585</v>
      </c>
      <c r="B948">
        <v>14</v>
      </c>
      <c r="C948">
        <v>14.03</v>
      </c>
      <c r="D948">
        <v>13.8</v>
      </c>
      <c r="E948">
        <v>13.8</v>
      </c>
      <c r="F948">
        <v>80775000</v>
      </c>
      <c r="G948">
        <v>13.79</v>
      </c>
      <c r="H948" t="s">
        <v>2</v>
      </c>
      <c r="I948" s="22">
        <f t="shared" si="29"/>
        <v>-1.1535816462164233E-2</v>
      </c>
      <c r="J948" s="22" t="str">
        <f t="shared" si="30"/>
        <v>lost money</v>
      </c>
    </row>
    <row r="949" spans="1:10">
      <c r="A949" s="1">
        <v>41586</v>
      </c>
      <c r="B949">
        <v>13.86</v>
      </c>
      <c r="C949">
        <v>14.32</v>
      </c>
      <c r="D949">
        <v>13.84</v>
      </c>
      <c r="E949">
        <v>14.32</v>
      </c>
      <c r="F949">
        <v>158227300</v>
      </c>
      <c r="G949">
        <v>14.31</v>
      </c>
      <c r="H949" t="s">
        <v>2</v>
      </c>
      <c r="I949" s="22">
        <f t="shared" si="29"/>
        <v>3.7014901763149172E-2</v>
      </c>
      <c r="J949" s="22" t="str">
        <f t="shared" si="30"/>
        <v/>
      </c>
    </row>
    <row r="950" spans="1:10">
      <c r="A950" s="1">
        <v>41589</v>
      </c>
      <c r="B950">
        <v>14.27</v>
      </c>
      <c r="C950">
        <v>14.42</v>
      </c>
      <c r="D950">
        <v>14.24</v>
      </c>
      <c r="E950">
        <v>14.4</v>
      </c>
      <c r="F950">
        <v>66357400</v>
      </c>
      <c r="G950">
        <v>14.39</v>
      </c>
      <c r="H950" t="s">
        <v>2</v>
      </c>
      <c r="I950" s="22">
        <f t="shared" si="29"/>
        <v>5.5749273309168585E-3</v>
      </c>
      <c r="J950" s="22" t="str">
        <f t="shared" si="30"/>
        <v/>
      </c>
    </row>
    <row r="951" spans="1:10">
      <c r="A951" s="1">
        <v>41590</v>
      </c>
      <c r="B951">
        <v>14.33</v>
      </c>
      <c r="C951">
        <v>14.46</v>
      </c>
      <c r="D951">
        <v>14.26</v>
      </c>
      <c r="E951">
        <v>14.32</v>
      </c>
      <c r="F951">
        <v>69498300</v>
      </c>
      <c r="G951">
        <v>14.31</v>
      </c>
      <c r="H951" t="s">
        <v>2</v>
      </c>
      <c r="I951" s="22">
        <f t="shared" si="29"/>
        <v>-5.5749273309168706E-3</v>
      </c>
      <c r="J951" s="22" t="str">
        <f t="shared" si="30"/>
        <v>lost money</v>
      </c>
    </row>
    <row r="952" spans="1:10">
      <c r="A952" s="1">
        <v>41591</v>
      </c>
      <c r="B952">
        <v>14.26</v>
      </c>
      <c r="C952">
        <v>14.64</v>
      </c>
      <c r="D952">
        <v>14.2</v>
      </c>
      <c r="E952">
        <v>14.64</v>
      </c>
      <c r="F952">
        <v>128018500</v>
      </c>
      <c r="G952">
        <v>14.63</v>
      </c>
      <c r="H952" t="s">
        <v>2</v>
      </c>
      <c r="I952" s="22">
        <f t="shared" si="29"/>
        <v>2.2115621463673421E-2</v>
      </c>
      <c r="J952" s="22" t="str">
        <f t="shared" si="30"/>
        <v/>
      </c>
    </row>
    <row r="953" spans="1:10">
      <c r="A953" s="1">
        <v>41592</v>
      </c>
      <c r="B953">
        <v>14.68</v>
      </c>
      <c r="C953">
        <v>14.82</v>
      </c>
      <c r="D953">
        <v>14.61</v>
      </c>
      <c r="E953">
        <v>14.8</v>
      </c>
      <c r="F953">
        <v>128999400</v>
      </c>
      <c r="G953">
        <v>14.79</v>
      </c>
      <c r="H953" t="s">
        <v>2</v>
      </c>
      <c r="I953" s="22">
        <f t="shared" si="29"/>
        <v>1.0877061690675389E-2</v>
      </c>
      <c r="J953" s="22" t="str">
        <f t="shared" si="30"/>
        <v/>
      </c>
    </row>
    <row r="954" spans="1:10">
      <c r="A954" s="1">
        <v>41593</v>
      </c>
      <c r="B954">
        <v>14.79</v>
      </c>
      <c r="C954">
        <v>14.95</v>
      </c>
      <c r="D954">
        <v>14.77</v>
      </c>
      <c r="E954">
        <v>14.92</v>
      </c>
      <c r="F954">
        <v>105475300</v>
      </c>
      <c r="G954">
        <v>14.91</v>
      </c>
      <c r="H954" t="s">
        <v>2</v>
      </c>
      <c r="I954" s="22">
        <f t="shared" si="29"/>
        <v>8.0808520539386742E-3</v>
      </c>
      <c r="J954" s="22" t="str">
        <f t="shared" si="30"/>
        <v/>
      </c>
    </row>
    <row r="955" spans="1:10">
      <c r="A955" s="1">
        <v>41596</v>
      </c>
      <c r="B955">
        <v>14.98</v>
      </c>
      <c r="C955">
        <v>15.17</v>
      </c>
      <c r="D955">
        <v>14.86</v>
      </c>
      <c r="E955">
        <v>14.92</v>
      </c>
      <c r="F955">
        <v>145554400</v>
      </c>
      <c r="G955">
        <v>14.91</v>
      </c>
      <c r="H955" t="s">
        <v>2</v>
      </c>
      <c r="I955" s="22">
        <f t="shared" si="29"/>
        <v>0</v>
      </c>
      <c r="J955" s="22" t="str">
        <f t="shared" si="30"/>
        <v>lost money</v>
      </c>
    </row>
    <row r="956" spans="1:10">
      <c r="A956" s="1">
        <v>41597</v>
      </c>
      <c r="B956">
        <v>14.98</v>
      </c>
      <c r="C956">
        <v>15.3</v>
      </c>
      <c r="D956">
        <v>14.97</v>
      </c>
      <c r="E956">
        <v>15.2</v>
      </c>
      <c r="F956">
        <v>161505600</v>
      </c>
      <c r="G956">
        <v>15.19</v>
      </c>
      <c r="H956" t="s">
        <v>2</v>
      </c>
      <c r="I956" s="22">
        <f t="shared" si="29"/>
        <v>1.8605187831034486E-2</v>
      </c>
      <c r="J956" s="22" t="str">
        <f t="shared" si="30"/>
        <v/>
      </c>
    </row>
    <row r="957" spans="1:10">
      <c r="A957" s="1">
        <v>41598</v>
      </c>
      <c r="B957">
        <v>15.25</v>
      </c>
      <c r="C957">
        <v>15.27</v>
      </c>
      <c r="D957">
        <v>15.08</v>
      </c>
      <c r="E957">
        <v>15.14</v>
      </c>
      <c r="F957">
        <v>107174900</v>
      </c>
      <c r="G957">
        <v>15.13</v>
      </c>
      <c r="H957" t="s">
        <v>2</v>
      </c>
      <c r="I957" s="22">
        <f t="shared" si="29"/>
        <v>-3.957788807416809E-3</v>
      </c>
      <c r="J957" s="22" t="str">
        <f t="shared" si="30"/>
        <v>lost money</v>
      </c>
    </row>
    <row r="958" spans="1:10">
      <c r="A958" s="1">
        <v>41599</v>
      </c>
      <c r="B958">
        <v>15.22</v>
      </c>
      <c r="C958">
        <v>15.6</v>
      </c>
      <c r="D958">
        <v>15.2</v>
      </c>
      <c r="E958">
        <v>15.59</v>
      </c>
      <c r="F958">
        <v>142053600</v>
      </c>
      <c r="G958">
        <v>15.58</v>
      </c>
      <c r="H958" t="s">
        <v>2</v>
      </c>
      <c r="I958" s="22">
        <f t="shared" si="29"/>
        <v>2.9308512642337699E-2</v>
      </c>
      <c r="J958" s="22" t="str">
        <f t="shared" si="30"/>
        <v/>
      </c>
    </row>
    <row r="959" spans="1:10">
      <c r="A959" s="1">
        <v>41600</v>
      </c>
      <c r="B959">
        <v>15.7</v>
      </c>
      <c r="C959">
        <v>15.79</v>
      </c>
      <c r="D959">
        <v>15.6</v>
      </c>
      <c r="E959">
        <v>15.64</v>
      </c>
      <c r="F959">
        <v>110331100</v>
      </c>
      <c r="G959">
        <v>15.63</v>
      </c>
      <c r="H959" t="s">
        <v>2</v>
      </c>
      <c r="I959" s="22">
        <f t="shared" si="29"/>
        <v>3.2041039907830622E-3</v>
      </c>
      <c r="J959" s="22" t="str">
        <f t="shared" si="30"/>
        <v>lost money</v>
      </c>
    </row>
    <row r="960" spans="1:10">
      <c r="A960" s="1">
        <v>41603</v>
      </c>
      <c r="B960">
        <v>15.67</v>
      </c>
      <c r="C960">
        <v>15.98</v>
      </c>
      <c r="D960">
        <v>15.66</v>
      </c>
      <c r="E960">
        <v>15.81</v>
      </c>
      <c r="F960">
        <v>153765500</v>
      </c>
      <c r="G960">
        <v>15.8</v>
      </c>
      <c r="H960" t="s">
        <v>2</v>
      </c>
      <c r="I960" s="22">
        <f t="shared" si="29"/>
        <v>1.0817795599535957E-2</v>
      </c>
      <c r="J960" s="22" t="str">
        <f t="shared" si="30"/>
        <v/>
      </c>
    </row>
    <row r="961" spans="1:10">
      <c r="A961" s="1">
        <v>41604</v>
      </c>
      <c r="B961">
        <v>15.84</v>
      </c>
      <c r="C961">
        <v>15.97</v>
      </c>
      <c r="D961">
        <v>15.81</v>
      </c>
      <c r="E961">
        <v>15.88</v>
      </c>
      <c r="F961">
        <v>114833700</v>
      </c>
      <c r="G961">
        <v>15.87</v>
      </c>
      <c r="H961" t="s">
        <v>2</v>
      </c>
      <c r="I961" s="22">
        <f t="shared" si="29"/>
        <v>4.4205945053963878E-3</v>
      </c>
      <c r="J961" s="22" t="str">
        <f t="shared" si="30"/>
        <v/>
      </c>
    </row>
    <row r="962" spans="1:10">
      <c r="A962" s="1">
        <v>41605</v>
      </c>
      <c r="B962">
        <v>15.87</v>
      </c>
      <c r="C962">
        <v>15.94</v>
      </c>
      <c r="D962">
        <v>15.76</v>
      </c>
      <c r="E962">
        <v>15.83</v>
      </c>
      <c r="F962">
        <v>75503600</v>
      </c>
      <c r="G962">
        <v>15.82</v>
      </c>
      <c r="H962" t="s">
        <v>2</v>
      </c>
      <c r="I962" s="22">
        <f t="shared" si="29"/>
        <v>-3.1555721988098459E-3</v>
      </c>
      <c r="J962" s="22" t="str">
        <f t="shared" si="30"/>
        <v>lost money</v>
      </c>
    </row>
    <row r="963" spans="1:10">
      <c r="A963" s="1">
        <v>41607</v>
      </c>
      <c r="B963">
        <v>15.84</v>
      </c>
      <c r="C963">
        <v>15.92</v>
      </c>
      <c r="D963">
        <v>15.79</v>
      </c>
      <c r="E963">
        <v>15.82</v>
      </c>
      <c r="F963">
        <v>44288400</v>
      </c>
      <c r="G963">
        <v>15.81</v>
      </c>
      <c r="H963" t="s">
        <v>2</v>
      </c>
      <c r="I963" s="22">
        <f t="shared" ref="I963:I1026" si="31">IF(A963=$A$2,"",LN(G963/G962))</f>
        <v>-6.3231111812713479E-4</v>
      </c>
      <c r="J963" s="22" t="str">
        <f t="shared" ref="J963:J1026" si="32">IF(B963&gt;E963,"lost money","")</f>
        <v>lost money</v>
      </c>
    </row>
    <row r="964" spans="1:10">
      <c r="A964" s="1">
        <v>40911</v>
      </c>
      <c r="B964">
        <v>27.13</v>
      </c>
      <c r="C964">
        <v>28.51</v>
      </c>
      <c r="D964">
        <v>27.13</v>
      </c>
      <c r="E964">
        <v>28.33</v>
      </c>
      <c r="F964">
        <v>58169500</v>
      </c>
      <c r="G964">
        <v>28.27</v>
      </c>
      <c r="H964" t="s">
        <v>25</v>
      </c>
      <c r="I964" s="22" t="str">
        <f t="shared" si="31"/>
        <v/>
      </c>
      <c r="J964" s="22" t="str">
        <f t="shared" si="32"/>
        <v/>
      </c>
    </row>
    <row r="965" spans="1:10">
      <c r="A965" s="1">
        <v>40912</v>
      </c>
      <c r="B965">
        <v>28.04</v>
      </c>
      <c r="C965">
        <v>28.38</v>
      </c>
      <c r="D965">
        <v>27.62</v>
      </c>
      <c r="E965">
        <v>28.17</v>
      </c>
      <c r="F965">
        <v>41455000</v>
      </c>
      <c r="G965">
        <v>28.11</v>
      </c>
      <c r="H965" t="s">
        <v>25</v>
      </c>
      <c r="I965" s="22">
        <f t="shared" si="31"/>
        <v>-5.6757867870584127E-3</v>
      </c>
      <c r="J965" s="22" t="str">
        <f t="shared" si="32"/>
        <v/>
      </c>
    </row>
    <row r="966" spans="1:10">
      <c r="A966" s="1">
        <v>40913</v>
      </c>
      <c r="B966">
        <v>27.66</v>
      </c>
      <c r="C966">
        <v>29.18</v>
      </c>
      <c r="D966">
        <v>27.47</v>
      </c>
      <c r="E966">
        <v>28.51</v>
      </c>
      <c r="F966">
        <v>66793300</v>
      </c>
      <c r="G966">
        <v>28.45</v>
      </c>
      <c r="H966" t="s">
        <v>25</v>
      </c>
      <c r="I966" s="22">
        <f t="shared" si="31"/>
        <v>1.2022775653899406E-2</v>
      </c>
      <c r="J966" s="22" t="str">
        <f t="shared" si="32"/>
        <v/>
      </c>
    </row>
    <row r="967" spans="1:10">
      <c r="A967" s="1">
        <v>40914</v>
      </c>
      <c r="B967">
        <v>28.66</v>
      </c>
      <c r="C967">
        <v>29.06</v>
      </c>
      <c r="D967">
        <v>28.01</v>
      </c>
      <c r="E967">
        <v>28.55</v>
      </c>
      <c r="F967">
        <v>48226900</v>
      </c>
      <c r="G967">
        <v>28.49</v>
      </c>
      <c r="H967" t="s">
        <v>25</v>
      </c>
      <c r="I967" s="22">
        <f t="shared" si="31"/>
        <v>1.4049879374769434E-3</v>
      </c>
      <c r="J967" s="22" t="str">
        <f t="shared" si="32"/>
        <v>lost money</v>
      </c>
    </row>
    <row r="968" spans="1:10">
      <c r="A968" s="1">
        <v>40917</v>
      </c>
      <c r="B968">
        <v>28.72</v>
      </c>
      <c r="C968">
        <v>29.38</v>
      </c>
      <c r="D968">
        <v>28.65</v>
      </c>
      <c r="E968">
        <v>29.08</v>
      </c>
      <c r="F968">
        <v>35017900</v>
      </c>
      <c r="G968">
        <v>29.02</v>
      </c>
      <c r="H968" t="s">
        <v>25</v>
      </c>
      <c r="I968" s="22">
        <f t="shared" si="31"/>
        <v>1.8432098946224867E-2</v>
      </c>
      <c r="J968" s="22" t="str">
        <f t="shared" si="32"/>
        <v/>
      </c>
    </row>
    <row r="969" spans="1:10">
      <c r="A969" s="1">
        <v>40918</v>
      </c>
      <c r="B969">
        <v>29.75</v>
      </c>
      <c r="C969">
        <v>30.14</v>
      </c>
      <c r="D969">
        <v>29.66</v>
      </c>
      <c r="E969">
        <v>30</v>
      </c>
      <c r="F969">
        <v>47710900</v>
      </c>
      <c r="G969">
        <v>29.94</v>
      </c>
      <c r="H969" t="s">
        <v>25</v>
      </c>
      <c r="I969" s="22">
        <f t="shared" si="31"/>
        <v>3.121013153544051E-2</v>
      </c>
      <c r="J969" s="22" t="str">
        <f t="shared" si="32"/>
        <v/>
      </c>
    </row>
    <row r="970" spans="1:10">
      <c r="A970" s="1">
        <v>40919</v>
      </c>
      <c r="B970">
        <v>29.77</v>
      </c>
      <c r="C970">
        <v>31.45</v>
      </c>
      <c r="D970">
        <v>29.74</v>
      </c>
      <c r="E970">
        <v>31.27</v>
      </c>
      <c r="F970">
        <v>72656000</v>
      </c>
      <c r="G970">
        <v>31.2</v>
      </c>
      <c r="H970" t="s">
        <v>25</v>
      </c>
      <c r="I970" s="22">
        <f t="shared" si="31"/>
        <v>4.1222715823954308E-2</v>
      </c>
      <c r="J970" s="22" t="str">
        <f t="shared" si="32"/>
        <v/>
      </c>
    </row>
    <row r="971" spans="1:10">
      <c r="A971" s="1">
        <v>40920</v>
      </c>
      <c r="B971">
        <v>31.85</v>
      </c>
      <c r="C971">
        <v>32.090000000000003</v>
      </c>
      <c r="D971">
        <v>30.86</v>
      </c>
      <c r="E971">
        <v>31.6</v>
      </c>
      <c r="F971">
        <v>58233900</v>
      </c>
      <c r="G971">
        <v>31.53</v>
      </c>
      <c r="H971" t="s">
        <v>25</v>
      </c>
      <c r="I971" s="22">
        <f t="shared" si="31"/>
        <v>1.0521378741532739E-2</v>
      </c>
      <c r="J971" s="22" t="str">
        <f t="shared" si="32"/>
        <v>lost money</v>
      </c>
    </row>
    <row r="972" spans="1:10">
      <c r="A972" s="1">
        <v>40921</v>
      </c>
      <c r="B972">
        <v>30.21</v>
      </c>
      <c r="C972">
        <v>31</v>
      </c>
      <c r="D972">
        <v>29.88</v>
      </c>
      <c r="E972">
        <v>30.74</v>
      </c>
      <c r="F972">
        <v>65632100</v>
      </c>
      <c r="G972">
        <v>30.68</v>
      </c>
      <c r="H972" t="s">
        <v>25</v>
      </c>
      <c r="I972" s="22">
        <f t="shared" si="31"/>
        <v>-2.7328497057914004E-2</v>
      </c>
      <c r="J972" s="22" t="str">
        <f t="shared" si="32"/>
        <v/>
      </c>
    </row>
    <row r="973" spans="1:10">
      <c r="A973" s="1">
        <v>40925</v>
      </c>
      <c r="B973">
        <v>29.18</v>
      </c>
      <c r="C973">
        <v>29.97</v>
      </c>
      <c r="D973">
        <v>28.16</v>
      </c>
      <c r="E973">
        <v>28.22</v>
      </c>
      <c r="F973">
        <v>116154600</v>
      </c>
      <c r="G973">
        <v>28.16</v>
      </c>
      <c r="H973" t="s">
        <v>25</v>
      </c>
      <c r="I973" s="22">
        <f t="shared" si="31"/>
        <v>-8.5708445209213724E-2</v>
      </c>
      <c r="J973" s="22" t="str">
        <f t="shared" si="32"/>
        <v>lost money</v>
      </c>
    </row>
    <row r="974" spans="1:10">
      <c r="A974" s="1">
        <v>40926</v>
      </c>
      <c r="B974">
        <v>28.14</v>
      </c>
      <c r="C974">
        <v>29.09</v>
      </c>
      <c r="D974">
        <v>27.66</v>
      </c>
      <c r="E974">
        <v>29.03</v>
      </c>
      <c r="F974">
        <v>77552100</v>
      </c>
      <c r="G974">
        <v>28.97</v>
      </c>
      <c r="H974" t="s">
        <v>25</v>
      </c>
      <c r="I974" s="22">
        <f t="shared" si="31"/>
        <v>2.835828049141742E-2</v>
      </c>
      <c r="J974" s="22" t="str">
        <f t="shared" si="32"/>
        <v/>
      </c>
    </row>
    <row r="975" spans="1:10">
      <c r="A975" s="1">
        <v>40927</v>
      </c>
      <c r="B975">
        <v>29.79</v>
      </c>
      <c r="C975">
        <v>30.04</v>
      </c>
      <c r="D975">
        <v>29.1</v>
      </c>
      <c r="E975">
        <v>29.33</v>
      </c>
      <c r="F975">
        <v>63977200</v>
      </c>
      <c r="G975">
        <v>29.27</v>
      </c>
      <c r="H975" t="s">
        <v>25</v>
      </c>
      <c r="I975" s="22">
        <f t="shared" si="31"/>
        <v>1.0302288922535477E-2</v>
      </c>
      <c r="J975" s="22" t="str">
        <f t="shared" si="32"/>
        <v>lost money</v>
      </c>
    </row>
    <row r="976" spans="1:10">
      <c r="A976" s="1">
        <v>40928</v>
      </c>
      <c r="B976">
        <v>29.24</v>
      </c>
      <c r="C976">
        <v>29.64</v>
      </c>
      <c r="D976">
        <v>28.67</v>
      </c>
      <c r="E976">
        <v>29.64</v>
      </c>
      <c r="F976">
        <v>55968600</v>
      </c>
      <c r="G976">
        <v>29.58</v>
      </c>
      <c r="H976" t="s">
        <v>25</v>
      </c>
      <c r="I976" s="22">
        <f t="shared" si="31"/>
        <v>1.0535356578859283E-2</v>
      </c>
      <c r="J976" s="22" t="str">
        <f t="shared" si="32"/>
        <v/>
      </c>
    </row>
    <row r="977" spans="1:10">
      <c r="A977" s="1">
        <v>40931</v>
      </c>
      <c r="B977">
        <v>29.58</v>
      </c>
      <c r="C977">
        <v>30.33</v>
      </c>
      <c r="D977">
        <v>29.41</v>
      </c>
      <c r="E977">
        <v>29.85</v>
      </c>
      <c r="F977">
        <v>39474700</v>
      </c>
      <c r="G977">
        <v>29.79</v>
      </c>
      <c r="H977" t="s">
        <v>25</v>
      </c>
      <c r="I977" s="22">
        <f t="shared" si="31"/>
        <v>7.0743094425371961E-3</v>
      </c>
      <c r="J977" s="22" t="str">
        <f t="shared" si="32"/>
        <v/>
      </c>
    </row>
    <row r="978" spans="1:10">
      <c r="A978" s="1">
        <v>40932</v>
      </c>
      <c r="B978">
        <v>29.19</v>
      </c>
      <c r="C978">
        <v>29.99</v>
      </c>
      <c r="D978">
        <v>28.9</v>
      </c>
      <c r="E978">
        <v>29.9</v>
      </c>
      <c r="F978">
        <v>37257100</v>
      </c>
      <c r="G978">
        <v>29.84</v>
      </c>
      <c r="H978" t="s">
        <v>25</v>
      </c>
      <c r="I978" s="22">
        <f t="shared" si="31"/>
        <v>1.6770086103692337E-3</v>
      </c>
      <c r="J978" s="22" t="str">
        <f t="shared" si="32"/>
        <v/>
      </c>
    </row>
    <row r="979" spans="1:10">
      <c r="A979" s="1">
        <v>40933</v>
      </c>
      <c r="B979">
        <v>29.39</v>
      </c>
      <c r="C979">
        <v>30.15</v>
      </c>
      <c r="D979">
        <v>29.32</v>
      </c>
      <c r="E979">
        <v>29.96</v>
      </c>
      <c r="F979">
        <v>39067000</v>
      </c>
      <c r="G979">
        <v>29.9</v>
      </c>
      <c r="H979" t="s">
        <v>25</v>
      </c>
      <c r="I979" s="22">
        <f t="shared" si="31"/>
        <v>2.0087050610805872E-3</v>
      </c>
      <c r="J979" s="22" t="str">
        <f t="shared" si="32"/>
        <v/>
      </c>
    </row>
    <row r="980" spans="1:10">
      <c r="A980" s="1">
        <v>40934</v>
      </c>
      <c r="B980">
        <v>30.41</v>
      </c>
      <c r="C980">
        <v>30.95</v>
      </c>
      <c r="D980">
        <v>29.54</v>
      </c>
      <c r="E980">
        <v>30.38</v>
      </c>
      <c r="F980">
        <v>50455500</v>
      </c>
      <c r="G980">
        <v>30.32</v>
      </c>
      <c r="H980" t="s">
        <v>25</v>
      </c>
      <c r="I980" s="22">
        <f t="shared" si="31"/>
        <v>1.3949080377530287E-2</v>
      </c>
      <c r="J980" s="22" t="str">
        <f t="shared" si="32"/>
        <v>lost money</v>
      </c>
    </row>
    <row r="981" spans="1:10">
      <c r="A981" s="1">
        <v>40935</v>
      </c>
      <c r="B981">
        <v>30.06</v>
      </c>
      <c r="C981">
        <v>30.91</v>
      </c>
      <c r="D981">
        <v>30.02</v>
      </c>
      <c r="E981">
        <v>30.87</v>
      </c>
      <c r="F981">
        <v>37713400</v>
      </c>
      <c r="G981">
        <v>30.8</v>
      </c>
      <c r="H981" t="s">
        <v>25</v>
      </c>
      <c r="I981" s="22">
        <f t="shared" si="31"/>
        <v>1.5707129205357877E-2</v>
      </c>
      <c r="J981" s="22" t="str">
        <f t="shared" si="32"/>
        <v/>
      </c>
    </row>
    <row r="982" spans="1:10">
      <c r="A982" s="1">
        <v>40938</v>
      </c>
      <c r="B982">
        <v>30.43</v>
      </c>
      <c r="C982">
        <v>30.53</v>
      </c>
      <c r="D982">
        <v>30.08</v>
      </c>
      <c r="E982">
        <v>30.23</v>
      </c>
      <c r="F982">
        <v>34772400</v>
      </c>
      <c r="G982">
        <v>30.17</v>
      </c>
      <c r="H982" t="s">
        <v>25</v>
      </c>
      <c r="I982" s="22">
        <f t="shared" si="31"/>
        <v>-2.0666636808558996E-2</v>
      </c>
      <c r="J982" s="22" t="str">
        <f t="shared" si="32"/>
        <v>lost money</v>
      </c>
    </row>
    <row r="983" spans="1:10">
      <c r="A983" s="1">
        <v>40939</v>
      </c>
      <c r="B983">
        <v>30.67</v>
      </c>
      <c r="C983">
        <v>30.9</v>
      </c>
      <c r="D983">
        <v>30.3</v>
      </c>
      <c r="E983">
        <v>30.72</v>
      </c>
      <c r="F983">
        <v>40151200</v>
      </c>
      <c r="G983">
        <v>30.66</v>
      </c>
      <c r="H983" t="s">
        <v>25</v>
      </c>
      <c r="I983" s="22">
        <f t="shared" si="31"/>
        <v>1.6110820272698272E-2</v>
      </c>
      <c r="J983" s="22" t="str">
        <f t="shared" si="32"/>
        <v/>
      </c>
    </row>
    <row r="984" spans="1:10">
      <c r="A984" s="1">
        <v>40940</v>
      </c>
      <c r="B984">
        <v>31.27</v>
      </c>
      <c r="C984">
        <v>32.049999999999997</v>
      </c>
      <c r="D984">
        <v>31.14</v>
      </c>
      <c r="E984">
        <v>31.6</v>
      </c>
      <c r="F984">
        <v>64155000</v>
      </c>
      <c r="G984">
        <v>31.53</v>
      </c>
      <c r="H984" t="s">
        <v>25</v>
      </c>
      <c r="I984" s="22">
        <f t="shared" si="31"/>
        <v>2.798060011330146E-2</v>
      </c>
      <c r="J984" s="22" t="str">
        <f t="shared" si="32"/>
        <v/>
      </c>
    </row>
    <row r="985" spans="1:10">
      <c r="A985" s="1">
        <v>40941</v>
      </c>
      <c r="B985">
        <v>31.65</v>
      </c>
      <c r="C985">
        <v>32.340000000000003</v>
      </c>
      <c r="D985">
        <v>31.34</v>
      </c>
      <c r="E985">
        <v>31.99</v>
      </c>
      <c r="F985">
        <v>41331200</v>
      </c>
      <c r="G985">
        <v>31.93</v>
      </c>
      <c r="H985" t="s">
        <v>25</v>
      </c>
      <c r="I985" s="22">
        <f t="shared" si="31"/>
        <v>1.2606533169721107E-2</v>
      </c>
      <c r="J985" s="22" t="str">
        <f t="shared" si="32"/>
        <v/>
      </c>
    </row>
    <row r="986" spans="1:10">
      <c r="A986" s="1">
        <v>40942</v>
      </c>
      <c r="B986">
        <v>32.85</v>
      </c>
      <c r="C986">
        <v>33.6</v>
      </c>
      <c r="D986">
        <v>32.64</v>
      </c>
      <c r="E986">
        <v>33.54</v>
      </c>
      <c r="F986">
        <v>56356700</v>
      </c>
      <c r="G986">
        <v>33.479999999999997</v>
      </c>
      <c r="H986" t="s">
        <v>25</v>
      </c>
      <c r="I986" s="22">
        <f t="shared" si="31"/>
        <v>4.7402238894583899E-2</v>
      </c>
      <c r="J986" s="22" t="str">
        <f t="shared" si="32"/>
        <v/>
      </c>
    </row>
    <row r="987" spans="1:10">
      <c r="A987" s="1">
        <v>40945</v>
      </c>
      <c r="B987">
        <v>33.18</v>
      </c>
      <c r="C987">
        <v>33.369999999999997</v>
      </c>
      <c r="D987">
        <v>32.94</v>
      </c>
      <c r="E987">
        <v>33.299999999999997</v>
      </c>
      <c r="F987">
        <v>32026000</v>
      </c>
      <c r="G987">
        <v>33.24</v>
      </c>
      <c r="H987" t="s">
        <v>25</v>
      </c>
      <c r="I987" s="22">
        <f t="shared" si="31"/>
        <v>-7.1942756340269733E-3</v>
      </c>
      <c r="J987" s="22" t="str">
        <f t="shared" si="32"/>
        <v/>
      </c>
    </row>
    <row r="988" spans="1:10">
      <c r="A988" s="1">
        <v>40946</v>
      </c>
      <c r="B988">
        <v>33.14</v>
      </c>
      <c r="C988">
        <v>33.369999999999997</v>
      </c>
      <c r="D988">
        <v>32.79</v>
      </c>
      <c r="E988">
        <v>33.07</v>
      </c>
      <c r="F988">
        <v>32391800</v>
      </c>
      <c r="G988">
        <v>33.01</v>
      </c>
      <c r="H988" t="s">
        <v>25</v>
      </c>
      <c r="I988" s="22">
        <f t="shared" si="31"/>
        <v>-6.9434241221459332E-3</v>
      </c>
      <c r="J988" s="22" t="str">
        <f t="shared" si="32"/>
        <v>lost money</v>
      </c>
    </row>
    <row r="989" spans="1:10">
      <c r="A989" s="1">
        <v>40947</v>
      </c>
      <c r="B989">
        <v>33.28</v>
      </c>
      <c r="C989">
        <v>34.28</v>
      </c>
      <c r="D989">
        <v>33.25</v>
      </c>
      <c r="E989">
        <v>34.229999999999997</v>
      </c>
      <c r="F989">
        <v>49495300</v>
      </c>
      <c r="G989">
        <v>34.17</v>
      </c>
      <c r="H989" t="s">
        <v>25</v>
      </c>
      <c r="I989" s="22">
        <f t="shared" si="31"/>
        <v>3.4537520262099025E-2</v>
      </c>
      <c r="J989" s="22" t="str">
        <f t="shared" si="32"/>
        <v/>
      </c>
    </row>
    <row r="990" spans="1:10">
      <c r="A990" s="1">
        <v>40948</v>
      </c>
      <c r="B990">
        <v>34.64</v>
      </c>
      <c r="C990">
        <v>34.74</v>
      </c>
      <c r="D990">
        <v>33.6</v>
      </c>
      <c r="E990">
        <v>33.659999999999997</v>
      </c>
      <c r="F990">
        <v>54651400</v>
      </c>
      <c r="G990">
        <v>33.6</v>
      </c>
      <c r="H990" t="s">
        <v>25</v>
      </c>
      <c r="I990" s="22">
        <f t="shared" si="31"/>
        <v>-1.6821999158041941E-2</v>
      </c>
      <c r="J990" s="22" t="str">
        <f t="shared" si="32"/>
        <v>lost money</v>
      </c>
    </row>
    <row r="991" spans="1:10">
      <c r="A991" s="1">
        <v>40949</v>
      </c>
      <c r="B991">
        <v>32.97</v>
      </c>
      <c r="C991">
        <v>33.200000000000003</v>
      </c>
      <c r="D991">
        <v>32.65</v>
      </c>
      <c r="E991">
        <v>32.93</v>
      </c>
      <c r="F991">
        <v>40688300</v>
      </c>
      <c r="G991">
        <v>32.869999999999997</v>
      </c>
      <c r="H991" t="s">
        <v>25</v>
      </c>
      <c r="I991" s="22">
        <f t="shared" si="31"/>
        <v>-2.1965679293030661E-2</v>
      </c>
      <c r="J991" s="22" t="str">
        <f t="shared" si="32"/>
        <v>lost money</v>
      </c>
    </row>
    <row r="992" spans="1:10">
      <c r="A992" s="1">
        <v>40952</v>
      </c>
      <c r="B992">
        <v>33.47</v>
      </c>
      <c r="C992">
        <v>33.590000000000003</v>
      </c>
      <c r="D992">
        <v>32.86</v>
      </c>
      <c r="E992">
        <v>32.880000000000003</v>
      </c>
      <c r="F992">
        <v>54999100</v>
      </c>
      <c r="G992">
        <v>32.82</v>
      </c>
      <c r="H992" t="s">
        <v>25</v>
      </c>
      <c r="I992" s="22">
        <f t="shared" si="31"/>
        <v>-1.5223020141830915E-3</v>
      </c>
      <c r="J992" s="22" t="str">
        <f t="shared" si="32"/>
        <v>lost money</v>
      </c>
    </row>
    <row r="993" spans="1:10">
      <c r="A993" s="1">
        <v>40953</v>
      </c>
      <c r="B993">
        <v>32.68</v>
      </c>
      <c r="C993">
        <v>32.700000000000003</v>
      </c>
      <c r="D993">
        <v>31.35</v>
      </c>
      <c r="E993">
        <v>32.08</v>
      </c>
      <c r="F993">
        <v>54665300</v>
      </c>
      <c r="G993">
        <v>32.020000000000003</v>
      </c>
      <c r="H993" t="s">
        <v>25</v>
      </c>
      <c r="I993" s="22">
        <f t="shared" si="31"/>
        <v>-2.4677378093376168E-2</v>
      </c>
      <c r="J993" s="22" t="str">
        <f t="shared" si="32"/>
        <v>lost money</v>
      </c>
    </row>
    <row r="994" spans="1:10">
      <c r="A994" s="1">
        <v>40954</v>
      </c>
      <c r="B994">
        <v>32.33</v>
      </c>
      <c r="C994">
        <v>32.700000000000003</v>
      </c>
      <c r="D994">
        <v>31.53</v>
      </c>
      <c r="E994">
        <v>31.72</v>
      </c>
      <c r="F994">
        <v>49170100</v>
      </c>
      <c r="G994">
        <v>31.66</v>
      </c>
      <c r="H994" t="s">
        <v>25</v>
      </c>
      <c r="I994" s="22">
        <f t="shared" si="31"/>
        <v>-1.1306653115702616E-2</v>
      </c>
      <c r="J994" s="22" t="str">
        <f t="shared" si="32"/>
        <v>lost money</v>
      </c>
    </row>
    <row r="995" spans="1:10">
      <c r="A995" s="1">
        <v>40955</v>
      </c>
      <c r="B995">
        <v>31.43</v>
      </c>
      <c r="C995">
        <v>32.72</v>
      </c>
      <c r="D995">
        <v>31.07</v>
      </c>
      <c r="E995">
        <v>32.71</v>
      </c>
      <c r="F995">
        <v>51924500</v>
      </c>
      <c r="G995">
        <v>32.65</v>
      </c>
      <c r="H995" t="s">
        <v>25</v>
      </c>
      <c r="I995" s="22">
        <f t="shared" si="31"/>
        <v>3.0790801269573981E-2</v>
      </c>
      <c r="J995" s="22" t="str">
        <f t="shared" si="32"/>
        <v/>
      </c>
    </row>
    <row r="996" spans="1:10">
      <c r="A996" s="1">
        <v>40956</v>
      </c>
      <c r="B996">
        <v>32.880000000000003</v>
      </c>
      <c r="C996">
        <v>33.07</v>
      </c>
      <c r="D996">
        <v>32.619999999999997</v>
      </c>
      <c r="E996">
        <v>32.92</v>
      </c>
      <c r="F996">
        <v>30968200</v>
      </c>
      <c r="G996">
        <v>32.86</v>
      </c>
      <c r="H996" t="s">
        <v>25</v>
      </c>
      <c r="I996" s="22">
        <f t="shared" si="31"/>
        <v>6.4112568866820071E-3</v>
      </c>
      <c r="J996" s="22" t="str">
        <f t="shared" si="32"/>
        <v/>
      </c>
    </row>
    <row r="997" spans="1:10">
      <c r="A997" s="1">
        <v>40960</v>
      </c>
      <c r="B997">
        <v>32.97</v>
      </c>
      <c r="C997">
        <v>33.53</v>
      </c>
      <c r="D997">
        <v>32.909999999999997</v>
      </c>
      <c r="E997">
        <v>33.36</v>
      </c>
      <c r="F997">
        <v>45487500</v>
      </c>
      <c r="G997">
        <v>33.299999999999997</v>
      </c>
      <c r="H997" t="s">
        <v>25</v>
      </c>
      <c r="I997" s="22">
        <f t="shared" si="31"/>
        <v>1.3301284377276098E-2</v>
      </c>
      <c r="J997" s="22" t="str">
        <f t="shared" si="32"/>
        <v/>
      </c>
    </row>
    <row r="998" spans="1:10">
      <c r="A998" s="1">
        <v>40961</v>
      </c>
      <c r="B998">
        <v>32.97</v>
      </c>
      <c r="C998">
        <v>33.090000000000003</v>
      </c>
      <c r="D998">
        <v>32.28</v>
      </c>
      <c r="E998">
        <v>32.36</v>
      </c>
      <c r="F998">
        <v>38321200</v>
      </c>
      <c r="G998">
        <v>32.299999999999997</v>
      </c>
      <c r="H998" t="s">
        <v>25</v>
      </c>
      <c r="I998" s="22">
        <f t="shared" si="31"/>
        <v>-3.0490166757787276E-2</v>
      </c>
      <c r="J998" s="22" t="str">
        <f t="shared" si="32"/>
        <v>lost money</v>
      </c>
    </row>
    <row r="999" spans="1:10">
      <c r="A999" s="1">
        <v>40962</v>
      </c>
      <c r="B999">
        <v>32.4</v>
      </c>
      <c r="C999">
        <v>32.92</v>
      </c>
      <c r="D999">
        <v>32.08</v>
      </c>
      <c r="E999">
        <v>32.71</v>
      </c>
      <c r="F999">
        <v>34682100</v>
      </c>
      <c r="G999">
        <v>32.65</v>
      </c>
      <c r="H999" t="s">
        <v>25</v>
      </c>
      <c r="I999" s="22">
        <f t="shared" si="31"/>
        <v>1.0777625493829336E-2</v>
      </c>
      <c r="J999" s="22" t="str">
        <f t="shared" si="32"/>
        <v/>
      </c>
    </row>
    <row r="1000" spans="1:10">
      <c r="A1000" s="1">
        <v>40963</v>
      </c>
      <c r="B1000">
        <v>32.81</v>
      </c>
      <c r="C1000">
        <v>32.979999999999997</v>
      </c>
      <c r="D1000">
        <v>32.200000000000003</v>
      </c>
      <c r="E1000">
        <v>32.35</v>
      </c>
      <c r="F1000">
        <v>26596200</v>
      </c>
      <c r="G1000">
        <v>32.29</v>
      </c>
      <c r="H1000" t="s">
        <v>25</v>
      </c>
      <c r="I1000" s="22">
        <f t="shared" si="31"/>
        <v>-1.1087270952256187E-2</v>
      </c>
      <c r="J1000" s="22" t="str">
        <f t="shared" si="32"/>
        <v>lost money</v>
      </c>
    </row>
    <row r="1001" spans="1:10">
      <c r="A1001" s="1">
        <v>40966</v>
      </c>
      <c r="B1001">
        <v>32.049999999999997</v>
      </c>
      <c r="C1001">
        <v>33.03</v>
      </c>
      <c r="D1001">
        <v>31.93</v>
      </c>
      <c r="E1001">
        <v>32.93</v>
      </c>
      <c r="F1001">
        <v>36057200</v>
      </c>
      <c r="G1001">
        <v>32.869999999999997</v>
      </c>
      <c r="H1001" t="s">
        <v>25</v>
      </c>
      <c r="I1001" s="22">
        <f t="shared" si="31"/>
        <v>1.7802802905944243E-2</v>
      </c>
      <c r="J1001" s="22" t="str">
        <f t="shared" si="32"/>
        <v/>
      </c>
    </row>
    <row r="1002" spans="1:10">
      <c r="A1002" s="1">
        <v>40967</v>
      </c>
      <c r="B1002">
        <v>32.97</v>
      </c>
      <c r="C1002">
        <v>33.61</v>
      </c>
      <c r="D1002">
        <v>32.94</v>
      </c>
      <c r="E1002">
        <v>33.479999999999997</v>
      </c>
      <c r="F1002">
        <v>38179400</v>
      </c>
      <c r="G1002">
        <v>33.42</v>
      </c>
      <c r="H1002" t="s">
        <v>25</v>
      </c>
      <c r="I1002" s="22">
        <f t="shared" si="31"/>
        <v>1.6594135491119637E-2</v>
      </c>
      <c r="J1002" s="22" t="str">
        <f t="shared" si="32"/>
        <v/>
      </c>
    </row>
    <row r="1003" spans="1:10">
      <c r="A1003" s="1">
        <v>40968</v>
      </c>
      <c r="B1003">
        <v>33.520000000000003</v>
      </c>
      <c r="C1003">
        <v>34</v>
      </c>
      <c r="D1003">
        <v>33.26</v>
      </c>
      <c r="E1003">
        <v>33.32</v>
      </c>
      <c r="F1003">
        <v>43322100</v>
      </c>
      <c r="G1003">
        <v>33.26</v>
      </c>
      <c r="H1003" t="s">
        <v>25</v>
      </c>
      <c r="I1003" s="22">
        <f t="shared" si="31"/>
        <v>-4.7990494024661443E-3</v>
      </c>
      <c r="J1003" s="22" t="str">
        <f t="shared" si="32"/>
        <v>lost money</v>
      </c>
    </row>
    <row r="1004" spans="1:10">
      <c r="A1004" s="1">
        <v>40969</v>
      </c>
      <c r="B1004">
        <v>33.520000000000003</v>
      </c>
      <c r="C1004">
        <v>34.450000000000003</v>
      </c>
      <c r="D1004">
        <v>33.520000000000003</v>
      </c>
      <c r="E1004">
        <v>34.130000000000003</v>
      </c>
      <c r="F1004">
        <v>47853800</v>
      </c>
      <c r="G1004">
        <v>34.07</v>
      </c>
      <c r="H1004" t="s">
        <v>25</v>
      </c>
      <c r="I1004" s="22">
        <f t="shared" si="31"/>
        <v>2.4061757908093551E-2</v>
      </c>
      <c r="J1004" s="22" t="str">
        <f t="shared" si="32"/>
        <v/>
      </c>
    </row>
    <row r="1005" spans="1:10">
      <c r="A1005" s="1">
        <v>40970</v>
      </c>
      <c r="B1005">
        <v>34.25</v>
      </c>
      <c r="C1005">
        <v>34.479999999999997</v>
      </c>
      <c r="D1005">
        <v>34.08</v>
      </c>
      <c r="E1005">
        <v>34.1</v>
      </c>
      <c r="F1005">
        <v>32112000</v>
      </c>
      <c r="G1005">
        <v>34.04</v>
      </c>
      <c r="H1005" t="s">
        <v>25</v>
      </c>
      <c r="I1005" s="22">
        <f t="shared" si="31"/>
        <v>-8.8092796770181656E-4</v>
      </c>
      <c r="J1005" s="22" t="str">
        <f t="shared" si="32"/>
        <v>lost money</v>
      </c>
    </row>
    <row r="1006" spans="1:10">
      <c r="A1006" s="1">
        <v>40973</v>
      </c>
      <c r="B1006">
        <v>33.94</v>
      </c>
      <c r="C1006">
        <v>34</v>
      </c>
      <c r="D1006">
        <v>33.409999999999997</v>
      </c>
      <c r="E1006">
        <v>33.68</v>
      </c>
      <c r="F1006">
        <v>33306000</v>
      </c>
      <c r="G1006">
        <v>33.619999999999997</v>
      </c>
      <c r="H1006" t="s">
        <v>25</v>
      </c>
      <c r="I1006" s="22">
        <f t="shared" si="31"/>
        <v>-1.2415175724703856E-2</v>
      </c>
      <c r="J1006" s="22" t="str">
        <f t="shared" si="32"/>
        <v>lost money</v>
      </c>
    </row>
    <row r="1007" spans="1:10">
      <c r="A1007" s="1">
        <v>40974</v>
      </c>
      <c r="B1007">
        <v>32.76</v>
      </c>
      <c r="C1007">
        <v>32.950000000000003</v>
      </c>
      <c r="D1007">
        <v>31.77</v>
      </c>
      <c r="E1007">
        <v>32.119999999999997</v>
      </c>
      <c r="F1007">
        <v>49832100</v>
      </c>
      <c r="G1007">
        <v>32.06</v>
      </c>
      <c r="H1007" t="s">
        <v>25</v>
      </c>
      <c r="I1007" s="22">
        <f t="shared" si="31"/>
        <v>-4.7511980799062527E-2</v>
      </c>
      <c r="J1007" s="22" t="str">
        <f t="shared" si="32"/>
        <v>lost money</v>
      </c>
    </row>
    <row r="1008" spans="1:10">
      <c r="A1008" s="1">
        <v>40975</v>
      </c>
      <c r="B1008">
        <v>32.479999999999997</v>
      </c>
      <c r="C1008">
        <v>33.36</v>
      </c>
      <c r="D1008">
        <v>32.32</v>
      </c>
      <c r="E1008">
        <v>33.24</v>
      </c>
      <c r="F1008">
        <v>34763400</v>
      </c>
      <c r="G1008">
        <v>33.18</v>
      </c>
      <c r="H1008" t="s">
        <v>25</v>
      </c>
      <c r="I1008" s="22">
        <f t="shared" si="31"/>
        <v>3.4338137580891402E-2</v>
      </c>
      <c r="J1008" s="22" t="str">
        <f t="shared" si="32"/>
        <v/>
      </c>
    </row>
    <row r="1009" spans="1:10">
      <c r="A1009" s="1">
        <v>40976</v>
      </c>
      <c r="B1009">
        <v>33.68</v>
      </c>
      <c r="C1009">
        <v>34.020000000000003</v>
      </c>
      <c r="D1009">
        <v>33.21</v>
      </c>
      <c r="E1009">
        <v>34</v>
      </c>
      <c r="F1009">
        <v>35951400</v>
      </c>
      <c r="G1009">
        <v>33.94</v>
      </c>
      <c r="H1009" t="s">
        <v>25</v>
      </c>
      <c r="I1009" s="22">
        <f t="shared" si="31"/>
        <v>2.2646975043781829E-2</v>
      </c>
      <c r="J1009" s="22" t="str">
        <f t="shared" si="32"/>
        <v/>
      </c>
    </row>
    <row r="1010" spans="1:10">
      <c r="A1010" s="1">
        <v>40977</v>
      </c>
      <c r="B1010">
        <v>34.31</v>
      </c>
      <c r="C1010">
        <v>34.89</v>
      </c>
      <c r="D1010">
        <v>34.090000000000003</v>
      </c>
      <c r="E1010">
        <v>34.200000000000003</v>
      </c>
      <c r="F1010">
        <v>42006000</v>
      </c>
      <c r="G1010">
        <v>34.14</v>
      </c>
      <c r="H1010" t="s">
        <v>25</v>
      </c>
      <c r="I1010" s="22">
        <f t="shared" si="31"/>
        <v>5.8754575602143035E-3</v>
      </c>
      <c r="J1010" s="22" t="str">
        <f t="shared" si="32"/>
        <v>lost money</v>
      </c>
    </row>
    <row r="1011" spans="1:10">
      <c r="A1011" s="1">
        <v>40980</v>
      </c>
      <c r="B1011">
        <v>33.92</v>
      </c>
      <c r="C1011">
        <v>34.31</v>
      </c>
      <c r="D1011">
        <v>33.54</v>
      </c>
      <c r="E1011">
        <v>34.29</v>
      </c>
      <c r="F1011">
        <v>38513800</v>
      </c>
      <c r="G1011">
        <v>34.229999999999997</v>
      </c>
      <c r="H1011" t="s">
        <v>25</v>
      </c>
      <c r="I1011" s="22">
        <f t="shared" si="31"/>
        <v>2.6327351757993345E-3</v>
      </c>
      <c r="J1011" s="22" t="str">
        <f t="shared" si="32"/>
        <v/>
      </c>
    </row>
    <row r="1012" spans="1:10">
      <c r="A1012" s="1">
        <v>40981</v>
      </c>
      <c r="B1012">
        <v>34.97</v>
      </c>
      <c r="C1012">
        <v>36.72</v>
      </c>
      <c r="D1012">
        <v>34.869999999999997</v>
      </c>
      <c r="E1012">
        <v>36.450000000000003</v>
      </c>
      <c r="F1012">
        <v>91242400</v>
      </c>
      <c r="G1012">
        <v>36.380000000000003</v>
      </c>
      <c r="H1012" t="s">
        <v>25</v>
      </c>
      <c r="I1012" s="22">
        <f t="shared" si="31"/>
        <v>6.0916720547882421E-2</v>
      </c>
      <c r="J1012" s="22" t="str">
        <f t="shared" si="32"/>
        <v/>
      </c>
    </row>
    <row r="1013" spans="1:10">
      <c r="A1013" s="1">
        <v>40982</v>
      </c>
      <c r="B1013">
        <v>35.25</v>
      </c>
      <c r="C1013">
        <v>36.1</v>
      </c>
      <c r="D1013">
        <v>34.880000000000003</v>
      </c>
      <c r="E1013">
        <v>35.21</v>
      </c>
      <c r="F1013">
        <v>113680500</v>
      </c>
      <c r="G1013">
        <v>35.15</v>
      </c>
      <c r="H1013" t="s">
        <v>25</v>
      </c>
      <c r="I1013" s="22">
        <f t="shared" si="31"/>
        <v>-3.4394554833302442E-2</v>
      </c>
      <c r="J1013" s="22" t="str">
        <f t="shared" si="32"/>
        <v>lost money</v>
      </c>
    </row>
    <row r="1014" spans="1:10">
      <c r="A1014" s="1">
        <v>40983</v>
      </c>
      <c r="B1014">
        <v>35.47</v>
      </c>
      <c r="C1014">
        <v>36.590000000000003</v>
      </c>
      <c r="D1014">
        <v>35.08</v>
      </c>
      <c r="E1014">
        <v>36.270000000000003</v>
      </c>
      <c r="F1014">
        <v>61559900</v>
      </c>
      <c r="G1014">
        <v>36.200000000000003</v>
      </c>
      <c r="H1014" t="s">
        <v>25</v>
      </c>
      <c r="I1014" s="22">
        <f t="shared" si="31"/>
        <v>2.943450057505153E-2</v>
      </c>
      <c r="J1014" s="22" t="str">
        <f t="shared" si="32"/>
        <v/>
      </c>
    </row>
    <row r="1015" spans="1:10">
      <c r="A1015" s="1">
        <v>40984</v>
      </c>
      <c r="B1015">
        <v>36.49</v>
      </c>
      <c r="C1015">
        <v>36.799999999999997</v>
      </c>
      <c r="D1015">
        <v>36.270000000000003</v>
      </c>
      <c r="E1015">
        <v>36.69</v>
      </c>
      <c r="F1015">
        <v>46028600</v>
      </c>
      <c r="G1015">
        <v>36.619999999999997</v>
      </c>
      <c r="H1015" t="s">
        <v>25</v>
      </c>
      <c r="I1015" s="22">
        <f t="shared" si="31"/>
        <v>1.1535420414639152E-2</v>
      </c>
      <c r="J1015" s="22" t="str">
        <f t="shared" si="32"/>
        <v/>
      </c>
    </row>
    <row r="1016" spans="1:10">
      <c r="A1016" s="1">
        <v>40987</v>
      </c>
      <c r="B1016">
        <v>36.78</v>
      </c>
      <c r="C1016">
        <v>38.4</v>
      </c>
      <c r="D1016">
        <v>36.54</v>
      </c>
      <c r="E1016">
        <v>37.17</v>
      </c>
      <c r="F1016">
        <v>72146000</v>
      </c>
      <c r="G1016">
        <v>37.1</v>
      </c>
      <c r="H1016" t="s">
        <v>25</v>
      </c>
      <c r="I1016" s="22">
        <f t="shared" si="31"/>
        <v>1.3022430367024836E-2</v>
      </c>
      <c r="J1016" s="22" t="str">
        <f t="shared" si="32"/>
        <v/>
      </c>
    </row>
    <row r="1017" spans="1:10">
      <c r="A1017" s="1">
        <v>40988</v>
      </c>
      <c r="B1017">
        <v>36.85</v>
      </c>
      <c r="C1017">
        <v>38.39</v>
      </c>
      <c r="D1017">
        <v>36.72</v>
      </c>
      <c r="E1017">
        <v>38.08</v>
      </c>
      <c r="F1017">
        <v>58269900</v>
      </c>
      <c r="G1017">
        <v>38.01</v>
      </c>
      <c r="H1017" t="s">
        <v>25</v>
      </c>
      <c r="I1017" s="22">
        <f t="shared" si="31"/>
        <v>2.4232313387767806E-2</v>
      </c>
      <c r="J1017" s="22" t="str">
        <f t="shared" si="32"/>
        <v/>
      </c>
    </row>
    <row r="1018" spans="1:10">
      <c r="A1018" s="1">
        <v>40989</v>
      </c>
      <c r="B1018">
        <v>38.21</v>
      </c>
      <c r="C1018">
        <v>38.32</v>
      </c>
      <c r="D1018">
        <v>37.32</v>
      </c>
      <c r="E1018">
        <v>37.799999999999997</v>
      </c>
      <c r="F1018">
        <v>46300300</v>
      </c>
      <c r="G1018">
        <v>37.729999999999997</v>
      </c>
      <c r="H1018" t="s">
        <v>25</v>
      </c>
      <c r="I1018" s="22">
        <f t="shared" si="31"/>
        <v>-7.3937490249382648E-3</v>
      </c>
      <c r="J1018" s="22" t="str">
        <f t="shared" si="32"/>
        <v>lost money</v>
      </c>
    </row>
    <row r="1019" spans="1:10">
      <c r="A1019" s="1">
        <v>40990</v>
      </c>
      <c r="B1019">
        <v>37.28</v>
      </c>
      <c r="C1019">
        <v>37.5</v>
      </c>
      <c r="D1019">
        <v>36.549999999999997</v>
      </c>
      <c r="E1019">
        <v>36.9</v>
      </c>
      <c r="F1019">
        <v>51433700</v>
      </c>
      <c r="G1019">
        <v>36.83</v>
      </c>
      <c r="H1019" t="s">
        <v>25</v>
      </c>
      <c r="I1019" s="22">
        <f t="shared" si="31"/>
        <v>-2.4142803519245148E-2</v>
      </c>
      <c r="J1019" s="22" t="str">
        <f t="shared" si="32"/>
        <v>lost money</v>
      </c>
    </row>
    <row r="1020" spans="1:10">
      <c r="A1020" s="1">
        <v>40991</v>
      </c>
      <c r="B1020">
        <v>36.76</v>
      </c>
      <c r="C1020">
        <v>37.39</v>
      </c>
      <c r="D1020">
        <v>36.659999999999997</v>
      </c>
      <c r="E1020">
        <v>37.130000000000003</v>
      </c>
      <c r="F1020">
        <v>34154700</v>
      </c>
      <c r="G1020">
        <v>37.06</v>
      </c>
      <c r="H1020" t="s">
        <v>25</v>
      </c>
      <c r="I1020" s="22">
        <f t="shared" si="31"/>
        <v>6.225490400239969E-3</v>
      </c>
      <c r="J1020" s="22" t="str">
        <f t="shared" si="32"/>
        <v/>
      </c>
    </row>
    <row r="1021" spans="1:10">
      <c r="A1021" s="1">
        <v>40994</v>
      </c>
      <c r="B1021">
        <v>37.6</v>
      </c>
      <c r="C1021">
        <v>37.69</v>
      </c>
      <c r="D1021">
        <v>37.18</v>
      </c>
      <c r="E1021">
        <v>37.43</v>
      </c>
      <c r="F1021">
        <v>27895100</v>
      </c>
      <c r="G1021">
        <v>37.36</v>
      </c>
      <c r="H1021" t="s">
        <v>25</v>
      </c>
      <c r="I1021" s="22">
        <f t="shared" si="31"/>
        <v>8.0623925034279988E-3</v>
      </c>
      <c r="J1021" s="22" t="str">
        <f t="shared" si="32"/>
        <v>lost money</v>
      </c>
    </row>
    <row r="1022" spans="1:10">
      <c r="A1022" s="1">
        <v>40995</v>
      </c>
      <c r="B1022">
        <v>37.4</v>
      </c>
      <c r="C1022">
        <v>37.72</v>
      </c>
      <c r="D1022">
        <v>36.770000000000003</v>
      </c>
      <c r="E1022">
        <v>36.78</v>
      </c>
      <c r="F1022">
        <v>31146600</v>
      </c>
      <c r="G1022">
        <v>36.71</v>
      </c>
      <c r="H1022" t="s">
        <v>25</v>
      </c>
      <c r="I1022" s="22">
        <f t="shared" si="31"/>
        <v>-1.755141585189891E-2</v>
      </c>
      <c r="J1022" s="22" t="str">
        <f t="shared" si="32"/>
        <v>lost money</v>
      </c>
    </row>
    <row r="1023" spans="1:10">
      <c r="A1023" s="1">
        <v>40996</v>
      </c>
      <c r="B1023">
        <v>36.71</v>
      </c>
      <c r="C1023">
        <v>37.24</v>
      </c>
      <c r="D1023">
        <v>36.520000000000003</v>
      </c>
      <c r="E1023">
        <v>37.06</v>
      </c>
      <c r="F1023">
        <v>36305600</v>
      </c>
      <c r="G1023">
        <v>36.99</v>
      </c>
      <c r="H1023" t="s">
        <v>25</v>
      </c>
      <c r="I1023" s="22">
        <f t="shared" si="31"/>
        <v>7.5984083356197248E-3</v>
      </c>
      <c r="J1023" s="22" t="str">
        <f t="shared" si="32"/>
        <v/>
      </c>
    </row>
    <row r="1024" spans="1:10">
      <c r="A1024" s="1">
        <v>40997</v>
      </c>
      <c r="B1024">
        <v>36.630000000000003</v>
      </c>
      <c r="C1024">
        <v>36.78</v>
      </c>
      <c r="D1024">
        <v>35.93</v>
      </c>
      <c r="E1024">
        <v>36.51</v>
      </c>
      <c r="F1024">
        <v>32684100</v>
      </c>
      <c r="G1024">
        <v>36.44</v>
      </c>
      <c r="H1024" t="s">
        <v>25</v>
      </c>
      <c r="I1024" s="22">
        <f t="shared" si="31"/>
        <v>-1.4980533452605194E-2</v>
      </c>
      <c r="J1024" s="22" t="str">
        <f t="shared" si="32"/>
        <v>lost money</v>
      </c>
    </row>
    <row r="1025" spans="1:10">
      <c r="A1025" s="1">
        <v>40998</v>
      </c>
      <c r="B1025">
        <v>36.700000000000003</v>
      </c>
      <c r="C1025">
        <v>36.799999999999997</v>
      </c>
      <c r="D1025">
        <v>36.25</v>
      </c>
      <c r="E1025">
        <v>36.549999999999997</v>
      </c>
      <c r="F1025">
        <v>23966200</v>
      </c>
      <c r="G1025">
        <v>36.479999999999997</v>
      </c>
      <c r="H1025" t="s">
        <v>25</v>
      </c>
      <c r="I1025" s="22">
        <f t="shared" si="31"/>
        <v>1.097092814373149E-3</v>
      </c>
      <c r="J1025" s="22" t="str">
        <f t="shared" si="32"/>
        <v>lost money</v>
      </c>
    </row>
    <row r="1026" spans="1:10">
      <c r="A1026" s="1">
        <v>41001</v>
      </c>
      <c r="B1026">
        <v>36.4</v>
      </c>
      <c r="C1026">
        <v>37.14</v>
      </c>
      <c r="D1026">
        <v>36.159999999999997</v>
      </c>
      <c r="E1026">
        <v>36.869999999999997</v>
      </c>
      <c r="F1026">
        <v>23825400</v>
      </c>
      <c r="G1026">
        <v>36.799999999999997</v>
      </c>
      <c r="H1026" t="s">
        <v>25</v>
      </c>
      <c r="I1026" s="22">
        <f t="shared" si="31"/>
        <v>8.7336799687546315E-3</v>
      </c>
      <c r="J1026" s="22" t="str">
        <f t="shared" si="32"/>
        <v/>
      </c>
    </row>
    <row r="1027" spans="1:10">
      <c r="A1027" s="1">
        <v>41002</v>
      </c>
      <c r="B1027">
        <v>36.700000000000003</v>
      </c>
      <c r="C1027">
        <v>36.840000000000003</v>
      </c>
      <c r="D1027">
        <v>36</v>
      </c>
      <c r="E1027">
        <v>36.369999999999997</v>
      </c>
      <c r="F1027">
        <v>30799800</v>
      </c>
      <c r="G1027">
        <v>36.299999999999997</v>
      </c>
      <c r="H1027" t="s">
        <v>25</v>
      </c>
      <c r="I1027" s="22">
        <f t="shared" ref="I1027:I1090" si="33">IF(A1027=$A$2,"",LN(G1027/G1026))</f>
        <v>-1.3680103904080154E-2</v>
      </c>
      <c r="J1027" s="22" t="str">
        <f t="shared" ref="J1027:J1090" si="34">IF(B1027&gt;E1027,"lost money","")</f>
        <v>lost money</v>
      </c>
    </row>
    <row r="1028" spans="1:10">
      <c r="A1028" s="1">
        <v>41003</v>
      </c>
      <c r="B1028">
        <v>35.880000000000003</v>
      </c>
      <c r="C1028">
        <v>35.89</v>
      </c>
      <c r="D1028">
        <v>34.82</v>
      </c>
      <c r="E1028">
        <v>35.04</v>
      </c>
      <c r="F1028">
        <v>45697800</v>
      </c>
      <c r="G1028">
        <v>34.979999999999997</v>
      </c>
      <c r="H1028" t="s">
        <v>25</v>
      </c>
      <c r="I1028" s="22">
        <f t="shared" si="33"/>
        <v>-3.7041271680349097E-2</v>
      </c>
      <c r="J1028" s="22" t="str">
        <f t="shared" si="34"/>
        <v>lost money</v>
      </c>
    </row>
    <row r="1029" spans="1:10">
      <c r="A1029" s="1">
        <v>41004</v>
      </c>
      <c r="B1029">
        <v>34.729999999999997</v>
      </c>
      <c r="C1029">
        <v>35.28</v>
      </c>
      <c r="D1029">
        <v>34.53</v>
      </c>
      <c r="E1029">
        <v>34.79</v>
      </c>
      <c r="F1029">
        <v>31465700</v>
      </c>
      <c r="G1029">
        <v>34.729999999999997</v>
      </c>
      <c r="H1029" t="s">
        <v>25</v>
      </c>
      <c r="I1029" s="22">
        <f t="shared" si="33"/>
        <v>-7.172602834473317E-3</v>
      </c>
      <c r="J1029" s="22" t="str">
        <f t="shared" si="34"/>
        <v/>
      </c>
    </row>
    <row r="1030" spans="1:10">
      <c r="A1030" s="1">
        <v>41008</v>
      </c>
      <c r="B1030">
        <v>34</v>
      </c>
      <c r="C1030">
        <v>34.270000000000003</v>
      </c>
      <c r="D1030">
        <v>33.58</v>
      </c>
      <c r="E1030">
        <v>33.97</v>
      </c>
      <c r="F1030">
        <v>34335400</v>
      </c>
      <c r="G1030">
        <v>33.909999999999997</v>
      </c>
      <c r="H1030" t="s">
        <v>25</v>
      </c>
      <c r="I1030" s="22">
        <f t="shared" si="33"/>
        <v>-2.3893910618435387E-2</v>
      </c>
      <c r="J1030" s="22" t="str">
        <f t="shared" si="34"/>
        <v>lost money</v>
      </c>
    </row>
    <row r="1031" spans="1:10">
      <c r="A1031" s="1">
        <v>41009</v>
      </c>
      <c r="B1031">
        <v>33.950000000000003</v>
      </c>
      <c r="C1031">
        <v>34.4</v>
      </c>
      <c r="D1031">
        <v>32.700000000000003</v>
      </c>
      <c r="E1031">
        <v>32.86</v>
      </c>
      <c r="F1031">
        <v>58489800</v>
      </c>
      <c r="G1031">
        <v>32.799999999999997</v>
      </c>
      <c r="H1031" t="s">
        <v>25</v>
      </c>
      <c r="I1031" s="22">
        <f t="shared" si="33"/>
        <v>-3.3281440747449154E-2</v>
      </c>
      <c r="J1031" s="22" t="str">
        <f t="shared" si="34"/>
        <v>lost money</v>
      </c>
    </row>
    <row r="1032" spans="1:10">
      <c r="A1032" s="1">
        <v>41010</v>
      </c>
      <c r="B1032">
        <v>33.590000000000003</v>
      </c>
      <c r="C1032">
        <v>33.99</v>
      </c>
      <c r="D1032">
        <v>33.28</v>
      </c>
      <c r="E1032">
        <v>33.590000000000003</v>
      </c>
      <c r="F1032">
        <v>30680500</v>
      </c>
      <c r="G1032">
        <v>33.53</v>
      </c>
      <c r="H1032" t="s">
        <v>25</v>
      </c>
      <c r="I1032" s="22">
        <f t="shared" si="33"/>
        <v>2.2012045088039306E-2</v>
      </c>
      <c r="J1032" s="22" t="str">
        <f t="shared" si="34"/>
        <v/>
      </c>
    </row>
    <row r="1033" spans="1:10">
      <c r="A1033" s="1">
        <v>41011</v>
      </c>
      <c r="B1033">
        <v>33.799999999999997</v>
      </c>
      <c r="C1033">
        <v>34.869999999999997</v>
      </c>
      <c r="D1033">
        <v>33.61</v>
      </c>
      <c r="E1033">
        <v>34.630000000000003</v>
      </c>
      <c r="F1033">
        <v>36908700</v>
      </c>
      <c r="G1033">
        <v>34.57</v>
      </c>
      <c r="H1033" t="s">
        <v>25</v>
      </c>
      <c r="I1033" s="22">
        <f t="shared" si="33"/>
        <v>3.0545693455395907E-2</v>
      </c>
      <c r="J1033" s="22" t="str">
        <f t="shared" si="34"/>
        <v/>
      </c>
    </row>
    <row r="1034" spans="1:10">
      <c r="A1034" s="1">
        <v>41012</v>
      </c>
      <c r="B1034">
        <v>34.619999999999997</v>
      </c>
      <c r="C1034">
        <v>34.659999999999997</v>
      </c>
      <c r="D1034">
        <v>33.159999999999997</v>
      </c>
      <c r="E1034">
        <v>33.409999999999997</v>
      </c>
      <c r="F1034">
        <v>41220900</v>
      </c>
      <c r="G1034">
        <v>33.35</v>
      </c>
      <c r="H1034" t="s">
        <v>25</v>
      </c>
      <c r="I1034" s="22">
        <f t="shared" si="33"/>
        <v>-3.5928481571900386E-2</v>
      </c>
      <c r="J1034" s="22" t="str">
        <f t="shared" si="34"/>
        <v>lost money</v>
      </c>
    </row>
    <row r="1035" spans="1:10">
      <c r="A1035" s="1">
        <v>41015</v>
      </c>
      <c r="B1035">
        <v>34.17</v>
      </c>
      <c r="C1035">
        <v>34.700000000000003</v>
      </c>
      <c r="D1035">
        <v>33.76</v>
      </c>
      <c r="E1035">
        <v>34</v>
      </c>
      <c r="F1035">
        <v>59668700</v>
      </c>
      <c r="G1035">
        <v>33.94</v>
      </c>
      <c r="H1035" t="s">
        <v>25</v>
      </c>
      <c r="I1035" s="22">
        <f t="shared" si="33"/>
        <v>1.7536487444447385E-2</v>
      </c>
      <c r="J1035" s="22" t="str">
        <f t="shared" si="34"/>
        <v>lost money</v>
      </c>
    </row>
    <row r="1036" spans="1:10">
      <c r="A1036" s="1">
        <v>41016</v>
      </c>
      <c r="B1036">
        <v>34.82</v>
      </c>
      <c r="C1036">
        <v>35.409999999999997</v>
      </c>
      <c r="D1036">
        <v>34.43</v>
      </c>
      <c r="E1036">
        <v>35.08</v>
      </c>
      <c r="F1036">
        <v>52307900</v>
      </c>
      <c r="G1036">
        <v>35.020000000000003</v>
      </c>
      <c r="H1036" t="s">
        <v>25</v>
      </c>
      <c r="I1036" s="22">
        <f t="shared" si="33"/>
        <v>3.1325067051625695E-2</v>
      </c>
      <c r="J1036" s="22" t="str">
        <f t="shared" si="34"/>
        <v/>
      </c>
    </row>
    <row r="1037" spans="1:10">
      <c r="A1037" s="1">
        <v>41017</v>
      </c>
      <c r="B1037">
        <v>34.89</v>
      </c>
      <c r="C1037">
        <v>35.99</v>
      </c>
      <c r="D1037">
        <v>34.89</v>
      </c>
      <c r="E1037">
        <v>35.08</v>
      </c>
      <c r="F1037">
        <v>41510700</v>
      </c>
      <c r="G1037">
        <v>35.020000000000003</v>
      </c>
      <c r="H1037" t="s">
        <v>25</v>
      </c>
      <c r="I1037" s="22">
        <f t="shared" si="33"/>
        <v>0</v>
      </c>
      <c r="J1037" s="22" t="str">
        <f t="shared" si="34"/>
        <v/>
      </c>
    </row>
    <row r="1038" spans="1:10">
      <c r="A1038" s="1">
        <v>41018</v>
      </c>
      <c r="B1038">
        <v>35.44</v>
      </c>
      <c r="C1038">
        <v>35.5</v>
      </c>
      <c r="D1038">
        <v>34.46</v>
      </c>
      <c r="E1038">
        <v>34.85</v>
      </c>
      <c r="F1038">
        <v>40303900</v>
      </c>
      <c r="G1038">
        <v>34.79</v>
      </c>
      <c r="H1038" t="s">
        <v>25</v>
      </c>
      <c r="I1038" s="22">
        <f t="shared" si="33"/>
        <v>-6.5893376938552439E-3</v>
      </c>
      <c r="J1038" s="22" t="str">
        <f t="shared" si="34"/>
        <v>lost money</v>
      </c>
    </row>
    <row r="1039" spans="1:10">
      <c r="A1039" s="1">
        <v>41019</v>
      </c>
      <c r="B1039">
        <v>34.96</v>
      </c>
      <c r="C1039">
        <v>35.03</v>
      </c>
      <c r="D1039">
        <v>33.799999999999997</v>
      </c>
      <c r="E1039">
        <v>33.89</v>
      </c>
      <c r="F1039">
        <v>37359200</v>
      </c>
      <c r="G1039">
        <v>33.83</v>
      </c>
      <c r="H1039" t="s">
        <v>25</v>
      </c>
      <c r="I1039" s="22">
        <f t="shared" si="33"/>
        <v>-2.7982006371233627E-2</v>
      </c>
      <c r="J1039" s="22" t="str">
        <f t="shared" si="34"/>
        <v>lost money</v>
      </c>
    </row>
    <row r="1040" spans="1:10">
      <c r="A1040" s="1">
        <v>41022</v>
      </c>
      <c r="B1040">
        <v>32.840000000000003</v>
      </c>
      <c r="C1040">
        <v>33.31</v>
      </c>
      <c r="D1040">
        <v>32.46</v>
      </c>
      <c r="E1040">
        <v>33.25</v>
      </c>
      <c r="F1040">
        <v>39887900</v>
      </c>
      <c r="G1040">
        <v>33.19</v>
      </c>
      <c r="H1040" t="s">
        <v>25</v>
      </c>
      <c r="I1040" s="22">
        <f t="shared" si="33"/>
        <v>-1.9099357060733839E-2</v>
      </c>
      <c r="J1040" s="22" t="str">
        <f t="shared" si="34"/>
        <v/>
      </c>
    </row>
    <row r="1041" spans="1:10">
      <c r="A1041" s="1">
        <v>41023</v>
      </c>
      <c r="B1041">
        <v>33.369999999999997</v>
      </c>
      <c r="C1041">
        <v>33.909999999999997</v>
      </c>
      <c r="D1041">
        <v>33</v>
      </c>
      <c r="E1041">
        <v>33.42</v>
      </c>
      <c r="F1041">
        <v>30282900</v>
      </c>
      <c r="G1041">
        <v>33.36</v>
      </c>
      <c r="H1041" t="s">
        <v>25</v>
      </c>
      <c r="I1041" s="22">
        <f t="shared" si="33"/>
        <v>5.1089517586628509E-3</v>
      </c>
      <c r="J1041" s="22" t="str">
        <f t="shared" si="34"/>
        <v/>
      </c>
    </row>
    <row r="1042" spans="1:10">
      <c r="A1042" s="1">
        <v>41024</v>
      </c>
      <c r="B1042">
        <v>34.04</v>
      </c>
      <c r="C1042">
        <v>34.08</v>
      </c>
      <c r="D1042">
        <v>33.21</v>
      </c>
      <c r="E1042">
        <v>33.68</v>
      </c>
      <c r="F1042">
        <v>32379600</v>
      </c>
      <c r="G1042">
        <v>33.619999999999997</v>
      </c>
      <c r="H1042" t="s">
        <v>25</v>
      </c>
      <c r="I1042" s="22">
        <f t="shared" si="33"/>
        <v>7.7635504899234925E-3</v>
      </c>
      <c r="J1042" s="22" t="str">
        <f t="shared" si="34"/>
        <v>lost money</v>
      </c>
    </row>
    <row r="1043" spans="1:10">
      <c r="A1043" s="1">
        <v>41025</v>
      </c>
      <c r="B1043">
        <v>33.42</v>
      </c>
      <c r="C1043">
        <v>34.14</v>
      </c>
      <c r="D1043">
        <v>33.35</v>
      </c>
      <c r="E1043">
        <v>33.880000000000003</v>
      </c>
      <c r="F1043">
        <v>28828900</v>
      </c>
      <c r="G1043">
        <v>33.82</v>
      </c>
      <c r="H1043" t="s">
        <v>25</v>
      </c>
      <c r="I1043" s="22">
        <f t="shared" si="33"/>
        <v>5.9312154899647069E-3</v>
      </c>
      <c r="J1043" s="22" t="str">
        <f t="shared" si="34"/>
        <v/>
      </c>
    </row>
    <row r="1044" spans="1:10">
      <c r="A1044" s="1">
        <v>41026</v>
      </c>
      <c r="B1044">
        <v>34.04</v>
      </c>
      <c r="C1044">
        <v>34.090000000000003</v>
      </c>
      <c r="D1044">
        <v>33.39</v>
      </c>
      <c r="E1044">
        <v>33.5</v>
      </c>
      <c r="F1044">
        <v>28829900</v>
      </c>
      <c r="G1044">
        <v>33.44</v>
      </c>
      <c r="H1044" t="s">
        <v>25</v>
      </c>
      <c r="I1044" s="22">
        <f t="shared" si="33"/>
        <v>-1.1299555253933394E-2</v>
      </c>
      <c r="J1044" s="22" t="str">
        <f t="shared" si="34"/>
        <v>lost money</v>
      </c>
    </row>
    <row r="1045" spans="1:10">
      <c r="A1045" s="1">
        <v>41029</v>
      </c>
      <c r="B1045">
        <v>33.35</v>
      </c>
      <c r="C1045">
        <v>33.409999999999997</v>
      </c>
      <c r="D1045">
        <v>32.729999999999997</v>
      </c>
      <c r="E1045">
        <v>33.04</v>
      </c>
      <c r="F1045">
        <v>26263300</v>
      </c>
      <c r="G1045">
        <v>32.979999999999997</v>
      </c>
      <c r="H1045" t="s">
        <v>25</v>
      </c>
      <c r="I1045" s="22">
        <f t="shared" si="33"/>
        <v>-1.3851471085048089E-2</v>
      </c>
      <c r="J1045" s="22" t="str">
        <f t="shared" si="34"/>
        <v>lost money</v>
      </c>
    </row>
    <row r="1046" spans="1:10">
      <c r="A1046" s="1">
        <v>41030</v>
      </c>
      <c r="B1046">
        <v>32.92</v>
      </c>
      <c r="C1046">
        <v>33.909999999999997</v>
      </c>
      <c r="D1046">
        <v>32.75</v>
      </c>
      <c r="E1046">
        <v>33.6</v>
      </c>
      <c r="F1046">
        <v>35450300</v>
      </c>
      <c r="G1046">
        <v>33.54</v>
      </c>
      <c r="H1046" t="s">
        <v>25</v>
      </c>
      <c r="I1046" s="22">
        <f t="shared" si="33"/>
        <v>1.6837439263610109E-2</v>
      </c>
      <c r="J1046" s="22" t="str">
        <f t="shared" si="34"/>
        <v/>
      </c>
    </row>
    <row r="1047" spans="1:10">
      <c r="A1047" s="1">
        <v>41031</v>
      </c>
      <c r="B1047">
        <v>33.29</v>
      </c>
      <c r="C1047">
        <v>33.33</v>
      </c>
      <c r="D1047">
        <v>32.659999999999997</v>
      </c>
      <c r="E1047">
        <v>32.700000000000003</v>
      </c>
      <c r="F1047">
        <v>32805100</v>
      </c>
      <c r="G1047">
        <v>32.64</v>
      </c>
      <c r="H1047" t="s">
        <v>25</v>
      </c>
      <c r="I1047" s="22">
        <f t="shared" si="33"/>
        <v>-2.7200226299156485E-2</v>
      </c>
      <c r="J1047" s="22" t="str">
        <f t="shared" si="34"/>
        <v>lost money</v>
      </c>
    </row>
    <row r="1048" spans="1:10">
      <c r="A1048" s="1">
        <v>41032</v>
      </c>
      <c r="B1048">
        <v>32.78</v>
      </c>
      <c r="C1048">
        <v>32.909999999999997</v>
      </c>
      <c r="D1048">
        <v>32.21</v>
      </c>
      <c r="E1048">
        <v>32.479999999999997</v>
      </c>
      <c r="F1048">
        <v>31713200</v>
      </c>
      <c r="G1048">
        <v>32.43</v>
      </c>
      <c r="H1048" t="s">
        <v>25</v>
      </c>
      <c r="I1048" s="22">
        <f t="shared" si="33"/>
        <v>-6.454609776679692E-3</v>
      </c>
      <c r="J1048" s="22" t="str">
        <f t="shared" si="34"/>
        <v>lost money</v>
      </c>
    </row>
    <row r="1049" spans="1:10">
      <c r="A1049" s="1">
        <v>41033</v>
      </c>
      <c r="B1049">
        <v>32.340000000000003</v>
      </c>
      <c r="C1049">
        <v>32.549999999999997</v>
      </c>
      <c r="D1049">
        <v>31.57</v>
      </c>
      <c r="E1049">
        <v>31.6</v>
      </c>
      <c r="F1049">
        <v>34461400</v>
      </c>
      <c r="G1049">
        <v>31.55</v>
      </c>
      <c r="H1049" t="s">
        <v>25</v>
      </c>
      <c r="I1049" s="22">
        <f t="shared" si="33"/>
        <v>-2.7510331332004413E-2</v>
      </c>
      <c r="J1049" s="22" t="str">
        <f t="shared" si="34"/>
        <v>lost money</v>
      </c>
    </row>
    <row r="1050" spans="1:10">
      <c r="A1050" s="1">
        <v>41036</v>
      </c>
      <c r="B1050">
        <v>31.14</v>
      </c>
      <c r="C1050">
        <v>31.98</v>
      </c>
      <c r="D1050">
        <v>31.06</v>
      </c>
      <c r="E1050">
        <v>31.67</v>
      </c>
      <c r="F1050">
        <v>36302400</v>
      </c>
      <c r="G1050">
        <v>31.62</v>
      </c>
      <c r="H1050" t="s">
        <v>25</v>
      </c>
      <c r="I1050" s="22">
        <f t="shared" si="33"/>
        <v>2.2162427941039096E-3</v>
      </c>
      <c r="J1050" s="22" t="str">
        <f t="shared" si="34"/>
        <v/>
      </c>
    </row>
    <row r="1051" spans="1:10">
      <c r="A1051" s="1">
        <v>41037</v>
      </c>
      <c r="B1051">
        <v>31.08</v>
      </c>
      <c r="C1051">
        <v>31.61</v>
      </c>
      <c r="D1051">
        <v>31</v>
      </c>
      <c r="E1051">
        <v>31.32</v>
      </c>
      <c r="F1051">
        <v>27727300</v>
      </c>
      <c r="G1051">
        <v>31.27</v>
      </c>
      <c r="H1051" t="s">
        <v>25</v>
      </c>
      <c r="I1051" s="22">
        <f t="shared" si="33"/>
        <v>-1.1130660311576078E-2</v>
      </c>
      <c r="J1051" s="22" t="str">
        <f t="shared" si="34"/>
        <v/>
      </c>
    </row>
    <row r="1052" spans="1:10">
      <c r="A1052" s="1">
        <v>41038</v>
      </c>
      <c r="B1052">
        <v>30.88</v>
      </c>
      <c r="C1052">
        <v>31</v>
      </c>
      <c r="D1052">
        <v>30.2</v>
      </c>
      <c r="E1052">
        <v>30.45</v>
      </c>
      <c r="F1052">
        <v>47974900</v>
      </c>
      <c r="G1052">
        <v>30.4</v>
      </c>
      <c r="H1052" t="s">
        <v>25</v>
      </c>
      <c r="I1052" s="22">
        <f t="shared" si="33"/>
        <v>-2.8216563057573942E-2</v>
      </c>
      <c r="J1052" s="22" t="str">
        <f t="shared" si="34"/>
        <v>lost money</v>
      </c>
    </row>
    <row r="1053" spans="1:10">
      <c r="A1053" s="1">
        <v>41039</v>
      </c>
      <c r="B1053">
        <v>31.1</v>
      </c>
      <c r="C1053">
        <v>31.45</v>
      </c>
      <c r="D1053">
        <v>30.46</v>
      </c>
      <c r="E1053">
        <v>30.65</v>
      </c>
      <c r="F1053">
        <v>36923000</v>
      </c>
      <c r="G1053">
        <v>30.6</v>
      </c>
      <c r="H1053" t="s">
        <v>25</v>
      </c>
      <c r="I1053" s="22">
        <f t="shared" si="33"/>
        <v>6.5574005461592607E-3</v>
      </c>
      <c r="J1053" s="22" t="str">
        <f t="shared" si="34"/>
        <v>lost money</v>
      </c>
    </row>
    <row r="1054" spans="1:10">
      <c r="A1054" s="1">
        <v>41040</v>
      </c>
      <c r="B1054">
        <v>29.36</v>
      </c>
      <c r="C1054">
        <v>29.97</v>
      </c>
      <c r="D1054">
        <v>29.12</v>
      </c>
      <c r="E1054">
        <v>29.35</v>
      </c>
      <c r="F1054">
        <v>59709500</v>
      </c>
      <c r="G1054">
        <v>29.31</v>
      </c>
      <c r="H1054" t="s">
        <v>25</v>
      </c>
      <c r="I1054" s="22">
        <f t="shared" si="33"/>
        <v>-4.3071254235534102E-2</v>
      </c>
      <c r="J1054" s="22" t="str">
        <f t="shared" si="34"/>
        <v>lost money</v>
      </c>
    </row>
    <row r="1055" spans="1:10">
      <c r="A1055" s="1">
        <v>41043</v>
      </c>
      <c r="B1055">
        <v>28.89</v>
      </c>
      <c r="C1055">
        <v>29.17</v>
      </c>
      <c r="D1055">
        <v>28.06</v>
      </c>
      <c r="E1055">
        <v>28.14</v>
      </c>
      <c r="F1055">
        <v>51814200</v>
      </c>
      <c r="G1055">
        <v>28.1</v>
      </c>
      <c r="H1055" t="s">
        <v>25</v>
      </c>
      <c r="I1055" s="22">
        <f t="shared" si="33"/>
        <v>-4.2159178383100869E-2</v>
      </c>
      <c r="J1055" s="22" t="str">
        <f t="shared" si="34"/>
        <v>lost money</v>
      </c>
    </row>
    <row r="1056" spans="1:10">
      <c r="A1056" s="1">
        <v>41044</v>
      </c>
      <c r="B1056">
        <v>28.38</v>
      </c>
      <c r="C1056">
        <v>28.6</v>
      </c>
      <c r="D1056">
        <v>27.65</v>
      </c>
      <c r="E1056">
        <v>27.79</v>
      </c>
      <c r="F1056">
        <v>60977400</v>
      </c>
      <c r="G1056">
        <v>27.75</v>
      </c>
      <c r="H1056" t="s">
        <v>25</v>
      </c>
      <c r="I1056" s="22">
        <f t="shared" si="33"/>
        <v>-1.253373614725658E-2</v>
      </c>
      <c r="J1056" s="22" t="str">
        <f t="shared" si="34"/>
        <v>lost money</v>
      </c>
    </row>
    <row r="1057" spans="1:10">
      <c r="A1057" s="1">
        <v>41045</v>
      </c>
      <c r="B1057">
        <v>28.1</v>
      </c>
      <c r="C1057">
        <v>28.44</v>
      </c>
      <c r="D1057">
        <v>26.91</v>
      </c>
      <c r="E1057">
        <v>26.92</v>
      </c>
      <c r="F1057">
        <v>54396100</v>
      </c>
      <c r="G1057">
        <v>26.88</v>
      </c>
      <c r="H1057" t="s">
        <v>25</v>
      </c>
      <c r="I1057" s="22">
        <f t="shared" si="33"/>
        <v>-3.1853324537494739E-2</v>
      </c>
      <c r="J1057" s="22" t="str">
        <f t="shared" si="34"/>
        <v>lost money</v>
      </c>
    </row>
    <row r="1058" spans="1:10">
      <c r="A1058" s="1">
        <v>41046</v>
      </c>
      <c r="B1058">
        <v>26.97</v>
      </c>
      <c r="C1058">
        <v>27.4</v>
      </c>
      <c r="D1058">
        <v>26.33</v>
      </c>
      <c r="E1058">
        <v>26.41</v>
      </c>
      <c r="F1058">
        <v>68419000</v>
      </c>
      <c r="G1058">
        <v>26.37</v>
      </c>
      <c r="H1058" t="s">
        <v>25</v>
      </c>
      <c r="I1058" s="22">
        <f t="shared" si="33"/>
        <v>-1.9155515289753376E-2</v>
      </c>
      <c r="J1058" s="22" t="str">
        <f t="shared" si="34"/>
        <v>lost money</v>
      </c>
    </row>
    <row r="1059" spans="1:10">
      <c r="A1059" s="1">
        <v>41047</v>
      </c>
      <c r="B1059">
        <v>26.47</v>
      </c>
      <c r="C1059">
        <v>26.55</v>
      </c>
      <c r="D1059">
        <v>25.83</v>
      </c>
      <c r="E1059">
        <v>26.01</v>
      </c>
      <c r="F1059">
        <v>60358300</v>
      </c>
      <c r="G1059">
        <v>25.97</v>
      </c>
      <c r="H1059" t="s">
        <v>25</v>
      </c>
      <c r="I1059" s="22">
        <f t="shared" si="33"/>
        <v>-1.5284974690538298E-2</v>
      </c>
      <c r="J1059" s="22" t="str">
        <f t="shared" si="34"/>
        <v>lost money</v>
      </c>
    </row>
    <row r="1060" spans="1:10">
      <c r="A1060" s="1">
        <v>41050</v>
      </c>
      <c r="B1060">
        <v>26.2</v>
      </c>
      <c r="C1060">
        <v>26.74</v>
      </c>
      <c r="D1060">
        <v>25.75</v>
      </c>
      <c r="E1060">
        <v>26.25</v>
      </c>
      <c r="F1060">
        <v>47884900</v>
      </c>
      <c r="G1060">
        <v>26.21</v>
      </c>
      <c r="H1060" t="s">
        <v>25</v>
      </c>
      <c r="I1060" s="22">
        <f t="shared" si="33"/>
        <v>9.1989916606580562E-3</v>
      </c>
      <c r="J1060" s="22" t="str">
        <f t="shared" si="34"/>
        <v/>
      </c>
    </row>
    <row r="1061" spans="1:10">
      <c r="A1061" s="1">
        <v>41051</v>
      </c>
      <c r="B1061">
        <v>26.65</v>
      </c>
      <c r="C1061">
        <v>27.7</v>
      </c>
      <c r="D1061">
        <v>26.52</v>
      </c>
      <c r="E1061">
        <v>26.92</v>
      </c>
      <c r="F1061">
        <v>50788200</v>
      </c>
      <c r="G1061">
        <v>26.88</v>
      </c>
      <c r="H1061" t="s">
        <v>25</v>
      </c>
      <c r="I1061" s="22">
        <f t="shared" si="33"/>
        <v>2.5241498319633737E-2</v>
      </c>
      <c r="J1061" s="22" t="str">
        <f t="shared" si="34"/>
        <v/>
      </c>
    </row>
    <row r="1062" spans="1:10">
      <c r="A1062" s="1">
        <v>41052</v>
      </c>
      <c r="B1062">
        <v>26.53</v>
      </c>
      <c r="C1062">
        <v>27.17</v>
      </c>
      <c r="D1062">
        <v>26.08</v>
      </c>
      <c r="E1062">
        <v>27.15</v>
      </c>
      <c r="F1062">
        <v>48579300</v>
      </c>
      <c r="G1062">
        <v>27.11</v>
      </c>
      <c r="H1062" t="s">
        <v>25</v>
      </c>
      <c r="I1062" s="22">
        <f t="shared" si="33"/>
        <v>8.5201478556254165E-3</v>
      </c>
      <c r="J1062" s="22" t="str">
        <f t="shared" si="34"/>
        <v/>
      </c>
    </row>
    <row r="1063" spans="1:10">
      <c r="A1063" s="1">
        <v>41053</v>
      </c>
      <c r="B1063">
        <v>27.26</v>
      </c>
      <c r="C1063">
        <v>27.43</v>
      </c>
      <c r="D1063">
        <v>26.31</v>
      </c>
      <c r="E1063">
        <v>26.66</v>
      </c>
      <c r="F1063">
        <v>40744800</v>
      </c>
      <c r="G1063">
        <v>26.62</v>
      </c>
      <c r="H1063" t="s">
        <v>25</v>
      </c>
      <c r="I1063" s="22">
        <f t="shared" si="33"/>
        <v>-1.82398505436085E-2</v>
      </c>
      <c r="J1063" s="22" t="str">
        <f t="shared" si="34"/>
        <v>lost money</v>
      </c>
    </row>
    <row r="1064" spans="1:10">
      <c r="A1064" s="1">
        <v>41054</v>
      </c>
      <c r="B1064">
        <v>26.37</v>
      </c>
      <c r="C1064">
        <v>26.93</v>
      </c>
      <c r="D1064">
        <v>26.35</v>
      </c>
      <c r="E1064">
        <v>26.47</v>
      </c>
      <c r="F1064">
        <v>25276300</v>
      </c>
      <c r="G1064">
        <v>26.43</v>
      </c>
      <c r="H1064" t="s">
        <v>25</v>
      </c>
      <c r="I1064" s="22">
        <f t="shared" si="33"/>
        <v>-7.163084350767809E-3</v>
      </c>
      <c r="J1064" s="22" t="str">
        <f t="shared" si="34"/>
        <v/>
      </c>
    </row>
    <row r="1065" spans="1:10">
      <c r="A1065" s="1">
        <v>41058</v>
      </c>
      <c r="B1065">
        <v>26.84</v>
      </c>
      <c r="C1065">
        <v>27.07</v>
      </c>
      <c r="D1065">
        <v>26.67</v>
      </c>
      <c r="E1065">
        <v>27.02</v>
      </c>
      <c r="F1065">
        <v>27076800</v>
      </c>
      <c r="G1065">
        <v>26.98</v>
      </c>
      <c r="H1065" t="s">
        <v>25</v>
      </c>
      <c r="I1065" s="22">
        <f t="shared" si="33"/>
        <v>2.0596122163412053E-2</v>
      </c>
      <c r="J1065" s="22" t="str">
        <f t="shared" si="34"/>
        <v/>
      </c>
    </row>
    <row r="1066" spans="1:10">
      <c r="A1066" s="1">
        <v>41059</v>
      </c>
      <c r="B1066">
        <v>26.53</v>
      </c>
      <c r="C1066">
        <v>26.61</v>
      </c>
      <c r="D1066">
        <v>25.98</v>
      </c>
      <c r="E1066">
        <v>26</v>
      </c>
      <c r="F1066">
        <v>33578900</v>
      </c>
      <c r="G1066">
        <v>25.96</v>
      </c>
      <c r="H1066" t="s">
        <v>25</v>
      </c>
      <c r="I1066" s="22">
        <f t="shared" si="33"/>
        <v>-3.8538958943720586E-2</v>
      </c>
      <c r="J1066" s="22" t="str">
        <f t="shared" si="34"/>
        <v>lost money</v>
      </c>
    </row>
    <row r="1067" spans="1:10">
      <c r="A1067" s="1">
        <v>41060</v>
      </c>
      <c r="B1067">
        <v>26.2</v>
      </c>
      <c r="C1067">
        <v>26.78</v>
      </c>
      <c r="D1067">
        <v>25.86</v>
      </c>
      <c r="E1067">
        <v>26.51</v>
      </c>
      <c r="F1067">
        <v>37222100</v>
      </c>
      <c r="G1067">
        <v>26.47</v>
      </c>
      <c r="H1067" t="s">
        <v>25</v>
      </c>
      <c r="I1067" s="22">
        <f t="shared" si="33"/>
        <v>1.9455124403120565E-2</v>
      </c>
      <c r="J1067" s="22" t="str">
        <f t="shared" si="34"/>
        <v/>
      </c>
    </row>
    <row r="1068" spans="1:10">
      <c r="A1068" s="1">
        <v>41061</v>
      </c>
      <c r="B1068">
        <v>25.86</v>
      </c>
      <c r="C1068">
        <v>26.08</v>
      </c>
      <c r="D1068">
        <v>25.25</v>
      </c>
      <c r="E1068">
        <v>25.39</v>
      </c>
      <c r="F1068">
        <v>41527800</v>
      </c>
      <c r="G1068">
        <v>25.35</v>
      </c>
      <c r="H1068" t="s">
        <v>25</v>
      </c>
      <c r="I1068" s="22">
        <f t="shared" si="33"/>
        <v>-4.3233286201817663E-2</v>
      </c>
      <c r="J1068" s="22" t="str">
        <f t="shared" si="34"/>
        <v>lost money</v>
      </c>
    </row>
    <row r="1069" spans="1:10">
      <c r="A1069" s="1">
        <v>41064</v>
      </c>
      <c r="B1069">
        <v>25.46</v>
      </c>
      <c r="C1069">
        <v>25.53</v>
      </c>
      <c r="D1069">
        <v>24.61</v>
      </c>
      <c r="E1069">
        <v>24.82</v>
      </c>
      <c r="F1069">
        <v>38793800</v>
      </c>
      <c r="G1069">
        <v>24.78</v>
      </c>
      <c r="H1069" t="s">
        <v>25</v>
      </c>
      <c r="I1069" s="22">
        <f t="shared" si="33"/>
        <v>-2.2741853836195831E-2</v>
      </c>
      <c r="J1069" s="22" t="str">
        <f t="shared" si="34"/>
        <v>lost money</v>
      </c>
    </row>
    <row r="1070" spans="1:10">
      <c r="A1070" s="1">
        <v>41065</v>
      </c>
      <c r="B1070">
        <v>24.75</v>
      </c>
      <c r="C1070">
        <v>25.88</v>
      </c>
      <c r="D1070">
        <v>24.74</v>
      </c>
      <c r="E1070">
        <v>25.75</v>
      </c>
      <c r="F1070">
        <v>36086100</v>
      </c>
      <c r="G1070">
        <v>25.71</v>
      </c>
      <c r="H1070" t="s">
        <v>25</v>
      </c>
      <c r="I1070" s="22">
        <f t="shared" si="33"/>
        <v>3.6843145076801781E-2</v>
      </c>
      <c r="J1070" s="22" t="str">
        <f t="shared" si="34"/>
        <v/>
      </c>
    </row>
    <row r="1071" spans="1:10">
      <c r="A1071" s="1">
        <v>41066</v>
      </c>
      <c r="B1071">
        <v>26.31</v>
      </c>
      <c r="C1071">
        <v>27.15</v>
      </c>
      <c r="D1071">
        <v>26.01</v>
      </c>
      <c r="E1071">
        <v>27.14</v>
      </c>
      <c r="F1071">
        <v>47077900</v>
      </c>
      <c r="G1071">
        <v>27.1</v>
      </c>
      <c r="H1071" t="s">
        <v>25</v>
      </c>
      <c r="I1071" s="22">
        <f t="shared" si="33"/>
        <v>5.2653706607857162E-2</v>
      </c>
      <c r="J1071" s="22" t="str">
        <f t="shared" si="34"/>
        <v/>
      </c>
    </row>
    <row r="1072" spans="1:10">
      <c r="A1072" s="1">
        <v>41067</v>
      </c>
      <c r="B1072">
        <v>27.77</v>
      </c>
      <c r="C1072">
        <v>27.95</v>
      </c>
      <c r="D1072">
        <v>26.68</v>
      </c>
      <c r="E1072">
        <v>26.91</v>
      </c>
      <c r="F1072">
        <v>44148600</v>
      </c>
      <c r="G1072">
        <v>26.87</v>
      </c>
      <c r="H1072" t="s">
        <v>25</v>
      </c>
      <c r="I1072" s="22">
        <f t="shared" si="33"/>
        <v>-8.5233052582553547E-3</v>
      </c>
      <c r="J1072" s="22" t="str">
        <f t="shared" si="34"/>
        <v>lost money</v>
      </c>
    </row>
    <row r="1073" spans="1:10">
      <c r="A1073" s="1">
        <v>41068</v>
      </c>
      <c r="B1073">
        <v>26.64</v>
      </c>
      <c r="C1073">
        <v>27.79</v>
      </c>
      <c r="D1073">
        <v>26.36</v>
      </c>
      <c r="E1073">
        <v>27.77</v>
      </c>
      <c r="F1073">
        <v>36994900</v>
      </c>
      <c r="G1073">
        <v>27.73</v>
      </c>
      <c r="H1073" t="s">
        <v>25</v>
      </c>
      <c r="I1073" s="22">
        <f t="shared" si="33"/>
        <v>3.1504437000286788E-2</v>
      </c>
      <c r="J1073" s="22" t="str">
        <f t="shared" si="34"/>
        <v/>
      </c>
    </row>
    <row r="1074" spans="1:10">
      <c r="A1074" s="1">
        <v>41071</v>
      </c>
      <c r="B1074">
        <v>28.43</v>
      </c>
      <c r="C1074">
        <v>28.5</v>
      </c>
      <c r="D1074">
        <v>26.43</v>
      </c>
      <c r="E1074">
        <v>26.48</v>
      </c>
      <c r="F1074">
        <v>58250900</v>
      </c>
      <c r="G1074">
        <v>26.44</v>
      </c>
      <c r="H1074" t="s">
        <v>25</v>
      </c>
      <c r="I1074" s="22">
        <f t="shared" si="33"/>
        <v>-4.7636844644201141E-2</v>
      </c>
      <c r="J1074" s="22" t="str">
        <f t="shared" si="34"/>
        <v>lost money</v>
      </c>
    </row>
    <row r="1075" spans="1:10">
      <c r="A1075" s="1">
        <v>41072</v>
      </c>
      <c r="B1075">
        <v>26.66</v>
      </c>
      <c r="C1075">
        <v>27.65</v>
      </c>
      <c r="D1075">
        <v>26.42</v>
      </c>
      <c r="E1075">
        <v>27.62</v>
      </c>
      <c r="F1075">
        <v>43147200</v>
      </c>
      <c r="G1075">
        <v>27.58</v>
      </c>
      <c r="H1075" t="s">
        <v>25</v>
      </c>
      <c r="I1075" s="22">
        <f t="shared" si="33"/>
        <v>4.2212857381670195E-2</v>
      </c>
      <c r="J1075" s="22" t="str">
        <f t="shared" si="34"/>
        <v/>
      </c>
    </row>
    <row r="1076" spans="1:10">
      <c r="A1076" s="1">
        <v>41073</v>
      </c>
      <c r="B1076">
        <v>27.34</v>
      </c>
      <c r="C1076">
        <v>28.1</v>
      </c>
      <c r="D1076">
        <v>27.07</v>
      </c>
      <c r="E1076">
        <v>27.67</v>
      </c>
      <c r="F1076">
        <v>64159200</v>
      </c>
      <c r="G1076">
        <v>27.63</v>
      </c>
      <c r="H1076" t="s">
        <v>25</v>
      </c>
      <c r="I1076" s="22">
        <f t="shared" si="33"/>
        <v>1.8112665701695233E-3</v>
      </c>
      <c r="J1076" s="22" t="str">
        <f t="shared" si="34"/>
        <v/>
      </c>
    </row>
    <row r="1077" spans="1:10">
      <c r="A1077" s="1">
        <v>41074</v>
      </c>
      <c r="B1077">
        <v>27.76</v>
      </c>
      <c r="C1077">
        <v>28.16</v>
      </c>
      <c r="D1077">
        <v>27.57</v>
      </c>
      <c r="E1077">
        <v>27.91</v>
      </c>
      <c r="F1077">
        <v>45508800</v>
      </c>
      <c r="G1077">
        <v>27.87</v>
      </c>
      <c r="H1077" t="s">
        <v>25</v>
      </c>
      <c r="I1077" s="22">
        <f t="shared" si="33"/>
        <v>8.6487025585316769E-3</v>
      </c>
      <c r="J1077" s="22" t="str">
        <f t="shared" si="34"/>
        <v/>
      </c>
    </row>
    <row r="1078" spans="1:10">
      <c r="A1078" s="1">
        <v>41075</v>
      </c>
      <c r="B1078">
        <v>28.1</v>
      </c>
      <c r="C1078">
        <v>28.31</v>
      </c>
      <c r="D1078">
        <v>27.1</v>
      </c>
      <c r="E1078">
        <v>28.31</v>
      </c>
      <c r="F1078">
        <v>60019800</v>
      </c>
      <c r="G1078">
        <v>28.27</v>
      </c>
      <c r="H1078" t="s">
        <v>25</v>
      </c>
      <c r="I1078" s="22">
        <f t="shared" si="33"/>
        <v>1.425033021164214E-2</v>
      </c>
      <c r="J1078" s="22" t="str">
        <f t="shared" si="34"/>
        <v/>
      </c>
    </row>
    <row r="1079" spans="1:10">
      <c r="A1079" s="1">
        <v>41078</v>
      </c>
      <c r="B1079">
        <v>27.98</v>
      </c>
      <c r="C1079">
        <v>28.12</v>
      </c>
      <c r="D1079">
        <v>27.5</v>
      </c>
      <c r="E1079">
        <v>27.55</v>
      </c>
      <c r="F1079">
        <v>32822200</v>
      </c>
      <c r="G1079">
        <v>27.51</v>
      </c>
      <c r="H1079" t="s">
        <v>25</v>
      </c>
      <c r="I1079" s="22">
        <f t="shared" si="33"/>
        <v>-2.7251596769015757E-2</v>
      </c>
      <c r="J1079" s="22" t="str">
        <f t="shared" si="34"/>
        <v>lost money</v>
      </c>
    </row>
    <row r="1080" spans="1:10">
      <c r="A1080" s="1">
        <v>41079</v>
      </c>
      <c r="B1080">
        <v>27.93</v>
      </c>
      <c r="C1080">
        <v>28.69</v>
      </c>
      <c r="D1080">
        <v>27.88</v>
      </c>
      <c r="E1080">
        <v>28.5</v>
      </c>
      <c r="F1080">
        <v>42654400</v>
      </c>
      <c r="G1080">
        <v>28.46</v>
      </c>
      <c r="H1080" t="s">
        <v>25</v>
      </c>
      <c r="I1080" s="22">
        <f t="shared" si="33"/>
        <v>3.3950017725223137E-2</v>
      </c>
      <c r="J1080" s="22" t="str">
        <f t="shared" si="34"/>
        <v/>
      </c>
    </row>
    <row r="1081" spans="1:10">
      <c r="A1081" s="1">
        <v>41080</v>
      </c>
      <c r="B1081">
        <v>28.7</v>
      </c>
      <c r="C1081">
        <v>29.31</v>
      </c>
      <c r="D1081">
        <v>28.38</v>
      </c>
      <c r="E1081">
        <v>28.86</v>
      </c>
      <c r="F1081">
        <v>47693300</v>
      </c>
      <c r="G1081">
        <v>28.82</v>
      </c>
      <c r="H1081" t="s">
        <v>25</v>
      </c>
      <c r="I1081" s="22">
        <f t="shared" si="33"/>
        <v>1.2569997909669664E-2</v>
      </c>
      <c r="J1081" s="22" t="str">
        <f t="shared" si="34"/>
        <v/>
      </c>
    </row>
    <row r="1082" spans="1:10">
      <c r="A1082" s="1">
        <v>41081</v>
      </c>
      <c r="B1082">
        <v>28.88</v>
      </c>
      <c r="C1082">
        <v>29.2</v>
      </c>
      <c r="D1082">
        <v>27.76</v>
      </c>
      <c r="E1082">
        <v>27.83</v>
      </c>
      <c r="F1082">
        <v>39787200</v>
      </c>
      <c r="G1082">
        <v>27.79</v>
      </c>
      <c r="H1082" t="s">
        <v>25</v>
      </c>
      <c r="I1082" s="22">
        <f t="shared" si="33"/>
        <v>-3.6393346816963705E-2</v>
      </c>
      <c r="J1082" s="22" t="str">
        <f t="shared" si="34"/>
        <v>lost money</v>
      </c>
    </row>
    <row r="1083" spans="1:10">
      <c r="A1083" s="1">
        <v>41082</v>
      </c>
      <c r="B1083">
        <v>28.16</v>
      </c>
      <c r="C1083">
        <v>28.38</v>
      </c>
      <c r="D1083">
        <v>27.8</v>
      </c>
      <c r="E1083">
        <v>27.99</v>
      </c>
      <c r="F1083">
        <v>29956200</v>
      </c>
      <c r="G1083">
        <v>27.95</v>
      </c>
      <c r="H1083" t="s">
        <v>25</v>
      </c>
      <c r="I1083" s="22">
        <f t="shared" si="33"/>
        <v>5.7409558466958686E-3</v>
      </c>
      <c r="J1083" s="22" t="str">
        <f t="shared" si="34"/>
        <v>lost money</v>
      </c>
    </row>
    <row r="1084" spans="1:10">
      <c r="A1084" s="1">
        <v>41085</v>
      </c>
      <c r="B1084">
        <v>27.26</v>
      </c>
      <c r="C1084">
        <v>27.33</v>
      </c>
      <c r="D1084">
        <v>26.5</v>
      </c>
      <c r="E1084">
        <v>26.75</v>
      </c>
      <c r="F1084">
        <v>43716100</v>
      </c>
      <c r="G1084">
        <v>26.71</v>
      </c>
      <c r="H1084" t="s">
        <v>25</v>
      </c>
      <c r="I1084" s="22">
        <f t="shared" si="33"/>
        <v>-4.5379172479238596E-2</v>
      </c>
      <c r="J1084" s="22" t="str">
        <f t="shared" si="34"/>
        <v>lost money</v>
      </c>
    </row>
    <row r="1085" spans="1:10">
      <c r="A1085" s="1">
        <v>41086</v>
      </c>
      <c r="B1085">
        <v>26.84</v>
      </c>
      <c r="C1085">
        <v>27.1</v>
      </c>
      <c r="D1085">
        <v>26.57</v>
      </c>
      <c r="E1085">
        <v>26.73</v>
      </c>
      <c r="F1085">
        <v>34250300</v>
      </c>
      <c r="G1085">
        <v>26.69</v>
      </c>
      <c r="H1085" t="s">
        <v>25</v>
      </c>
      <c r="I1085" s="22">
        <f t="shared" si="33"/>
        <v>-7.4906370543671079E-4</v>
      </c>
      <c r="J1085" s="22" t="str">
        <f t="shared" si="34"/>
        <v>lost money</v>
      </c>
    </row>
    <row r="1086" spans="1:10">
      <c r="A1086" s="1">
        <v>41087</v>
      </c>
      <c r="B1086">
        <v>26.81</v>
      </c>
      <c r="C1086">
        <v>27.22</v>
      </c>
      <c r="D1086">
        <v>26.5</v>
      </c>
      <c r="E1086">
        <v>27.1</v>
      </c>
      <c r="F1086">
        <v>29528900</v>
      </c>
      <c r="G1086">
        <v>27.06</v>
      </c>
      <c r="H1086" t="s">
        <v>25</v>
      </c>
      <c r="I1086" s="22">
        <f t="shared" si="33"/>
        <v>1.3767659326209119E-2</v>
      </c>
      <c r="J1086" s="22" t="str">
        <f t="shared" si="34"/>
        <v/>
      </c>
    </row>
    <row r="1087" spans="1:10">
      <c r="A1087" s="1">
        <v>41088</v>
      </c>
      <c r="B1087">
        <v>26.46</v>
      </c>
      <c r="C1087">
        <v>26.74</v>
      </c>
      <c r="D1087">
        <v>25.63</v>
      </c>
      <c r="E1087">
        <v>26.39</v>
      </c>
      <c r="F1087">
        <v>68262300</v>
      </c>
      <c r="G1087">
        <v>26.35</v>
      </c>
      <c r="H1087" t="s">
        <v>25</v>
      </c>
      <c r="I1087" s="22">
        <f t="shared" si="33"/>
        <v>-2.6588347755270542E-2</v>
      </c>
      <c r="J1087" s="22" t="str">
        <f t="shared" si="34"/>
        <v>lost money</v>
      </c>
    </row>
    <row r="1088" spans="1:10">
      <c r="A1088" s="1">
        <v>41089</v>
      </c>
      <c r="B1088">
        <v>27.45</v>
      </c>
      <c r="C1088">
        <v>27.59</v>
      </c>
      <c r="D1088">
        <v>27.01</v>
      </c>
      <c r="E1088">
        <v>27.41</v>
      </c>
      <c r="F1088">
        <v>54296400</v>
      </c>
      <c r="G1088">
        <v>27.37</v>
      </c>
      <c r="H1088" t="s">
        <v>25</v>
      </c>
      <c r="I1088" s="22">
        <f t="shared" si="33"/>
        <v>3.7979248065216256E-2</v>
      </c>
      <c r="J1088" s="22" t="str">
        <f t="shared" si="34"/>
        <v>lost money</v>
      </c>
    </row>
    <row r="1089" spans="1:10">
      <c r="A1089" s="1">
        <v>41092</v>
      </c>
      <c r="B1089">
        <v>27.47</v>
      </c>
      <c r="C1089">
        <v>27.93</v>
      </c>
      <c r="D1089">
        <v>26.97</v>
      </c>
      <c r="E1089">
        <v>27.46</v>
      </c>
      <c r="F1089">
        <v>29971400</v>
      </c>
      <c r="G1089">
        <v>27.42</v>
      </c>
      <c r="H1089" t="s">
        <v>25</v>
      </c>
      <c r="I1089" s="22">
        <f t="shared" si="33"/>
        <v>1.8251510815806076E-3</v>
      </c>
      <c r="J1089" s="22" t="str">
        <f t="shared" si="34"/>
        <v>lost money</v>
      </c>
    </row>
    <row r="1090" spans="1:10">
      <c r="A1090" s="1">
        <v>41093</v>
      </c>
      <c r="B1090">
        <v>27.4</v>
      </c>
      <c r="C1090">
        <v>27.77</v>
      </c>
      <c r="D1090">
        <v>27.19</v>
      </c>
      <c r="E1090">
        <v>27.65</v>
      </c>
      <c r="F1090">
        <v>14966500</v>
      </c>
      <c r="G1090">
        <v>27.61</v>
      </c>
      <c r="H1090" t="s">
        <v>25</v>
      </c>
      <c r="I1090" s="22">
        <f t="shared" si="33"/>
        <v>6.905351807894553E-3</v>
      </c>
      <c r="J1090" s="22" t="str">
        <f t="shared" si="34"/>
        <v/>
      </c>
    </row>
    <row r="1091" spans="1:10">
      <c r="A1091" s="1">
        <v>41095</v>
      </c>
      <c r="B1091">
        <v>27.52</v>
      </c>
      <c r="C1091">
        <v>27.62</v>
      </c>
      <c r="D1091">
        <v>26.7</v>
      </c>
      <c r="E1091">
        <v>26.84</v>
      </c>
      <c r="F1091">
        <v>31836300</v>
      </c>
      <c r="G1091">
        <v>26.8</v>
      </c>
      <c r="H1091" t="s">
        <v>25</v>
      </c>
      <c r="I1091" s="22">
        <f t="shared" ref="I1091:I1154" si="35">IF(A1091=$A$2,"",LN(G1091/G1090))</f>
        <v>-2.9776138425252043E-2</v>
      </c>
      <c r="J1091" s="22" t="str">
        <f t="shared" ref="J1091:J1154" si="36">IF(B1091&gt;E1091,"lost money","")</f>
        <v>lost money</v>
      </c>
    </row>
    <row r="1092" spans="1:10">
      <c r="A1092" s="1">
        <v>41096</v>
      </c>
      <c r="B1092">
        <v>26.44</v>
      </c>
      <c r="C1092">
        <v>26.77</v>
      </c>
      <c r="D1092">
        <v>26.1</v>
      </c>
      <c r="E1092">
        <v>26.36</v>
      </c>
      <c r="F1092">
        <v>27552100</v>
      </c>
      <c r="G1092">
        <v>26.32</v>
      </c>
      <c r="H1092" t="s">
        <v>25</v>
      </c>
      <c r="I1092" s="22">
        <f t="shared" si="35"/>
        <v>-1.8072781059694506E-2</v>
      </c>
      <c r="J1092" s="22" t="str">
        <f t="shared" si="36"/>
        <v>lost money</v>
      </c>
    </row>
    <row r="1093" spans="1:10">
      <c r="A1093" s="1">
        <v>41099</v>
      </c>
      <c r="B1093">
        <v>26.21</v>
      </c>
      <c r="C1093">
        <v>26.38</v>
      </c>
      <c r="D1093">
        <v>25.8</v>
      </c>
      <c r="E1093">
        <v>26.11</v>
      </c>
      <c r="F1093">
        <v>27902500</v>
      </c>
      <c r="G1093">
        <v>26.07</v>
      </c>
      <c r="H1093" t="s">
        <v>25</v>
      </c>
      <c r="I1093" s="22">
        <f t="shared" si="35"/>
        <v>-9.543878511706131E-3</v>
      </c>
      <c r="J1093" s="22" t="str">
        <f t="shared" si="36"/>
        <v>lost money</v>
      </c>
    </row>
    <row r="1094" spans="1:10">
      <c r="A1094" s="1">
        <v>41100</v>
      </c>
      <c r="B1094">
        <v>26.44</v>
      </c>
      <c r="C1094">
        <v>26.61</v>
      </c>
      <c r="D1094">
        <v>25.7</v>
      </c>
      <c r="E1094">
        <v>25.88</v>
      </c>
      <c r="F1094">
        <v>27895100</v>
      </c>
      <c r="G1094">
        <v>25.84</v>
      </c>
      <c r="H1094" t="s">
        <v>25</v>
      </c>
      <c r="I1094" s="22">
        <f t="shared" si="35"/>
        <v>-8.8615490310093251E-3</v>
      </c>
      <c r="J1094" s="22" t="str">
        <f t="shared" si="36"/>
        <v>lost money</v>
      </c>
    </row>
    <row r="1095" spans="1:10">
      <c r="A1095" s="1">
        <v>41101</v>
      </c>
      <c r="B1095">
        <v>25.96</v>
      </c>
      <c r="C1095">
        <v>26.46</v>
      </c>
      <c r="D1095">
        <v>25.72</v>
      </c>
      <c r="E1095">
        <v>25.87</v>
      </c>
      <c r="F1095">
        <v>37863200</v>
      </c>
      <c r="G1095">
        <v>25.83</v>
      </c>
      <c r="H1095" t="s">
        <v>25</v>
      </c>
      <c r="I1095" s="22">
        <f t="shared" si="35"/>
        <v>-3.870718066520923E-4</v>
      </c>
      <c r="J1095" s="22" t="str">
        <f t="shared" si="36"/>
        <v>lost money</v>
      </c>
    </row>
    <row r="1096" spans="1:10">
      <c r="A1096" s="1">
        <v>41102</v>
      </c>
      <c r="B1096">
        <v>25.61</v>
      </c>
      <c r="C1096">
        <v>25.65</v>
      </c>
      <c r="D1096">
        <v>25.15</v>
      </c>
      <c r="E1096">
        <v>25.28</v>
      </c>
      <c r="F1096">
        <v>36919200</v>
      </c>
      <c r="G1096">
        <v>25.24</v>
      </c>
      <c r="H1096" t="s">
        <v>25</v>
      </c>
      <c r="I1096" s="22">
        <f t="shared" si="35"/>
        <v>-2.3106569434736712E-2</v>
      </c>
      <c r="J1096" s="22" t="str">
        <f t="shared" si="36"/>
        <v>lost money</v>
      </c>
    </row>
    <row r="1097" spans="1:10">
      <c r="A1097" s="1">
        <v>41103</v>
      </c>
      <c r="B1097">
        <v>25.58</v>
      </c>
      <c r="C1097">
        <v>26.97</v>
      </c>
      <c r="D1097">
        <v>25.54</v>
      </c>
      <c r="E1097">
        <v>26.65</v>
      </c>
      <c r="F1097">
        <v>48422100</v>
      </c>
      <c r="G1097">
        <v>26.61</v>
      </c>
      <c r="H1097" t="s">
        <v>25</v>
      </c>
      <c r="I1097" s="22">
        <f t="shared" si="35"/>
        <v>5.2857047316585415E-2</v>
      </c>
      <c r="J1097" s="22" t="str">
        <f t="shared" si="36"/>
        <v/>
      </c>
    </row>
    <row r="1098" spans="1:10">
      <c r="A1098" s="1">
        <v>41106</v>
      </c>
      <c r="B1098">
        <v>27.45</v>
      </c>
      <c r="C1098">
        <v>27.53</v>
      </c>
      <c r="D1098">
        <v>26.62</v>
      </c>
      <c r="E1098">
        <v>26.81</v>
      </c>
      <c r="F1098">
        <v>59427600</v>
      </c>
      <c r="G1098">
        <v>26.77</v>
      </c>
      <c r="H1098" t="s">
        <v>25</v>
      </c>
      <c r="I1098" s="22">
        <f t="shared" si="35"/>
        <v>5.994772542663381E-3</v>
      </c>
      <c r="J1098" s="22" t="str">
        <f t="shared" si="36"/>
        <v>lost money</v>
      </c>
    </row>
    <row r="1099" spans="1:10">
      <c r="A1099" s="1">
        <v>41107</v>
      </c>
      <c r="B1099">
        <v>27.13</v>
      </c>
      <c r="C1099">
        <v>27.41</v>
      </c>
      <c r="D1099">
        <v>26.61</v>
      </c>
      <c r="E1099">
        <v>27.38</v>
      </c>
      <c r="F1099">
        <v>39561100</v>
      </c>
      <c r="G1099">
        <v>27.34</v>
      </c>
      <c r="H1099" t="s">
        <v>25</v>
      </c>
      <c r="I1099" s="22">
        <f t="shared" si="35"/>
        <v>2.1068973763542439E-2</v>
      </c>
      <c r="J1099" s="22" t="str">
        <f t="shared" si="36"/>
        <v/>
      </c>
    </row>
    <row r="1100" spans="1:10">
      <c r="A1100" s="1">
        <v>41108</v>
      </c>
      <c r="B1100">
        <v>27.19</v>
      </c>
      <c r="C1100">
        <v>27.5</v>
      </c>
      <c r="D1100">
        <v>26.91</v>
      </c>
      <c r="E1100">
        <v>27.1</v>
      </c>
      <c r="F1100">
        <v>32283900</v>
      </c>
      <c r="G1100">
        <v>27.06</v>
      </c>
      <c r="H1100" t="s">
        <v>25</v>
      </c>
      <c r="I1100" s="22">
        <f t="shared" si="35"/>
        <v>-1.029420855316154E-2</v>
      </c>
      <c r="J1100" s="22" t="str">
        <f t="shared" si="36"/>
        <v>lost money</v>
      </c>
    </row>
    <row r="1101" spans="1:10">
      <c r="A1101" s="1">
        <v>41109</v>
      </c>
      <c r="B1101">
        <v>27.16</v>
      </c>
      <c r="C1101">
        <v>27.35</v>
      </c>
      <c r="D1101">
        <v>26.45</v>
      </c>
      <c r="E1101">
        <v>26.59</v>
      </c>
      <c r="F1101">
        <v>33200800</v>
      </c>
      <c r="G1101">
        <v>26.55</v>
      </c>
      <c r="H1101" t="s">
        <v>25</v>
      </c>
      <c r="I1101" s="22">
        <f t="shared" si="35"/>
        <v>-1.9026875054694095E-2</v>
      </c>
      <c r="J1101" s="22" t="str">
        <f t="shared" si="36"/>
        <v>lost money</v>
      </c>
    </row>
    <row r="1102" spans="1:10">
      <c r="A1102" s="1">
        <v>41110</v>
      </c>
      <c r="B1102">
        <v>26.26</v>
      </c>
      <c r="C1102">
        <v>26.26</v>
      </c>
      <c r="D1102">
        <v>25.85</v>
      </c>
      <c r="E1102">
        <v>25.87</v>
      </c>
      <c r="F1102">
        <v>31663300</v>
      </c>
      <c r="G1102">
        <v>25.83</v>
      </c>
      <c r="H1102" t="s">
        <v>25</v>
      </c>
      <c r="I1102" s="22">
        <f t="shared" si="35"/>
        <v>-2.7493140580198847E-2</v>
      </c>
      <c r="J1102" s="22" t="str">
        <f t="shared" si="36"/>
        <v>lost money</v>
      </c>
    </row>
    <row r="1103" spans="1:10">
      <c r="A1103" s="1">
        <v>41113</v>
      </c>
      <c r="B1103">
        <v>25.1</v>
      </c>
      <c r="C1103">
        <v>25.42</v>
      </c>
      <c r="D1103">
        <v>25.01</v>
      </c>
      <c r="E1103">
        <v>25.34</v>
      </c>
      <c r="F1103">
        <v>39012600</v>
      </c>
      <c r="G1103">
        <v>25.3</v>
      </c>
      <c r="H1103" t="s">
        <v>25</v>
      </c>
      <c r="I1103" s="22">
        <f t="shared" si="35"/>
        <v>-2.0732211374274476E-2</v>
      </c>
      <c r="J1103" s="22" t="str">
        <f t="shared" si="36"/>
        <v/>
      </c>
    </row>
    <row r="1104" spans="1:10">
      <c r="A1104" s="1">
        <v>41114</v>
      </c>
      <c r="B1104">
        <v>25.44</v>
      </c>
      <c r="C1104">
        <v>25.49</v>
      </c>
      <c r="D1104">
        <v>24.91</v>
      </c>
      <c r="E1104">
        <v>25.24</v>
      </c>
      <c r="F1104">
        <v>35737900</v>
      </c>
      <c r="G1104">
        <v>25.2</v>
      </c>
      <c r="H1104" t="s">
        <v>25</v>
      </c>
      <c r="I1104" s="22">
        <f t="shared" si="35"/>
        <v>-3.9604012160970167E-3</v>
      </c>
      <c r="J1104" s="22" t="str">
        <f t="shared" si="36"/>
        <v>lost money</v>
      </c>
    </row>
    <row r="1105" spans="1:10">
      <c r="A1105" s="1">
        <v>41115</v>
      </c>
      <c r="B1105">
        <v>25.47</v>
      </c>
      <c r="C1105">
        <v>26.1</v>
      </c>
      <c r="D1105">
        <v>25.46</v>
      </c>
      <c r="E1105">
        <v>25.79</v>
      </c>
      <c r="F1105">
        <v>37005900</v>
      </c>
      <c r="G1105">
        <v>25.75</v>
      </c>
      <c r="H1105" t="s">
        <v>25</v>
      </c>
      <c r="I1105" s="22">
        <f t="shared" si="35"/>
        <v>2.1590632592367452E-2</v>
      </c>
      <c r="J1105" s="22" t="str">
        <f t="shared" si="36"/>
        <v/>
      </c>
    </row>
    <row r="1106" spans="1:10">
      <c r="A1106" s="1">
        <v>41116</v>
      </c>
      <c r="B1106">
        <v>26.47</v>
      </c>
      <c r="C1106">
        <v>26.52</v>
      </c>
      <c r="D1106">
        <v>26</v>
      </c>
      <c r="E1106">
        <v>26.28</v>
      </c>
      <c r="F1106">
        <v>29947900</v>
      </c>
      <c r="G1106">
        <v>26.24</v>
      </c>
      <c r="H1106" t="s">
        <v>25</v>
      </c>
      <c r="I1106" s="22">
        <f t="shared" si="35"/>
        <v>1.8850336966143116E-2</v>
      </c>
      <c r="J1106" s="22" t="str">
        <f t="shared" si="36"/>
        <v>lost money</v>
      </c>
    </row>
    <row r="1107" spans="1:10">
      <c r="A1107" s="1">
        <v>41117</v>
      </c>
      <c r="B1107">
        <v>26.6</v>
      </c>
      <c r="C1107">
        <v>27.6</v>
      </c>
      <c r="D1107">
        <v>26.35</v>
      </c>
      <c r="E1107">
        <v>27.3</v>
      </c>
      <c r="F1107">
        <v>52233900</v>
      </c>
      <c r="G1107">
        <v>27.26</v>
      </c>
      <c r="H1107" t="s">
        <v>25</v>
      </c>
      <c r="I1107" s="22">
        <f t="shared" si="35"/>
        <v>3.8135462192498429E-2</v>
      </c>
      <c r="J1107" s="22" t="str">
        <f t="shared" si="36"/>
        <v/>
      </c>
    </row>
    <row r="1108" spans="1:10">
      <c r="A1108" s="1">
        <v>41120</v>
      </c>
      <c r="B1108">
        <v>27.25</v>
      </c>
      <c r="C1108">
        <v>27.38</v>
      </c>
      <c r="D1108">
        <v>26.98</v>
      </c>
      <c r="E1108">
        <v>27.14</v>
      </c>
      <c r="F1108">
        <v>26263900</v>
      </c>
      <c r="G1108">
        <v>27.1</v>
      </c>
      <c r="H1108" t="s">
        <v>25</v>
      </c>
      <c r="I1108" s="22">
        <f t="shared" si="35"/>
        <v>-5.8866983827313441E-3</v>
      </c>
      <c r="J1108" s="22" t="str">
        <f t="shared" si="36"/>
        <v>lost money</v>
      </c>
    </row>
    <row r="1109" spans="1:10">
      <c r="A1109" s="1">
        <v>41121</v>
      </c>
      <c r="B1109">
        <v>26.98</v>
      </c>
      <c r="C1109">
        <v>27.27</v>
      </c>
      <c r="D1109">
        <v>26.76</v>
      </c>
      <c r="E1109">
        <v>27.13</v>
      </c>
      <c r="F1109">
        <v>24735600</v>
      </c>
      <c r="G1109">
        <v>27.09</v>
      </c>
      <c r="H1109" t="s">
        <v>25</v>
      </c>
      <c r="I1109" s="22">
        <f t="shared" si="35"/>
        <v>-3.6907178865157883E-4</v>
      </c>
      <c r="J1109" s="22" t="str">
        <f t="shared" si="36"/>
        <v/>
      </c>
    </row>
    <row r="1110" spans="1:10">
      <c r="A1110" s="1">
        <v>41122</v>
      </c>
      <c r="B1110">
        <v>27.3</v>
      </c>
      <c r="C1110">
        <v>27.34</v>
      </c>
      <c r="D1110">
        <v>26.5</v>
      </c>
      <c r="E1110">
        <v>26.78</v>
      </c>
      <c r="F1110">
        <v>38396000</v>
      </c>
      <c r="G1110">
        <v>26.74</v>
      </c>
      <c r="H1110" t="s">
        <v>25</v>
      </c>
      <c r="I1110" s="22">
        <f t="shared" si="35"/>
        <v>-1.3004084423206684E-2</v>
      </c>
      <c r="J1110" s="22" t="str">
        <f t="shared" si="36"/>
        <v>lost money</v>
      </c>
    </row>
    <row r="1111" spans="1:10">
      <c r="A1111" s="1">
        <v>41123</v>
      </c>
      <c r="B1111">
        <v>26.24</v>
      </c>
      <c r="C1111">
        <v>26.64</v>
      </c>
      <c r="D1111">
        <v>26</v>
      </c>
      <c r="E1111">
        <v>26.18</v>
      </c>
      <c r="F1111">
        <v>31938700</v>
      </c>
      <c r="G1111">
        <v>26.15</v>
      </c>
      <c r="H1111" t="s">
        <v>25</v>
      </c>
      <c r="I1111" s="22">
        <f t="shared" si="35"/>
        <v>-2.2311381162865258E-2</v>
      </c>
      <c r="J1111" s="22" t="str">
        <f t="shared" si="36"/>
        <v>lost money</v>
      </c>
    </row>
    <row r="1112" spans="1:10">
      <c r="A1112" s="1">
        <v>41124</v>
      </c>
      <c r="B1112">
        <v>26.84</v>
      </c>
      <c r="C1112">
        <v>27.68</v>
      </c>
      <c r="D1112">
        <v>26.6</v>
      </c>
      <c r="E1112">
        <v>27.4</v>
      </c>
      <c r="F1112">
        <v>39855200</v>
      </c>
      <c r="G1112">
        <v>27.37</v>
      </c>
      <c r="H1112" t="s">
        <v>25</v>
      </c>
      <c r="I1112" s="22">
        <f t="shared" si="35"/>
        <v>4.5598332541655871E-2</v>
      </c>
      <c r="J1112" s="22" t="str">
        <f t="shared" si="36"/>
        <v/>
      </c>
    </row>
    <row r="1113" spans="1:10">
      <c r="A1113" s="1">
        <v>41127</v>
      </c>
      <c r="B1113">
        <v>27.58</v>
      </c>
      <c r="C1113">
        <v>28.73</v>
      </c>
      <c r="D1113">
        <v>27.41</v>
      </c>
      <c r="E1113">
        <v>28.56</v>
      </c>
      <c r="F1113">
        <v>40063000</v>
      </c>
      <c r="G1113">
        <v>28.53</v>
      </c>
      <c r="H1113" t="s">
        <v>25</v>
      </c>
      <c r="I1113" s="22">
        <f t="shared" si="35"/>
        <v>4.150864217282086E-2</v>
      </c>
      <c r="J1113" s="22" t="str">
        <f t="shared" si="36"/>
        <v/>
      </c>
    </row>
    <row r="1114" spans="1:10">
      <c r="A1114" s="1">
        <v>41128</v>
      </c>
      <c r="B1114">
        <v>28.62</v>
      </c>
      <c r="C1114">
        <v>29.39</v>
      </c>
      <c r="D1114">
        <v>28.57</v>
      </c>
      <c r="E1114">
        <v>28.89</v>
      </c>
      <c r="F1114">
        <v>39406800</v>
      </c>
      <c r="G1114">
        <v>28.86</v>
      </c>
      <c r="H1114" t="s">
        <v>25</v>
      </c>
      <c r="I1114" s="22">
        <f t="shared" si="35"/>
        <v>1.1500388120316113E-2</v>
      </c>
      <c r="J1114" s="22" t="str">
        <f t="shared" si="36"/>
        <v/>
      </c>
    </row>
    <row r="1115" spans="1:10">
      <c r="A1115" s="1">
        <v>41129</v>
      </c>
      <c r="B1115">
        <v>28.63</v>
      </c>
      <c r="C1115">
        <v>29.14</v>
      </c>
      <c r="D1115">
        <v>28.44</v>
      </c>
      <c r="E1115">
        <v>28.86</v>
      </c>
      <c r="F1115">
        <v>21628800</v>
      </c>
      <c r="G1115">
        <v>28.83</v>
      </c>
      <c r="H1115" t="s">
        <v>25</v>
      </c>
      <c r="I1115" s="22">
        <f t="shared" si="35"/>
        <v>-1.0400416954140814E-3</v>
      </c>
      <c r="J1115" s="22" t="str">
        <f t="shared" si="36"/>
        <v/>
      </c>
    </row>
    <row r="1116" spans="1:10">
      <c r="A1116" s="1">
        <v>41130</v>
      </c>
      <c r="B1116">
        <v>28.8</v>
      </c>
      <c r="C1116">
        <v>28.99</v>
      </c>
      <c r="D1116">
        <v>28.62</v>
      </c>
      <c r="E1116">
        <v>28.86</v>
      </c>
      <c r="F1116">
        <v>17522000</v>
      </c>
      <c r="G1116">
        <v>28.83</v>
      </c>
      <c r="H1116" t="s">
        <v>25</v>
      </c>
      <c r="I1116" s="22">
        <f t="shared" si="35"/>
        <v>0</v>
      </c>
      <c r="J1116" s="22" t="str">
        <f t="shared" si="36"/>
        <v/>
      </c>
    </row>
    <row r="1117" spans="1:10">
      <c r="A1117" s="1">
        <v>41131</v>
      </c>
      <c r="B1117">
        <v>28.64</v>
      </c>
      <c r="C1117">
        <v>28.99</v>
      </c>
      <c r="D1117">
        <v>28.35</v>
      </c>
      <c r="E1117">
        <v>28.9</v>
      </c>
      <c r="F1117">
        <v>25277600</v>
      </c>
      <c r="G1117">
        <v>28.87</v>
      </c>
      <c r="H1117" t="s">
        <v>25</v>
      </c>
      <c r="I1117" s="22">
        <f t="shared" si="35"/>
        <v>1.3864820245330454E-3</v>
      </c>
      <c r="J1117" s="22" t="str">
        <f t="shared" si="36"/>
        <v/>
      </c>
    </row>
    <row r="1118" spans="1:10">
      <c r="A1118" s="1">
        <v>41134</v>
      </c>
      <c r="B1118">
        <v>28.84</v>
      </c>
      <c r="C1118">
        <v>29.15</v>
      </c>
      <c r="D1118">
        <v>28.54</v>
      </c>
      <c r="E1118">
        <v>28.78</v>
      </c>
      <c r="F1118">
        <v>22901800</v>
      </c>
      <c r="G1118">
        <v>28.75</v>
      </c>
      <c r="H1118" t="s">
        <v>25</v>
      </c>
      <c r="I1118" s="22">
        <f t="shared" si="35"/>
        <v>-4.1652264314843259E-3</v>
      </c>
      <c r="J1118" s="22" t="str">
        <f t="shared" si="36"/>
        <v>lost money</v>
      </c>
    </row>
    <row r="1119" spans="1:10">
      <c r="A1119" s="1">
        <v>41135</v>
      </c>
      <c r="B1119">
        <v>28.91</v>
      </c>
      <c r="C1119">
        <v>29.19</v>
      </c>
      <c r="D1119">
        <v>28.68</v>
      </c>
      <c r="E1119">
        <v>28.77</v>
      </c>
      <c r="F1119">
        <v>26002900</v>
      </c>
      <c r="G1119">
        <v>28.74</v>
      </c>
      <c r="H1119" t="s">
        <v>25</v>
      </c>
      <c r="I1119" s="22">
        <f t="shared" si="35"/>
        <v>-3.478865924806611E-4</v>
      </c>
      <c r="J1119" s="22" t="str">
        <f t="shared" si="36"/>
        <v>lost money</v>
      </c>
    </row>
    <row r="1120" spans="1:10">
      <c r="A1120" s="1">
        <v>41136</v>
      </c>
      <c r="B1120">
        <v>28.66</v>
      </c>
      <c r="C1120">
        <v>28.96</v>
      </c>
      <c r="D1120">
        <v>28.56</v>
      </c>
      <c r="E1120">
        <v>28.74</v>
      </c>
      <c r="F1120">
        <v>19283200</v>
      </c>
      <c r="G1120">
        <v>28.71</v>
      </c>
      <c r="H1120" t="s">
        <v>25</v>
      </c>
      <c r="I1120" s="22">
        <f t="shared" si="35"/>
        <v>-1.0443865179061624E-3</v>
      </c>
      <c r="J1120" s="22" t="str">
        <f t="shared" si="36"/>
        <v/>
      </c>
    </row>
    <row r="1121" spans="1:10">
      <c r="A1121" s="1">
        <v>41137</v>
      </c>
      <c r="B1121">
        <v>28.76</v>
      </c>
      <c r="C1121">
        <v>28.94</v>
      </c>
      <c r="D1121">
        <v>28.31</v>
      </c>
      <c r="E1121">
        <v>28.82</v>
      </c>
      <c r="F1121">
        <v>21641400</v>
      </c>
      <c r="G1121">
        <v>28.79</v>
      </c>
      <c r="H1121" t="s">
        <v>25</v>
      </c>
      <c r="I1121" s="22">
        <f t="shared" si="35"/>
        <v>2.7826104911117602E-3</v>
      </c>
      <c r="J1121" s="22" t="str">
        <f t="shared" si="36"/>
        <v/>
      </c>
    </row>
    <row r="1122" spans="1:10">
      <c r="A1122" s="1">
        <v>41138</v>
      </c>
      <c r="B1122">
        <v>28.91</v>
      </c>
      <c r="C1122">
        <v>29.1</v>
      </c>
      <c r="D1122">
        <v>28.79</v>
      </c>
      <c r="E1122">
        <v>29.03</v>
      </c>
      <c r="F1122">
        <v>27365000</v>
      </c>
      <c r="G1122">
        <v>29</v>
      </c>
      <c r="H1122" t="s">
        <v>25</v>
      </c>
      <c r="I1122" s="22">
        <f t="shared" si="35"/>
        <v>7.2677253623896505E-3</v>
      </c>
      <c r="J1122" s="22" t="str">
        <f t="shared" si="36"/>
        <v/>
      </c>
    </row>
    <row r="1123" spans="1:10">
      <c r="A1123" s="1">
        <v>41141</v>
      </c>
      <c r="B1123">
        <v>28.96</v>
      </c>
      <c r="C1123">
        <v>29.98</v>
      </c>
      <c r="D1123">
        <v>28.86</v>
      </c>
      <c r="E1123">
        <v>29.98</v>
      </c>
      <c r="F1123">
        <v>31880800</v>
      </c>
      <c r="G1123">
        <v>29.95</v>
      </c>
      <c r="H1123" t="s">
        <v>25</v>
      </c>
      <c r="I1123" s="22">
        <f t="shared" si="35"/>
        <v>3.2233494574984228E-2</v>
      </c>
      <c r="J1123" s="22" t="str">
        <f t="shared" si="36"/>
        <v/>
      </c>
    </row>
    <row r="1124" spans="1:10">
      <c r="A1124" s="1">
        <v>41142</v>
      </c>
      <c r="B1124">
        <v>30.23</v>
      </c>
      <c r="C1124">
        <v>31.12</v>
      </c>
      <c r="D1124">
        <v>30.14</v>
      </c>
      <c r="E1124">
        <v>30.73</v>
      </c>
      <c r="F1124">
        <v>64434500</v>
      </c>
      <c r="G1124">
        <v>30.7</v>
      </c>
      <c r="H1124" t="s">
        <v>25</v>
      </c>
      <c r="I1124" s="22">
        <f t="shared" si="35"/>
        <v>2.4733330031693018E-2</v>
      </c>
      <c r="J1124" s="22" t="str">
        <f t="shared" si="36"/>
        <v/>
      </c>
    </row>
    <row r="1125" spans="1:10">
      <c r="A1125" s="1">
        <v>41143</v>
      </c>
      <c r="B1125">
        <v>30.57</v>
      </c>
      <c r="C1125">
        <v>30.92</v>
      </c>
      <c r="D1125">
        <v>30.26</v>
      </c>
      <c r="E1125">
        <v>30.49</v>
      </c>
      <c r="F1125">
        <v>31092000</v>
      </c>
      <c r="G1125">
        <v>30.46</v>
      </c>
      <c r="H1125" t="s">
        <v>25</v>
      </c>
      <c r="I1125" s="22">
        <f t="shared" si="35"/>
        <v>-7.8483071261356979E-3</v>
      </c>
      <c r="J1125" s="22" t="str">
        <f t="shared" si="36"/>
        <v>lost money</v>
      </c>
    </row>
    <row r="1126" spans="1:10">
      <c r="A1126" s="1">
        <v>41144</v>
      </c>
      <c r="B1126">
        <v>30.46</v>
      </c>
      <c r="C1126">
        <v>30.6</v>
      </c>
      <c r="D1126">
        <v>29.45</v>
      </c>
      <c r="E1126">
        <v>29.59</v>
      </c>
      <c r="F1126">
        <v>31208400</v>
      </c>
      <c r="G1126">
        <v>29.56</v>
      </c>
      <c r="H1126" t="s">
        <v>25</v>
      </c>
      <c r="I1126" s="22">
        <f t="shared" si="35"/>
        <v>-2.9992251387014855E-2</v>
      </c>
      <c r="J1126" s="22" t="str">
        <f t="shared" si="36"/>
        <v>lost money</v>
      </c>
    </row>
    <row r="1127" spans="1:10">
      <c r="A1127" s="1">
        <v>41145</v>
      </c>
      <c r="B1127">
        <v>29.33</v>
      </c>
      <c r="C1127">
        <v>29.94</v>
      </c>
      <c r="D1127">
        <v>29.02</v>
      </c>
      <c r="E1127">
        <v>29.83</v>
      </c>
      <c r="F1127">
        <v>29697600</v>
      </c>
      <c r="G1127">
        <v>29.8</v>
      </c>
      <c r="H1127" t="s">
        <v>25</v>
      </c>
      <c r="I1127" s="22">
        <f t="shared" si="35"/>
        <v>8.086297431357841E-3</v>
      </c>
      <c r="J1127" s="22" t="str">
        <f t="shared" si="36"/>
        <v/>
      </c>
    </row>
    <row r="1128" spans="1:10">
      <c r="A1128" s="1">
        <v>41148</v>
      </c>
      <c r="B1128">
        <v>29.9</v>
      </c>
      <c r="C1128">
        <v>30.08</v>
      </c>
      <c r="D1128">
        <v>29.42</v>
      </c>
      <c r="E1128">
        <v>29.69</v>
      </c>
      <c r="F1128">
        <v>24897100</v>
      </c>
      <c r="G1128">
        <v>29.66</v>
      </c>
      <c r="H1128" t="s">
        <v>25</v>
      </c>
      <c r="I1128" s="22">
        <f t="shared" si="35"/>
        <v>-4.7090568015727566E-3</v>
      </c>
      <c r="J1128" s="22" t="str">
        <f t="shared" si="36"/>
        <v>lost money</v>
      </c>
    </row>
    <row r="1129" spans="1:10">
      <c r="A1129" s="1">
        <v>41149</v>
      </c>
      <c r="B1129">
        <v>29.53</v>
      </c>
      <c r="C1129">
        <v>29.89</v>
      </c>
      <c r="D1129">
        <v>29.31</v>
      </c>
      <c r="E1129">
        <v>29.34</v>
      </c>
      <c r="F1129">
        <v>20453900</v>
      </c>
      <c r="G1129">
        <v>29.31</v>
      </c>
      <c r="H1129" t="s">
        <v>25</v>
      </c>
      <c r="I1129" s="22">
        <f t="shared" si="35"/>
        <v>-1.1870581986984978E-2</v>
      </c>
      <c r="J1129" s="22" t="str">
        <f t="shared" si="36"/>
        <v>lost money</v>
      </c>
    </row>
    <row r="1130" spans="1:10">
      <c r="A1130" s="1">
        <v>41150</v>
      </c>
      <c r="B1130">
        <v>29.27</v>
      </c>
      <c r="C1130">
        <v>30.04</v>
      </c>
      <c r="D1130">
        <v>29.2</v>
      </c>
      <c r="E1130">
        <v>29.91</v>
      </c>
      <c r="F1130">
        <v>26634600</v>
      </c>
      <c r="G1130">
        <v>29.88</v>
      </c>
      <c r="H1130" t="s">
        <v>25</v>
      </c>
      <c r="I1130" s="22">
        <f t="shared" si="35"/>
        <v>1.9260605541815436E-2</v>
      </c>
      <c r="J1130" s="22" t="str">
        <f t="shared" si="36"/>
        <v/>
      </c>
    </row>
    <row r="1131" spans="1:10">
      <c r="A1131" s="1">
        <v>41151</v>
      </c>
      <c r="B1131">
        <v>29.73</v>
      </c>
      <c r="C1131">
        <v>29.79</v>
      </c>
      <c r="D1131">
        <v>29.36</v>
      </c>
      <c r="E1131">
        <v>29.65</v>
      </c>
      <c r="F1131">
        <v>21811500</v>
      </c>
      <c r="G1131">
        <v>29.62</v>
      </c>
      <c r="H1131" t="s">
        <v>25</v>
      </c>
      <c r="I1131" s="22">
        <f t="shared" si="35"/>
        <v>-8.7395514249637186E-3</v>
      </c>
      <c r="J1131" s="22" t="str">
        <f t="shared" si="36"/>
        <v>lost money</v>
      </c>
    </row>
    <row r="1132" spans="1:10">
      <c r="A1132" s="1">
        <v>41152</v>
      </c>
      <c r="B1132">
        <v>29.9</v>
      </c>
      <c r="C1132">
        <v>30.19</v>
      </c>
      <c r="D1132">
        <v>29.54</v>
      </c>
      <c r="E1132">
        <v>29.71</v>
      </c>
      <c r="F1132">
        <v>25333200</v>
      </c>
      <c r="G1132">
        <v>29.68</v>
      </c>
      <c r="H1132" t="s">
        <v>25</v>
      </c>
      <c r="I1132" s="22">
        <f t="shared" si="35"/>
        <v>2.0236094595269924E-3</v>
      </c>
      <c r="J1132" s="22" t="str">
        <f t="shared" si="36"/>
        <v>lost money</v>
      </c>
    </row>
    <row r="1133" spans="1:10">
      <c r="A1133" s="1">
        <v>41156</v>
      </c>
      <c r="B1133">
        <v>29.53</v>
      </c>
      <c r="C1133">
        <v>30.07</v>
      </c>
      <c r="D1133">
        <v>29.53</v>
      </c>
      <c r="E1133">
        <v>29.7</v>
      </c>
      <c r="F1133">
        <v>23189700</v>
      </c>
      <c r="G1133">
        <v>29.67</v>
      </c>
      <c r="H1133" t="s">
        <v>25</v>
      </c>
      <c r="I1133" s="22">
        <f t="shared" si="35"/>
        <v>-3.3698399644917053E-4</v>
      </c>
      <c r="J1133" s="22" t="str">
        <f t="shared" si="36"/>
        <v/>
      </c>
    </row>
    <row r="1134" spans="1:10">
      <c r="A1134" s="1">
        <v>41157</v>
      </c>
      <c r="B1134">
        <v>29.72</v>
      </c>
      <c r="C1134">
        <v>29.92</v>
      </c>
      <c r="D1134">
        <v>29.6</v>
      </c>
      <c r="E1134">
        <v>29.77</v>
      </c>
      <c r="F1134">
        <v>18163900</v>
      </c>
      <c r="G1134">
        <v>29.74</v>
      </c>
      <c r="H1134" t="s">
        <v>25</v>
      </c>
      <c r="I1134" s="22">
        <f t="shared" si="35"/>
        <v>2.3565067292784176E-3</v>
      </c>
      <c r="J1134" s="22" t="str">
        <f t="shared" si="36"/>
        <v/>
      </c>
    </row>
    <row r="1135" spans="1:10">
      <c r="A1135" s="1">
        <v>41158</v>
      </c>
      <c r="B1135">
        <v>29.9</v>
      </c>
      <c r="C1135">
        <v>31.15</v>
      </c>
      <c r="D1135">
        <v>29.88</v>
      </c>
      <c r="E1135">
        <v>31.12</v>
      </c>
      <c r="F1135">
        <v>59369400</v>
      </c>
      <c r="G1135">
        <v>31.09</v>
      </c>
      <c r="H1135" t="s">
        <v>25</v>
      </c>
      <c r="I1135" s="22">
        <f t="shared" si="35"/>
        <v>4.4393283038653433E-2</v>
      </c>
      <c r="J1135" s="22" t="str">
        <f t="shared" si="36"/>
        <v/>
      </c>
    </row>
    <row r="1136" spans="1:10">
      <c r="A1136" s="1">
        <v>41159</v>
      </c>
      <c r="B1136">
        <v>31.4</v>
      </c>
      <c r="C1136">
        <v>32.450000000000003</v>
      </c>
      <c r="D1136">
        <v>31.4</v>
      </c>
      <c r="E1136">
        <v>32.07</v>
      </c>
      <c r="F1136">
        <v>52132900</v>
      </c>
      <c r="G1136">
        <v>32.03</v>
      </c>
      <c r="H1136" t="s">
        <v>25</v>
      </c>
      <c r="I1136" s="22">
        <f t="shared" si="35"/>
        <v>2.9786739550404413E-2</v>
      </c>
      <c r="J1136" s="22" t="str">
        <f t="shared" si="36"/>
        <v/>
      </c>
    </row>
    <row r="1137" spans="1:10">
      <c r="A1137" s="1">
        <v>41162</v>
      </c>
      <c r="B1137">
        <v>32.130000000000003</v>
      </c>
      <c r="C1137">
        <v>32.6</v>
      </c>
      <c r="D1137">
        <v>31.77</v>
      </c>
      <c r="E1137">
        <v>31.83</v>
      </c>
      <c r="F1137">
        <v>32084700</v>
      </c>
      <c r="G1137">
        <v>31.79</v>
      </c>
      <c r="H1137" t="s">
        <v>25</v>
      </c>
      <c r="I1137" s="22">
        <f t="shared" si="35"/>
        <v>-7.5211886983554618E-3</v>
      </c>
      <c r="J1137" s="22" t="str">
        <f t="shared" si="36"/>
        <v>lost money</v>
      </c>
    </row>
    <row r="1138" spans="1:10">
      <c r="A1138" s="1">
        <v>41163</v>
      </c>
      <c r="B1138">
        <v>31.89</v>
      </c>
      <c r="C1138">
        <v>34.49</v>
      </c>
      <c r="D1138">
        <v>31.32</v>
      </c>
      <c r="E1138">
        <v>32.659999999999997</v>
      </c>
      <c r="F1138">
        <v>37575500</v>
      </c>
      <c r="G1138">
        <v>32.619999999999997</v>
      </c>
      <c r="H1138" t="s">
        <v>25</v>
      </c>
      <c r="I1138" s="22">
        <f t="shared" si="35"/>
        <v>2.5773822270156375E-2</v>
      </c>
      <c r="J1138" s="22" t="str">
        <f t="shared" si="36"/>
        <v/>
      </c>
    </row>
    <row r="1139" spans="1:10">
      <c r="A1139" s="1">
        <v>41164</v>
      </c>
      <c r="B1139">
        <v>33.01</v>
      </c>
      <c r="C1139">
        <v>33.58</v>
      </c>
      <c r="D1139">
        <v>32.82</v>
      </c>
      <c r="E1139">
        <v>33.049999999999997</v>
      </c>
      <c r="F1139">
        <v>41363700</v>
      </c>
      <c r="G1139">
        <v>33.01</v>
      </c>
      <c r="H1139" t="s">
        <v>25</v>
      </c>
      <c r="I1139" s="22">
        <f t="shared" si="35"/>
        <v>1.18849486722339E-2</v>
      </c>
      <c r="J1139" s="22" t="str">
        <f t="shared" si="36"/>
        <v/>
      </c>
    </row>
    <row r="1140" spans="1:10">
      <c r="A1140" s="1">
        <v>41165</v>
      </c>
      <c r="B1140">
        <v>32.97</v>
      </c>
      <c r="C1140">
        <v>34.5</v>
      </c>
      <c r="D1140">
        <v>32.64</v>
      </c>
      <c r="E1140">
        <v>34.450000000000003</v>
      </c>
      <c r="F1140">
        <v>62548500</v>
      </c>
      <c r="G1140">
        <v>34.409999999999997</v>
      </c>
      <c r="H1140" t="s">
        <v>25</v>
      </c>
      <c r="I1140" s="22">
        <f t="shared" si="35"/>
        <v>4.1536673944287394E-2</v>
      </c>
      <c r="J1140" s="22" t="str">
        <f t="shared" si="36"/>
        <v/>
      </c>
    </row>
    <row r="1141" spans="1:10">
      <c r="A1141" s="1">
        <v>41166</v>
      </c>
      <c r="B1141">
        <v>35.04</v>
      </c>
      <c r="C1141">
        <v>35.25</v>
      </c>
      <c r="D1141">
        <v>34.479999999999997</v>
      </c>
      <c r="E1141">
        <v>34.79</v>
      </c>
      <c r="F1141">
        <v>59510200</v>
      </c>
      <c r="G1141">
        <v>34.75</v>
      </c>
      <c r="H1141" t="s">
        <v>25</v>
      </c>
      <c r="I1141" s="22">
        <f t="shared" si="35"/>
        <v>9.8323522014122939E-3</v>
      </c>
      <c r="J1141" s="22" t="str">
        <f t="shared" si="36"/>
        <v>lost money</v>
      </c>
    </row>
    <row r="1142" spans="1:10">
      <c r="A1142" s="1">
        <v>41169</v>
      </c>
      <c r="B1142">
        <v>34.47</v>
      </c>
      <c r="C1142">
        <v>34.72</v>
      </c>
      <c r="D1142">
        <v>33.85</v>
      </c>
      <c r="E1142">
        <v>34.06</v>
      </c>
      <c r="F1142">
        <v>31628600</v>
      </c>
      <c r="G1142">
        <v>34.020000000000003</v>
      </c>
      <c r="H1142" t="s">
        <v>25</v>
      </c>
      <c r="I1142" s="22">
        <f t="shared" si="35"/>
        <v>-2.1230985043085293E-2</v>
      </c>
      <c r="J1142" s="22" t="str">
        <f t="shared" si="36"/>
        <v>lost money</v>
      </c>
    </row>
    <row r="1143" spans="1:10">
      <c r="A1143" s="1">
        <v>41170</v>
      </c>
      <c r="B1143">
        <v>33.74</v>
      </c>
      <c r="C1143">
        <v>34</v>
      </c>
      <c r="D1143">
        <v>33.32</v>
      </c>
      <c r="E1143">
        <v>33.94</v>
      </c>
      <c r="F1143">
        <v>37055100</v>
      </c>
      <c r="G1143">
        <v>33.9</v>
      </c>
      <c r="H1143" t="s">
        <v>25</v>
      </c>
      <c r="I1143" s="22">
        <f t="shared" si="35"/>
        <v>-3.5335725813112387E-3</v>
      </c>
      <c r="J1143" s="22" t="str">
        <f t="shared" si="36"/>
        <v/>
      </c>
    </row>
    <row r="1144" spans="1:10">
      <c r="A1144" s="1">
        <v>41171</v>
      </c>
      <c r="B1144">
        <v>34.03</v>
      </c>
      <c r="C1144">
        <v>34.54</v>
      </c>
      <c r="D1144">
        <v>33.880000000000003</v>
      </c>
      <c r="E1144">
        <v>34.18</v>
      </c>
      <c r="F1144">
        <v>44888800</v>
      </c>
      <c r="G1144">
        <v>34.14</v>
      </c>
      <c r="H1144" t="s">
        <v>25</v>
      </c>
      <c r="I1144" s="22">
        <f t="shared" si="35"/>
        <v>7.0547029798900332E-3</v>
      </c>
      <c r="J1144" s="22" t="str">
        <f t="shared" si="36"/>
        <v/>
      </c>
    </row>
    <row r="1145" spans="1:10">
      <c r="A1145" s="1">
        <v>41172</v>
      </c>
      <c r="B1145">
        <v>33.56</v>
      </c>
      <c r="C1145">
        <v>33.99</v>
      </c>
      <c r="D1145">
        <v>33.26</v>
      </c>
      <c r="E1145">
        <v>33.81</v>
      </c>
      <c r="F1145">
        <v>31832500</v>
      </c>
      <c r="G1145">
        <v>33.770000000000003</v>
      </c>
      <c r="H1145" t="s">
        <v>25</v>
      </c>
      <c r="I1145" s="22">
        <f t="shared" si="35"/>
        <v>-1.0896882968818201E-2</v>
      </c>
      <c r="J1145" s="22" t="str">
        <f t="shared" si="36"/>
        <v/>
      </c>
    </row>
    <row r="1146" spans="1:10">
      <c r="A1146" s="1">
        <v>41173</v>
      </c>
      <c r="B1146">
        <v>34.340000000000003</v>
      </c>
      <c r="C1146">
        <v>34.4</v>
      </c>
      <c r="D1146">
        <v>33.51</v>
      </c>
      <c r="E1146">
        <v>33.67</v>
      </c>
      <c r="F1146">
        <v>30342600</v>
      </c>
      <c r="G1146">
        <v>33.630000000000003</v>
      </c>
      <c r="H1146" t="s">
        <v>25</v>
      </c>
      <c r="I1146" s="22">
        <f t="shared" si="35"/>
        <v>-4.1543086452981281E-3</v>
      </c>
      <c r="J1146" s="22" t="str">
        <f t="shared" si="36"/>
        <v>lost money</v>
      </c>
    </row>
    <row r="1147" spans="1:10">
      <c r="A1147" s="1">
        <v>41176</v>
      </c>
      <c r="B1147">
        <v>33.270000000000003</v>
      </c>
      <c r="C1147">
        <v>33.78</v>
      </c>
      <c r="D1147">
        <v>33.200000000000003</v>
      </c>
      <c r="E1147">
        <v>33.49</v>
      </c>
      <c r="F1147">
        <v>28090000</v>
      </c>
      <c r="G1147">
        <v>33.450000000000003</v>
      </c>
      <c r="H1147" t="s">
        <v>25</v>
      </c>
      <c r="I1147" s="22">
        <f t="shared" si="35"/>
        <v>-5.3667391779407868E-3</v>
      </c>
      <c r="J1147" s="22" t="str">
        <f t="shared" si="36"/>
        <v/>
      </c>
    </row>
    <row r="1148" spans="1:10">
      <c r="A1148" s="1">
        <v>41177</v>
      </c>
      <c r="B1148">
        <v>33.68</v>
      </c>
      <c r="C1148">
        <v>33.9</v>
      </c>
      <c r="D1148">
        <v>32.85</v>
      </c>
      <c r="E1148">
        <v>32.86</v>
      </c>
      <c r="F1148">
        <v>37088900</v>
      </c>
      <c r="G1148">
        <v>32.82</v>
      </c>
      <c r="H1148" t="s">
        <v>25</v>
      </c>
      <c r="I1148" s="22">
        <f t="shared" si="35"/>
        <v>-1.9013700912292653E-2</v>
      </c>
      <c r="J1148" s="22" t="str">
        <f t="shared" si="36"/>
        <v>lost money</v>
      </c>
    </row>
    <row r="1149" spans="1:10">
      <c r="A1149" s="1">
        <v>41178</v>
      </c>
      <c r="B1149">
        <v>32.54</v>
      </c>
      <c r="C1149">
        <v>32.799999999999997</v>
      </c>
      <c r="D1149">
        <v>31.88</v>
      </c>
      <c r="E1149">
        <v>32.51</v>
      </c>
      <c r="F1149">
        <v>46571400</v>
      </c>
      <c r="G1149">
        <v>32.47</v>
      </c>
      <c r="H1149" t="s">
        <v>25</v>
      </c>
      <c r="I1149" s="22">
        <f t="shared" si="35"/>
        <v>-1.0721499547190348E-2</v>
      </c>
      <c r="J1149" s="22" t="str">
        <f t="shared" si="36"/>
        <v>lost money</v>
      </c>
    </row>
    <row r="1150" spans="1:10">
      <c r="A1150" s="1">
        <v>41179</v>
      </c>
      <c r="B1150">
        <v>32.840000000000003</v>
      </c>
      <c r="C1150">
        <v>33.33</v>
      </c>
      <c r="D1150">
        <v>32.56</v>
      </c>
      <c r="E1150">
        <v>32.97</v>
      </c>
      <c r="F1150">
        <v>32072500</v>
      </c>
      <c r="G1150">
        <v>32.93</v>
      </c>
      <c r="H1150" t="s">
        <v>25</v>
      </c>
      <c r="I1150" s="22">
        <f t="shared" si="35"/>
        <v>1.4067510273518364E-2</v>
      </c>
      <c r="J1150" s="22" t="str">
        <f t="shared" si="36"/>
        <v/>
      </c>
    </row>
    <row r="1151" spans="1:10">
      <c r="A1151" s="1">
        <v>41180</v>
      </c>
      <c r="B1151">
        <v>32.729999999999997</v>
      </c>
      <c r="C1151">
        <v>33.119999999999997</v>
      </c>
      <c r="D1151">
        <v>32.53</v>
      </c>
      <c r="E1151">
        <v>32.72</v>
      </c>
      <c r="F1151">
        <v>28952300</v>
      </c>
      <c r="G1151">
        <v>32.68</v>
      </c>
      <c r="H1151" t="s">
        <v>25</v>
      </c>
      <c r="I1151" s="22">
        <f t="shared" si="35"/>
        <v>-7.620826396470784E-3</v>
      </c>
      <c r="J1151" s="22" t="str">
        <f t="shared" si="36"/>
        <v>lost money</v>
      </c>
    </row>
    <row r="1152" spans="1:10">
      <c r="A1152" s="1">
        <v>41183</v>
      </c>
      <c r="B1152">
        <v>33</v>
      </c>
      <c r="C1152">
        <v>33.590000000000003</v>
      </c>
      <c r="D1152">
        <v>32.700000000000003</v>
      </c>
      <c r="E1152">
        <v>32.75</v>
      </c>
      <c r="F1152">
        <v>33550700</v>
      </c>
      <c r="G1152">
        <v>32.71</v>
      </c>
      <c r="H1152" t="s">
        <v>25</v>
      </c>
      <c r="I1152" s="22">
        <f t="shared" si="35"/>
        <v>9.1757155849039776E-4</v>
      </c>
      <c r="J1152" s="22" t="str">
        <f t="shared" si="36"/>
        <v>lost money</v>
      </c>
    </row>
    <row r="1153" spans="1:10">
      <c r="A1153" s="1">
        <v>41184</v>
      </c>
      <c r="B1153">
        <v>33.270000000000003</v>
      </c>
      <c r="C1153">
        <v>33.380000000000003</v>
      </c>
      <c r="D1153">
        <v>32.869999999999997</v>
      </c>
      <c r="E1153">
        <v>33.26</v>
      </c>
      <c r="F1153">
        <v>25460500</v>
      </c>
      <c r="G1153">
        <v>33.22</v>
      </c>
      <c r="H1153" t="s">
        <v>25</v>
      </c>
      <c r="I1153" s="22">
        <f t="shared" si="35"/>
        <v>1.547126263485629E-2</v>
      </c>
      <c r="J1153" s="22" t="str">
        <f t="shared" si="36"/>
        <v>lost money</v>
      </c>
    </row>
    <row r="1154" spans="1:10">
      <c r="A1154" s="1">
        <v>41185</v>
      </c>
      <c r="B1154">
        <v>33.44</v>
      </c>
      <c r="C1154">
        <v>34.06</v>
      </c>
      <c r="D1154">
        <v>33.049999999999997</v>
      </c>
      <c r="E1154">
        <v>34.06</v>
      </c>
      <c r="F1154">
        <v>34206500</v>
      </c>
      <c r="G1154">
        <v>34.020000000000003</v>
      </c>
      <c r="H1154" t="s">
        <v>25</v>
      </c>
      <c r="I1154" s="22">
        <f t="shared" si="35"/>
        <v>2.3796482782566949E-2</v>
      </c>
      <c r="J1154" s="22" t="str">
        <f t="shared" si="36"/>
        <v/>
      </c>
    </row>
    <row r="1155" spans="1:10">
      <c r="A1155" s="1">
        <v>41186</v>
      </c>
      <c r="B1155">
        <v>34.409999999999997</v>
      </c>
      <c r="C1155">
        <v>35.090000000000003</v>
      </c>
      <c r="D1155">
        <v>34.270000000000003</v>
      </c>
      <c r="E1155">
        <v>34.96</v>
      </c>
      <c r="F1155">
        <v>39524000</v>
      </c>
      <c r="G1155">
        <v>34.92</v>
      </c>
      <c r="H1155" t="s">
        <v>25</v>
      </c>
      <c r="I1155" s="22">
        <f t="shared" ref="I1155:I1218" si="37">IF(A1155=$A$2,"",LN(G1155/G1154))</f>
        <v>2.6111144003685804E-2</v>
      </c>
      <c r="J1155" s="22" t="str">
        <f t="shared" ref="J1155:J1218" si="38">IF(B1155&gt;E1155,"lost money","")</f>
        <v/>
      </c>
    </row>
    <row r="1156" spans="1:10">
      <c r="A1156" s="1">
        <v>41187</v>
      </c>
      <c r="B1156">
        <v>35.39</v>
      </c>
      <c r="C1156">
        <v>35.74</v>
      </c>
      <c r="D1156">
        <v>34.6</v>
      </c>
      <c r="E1156">
        <v>34.770000000000003</v>
      </c>
      <c r="F1156">
        <v>42369700</v>
      </c>
      <c r="G1156">
        <v>34.729999999999997</v>
      </c>
      <c r="H1156" t="s">
        <v>25</v>
      </c>
      <c r="I1156" s="22">
        <f t="shared" si="37"/>
        <v>-5.4558642154188966E-3</v>
      </c>
      <c r="J1156" s="22" t="str">
        <f t="shared" si="38"/>
        <v>lost money</v>
      </c>
    </row>
    <row r="1157" spans="1:10">
      <c r="A1157" s="1">
        <v>41190</v>
      </c>
      <c r="B1157">
        <v>34.229999999999997</v>
      </c>
      <c r="C1157">
        <v>34.89</v>
      </c>
      <c r="D1157">
        <v>34.229999999999997</v>
      </c>
      <c r="E1157">
        <v>34.78</v>
      </c>
      <c r="F1157">
        <v>20622700</v>
      </c>
      <c r="G1157">
        <v>34.74</v>
      </c>
      <c r="H1157" t="s">
        <v>25</v>
      </c>
      <c r="I1157" s="22">
        <f t="shared" si="37"/>
        <v>2.8789405697642859E-4</v>
      </c>
      <c r="J1157" s="22" t="str">
        <f t="shared" si="38"/>
        <v/>
      </c>
    </row>
    <row r="1158" spans="1:10">
      <c r="A1158" s="1">
        <v>41191</v>
      </c>
      <c r="B1158">
        <v>34.82</v>
      </c>
      <c r="C1158">
        <v>35.08</v>
      </c>
      <c r="D1158">
        <v>34.520000000000003</v>
      </c>
      <c r="E1158">
        <v>34.6</v>
      </c>
      <c r="F1158">
        <v>29208800</v>
      </c>
      <c r="G1158">
        <v>34.56</v>
      </c>
      <c r="H1158" t="s">
        <v>25</v>
      </c>
      <c r="I1158" s="22">
        <f t="shared" si="37"/>
        <v>-5.1948168771040228E-3</v>
      </c>
      <c r="J1158" s="22" t="str">
        <f t="shared" si="38"/>
        <v>lost money</v>
      </c>
    </row>
    <row r="1159" spans="1:10">
      <c r="A1159" s="1">
        <v>41192</v>
      </c>
      <c r="B1159">
        <v>34.71</v>
      </c>
      <c r="C1159">
        <v>35.18</v>
      </c>
      <c r="D1159">
        <v>34.590000000000003</v>
      </c>
      <c r="E1159">
        <v>35.14</v>
      </c>
      <c r="F1159">
        <v>29302200</v>
      </c>
      <c r="G1159">
        <v>35.1</v>
      </c>
      <c r="H1159" t="s">
        <v>25</v>
      </c>
      <c r="I1159" s="22">
        <f t="shared" si="37"/>
        <v>1.5504186535965254E-2</v>
      </c>
      <c r="J1159" s="22" t="str">
        <f t="shared" si="38"/>
        <v/>
      </c>
    </row>
    <row r="1160" spans="1:10">
      <c r="A1160" s="1">
        <v>41193</v>
      </c>
      <c r="B1160">
        <v>35.67</v>
      </c>
      <c r="C1160">
        <v>36.159999999999997</v>
      </c>
      <c r="D1160">
        <v>35.36</v>
      </c>
      <c r="E1160">
        <v>35.520000000000003</v>
      </c>
      <c r="F1160">
        <v>44125600</v>
      </c>
      <c r="G1160">
        <v>35.479999999999997</v>
      </c>
      <c r="H1160" t="s">
        <v>25</v>
      </c>
      <c r="I1160" s="22">
        <f t="shared" si="37"/>
        <v>1.0768026969558503E-2</v>
      </c>
      <c r="J1160" s="22" t="str">
        <f t="shared" si="38"/>
        <v>lost money</v>
      </c>
    </row>
    <row r="1161" spans="1:10">
      <c r="A1161" s="1">
        <v>41194</v>
      </c>
      <c r="B1161">
        <v>34.81</v>
      </c>
      <c r="C1161">
        <v>35.65</v>
      </c>
      <c r="D1161">
        <v>34.659999999999997</v>
      </c>
      <c r="E1161">
        <v>34.75</v>
      </c>
      <c r="F1161">
        <v>42554900</v>
      </c>
      <c r="G1161">
        <v>34.71</v>
      </c>
      <c r="H1161" t="s">
        <v>25</v>
      </c>
      <c r="I1161" s="22">
        <f t="shared" si="37"/>
        <v>-2.1941327567683758E-2</v>
      </c>
      <c r="J1161" s="22" t="str">
        <f t="shared" si="38"/>
        <v>lost money</v>
      </c>
    </row>
    <row r="1162" spans="1:10">
      <c r="A1162" s="1">
        <v>41197</v>
      </c>
      <c r="B1162">
        <v>35.4</v>
      </c>
      <c r="C1162">
        <v>36.700000000000003</v>
      </c>
      <c r="D1162">
        <v>35.200000000000003</v>
      </c>
      <c r="E1162">
        <v>36.659999999999997</v>
      </c>
      <c r="F1162">
        <v>76080200</v>
      </c>
      <c r="G1162">
        <v>36.619999999999997</v>
      </c>
      <c r="H1162" t="s">
        <v>25</v>
      </c>
      <c r="I1162" s="22">
        <f t="shared" si="37"/>
        <v>5.3566709372669594E-2</v>
      </c>
      <c r="J1162" s="22" t="str">
        <f t="shared" si="38"/>
        <v/>
      </c>
    </row>
    <row r="1163" spans="1:10">
      <c r="A1163" s="1">
        <v>41198</v>
      </c>
      <c r="B1163">
        <v>36.409999999999997</v>
      </c>
      <c r="C1163">
        <v>37.4</v>
      </c>
      <c r="D1163">
        <v>36.25</v>
      </c>
      <c r="E1163">
        <v>37.25</v>
      </c>
      <c r="F1163">
        <v>128150100</v>
      </c>
      <c r="G1163">
        <v>37.21</v>
      </c>
      <c r="H1163" t="s">
        <v>25</v>
      </c>
      <c r="I1163" s="22">
        <f t="shared" si="37"/>
        <v>1.5983003112166608E-2</v>
      </c>
      <c r="J1163" s="22" t="str">
        <f t="shared" si="38"/>
        <v/>
      </c>
    </row>
    <row r="1164" spans="1:10">
      <c r="A1164" s="1">
        <v>41199</v>
      </c>
      <c r="B1164">
        <v>37.67</v>
      </c>
      <c r="C1164">
        <v>38.479999999999997</v>
      </c>
      <c r="D1164">
        <v>37.56</v>
      </c>
      <c r="E1164">
        <v>38.43</v>
      </c>
      <c r="F1164">
        <v>69122700</v>
      </c>
      <c r="G1164">
        <v>38.39</v>
      </c>
      <c r="H1164" t="s">
        <v>25</v>
      </c>
      <c r="I1164" s="22">
        <f t="shared" si="37"/>
        <v>3.1219466654175097E-2</v>
      </c>
      <c r="J1164" s="22" t="str">
        <f t="shared" si="38"/>
        <v/>
      </c>
    </row>
    <row r="1165" spans="1:10">
      <c r="A1165" s="1">
        <v>41200</v>
      </c>
      <c r="B1165">
        <v>38.24</v>
      </c>
      <c r="C1165">
        <v>38.72</v>
      </c>
      <c r="D1165">
        <v>38.01</v>
      </c>
      <c r="E1165">
        <v>38.42</v>
      </c>
      <c r="F1165">
        <v>43728600</v>
      </c>
      <c r="G1165">
        <v>38.380000000000003</v>
      </c>
      <c r="H1165" t="s">
        <v>25</v>
      </c>
      <c r="I1165" s="22">
        <f t="shared" si="37"/>
        <v>-2.6051843315241574E-4</v>
      </c>
      <c r="J1165" s="22" t="str">
        <f t="shared" si="38"/>
        <v/>
      </c>
    </row>
    <row r="1166" spans="1:10">
      <c r="A1166" s="1">
        <v>41201</v>
      </c>
      <c r="B1166">
        <v>38.03</v>
      </c>
      <c r="C1166">
        <v>38.06</v>
      </c>
      <c r="D1166">
        <v>37.01</v>
      </c>
      <c r="E1166">
        <v>37.159999999999997</v>
      </c>
      <c r="F1166">
        <v>59598800</v>
      </c>
      <c r="G1166">
        <v>37.119999999999997</v>
      </c>
      <c r="H1166" t="s">
        <v>25</v>
      </c>
      <c r="I1166" s="22">
        <f t="shared" si="37"/>
        <v>-3.3380582661554178E-2</v>
      </c>
      <c r="J1166" s="22" t="str">
        <f t="shared" si="38"/>
        <v>lost money</v>
      </c>
    </row>
    <row r="1167" spans="1:10">
      <c r="A1167" s="1">
        <v>41204</v>
      </c>
      <c r="B1167">
        <v>37.21</v>
      </c>
      <c r="C1167">
        <v>37.75</v>
      </c>
      <c r="D1167">
        <v>37.090000000000003</v>
      </c>
      <c r="E1167">
        <v>37.72</v>
      </c>
      <c r="F1167">
        <v>35734500</v>
      </c>
      <c r="G1167">
        <v>37.68</v>
      </c>
      <c r="H1167" t="s">
        <v>25</v>
      </c>
      <c r="I1167" s="22">
        <f t="shared" si="37"/>
        <v>1.4973541790162583E-2</v>
      </c>
      <c r="J1167" s="22" t="str">
        <f t="shared" si="38"/>
        <v/>
      </c>
    </row>
    <row r="1168" spans="1:10">
      <c r="A1168" s="1">
        <v>41205</v>
      </c>
      <c r="B1168">
        <v>36.99</v>
      </c>
      <c r="C1168">
        <v>37.299999999999997</v>
      </c>
      <c r="D1168">
        <v>36.799999999999997</v>
      </c>
      <c r="E1168">
        <v>36.89</v>
      </c>
      <c r="F1168">
        <v>36533100</v>
      </c>
      <c r="G1168">
        <v>36.85</v>
      </c>
      <c r="H1168" t="s">
        <v>25</v>
      </c>
      <c r="I1168" s="22">
        <f t="shared" si="37"/>
        <v>-2.2273831072816608E-2</v>
      </c>
      <c r="J1168" s="22" t="str">
        <f t="shared" si="38"/>
        <v>lost money</v>
      </c>
    </row>
    <row r="1169" spans="1:10">
      <c r="A1169" s="1">
        <v>41206</v>
      </c>
      <c r="B1169">
        <v>37.25</v>
      </c>
      <c r="C1169">
        <v>37.700000000000003</v>
      </c>
      <c r="D1169">
        <v>37.020000000000003</v>
      </c>
      <c r="E1169">
        <v>37.299999999999997</v>
      </c>
      <c r="F1169">
        <v>41788700</v>
      </c>
      <c r="G1169">
        <v>37.26</v>
      </c>
      <c r="H1169" t="s">
        <v>25</v>
      </c>
      <c r="I1169" s="22">
        <f t="shared" si="37"/>
        <v>1.1064746538096672E-2</v>
      </c>
      <c r="J1169" s="22" t="str">
        <f t="shared" si="38"/>
        <v/>
      </c>
    </row>
    <row r="1170" spans="1:10">
      <c r="A1170" s="1">
        <v>41207</v>
      </c>
      <c r="B1170">
        <v>37.72</v>
      </c>
      <c r="C1170">
        <v>37.840000000000003</v>
      </c>
      <c r="D1170">
        <v>36.9</v>
      </c>
      <c r="E1170">
        <v>37.409999999999997</v>
      </c>
      <c r="F1170">
        <v>32797300</v>
      </c>
      <c r="G1170">
        <v>37.369999999999997</v>
      </c>
      <c r="H1170" t="s">
        <v>25</v>
      </c>
      <c r="I1170" s="22">
        <f t="shared" si="37"/>
        <v>2.9478783239501424E-3</v>
      </c>
      <c r="J1170" s="22" t="str">
        <f t="shared" si="38"/>
        <v>lost money</v>
      </c>
    </row>
    <row r="1171" spans="1:10">
      <c r="A1171" s="1">
        <v>41208</v>
      </c>
      <c r="B1171">
        <v>37.14</v>
      </c>
      <c r="C1171">
        <v>37.31</v>
      </c>
      <c r="D1171">
        <v>36.479999999999997</v>
      </c>
      <c r="E1171">
        <v>36.6</v>
      </c>
      <c r="F1171">
        <v>40482500</v>
      </c>
      <c r="G1171">
        <v>36.56</v>
      </c>
      <c r="H1171" t="s">
        <v>25</v>
      </c>
      <c r="I1171" s="22">
        <f t="shared" si="37"/>
        <v>-2.1913496911443162E-2</v>
      </c>
      <c r="J1171" s="22" t="str">
        <f t="shared" si="38"/>
        <v>lost money</v>
      </c>
    </row>
    <row r="1172" spans="1:10">
      <c r="A1172" s="1">
        <v>41213</v>
      </c>
      <c r="B1172">
        <v>36.979999999999997</v>
      </c>
      <c r="C1172">
        <v>37.479999999999997</v>
      </c>
      <c r="D1172">
        <v>36.74</v>
      </c>
      <c r="E1172">
        <v>37.39</v>
      </c>
      <c r="F1172">
        <v>34193700</v>
      </c>
      <c r="G1172">
        <v>37.35</v>
      </c>
      <c r="H1172" t="s">
        <v>25</v>
      </c>
      <c r="I1172" s="22">
        <f t="shared" si="37"/>
        <v>2.137816499287706E-2</v>
      </c>
      <c r="J1172" s="22" t="str">
        <f t="shared" si="38"/>
        <v/>
      </c>
    </row>
    <row r="1173" spans="1:10">
      <c r="A1173" s="1">
        <v>41214</v>
      </c>
      <c r="B1173">
        <v>37.57</v>
      </c>
      <c r="C1173">
        <v>38</v>
      </c>
      <c r="D1173">
        <v>37.35</v>
      </c>
      <c r="E1173">
        <v>37.950000000000003</v>
      </c>
      <c r="F1173">
        <v>36174700</v>
      </c>
      <c r="G1173">
        <v>37.92</v>
      </c>
      <c r="H1173" t="s">
        <v>25</v>
      </c>
      <c r="I1173" s="22">
        <f t="shared" si="37"/>
        <v>1.5145765807994841E-2</v>
      </c>
      <c r="J1173" s="22" t="str">
        <f t="shared" si="38"/>
        <v/>
      </c>
    </row>
    <row r="1174" spans="1:10">
      <c r="A1174" s="1">
        <v>41215</v>
      </c>
      <c r="B1174">
        <v>38.1</v>
      </c>
      <c r="C1174">
        <v>38.159999999999997</v>
      </c>
      <c r="D1174">
        <v>37.51</v>
      </c>
      <c r="E1174">
        <v>37.6</v>
      </c>
      <c r="F1174">
        <v>24526300</v>
      </c>
      <c r="G1174">
        <v>37.57</v>
      </c>
      <c r="H1174" t="s">
        <v>25</v>
      </c>
      <c r="I1174" s="22">
        <f t="shared" si="37"/>
        <v>-9.2728178009435398E-3</v>
      </c>
      <c r="J1174" s="22" t="str">
        <f t="shared" si="38"/>
        <v>lost money</v>
      </c>
    </row>
    <row r="1175" spans="1:10">
      <c r="A1175" s="1">
        <v>41218</v>
      </c>
      <c r="B1175">
        <v>37.299999999999997</v>
      </c>
      <c r="C1175">
        <v>37.590000000000003</v>
      </c>
      <c r="D1175">
        <v>36.950000000000003</v>
      </c>
      <c r="E1175">
        <v>37.32</v>
      </c>
      <c r="F1175">
        <v>25782400</v>
      </c>
      <c r="G1175">
        <v>37.29</v>
      </c>
      <c r="H1175" t="s">
        <v>25</v>
      </c>
      <c r="I1175" s="22">
        <f t="shared" si="37"/>
        <v>-7.4806653951481642E-3</v>
      </c>
      <c r="J1175" s="22" t="str">
        <f t="shared" si="38"/>
        <v/>
      </c>
    </row>
    <row r="1176" spans="1:10">
      <c r="A1176" s="1">
        <v>41219</v>
      </c>
      <c r="B1176">
        <v>37.450000000000003</v>
      </c>
      <c r="C1176">
        <v>38.5</v>
      </c>
      <c r="D1176">
        <v>37.43</v>
      </c>
      <c r="E1176">
        <v>38.47</v>
      </c>
      <c r="F1176">
        <v>39803700</v>
      </c>
      <c r="G1176">
        <v>38.44</v>
      </c>
      <c r="H1176" t="s">
        <v>25</v>
      </c>
      <c r="I1176" s="22">
        <f t="shared" si="37"/>
        <v>3.0373389911362209E-2</v>
      </c>
      <c r="J1176" s="22" t="str">
        <f t="shared" si="38"/>
        <v/>
      </c>
    </row>
    <row r="1177" spans="1:10">
      <c r="A1177" s="1">
        <v>41220</v>
      </c>
      <c r="B1177">
        <v>37.619999999999997</v>
      </c>
      <c r="C1177">
        <v>37.79</v>
      </c>
      <c r="D1177">
        <v>36</v>
      </c>
      <c r="E1177">
        <v>36.049999999999997</v>
      </c>
      <c r="F1177">
        <v>68287600</v>
      </c>
      <c r="G1177">
        <v>36.020000000000003</v>
      </c>
      <c r="H1177" t="s">
        <v>25</v>
      </c>
      <c r="I1177" s="22">
        <f t="shared" si="37"/>
        <v>-6.502424435428153E-2</v>
      </c>
      <c r="J1177" s="22" t="str">
        <f t="shared" si="38"/>
        <v>lost money</v>
      </c>
    </row>
    <row r="1178" spans="1:10">
      <c r="A1178" s="1">
        <v>41221</v>
      </c>
      <c r="B1178">
        <v>36.46</v>
      </c>
      <c r="C1178">
        <v>36.65</v>
      </c>
      <c r="D1178">
        <v>35.950000000000003</v>
      </c>
      <c r="E1178">
        <v>36</v>
      </c>
      <c r="F1178">
        <v>40321600</v>
      </c>
      <c r="G1178">
        <v>35.97</v>
      </c>
      <c r="H1178" t="s">
        <v>25</v>
      </c>
      <c r="I1178" s="22">
        <f t="shared" si="37"/>
        <v>-1.3890820402775619E-3</v>
      </c>
      <c r="J1178" s="22" t="str">
        <f t="shared" si="38"/>
        <v>lost money</v>
      </c>
    </row>
    <row r="1179" spans="1:10">
      <c r="A1179" s="1">
        <v>41222</v>
      </c>
      <c r="B1179">
        <v>35.58</v>
      </c>
      <c r="C1179">
        <v>36.520000000000003</v>
      </c>
      <c r="D1179">
        <v>35.4</v>
      </c>
      <c r="E1179">
        <v>35.93</v>
      </c>
      <c r="F1179">
        <v>37701300</v>
      </c>
      <c r="G1179">
        <v>35.9</v>
      </c>
      <c r="H1179" t="s">
        <v>25</v>
      </c>
      <c r="I1179" s="22">
        <f t="shared" si="37"/>
        <v>-1.9479622132994312E-3</v>
      </c>
      <c r="J1179" s="22" t="str">
        <f t="shared" si="38"/>
        <v/>
      </c>
    </row>
    <row r="1180" spans="1:10">
      <c r="A1180" s="1">
        <v>41225</v>
      </c>
      <c r="B1180">
        <v>36.119999999999997</v>
      </c>
      <c r="C1180">
        <v>36.74</v>
      </c>
      <c r="D1180">
        <v>35.96</v>
      </c>
      <c r="E1180">
        <v>36.42</v>
      </c>
      <c r="F1180">
        <v>24364200</v>
      </c>
      <c r="G1180">
        <v>36.39</v>
      </c>
      <c r="H1180" t="s">
        <v>25</v>
      </c>
      <c r="I1180" s="22">
        <f t="shared" si="37"/>
        <v>1.3556716129835325E-2</v>
      </c>
      <c r="J1180" s="22" t="str">
        <f t="shared" si="38"/>
        <v/>
      </c>
    </row>
    <row r="1181" spans="1:10">
      <c r="A1181" s="1">
        <v>41226</v>
      </c>
      <c r="B1181">
        <v>36.01</v>
      </c>
      <c r="C1181">
        <v>36.770000000000003</v>
      </c>
      <c r="D1181">
        <v>35.93</v>
      </c>
      <c r="E1181">
        <v>36.159999999999997</v>
      </c>
      <c r="F1181">
        <v>25977400</v>
      </c>
      <c r="G1181">
        <v>36.130000000000003</v>
      </c>
      <c r="H1181" t="s">
        <v>25</v>
      </c>
      <c r="I1181" s="22">
        <f t="shared" si="37"/>
        <v>-7.1704664645195707E-3</v>
      </c>
      <c r="J1181" s="22" t="str">
        <f t="shared" si="38"/>
        <v/>
      </c>
    </row>
    <row r="1182" spans="1:10">
      <c r="A1182" s="1">
        <v>41227</v>
      </c>
      <c r="B1182">
        <v>36.29</v>
      </c>
      <c r="C1182">
        <v>36.46</v>
      </c>
      <c r="D1182">
        <v>34.89</v>
      </c>
      <c r="E1182">
        <v>35.020000000000003</v>
      </c>
      <c r="F1182">
        <v>49909500</v>
      </c>
      <c r="G1182">
        <v>34.99</v>
      </c>
      <c r="H1182" t="s">
        <v>25</v>
      </c>
      <c r="I1182" s="22">
        <f t="shared" si="37"/>
        <v>-3.2061238779952185E-2</v>
      </c>
      <c r="J1182" s="22" t="str">
        <f t="shared" si="38"/>
        <v>lost money</v>
      </c>
    </row>
    <row r="1183" spans="1:10">
      <c r="A1183" s="1">
        <v>41228</v>
      </c>
      <c r="B1183">
        <v>35.19</v>
      </c>
      <c r="C1183">
        <v>35.799999999999997</v>
      </c>
      <c r="D1183">
        <v>35.01</v>
      </c>
      <c r="E1183">
        <v>35.21</v>
      </c>
      <c r="F1183">
        <v>39677700</v>
      </c>
      <c r="G1183">
        <v>35.18</v>
      </c>
      <c r="H1183" t="s">
        <v>25</v>
      </c>
      <c r="I1183" s="22">
        <f t="shared" si="37"/>
        <v>5.4154329298153857E-3</v>
      </c>
      <c r="J1183" s="22" t="str">
        <f t="shared" si="38"/>
        <v/>
      </c>
    </row>
    <row r="1184" spans="1:10">
      <c r="A1184" s="1">
        <v>41229</v>
      </c>
      <c r="B1184">
        <v>35.15</v>
      </c>
      <c r="C1184">
        <v>35.31</v>
      </c>
      <c r="D1184">
        <v>34.17</v>
      </c>
      <c r="E1184">
        <v>34.979999999999997</v>
      </c>
      <c r="F1184">
        <v>52828200</v>
      </c>
      <c r="G1184">
        <v>34.950000000000003</v>
      </c>
      <c r="H1184" t="s">
        <v>25</v>
      </c>
      <c r="I1184" s="22">
        <f t="shared" si="37"/>
        <v>-6.5592706295928014E-3</v>
      </c>
      <c r="J1184" s="22" t="str">
        <f t="shared" si="38"/>
        <v>lost money</v>
      </c>
    </row>
    <row r="1185" spans="1:10">
      <c r="A1185" s="1">
        <v>41232</v>
      </c>
      <c r="B1185">
        <v>35.729999999999997</v>
      </c>
      <c r="C1185">
        <v>36.42</v>
      </c>
      <c r="D1185">
        <v>35.700000000000003</v>
      </c>
      <c r="E1185">
        <v>36.1</v>
      </c>
      <c r="F1185">
        <v>34352000</v>
      </c>
      <c r="G1185">
        <v>36.07</v>
      </c>
      <c r="H1185" t="s">
        <v>25</v>
      </c>
      <c r="I1185" s="22">
        <f t="shared" si="37"/>
        <v>3.1543026235628373E-2</v>
      </c>
      <c r="J1185" s="22" t="str">
        <f t="shared" si="38"/>
        <v/>
      </c>
    </row>
    <row r="1186" spans="1:10">
      <c r="A1186" s="1">
        <v>41233</v>
      </c>
      <c r="B1186">
        <v>35.85</v>
      </c>
      <c r="C1186">
        <v>36.39</v>
      </c>
      <c r="D1186">
        <v>35.700000000000003</v>
      </c>
      <c r="E1186">
        <v>36</v>
      </c>
      <c r="F1186">
        <v>37247900</v>
      </c>
      <c r="G1186">
        <v>35.97</v>
      </c>
      <c r="H1186" t="s">
        <v>25</v>
      </c>
      <c r="I1186" s="22">
        <f t="shared" si="37"/>
        <v>-2.7762372079150866E-3</v>
      </c>
      <c r="J1186" s="22" t="str">
        <f t="shared" si="38"/>
        <v/>
      </c>
    </row>
    <row r="1187" spans="1:10">
      <c r="A1187" s="1">
        <v>41234</v>
      </c>
      <c r="B1187">
        <v>36.090000000000003</v>
      </c>
      <c r="C1187">
        <v>36.090000000000003</v>
      </c>
      <c r="D1187">
        <v>35.58</v>
      </c>
      <c r="E1187">
        <v>35.770000000000003</v>
      </c>
      <c r="F1187">
        <v>19638900</v>
      </c>
      <c r="G1187">
        <v>35.74</v>
      </c>
      <c r="H1187" t="s">
        <v>25</v>
      </c>
      <c r="I1187" s="22">
        <f t="shared" si="37"/>
        <v>-6.4147479762505033E-3</v>
      </c>
      <c r="J1187" s="22" t="str">
        <f t="shared" si="38"/>
        <v>lost money</v>
      </c>
    </row>
    <row r="1188" spans="1:10">
      <c r="A1188" s="1">
        <v>41236</v>
      </c>
      <c r="B1188">
        <v>35.96</v>
      </c>
      <c r="C1188">
        <v>36.1</v>
      </c>
      <c r="D1188">
        <v>35.82</v>
      </c>
      <c r="E1188">
        <v>36.03</v>
      </c>
      <c r="F1188">
        <v>13501300</v>
      </c>
      <c r="G1188">
        <v>36</v>
      </c>
      <c r="H1188" t="s">
        <v>25</v>
      </c>
      <c r="I1188" s="22">
        <f t="shared" si="37"/>
        <v>7.2484287248278812E-3</v>
      </c>
      <c r="J1188" s="22" t="str">
        <f t="shared" si="38"/>
        <v/>
      </c>
    </row>
    <row r="1189" spans="1:10">
      <c r="A1189" s="1">
        <v>41239</v>
      </c>
      <c r="B1189">
        <v>35.83</v>
      </c>
      <c r="C1189">
        <v>35.840000000000003</v>
      </c>
      <c r="D1189">
        <v>35.36</v>
      </c>
      <c r="E1189">
        <v>35.57</v>
      </c>
      <c r="F1189">
        <v>25519300</v>
      </c>
      <c r="G1189">
        <v>35.54</v>
      </c>
      <c r="H1189" t="s">
        <v>25</v>
      </c>
      <c r="I1189" s="22">
        <f t="shared" si="37"/>
        <v>-1.2860115729604726E-2</v>
      </c>
      <c r="J1189" s="22" t="str">
        <f t="shared" si="38"/>
        <v>lost money</v>
      </c>
    </row>
    <row r="1190" spans="1:10">
      <c r="A1190" s="1">
        <v>41240</v>
      </c>
      <c r="B1190">
        <v>35.53</v>
      </c>
      <c r="C1190">
        <v>35.82</v>
      </c>
      <c r="D1190">
        <v>35.020000000000003</v>
      </c>
      <c r="E1190">
        <v>35.04</v>
      </c>
      <c r="F1190">
        <v>31273300</v>
      </c>
      <c r="G1190">
        <v>35.01</v>
      </c>
      <c r="H1190" t="s">
        <v>25</v>
      </c>
      <c r="I1190" s="22">
        <f t="shared" si="37"/>
        <v>-1.5025087759931003E-2</v>
      </c>
      <c r="J1190" s="22" t="str">
        <f t="shared" si="38"/>
        <v>lost money</v>
      </c>
    </row>
    <row r="1191" spans="1:10">
      <c r="A1191" s="1">
        <v>41241</v>
      </c>
      <c r="B1191">
        <v>34.770000000000003</v>
      </c>
      <c r="C1191">
        <v>35.08</v>
      </c>
      <c r="D1191">
        <v>34.04</v>
      </c>
      <c r="E1191">
        <v>35.07</v>
      </c>
      <c r="F1191">
        <v>48663700</v>
      </c>
      <c r="G1191">
        <v>35.04</v>
      </c>
      <c r="H1191" t="s">
        <v>25</v>
      </c>
      <c r="I1191" s="22">
        <f t="shared" si="37"/>
        <v>8.5653110161642795E-4</v>
      </c>
      <c r="J1191" s="22" t="str">
        <f t="shared" si="38"/>
        <v/>
      </c>
    </row>
    <row r="1192" spans="1:10">
      <c r="A1192" s="1">
        <v>41242</v>
      </c>
      <c r="B1192">
        <v>35.380000000000003</v>
      </c>
      <c r="C1192">
        <v>35.64</v>
      </c>
      <c r="D1192">
        <v>35.020000000000003</v>
      </c>
      <c r="E1192">
        <v>35.21</v>
      </c>
      <c r="F1192">
        <v>31678000</v>
      </c>
      <c r="G1192">
        <v>35.18</v>
      </c>
      <c r="H1192" t="s">
        <v>25</v>
      </c>
      <c r="I1192" s="22">
        <f t="shared" si="37"/>
        <v>3.9874732412214552E-3</v>
      </c>
      <c r="J1192" s="22" t="str">
        <f t="shared" si="38"/>
        <v>lost money</v>
      </c>
    </row>
    <row r="1193" spans="1:10">
      <c r="A1193" s="1">
        <v>41243</v>
      </c>
      <c r="B1193">
        <v>34.950000000000003</v>
      </c>
      <c r="C1193">
        <v>35.24</v>
      </c>
      <c r="D1193">
        <v>34.22</v>
      </c>
      <c r="E1193">
        <v>34.57</v>
      </c>
      <c r="F1193">
        <v>41674500</v>
      </c>
      <c r="G1193">
        <v>34.54</v>
      </c>
      <c r="H1193" t="s">
        <v>25</v>
      </c>
      <c r="I1193" s="22">
        <f t="shared" si="37"/>
        <v>-1.8359666590879547E-2</v>
      </c>
      <c r="J1193" s="22" t="str">
        <f t="shared" si="38"/>
        <v>lost money</v>
      </c>
    </row>
    <row r="1194" spans="1:10">
      <c r="A1194" s="1">
        <v>41246</v>
      </c>
      <c r="B1194">
        <v>34.96</v>
      </c>
      <c r="C1194">
        <v>34.99</v>
      </c>
      <c r="D1194">
        <v>34.130000000000003</v>
      </c>
      <c r="E1194">
        <v>34.22</v>
      </c>
      <c r="F1194">
        <v>38383600</v>
      </c>
      <c r="G1194">
        <v>34.19</v>
      </c>
      <c r="H1194" t="s">
        <v>25</v>
      </c>
      <c r="I1194" s="22">
        <f t="shared" si="37"/>
        <v>-1.0184869067322713E-2</v>
      </c>
      <c r="J1194" s="22" t="str">
        <f t="shared" si="38"/>
        <v>lost money</v>
      </c>
    </row>
    <row r="1195" spans="1:10">
      <c r="A1195" s="1">
        <v>41247</v>
      </c>
      <c r="B1195">
        <v>34.130000000000003</v>
      </c>
      <c r="C1195">
        <v>34.51</v>
      </c>
      <c r="D1195">
        <v>34.07</v>
      </c>
      <c r="E1195">
        <v>34.29</v>
      </c>
      <c r="F1195">
        <v>31781900</v>
      </c>
      <c r="G1195">
        <v>34.26</v>
      </c>
      <c r="H1195" t="s">
        <v>25</v>
      </c>
      <c r="I1195" s="22">
        <f t="shared" si="37"/>
        <v>2.0452892447639223E-3</v>
      </c>
      <c r="J1195" s="22" t="str">
        <f t="shared" si="38"/>
        <v/>
      </c>
    </row>
    <row r="1196" spans="1:10">
      <c r="A1196" s="1">
        <v>41248</v>
      </c>
      <c r="B1196">
        <v>35.270000000000003</v>
      </c>
      <c r="C1196">
        <v>37.07</v>
      </c>
      <c r="D1196">
        <v>35.1</v>
      </c>
      <c r="E1196">
        <v>36.46</v>
      </c>
      <c r="F1196">
        <v>84672900</v>
      </c>
      <c r="G1196">
        <v>36.43</v>
      </c>
      <c r="H1196" t="s">
        <v>25</v>
      </c>
      <c r="I1196" s="22">
        <f t="shared" si="37"/>
        <v>6.1414118124498651E-2</v>
      </c>
      <c r="J1196" s="22" t="str">
        <f t="shared" si="38"/>
        <v/>
      </c>
    </row>
    <row r="1197" spans="1:10">
      <c r="A1197" s="1">
        <v>41249</v>
      </c>
      <c r="B1197">
        <v>36.590000000000003</v>
      </c>
      <c r="C1197">
        <v>37.03</v>
      </c>
      <c r="D1197">
        <v>36.25</v>
      </c>
      <c r="E1197">
        <v>37.020000000000003</v>
      </c>
      <c r="F1197">
        <v>44260900</v>
      </c>
      <c r="G1197">
        <v>36.99</v>
      </c>
      <c r="H1197" t="s">
        <v>25</v>
      </c>
      <c r="I1197" s="22">
        <f t="shared" si="37"/>
        <v>1.5254994823890157E-2</v>
      </c>
      <c r="J1197" s="22" t="str">
        <f t="shared" si="38"/>
        <v/>
      </c>
    </row>
    <row r="1198" spans="1:10">
      <c r="A1198" s="1">
        <v>41250</v>
      </c>
      <c r="B1198">
        <v>37.42</v>
      </c>
      <c r="C1198">
        <v>37.75</v>
      </c>
      <c r="D1198">
        <v>37.31</v>
      </c>
      <c r="E1198">
        <v>37.64</v>
      </c>
      <c r="F1198">
        <v>43946600</v>
      </c>
      <c r="G1198">
        <v>37.61</v>
      </c>
      <c r="H1198" t="s">
        <v>25</v>
      </c>
      <c r="I1198" s="22">
        <f t="shared" si="37"/>
        <v>1.6622366637882333E-2</v>
      </c>
      <c r="J1198" s="22" t="str">
        <f t="shared" si="38"/>
        <v/>
      </c>
    </row>
    <row r="1199" spans="1:10">
      <c r="A1199" s="1">
        <v>41253</v>
      </c>
      <c r="B1199">
        <v>37.35</v>
      </c>
      <c r="C1199">
        <v>37.5</v>
      </c>
      <c r="D1199">
        <v>37.03</v>
      </c>
      <c r="E1199">
        <v>37.19</v>
      </c>
      <c r="F1199">
        <v>26715900</v>
      </c>
      <c r="G1199">
        <v>37.159999999999997</v>
      </c>
      <c r="H1199" t="s">
        <v>25</v>
      </c>
      <c r="I1199" s="22">
        <f t="shared" si="37"/>
        <v>-1.2037058536607309E-2</v>
      </c>
      <c r="J1199" s="22" t="str">
        <f t="shared" si="38"/>
        <v>lost money</v>
      </c>
    </row>
    <row r="1200" spans="1:10">
      <c r="A1200" s="1">
        <v>41254</v>
      </c>
      <c r="B1200">
        <v>37.43</v>
      </c>
      <c r="C1200">
        <v>37.56</v>
      </c>
      <c r="D1200">
        <v>36.83</v>
      </c>
      <c r="E1200">
        <v>37</v>
      </c>
      <c r="F1200">
        <v>29748900</v>
      </c>
      <c r="G1200">
        <v>36.97</v>
      </c>
      <c r="H1200" t="s">
        <v>25</v>
      </c>
      <c r="I1200" s="22">
        <f t="shared" si="37"/>
        <v>-5.1261409970971951E-3</v>
      </c>
      <c r="J1200" s="22" t="str">
        <f t="shared" si="38"/>
        <v>lost money</v>
      </c>
    </row>
    <row r="1201" spans="1:10">
      <c r="A1201" s="1">
        <v>41255</v>
      </c>
      <c r="B1201">
        <v>37.15</v>
      </c>
      <c r="C1201">
        <v>37.82</v>
      </c>
      <c r="D1201">
        <v>37.11</v>
      </c>
      <c r="E1201">
        <v>37.53</v>
      </c>
      <c r="F1201">
        <v>42252800</v>
      </c>
      <c r="G1201">
        <v>37.5</v>
      </c>
      <c r="H1201" t="s">
        <v>25</v>
      </c>
      <c r="I1201" s="22">
        <f t="shared" si="37"/>
        <v>1.4234160027824598E-2</v>
      </c>
      <c r="J1201" s="22" t="str">
        <f t="shared" si="38"/>
        <v/>
      </c>
    </row>
    <row r="1202" spans="1:10">
      <c r="A1202" s="1">
        <v>41256</v>
      </c>
      <c r="B1202">
        <v>37.5</v>
      </c>
      <c r="C1202">
        <v>37.75</v>
      </c>
      <c r="D1202">
        <v>37.22</v>
      </c>
      <c r="E1202">
        <v>37.29</v>
      </c>
      <c r="F1202">
        <v>30445400</v>
      </c>
      <c r="G1202">
        <v>37.26</v>
      </c>
      <c r="H1202" t="s">
        <v>25</v>
      </c>
      <c r="I1202" s="22">
        <f t="shared" si="37"/>
        <v>-6.4205678029228058E-3</v>
      </c>
      <c r="J1202" s="22" t="str">
        <f t="shared" si="38"/>
        <v>lost money</v>
      </c>
    </row>
    <row r="1203" spans="1:10">
      <c r="A1203" s="1">
        <v>41257</v>
      </c>
      <c r="B1203">
        <v>37.31</v>
      </c>
      <c r="C1203">
        <v>37.68</v>
      </c>
      <c r="D1203">
        <v>37.130000000000003</v>
      </c>
      <c r="E1203">
        <v>37.6</v>
      </c>
      <c r="F1203">
        <v>24596000</v>
      </c>
      <c r="G1203">
        <v>37.57</v>
      </c>
      <c r="H1203" t="s">
        <v>25</v>
      </c>
      <c r="I1203" s="22">
        <f t="shared" si="37"/>
        <v>8.2854944124351668E-3</v>
      </c>
      <c r="J1203" s="22" t="str">
        <f t="shared" si="38"/>
        <v/>
      </c>
    </row>
    <row r="1204" spans="1:10">
      <c r="A1204" s="1">
        <v>41260</v>
      </c>
      <c r="B1204">
        <v>37.770000000000003</v>
      </c>
      <c r="C1204">
        <v>39.200000000000003</v>
      </c>
      <c r="D1204">
        <v>37.76</v>
      </c>
      <c r="E1204">
        <v>39.15</v>
      </c>
      <c r="F1204">
        <v>52474700</v>
      </c>
      <c r="G1204">
        <v>39.119999999999997</v>
      </c>
      <c r="H1204" t="s">
        <v>25</v>
      </c>
      <c r="I1204" s="22">
        <f t="shared" si="37"/>
        <v>4.0427985580738991E-2</v>
      </c>
      <c r="J1204" s="22" t="str">
        <f t="shared" si="38"/>
        <v/>
      </c>
    </row>
    <row r="1205" spans="1:10">
      <c r="A1205" s="1">
        <v>41261</v>
      </c>
      <c r="B1205">
        <v>39.21</v>
      </c>
      <c r="C1205">
        <v>39.94</v>
      </c>
      <c r="D1205">
        <v>38.78</v>
      </c>
      <c r="E1205">
        <v>39.46</v>
      </c>
      <c r="F1205">
        <v>62611800</v>
      </c>
      <c r="G1205">
        <v>39.43</v>
      </c>
      <c r="H1205" t="s">
        <v>25</v>
      </c>
      <c r="I1205" s="22">
        <f t="shared" si="37"/>
        <v>7.8931027229192704E-3</v>
      </c>
      <c r="J1205" s="22" t="str">
        <f t="shared" si="38"/>
        <v/>
      </c>
    </row>
    <row r="1206" spans="1:10">
      <c r="A1206" s="1">
        <v>41262</v>
      </c>
      <c r="B1206">
        <v>39.69</v>
      </c>
      <c r="C1206">
        <v>40.11</v>
      </c>
      <c r="D1206">
        <v>39.31</v>
      </c>
      <c r="E1206">
        <v>39.450000000000003</v>
      </c>
      <c r="F1206">
        <v>45812600</v>
      </c>
      <c r="G1206">
        <v>39.42</v>
      </c>
      <c r="H1206" t="s">
        <v>25</v>
      </c>
      <c r="I1206" s="22">
        <f t="shared" si="37"/>
        <v>-2.5364616496164531E-4</v>
      </c>
      <c r="J1206" s="22" t="str">
        <f t="shared" si="38"/>
        <v>lost money</v>
      </c>
    </row>
    <row r="1207" spans="1:10">
      <c r="A1207" s="1">
        <v>41263</v>
      </c>
      <c r="B1207">
        <v>39.32</v>
      </c>
      <c r="C1207">
        <v>40.18</v>
      </c>
      <c r="D1207">
        <v>39.299999999999997</v>
      </c>
      <c r="E1207">
        <v>40.17</v>
      </c>
      <c r="F1207">
        <v>37806600</v>
      </c>
      <c r="G1207">
        <v>40.14</v>
      </c>
      <c r="H1207" t="s">
        <v>25</v>
      </c>
      <c r="I1207" s="22">
        <f t="shared" si="37"/>
        <v>1.8100041643617937E-2</v>
      </c>
      <c r="J1207" s="22" t="str">
        <f t="shared" si="38"/>
        <v/>
      </c>
    </row>
    <row r="1208" spans="1:10">
      <c r="A1208" s="1">
        <v>41264</v>
      </c>
      <c r="B1208">
        <v>38.9</v>
      </c>
      <c r="C1208">
        <v>39.65</v>
      </c>
      <c r="D1208">
        <v>38.5</v>
      </c>
      <c r="E1208">
        <v>39.49</v>
      </c>
      <c r="F1208">
        <v>47568200</v>
      </c>
      <c r="G1208">
        <v>39.46</v>
      </c>
      <c r="H1208" t="s">
        <v>25</v>
      </c>
      <c r="I1208" s="22">
        <f t="shared" si="37"/>
        <v>-1.7085842773722795E-2</v>
      </c>
      <c r="J1208" s="22" t="str">
        <f t="shared" si="38"/>
        <v/>
      </c>
    </row>
    <row r="1209" spans="1:10">
      <c r="A1209" s="1">
        <v>41267</v>
      </c>
      <c r="B1209">
        <v>39.340000000000003</v>
      </c>
      <c r="C1209">
        <v>39.549999999999997</v>
      </c>
      <c r="D1209">
        <v>39.159999999999997</v>
      </c>
      <c r="E1209">
        <v>39.380000000000003</v>
      </c>
      <c r="F1209">
        <v>8674800</v>
      </c>
      <c r="G1209">
        <v>39.35</v>
      </c>
      <c r="H1209" t="s">
        <v>25</v>
      </c>
      <c r="I1209" s="22">
        <f t="shared" si="37"/>
        <v>-2.7915257310570153E-3</v>
      </c>
      <c r="J1209" s="22" t="str">
        <f t="shared" si="38"/>
        <v/>
      </c>
    </row>
    <row r="1210" spans="1:10">
      <c r="A1210" s="1">
        <v>41269</v>
      </c>
      <c r="B1210">
        <v>39.409999999999997</v>
      </c>
      <c r="C1210">
        <v>39.75</v>
      </c>
      <c r="D1210">
        <v>39.18</v>
      </c>
      <c r="E1210">
        <v>39.549999999999997</v>
      </c>
      <c r="F1210">
        <v>20297700</v>
      </c>
      <c r="G1210">
        <v>39.520000000000003</v>
      </c>
      <c r="H1210" t="s">
        <v>25</v>
      </c>
      <c r="I1210" s="22">
        <f t="shared" si="37"/>
        <v>4.3108980162548305E-3</v>
      </c>
      <c r="J1210" s="22" t="str">
        <f t="shared" si="38"/>
        <v/>
      </c>
    </row>
    <row r="1211" spans="1:10">
      <c r="A1211" s="1">
        <v>41270</v>
      </c>
      <c r="B1211">
        <v>39.68</v>
      </c>
      <c r="C1211">
        <v>39.880000000000003</v>
      </c>
      <c r="D1211">
        <v>38.590000000000003</v>
      </c>
      <c r="E1211">
        <v>39.25</v>
      </c>
      <c r="F1211">
        <v>30332300</v>
      </c>
      <c r="G1211">
        <v>39.22</v>
      </c>
      <c r="H1211" t="s">
        <v>25</v>
      </c>
      <c r="I1211" s="22">
        <f t="shared" si="37"/>
        <v>-7.6200521114669602E-3</v>
      </c>
      <c r="J1211" s="22" t="str">
        <f t="shared" si="38"/>
        <v>lost money</v>
      </c>
    </row>
    <row r="1212" spans="1:10">
      <c r="A1212" s="1">
        <v>41271</v>
      </c>
      <c r="B1212">
        <v>38.82</v>
      </c>
      <c r="C1212">
        <v>39.25</v>
      </c>
      <c r="D1212">
        <v>38.770000000000003</v>
      </c>
      <c r="E1212">
        <v>39.01</v>
      </c>
      <c r="F1212">
        <v>24563800</v>
      </c>
      <c r="G1212">
        <v>38.979999999999997</v>
      </c>
      <c r="H1212" t="s">
        <v>25</v>
      </c>
      <c r="I1212" s="22">
        <f t="shared" si="37"/>
        <v>-6.1381266887855414E-3</v>
      </c>
      <c r="J1212" s="22" t="str">
        <f t="shared" si="38"/>
        <v/>
      </c>
    </row>
    <row r="1213" spans="1:10">
      <c r="A1213" s="1">
        <v>41274</v>
      </c>
      <c r="B1213">
        <v>38.94</v>
      </c>
      <c r="C1213">
        <v>39.6</v>
      </c>
      <c r="D1213">
        <v>38.65</v>
      </c>
      <c r="E1213">
        <v>39.56</v>
      </c>
      <c r="F1213">
        <v>37172800</v>
      </c>
      <c r="G1213">
        <v>39.53</v>
      </c>
      <c r="H1213" t="s">
        <v>25</v>
      </c>
      <c r="I1213" s="22">
        <f t="shared" si="37"/>
        <v>1.4011183229179483E-2</v>
      </c>
      <c r="J1213" s="22" t="str">
        <f t="shared" si="38"/>
        <v/>
      </c>
    </row>
    <row r="1214" spans="1:10">
      <c r="A1214" s="1">
        <v>41276</v>
      </c>
      <c r="B1214">
        <v>40.909999999999997</v>
      </c>
      <c r="C1214">
        <v>41.4</v>
      </c>
      <c r="D1214">
        <v>40.700000000000003</v>
      </c>
      <c r="E1214">
        <v>41.25</v>
      </c>
      <c r="F1214">
        <v>45648500</v>
      </c>
      <c r="G1214">
        <v>41.22</v>
      </c>
      <c r="H1214" t="s">
        <v>25</v>
      </c>
      <c r="I1214" s="22">
        <f t="shared" si="37"/>
        <v>4.1863698153718827E-2</v>
      </c>
      <c r="J1214" s="22" t="str">
        <f t="shared" si="38"/>
        <v/>
      </c>
    </row>
    <row r="1215" spans="1:10">
      <c r="A1215" s="1">
        <v>41277</v>
      </c>
      <c r="B1215">
        <v>41.17</v>
      </c>
      <c r="C1215">
        <v>41.5</v>
      </c>
      <c r="D1215">
        <v>41.04</v>
      </c>
      <c r="E1215">
        <v>41.39</v>
      </c>
      <c r="F1215">
        <v>38343300</v>
      </c>
      <c r="G1215">
        <v>41.35</v>
      </c>
      <c r="H1215" t="s">
        <v>25</v>
      </c>
      <c r="I1215" s="22">
        <f t="shared" si="37"/>
        <v>3.1488460073874724E-3</v>
      </c>
      <c r="J1215" s="22" t="str">
        <f t="shared" si="38"/>
        <v/>
      </c>
    </row>
    <row r="1216" spans="1:10">
      <c r="A1216" s="1">
        <v>41278</v>
      </c>
      <c r="B1216">
        <v>41.76</v>
      </c>
      <c r="C1216">
        <v>42.54</v>
      </c>
      <c r="D1216">
        <v>41.63</v>
      </c>
      <c r="E1216">
        <v>42.43</v>
      </c>
      <c r="F1216">
        <v>46310100</v>
      </c>
      <c r="G1216">
        <v>42.39</v>
      </c>
      <c r="H1216" t="s">
        <v>25</v>
      </c>
      <c r="I1216" s="22">
        <f t="shared" si="37"/>
        <v>2.4840063894845405E-2</v>
      </c>
      <c r="J1216" s="22" t="str">
        <f t="shared" si="38"/>
        <v/>
      </c>
    </row>
    <row r="1217" spans="1:10">
      <c r="A1217" s="1">
        <v>41281</v>
      </c>
      <c r="B1217">
        <v>42.54</v>
      </c>
      <c r="C1217">
        <v>42.55</v>
      </c>
      <c r="D1217">
        <v>41.97</v>
      </c>
      <c r="E1217">
        <v>42.47</v>
      </c>
      <c r="F1217">
        <v>36305100</v>
      </c>
      <c r="G1217">
        <v>42.43</v>
      </c>
      <c r="H1217" t="s">
        <v>25</v>
      </c>
      <c r="I1217" s="22">
        <f t="shared" si="37"/>
        <v>9.4317384968767336E-4</v>
      </c>
      <c r="J1217" s="22" t="str">
        <f t="shared" si="38"/>
        <v>lost money</v>
      </c>
    </row>
    <row r="1218" spans="1:10">
      <c r="A1218" s="1">
        <v>41282</v>
      </c>
      <c r="B1218">
        <v>42.29</v>
      </c>
      <c r="C1218">
        <v>42.47</v>
      </c>
      <c r="D1218">
        <v>42.03</v>
      </c>
      <c r="E1218">
        <v>42.46</v>
      </c>
      <c r="F1218">
        <v>28185200</v>
      </c>
      <c r="G1218">
        <v>42.42</v>
      </c>
      <c r="H1218" t="s">
        <v>25</v>
      </c>
      <c r="I1218" s="22">
        <f t="shared" si="37"/>
        <v>-2.3571007769701278E-4</v>
      </c>
      <c r="J1218" s="22" t="str">
        <f t="shared" si="38"/>
        <v/>
      </c>
    </row>
    <row r="1219" spans="1:10">
      <c r="A1219" s="1">
        <v>41283</v>
      </c>
      <c r="B1219">
        <v>42.5</v>
      </c>
      <c r="C1219">
        <v>43.25</v>
      </c>
      <c r="D1219">
        <v>41.81</v>
      </c>
      <c r="E1219">
        <v>42.04</v>
      </c>
      <c r="F1219">
        <v>44923500</v>
      </c>
      <c r="G1219">
        <v>42</v>
      </c>
      <c r="H1219" t="s">
        <v>25</v>
      </c>
      <c r="I1219" s="22">
        <f t="shared" ref="I1219:I1282" si="39">IF(A1219=$A$2,"",LN(G1219/G1218))</f>
        <v>-9.950330853168092E-3</v>
      </c>
      <c r="J1219" s="22" t="str">
        <f t="shared" ref="J1219:J1282" si="40">IF(B1219&gt;E1219,"lost money","")</f>
        <v>lost money</v>
      </c>
    </row>
    <row r="1220" spans="1:10">
      <c r="A1220" s="1">
        <v>41284</v>
      </c>
      <c r="B1220">
        <v>42.34</v>
      </c>
      <c r="C1220">
        <v>43.06</v>
      </c>
      <c r="D1220">
        <v>41.98</v>
      </c>
      <c r="E1220">
        <v>42.83</v>
      </c>
      <c r="F1220">
        <v>42154200</v>
      </c>
      <c r="G1220">
        <v>42.79</v>
      </c>
      <c r="H1220" t="s">
        <v>25</v>
      </c>
      <c r="I1220" s="22">
        <f t="shared" si="39"/>
        <v>1.8634812145357185E-2</v>
      </c>
      <c r="J1220" s="22" t="str">
        <f t="shared" si="40"/>
        <v/>
      </c>
    </row>
    <row r="1221" spans="1:10">
      <c r="A1221" s="1">
        <v>41285</v>
      </c>
      <c r="B1221">
        <v>42.82</v>
      </c>
      <c r="C1221">
        <v>42.83</v>
      </c>
      <c r="D1221">
        <v>41.92</v>
      </c>
      <c r="E1221">
        <v>42.34</v>
      </c>
      <c r="F1221">
        <v>42517300</v>
      </c>
      <c r="G1221">
        <v>42.3</v>
      </c>
      <c r="H1221" t="s">
        <v>25</v>
      </c>
      <c r="I1221" s="22">
        <f t="shared" si="39"/>
        <v>-1.1517344376493268E-2</v>
      </c>
      <c r="J1221" s="22" t="str">
        <f t="shared" si="40"/>
        <v>lost money</v>
      </c>
    </row>
    <row r="1222" spans="1:10">
      <c r="A1222" s="1">
        <v>41288</v>
      </c>
      <c r="B1222">
        <v>42.36</v>
      </c>
      <c r="C1222">
        <v>42.55</v>
      </c>
      <c r="D1222">
        <v>41.71</v>
      </c>
      <c r="E1222">
        <v>42.22</v>
      </c>
      <c r="F1222">
        <v>26795300</v>
      </c>
      <c r="G1222">
        <v>42.18</v>
      </c>
      <c r="H1222" t="s">
        <v>25</v>
      </c>
      <c r="I1222" s="22">
        <f t="shared" si="39"/>
        <v>-2.840911001603641E-3</v>
      </c>
      <c r="J1222" s="22" t="str">
        <f t="shared" si="40"/>
        <v>lost money</v>
      </c>
    </row>
    <row r="1223" spans="1:10">
      <c r="A1223" s="1">
        <v>41289</v>
      </c>
      <c r="B1223">
        <v>41.81</v>
      </c>
      <c r="C1223">
        <v>42.74</v>
      </c>
      <c r="D1223">
        <v>41.77</v>
      </c>
      <c r="E1223">
        <v>42.57</v>
      </c>
      <c r="F1223">
        <v>29118700</v>
      </c>
      <c r="G1223">
        <v>42.53</v>
      </c>
      <c r="H1223" t="s">
        <v>25</v>
      </c>
      <c r="I1223" s="22">
        <f t="shared" si="39"/>
        <v>8.2635342149136731E-3</v>
      </c>
      <c r="J1223" s="22" t="str">
        <f t="shared" si="40"/>
        <v/>
      </c>
    </row>
    <row r="1224" spans="1:10">
      <c r="A1224" s="1">
        <v>41290</v>
      </c>
      <c r="B1224">
        <v>42.54</v>
      </c>
      <c r="C1224">
        <v>42.85</v>
      </c>
      <c r="D1224">
        <v>42.25</v>
      </c>
      <c r="E1224">
        <v>42.48</v>
      </c>
      <c r="F1224">
        <v>36165300</v>
      </c>
      <c r="G1224">
        <v>42.44</v>
      </c>
      <c r="H1224" t="s">
        <v>25</v>
      </c>
      <c r="I1224" s="22">
        <f t="shared" si="39"/>
        <v>-2.1183955197598744E-3</v>
      </c>
      <c r="J1224" s="22" t="str">
        <f t="shared" si="40"/>
        <v>lost money</v>
      </c>
    </row>
    <row r="1225" spans="1:10">
      <c r="A1225" s="1">
        <v>41291</v>
      </c>
      <c r="B1225">
        <v>41.53</v>
      </c>
      <c r="C1225">
        <v>41.62</v>
      </c>
      <c r="D1225">
        <v>40.9</v>
      </c>
      <c r="E1225">
        <v>41.24</v>
      </c>
      <c r="F1225">
        <v>80185700</v>
      </c>
      <c r="G1225">
        <v>41.21</v>
      </c>
      <c r="H1225" t="s">
        <v>25</v>
      </c>
      <c r="I1225" s="22">
        <f t="shared" si="39"/>
        <v>-2.9410368395056372E-2</v>
      </c>
      <c r="J1225" s="22" t="str">
        <f t="shared" si="40"/>
        <v>lost money</v>
      </c>
    </row>
    <row r="1226" spans="1:10">
      <c r="A1226" s="1">
        <v>41292</v>
      </c>
      <c r="B1226">
        <v>41.27</v>
      </c>
      <c r="C1226">
        <v>41.74</v>
      </c>
      <c r="D1226">
        <v>41.11</v>
      </c>
      <c r="E1226">
        <v>41.66</v>
      </c>
      <c r="F1226">
        <v>40807100</v>
      </c>
      <c r="G1226">
        <v>41.62</v>
      </c>
      <c r="H1226" t="s">
        <v>25</v>
      </c>
      <c r="I1226" s="22">
        <f t="shared" si="39"/>
        <v>9.899875614762273E-3</v>
      </c>
      <c r="J1226" s="22" t="str">
        <f t="shared" si="40"/>
        <v/>
      </c>
    </row>
    <row r="1227" spans="1:10">
      <c r="A1227" s="1">
        <v>41296</v>
      </c>
      <c r="B1227">
        <v>41.35</v>
      </c>
      <c r="C1227">
        <v>41.82</v>
      </c>
      <c r="D1227">
        <v>40.82</v>
      </c>
      <c r="E1227">
        <v>41.78</v>
      </c>
      <c r="F1227">
        <v>42035900</v>
      </c>
      <c r="G1227">
        <v>41.74</v>
      </c>
      <c r="H1227" t="s">
        <v>25</v>
      </c>
      <c r="I1227" s="22">
        <f t="shared" si="39"/>
        <v>2.8790806835664981E-3</v>
      </c>
      <c r="J1227" s="22" t="str">
        <f t="shared" si="40"/>
        <v/>
      </c>
    </row>
    <row r="1228" spans="1:10">
      <c r="A1228" s="1">
        <v>41297</v>
      </c>
      <c r="B1228">
        <v>41.85</v>
      </c>
      <c r="C1228">
        <v>42.22</v>
      </c>
      <c r="D1228">
        <v>41.54</v>
      </c>
      <c r="E1228">
        <v>42.02</v>
      </c>
      <c r="F1228">
        <v>32339300</v>
      </c>
      <c r="G1228">
        <v>41.98</v>
      </c>
      <c r="H1228" t="s">
        <v>25</v>
      </c>
      <c r="I1228" s="22">
        <f t="shared" si="39"/>
        <v>5.7334127434321936E-3</v>
      </c>
      <c r="J1228" s="22" t="str">
        <f t="shared" si="40"/>
        <v/>
      </c>
    </row>
    <row r="1229" spans="1:10">
      <c r="A1229" s="1">
        <v>41298</v>
      </c>
      <c r="B1229">
        <v>42.1</v>
      </c>
      <c r="C1229">
        <v>43.2</v>
      </c>
      <c r="D1229">
        <v>42.04</v>
      </c>
      <c r="E1229">
        <v>42.8</v>
      </c>
      <c r="F1229">
        <v>34462600</v>
      </c>
      <c r="G1229">
        <v>42.76</v>
      </c>
      <c r="H1229" t="s">
        <v>25</v>
      </c>
      <c r="I1229" s="22">
        <f t="shared" si="39"/>
        <v>1.8409771764357586E-2</v>
      </c>
      <c r="J1229" s="22" t="str">
        <f t="shared" si="40"/>
        <v/>
      </c>
    </row>
    <row r="1230" spans="1:10">
      <c r="A1230" s="1">
        <v>41299</v>
      </c>
      <c r="B1230">
        <v>43.13</v>
      </c>
      <c r="C1230">
        <v>43.34</v>
      </c>
      <c r="D1230">
        <v>42.62</v>
      </c>
      <c r="E1230">
        <v>42.91</v>
      </c>
      <c r="F1230">
        <v>26707200</v>
      </c>
      <c r="G1230">
        <v>42.87</v>
      </c>
      <c r="H1230" t="s">
        <v>25</v>
      </c>
      <c r="I1230" s="22">
        <f t="shared" si="39"/>
        <v>2.5691944530411826E-3</v>
      </c>
      <c r="J1230" s="22" t="str">
        <f t="shared" si="40"/>
        <v>lost money</v>
      </c>
    </row>
    <row r="1231" spans="1:10">
      <c r="A1231" s="1">
        <v>41302</v>
      </c>
      <c r="B1231">
        <v>42.98</v>
      </c>
      <c r="C1231">
        <v>42.98</v>
      </c>
      <c r="D1231">
        <v>42.23</v>
      </c>
      <c r="E1231">
        <v>42.34</v>
      </c>
      <c r="F1231">
        <v>27213600</v>
      </c>
      <c r="G1231">
        <v>42.3</v>
      </c>
      <c r="H1231" t="s">
        <v>25</v>
      </c>
      <c r="I1231" s="22">
        <f t="shared" si="39"/>
        <v>-1.338519455765347E-2</v>
      </c>
      <c r="J1231" s="22" t="str">
        <f t="shared" si="40"/>
        <v>lost money</v>
      </c>
    </row>
    <row r="1232" spans="1:10">
      <c r="A1232" s="1">
        <v>41303</v>
      </c>
      <c r="B1232">
        <v>42.07</v>
      </c>
      <c r="C1232">
        <v>42.6</v>
      </c>
      <c r="D1232">
        <v>41.95</v>
      </c>
      <c r="E1232">
        <v>42.16</v>
      </c>
      <c r="F1232">
        <v>26998900</v>
      </c>
      <c r="G1232">
        <v>42.12</v>
      </c>
      <c r="H1232" t="s">
        <v>25</v>
      </c>
      <c r="I1232" s="22">
        <f t="shared" si="39"/>
        <v>-4.2643987864575397E-3</v>
      </c>
      <c r="J1232" s="22" t="str">
        <f t="shared" si="40"/>
        <v/>
      </c>
    </row>
    <row r="1233" spans="1:10">
      <c r="A1233" s="1">
        <v>41304</v>
      </c>
      <c r="B1233">
        <v>41.99</v>
      </c>
      <c r="C1233">
        <v>42.18</v>
      </c>
      <c r="D1233">
        <v>41.76</v>
      </c>
      <c r="E1233">
        <v>41.95</v>
      </c>
      <c r="F1233">
        <v>21801200</v>
      </c>
      <c r="G1233">
        <v>41.91</v>
      </c>
      <c r="H1233" t="s">
        <v>25</v>
      </c>
      <c r="I1233" s="22">
        <f t="shared" si="39"/>
        <v>-4.9982253287946688E-3</v>
      </c>
      <c r="J1233" s="22" t="str">
        <f t="shared" si="40"/>
        <v>lost money</v>
      </c>
    </row>
    <row r="1234" spans="1:10">
      <c r="A1234" s="1">
        <v>41305</v>
      </c>
      <c r="B1234">
        <v>41.88</v>
      </c>
      <c r="C1234">
        <v>42.29</v>
      </c>
      <c r="D1234">
        <v>41.62</v>
      </c>
      <c r="E1234">
        <v>42.16</v>
      </c>
      <c r="F1234">
        <v>21324700</v>
      </c>
      <c r="G1234">
        <v>42.13</v>
      </c>
      <c r="H1234" t="s">
        <v>25</v>
      </c>
      <c r="I1234" s="22">
        <f t="shared" si="39"/>
        <v>5.2356140539451639E-3</v>
      </c>
      <c r="J1234" s="22" t="str">
        <f t="shared" si="40"/>
        <v/>
      </c>
    </row>
    <row r="1235" spans="1:10">
      <c r="A1235" s="1">
        <v>41306</v>
      </c>
      <c r="B1235">
        <v>42.48</v>
      </c>
      <c r="C1235">
        <v>43.2</v>
      </c>
      <c r="D1235">
        <v>42.22</v>
      </c>
      <c r="E1235">
        <v>43.02</v>
      </c>
      <c r="F1235">
        <v>34997400</v>
      </c>
      <c r="G1235">
        <v>42.99</v>
      </c>
      <c r="H1235" t="s">
        <v>25</v>
      </c>
      <c r="I1235" s="22">
        <f t="shared" si="39"/>
        <v>2.0207454517264911E-2</v>
      </c>
      <c r="J1235" s="22" t="str">
        <f t="shared" si="40"/>
        <v/>
      </c>
    </row>
    <row r="1236" spans="1:10">
      <c r="A1236" s="1">
        <v>41309</v>
      </c>
      <c r="B1236">
        <v>42.37</v>
      </c>
      <c r="C1236">
        <v>42.9</v>
      </c>
      <c r="D1236">
        <v>42.17</v>
      </c>
      <c r="E1236">
        <v>42.21</v>
      </c>
      <c r="F1236">
        <v>25691500</v>
      </c>
      <c r="G1236">
        <v>42.18</v>
      </c>
      <c r="H1236" t="s">
        <v>25</v>
      </c>
      <c r="I1236" s="22">
        <f t="shared" si="39"/>
        <v>-1.9021355457561711E-2</v>
      </c>
      <c r="J1236" s="22" t="str">
        <f t="shared" si="40"/>
        <v>lost money</v>
      </c>
    </row>
    <row r="1237" spans="1:10">
      <c r="A1237" s="1">
        <v>41310</v>
      </c>
      <c r="B1237">
        <v>42.42</v>
      </c>
      <c r="C1237">
        <v>43.2</v>
      </c>
      <c r="D1237">
        <v>42.35</v>
      </c>
      <c r="E1237">
        <v>42.92</v>
      </c>
      <c r="F1237">
        <v>24224200</v>
      </c>
      <c r="G1237">
        <v>42.89</v>
      </c>
      <c r="H1237" t="s">
        <v>25</v>
      </c>
      <c r="I1237" s="22">
        <f t="shared" si="39"/>
        <v>1.6692523478160522E-2</v>
      </c>
      <c r="J1237" s="22" t="str">
        <f t="shared" si="40"/>
        <v/>
      </c>
    </row>
    <row r="1238" spans="1:10">
      <c r="A1238" s="1">
        <v>41311</v>
      </c>
      <c r="B1238">
        <v>42.52</v>
      </c>
      <c r="C1238">
        <v>43.05</v>
      </c>
      <c r="D1238">
        <v>42.5</v>
      </c>
      <c r="E1238">
        <v>43.05</v>
      </c>
      <c r="F1238">
        <v>22059300</v>
      </c>
      <c r="G1238">
        <v>43.02</v>
      </c>
      <c r="H1238" t="s">
        <v>25</v>
      </c>
      <c r="I1238" s="22">
        <f t="shared" si="39"/>
        <v>3.0264253107950526E-3</v>
      </c>
      <c r="J1238" s="22" t="str">
        <f t="shared" si="40"/>
        <v/>
      </c>
    </row>
    <row r="1239" spans="1:10">
      <c r="A1239" s="1">
        <v>41312</v>
      </c>
      <c r="B1239">
        <v>43.11</v>
      </c>
      <c r="C1239">
        <v>43.49</v>
      </c>
      <c r="D1239">
        <v>42.32</v>
      </c>
      <c r="E1239">
        <v>42.87</v>
      </c>
      <c r="F1239">
        <v>29381400</v>
      </c>
      <c r="G1239">
        <v>42.84</v>
      </c>
      <c r="H1239" t="s">
        <v>25</v>
      </c>
      <c r="I1239" s="22">
        <f t="shared" si="39"/>
        <v>-4.1928782600359274E-3</v>
      </c>
      <c r="J1239" s="22" t="str">
        <f t="shared" si="40"/>
        <v>lost money</v>
      </c>
    </row>
    <row r="1240" spans="1:10">
      <c r="A1240" s="1">
        <v>41313</v>
      </c>
      <c r="B1240">
        <v>42.95</v>
      </c>
      <c r="C1240">
        <v>43.09</v>
      </c>
      <c r="D1240">
        <v>42.56</v>
      </c>
      <c r="E1240">
        <v>42.68</v>
      </c>
      <c r="F1240">
        <v>17441800</v>
      </c>
      <c r="G1240">
        <v>42.65</v>
      </c>
      <c r="H1240" t="s">
        <v>25</v>
      </c>
      <c r="I1240" s="22">
        <f t="shared" si="39"/>
        <v>-4.4449716418599903E-3</v>
      </c>
      <c r="J1240" s="22" t="str">
        <f t="shared" si="40"/>
        <v>lost money</v>
      </c>
    </row>
    <row r="1241" spans="1:10">
      <c r="A1241" s="1">
        <v>41316</v>
      </c>
      <c r="B1241">
        <v>42.66</v>
      </c>
      <c r="C1241">
        <v>43.4</v>
      </c>
      <c r="D1241">
        <v>42.49</v>
      </c>
      <c r="E1241">
        <v>43.15</v>
      </c>
      <c r="F1241">
        <v>23462700</v>
      </c>
      <c r="G1241">
        <v>43.12</v>
      </c>
      <c r="H1241" t="s">
        <v>25</v>
      </c>
      <c r="I1241" s="22">
        <f t="shared" si="39"/>
        <v>1.0959652663053663E-2</v>
      </c>
      <c r="J1241" s="22" t="str">
        <f t="shared" si="40"/>
        <v/>
      </c>
    </row>
    <row r="1242" spans="1:10">
      <c r="A1242" s="1">
        <v>41317</v>
      </c>
      <c r="B1242">
        <v>43.24</v>
      </c>
      <c r="C1242">
        <v>44.5</v>
      </c>
      <c r="D1242">
        <v>43</v>
      </c>
      <c r="E1242">
        <v>44.35</v>
      </c>
      <c r="F1242">
        <v>39087500</v>
      </c>
      <c r="G1242">
        <v>44.32</v>
      </c>
      <c r="H1242" t="s">
        <v>25</v>
      </c>
      <c r="I1242" s="22">
        <f t="shared" si="39"/>
        <v>2.7449115838286804E-2</v>
      </c>
      <c r="J1242" s="22" t="str">
        <f t="shared" si="40"/>
        <v/>
      </c>
    </row>
    <row r="1243" spans="1:10">
      <c r="A1243" s="1">
        <v>41318</v>
      </c>
      <c r="B1243">
        <v>44.47</v>
      </c>
      <c r="C1243">
        <v>44.68</v>
      </c>
      <c r="D1243">
        <v>43.76</v>
      </c>
      <c r="E1243">
        <v>44</v>
      </c>
      <c r="F1243">
        <v>26663400</v>
      </c>
      <c r="G1243">
        <v>43.97</v>
      </c>
      <c r="H1243" t="s">
        <v>25</v>
      </c>
      <c r="I1243" s="22">
        <f t="shared" si="39"/>
        <v>-7.9284592463096191E-3</v>
      </c>
      <c r="J1243" s="22" t="str">
        <f t="shared" si="40"/>
        <v>lost money</v>
      </c>
    </row>
    <row r="1244" spans="1:10">
      <c r="A1244" s="1">
        <v>41319</v>
      </c>
      <c r="B1244">
        <v>43.83</v>
      </c>
      <c r="C1244">
        <v>44.42</v>
      </c>
      <c r="D1244">
        <v>43.75</v>
      </c>
      <c r="E1244">
        <v>44.32</v>
      </c>
      <c r="F1244">
        <v>20048500</v>
      </c>
      <c r="G1244">
        <v>44.29</v>
      </c>
      <c r="H1244" t="s">
        <v>25</v>
      </c>
      <c r="I1244" s="22">
        <f t="shared" si="39"/>
        <v>7.2513347423880988E-3</v>
      </c>
      <c r="J1244" s="22" t="str">
        <f t="shared" si="40"/>
        <v/>
      </c>
    </row>
    <row r="1245" spans="1:10">
      <c r="A1245" s="1">
        <v>41320</v>
      </c>
      <c r="B1245">
        <v>44.48</v>
      </c>
      <c r="C1245">
        <v>44.51</v>
      </c>
      <c r="D1245">
        <v>43.63</v>
      </c>
      <c r="E1245">
        <v>43.84</v>
      </c>
      <c r="F1245">
        <v>23244700</v>
      </c>
      <c r="G1245">
        <v>43.81</v>
      </c>
      <c r="H1245" t="s">
        <v>25</v>
      </c>
      <c r="I1245" s="22">
        <f t="shared" si="39"/>
        <v>-1.0896816109299658E-2</v>
      </c>
      <c r="J1245" s="22" t="str">
        <f t="shared" si="40"/>
        <v>lost money</v>
      </c>
    </row>
    <row r="1246" spans="1:10">
      <c r="A1246" s="1">
        <v>41324</v>
      </c>
      <c r="B1246">
        <v>43.99</v>
      </c>
      <c r="C1246">
        <v>44.71</v>
      </c>
      <c r="D1246">
        <v>43.95</v>
      </c>
      <c r="E1246">
        <v>44.5</v>
      </c>
      <c r="F1246">
        <v>23709100</v>
      </c>
      <c r="G1246">
        <v>44.47</v>
      </c>
      <c r="H1246" t="s">
        <v>25</v>
      </c>
      <c r="I1246" s="22">
        <f t="shared" si="39"/>
        <v>1.4952702696797996E-2</v>
      </c>
      <c r="J1246" s="22" t="str">
        <f t="shared" si="40"/>
        <v/>
      </c>
    </row>
    <row r="1247" spans="1:10">
      <c r="A1247" s="1">
        <v>41325</v>
      </c>
      <c r="B1247">
        <v>44.48</v>
      </c>
      <c r="C1247">
        <v>44.48</v>
      </c>
      <c r="D1247">
        <v>43.12</v>
      </c>
      <c r="E1247">
        <v>43.22</v>
      </c>
      <c r="F1247">
        <v>26464100</v>
      </c>
      <c r="G1247">
        <v>43.19</v>
      </c>
      <c r="H1247" t="s">
        <v>25</v>
      </c>
      <c r="I1247" s="22">
        <f t="shared" si="39"/>
        <v>-2.9205817549995336E-2</v>
      </c>
      <c r="J1247" s="22" t="str">
        <f t="shared" si="40"/>
        <v>lost money</v>
      </c>
    </row>
    <row r="1248" spans="1:10">
      <c r="A1248" s="1">
        <v>41326</v>
      </c>
      <c r="B1248">
        <v>42.79</v>
      </c>
      <c r="C1248">
        <v>42.8</v>
      </c>
      <c r="D1248">
        <v>41.89</v>
      </c>
      <c r="E1248">
        <v>42.35</v>
      </c>
      <c r="F1248">
        <v>37602900</v>
      </c>
      <c r="G1248">
        <v>42.32</v>
      </c>
      <c r="H1248" t="s">
        <v>25</v>
      </c>
      <c r="I1248" s="22">
        <f t="shared" si="39"/>
        <v>-2.0349199422565765E-2</v>
      </c>
      <c r="J1248" s="22" t="str">
        <f t="shared" si="40"/>
        <v>lost money</v>
      </c>
    </row>
    <row r="1249" spans="1:10">
      <c r="A1249" s="1">
        <v>41327</v>
      </c>
      <c r="B1249">
        <v>42.8</v>
      </c>
      <c r="C1249">
        <v>42.97</v>
      </c>
      <c r="D1249">
        <v>42.41</v>
      </c>
      <c r="E1249">
        <v>42.79</v>
      </c>
      <c r="F1249">
        <v>23756400</v>
      </c>
      <c r="G1249">
        <v>42.76</v>
      </c>
      <c r="H1249" t="s">
        <v>25</v>
      </c>
      <c r="I1249" s="22">
        <f t="shared" si="39"/>
        <v>1.0343298606800522E-2</v>
      </c>
      <c r="J1249" s="22" t="str">
        <f t="shared" si="40"/>
        <v>lost money</v>
      </c>
    </row>
    <row r="1250" spans="1:10">
      <c r="A1250" s="1">
        <v>41330</v>
      </c>
      <c r="B1250">
        <v>43.12</v>
      </c>
      <c r="C1250">
        <v>43.37</v>
      </c>
      <c r="D1250">
        <v>41.04</v>
      </c>
      <c r="E1250">
        <v>41.15</v>
      </c>
      <c r="F1250">
        <v>34939800</v>
      </c>
      <c r="G1250">
        <v>41.12</v>
      </c>
      <c r="H1250" t="s">
        <v>25</v>
      </c>
      <c r="I1250" s="22">
        <f t="shared" si="39"/>
        <v>-3.9108465009934854E-2</v>
      </c>
      <c r="J1250" s="22" t="str">
        <f t="shared" si="40"/>
        <v>lost money</v>
      </c>
    </row>
    <row r="1251" spans="1:10">
      <c r="A1251" s="1">
        <v>41331</v>
      </c>
      <c r="B1251">
        <v>41.41</v>
      </c>
      <c r="C1251">
        <v>41.58</v>
      </c>
      <c r="D1251">
        <v>40.28</v>
      </c>
      <c r="E1251">
        <v>41.29</v>
      </c>
      <c r="F1251">
        <v>46233000</v>
      </c>
      <c r="G1251">
        <v>41.26</v>
      </c>
      <c r="H1251" t="s">
        <v>25</v>
      </c>
      <c r="I1251" s="22">
        <f t="shared" si="39"/>
        <v>3.3988864961960845E-3</v>
      </c>
      <c r="J1251" s="22" t="str">
        <f t="shared" si="40"/>
        <v>lost money</v>
      </c>
    </row>
    <row r="1252" spans="1:10">
      <c r="A1252" s="1">
        <v>41332</v>
      </c>
      <c r="B1252">
        <v>41.3</v>
      </c>
      <c r="C1252">
        <v>42.34</v>
      </c>
      <c r="D1252">
        <v>41.02</v>
      </c>
      <c r="E1252">
        <v>42.16</v>
      </c>
      <c r="F1252">
        <v>29204600</v>
      </c>
      <c r="G1252">
        <v>42.13</v>
      </c>
      <c r="H1252" t="s">
        <v>25</v>
      </c>
      <c r="I1252" s="22">
        <f t="shared" si="39"/>
        <v>2.0866568347819418E-2</v>
      </c>
      <c r="J1252" s="22" t="str">
        <f t="shared" si="40"/>
        <v/>
      </c>
    </row>
    <row r="1253" spans="1:10">
      <c r="A1253" s="1">
        <v>41333</v>
      </c>
      <c r="B1253">
        <v>42.08</v>
      </c>
      <c r="C1253">
        <v>42.69</v>
      </c>
      <c r="D1253">
        <v>41.75</v>
      </c>
      <c r="E1253">
        <v>41.97</v>
      </c>
      <c r="F1253">
        <v>28914100</v>
      </c>
      <c r="G1253">
        <v>41.94</v>
      </c>
      <c r="H1253" t="s">
        <v>25</v>
      </c>
      <c r="I1253" s="22">
        <f t="shared" si="39"/>
        <v>-4.5200505171514409E-3</v>
      </c>
      <c r="J1253" s="22" t="str">
        <f t="shared" si="40"/>
        <v>lost money</v>
      </c>
    </row>
    <row r="1254" spans="1:10">
      <c r="A1254" s="1">
        <v>41334</v>
      </c>
      <c r="B1254">
        <v>41.56</v>
      </c>
      <c r="C1254">
        <v>42.52</v>
      </c>
      <c r="D1254">
        <v>41.02</v>
      </c>
      <c r="E1254">
        <v>42.11</v>
      </c>
      <c r="F1254">
        <v>29850300</v>
      </c>
      <c r="G1254">
        <v>42.08</v>
      </c>
      <c r="H1254" t="s">
        <v>25</v>
      </c>
      <c r="I1254" s="22">
        <f t="shared" si="39"/>
        <v>3.3325429556806474E-3</v>
      </c>
      <c r="J1254" s="22" t="str">
        <f t="shared" si="40"/>
        <v/>
      </c>
    </row>
    <row r="1255" spans="1:10">
      <c r="A1255" s="1">
        <v>41337</v>
      </c>
      <c r="B1255">
        <v>41.99</v>
      </c>
      <c r="C1255">
        <v>42.94</v>
      </c>
      <c r="D1255">
        <v>41.97</v>
      </c>
      <c r="E1255">
        <v>42.94</v>
      </c>
      <c r="F1255">
        <v>27216000</v>
      </c>
      <c r="G1255">
        <v>42.91</v>
      </c>
      <c r="H1255" t="s">
        <v>25</v>
      </c>
      <c r="I1255" s="22">
        <f t="shared" si="39"/>
        <v>1.9532330573978966E-2</v>
      </c>
      <c r="J1255" s="22" t="str">
        <f t="shared" si="40"/>
        <v/>
      </c>
    </row>
    <row r="1256" spans="1:10">
      <c r="A1256" s="1">
        <v>41338</v>
      </c>
      <c r="B1256">
        <v>43.41</v>
      </c>
      <c r="C1256">
        <v>44.03</v>
      </c>
      <c r="D1256">
        <v>43.1</v>
      </c>
      <c r="E1256">
        <v>43.6</v>
      </c>
      <c r="F1256">
        <v>43223400</v>
      </c>
      <c r="G1256">
        <v>43.57</v>
      </c>
      <c r="H1256" t="s">
        <v>25</v>
      </c>
      <c r="I1256" s="22">
        <f t="shared" si="39"/>
        <v>1.5263941125917476E-2</v>
      </c>
      <c r="J1256" s="22" t="str">
        <f t="shared" si="40"/>
        <v/>
      </c>
    </row>
    <row r="1257" spans="1:10">
      <c r="A1257" s="1">
        <v>41339</v>
      </c>
      <c r="B1257">
        <v>43.97</v>
      </c>
      <c r="C1257">
        <v>44.75</v>
      </c>
      <c r="D1257">
        <v>43.9</v>
      </c>
      <c r="E1257">
        <v>44.58</v>
      </c>
      <c r="F1257">
        <v>35986300</v>
      </c>
      <c r="G1257">
        <v>44.55</v>
      </c>
      <c r="H1257" t="s">
        <v>25</v>
      </c>
      <c r="I1257" s="22">
        <f t="shared" si="39"/>
        <v>2.2243313787467557E-2</v>
      </c>
      <c r="J1257" s="22" t="str">
        <f t="shared" si="40"/>
        <v/>
      </c>
    </row>
    <row r="1258" spans="1:10">
      <c r="A1258" s="1">
        <v>41340</v>
      </c>
      <c r="B1258">
        <v>44.56</v>
      </c>
      <c r="C1258">
        <v>45.13</v>
      </c>
      <c r="D1258">
        <v>44.45</v>
      </c>
      <c r="E1258">
        <v>45</v>
      </c>
      <c r="F1258">
        <v>40245900</v>
      </c>
      <c r="G1258">
        <v>44.97</v>
      </c>
      <c r="H1258" t="s">
        <v>25</v>
      </c>
      <c r="I1258" s="22">
        <f t="shared" si="39"/>
        <v>9.383446865797845E-3</v>
      </c>
      <c r="J1258" s="22" t="str">
        <f t="shared" si="40"/>
        <v/>
      </c>
    </row>
    <row r="1259" spans="1:10">
      <c r="A1259" s="1">
        <v>41341</v>
      </c>
      <c r="B1259">
        <v>45.98</v>
      </c>
      <c r="C1259">
        <v>46.7</v>
      </c>
      <c r="D1259">
        <v>45.37</v>
      </c>
      <c r="E1259">
        <v>46.68</v>
      </c>
      <c r="F1259">
        <v>63728900</v>
      </c>
      <c r="G1259">
        <v>46.65</v>
      </c>
      <c r="H1259" t="s">
        <v>25</v>
      </c>
      <c r="I1259" s="22">
        <f t="shared" si="39"/>
        <v>3.6677326510736838E-2</v>
      </c>
      <c r="J1259" s="22" t="str">
        <f t="shared" si="40"/>
        <v/>
      </c>
    </row>
    <row r="1260" spans="1:10">
      <c r="A1260" s="1">
        <v>41344</v>
      </c>
      <c r="B1260">
        <v>46.81</v>
      </c>
      <c r="C1260">
        <v>47.92</v>
      </c>
      <c r="D1260">
        <v>46.4</v>
      </c>
      <c r="E1260">
        <v>47.6</v>
      </c>
      <c r="F1260">
        <v>51807400</v>
      </c>
      <c r="G1260">
        <v>47.57</v>
      </c>
      <c r="H1260" t="s">
        <v>25</v>
      </c>
      <c r="I1260" s="22">
        <f t="shared" si="39"/>
        <v>1.952938315083742E-2</v>
      </c>
      <c r="J1260" s="22" t="str">
        <f t="shared" si="40"/>
        <v/>
      </c>
    </row>
    <row r="1261" spans="1:10">
      <c r="A1261" s="1">
        <v>41345</v>
      </c>
      <c r="B1261">
        <v>47.34</v>
      </c>
      <c r="C1261">
        <v>47.45</v>
      </c>
      <c r="D1261">
        <v>46.4</v>
      </c>
      <c r="E1261">
        <v>46.95</v>
      </c>
      <c r="F1261">
        <v>35089100</v>
      </c>
      <c r="G1261">
        <v>46.92</v>
      </c>
      <c r="H1261" t="s">
        <v>25</v>
      </c>
      <c r="I1261" s="22">
        <f t="shared" si="39"/>
        <v>-1.3758286658915349E-2</v>
      </c>
      <c r="J1261" s="22" t="str">
        <f t="shared" si="40"/>
        <v>lost money</v>
      </c>
    </row>
    <row r="1262" spans="1:10">
      <c r="A1262" s="1">
        <v>41346</v>
      </c>
      <c r="B1262">
        <v>46.88</v>
      </c>
      <c r="C1262">
        <v>47</v>
      </c>
      <c r="D1262">
        <v>46.33</v>
      </c>
      <c r="E1262">
        <v>46.97</v>
      </c>
      <c r="F1262">
        <v>27654300</v>
      </c>
      <c r="G1262">
        <v>46.94</v>
      </c>
      <c r="H1262" t="s">
        <v>25</v>
      </c>
      <c r="I1262" s="22">
        <f t="shared" si="39"/>
        <v>4.2616663760273061E-4</v>
      </c>
      <c r="J1262" s="22" t="str">
        <f t="shared" si="40"/>
        <v/>
      </c>
    </row>
    <row r="1263" spans="1:10">
      <c r="A1263" s="1">
        <v>41347</v>
      </c>
      <c r="B1263">
        <v>47.06</v>
      </c>
      <c r="C1263">
        <v>47.66</v>
      </c>
      <c r="D1263">
        <v>47.05</v>
      </c>
      <c r="E1263">
        <v>47.46</v>
      </c>
      <c r="F1263">
        <v>26017300</v>
      </c>
      <c r="G1263">
        <v>47.43</v>
      </c>
      <c r="H1263" t="s">
        <v>25</v>
      </c>
      <c r="I1263" s="22">
        <f t="shared" si="39"/>
        <v>1.0384749466612827E-2</v>
      </c>
      <c r="J1263" s="22" t="str">
        <f t="shared" si="40"/>
        <v/>
      </c>
    </row>
    <row r="1264" spans="1:10">
      <c r="A1264" s="1">
        <v>41348</v>
      </c>
      <c r="B1264">
        <v>47.52</v>
      </c>
      <c r="C1264">
        <v>47.57</v>
      </c>
      <c r="D1264">
        <v>46.92</v>
      </c>
      <c r="E1264">
        <v>47.26</v>
      </c>
      <c r="F1264">
        <v>48856400</v>
      </c>
      <c r="G1264">
        <v>47.23</v>
      </c>
      <c r="H1264" t="s">
        <v>25</v>
      </c>
      <c r="I1264" s="22">
        <f t="shared" si="39"/>
        <v>-4.2256559814646093E-3</v>
      </c>
      <c r="J1264" s="22" t="str">
        <f t="shared" si="40"/>
        <v>lost money</v>
      </c>
    </row>
    <row r="1265" spans="1:10">
      <c r="A1265" s="1">
        <v>41351</v>
      </c>
      <c r="B1265">
        <v>46.04</v>
      </c>
      <c r="C1265">
        <v>46.56</v>
      </c>
      <c r="D1265">
        <v>45.91</v>
      </c>
      <c r="E1265">
        <v>46.24</v>
      </c>
      <c r="F1265">
        <v>38550200</v>
      </c>
      <c r="G1265">
        <v>46.21</v>
      </c>
      <c r="H1265" t="s">
        <v>25</v>
      </c>
      <c r="I1265" s="22">
        <f t="shared" si="39"/>
        <v>-2.1833059025850674E-2</v>
      </c>
      <c r="J1265" s="22" t="str">
        <f t="shared" si="40"/>
        <v/>
      </c>
    </row>
    <row r="1266" spans="1:10">
      <c r="A1266" s="1">
        <v>41352</v>
      </c>
      <c r="B1266">
        <v>46.5</v>
      </c>
      <c r="C1266">
        <v>46.95</v>
      </c>
      <c r="D1266">
        <v>45.4</v>
      </c>
      <c r="E1266">
        <v>45.79</v>
      </c>
      <c r="F1266">
        <v>44416000</v>
      </c>
      <c r="G1266">
        <v>45.76</v>
      </c>
      <c r="H1266" t="s">
        <v>25</v>
      </c>
      <c r="I1266" s="22">
        <f t="shared" si="39"/>
        <v>-9.7858778106325907E-3</v>
      </c>
      <c r="J1266" s="22" t="str">
        <f t="shared" si="40"/>
        <v>lost money</v>
      </c>
    </row>
    <row r="1267" spans="1:10">
      <c r="A1267" s="1">
        <v>41353</v>
      </c>
      <c r="B1267">
        <v>46.14</v>
      </c>
      <c r="C1267">
        <v>46.46</v>
      </c>
      <c r="D1267">
        <v>45.97</v>
      </c>
      <c r="E1267">
        <v>46.09</v>
      </c>
      <c r="F1267">
        <v>24498700</v>
      </c>
      <c r="G1267">
        <v>46.06</v>
      </c>
      <c r="H1267" t="s">
        <v>25</v>
      </c>
      <c r="I1267" s="22">
        <f t="shared" si="39"/>
        <v>6.5345473209967968E-3</v>
      </c>
      <c r="J1267" s="22" t="str">
        <f t="shared" si="40"/>
        <v>lost money</v>
      </c>
    </row>
    <row r="1268" spans="1:10">
      <c r="A1268" s="1">
        <v>41354</v>
      </c>
      <c r="B1268">
        <v>45.91</v>
      </c>
      <c r="C1268">
        <v>46.45</v>
      </c>
      <c r="D1268">
        <v>45.22</v>
      </c>
      <c r="E1268">
        <v>45.23</v>
      </c>
      <c r="F1268">
        <v>33126900</v>
      </c>
      <c r="G1268">
        <v>45.2</v>
      </c>
      <c r="H1268" t="s">
        <v>25</v>
      </c>
      <c r="I1268" s="22">
        <f t="shared" si="39"/>
        <v>-1.8847807554353641E-2</v>
      </c>
      <c r="J1268" s="22" t="str">
        <f t="shared" si="40"/>
        <v>lost money</v>
      </c>
    </row>
    <row r="1269" spans="1:10">
      <c r="A1269" s="1">
        <v>41355</v>
      </c>
      <c r="B1269">
        <v>45.53</v>
      </c>
      <c r="C1269">
        <v>45.54</v>
      </c>
      <c r="D1269">
        <v>44.95</v>
      </c>
      <c r="E1269">
        <v>45.23</v>
      </c>
      <c r="F1269">
        <v>26449100</v>
      </c>
      <c r="G1269">
        <v>45.2</v>
      </c>
      <c r="H1269" t="s">
        <v>25</v>
      </c>
      <c r="I1269" s="22">
        <f t="shared" si="39"/>
        <v>0</v>
      </c>
      <c r="J1269" s="22" t="str">
        <f t="shared" si="40"/>
        <v>lost money</v>
      </c>
    </row>
    <row r="1270" spans="1:10">
      <c r="A1270" s="1">
        <v>41358</v>
      </c>
      <c r="B1270">
        <v>45.76</v>
      </c>
      <c r="C1270">
        <v>45.82</v>
      </c>
      <c r="D1270">
        <v>44.33</v>
      </c>
      <c r="E1270">
        <v>44.49</v>
      </c>
      <c r="F1270">
        <v>32795800</v>
      </c>
      <c r="G1270">
        <v>44.46</v>
      </c>
      <c r="H1270" t="s">
        <v>25</v>
      </c>
      <c r="I1270" s="22">
        <f t="shared" si="39"/>
        <v>-1.6507178302135044E-2</v>
      </c>
      <c r="J1270" s="22" t="str">
        <f t="shared" si="40"/>
        <v>lost money</v>
      </c>
    </row>
    <row r="1271" spans="1:10">
      <c r="A1271" s="1">
        <v>41359</v>
      </c>
      <c r="B1271">
        <v>44.69</v>
      </c>
      <c r="C1271">
        <v>45.09</v>
      </c>
      <c r="D1271">
        <v>44.36</v>
      </c>
      <c r="E1271">
        <v>44.83</v>
      </c>
      <c r="F1271">
        <v>24940500</v>
      </c>
      <c r="G1271">
        <v>44.8</v>
      </c>
      <c r="H1271" t="s">
        <v>25</v>
      </c>
      <c r="I1271" s="22">
        <f t="shared" si="39"/>
        <v>7.6182308848889192E-3</v>
      </c>
      <c r="J1271" s="22" t="str">
        <f t="shared" si="40"/>
        <v/>
      </c>
    </row>
    <row r="1272" spans="1:10">
      <c r="A1272" s="1">
        <v>41360</v>
      </c>
      <c r="B1272">
        <v>44.43</v>
      </c>
      <c r="C1272">
        <v>44.64</v>
      </c>
      <c r="D1272">
        <v>44.16</v>
      </c>
      <c r="E1272">
        <v>44.46</v>
      </c>
      <c r="F1272">
        <v>26298000</v>
      </c>
      <c r="G1272">
        <v>44.43</v>
      </c>
      <c r="H1272" t="s">
        <v>25</v>
      </c>
      <c r="I1272" s="22">
        <f t="shared" si="39"/>
        <v>-8.2932224731223133E-3</v>
      </c>
      <c r="J1272" s="22" t="str">
        <f t="shared" si="40"/>
        <v/>
      </c>
    </row>
    <row r="1273" spans="1:10">
      <c r="A1273" s="1">
        <v>41361</v>
      </c>
      <c r="B1273">
        <v>44.45</v>
      </c>
      <c r="C1273">
        <v>44.75</v>
      </c>
      <c r="D1273">
        <v>44.05</v>
      </c>
      <c r="E1273">
        <v>44.24</v>
      </c>
      <c r="F1273">
        <v>25355400</v>
      </c>
      <c r="G1273">
        <v>44.21</v>
      </c>
      <c r="H1273" t="s">
        <v>25</v>
      </c>
      <c r="I1273" s="22">
        <f t="shared" si="39"/>
        <v>-4.9639091096652854E-3</v>
      </c>
      <c r="J1273" s="22" t="str">
        <f t="shared" si="40"/>
        <v>lost money</v>
      </c>
    </row>
    <row r="1274" spans="1:10">
      <c r="A1274" s="1">
        <v>41365</v>
      </c>
      <c r="B1274">
        <v>44.32</v>
      </c>
      <c r="C1274">
        <v>44.71</v>
      </c>
      <c r="D1274">
        <v>43.66</v>
      </c>
      <c r="E1274">
        <v>43.79</v>
      </c>
      <c r="F1274">
        <v>19623400</v>
      </c>
      <c r="G1274">
        <v>43.76</v>
      </c>
      <c r="H1274" t="s">
        <v>25</v>
      </c>
      <c r="I1274" s="22">
        <f t="shared" si="39"/>
        <v>-1.0230849724426172E-2</v>
      </c>
      <c r="J1274" s="22" t="str">
        <f t="shared" si="40"/>
        <v>lost money</v>
      </c>
    </row>
    <row r="1275" spans="1:10">
      <c r="A1275" s="1">
        <v>41366</v>
      </c>
      <c r="B1275">
        <v>43.98</v>
      </c>
      <c r="C1275">
        <v>44.48</v>
      </c>
      <c r="D1275">
        <v>43.88</v>
      </c>
      <c r="E1275">
        <v>44.11</v>
      </c>
      <c r="F1275">
        <v>25145000</v>
      </c>
      <c r="G1275">
        <v>44.08</v>
      </c>
      <c r="H1275" t="s">
        <v>25</v>
      </c>
      <c r="I1275" s="22">
        <f t="shared" si="39"/>
        <v>7.2860067309333133E-3</v>
      </c>
      <c r="J1275" s="22" t="str">
        <f t="shared" si="40"/>
        <v/>
      </c>
    </row>
    <row r="1276" spans="1:10">
      <c r="A1276" s="1">
        <v>41367</v>
      </c>
      <c r="B1276">
        <v>43.97</v>
      </c>
      <c r="C1276">
        <v>44.1</v>
      </c>
      <c r="D1276">
        <v>42.2</v>
      </c>
      <c r="E1276">
        <v>42.5</v>
      </c>
      <c r="F1276">
        <v>47968100</v>
      </c>
      <c r="G1276">
        <v>42.47</v>
      </c>
      <c r="H1276" t="s">
        <v>25</v>
      </c>
      <c r="I1276" s="22">
        <f t="shared" si="39"/>
        <v>-3.720822051947921E-2</v>
      </c>
      <c r="J1276" s="22" t="str">
        <f t="shared" si="40"/>
        <v>lost money</v>
      </c>
    </row>
    <row r="1277" spans="1:10">
      <c r="A1277" s="1">
        <v>41368</v>
      </c>
      <c r="B1277">
        <v>42.53</v>
      </c>
      <c r="C1277">
        <v>42.98</v>
      </c>
      <c r="D1277">
        <v>42.15</v>
      </c>
      <c r="E1277">
        <v>42.77</v>
      </c>
      <c r="F1277">
        <v>38527900</v>
      </c>
      <c r="G1277">
        <v>42.74</v>
      </c>
      <c r="H1277" t="s">
        <v>25</v>
      </c>
      <c r="I1277" s="22">
        <f t="shared" si="39"/>
        <v>6.3373055658217997E-3</v>
      </c>
      <c r="J1277" s="22" t="str">
        <f t="shared" si="40"/>
        <v/>
      </c>
    </row>
    <row r="1278" spans="1:10">
      <c r="A1278" s="1">
        <v>41369</v>
      </c>
      <c r="B1278">
        <v>41.75</v>
      </c>
      <c r="C1278">
        <v>43.16</v>
      </c>
      <c r="D1278">
        <v>41.6</v>
      </c>
      <c r="E1278">
        <v>43.01</v>
      </c>
      <c r="F1278">
        <v>32561500</v>
      </c>
      <c r="G1278">
        <v>42.98</v>
      </c>
      <c r="H1278" t="s">
        <v>25</v>
      </c>
      <c r="I1278" s="22">
        <f t="shared" si="39"/>
        <v>5.5996413233627427E-3</v>
      </c>
      <c r="J1278" s="22" t="str">
        <f t="shared" si="40"/>
        <v/>
      </c>
    </row>
    <row r="1279" spans="1:10">
      <c r="A1279" s="1">
        <v>41372</v>
      </c>
      <c r="B1279">
        <v>43.06</v>
      </c>
      <c r="C1279">
        <v>43.62</v>
      </c>
      <c r="D1279">
        <v>42.54</v>
      </c>
      <c r="E1279">
        <v>43.56</v>
      </c>
      <c r="F1279">
        <v>23502800</v>
      </c>
      <c r="G1279">
        <v>43.53</v>
      </c>
      <c r="H1279" t="s">
        <v>25</v>
      </c>
      <c r="I1279" s="22">
        <f t="shared" si="39"/>
        <v>1.2715464349841932E-2</v>
      </c>
      <c r="J1279" s="22" t="str">
        <f t="shared" si="40"/>
        <v/>
      </c>
    </row>
    <row r="1280" spans="1:10">
      <c r="A1280" s="1">
        <v>41373</v>
      </c>
      <c r="B1280">
        <v>43.69</v>
      </c>
      <c r="C1280">
        <v>44.28</v>
      </c>
      <c r="D1280">
        <v>43.68</v>
      </c>
      <c r="E1280">
        <v>43.89</v>
      </c>
      <c r="F1280">
        <v>26793500</v>
      </c>
      <c r="G1280">
        <v>43.86</v>
      </c>
      <c r="H1280" t="s">
        <v>25</v>
      </c>
      <c r="I1280" s="22">
        <f t="shared" si="39"/>
        <v>7.5523874255358512E-3</v>
      </c>
      <c r="J1280" s="22" t="str">
        <f t="shared" si="40"/>
        <v/>
      </c>
    </row>
    <row r="1281" spans="1:10">
      <c r="A1281" s="1">
        <v>41374</v>
      </c>
      <c r="B1281">
        <v>44.23</v>
      </c>
      <c r="C1281">
        <v>45.25</v>
      </c>
      <c r="D1281">
        <v>44.18</v>
      </c>
      <c r="E1281">
        <v>45.06</v>
      </c>
      <c r="F1281">
        <v>28334200</v>
      </c>
      <c r="G1281">
        <v>45.03</v>
      </c>
      <c r="H1281" t="s">
        <v>25</v>
      </c>
      <c r="I1281" s="22">
        <f t="shared" si="39"/>
        <v>2.6326191323738174E-2</v>
      </c>
      <c r="J1281" s="22" t="str">
        <f t="shared" si="40"/>
        <v/>
      </c>
    </row>
    <row r="1282" spans="1:10">
      <c r="A1282" s="1">
        <v>41375</v>
      </c>
      <c r="B1282">
        <v>45.1</v>
      </c>
      <c r="C1282">
        <v>45.55</v>
      </c>
      <c r="D1282">
        <v>44.65</v>
      </c>
      <c r="E1282">
        <v>44.87</v>
      </c>
      <c r="F1282">
        <v>28399900</v>
      </c>
      <c r="G1282">
        <v>44.84</v>
      </c>
      <c r="H1282" t="s">
        <v>25</v>
      </c>
      <c r="I1282" s="22">
        <f t="shared" si="39"/>
        <v>-4.2283361095210642E-3</v>
      </c>
      <c r="J1282" s="22" t="str">
        <f t="shared" si="40"/>
        <v>lost money</v>
      </c>
    </row>
    <row r="1283" spans="1:10">
      <c r="A1283" s="1">
        <v>41376</v>
      </c>
      <c r="B1283">
        <v>44.46</v>
      </c>
      <c r="C1283">
        <v>44.81</v>
      </c>
      <c r="D1283">
        <v>44.06</v>
      </c>
      <c r="E1283">
        <v>44.78</v>
      </c>
      <c r="F1283">
        <v>24702000</v>
      </c>
      <c r="G1283">
        <v>44.75</v>
      </c>
      <c r="H1283" t="s">
        <v>25</v>
      </c>
      <c r="I1283" s="22">
        <f t="shared" ref="I1283:I1346" si="41">IF(A1283=$A$2,"",LN(G1283/G1282))</f>
        <v>-2.0091534830948433E-3</v>
      </c>
      <c r="J1283" s="22" t="str">
        <f t="shared" ref="J1283:J1346" si="42">IF(B1283&gt;E1283,"lost money","")</f>
        <v/>
      </c>
    </row>
    <row r="1284" spans="1:10">
      <c r="A1284" s="1">
        <v>41379</v>
      </c>
      <c r="B1284">
        <v>46.1</v>
      </c>
      <c r="C1284">
        <v>46.29</v>
      </c>
      <c r="D1284">
        <v>44.83</v>
      </c>
      <c r="E1284">
        <v>44.87</v>
      </c>
      <c r="F1284">
        <v>56796300</v>
      </c>
      <c r="G1284">
        <v>44.84</v>
      </c>
      <c r="H1284" t="s">
        <v>25</v>
      </c>
      <c r="I1284" s="22">
        <f t="shared" si="41"/>
        <v>2.0091534830949703E-3</v>
      </c>
      <c r="J1284" s="22" t="str">
        <f t="shared" si="42"/>
        <v>lost money</v>
      </c>
    </row>
    <row r="1285" spans="1:10">
      <c r="A1285" s="1">
        <v>41380</v>
      </c>
      <c r="B1285">
        <v>45.88</v>
      </c>
      <c r="C1285">
        <v>46.78</v>
      </c>
      <c r="D1285">
        <v>45.83</v>
      </c>
      <c r="E1285">
        <v>46.66</v>
      </c>
      <c r="F1285">
        <v>40230100</v>
      </c>
      <c r="G1285">
        <v>46.63</v>
      </c>
      <c r="H1285" t="s">
        <v>25</v>
      </c>
      <c r="I1285" s="22">
        <f t="shared" si="41"/>
        <v>3.9143512616270304E-2</v>
      </c>
      <c r="J1285" s="22" t="str">
        <f t="shared" si="42"/>
        <v/>
      </c>
    </row>
    <row r="1286" spans="1:10">
      <c r="A1286" s="1">
        <v>41381</v>
      </c>
      <c r="B1286">
        <v>46.15</v>
      </c>
      <c r="C1286">
        <v>46.21</v>
      </c>
      <c r="D1286">
        <v>45.07</v>
      </c>
      <c r="E1286">
        <v>45.74</v>
      </c>
      <c r="F1286">
        <v>36241300</v>
      </c>
      <c r="G1286">
        <v>45.71</v>
      </c>
      <c r="H1286" t="s">
        <v>25</v>
      </c>
      <c r="I1286" s="22">
        <f t="shared" si="41"/>
        <v>-1.9927018476576561E-2</v>
      </c>
      <c r="J1286" s="22" t="str">
        <f t="shared" si="42"/>
        <v>lost money</v>
      </c>
    </row>
    <row r="1287" spans="1:10">
      <c r="A1287" s="1">
        <v>41382</v>
      </c>
      <c r="B1287">
        <v>45.75</v>
      </c>
      <c r="C1287">
        <v>45.75</v>
      </c>
      <c r="D1287">
        <v>44.87</v>
      </c>
      <c r="E1287">
        <v>45.09</v>
      </c>
      <c r="F1287">
        <v>29877900</v>
      </c>
      <c r="G1287">
        <v>45.06</v>
      </c>
      <c r="H1287" t="s">
        <v>25</v>
      </c>
      <c r="I1287" s="22">
        <f t="shared" si="41"/>
        <v>-1.4322157339554581E-2</v>
      </c>
      <c r="J1287" s="22" t="str">
        <f t="shared" si="42"/>
        <v>lost money</v>
      </c>
    </row>
    <row r="1288" spans="1:10">
      <c r="A1288" s="1">
        <v>41383</v>
      </c>
      <c r="B1288">
        <v>45.44</v>
      </c>
      <c r="C1288">
        <v>45.5</v>
      </c>
      <c r="D1288">
        <v>44.91</v>
      </c>
      <c r="E1288">
        <v>45.03</v>
      </c>
      <c r="F1288">
        <v>23630500</v>
      </c>
      <c r="G1288">
        <v>45</v>
      </c>
      <c r="H1288" t="s">
        <v>25</v>
      </c>
      <c r="I1288" s="22">
        <f t="shared" si="41"/>
        <v>-1.3324452337787119E-3</v>
      </c>
      <c r="J1288" s="22" t="str">
        <f t="shared" si="42"/>
        <v>lost money</v>
      </c>
    </row>
    <row r="1289" spans="1:10">
      <c r="A1289" s="1">
        <v>41386</v>
      </c>
      <c r="B1289">
        <v>45.16</v>
      </c>
      <c r="C1289">
        <v>45.26</v>
      </c>
      <c r="D1289">
        <v>44.52</v>
      </c>
      <c r="E1289">
        <v>45.15</v>
      </c>
      <c r="F1289">
        <v>19919400</v>
      </c>
      <c r="G1289">
        <v>45.12</v>
      </c>
      <c r="H1289" t="s">
        <v>25</v>
      </c>
      <c r="I1289" s="22">
        <f t="shared" si="41"/>
        <v>2.6631174194836284E-3</v>
      </c>
      <c r="J1289" s="22" t="str">
        <f t="shared" si="42"/>
        <v>lost money</v>
      </c>
    </row>
    <row r="1290" spans="1:10">
      <c r="A1290" s="1">
        <v>41387</v>
      </c>
      <c r="B1290">
        <v>45.43</v>
      </c>
      <c r="C1290">
        <v>46.62</v>
      </c>
      <c r="D1290">
        <v>45.4</v>
      </c>
      <c r="E1290">
        <v>46.46</v>
      </c>
      <c r="F1290">
        <v>28837900</v>
      </c>
      <c r="G1290">
        <v>46.43</v>
      </c>
      <c r="H1290" t="s">
        <v>25</v>
      </c>
      <c r="I1290" s="22">
        <f t="shared" si="41"/>
        <v>2.8620194842026912E-2</v>
      </c>
      <c r="J1290" s="22" t="str">
        <f t="shared" si="42"/>
        <v/>
      </c>
    </row>
    <row r="1291" spans="1:10">
      <c r="A1291" s="1">
        <v>41388</v>
      </c>
      <c r="B1291">
        <v>46.41</v>
      </c>
      <c r="C1291">
        <v>47.43</v>
      </c>
      <c r="D1291">
        <v>46.4</v>
      </c>
      <c r="E1291">
        <v>47.12</v>
      </c>
      <c r="F1291">
        <v>23560500</v>
      </c>
      <c r="G1291">
        <v>47.09</v>
      </c>
      <c r="H1291" t="s">
        <v>25</v>
      </c>
      <c r="I1291" s="22">
        <f t="shared" si="41"/>
        <v>1.4114862223632937E-2</v>
      </c>
      <c r="J1291" s="22" t="str">
        <f t="shared" si="42"/>
        <v/>
      </c>
    </row>
    <row r="1292" spans="1:10">
      <c r="A1292" s="1">
        <v>41389</v>
      </c>
      <c r="B1292">
        <v>47.19</v>
      </c>
      <c r="C1292">
        <v>47.68</v>
      </c>
      <c r="D1292">
        <v>46.9</v>
      </c>
      <c r="E1292">
        <v>47.11</v>
      </c>
      <c r="F1292">
        <v>25633900</v>
      </c>
      <c r="G1292">
        <v>47.08</v>
      </c>
      <c r="H1292" t="s">
        <v>25</v>
      </c>
      <c r="I1292" s="22">
        <f t="shared" si="41"/>
        <v>-2.1238186338737105E-4</v>
      </c>
      <c r="J1292" s="22" t="str">
        <f t="shared" si="42"/>
        <v>lost money</v>
      </c>
    </row>
    <row r="1293" spans="1:10">
      <c r="A1293" s="1">
        <v>41390</v>
      </c>
      <c r="B1293">
        <v>47</v>
      </c>
      <c r="C1293">
        <v>47.22</v>
      </c>
      <c r="D1293">
        <v>46.49</v>
      </c>
      <c r="E1293">
        <v>46.92</v>
      </c>
      <c r="F1293">
        <v>14989200</v>
      </c>
      <c r="G1293">
        <v>46.89</v>
      </c>
      <c r="H1293" t="s">
        <v>25</v>
      </c>
      <c r="I1293" s="22">
        <f t="shared" si="41"/>
        <v>-4.0438492905810128E-3</v>
      </c>
      <c r="J1293" s="22" t="str">
        <f t="shared" si="42"/>
        <v>lost money</v>
      </c>
    </row>
    <row r="1294" spans="1:10">
      <c r="A1294" s="1">
        <v>41393</v>
      </c>
      <c r="B1294">
        <v>47.19</v>
      </c>
      <c r="C1294">
        <v>47.29</v>
      </c>
      <c r="D1294">
        <v>46.71</v>
      </c>
      <c r="E1294">
        <v>46.82</v>
      </c>
      <c r="F1294">
        <v>14224700</v>
      </c>
      <c r="G1294">
        <v>46.79</v>
      </c>
      <c r="H1294" t="s">
        <v>25</v>
      </c>
      <c r="I1294" s="22">
        <f t="shared" si="41"/>
        <v>-2.1349282233699986E-3</v>
      </c>
      <c r="J1294" s="22" t="str">
        <f t="shared" si="42"/>
        <v>lost money</v>
      </c>
    </row>
    <row r="1295" spans="1:10">
      <c r="A1295" s="1">
        <v>41394</v>
      </c>
      <c r="B1295">
        <v>46.85</v>
      </c>
      <c r="C1295">
        <v>47.2</v>
      </c>
      <c r="D1295">
        <v>46.48</v>
      </c>
      <c r="E1295">
        <v>46.66</v>
      </c>
      <c r="F1295">
        <v>18085000</v>
      </c>
      <c r="G1295">
        <v>46.63</v>
      </c>
      <c r="H1295" t="s">
        <v>25</v>
      </c>
      <c r="I1295" s="22">
        <f t="shared" si="41"/>
        <v>-3.4253940578953747E-3</v>
      </c>
      <c r="J1295" s="22" t="str">
        <f t="shared" si="42"/>
        <v>lost money</v>
      </c>
    </row>
    <row r="1296" spans="1:10">
      <c r="A1296" s="1">
        <v>41395</v>
      </c>
      <c r="B1296">
        <v>46.48</v>
      </c>
      <c r="C1296">
        <v>46.58</v>
      </c>
      <c r="D1296">
        <v>45.64</v>
      </c>
      <c r="E1296">
        <v>45.87</v>
      </c>
      <c r="F1296">
        <v>21943100</v>
      </c>
      <c r="G1296">
        <v>45.84</v>
      </c>
      <c r="H1296" t="s">
        <v>25</v>
      </c>
      <c r="I1296" s="22">
        <f t="shared" si="41"/>
        <v>-1.7087038413745363E-2</v>
      </c>
      <c r="J1296" s="22" t="str">
        <f t="shared" si="42"/>
        <v>lost money</v>
      </c>
    </row>
    <row r="1297" spans="1:10">
      <c r="A1297" s="1">
        <v>41396</v>
      </c>
      <c r="B1297">
        <v>45.99</v>
      </c>
      <c r="C1297">
        <v>46.69</v>
      </c>
      <c r="D1297">
        <v>45.49</v>
      </c>
      <c r="E1297">
        <v>46.54</v>
      </c>
      <c r="F1297">
        <v>19996300</v>
      </c>
      <c r="G1297">
        <v>46.52</v>
      </c>
      <c r="H1297" t="s">
        <v>25</v>
      </c>
      <c r="I1297" s="22">
        <f t="shared" si="41"/>
        <v>1.472525524397952E-2</v>
      </c>
      <c r="J1297" s="22" t="str">
        <f t="shared" si="42"/>
        <v/>
      </c>
    </row>
    <row r="1298" spans="1:10">
      <c r="A1298" s="1">
        <v>41397</v>
      </c>
      <c r="B1298">
        <v>47.12</v>
      </c>
      <c r="C1298">
        <v>47.5</v>
      </c>
      <c r="D1298">
        <v>46.87</v>
      </c>
      <c r="E1298">
        <v>46.97</v>
      </c>
      <c r="F1298">
        <v>20347400</v>
      </c>
      <c r="G1298">
        <v>46.95</v>
      </c>
      <c r="H1298" t="s">
        <v>25</v>
      </c>
      <c r="I1298" s="22">
        <f t="shared" si="41"/>
        <v>9.2008780038082879E-3</v>
      </c>
      <c r="J1298" s="22" t="str">
        <f t="shared" si="42"/>
        <v>lost money</v>
      </c>
    </row>
    <row r="1299" spans="1:10">
      <c r="A1299" s="1">
        <v>41400</v>
      </c>
      <c r="B1299">
        <v>46.92</v>
      </c>
      <c r="C1299">
        <v>48.05</v>
      </c>
      <c r="D1299">
        <v>46.89</v>
      </c>
      <c r="E1299">
        <v>47.48</v>
      </c>
      <c r="F1299">
        <v>29160400</v>
      </c>
      <c r="G1299">
        <v>47.46</v>
      </c>
      <c r="H1299" t="s">
        <v>25</v>
      </c>
      <c r="I1299" s="22">
        <f t="shared" si="41"/>
        <v>1.080404535334549E-2</v>
      </c>
      <c r="J1299" s="22" t="str">
        <f t="shared" si="42"/>
        <v/>
      </c>
    </row>
    <row r="1300" spans="1:10">
      <c r="A1300" s="1">
        <v>41401</v>
      </c>
      <c r="B1300">
        <v>47.79</v>
      </c>
      <c r="C1300">
        <v>48.3</v>
      </c>
      <c r="D1300">
        <v>47.36</v>
      </c>
      <c r="E1300">
        <v>48.11</v>
      </c>
      <c r="F1300">
        <v>27492800</v>
      </c>
      <c r="G1300">
        <v>48.09</v>
      </c>
      <c r="H1300" t="s">
        <v>25</v>
      </c>
      <c r="I1300" s="22">
        <f t="shared" si="41"/>
        <v>1.31870042819539E-2</v>
      </c>
      <c r="J1300" s="22" t="str">
        <f t="shared" si="42"/>
        <v/>
      </c>
    </row>
    <row r="1301" spans="1:10">
      <c r="A1301" s="1">
        <v>41402</v>
      </c>
      <c r="B1301">
        <v>48.05</v>
      </c>
      <c r="C1301">
        <v>49.46</v>
      </c>
      <c r="D1301">
        <v>47.87</v>
      </c>
      <c r="E1301">
        <v>49.29</v>
      </c>
      <c r="F1301">
        <v>34220900</v>
      </c>
      <c r="G1301">
        <v>49.27</v>
      </c>
      <c r="H1301" t="s">
        <v>25</v>
      </c>
      <c r="I1301" s="22">
        <f t="shared" si="41"/>
        <v>2.4241121266300486E-2</v>
      </c>
      <c r="J1301" s="22" t="str">
        <f t="shared" si="42"/>
        <v/>
      </c>
    </row>
    <row r="1302" spans="1:10">
      <c r="A1302" s="1">
        <v>41403</v>
      </c>
      <c r="B1302">
        <v>49.28</v>
      </c>
      <c r="C1302">
        <v>49.34</v>
      </c>
      <c r="D1302">
        <v>48.29</v>
      </c>
      <c r="E1302">
        <v>48.6</v>
      </c>
      <c r="F1302">
        <v>27058600</v>
      </c>
      <c r="G1302">
        <v>48.58</v>
      </c>
      <c r="H1302" t="s">
        <v>25</v>
      </c>
      <c r="I1302" s="22">
        <f t="shared" si="41"/>
        <v>-1.4103452981845425E-2</v>
      </c>
      <c r="J1302" s="22" t="str">
        <f t="shared" si="42"/>
        <v>lost money</v>
      </c>
    </row>
    <row r="1303" spans="1:10">
      <c r="A1303" s="1">
        <v>41404</v>
      </c>
      <c r="B1303">
        <v>48.55</v>
      </c>
      <c r="C1303">
        <v>48.88</v>
      </c>
      <c r="D1303">
        <v>48.43</v>
      </c>
      <c r="E1303">
        <v>48.75</v>
      </c>
      <c r="F1303">
        <v>18476600</v>
      </c>
      <c r="G1303">
        <v>48.73</v>
      </c>
      <c r="H1303" t="s">
        <v>25</v>
      </c>
      <c r="I1303" s="22">
        <f t="shared" si="41"/>
        <v>3.0829332813884134E-3</v>
      </c>
      <c r="J1303" s="22" t="str">
        <f t="shared" si="42"/>
        <v/>
      </c>
    </row>
    <row r="1304" spans="1:10">
      <c r="A1304" s="1">
        <v>41407</v>
      </c>
      <c r="B1304">
        <v>48.5</v>
      </c>
      <c r="C1304">
        <v>48.97</v>
      </c>
      <c r="D1304">
        <v>48.4</v>
      </c>
      <c r="E1304">
        <v>48.92</v>
      </c>
      <c r="F1304">
        <v>17096400</v>
      </c>
      <c r="G1304">
        <v>48.9</v>
      </c>
      <c r="H1304" t="s">
        <v>25</v>
      </c>
      <c r="I1304" s="22">
        <f t="shared" si="41"/>
        <v>3.482539625411576E-3</v>
      </c>
      <c r="J1304" s="22" t="str">
        <f t="shared" si="42"/>
        <v/>
      </c>
    </row>
    <row r="1305" spans="1:10">
      <c r="A1305" s="1">
        <v>41408</v>
      </c>
      <c r="B1305">
        <v>49.05</v>
      </c>
      <c r="C1305">
        <v>50.2</v>
      </c>
      <c r="D1305">
        <v>49.02</v>
      </c>
      <c r="E1305">
        <v>50.09</v>
      </c>
      <c r="F1305">
        <v>35998300</v>
      </c>
      <c r="G1305">
        <v>50.07</v>
      </c>
      <c r="H1305" t="s">
        <v>25</v>
      </c>
      <c r="I1305" s="22">
        <f t="shared" si="41"/>
        <v>2.3644629861027139E-2</v>
      </c>
      <c r="J1305" s="22" t="str">
        <f t="shared" si="42"/>
        <v/>
      </c>
    </row>
    <row r="1306" spans="1:10">
      <c r="A1306" s="1">
        <v>41409</v>
      </c>
      <c r="B1306">
        <v>49.96</v>
      </c>
      <c r="C1306">
        <v>51.45</v>
      </c>
      <c r="D1306">
        <v>49.9</v>
      </c>
      <c r="E1306">
        <v>51.34</v>
      </c>
      <c r="F1306">
        <v>40824400</v>
      </c>
      <c r="G1306">
        <v>51.32</v>
      </c>
      <c r="H1306" t="s">
        <v>25</v>
      </c>
      <c r="I1306" s="22">
        <f t="shared" si="41"/>
        <v>2.4658513405582245E-2</v>
      </c>
      <c r="J1306" s="22" t="str">
        <f t="shared" si="42"/>
        <v/>
      </c>
    </row>
    <row r="1307" spans="1:10">
      <c r="A1307" s="1">
        <v>41410</v>
      </c>
      <c r="B1307">
        <v>51</v>
      </c>
      <c r="C1307">
        <v>51.36</v>
      </c>
      <c r="D1307">
        <v>50.5</v>
      </c>
      <c r="E1307">
        <v>50.61</v>
      </c>
      <c r="F1307">
        <v>25290000</v>
      </c>
      <c r="G1307">
        <v>50.59</v>
      </c>
      <c r="H1307" t="s">
        <v>25</v>
      </c>
      <c r="I1307" s="22">
        <f t="shared" si="41"/>
        <v>-1.4326611443590848E-2</v>
      </c>
      <c r="J1307" s="22" t="str">
        <f t="shared" si="42"/>
        <v>lost money</v>
      </c>
    </row>
    <row r="1308" spans="1:10">
      <c r="A1308" s="1">
        <v>41411</v>
      </c>
      <c r="B1308">
        <v>51.14</v>
      </c>
      <c r="C1308">
        <v>51.5</v>
      </c>
      <c r="D1308">
        <v>50.79</v>
      </c>
      <c r="E1308">
        <v>51.45</v>
      </c>
      <c r="F1308">
        <v>23610900</v>
      </c>
      <c r="G1308">
        <v>51.43</v>
      </c>
      <c r="H1308" t="s">
        <v>25</v>
      </c>
      <c r="I1308" s="22">
        <f t="shared" si="41"/>
        <v>1.6467731482980006E-2</v>
      </c>
      <c r="J1308" s="22" t="str">
        <f t="shared" si="42"/>
        <v/>
      </c>
    </row>
    <row r="1309" spans="1:10">
      <c r="A1309" s="1">
        <v>41414</v>
      </c>
      <c r="B1309">
        <v>51.46</v>
      </c>
      <c r="C1309">
        <v>52.1</v>
      </c>
      <c r="D1309">
        <v>51.25</v>
      </c>
      <c r="E1309">
        <v>51.6</v>
      </c>
      <c r="F1309">
        <v>24697300</v>
      </c>
      <c r="G1309">
        <v>51.58</v>
      </c>
      <c r="H1309" t="s">
        <v>25</v>
      </c>
      <c r="I1309" s="22">
        <f t="shared" si="41"/>
        <v>2.9123406663738257E-3</v>
      </c>
      <c r="J1309" s="22" t="str">
        <f t="shared" si="42"/>
        <v/>
      </c>
    </row>
    <row r="1310" spans="1:10">
      <c r="A1310" s="1">
        <v>41415</v>
      </c>
      <c r="B1310">
        <v>51.4</v>
      </c>
      <c r="C1310">
        <v>52.18</v>
      </c>
      <c r="D1310">
        <v>51.4</v>
      </c>
      <c r="E1310">
        <v>51.66</v>
      </c>
      <c r="F1310">
        <v>28171000</v>
      </c>
      <c r="G1310">
        <v>51.64</v>
      </c>
      <c r="H1310" t="s">
        <v>25</v>
      </c>
      <c r="I1310" s="22">
        <f t="shared" si="41"/>
        <v>1.162565525242996E-3</v>
      </c>
      <c r="J1310" s="22" t="str">
        <f t="shared" si="42"/>
        <v/>
      </c>
    </row>
    <row r="1311" spans="1:10">
      <c r="A1311" s="1">
        <v>41416</v>
      </c>
      <c r="B1311">
        <v>51.84</v>
      </c>
      <c r="C1311">
        <v>52.89</v>
      </c>
      <c r="D1311">
        <v>50.84</v>
      </c>
      <c r="E1311">
        <v>51</v>
      </c>
      <c r="F1311">
        <v>44035800</v>
      </c>
      <c r="G1311">
        <v>50.98</v>
      </c>
      <c r="H1311" t="s">
        <v>25</v>
      </c>
      <c r="I1311" s="22">
        <f t="shared" si="41"/>
        <v>-1.2863167030472486E-2</v>
      </c>
      <c r="J1311" s="22" t="str">
        <f t="shared" si="42"/>
        <v>lost money</v>
      </c>
    </row>
    <row r="1312" spans="1:10">
      <c r="A1312" s="1">
        <v>41417</v>
      </c>
      <c r="B1312">
        <v>49.2</v>
      </c>
      <c r="C1312">
        <v>50.91</v>
      </c>
      <c r="D1312">
        <v>49.18</v>
      </c>
      <c r="E1312">
        <v>50.53</v>
      </c>
      <c r="F1312">
        <v>42219400</v>
      </c>
      <c r="G1312">
        <v>50.51</v>
      </c>
      <c r="H1312" t="s">
        <v>25</v>
      </c>
      <c r="I1312" s="22">
        <f t="shared" si="41"/>
        <v>-9.2620624680081996E-3</v>
      </c>
      <c r="J1312" s="22" t="str">
        <f t="shared" si="42"/>
        <v/>
      </c>
    </row>
    <row r="1313" spans="1:10">
      <c r="A1313" s="1">
        <v>41418</v>
      </c>
      <c r="B1313">
        <v>50.08</v>
      </c>
      <c r="C1313">
        <v>50.54</v>
      </c>
      <c r="D1313">
        <v>50</v>
      </c>
      <c r="E1313">
        <v>50.52</v>
      </c>
      <c r="F1313">
        <v>23094900</v>
      </c>
      <c r="G1313">
        <v>50.5</v>
      </c>
      <c r="H1313" t="s">
        <v>25</v>
      </c>
      <c r="I1313" s="22">
        <f t="shared" si="41"/>
        <v>-1.9800019864698633E-4</v>
      </c>
      <c r="J1313" s="22" t="str">
        <f t="shared" si="42"/>
        <v/>
      </c>
    </row>
    <row r="1314" spans="1:10">
      <c r="A1314" s="1">
        <v>41422</v>
      </c>
      <c r="B1314">
        <v>51.31</v>
      </c>
      <c r="C1314">
        <v>51.8</v>
      </c>
      <c r="D1314">
        <v>51.08</v>
      </c>
      <c r="E1314">
        <v>51.79</v>
      </c>
      <c r="F1314">
        <v>28201000</v>
      </c>
      <c r="G1314">
        <v>51.77</v>
      </c>
      <c r="H1314" t="s">
        <v>25</v>
      </c>
      <c r="I1314" s="22">
        <f t="shared" si="41"/>
        <v>2.4837494632495866E-2</v>
      </c>
      <c r="J1314" s="22" t="str">
        <f t="shared" si="42"/>
        <v/>
      </c>
    </row>
    <row r="1315" spans="1:10">
      <c r="A1315" s="1">
        <v>41423</v>
      </c>
      <c r="B1315">
        <v>51.43</v>
      </c>
      <c r="C1315">
        <v>52.59</v>
      </c>
      <c r="D1315">
        <v>51.3</v>
      </c>
      <c r="E1315">
        <v>52.28</v>
      </c>
      <c r="F1315">
        <v>30015100</v>
      </c>
      <c r="G1315">
        <v>52.26</v>
      </c>
      <c r="H1315" t="s">
        <v>25</v>
      </c>
      <c r="I1315" s="22">
        <f t="shared" si="41"/>
        <v>9.4204291786563719E-3</v>
      </c>
      <c r="J1315" s="22" t="str">
        <f t="shared" si="42"/>
        <v/>
      </c>
    </row>
    <row r="1316" spans="1:10">
      <c r="A1316" s="1">
        <v>41424</v>
      </c>
      <c r="B1316">
        <v>52.27</v>
      </c>
      <c r="C1316">
        <v>53.56</v>
      </c>
      <c r="D1316">
        <v>52.24</v>
      </c>
      <c r="E1316">
        <v>53.27</v>
      </c>
      <c r="F1316">
        <v>30310100</v>
      </c>
      <c r="G1316">
        <v>53.25</v>
      </c>
      <c r="H1316" t="s">
        <v>25</v>
      </c>
      <c r="I1316" s="22">
        <f t="shared" si="41"/>
        <v>1.8766544497068195E-2</v>
      </c>
      <c r="J1316" s="22" t="str">
        <f t="shared" si="42"/>
        <v/>
      </c>
    </row>
    <row r="1317" spans="1:10">
      <c r="A1317" s="1">
        <v>41425</v>
      </c>
      <c r="B1317">
        <v>53.27</v>
      </c>
      <c r="C1317">
        <v>53.44</v>
      </c>
      <c r="D1317">
        <v>51.99</v>
      </c>
      <c r="E1317">
        <v>51.99</v>
      </c>
      <c r="F1317">
        <v>34618000</v>
      </c>
      <c r="G1317">
        <v>51.97</v>
      </c>
      <c r="H1317" t="s">
        <v>25</v>
      </c>
      <c r="I1317" s="22">
        <f t="shared" si="41"/>
        <v>-2.4331175569183988E-2</v>
      </c>
      <c r="J1317" s="22" t="str">
        <f t="shared" si="42"/>
        <v>lost money</v>
      </c>
    </row>
    <row r="1318" spans="1:10">
      <c r="A1318" s="1">
        <v>41428</v>
      </c>
      <c r="B1318">
        <v>52.06</v>
      </c>
      <c r="C1318">
        <v>52.23</v>
      </c>
      <c r="D1318">
        <v>50.61</v>
      </c>
      <c r="E1318">
        <v>51.96</v>
      </c>
      <c r="F1318">
        <v>35191300</v>
      </c>
      <c r="G1318">
        <v>51.94</v>
      </c>
      <c r="H1318" t="s">
        <v>25</v>
      </c>
      <c r="I1318" s="22">
        <f t="shared" si="41"/>
        <v>-5.7742278574810164E-4</v>
      </c>
      <c r="J1318" s="22" t="str">
        <f t="shared" si="42"/>
        <v>lost money</v>
      </c>
    </row>
    <row r="1319" spans="1:10">
      <c r="A1319" s="1">
        <v>41429</v>
      </c>
      <c r="B1319">
        <v>51.89</v>
      </c>
      <c r="C1319">
        <v>52.62</v>
      </c>
      <c r="D1319">
        <v>51</v>
      </c>
      <c r="E1319">
        <v>51.23</v>
      </c>
      <c r="F1319">
        <v>27899200</v>
      </c>
      <c r="G1319">
        <v>51.21</v>
      </c>
      <c r="H1319" t="s">
        <v>25</v>
      </c>
      <c r="I1319" s="22">
        <f t="shared" si="41"/>
        <v>-1.4154380760143416E-2</v>
      </c>
      <c r="J1319" s="22" t="str">
        <f t="shared" si="42"/>
        <v>lost money</v>
      </c>
    </row>
    <row r="1320" spans="1:10">
      <c r="A1320" s="1">
        <v>41430</v>
      </c>
      <c r="B1320">
        <v>51.11</v>
      </c>
      <c r="C1320">
        <v>51.48</v>
      </c>
      <c r="D1320">
        <v>49.76</v>
      </c>
      <c r="E1320">
        <v>50.03</v>
      </c>
      <c r="F1320">
        <v>38307500</v>
      </c>
      <c r="G1320">
        <v>50.01</v>
      </c>
      <c r="H1320" t="s">
        <v>25</v>
      </c>
      <c r="I1320" s="22">
        <f t="shared" si="41"/>
        <v>-2.3711840043646664E-2</v>
      </c>
      <c r="J1320" s="22" t="str">
        <f t="shared" si="42"/>
        <v>lost money</v>
      </c>
    </row>
    <row r="1321" spans="1:10">
      <c r="A1321" s="1">
        <v>41431</v>
      </c>
      <c r="B1321">
        <v>49.86</v>
      </c>
      <c r="C1321">
        <v>50.86</v>
      </c>
      <c r="D1321">
        <v>49.63</v>
      </c>
      <c r="E1321">
        <v>50.83</v>
      </c>
      <c r="F1321">
        <v>35143600</v>
      </c>
      <c r="G1321">
        <v>50.81</v>
      </c>
      <c r="H1321" t="s">
        <v>25</v>
      </c>
      <c r="I1321" s="22">
        <f t="shared" si="41"/>
        <v>1.587020017482825E-2</v>
      </c>
      <c r="J1321" s="22" t="str">
        <f t="shared" si="42"/>
        <v/>
      </c>
    </row>
    <row r="1322" spans="1:10">
      <c r="A1322" s="1">
        <v>41432</v>
      </c>
      <c r="B1322">
        <v>51.27</v>
      </c>
      <c r="C1322">
        <v>51.81</v>
      </c>
      <c r="D1322">
        <v>50.85</v>
      </c>
      <c r="E1322">
        <v>51.6</v>
      </c>
      <c r="F1322">
        <v>30885500</v>
      </c>
      <c r="G1322">
        <v>51.58</v>
      </c>
      <c r="H1322" t="s">
        <v>25</v>
      </c>
      <c r="I1322" s="22">
        <f t="shared" si="41"/>
        <v>1.5040814847558098E-2</v>
      </c>
      <c r="J1322" s="22" t="str">
        <f t="shared" si="42"/>
        <v/>
      </c>
    </row>
    <row r="1323" spans="1:10">
      <c r="A1323" s="1">
        <v>41435</v>
      </c>
      <c r="B1323">
        <v>52</v>
      </c>
      <c r="C1323">
        <v>52.12</v>
      </c>
      <c r="D1323">
        <v>51.21</v>
      </c>
      <c r="E1323">
        <v>51.93</v>
      </c>
      <c r="F1323">
        <v>22354400</v>
      </c>
      <c r="G1323">
        <v>51.91</v>
      </c>
      <c r="H1323" t="s">
        <v>25</v>
      </c>
      <c r="I1323" s="22">
        <f t="shared" si="41"/>
        <v>6.3774493859388524E-3</v>
      </c>
      <c r="J1323" s="22" t="str">
        <f t="shared" si="42"/>
        <v>lost money</v>
      </c>
    </row>
    <row r="1324" spans="1:10">
      <c r="A1324" s="1">
        <v>41436</v>
      </c>
      <c r="B1324">
        <v>50.7</v>
      </c>
      <c r="C1324">
        <v>50.85</v>
      </c>
      <c r="D1324">
        <v>49.82</v>
      </c>
      <c r="E1324">
        <v>49.95</v>
      </c>
      <c r="F1324">
        <v>51536900</v>
      </c>
      <c r="G1324">
        <v>49.93</v>
      </c>
      <c r="H1324" t="s">
        <v>25</v>
      </c>
      <c r="I1324" s="22">
        <f t="shared" si="41"/>
        <v>-3.8889425326619646E-2</v>
      </c>
      <c r="J1324" s="22" t="str">
        <f t="shared" si="42"/>
        <v>lost money</v>
      </c>
    </row>
    <row r="1325" spans="1:10">
      <c r="A1325" s="1">
        <v>41437</v>
      </c>
      <c r="B1325">
        <v>50.33</v>
      </c>
      <c r="C1325">
        <v>50.45</v>
      </c>
      <c r="D1325">
        <v>49.16</v>
      </c>
      <c r="E1325">
        <v>49.44</v>
      </c>
      <c r="F1325">
        <v>38569300</v>
      </c>
      <c r="G1325">
        <v>49.42</v>
      </c>
      <c r="H1325" t="s">
        <v>25</v>
      </c>
      <c r="I1325" s="22">
        <f t="shared" si="41"/>
        <v>-1.026682395205385E-2</v>
      </c>
      <c r="J1325" s="22" t="str">
        <f t="shared" si="42"/>
        <v>lost money</v>
      </c>
    </row>
    <row r="1326" spans="1:10">
      <c r="A1326" s="1">
        <v>41438</v>
      </c>
      <c r="B1326">
        <v>49.28</v>
      </c>
      <c r="C1326">
        <v>50.29</v>
      </c>
      <c r="D1326">
        <v>48.8</v>
      </c>
      <c r="E1326">
        <v>50.29</v>
      </c>
      <c r="F1326">
        <v>34191300</v>
      </c>
      <c r="G1326">
        <v>50.27</v>
      </c>
      <c r="H1326" t="s">
        <v>25</v>
      </c>
      <c r="I1326" s="22">
        <f t="shared" si="41"/>
        <v>1.705327714401992E-2</v>
      </c>
      <c r="J1326" s="22" t="str">
        <f t="shared" si="42"/>
        <v/>
      </c>
    </row>
    <row r="1327" spans="1:10">
      <c r="A1327" s="1">
        <v>41439</v>
      </c>
      <c r="B1327">
        <v>50.22</v>
      </c>
      <c r="C1327">
        <v>50.35</v>
      </c>
      <c r="D1327">
        <v>49.19</v>
      </c>
      <c r="E1327">
        <v>49.22</v>
      </c>
      <c r="F1327">
        <v>27362500</v>
      </c>
      <c r="G1327">
        <v>49.2</v>
      </c>
      <c r="H1327" t="s">
        <v>25</v>
      </c>
      <c r="I1327" s="22">
        <f t="shared" si="41"/>
        <v>-2.1514854206221477E-2</v>
      </c>
      <c r="J1327" s="22" t="str">
        <f t="shared" si="42"/>
        <v>lost money</v>
      </c>
    </row>
    <row r="1328" spans="1:10">
      <c r="A1328" s="1">
        <v>41442</v>
      </c>
      <c r="B1328">
        <v>49.81</v>
      </c>
      <c r="C1328">
        <v>50.39</v>
      </c>
      <c r="D1328">
        <v>49.05</v>
      </c>
      <c r="E1328">
        <v>49.36</v>
      </c>
      <c r="F1328">
        <v>32128600</v>
      </c>
      <c r="G1328">
        <v>49.34</v>
      </c>
      <c r="H1328" t="s">
        <v>25</v>
      </c>
      <c r="I1328" s="22">
        <f t="shared" si="41"/>
        <v>2.8414876029482861E-3</v>
      </c>
      <c r="J1328" s="22" t="str">
        <f t="shared" si="42"/>
        <v>lost money</v>
      </c>
    </row>
    <row r="1329" spans="1:10">
      <c r="A1329" s="1">
        <v>41443</v>
      </c>
      <c r="B1329">
        <v>49.52</v>
      </c>
      <c r="C1329">
        <v>50.25</v>
      </c>
      <c r="D1329">
        <v>49.49</v>
      </c>
      <c r="E1329">
        <v>50.01</v>
      </c>
      <c r="F1329">
        <v>19535800</v>
      </c>
      <c r="G1329">
        <v>49.99</v>
      </c>
      <c r="H1329" t="s">
        <v>25</v>
      </c>
      <c r="I1329" s="22">
        <f t="shared" si="41"/>
        <v>1.3087874324268401E-2</v>
      </c>
      <c r="J1329" s="22" t="str">
        <f t="shared" si="42"/>
        <v/>
      </c>
    </row>
    <row r="1330" spans="1:10">
      <c r="A1330" s="1">
        <v>41444</v>
      </c>
      <c r="B1330">
        <v>49.99</v>
      </c>
      <c r="C1330">
        <v>50.3</v>
      </c>
      <c r="D1330">
        <v>49.41</v>
      </c>
      <c r="E1330">
        <v>49.53</v>
      </c>
      <c r="F1330">
        <v>32511000</v>
      </c>
      <c r="G1330">
        <v>49.51</v>
      </c>
      <c r="H1330" t="s">
        <v>25</v>
      </c>
      <c r="I1330" s="22">
        <f t="shared" si="41"/>
        <v>-9.6483160521474154E-3</v>
      </c>
      <c r="J1330" s="22" t="str">
        <f t="shared" si="42"/>
        <v>lost money</v>
      </c>
    </row>
    <row r="1331" spans="1:10">
      <c r="A1331" s="1">
        <v>41445</v>
      </c>
      <c r="B1331">
        <v>48.9</v>
      </c>
      <c r="C1331">
        <v>49.01</v>
      </c>
      <c r="D1331">
        <v>47.54</v>
      </c>
      <c r="E1331">
        <v>47.9</v>
      </c>
      <c r="F1331">
        <v>48678600</v>
      </c>
      <c r="G1331">
        <v>47.88</v>
      </c>
      <c r="H1331" t="s">
        <v>25</v>
      </c>
      <c r="I1331" s="22">
        <f t="shared" si="41"/>
        <v>-3.3476788683559189E-2</v>
      </c>
      <c r="J1331" s="22" t="str">
        <f t="shared" si="42"/>
        <v>lost money</v>
      </c>
    </row>
    <row r="1332" spans="1:10">
      <c r="A1332" s="1">
        <v>41446</v>
      </c>
      <c r="B1332">
        <v>48.23</v>
      </c>
      <c r="C1332">
        <v>48.34</v>
      </c>
      <c r="D1332">
        <v>45.51</v>
      </c>
      <c r="E1332">
        <v>46.87</v>
      </c>
      <c r="F1332">
        <v>76788800</v>
      </c>
      <c r="G1332">
        <v>46.85</v>
      </c>
      <c r="H1332" t="s">
        <v>25</v>
      </c>
      <c r="I1332" s="22">
        <f t="shared" si="41"/>
        <v>-2.1746872005341245E-2</v>
      </c>
      <c r="J1332" s="22" t="str">
        <f t="shared" si="42"/>
        <v>lost money</v>
      </c>
    </row>
    <row r="1333" spans="1:10">
      <c r="A1333" s="1">
        <v>41449</v>
      </c>
      <c r="B1333">
        <v>45.77</v>
      </c>
      <c r="C1333">
        <v>46.03</v>
      </c>
      <c r="D1333">
        <v>45.06</v>
      </c>
      <c r="E1333">
        <v>45.44</v>
      </c>
      <c r="F1333">
        <v>50809800</v>
      </c>
      <c r="G1333">
        <v>45.42</v>
      </c>
      <c r="H1333" t="s">
        <v>25</v>
      </c>
      <c r="I1333" s="22">
        <f t="shared" si="41"/>
        <v>-3.0998472007018725E-2</v>
      </c>
      <c r="J1333" s="22" t="str">
        <f t="shared" si="42"/>
        <v>lost money</v>
      </c>
    </row>
    <row r="1334" spans="1:10">
      <c r="A1334" s="1">
        <v>41450</v>
      </c>
      <c r="B1334">
        <v>46.16</v>
      </c>
      <c r="C1334">
        <v>47.34</v>
      </c>
      <c r="D1334">
        <v>46.12</v>
      </c>
      <c r="E1334">
        <v>47</v>
      </c>
      <c r="F1334">
        <v>38838900</v>
      </c>
      <c r="G1334">
        <v>46.98</v>
      </c>
      <c r="H1334" t="s">
        <v>25</v>
      </c>
      <c r="I1334" s="22">
        <f t="shared" si="41"/>
        <v>3.3769442553354199E-2</v>
      </c>
      <c r="J1334" s="22" t="str">
        <f t="shared" si="42"/>
        <v/>
      </c>
    </row>
    <row r="1335" spans="1:10">
      <c r="A1335" s="1">
        <v>41451</v>
      </c>
      <c r="B1335">
        <v>47.8</v>
      </c>
      <c r="C1335">
        <v>47.82</v>
      </c>
      <c r="D1335">
        <v>47.05</v>
      </c>
      <c r="E1335">
        <v>47.61</v>
      </c>
      <c r="F1335">
        <v>30623500</v>
      </c>
      <c r="G1335">
        <v>47.59</v>
      </c>
      <c r="H1335" t="s">
        <v>25</v>
      </c>
      <c r="I1335" s="22">
        <f t="shared" si="41"/>
        <v>1.2900675902252488E-2</v>
      </c>
      <c r="J1335" s="22" t="str">
        <f t="shared" si="42"/>
        <v>lost money</v>
      </c>
    </row>
    <row r="1336" spans="1:10">
      <c r="A1336" s="1">
        <v>41452</v>
      </c>
      <c r="B1336">
        <v>48.14</v>
      </c>
      <c r="C1336">
        <v>48.69</v>
      </c>
      <c r="D1336">
        <v>47.81</v>
      </c>
      <c r="E1336">
        <v>48.28</v>
      </c>
      <c r="F1336">
        <v>29309200</v>
      </c>
      <c r="G1336">
        <v>48.26</v>
      </c>
      <c r="H1336" t="s">
        <v>25</v>
      </c>
      <c r="I1336" s="22">
        <f t="shared" si="41"/>
        <v>1.3980405063866486E-2</v>
      </c>
      <c r="J1336" s="22" t="str">
        <f t="shared" si="42"/>
        <v/>
      </c>
    </row>
    <row r="1337" spans="1:10">
      <c r="A1337" s="1">
        <v>41453</v>
      </c>
      <c r="B1337">
        <v>48.12</v>
      </c>
      <c r="C1337">
        <v>48.39</v>
      </c>
      <c r="D1337">
        <v>47.67</v>
      </c>
      <c r="E1337">
        <v>47.97</v>
      </c>
      <c r="F1337">
        <v>28063600</v>
      </c>
      <c r="G1337">
        <v>47.95</v>
      </c>
      <c r="H1337" t="s">
        <v>25</v>
      </c>
      <c r="I1337" s="22">
        <f t="shared" si="41"/>
        <v>-6.4442588674384011E-3</v>
      </c>
      <c r="J1337" s="22" t="str">
        <f t="shared" si="42"/>
        <v>lost money</v>
      </c>
    </row>
    <row r="1338" spans="1:10">
      <c r="A1338" s="1">
        <v>41456</v>
      </c>
      <c r="B1338">
        <v>48.5</v>
      </c>
      <c r="C1338">
        <v>49.2</v>
      </c>
      <c r="D1338">
        <v>46.7</v>
      </c>
      <c r="E1338">
        <v>48.25</v>
      </c>
      <c r="F1338">
        <v>27234700</v>
      </c>
      <c r="G1338">
        <v>48.23</v>
      </c>
      <c r="H1338" t="s">
        <v>25</v>
      </c>
      <c r="I1338" s="22">
        <f t="shared" si="41"/>
        <v>5.8224327514332288E-3</v>
      </c>
      <c r="J1338" s="22" t="str">
        <f t="shared" si="42"/>
        <v>lost money</v>
      </c>
    </row>
    <row r="1339" spans="1:10">
      <c r="A1339" s="1">
        <v>41457</v>
      </c>
      <c r="B1339">
        <v>48.27</v>
      </c>
      <c r="C1339">
        <v>49.16</v>
      </c>
      <c r="D1339">
        <v>47.77</v>
      </c>
      <c r="E1339">
        <v>48.15</v>
      </c>
      <c r="F1339">
        <v>26615400</v>
      </c>
      <c r="G1339">
        <v>48.13</v>
      </c>
      <c r="H1339" t="s">
        <v>25</v>
      </c>
      <c r="I1339" s="22">
        <f t="shared" si="41"/>
        <v>-2.0755507658623469E-3</v>
      </c>
      <c r="J1339" s="22" t="str">
        <f t="shared" si="42"/>
        <v>lost money</v>
      </c>
    </row>
    <row r="1340" spans="1:10">
      <c r="A1340" s="1">
        <v>41458</v>
      </c>
      <c r="B1340">
        <v>47.47</v>
      </c>
      <c r="C1340">
        <v>47.77</v>
      </c>
      <c r="D1340">
        <v>47.15</v>
      </c>
      <c r="E1340">
        <v>47.67</v>
      </c>
      <c r="F1340">
        <v>15269700</v>
      </c>
      <c r="G1340">
        <v>47.65</v>
      </c>
      <c r="H1340" t="s">
        <v>25</v>
      </c>
      <c r="I1340" s="22">
        <f t="shared" si="41"/>
        <v>-1.0023053214806987E-2</v>
      </c>
      <c r="J1340" s="22" t="str">
        <f t="shared" si="42"/>
        <v/>
      </c>
    </row>
    <row r="1341" spans="1:10">
      <c r="A1341" s="1">
        <v>41460</v>
      </c>
      <c r="B1341">
        <v>48.25</v>
      </c>
      <c r="C1341">
        <v>48.58</v>
      </c>
      <c r="D1341">
        <v>47.77</v>
      </c>
      <c r="E1341">
        <v>48.53</v>
      </c>
      <c r="F1341">
        <v>21649800</v>
      </c>
      <c r="G1341">
        <v>48.51</v>
      </c>
      <c r="H1341" t="s">
        <v>25</v>
      </c>
      <c r="I1341" s="22">
        <f t="shared" si="41"/>
        <v>1.7887332156914102E-2</v>
      </c>
      <c r="J1341" s="22" t="str">
        <f t="shared" si="42"/>
        <v/>
      </c>
    </row>
    <row r="1342" spans="1:10">
      <c r="A1342" s="1">
        <v>41463</v>
      </c>
      <c r="B1342">
        <v>48.92</v>
      </c>
      <c r="C1342">
        <v>49.77</v>
      </c>
      <c r="D1342">
        <v>48.8</v>
      </c>
      <c r="E1342">
        <v>49.52</v>
      </c>
      <c r="F1342">
        <v>26617000</v>
      </c>
      <c r="G1342">
        <v>49.5</v>
      </c>
      <c r="H1342" t="s">
        <v>25</v>
      </c>
      <c r="I1342" s="22">
        <f t="shared" si="41"/>
        <v>2.0202707317519469E-2</v>
      </c>
      <c r="J1342" s="22" t="str">
        <f t="shared" si="42"/>
        <v/>
      </c>
    </row>
    <row r="1343" spans="1:10">
      <c r="A1343" s="1">
        <v>41464</v>
      </c>
      <c r="B1343">
        <v>50</v>
      </c>
      <c r="C1343">
        <v>50.25</v>
      </c>
      <c r="D1343">
        <v>49.4</v>
      </c>
      <c r="E1343">
        <v>50.21</v>
      </c>
      <c r="F1343">
        <v>29512900</v>
      </c>
      <c r="G1343">
        <v>50.19</v>
      </c>
      <c r="H1343" t="s">
        <v>25</v>
      </c>
      <c r="I1343" s="22">
        <f t="shared" si="41"/>
        <v>1.3843134092197657E-2</v>
      </c>
      <c r="J1343" s="22" t="str">
        <f t="shared" si="42"/>
        <v/>
      </c>
    </row>
    <row r="1344" spans="1:10">
      <c r="A1344" s="1">
        <v>41465</v>
      </c>
      <c r="B1344">
        <v>49.91</v>
      </c>
      <c r="C1344">
        <v>50.24</v>
      </c>
      <c r="D1344">
        <v>49.52</v>
      </c>
      <c r="E1344">
        <v>49.63</v>
      </c>
      <c r="F1344">
        <v>23768300</v>
      </c>
      <c r="G1344">
        <v>49.61</v>
      </c>
      <c r="H1344" t="s">
        <v>25</v>
      </c>
      <c r="I1344" s="22">
        <f t="shared" si="41"/>
        <v>-1.1623377353884769E-2</v>
      </c>
      <c r="J1344" s="22" t="str">
        <f t="shared" si="42"/>
        <v>lost money</v>
      </c>
    </row>
    <row r="1345" spans="1:10">
      <c r="A1345" s="1">
        <v>41466</v>
      </c>
      <c r="B1345">
        <v>50.62</v>
      </c>
      <c r="C1345">
        <v>50.64</v>
      </c>
      <c r="D1345">
        <v>49.55</v>
      </c>
      <c r="E1345">
        <v>50.04</v>
      </c>
      <c r="F1345">
        <v>31097900</v>
      </c>
      <c r="G1345">
        <v>50.02</v>
      </c>
      <c r="H1345" t="s">
        <v>25</v>
      </c>
      <c r="I1345" s="22">
        <f t="shared" si="41"/>
        <v>8.2304991365154435E-3</v>
      </c>
      <c r="J1345" s="22" t="str">
        <f t="shared" si="42"/>
        <v>lost money</v>
      </c>
    </row>
    <row r="1346" spans="1:10">
      <c r="A1346" s="1">
        <v>41467</v>
      </c>
      <c r="B1346">
        <v>50.15</v>
      </c>
      <c r="C1346">
        <v>50.84</v>
      </c>
      <c r="D1346">
        <v>49.93</v>
      </c>
      <c r="E1346">
        <v>50.81</v>
      </c>
      <c r="F1346">
        <v>26672500</v>
      </c>
      <c r="G1346">
        <v>50.79</v>
      </c>
      <c r="H1346" t="s">
        <v>25</v>
      </c>
      <c r="I1346" s="22">
        <f t="shared" si="41"/>
        <v>1.5276559363680525E-2</v>
      </c>
      <c r="J1346" s="22" t="str">
        <f t="shared" si="42"/>
        <v/>
      </c>
    </row>
    <row r="1347" spans="1:10">
      <c r="A1347" s="1">
        <v>41470</v>
      </c>
      <c r="B1347">
        <v>52.04</v>
      </c>
      <c r="C1347">
        <v>52.16</v>
      </c>
      <c r="D1347">
        <v>51.01</v>
      </c>
      <c r="E1347">
        <v>51.81</v>
      </c>
      <c r="F1347">
        <v>57329500</v>
      </c>
      <c r="G1347">
        <v>51.79</v>
      </c>
      <c r="H1347" t="s">
        <v>25</v>
      </c>
      <c r="I1347" s="22">
        <f t="shared" ref="I1347:I1410" si="43">IF(A1347=$A$2,"",LN(G1347/G1346))</f>
        <v>1.9497595622646465E-2</v>
      </c>
      <c r="J1347" s="22" t="str">
        <f t="shared" ref="J1347:J1410" si="44">IF(B1347&gt;E1347,"lost money","")</f>
        <v>lost money</v>
      </c>
    </row>
    <row r="1348" spans="1:10">
      <c r="A1348" s="1">
        <v>41471</v>
      </c>
      <c r="B1348">
        <v>52</v>
      </c>
      <c r="C1348">
        <v>52.43</v>
      </c>
      <c r="D1348">
        <v>51.51</v>
      </c>
      <c r="E1348">
        <v>51.83</v>
      </c>
      <c r="F1348">
        <v>33099000</v>
      </c>
      <c r="G1348">
        <v>51.81</v>
      </c>
      <c r="H1348" t="s">
        <v>25</v>
      </c>
      <c r="I1348" s="22">
        <f t="shared" si="43"/>
        <v>3.8610039089694443E-4</v>
      </c>
      <c r="J1348" s="22" t="str">
        <f t="shared" si="44"/>
        <v>lost money</v>
      </c>
    </row>
    <row r="1349" spans="1:10">
      <c r="A1349" s="1">
        <v>41472</v>
      </c>
      <c r="B1349">
        <v>51.99</v>
      </c>
      <c r="C1349">
        <v>52.39</v>
      </c>
      <c r="D1349">
        <v>51.78</v>
      </c>
      <c r="E1349">
        <v>51.79</v>
      </c>
      <c r="F1349">
        <v>34814200</v>
      </c>
      <c r="G1349">
        <v>51.77</v>
      </c>
      <c r="H1349" t="s">
        <v>25</v>
      </c>
      <c r="I1349" s="22">
        <f t="shared" si="43"/>
        <v>-7.723499128869496E-4</v>
      </c>
      <c r="J1349" s="22" t="str">
        <f t="shared" si="44"/>
        <v>lost money</v>
      </c>
    </row>
    <row r="1350" spans="1:10">
      <c r="A1350" s="1">
        <v>41473</v>
      </c>
      <c r="B1350">
        <v>52.16</v>
      </c>
      <c r="C1350">
        <v>52.7</v>
      </c>
      <c r="D1350">
        <v>52.05</v>
      </c>
      <c r="E1350">
        <v>52.69</v>
      </c>
      <c r="F1350">
        <v>33211400</v>
      </c>
      <c r="G1350">
        <v>52.67</v>
      </c>
      <c r="H1350" t="s">
        <v>25</v>
      </c>
      <c r="I1350" s="22">
        <f t="shared" si="43"/>
        <v>1.7235202581487946E-2</v>
      </c>
      <c r="J1350" s="22" t="str">
        <f t="shared" si="44"/>
        <v/>
      </c>
    </row>
    <row r="1351" spans="1:10">
      <c r="A1351" s="1">
        <v>41474</v>
      </c>
      <c r="B1351">
        <v>52.63</v>
      </c>
      <c r="C1351">
        <v>52.65</v>
      </c>
      <c r="D1351">
        <v>52.15</v>
      </c>
      <c r="E1351">
        <v>52.35</v>
      </c>
      <c r="F1351">
        <v>21762600</v>
      </c>
      <c r="G1351">
        <v>52.33</v>
      </c>
      <c r="H1351" t="s">
        <v>25</v>
      </c>
      <c r="I1351" s="22">
        <f t="shared" si="43"/>
        <v>-6.4762131111816426E-3</v>
      </c>
      <c r="J1351" s="22" t="str">
        <f t="shared" si="44"/>
        <v>lost money</v>
      </c>
    </row>
    <row r="1352" spans="1:10">
      <c r="A1352" s="1">
        <v>41477</v>
      </c>
      <c r="B1352">
        <v>52.38</v>
      </c>
      <c r="C1352">
        <v>53</v>
      </c>
      <c r="D1352">
        <v>52.16</v>
      </c>
      <c r="E1352">
        <v>53</v>
      </c>
      <c r="F1352">
        <v>20047200</v>
      </c>
      <c r="G1352">
        <v>52.98</v>
      </c>
      <c r="H1352" t="s">
        <v>25</v>
      </c>
      <c r="I1352" s="22">
        <f t="shared" si="43"/>
        <v>1.2344663459807231E-2</v>
      </c>
      <c r="J1352" s="22" t="str">
        <f t="shared" si="44"/>
        <v/>
      </c>
    </row>
    <row r="1353" spans="1:10">
      <c r="A1353" s="1">
        <v>41478</v>
      </c>
      <c r="B1353">
        <v>53.17</v>
      </c>
      <c r="C1353">
        <v>53.3</v>
      </c>
      <c r="D1353">
        <v>52.66</v>
      </c>
      <c r="E1353">
        <v>52.88</v>
      </c>
      <c r="F1353">
        <v>19492100</v>
      </c>
      <c r="G1353">
        <v>52.86</v>
      </c>
      <c r="H1353" t="s">
        <v>25</v>
      </c>
      <c r="I1353" s="22">
        <f t="shared" si="43"/>
        <v>-2.2675746677804343E-3</v>
      </c>
      <c r="J1353" s="22" t="str">
        <f t="shared" si="44"/>
        <v>lost money</v>
      </c>
    </row>
    <row r="1354" spans="1:10">
      <c r="A1354" s="1">
        <v>41479</v>
      </c>
      <c r="B1354">
        <v>52.98</v>
      </c>
      <c r="C1354">
        <v>53.17</v>
      </c>
      <c r="D1354">
        <v>52.11</v>
      </c>
      <c r="E1354">
        <v>52.19</v>
      </c>
      <c r="F1354">
        <v>22674500</v>
      </c>
      <c r="G1354">
        <v>52.17</v>
      </c>
      <c r="H1354" t="s">
        <v>25</v>
      </c>
      <c r="I1354" s="22">
        <f t="shared" si="43"/>
        <v>-1.3139292141841771E-2</v>
      </c>
      <c r="J1354" s="22" t="str">
        <f t="shared" si="44"/>
        <v>lost money</v>
      </c>
    </row>
    <row r="1355" spans="1:10">
      <c r="A1355" s="1">
        <v>41480</v>
      </c>
      <c r="B1355">
        <v>51.98</v>
      </c>
      <c r="C1355">
        <v>52.7</v>
      </c>
      <c r="D1355">
        <v>51.4</v>
      </c>
      <c r="E1355">
        <v>52.66</v>
      </c>
      <c r="F1355">
        <v>23057000</v>
      </c>
      <c r="G1355">
        <v>52.64</v>
      </c>
      <c r="H1355" t="s">
        <v>25</v>
      </c>
      <c r="I1355" s="22">
        <f t="shared" si="43"/>
        <v>8.9686699827603161E-3</v>
      </c>
      <c r="J1355" s="22" t="str">
        <f t="shared" si="44"/>
        <v/>
      </c>
    </row>
    <row r="1356" spans="1:10">
      <c r="A1356" s="1">
        <v>41481</v>
      </c>
      <c r="B1356">
        <v>52.42</v>
      </c>
      <c r="C1356">
        <v>52.46</v>
      </c>
      <c r="D1356">
        <v>51.82</v>
      </c>
      <c r="E1356">
        <v>52.21</v>
      </c>
      <c r="F1356">
        <v>16248100</v>
      </c>
      <c r="G1356">
        <v>52.19</v>
      </c>
      <c r="H1356" t="s">
        <v>25</v>
      </c>
      <c r="I1356" s="22">
        <f t="shared" si="43"/>
        <v>-8.5853813617399657E-3</v>
      </c>
      <c r="J1356" s="22" t="str">
        <f t="shared" si="44"/>
        <v>lost money</v>
      </c>
    </row>
    <row r="1357" spans="1:10">
      <c r="A1357" s="1">
        <v>41484</v>
      </c>
      <c r="B1357">
        <v>51.9</v>
      </c>
      <c r="C1357">
        <v>51.95</v>
      </c>
      <c r="D1357">
        <v>51.3</v>
      </c>
      <c r="E1357">
        <v>51.64</v>
      </c>
      <c r="F1357">
        <v>16327800</v>
      </c>
      <c r="G1357">
        <v>51.62</v>
      </c>
      <c r="H1357" t="s">
        <v>25</v>
      </c>
      <c r="I1357" s="22">
        <f t="shared" si="43"/>
        <v>-1.0981711364854096E-2</v>
      </c>
      <c r="J1357" s="22" t="str">
        <f t="shared" si="44"/>
        <v>lost money</v>
      </c>
    </row>
    <row r="1358" spans="1:10">
      <c r="A1358" s="1">
        <v>41485</v>
      </c>
      <c r="B1358">
        <v>51.82</v>
      </c>
      <c r="C1358">
        <v>52</v>
      </c>
      <c r="D1358">
        <v>51.49</v>
      </c>
      <c r="E1358">
        <v>51.78</v>
      </c>
      <c r="F1358">
        <v>16099700</v>
      </c>
      <c r="G1358">
        <v>51.76</v>
      </c>
      <c r="H1358" t="s">
        <v>25</v>
      </c>
      <c r="I1358" s="22">
        <f t="shared" si="43"/>
        <v>2.7084559021772711E-3</v>
      </c>
      <c r="J1358" s="22" t="str">
        <f t="shared" si="44"/>
        <v>lost money</v>
      </c>
    </row>
    <row r="1359" spans="1:10">
      <c r="A1359" s="1">
        <v>41486</v>
      </c>
      <c r="B1359">
        <v>51.71</v>
      </c>
      <c r="C1359">
        <v>52.96</v>
      </c>
      <c r="D1359">
        <v>51.71</v>
      </c>
      <c r="E1359">
        <v>52.14</v>
      </c>
      <c r="F1359">
        <v>27860500</v>
      </c>
      <c r="G1359">
        <v>52.12</v>
      </c>
      <c r="H1359" t="s">
        <v>25</v>
      </c>
      <c r="I1359" s="22">
        <f t="shared" si="43"/>
        <v>6.9311020639991521E-3</v>
      </c>
      <c r="J1359" s="22" t="str">
        <f t="shared" si="44"/>
        <v/>
      </c>
    </row>
    <row r="1360" spans="1:10">
      <c r="A1360" s="1">
        <v>41487</v>
      </c>
      <c r="B1360">
        <v>52.84</v>
      </c>
      <c r="C1360">
        <v>53.2</v>
      </c>
      <c r="D1360">
        <v>52.74</v>
      </c>
      <c r="E1360">
        <v>52.86</v>
      </c>
      <c r="F1360">
        <v>20583300</v>
      </c>
      <c r="G1360">
        <v>52.85</v>
      </c>
      <c r="H1360" t="s">
        <v>25</v>
      </c>
      <c r="I1360" s="22">
        <f t="shared" si="43"/>
        <v>1.39089600596023E-2</v>
      </c>
      <c r="J1360" s="22" t="str">
        <f t="shared" si="44"/>
        <v/>
      </c>
    </row>
    <row r="1361" spans="1:10">
      <c r="A1361" s="1">
        <v>41488</v>
      </c>
      <c r="B1361">
        <v>52.84</v>
      </c>
      <c r="C1361">
        <v>53.05</v>
      </c>
      <c r="D1361">
        <v>52.5</v>
      </c>
      <c r="E1361">
        <v>53</v>
      </c>
      <c r="F1361">
        <v>15440000</v>
      </c>
      <c r="G1361">
        <v>52.99</v>
      </c>
      <c r="H1361" t="s">
        <v>25</v>
      </c>
      <c r="I1361" s="22">
        <f t="shared" si="43"/>
        <v>2.645504188424175E-3</v>
      </c>
      <c r="J1361" s="22" t="str">
        <f t="shared" si="44"/>
        <v/>
      </c>
    </row>
    <row r="1362" spans="1:10">
      <c r="A1362" s="1">
        <v>41491</v>
      </c>
      <c r="B1362">
        <v>52.93</v>
      </c>
      <c r="C1362">
        <v>53.11</v>
      </c>
      <c r="D1362">
        <v>52.75</v>
      </c>
      <c r="E1362">
        <v>52.87</v>
      </c>
      <c r="F1362">
        <v>10699700</v>
      </c>
      <c r="G1362">
        <v>52.86</v>
      </c>
      <c r="H1362" t="s">
        <v>25</v>
      </c>
      <c r="I1362" s="22">
        <f t="shared" si="43"/>
        <v>-2.4563073285276105E-3</v>
      </c>
      <c r="J1362" s="22" t="str">
        <f t="shared" si="44"/>
        <v>lost money</v>
      </c>
    </row>
    <row r="1363" spans="1:10">
      <c r="A1363" s="1">
        <v>41492</v>
      </c>
      <c r="B1363">
        <v>52.59</v>
      </c>
      <c r="C1363">
        <v>52.69</v>
      </c>
      <c r="D1363">
        <v>51.4</v>
      </c>
      <c r="E1363">
        <v>51.48</v>
      </c>
      <c r="F1363">
        <v>23692600</v>
      </c>
      <c r="G1363">
        <v>51.47</v>
      </c>
      <c r="H1363" t="s">
        <v>25</v>
      </c>
      <c r="I1363" s="22">
        <f t="shared" si="43"/>
        <v>-2.6647795511479961E-2</v>
      </c>
      <c r="J1363" s="22" t="str">
        <f t="shared" si="44"/>
        <v>lost money</v>
      </c>
    </row>
    <row r="1364" spans="1:10">
      <c r="A1364" s="1">
        <v>41493</v>
      </c>
      <c r="B1364">
        <v>51.01</v>
      </c>
      <c r="C1364">
        <v>51.64</v>
      </c>
      <c r="D1364">
        <v>50.8</v>
      </c>
      <c r="E1364">
        <v>51.5</v>
      </c>
      <c r="F1364">
        <v>18613400</v>
      </c>
      <c r="G1364">
        <v>51.49</v>
      </c>
      <c r="H1364" t="s">
        <v>25</v>
      </c>
      <c r="I1364" s="22">
        <f t="shared" si="43"/>
        <v>3.8850039338696125E-4</v>
      </c>
      <c r="J1364" s="22" t="str">
        <f t="shared" si="44"/>
        <v/>
      </c>
    </row>
    <row r="1365" spans="1:10">
      <c r="A1365" s="1">
        <v>41494</v>
      </c>
      <c r="B1365">
        <v>52.09</v>
      </c>
      <c r="C1365">
        <v>52.12</v>
      </c>
      <c r="D1365">
        <v>51.07</v>
      </c>
      <c r="E1365">
        <v>51.78</v>
      </c>
      <c r="F1365">
        <v>18623800</v>
      </c>
      <c r="G1365">
        <v>51.77</v>
      </c>
      <c r="H1365" t="s">
        <v>25</v>
      </c>
      <c r="I1365" s="22">
        <f t="shared" si="43"/>
        <v>5.4232168557599427E-3</v>
      </c>
      <c r="J1365" s="22" t="str">
        <f t="shared" si="44"/>
        <v>lost money</v>
      </c>
    </row>
    <row r="1366" spans="1:10">
      <c r="A1366" s="1">
        <v>41495</v>
      </c>
      <c r="B1366">
        <v>51.72</v>
      </c>
      <c r="C1366">
        <v>52</v>
      </c>
      <c r="D1366">
        <v>51.24</v>
      </c>
      <c r="E1366">
        <v>51.32</v>
      </c>
      <c r="F1366">
        <v>15613000</v>
      </c>
      <c r="G1366">
        <v>51.31</v>
      </c>
      <c r="H1366" t="s">
        <v>25</v>
      </c>
      <c r="I1366" s="22">
        <f t="shared" si="43"/>
        <v>-8.9251659599365214E-3</v>
      </c>
      <c r="J1366" s="22" t="str">
        <f t="shared" si="44"/>
        <v>lost money</v>
      </c>
    </row>
    <row r="1367" spans="1:10">
      <c r="A1367" s="1">
        <v>41498</v>
      </c>
      <c r="B1367">
        <v>51</v>
      </c>
      <c r="C1367">
        <v>51.12</v>
      </c>
      <c r="D1367">
        <v>50.65</v>
      </c>
      <c r="E1367">
        <v>50.9</v>
      </c>
      <c r="F1367">
        <v>17413200</v>
      </c>
      <c r="G1367">
        <v>50.89</v>
      </c>
      <c r="H1367" t="s">
        <v>25</v>
      </c>
      <c r="I1367" s="22">
        <f t="shared" si="43"/>
        <v>-8.2192243531321249E-3</v>
      </c>
      <c r="J1367" s="22" t="str">
        <f t="shared" si="44"/>
        <v>lost money</v>
      </c>
    </row>
    <row r="1368" spans="1:10">
      <c r="A1368" s="1">
        <v>41499</v>
      </c>
      <c r="B1368">
        <v>51.04</v>
      </c>
      <c r="C1368">
        <v>52.15</v>
      </c>
      <c r="D1368">
        <v>50.74</v>
      </c>
      <c r="E1368">
        <v>51.77</v>
      </c>
      <c r="F1368">
        <v>23814200</v>
      </c>
      <c r="G1368">
        <v>51.76</v>
      </c>
      <c r="H1368" t="s">
        <v>25</v>
      </c>
      <c r="I1368" s="22">
        <f t="shared" si="43"/>
        <v>1.695120959190383E-2</v>
      </c>
      <c r="J1368" s="22" t="str">
        <f t="shared" si="44"/>
        <v/>
      </c>
    </row>
    <row r="1369" spans="1:10">
      <c r="A1369" s="1">
        <v>41500</v>
      </c>
      <c r="B1369">
        <v>51.95</v>
      </c>
      <c r="C1369">
        <v>52.44</v>
      </c>
      <c r="D1369">
        <v>51.58</v>
      </c>
      <c r="E1369">
        <v>51.59</v>
      </c>
      <c r="F1369">
        <v>17240200</v>
      </c>
      <c r="G1369">
        <v>51.58</v>
      </c>
      <c r="H1369" t="s">
        <v>25</v>
      </c>
      <c r="I1369" s="22">
        <f t="shared" si="43"/>
        <v>-3.4836497394463597E-3</v>
      </c>
      <c r="J1369" s="22" t="str">
        <f t="shared" si="44"/>
        <v>lost money</v>
      </c>
    </row>
    <row r="1370" spans="1:10">
      <c r="A1370" s="1">
        <v>41501</v>
      </c>
      <c r="B1370">
        <v>51.02</v>
      </c>
      <c r="C1370">
        <v>51.1</v>
      </c>
      <c r="D1370">
        <v>50.33</v>
      </c>
      <c r="E1370">
        <v>50.86</v>
      </c>
      <c r="F1370">
        <v>26231400</v>
      </c>
      <c r="G1370">
        <v>50.85</v>
      </c>
      <c r="H1370" t="s">
        <v>25</v>
      </c>
      <c r="I1370" s="22">
        <f t="shared" si="43"/>
        <v>-1.4253877958629698E-2</v>
      </c>
      <c r="J1370" s="22" t="str">
        <f t="shared" si="44"/>
        <v>lost money</v>
      </c>
    </row>
    <row r="1371" spans="1:10">
      <c r="A1371" s="1">
        <v>41502</v>
      </c>
      <c r="B1371">
        <v>50.69</v>
      </c>
      <c r="C1371">
        <v>51.08</v>
      </c>
      <c r="D1371">
        <v>50.22</v>
      </c>
      <c r="E1371">
        <v>50.35</v>
      </c>
      <c r="F1371">
        <v>23497000</v>
      </c>
      <c r="G1371">
        <v>50.34</v>
      </c>
      <c r="H1371" t="s">
        <v>25</v>
      </c>
      <c r="I1371" s="22">
        <f t="shared" si="43"/>
        <v>-1.0080132787399134E-2</v>
      </c>
      <c r="J1371" s="22" t="str">
        <f t="shared" si="44"/>
        <v>lost money</v>
      </c>
    </row>
    <row r="1372" spans="1:10">
      <c r="A1372" s="1">
        <v>41505</v>
      </c>
      <c r="B1372">
        <v>50.06</v>
      </c>
      <c r="C1372">
        <v>50.13</v>
      </c>
      <c r="D1372">
        <v>49.3</v>
      </c>
      <c r="E1372">
        <v>49.33</v>
      </c>
      <c r="F1372">
        <v>22958800</v>
      </c>
      <c r="G1372">
        <v>49.32</v>
      </c>
      <c r="H1372" t="s">
        <v>25</v>
      </c>
      <c r="I1372" s="22">
        <f t="shared" si="43"/>
        <v>-2.0470311411026357E-2</v>
      </c>
      <c r="J1372" s="22" t="str">
        <f t="shared" si="44"/>
        <v>lost money</v>
      </c>
    </row>
    <row r="1373" spans="1:10">
      <c r="A1373" s="1">
        <v>41506</v>
      </c>
      <c r="B1373">
        <v>49.27</v>
      </c>
      <c r="C1373">
        <v>50.25</v>
      </c>
      <c r="D1373">
        <v>48.77</v>
      </c>
      <c r="E1373">
        <v>49.92</v>
      </c>
      <c r="F1373">
        <v>29313400</v>
      </c>
      <c r="G1373">
        <v>49.91</v>
      </c>
      <c r="H1373" t="s">
        <v>25</v>
      </c>
      <c r="I1373" s="22">
        <f t="shared" si="43"/>
        <v>1.1891705185374192E-2</v>
      </c>
      <c r="J1373" s="22" t="str">
        <f t="shared" si="44"/>
        <v/>
      </c>
    </row>
    <row r="1374" spans="1:10">
      <c r="A1374" s="1">
        <v>41507</v>
      </c>
      <c r="B1374">
        <v>49.8</v>
      </c>
      <c r="C1374">
        <v>49.94</v>
      </c>
      <c r="D1374">
        <v>49.03</v>
      </c>
      <c r="E1374">
        <v>49.16</v>
      </c>
      <c r="F1374">
        <v>30669600</v>
      </c>
      <c r="G1374">
        <v>49.15</v>
      </c>
      <c r="H1374" t="s">
        <v>25</v>
      </c>
      <c r="I1374" s="22">
        <f t="shared" si="43"/>
        <v>-1.5344536888342282E-2</v>
      </c>
      <c r="J1374" s="22" t="str">
        <f t="shared" si="44"/>
        <v>lost money</v>
      </c>
    </row>
    <row r="1375" spans="1:10">
      <c r="A1375" s="1">
        <v>41508</v>
      </c>
      <c r="B1375">
        <v>49.66</v>
      </c>
      <c r="C1375">
        <v>50.27</v>
      </c>
      <c r="D1375">
        <v>49.28</v>
      </c>
      <c r="E1375">
        <v>49.91</v>
      </c>
      <c r="F1375">
        <v>22411800</v>
      </c>
      <c r="G1375">
        <v>49.9</v>
      </c>
      <c r="H1375" t="s">
        <v>25</v>
      </c>
      <c r="I1375" s="22">
        <f t="shared" si="43"/>
        <v>1.5144156164297406E-2</v>
      </c>
      <c r="J1375" s="22" t="str">
        <f t="shared" si="44"/>
        <v/>
      </c>
    </row>
    <row r="1376" spans="1:10">
      <c r="A1376" s="1">
        <v>41509</v>
      </c>
      <c r="B1376">
        <v>50.11</v>
      </c>
      <c r="C1376">
        <v>50.33</v>
      </c>
      <c r="D1376">
        <v>49.69</v>
      </c>
      <c r="E1376">
        <v>49.83</v>
      </c>
      <c r="F1376">
        <v>15302800</v>
      </c>
      <c r="G1376">
        <v>49.82</v>
      </c>
      <c r="H1376" t="s">
        <v>25</v>
      </c>
      <c r="I1376" s="22">
        <f t="shared" si="43"/>
        <v>-1.6044929234385983E-3</v>
      </c>
      <c r="J1376" s="22" t="str">
        <f t="shared" si="44"/>
        <v>lost money</v>
      </c>
    </row>
    <row r="1377" spans="1:10">
      <c r="A1377" s="1">
        <v>41512</v>
      </c>
      <c r="B1377">
        <v>49.8</v>
      </c>
      <c r="C1377">
        <v>50.34</v>
      </c>
      <c r="D1377">
        <v>49.6</v>
      </c>
      <c r="E1377">
        <v>49.6</v>
      </c>
      <c r="F1377">
        <v>16604100</v>
      </c>
      <c r="G1377">
        <v>49.59</v>
      </c>
      <c r="H1377" t="s">
        <v>25</v>
      </c>
      <c r="I1377" s="22">
        <f t="shared" si="43"/>
        <v>-4.6273093329917882E-3</v>
      </c>
      <c r="J1377" s="22" t="str">
        <f t="shared" si="44"/>
        <v>lost money</v>
      </c>
    </row>
    <row r="1378" spans="1:10">
      <c r="A1378" s="1">
        <v>41513</v>
      </c>
      <c r="B1378">
        <v>48.84</v>
      </c>
      <c r="C1378">
        <v>49.34</v>
      </c>
      <c r="D1378">
        <v>48.16</v>
      </c>
      <c r="E1378">
        <v>48.24</v>
      </c>
      <c r="F1378">
        <v>29854200</v>
      </c>
      <c r="G1378">
        <v>48.23</v>
      </c>
      <c r="H1378" t="s">
        <v>25</v>
      </c>
      <c r="I1378" s="22">
        <f t="shared" si="43"/>
        <v>-2.7807966420162155E-2</v>
      </c>
      <c r="J1378" s="22" t="str">
        <f t="shared" si="44"/>
        <v>lost money</v>
      </c>
    </row>
    <row r="1379" spans="1:10">
      <c r="A1379" s="1">
        <v>41514</v>
      </c>
      <c r="B1379">
        <v>48.05</v>
      </c>
      <c r="C1379">
        <v>48.93</v>
      </c>
      <c r="D1379">
        <v>47.64</v>
      </c>
      <c r="E1379">
        <v>48.31</v>
      </c>
      <c r="F1379">
        <v>29616600</v>
      </c>
      <c r="G1379">
        <v>48.3</v>
      </c>
      <c r="H1379" t="s">
        <v>25</v>
      </c>
      <c r="I1379" s="22">
        <f t="shared" si="43"/>
        <v>1.4503265776464615E-3</v>
      </c>
      <c r="J1379" s="22" t="str">
        <f t="shared" si="44"/>
        <v/>
      </c>
    </row>
    <row r="1380" spans="1:10">
      <c r="A1380" s="1">
        <v>41515</v>
      </c>
      <c r="B1380">
        <v>48.4</v>
      </c>
      <c r="C1380">
        <v>48.9</v>
      </c>
      <c r="D1380">
        <v>48.27</v>
      </c>
      <c r="E1380">
        <v>48.47</v>
      </c>
      <c r="F1380">
        <v>17293800</v>
      </c>
      <c r="G1380">
        <v>48.46</v>
      </c>
      <c r="H1380" t="s">
        <v>25</v>
      </c>
      <c r="I1380" s="22">
        <f t="shared" si="43"/>
        <v>3.3071547298527352E-3</v>
      </c>
      <c r="J1380" s="22" t="str">
        <f t="shared" si="44"/>
        <v/>
      </c>
    </row>
    <row r="1381" spans="1:10">
      <c r="A1381" s="1">
        <v>41516</v>
      </c>
      <c r="B1381">
        <v>48.71</v>
      </c>
      <c r="C1381">
        <v>48.71</v>
      </c>
      <c r="D1381">
        <v>47.8</v>
      </c>
      <c r="E1381">
        <v>48.33</v>
      </c>
      <c r="F1381">
        <v>24902000</v>
      </c>
      <c r="G1381">
        <v>48.32</v>
      </c>
      <c r="H1381" t="s">
        <v>25</v>
      </c>
      <c r="I1381" s="22">
        <f t="shared" si="43"/>
        <v>-2.8931617618201759E-3</v>
      </c>
      <c r="J1381" s="22" t="str">
        <f t="shared" si="44"/>
        <v>lost money</v>
      </c>
    </row>
    <row r="1382" spans="1:10">
      <c r="A1382" s="1">
        <v>41520</v>
      </c>
      <c r="B1382">
        <v>49.37</v>
      </c>
      <c r="C1382">
        <v>49.84</v>
      </c>
      <c r="D1382">
        <v>48.36</v>
      </c>
      <c r="E1382">
        <v>49.37</v>
      </c>
      <c r="F1382">
        <v>28906900</v>
      </c>
      <c r="G1382">
        <v>49.36</v>
      </c>
      <c r="H1382" t="s">
        <v>25</v>
      </c>
      <c r="I1382" s="22">
        <f t="shared" si="43"/>
        <v>2.1294825970572921E-2</v>
      </c>
      <c r="J1382" s="22" t="str">
        <f t="shared" si="44"/>
        <v/>
      </c>
    </row>
    <row r="1383" spans="1:10">
      <c r="A1383" s="1">
        <v>41521</v>
      </c>
      <c r="B1383">
        <v>49.31</v>
      </c>
      <c r="C1383">
        <v>49.95</v>
      </c>
      <c r="D1383">
        <v>49.12</v>
      </c>
      <c r="E1383">
        <v>49.6</v>
      </c>
      <c r="F1383">
        <v>18949600</v>
      </c>
      <c r="G1383">
        <v>49.59</v>
      </c>
      <c r="H1383" t="s">
        <v>25</v>
      </c>
      <c r="I1383" s="22">
        <f t="shared" si="43"/>
        <v>4.6488209039102632E-3</v>
      </c>
      <c r="J1383" s="22" t="str">
        <f t="shared" si="44"/>
        <v/>
      </c>
    </row>
    <row r="1384" spans="1:10">
      <c r="A1384" s="1">
        <v>41522</v>
      </c>
      <c r="B1384">
        <v>49.85</v>
      </c>
      <c r="C1384">
        <v>50.2</v>
      </c>
      <c r="D1384">
        <v>49.62</v>
      </c>
      <c r="E1384">
        <v>49.86</v>
      </c>
      <c r="F1384">
        <v>17765800</v>
      </c>
      <c r="G1384">
        <v>49.85</v>
      </c>
      <c r="H1384" t="s">
        <v>25</v>
      </c>
      <c r="I1384" s="22">
        <f t="shared" si="43"/>
        <v>5.2292959068047391E-3</v>
      </c>
      <c r="J1384" s="22" t="str">
        <f t="shared" si="44"/>
        <v/>
      </c>
    </row>
    <row r="1385" spans="1:10">
      <c r="A1385" s="1">
        <v>41523</v>
      </c>
      <c r="B1385">
        <v>50.18</v>
      </c>
      <c r="C1385">
        <v>50.18</v>
      </c>
      <c r="D1385">
        <v>48.89</v>
      </c>
      <c r="E1385">
        <v>49.22</v>
      </c>
      <c r="F1385">
        <v>24627200</v>
      </c>
      <c r="G1385">
        <v>49.21</v>
      </c>
      <c r="H1385" t="s">
        <v>25</v>
      </c>
      <c r="I1385" s="22">
        <f t="shared" si="43"/>
        <v>-1.2921641529960526E-2</v>
      </c>
      <c r="J1385" s="22" t="str">
        <f t="shared" si="44"/>
        <v>lost money</v>
      </c>
    </row>
    <row r="1386" spans="1:10">
      <c r="A1386" s="1">
        <v>41526</v>
      </c>
      <c r="B1386">
        <v>49.49</v>
      </c>
      <c r="C1386">
        <v>50.12</v>
      </c>
      <c r="D1386">
        <v>49.36</v>
      </c>
      <c r="E1386">
        <v>50.09</v>
      </c>
      <c r="F1386">
        <v>22388100</v>
      </c>
      <c r="G1386">
        <v>50.08</v>
      </c>
      <c r="H1386" t="s">
        <v>25</v>
      </c>
      <c r="I1386" s="22">
        <f t="shared" si="43"/>
        <v>1.7524871913956106E-2</v>
      </c>
      <c r="J1386" s="22" t="str">
        <f t="shared" si="44"/>
        <v/>
      </c>
    </row>
    <row r="1387" spans="1:10">
      <c r="A1387" s="1">
        <v>41527</v>
      </c>
      <c r="B1387">
        <v>50.74</v>
      </c>
      <c r="C1387">
        <v>51.53</v>
      </c>
      <c r="D1387">
        <v>50.54</v>
      </c>
      <c r="E1387">
        <v>51.09</v>
      </c>
      <c r="F1387">
        <v>24843900</v>
      </c>
      <c r="G1387">
        <v>51.08</v>
      </c>
      <c r="H1387" t="s">
        <v>25</v>
      </c>
      <c r="I1387" s="22">
        <f t="shared" si="43"/>
        <v>1.9771304372495357E-2</v>
      </c>
      <c r="J1387" s="22" t="str">
        <f t="shared" si="44"/>
        <v/>
      </c>
    </row>
    <row r="1388" spans="1:10">
      <c r="A1388" s="1">
        <v>41528</v>
      </c>
      <c r="B1388">
        <v>51.04</v>
      </c>
      <c r="C1388">
        <v>51.12</v>
      </c>
      <c r="D1388">
        <v>50.26</v>
      </c>
      <c r="E1388">
        <v>50.73</v>
      </c>
      <c r="F1388">
        <v>22251600</v>
      </c>
      <c r="G1388">
        <v>50.72</v>
      </c>
      <c r="H1388" t="s">
        <v>25</v>
      </c>
      <c r="I1388" s="22">
        <f t="shared" si="43"/>
        <v>-7.0727210353679964E-3</v>
      </c>
      <c r="J1388" s="22" t="str">
        <f t="shared" si="44"/>
        <v>lost money</v>
      </c>
    </row>
    <row r="1389" spans="1:10">
      <c r="A1389" s="1">
        <v>41529</v>
      </c>
      <c r="B1389">
        <v>50.66</v>
      </c>
      <c r="C1389">
        <v>50.76</v>
      </c>
      <c r="D1389">
        <v>49.97</v>
      </c>
      <c r="E1389">
        <v>50.26</v>
      </c>
      <c r="F1389">
        <v>21341600</v>
      </c>
      <c r="G1389">
        <v>50.25</v>
      </c>
      <c r="H1389" t="s">
        <v>25</v>
      </c>
      <c r="I1389" s="22">
        <f t="shared" si="43"/>
        <v>-9.3097631897853493E-3</v>
      </c>
      <c r="J1389" s="22" t="str">
        <f t="shared" si="44"/>
        <v>lost money</v>
      </c>
    </row>
    <row r="1390" spans="1:10">
      <c r="A1390" s="1">
        <v>41530</v>
      </c>
      <c r="B1390">
        <v>50.29</v>
      </c>
      <c r="C1390">
        <v>50.62</v>
      </c>
      <c r="D1390">
        <v>50.22</v>
      </c>
      <c r="E1390">
        <v>50.49</v>
      </c>
      <c r="F1390">
        <v>12571800</v>
      </c>
      <c r="G1390">
        <v>50.48</v>
      </c>
      <c r="H1390" t="s">
        <v>25</v>
      </c>
      <c r="I1390" s="22">
        <f t="shared" si="43"/>
        <v>4.5666712937724625E-3</v>
      </c>
      <c r="J1390" s="22" t="str">
        <f t="shared" si="44"/>
        <v/>
      </c>
    </row>
    <row r="1391" spans="1:10">
      <c r="A1391" s="1">
        <v>41533</v>
      </c>
      <c r="B1391">
        <v>51.19</v>
      </c>
      <c r="C1391">
        <v>51.45</v>
      </c>
      <c r="D1391">
        <v>50.74</v>
      </c>
      <c r="E1391">
        <v>51</v>
      </c>
      <c r="F1391">
        <v>19369100</v>
      </c>
      <c r="G1391">
        <v>50.99</v>
      </c>
      <c r="H1391" t="s">
        <v>25</v>
      </c>
      <c r="I1391" s="22">
        <f t="shared" si="43"/>
        <v>1.0052316834106807E-2</v>
      </c>
      <c r="J1391" s="22" t="str">
        <f t="shared" si="44"/>
        <v>lost money</v>
      </c>
    </row>
    <row r="1392" spans="1:10">
      <c r="A1392" s="1">
        <v>41534</v>
      </c>
      <c r="B1392">
        <v>51.15</v>
      </c>
      <c r="C1392">
        <v>51.28</v>
      </c>
      <c r="D1392">
        <v>50.87</v>
      </c>
      <c r="E1392">
        <v>51.2</v>
      </c>
      <c r="F1392">
        <v>15469000</v>
      </c>
      <c r="G1392">
        <v>51.19</v>
      </c>
      <c r="H1392" t="s">
        <v>25</v>
      </c>
      <c r="I1392" s="22">
        <f t="shared" si="43"/>
        <v>3.9146654024275022E-3</v>
      </c>
      <c r="J1392" s="22" t="str">
        <f t="shared" si="44"/>
        <v/>
      </c>
    </row>
    <row r="1393" spans="1:10">
      <c r="A1393" s="1">
        <v>41535</v>
      </c>
      <c r="B1393">
        <v>51.02</v>
      </c>
      <c r="C1393">
        <v>52.66</v>
      </c>
      <c r="D1393">
        <v>50.98</v>
      </c>
      <c r="E1393">
        <v>52.21</v>
      </c>
      <c r="F1393">
        <v>31901700</v>
      </c>
      <c r="G1393">
        <v>52.2</v>
      </c>
      <c r="H1393" t="s">
        <v>25</v>
      </c>
      <c r="I1393" s="22">
        <f t="shared" si="43"/>
        <v>1.9538294419101303E-2</v>
      </c>
      <c r="J1393" s="22" t="str">
        <f t="shared" si="44"/>
        <v/>
      </c>
    </row>
    <row r="1394" spans="1:10">
      <c r="A1394" s="1">
        <v>41536</v>
      </c>
      <c r="B1394">
        <v>52.75</v>
      </c>
      <c r="C1394">
        <v>52.88</v>
      </c>
      <c r="D1394">
        <v>51.9</v>
      </c>
      <c r="E1394">
        <v>51.95</v>
      </c>
      <c r="F1394">
        <v>25368500</v>
      </c>
      <c r="G1394">
        <v>51.94</v>
      </c>
      <c r="H1394" t="s">
        <v>25</v>
      </c>
      <c r="I1394" s="22">
        <f t="shared" si="43"/>
        <v>-4.9932886539907585E-3</v>
      </c>
      <c r="J1394" s="22" t="str">
        <f t="shared" si="44"/>
        <v>lost money</v>
      </c>
    </row>
    <row r="1395" spans="1:10">
      <c r="A1395" s="1">
        <v>41537</v>
      </c>
      <c r="B1395">
        <v>52.03</v>
      </c>
      <c r="C1395">
        <v>52.1</v>
      </c>
      <c r="D1395">
        <v>51.12</v>
      </c>
      <c r="E1395">
        <v>51.21</v>
      </c>
      <c r="F1395">
        <v>28157600</v>
      </c>
      <c r="G1395">
        <v>51.2</v>
      </c>
      <c r="H1395" t="s">
        <v>25</v>
      </c>
      <c r="I1395" s="22">
        <f t="shared" si="43"/>
        <v>-1.43496741891402E-2</v>
      </c>
      <c r="J1395" s="22" t="str">
        <f t="shared" si="44"/>
        <v>lost money</v>
      </c>
    </row>
    <row r="1396" spans="1:10">
      <c r="A1396" s="1">
        <v>41540</v>
      </c>
      <c r="B1396">
        <v>49.95</v>
      </c>
      <c r="C1396">
        <v>50.17</v>
      </c>
      <c r="D1396">
        <v>49.29</v>
      </c>
      <c r="E1396">
        <v>49.57</v>
      </c>
      <c r="F1396">
        <v>34571800</v>
      </c>
      <c r="G1396">
        <v>49.56</v>
      </c>
      <c r="H1396" t="s">
        <v>25</v>
      </c>
      <c r="I1396" s="22">
        <f t="shared" si="43"/>
        <v>-3.2555475284520359E-2</v>
      </c>
      <c r="J1396" s="22" t="str">
        <f t="shared" si="44"/>
        <v>lost money</v>
      </c>
    </row>
    <row r="1397" spans="1:10">
      <c r="A1397" s="1">
        <v>41541</v>
      </c>
      <c r="B1397">
        <v>49.43</v>
      </c>
      <c r="C1397">
        <v>49.48</v>
      </c>
      <c r="D1397">
        <v>48.93</v>
      </c>
      <c r="E1397">
        <v>48.96</v>
      </c>
      <c r="F1397">
        <v>26564600</v>
      </c>
      <c r="G1397">
        <v>48.95</v>
      </c>
      <c r="H1397" t="s">
        <v>25</v>
      </c>
      <c r="I1397" s="22">
        <f t="shared" si="43"/>
        <v>-1.238468778442227E-2</v>
      </c>
      <c r="J1397" s="22" t="str">
        <f t="shared" si="44"/>
        <v>lost money</v>
      </c>
    </row>
    <row r="1398" spans="1:10">
      <c r="A1398" s="1">
        <v>41542</v>
      </c>
      <c r="B1398">
        <v>49.04</v>
      </c>
      <c r="C1398">
        <v>49.54</v>
      </c>
      <c r="D1398">
        <v>48.67</v>
      </c>
      <c r="E1398">
        <v>49.26</v>
      </c>
      <c r="F1398">
        <v>26930400</v>
      </c>
      <c r="G1398">
        <v>49.25</v>
      </c>
      <c r="H1398" t="s">
        <v>25</v>
      </c>
      <c r="I1398" s="22">
        <f t="shared" si="43"/>
        <v>6.1099986415784737E-3</v>
      </c>
      <c r="J1398" s="22" t="str">
        <f t="shared" si="44"/>
        <v/>
      </c>
    </row>
    <row r="1399" spans="1:10">
      <c r="A1399" s="1">
        <v>41543</v>
      </c>
      <c r="B1399">
        <v>49.27</v>
      </c>
      <c r="C1399">
        <v>49.49</v>
      </c>
      <c r="D1399">
        <v>48.5</v>
      </c>
      <c r="E1399">
        <v>48.93</v>
      </c>
      <c r="F1399">
        <v>23345400</v>
      </c>
      <c r="G1399">
        <v>48.92</v>
      </c>
      <c r="H1399" t="s">
        <v>25</v>
      </c>
      <c r="I1399" s="22">
        <f t="shared" si="43"/>
        <v>-6.7230567991262303E-3</v>
      </c>
      <c r="J1399" s="22" t="str">
        <f t="shared" si="44"/>
        <v>lost money</v>
      </c>
    </row>
    <row r="1400" spans="1:10">
      <c r="A1400" s="1">
        <v>41544</v>
      </c>
      <c r="B1400">
        <v>48.76</v>
      </c>
      <c r="C1400">
        <v>49.2</v>
      </c>
      <c r="D1400">
        <v>48.69</v>
      </c>
      <c r="E1400">
        <v>48.89</v>
      </c>
      <c r="F1400">
        <v>20243100</v>
      </c>
      <c r="G1400">
        <v>48.88</v>
      </c>
      <c r="H1400" t="s">
        <v>25</v>
      </c>
      <c r="I1400" s="22">
        <f t="shared" si="43"/>
        <v>-8.179959556316983E-4</v>
      </c>
      <c r="J1400" s="22" t="str">
        <f t="shared" si="44"/>
        <v/>
      </c>
    </row>
    <row r="1401" spans="1:10">
      <c r="A1401" s="1">
        <v>41547</v>
      </c>
      <c r="B1401">
        <v>48.27</v>
      </c>
      <c r="C1401">
        <v>48.86</v>
      </c>
      <c r="D1401">
        <v>47.83</v>
      </c>
      <c r="E1401">
        <v>48.51</v>
      </c>
      <c r="F1401">
        <v>23789300</v>
      </c>
      <c r="G1401">
        <v>48.5</v>
      </c>
      <c r="H1401" t="s">
        <v>25</v>
      </c>
      <c r="I1401" s="22">
        <f t="shared" si="43"/>
        <v>-7.8045169199024138E-3</v>
      </c>
      <c r="J1401" s="22" t="str">
        <f t="shared" si="44"/>
        <v/>
      </c>
    </row>
    <row r="1402" spans="1:10">
      <c r="A1402" s="1">
        <v>41548</v>
      </c>
      <c r="B1402">
        <v>48.85</v>
      </c>
      <c r="C1402">
        <v>49.1</v>
      </c>
      <c r="D1402">
        <v>48.42</v>
      </c>
      <c r="E1402">
        <v>48.6</v>
      </c>
      <c r="F1402">
        <v>21040400</v>
      </c>
      <c r="G1402">
        <v>48.59</v>
      </c>
      <c r="H1402" t="s">
        <v>25</v>
      </c>
      <c r="I1402" s="22">
        <f t="shared" si="43"/>
        <v>1.8539504743742821E-3</v>
      </c>
      <c r="J1402" s="22" t="str">
        <f t="shared" si="44"/>
        <v>lost money</v>
      </c>
    </row>
    <row r="1403" spans="1:10">
      <c r="A1403" s="1">
        <v>41549</v>
      </c>
      <c r="B1403">
        <v>48.42</v>
      </c>
      <c r="C1403">
        <v>49.05</v>
      </c>
      <c r="D1403">
        <v>48.16</v>
      </c>
      <c r="E1403">
        <v>48.71</v>
      </c>
      <c r="F1403">
        <v>23568300</v>
      </c>
      <c r="G1403">
        <v>48.7</v>
      </c>
      <c r="H1403" t="s">
        <v>25</v>
      </c>
      <c r="I1403" s="22">
        <f t="shared" si="43"/>
        <v>2.2612816707324964E-3</v>
      </c>
      <c r="J1403" s="22" t="str">
        <f t="shared" si="44"/>
        <v/>
      </c>
    </row>
    <row r="1404" spans="1:10">
      <c r="A1404" s="1">
        <v>41550</v>
      </c>
      <c r="B1404">
        <v>48.81</v>
      </c>
      <c r="C1404">
        <v>48.98</v>
      </c>
      <c r="D1404">
        <v>48.03</v>
      </c>
      <c r="E1404">
        <v>48.4</v>
      </c>
      <c r="F1404">
        <v>22013300</v>
      </c>
      <c r="G1404">
        <v>48.39</v>
      </c>
      <c r="H1404" t="s">
        <v>25</v>
      </c>
      <c r="I1404" s="22">
        <f t="shared" si="43"/>
        <v>-6.3858492833169999E-3</v>
      </c>
      <c r="J1404" s="22" t="str">
        <f t="shared" si="44"/>
        <v>lost money</v>
      </c>
    </row>
    <row r="1405" spans="1:10">
      <c r="A1405" s="1">
        <v>41551</v>
      </c>
      <c r="B1405">
        <v>48.45</v>
      </c>
      <c r="C1405">
        <v>49.19</v>
      </c>
      <c r="D1405">
        <v>48.38</v>
      </c>
      <c r="E1405">
        <v>49.14</v>
      </c>
      <c r="F1405">
        <v>18436000</v>
      </c>
      <c r="G1405">
        <v>49.13</v>
      </c>
      <c r="H1405" t="s">
        <v>25</v>
      </c>
      <c r="I1405" s="22">
        <f t="shared" si="43"/>
        <v>1.5176665375329685E-2</v>
      </c>
      <c r="J1405" s="22" t="str">
        <f t="shared" si="44"/>
        <v/>
      </c>
    </row>
    <row r="1406" spans="1:10">
      <c r="A1406" s="1">
        <v>41554</v>
      </c>
      <c r="B1406">
        <v>48.62</v>
      </c>
      <c r="C1406">
        <v>48.67</v>
      </c>
      <c r="D1406">
        <v>48.16</v>
      </c>
      <c r="E1406">
        <v>48.18</v>
      </c>
      <c r="F1406">
        <v>19144300</v>
      </c>
      <c r="G1406">
        <v>48.17</v>
      </c>
      <c r="H1406" t="s">
        <v>25</v>
      </c>
      <c r="I1406" s="22">
        <f t="shared" si="43"/>
        <v>-1.9733425538427489E-2</v>
      </c>
      <c r="J1406" s="22" t="str">
        <f t="shared" si="44"/>
        <v>lost money</v>
      </c>
    </row>
    <row r="1407" spans="1:10">
      <c r="A1407" s="1">
        <v>41555</v>
      </c>
      <c r="B1407">
        <v>48.22</v>
      </c>
      <c r="C1407">
        <v>48.45</v>
      </c>
      <c r="D1407">
        <v>47.62</v>
      </c>
      <c r="E1407">
        <v>47.67</v>
      </c>
      <c r="F1407">
        <v>24655300</v>
      </c>
      <c r="G1407">
        <v>47.66</v>
      </c>
      <c r="H1407" t="s">
        <v>25</v>
      </c>
      <c r="I1407" s="22">
        <f t="shared" si="43"/>
        <v>-1.0643948971533439E-2</v>
      </c>
      <c r="J1407" s="22" t="str">
        <f t="shared" si="44"/>
        <v>lost money</v>
      </c>
    </row>
    <row r="1408" spans="1:10">
      <c r="A1408" s="1">
        <v>41556</v>
      </c>
      <c r="B1408">
        <v>47.98</v>
      </c>
      <c r="C1408">
        <v>48.38</v>
      </c>
      <c r="D1408">
        <v>47.6</v>
      </c>
      <c r="E1408">
        <v>47.95</v>
      </c>
      <c r="F1408">
        <v>22597700</v>
      </c>
      <c r="G1408">
        <v>47.94</v>
      </c>
      <c r="H1408" t="s">
        <v>25</v>
      </c>
      <c r="I1408" s="22">
        <f t="shared" si="43"/>
        <v>5.8577573356422292E-3</v>
      </c>
      <c r="J1408" s="22" t="str">
        <f t="shared" si="44"/>
        <v>lost money</v>
      </c>
    </row>
    <row r="1409" spans="1:10">
      <c r="A1409" s="1">
        <v>41557</v>
      </c>
      <c r="B1409">
        <v>48.8</v>
      </c>
      <c r="C1409">
        <v>49.37</v>
      </c>
      <c r="D1409">
        <v>48.57</v>
      </c>
      <c r="E1409">
        <v>49.27</v>
      </c>
      <c r="F1409">
        <v>23989600</v>
      </c>
      <c r="G1409">
        <v>49.26</v>
      </c>
      <c r="H1409" t="s">
        <v>25</v>
      </c>
      <c r="I1409" s="22">
        <f t="shared" si="43"/>
        <v>2.7162163686153491E-2</v>
      </c>
      <c r="J1409" s="22" t="str">
        <f t="shared" si="44"/>
        <v/>
      </c>
    </row>
    <row r="1410" spans="1:10">
      <c r="A1410" s="1">
        <v>41558</v>
      </c>
      <c r="B1410">
        <v>49.35</v>
      </c>
      <c r="C1410">
        <v>49.36</v>
      </c>
      <c r="D1410">
        <v>48.7</v>
      </c>
      <c r="E1410">
        <v>49.22</v>
      </c>
      <c r="F1410">
        <v>22990000</v>
      </c>
      <c r="G1410">
        <v>49.21</v>
      </c>
      <c r="H1410" t="s">
        <v>25</v>
      </c>
      <c r="I1410" s="22">
        <f t="shared" si="43"/>
        <v>-1.0155378145049641E-3</v>
      </c>
      <c r="J1410" s="22" t="str">
        <f t="shared" si="44"/>
        <v>lost money</v>
      </c>
    </row>
    <row r="1411" spans="1:10">
      <c r="A1411" s="1">
        <v>41561</v>
      </c>
      <c r="B1411">
        <v>48.83</v>
      </c>
      <c r="C1411">
        <v>49.9</v>
      </c>
      <c r="D1411">
        <v>48.55</v>
      </c>
      <c r="E1411">
        <v>49.6</v>
      </c>
      <c r="F1411">
        <v>24765900</v>
      </c>
      <c r="G1411">
        <v>49.59</v>
      </c>
      <c r="H1411" t="s">
        <v>25</v>
      </c>
      <c r="I1411" s="22">
        <f t="shared" ref="I1411:I1474" si="45">IF(A1411=$A$2,"",LN(G1411/G1410))</f>
        <v>7.6923456231556449E-3</v>
      </c>
      <c r="J1411" s="22" t="str">
        <f t="shared" ref="J1411:J1474" si="46">IF(B1411&gt;E1411,"lost money","")</f>
        <v/>
      </c>
    </row>
    <row r="1412" spans="1:10">
      <c r="A1412" s="1">
        <v>41562</v>
      </c>
      <c r="B1412">
        <v>49.69</v>
      </c>
      <c r="C1412">
        <v>49.99</v>
      </c>
      <c r="D1412">
        <v>48.65</v>
      </c>
      <c r="E1412">
        <v>48.86</v>
      </c>
      <c r="F1412">
        <v>49035600</v>
      </c>
      <c r="G1412">
        <v>48.85</v>
      </c>
      <c r="H1412" t="s">
        <v>25</v>
      </c>
      <c r="I1412" s="22">
        <f t="shared" si="45"/>
        <v>-1.5034822012250747E-2</v>
      </c>
      <c r="J1412" s="22" t="str">
        <f t="shared" si="46"/>
        <v>lost money</v>
      </c>
    </row>
    <row r="1413" spans="1:10">
      <c r="A1413" s="1">
        <v>41563</v>
      </c>
      <c r="B1413">
        <v>49.43</v>
      </c>
      <c r="C1413">
        <v>50.9</v>
      </c>
      <c r="D1413">
        <v>49.27</v>
      </c>
      <c r="E1413">
        <v>50.84</v>
      </c>
      <c r="F1413">
        <v>41564100</v>
      </c>
      <c r="G1413">
        <v>50.83</v>
      </c>
      <c r="H1413" t="s">
        <v>25</v>
      </c>
      <c r="I1413" s="22">
        <f t="shared" si="45"/>
        <v>3.9732352970019327E-2</v>
      </c>
      <c r="J1413" s="22" t="str">
        <f t="shared" si="46"/>
        <v/>
      </c>
    </row>
    <row r="1414" spans="1:10">
      <c r="A1414" s="1">
        <v>41564</v>
      </c>
      <c r="B1414">
        <v>50.38</v>
      </c>
      <c r="C1414">
        <v>51.22</v>
      </c>
      <c r="D1414">
        <v>50.29</v>
      </c>
      <c r="E1414">
        <v>51.12</v>
      </c>
      <c r="F1414">
        <v>28304600</v>
      </c>
      <c r="G1414">
        <v>51.11</v>
      </c>
      <c r="H1414" t="s">
        <v>25</v>
      </c>
      <c r="I1414" s="22">
        <f t="shared" si="45"/>
        <v>5.4934413213770681E-3</v>
      </c>
      <c r="J1414" s="22" t="str">
        <f t="shared" si="46"/>
        <v/>
      </c>
    </row>
    <row r="1415" spans="1:10">
      <c r="A1415" s="1">
        <v>41565</v>
      </c>
      <c r="B1415">
        <v>51.37</v>
      </c>
      <c r="C1415">
        <v>51.37</v>
      </c>
      <c r="D1415">
        <v>50.81</v>
      </c>
      <c r="E1415">
        <v>51.15</v>
      </c>
      <c r="F1415">
        <v>24565300</v>
      </c>
      <c r="G1415">
        <v>51.14</v>
      </c>
      <c r="H1415" t="s">
        <v>25</v>
      </c>
      <c r="I1415" s="22">
        <f t="shared" si="45"/>
        <v>5.8679708285235867E-4</v>
      </c>
      <c r="J1415" s="22" t="str">
        <f t="shared" si="46"/>
        <v>lost money</v>
      </c>
    </row>
    <row r="1416" spans="1:10">
      <c r="A1416" s="1">
        <v>41568</v>
      </c>
      <c r="B1416">
        <v>51.19</v>
      </c>
      <c r="C1416">
        <v>51.57</v>
      </c>
      <c r="D1416">
        <v>51</v>
      </c>
      <c r="E1416">
        <v>51.03</v>
      </c>
      <c r="F1416">
        <v>18703100</v>
      </c>
      <c r="G1416">
        <v>51.02</v>
      </c>
      <c r="H1416" t="s">
        <v>25</v>
      </c>
      <c r="I1416" s="22">
        <f t="shared" si="45"/>
        <v>-2.3492571493752101E-3</v>
      </c>
      <c r="J1416" s="22" t="str">
        <f t="shared" si="46"/>
        <v>lost money</v>
      </c>
    </row>
    <row r="1417" spans="1:10">
      <c r="A1417" s="1">
        <v>41569</v>
      </c>
      <c r="B1417">
        <v>51.32</v>
      </c>
      <c r="C1417">
        <v>51.39</v>
      </c>
      <c r="D1417">
        <v>50.58</v>
      </c>
      <c r="E1417">
        <v>50.76</v>
      </c>
      <c r="F1417">
        <v>27816600</v>
      </c>
      <c r="G1417">
        <v>50.75</v>
      </c>
      <c r="H1417" t="s">
        <v>25</v>
      </c>
      <c r="I1417" s="22">
        <f t="shared" si="45"/>
        <v>-5.3060947917686636E-3</v>
      </c>
      <c r="J1417" s="22" t="str">
        <f t="shared" si="46"/>
        <v>lost money</v>
      </c>
    </row>
    <row r="1418" spans="1:10">
      <c r="A1418" s="1">
        <v>41570</v>
      </c>
      <c r="B1418">
        <v>50.47</v>
      </c>
      <c r="C1418">
        <v>50.53</v>
      </c>
      <c r="D1418">
        <v>49.92</v>
      </c>
      <c r="E1418">
        <v>50.19</v>
      </c>
      <c r="F1418">
        <v>19530800</v>
      </c>
      <c r="G1418">
        <v>50.18</v>
      </c>
      <c r="H1418" t="s">
        <v>25</v>
      </c>
      <c r="I1418" s="22">
        <f t="shared" si="45"/>
        <v>-1.1295076983620519E-2</v>
      </c>
      <c r="J1418" s="22" t="str">
        <f t="shared" si="46"/>
        <v>lost money</v>
      </c>
    </row>
    <row r="1419" spans="1:10">
      <c r="A1419" s="1">
        <v>41571</v>
      </c>
      <c r="B1419">
        <v>50.27</v>
      </c>
      <c r="C1419">
        <v>50.31</v>
      </c>
      <c r="D1419">
        <v>49.77</v>
      </c>
      <c r="E1419">
        <v>50.15</v>
      </c>
      <c r="F1419">
        <v>20034600</v>
      </c>
      <c r="G1419">
        <v>50.14</v>
      </c>
      <c r="H1419" t="s">
        <v>25</v>
      </c>
      <c r="I1419" s="22">
        <f t="shared" si="45"/>
        <v>-7.9744820812889105E-4</v>
      </c>
      <c r="J1419" s="22" t="str">
        <f t="shared" si="46"/>
        <v>lost money</v>
      </c>
    </row>
    <row r="1420" spans="1:10">
      <c r="A1420" s="1">
        <v>41572</v>
      </c>
      <c r="B1420">
        <v>50.03</v>
      </c>
      <c r="C1420">
        <v>50.26</v>
      </c>
      <c r="D1420">
        <v>49.95</v>
      </c>
      <c r="E1420">
        <v>50.06</v>
      </c>
      <c r="F1420">
        <v>16736600</v>
      </c>
      <c r="G1420">
        <v>50.05</v>
      </c>
      <c r="H1420" t="s">
        <v>25</v>
      </c>
      <c r="I1420" s="22">
        <f t="shared" si="45"/>
        <v>-1.7965869689177784E-3</v>
      </c>
      <c r="J1420" s="22" t="str">
        <f t="shared" si="46"/>
        <v/>
      </c>
    </row>
    <row r="1421" spans="1:10">
      <c r="A1421" s="1">
        <v>41575</v>
      </c>
      <c r="B1421">
        <v>50.01</v>
      </c>
      <c r="C1421">
        <v>50.33</v>
      </c>
      <c r="D1421">
        <v>49.96</v>
      </c>
      <c r="E1421">
        <v>50.15</v>
      </c>
      <c r="F1421">
        <v>15543300</v>
      </c>
      <c r="G1421">
        <v>50.14</v>
      </c>
      <c r="H1421" t="s">
        <v>25</v>
      </c>
      <c r="I1421" s="22">
        <f t="shared" si="45"/>
        <v>1.796586968917835E-3</v>
      </c>
      <c r="J1421" s="22" t="str">
        <f t="shared" si="46"/>
        <v/>
      </c>
    </row>
    <row r="1422" spans="1:10">
      <c r="A1422" s="1">
        <v>41576</v>
      </c>
      <c r="B1422">
        <v>50.27</v>
      </c>
      <c r="C1422">
        <v>50.46</v>
      </c>
      <c r="D1422">
        <v>50.07</v>
      </c>
      <c r="E1422">
        <v>50.22</v>
      </c>
      <c r="F1422">
        <v>16416100</v>
      </c>
      <c r="G1422">
        <v>50.21</v>
      </c>
      <c r="H1422" t="s">
        <v>25</v>
      </c>
      <c r="I1422" s="22">
        <f t="shared" si="45"/>
        <v>1.3951173164667644E-3</v>
      </c>
      <c r="J1422" s="22" t="str">
        <f t="shared" si="46"/>
        <v>lost money</v>
      </c>
    </row>
    <row r="1423" spans="1:10">
      <c r="A1423" s="1">
        <v>41577</v>
      </c>
      <c r="B1423">
        <v>50.5</v>
      </c>
      <c r="C1423">
        <v>50.5</v>
      </c>
      <c r="D1423">
        <v>49.59</v>
      </c>
      <c r="E1423">
        <v>49.89</v>
      </c>
      <c r="F1423">
        <v>22429200</v>
      </c>
      <c r="G1423">
        <v>49.88</v>
      </c>
      <c r="H1423" t="s">
        <v>25</v>
      </c>
      <c r="I1423" s="22">
        <f t="shared" si="45"/>
        <v>-6.594089234778366E-3</v>
      </c>
      <c r="J1423" s="22" t="str">
        <f t="shared" si="46"/>
        <v>lost money</v>
      </c>
    </row>
    <row r="1424" spans="1:10">
      <c r="A1424" s="1">
        <v>41578</v>
      </c>
      <c r="B1424">
        <v>49.74</v>
      </c>
      <c r="C1424">
        <v>49.74</v>
      </c>
      <c r="D1424">
        <v>48.77</v>
      </c>
      <c r="E1424">
        <v>48.78</v>
      </c>
      <c r="F1424">
        <v>25056900</v>
      </c>
      <c r="G1424">
        <v>48.78</v>
      </c>
      <c r="H1424" t="s">
        <v>25</v>
      </c>
      <c r="I1424" s="22">
        <f t="shared" si="45"/>
        <v>-2.2299728024061542E-2</v>
      </c>
      <c r="J1424" s="22" t="str">
        <f t="shared" si="46"/>
        <v>lost money</v>
      </c>
    </row>
    <row r="1425" spans="1:10">
      <c r="A1425" s="1">
        <v>41579</v>
      </c>
      <c r="B1425">
        <v>48.87</v>
      </c>
      <c r="C1425">
        <v>49.02</v>
      </c>
      <c r="D1425">
        <v>48.61</v>
      </c>
      <c r="E1425">
        <v>48.74</v>
      </c>
      <c r="F1425">
        <v>19004100</v>
      </c>
      <c r="G1425">
        <v>48.74</v>
      </c>
      <c r="H1425" t="s">
        <v>25</v>
      </c>
      <c r="I1425" s="22">
        <f t="shared" si="45"/>
        <v>-8.2034459071404688E-4</v>
      </c>
      <c r="J1425" s="22" t="str">
        <f t="shared" si="46"/>
        <v>lost money</v>
      </c>
    </row>
    <row r="1426" spans="1:10">
      <c r="A1426" s="1">
        <v>41582</v>
      </c>
      <c r="B1426">
        <v>48.84</v>
      </c>
      <c r="C1426">
        <v>49.14</v>
      </c>
      <c r="D1426">
        <v>48.58</v>
      </c>
      <c r="E1426">
        <v>48.63</v>
      </c>
      <c r="F1426">
        <v>16513900</v>
      </c>
      <c r="G1426">
        <v>48.63</v>
      </c>
      <c r="H1426" t="s">
        <v>25</v>
      </c>
      <c r="I1426" s="22">
        <f t="shared" si="45"/>
        <v>-2.2594237813657689E-3</v>
      </c>
      <c r="J1426" s="22" t="str">
        <f t="shared" si="46"/>
        <v>lost money</v>
      </c>
    </row>
    <row r="1427" spans="1:10">
      <c r="A1427" s="1">
        <v>41583</v>
      </c>
      <c r="B1427">
        <v>48.5</v>
      </c>
      <c r="C1427">
        <v>48.62</v>
      </c>
      <c r="D1427">
        <v>48.23</v>
      </c>
      <c r="E1427">
        <v>48.38</v>
      </c>
      <c r="F1427">
        <v>18394200</v>
      </c>
      <c r="G1427">
        <v>48.38</v>
      </c>
      <c r="H1427" t="s">
        <v>25</v>
      </c>
      <c r="I1427" s="22">
        <f t="shared" si="45"/>
        <v>-5.1541192338132417E-3</v>
      </c>
      <c r="J1427" s="22" t="str">
        <f t="shared" si="46"/>
        <v>lost money</v>
      </c>
    </row>
    <row r="1428" spans="1:10">
      <c r="A1428" s="1">
        <v>41584</v>
      </c>
      <c r="B1428">
        <v>48.76</v>
      </c>
      <c r="C1428">
        <v>48.82</v>
      </c>
      <c r="D1428">
        <v>48.39</v>
      </c>
      <c r="E1428">
        <v>48.62</v>
      </c>
      <c r="F1428">
        <v>17621500</v>
      </c>
      <c r="G1428">
        <v>48.62</v>
      </c>
      <c r="H1428" t="s">
        <v>25</v>
      </c>
      <c r="I1428" s="22">
        <f t="shared" si="45"/>
        <v>4.9484637060960767E-3</v>
      </c>
      <c r="J1428" s="22" t="str">
        <f t="shared" si="46"/>
        <v>lost money</v>
      </c>
    </row>
    <row r="1429" spans="1:10">
      <c r="A1429" s="1">
        <v>41585</v>
      </c>
      <c r="B1429">
        <v>48.93</v>
      </c>
      <c r="C1429">
        <v>49.13</v>
      </c>
      <c r="D1429">
        <v>48.35</v>
      </c>
      <c r="E1429">
        <v>48.35</v>
      </c>
      <c r="F1429">
        <v>26954900</v>
      </c>
      <c r="G1429">
        <v>48.35</v>
      </c>
      <c r="H1429" t="s">
        <v>25</v>
      </c>
      <c r="I1429" s="22">
        <f t="shared" si="45"/>
        <v>-5.5687469886738887E-3</v>
      </c>
      <c r="J1429" s="22" t="str">
        <f t="shared" si="46"/>
        <v>lost money</v>
      </c>
    </row>
    <row r="1430" spans="1:10">
      <c r="A1430" s="1">
        <v>41586</v>
      </c>
      <c r="B1430">
        <v>48.47</v>
      </c>
      <c r="C1430">
        <v>50.17</v>
      </c>
      <c r="D1430">
        <v>48.47</v>
      </c>
      <c r="E1430">
        <v>49.94</v>
      </c>
      <c r="F1430">
        <v>35134400</v>
      </c>
      <c r="G1430">
        <v>49.94</v>
      </c>
      <c r="H1430" t="s">
        <v>25</v>
      </c>
      <c r="I1430" s="22">
        <f t="shared" si="45"/>
        <v>3.2356062952323697E-2</v>
      </c>
      <c r="J1430" s="22" t="str">
        <f t="shared" si="46"/>
        <v/>
      </c>
    </row>
    <row r="1431" spans="1:10">
      <c r="A1431" s="1">
        <v>41589</v>
      </c>
      <c r="B1431">
        <v>49.79</v>
      </c>
      <c r="C1431">
        <v>50.3</v>
      </c>
      <c r="D1431">
        <v>49.36</v>
      </c>
      <c r="E1431">
        <v>50.17</v>
      </c>
      <c r="F1431">
        <v>16831200</v>
      </c>
      <c r="G1431">
        <v>50.17</v>
      </c>
      <c r="H1431" t="s">
        <v>25</v>
      </c>
      <c r="I1431" s="22">
        <f t="shared" si="45"/>
        <v>4.5949536445345513E-3</v>
      </c>
      <c r="J1431" s="22" t="str">
        <f t="shared" si="46"/>
        <v/>
      </c>
    </row>
    <row r="1432" spans="1:10">
      <c r="A1432" s="1">
        <v>41590</v>
      </c>
      <c r="B1432">
        <v>50</v>
      </c>
      <c r="C1432">
        <v>50.01</v>
      </c>
      <c r="D1432">
        <v>49.35</v>
      </c>
      <c r="E1432">
        <v>49.52</v>
      </c>
      <c r="F1432">
        <v>21627500</v>
      </c>
      <c r="G1432">
        <v>49.52</v>
      </c>
      <c r="H1432" t="s">
        <v>25</v>
      </c>
      <c r="I1432" s="22">
        <f t="shared" si="45"/>
        <v>-1.3040610119820889E-2</v>
      </c>
      <c r="J1432" s="22" t="str">
        <f t="shared" si="46"/>
        <v>lost money</v>
      </c>
    </row>
    <row r="1433" spans="1:10">
      <c r="A1433" s="1">
        <v>41591</v>
      </c>
      <c r="B1433">
        <v>49.28</v>
      </c>
      <c r="C1433">
        <v>49.99</v>
      </c>
      <c r="D1433">
        <v>49.02</v>
      </c>
      <c r="E1433">
        <v>49.99</v>
      </c>
      <c r="F1433">
        <v>23536400</v>
      </c>
      <c r="G1433">
        <v>49.99</v>
      </c>
      <c r="H1433" t="s">
        <v>25</v>
      </c>
      <c r="I1433" s="22">
        <f t="shared" si="45"/>
        <v>9.4463570491382064E-3</v>
      </c>
      <c r="J1433" s="22" t="str">
        <f t="shared" si="46"/>
        <v/>
      </c>
    </row>
    <row r="1434" spans="1:10">
      <c r="A1434" s="1">
        <v>41592</v>
      </c>
      <c r="B1434">
        <v>50.01</v>
      </c>
      <c r="C1434">
        <v>50.29</v>
      </c>
      <c r="D1434">
        <v>49.55</v>
      </c>
      <c r="E1434">
        <v>50.21</v>
      </c>
      <c r="F1434">
        <v>21758300</v>
      </c>
      <c r="G1434">
        <v>50.21</v>
      </c>
      <c r="H1434" t="s">
        <v>25</v>
      </c>
      <c r="I1434" s="22">
        <f t="shared" si="45"/>
        <v>4.3912246211350574E-3</v>
      </c>
      <c r="J1434" s="22" t="str">
        <f t="shared" si="46"/>
        <v/>
      </c>
    </row>
    <row r="1435" spans="1:10">
      <c r="A1435" s="1">
        <v>41593</v>
      </c>
      <c r="B1435">
        <v>50.19</v>
      </c>
      <c r="C1435">
        <v>50.78</v>
      </c>
      <c r="D1435">
        <v>50.04</v>
      </c>
      <c r="E1435">
        <v>50.4</v>
      </c>
      <c r="F1435">
        <v>22217400</v>
      </c>
      <c r="G1435">
        <v>50.4</v>
      </c>
      <c r="H1435" t="s">
        <v>25</v>
      </c>
      <c r="I1435" s="22">
        <f t="shared" si="45"/>
        <v>3.7769650307087942E-3</v>
      </c>
      <c r="J1435" s="22" t="str">
        <f t="shared" si="46"/>
        <v/>
      </c>
    </row>
    <row r="1436" spans="1:10">
      <c r="A1436" s="1">
        <v>41596</v>
      </c>
      <c r="B1436">
        <v>50.8</v>
      </c>
      <c r="C1436">
        <v>51.4</v>
      </c>
      <c r="D1436">
        <v>50.57</v>
      </c>
      <c r="E1436">
        <v>50.79</v>
      </c>
      <c r="F1436">
        <v>26353400</v>
      </c>
      <c r="G1436">
        <v>50.79</v>
      </c>
      <c r="H1436" t="s">
        <v>25</v>
      </c>
      <c r="I1436" s="22">
        <f t="shared" si="45"/>
        <v>7.7083097358306794E-3</v>
      </c>
      <c r="J1436" s="22" t="str">
        <f t="shared" si="46"/>
        <v>lost money</v>
      </c>
    </row>
    <row r="1437" spans="1:10">
      <c r="A1437" s="1">
        <v>41597</v>
      </c>
      <c r="B1437">
        <v>50.76</v>
      </c>
      <c r="C1437">
        <v>51.44</v>
      </c>
      <c r="D1437">
        <v>50.61</v>
      </c>
      <c r="E1437">
        <v>51.17</v>
      </c>
      <c r="F1437">
        <v>20113300</v>
      </c>
      <c r="G1437">
        <v>51.17</v>
      </c>
      <c r="H1437" t="s">
        <v>25</v>
      </c>
      <c r="I1437" s="22">
        <f t="shared" si="45"/>
        <v>7.4539380038467487E-3</v>
      </c>
      <c r="J1437" s="22" t="str">
        <f t="shared" si="46"/>
        <v/>
      </c>
    </row>
    <row r="1438" spans="1:10">
      <c r="A1438" s="1">
        <v>41598</v>
      </c>
      <c r="B1438">
        <v>51.05</v>
      </c>
      <c r="C1438">
        <v>51.29</v>
      </c>
      <c r="D1438">
        <v>50.62</v>
      </c>
      <c r="E1438">
        <v>50.77</v>
      </c>
      <c r="F1438">
        <v>18347200</v>
      </c>
      <c r="G1438">
        <v>50.77</v>
      </c>
      <c r="H1438" t="s">
        <v>25</v>
      </c>
      <c r="I1438" s="22">
        <f t="shared" si="45"/>
        <v>-7.8477938576973997E-3</v>
      </c>
      <c r="J1438" s="22" t="str">
        <f t="shared" si="46"/>
        <v>lost money</v>
      </c>
    </row>
    <row r="1439" spans="1:10">
      <c r="A1439" s="1">
        <v>41599</v>
      </c>
      <c r="B1439">
        <v>50.86</v>
      </c>
      <c r="C1439">
        <v>51.97</v>
      </c>
      <c r="D1439">
        <v>50.78</v>
      </c>
      <c r="E1439">
        <v>51.73</v>
      </c>
      <c r="F1439">
        <v>22868900</v>
      </c>
      <c r="G1439">
        <v>51.73</v>
      </c>
      <c r="H1439" t="s">
        <v>25</v>
      </c>
      <c r="I1439" s="22">
        <f t="shared" si="45"/>
        <v>1.8732255056120615E-2</v>
      </c>
      <c r="J1439" s="22" t="str">
        <f t="shared" si="46"/>
        <v/>
      </c>
    </row>
    <row r="1440" spans="1:10">
      <c r="A1440" s="1">
        <v>41600</v>
      </c>
      <c r="B1440">
        <v>51.94</v>
      </c>
      <c r="C1440">
        <v>52.54</v>
      </c>
      <c r="D1440">
        <v>51.84</v>
      </c>
      <c r="E1440">
        <v>52.41</v>
      </c>
      <c r="F1440">
        <v>26051300</v>
      </c>
      <c r="G1440">
        <v>52.41</v>
      </c>
      <c r="H1440" t="s">
        <v>25</v>
      </c>
      <c r="I1440" s="22">
        <f t="shared" si="45"/>
        <v>1.3059528798651108E-2</v>
      </c>
      <c r="J1440" s="22" t="str">
        <f t="shared" si="46"/>
        <v/>
      </c>
    </row>
    <row r="1441" spans="1:10">
      <c r="A1441" s="1">
        <v>41603</v>
      </c>
      <c r="B1441">
        <v>52.49</v>
      </c>
      <c r="C1441">
        <v>53.68</v>
      </c>
      <c r="D1441">
        <v>52.48</v>
      </c>
      <c r="E1441">
        <v>53.29</v>
      </c>
      <c r="F1441">
        <v>32610000</v>
      </c>
      <c r="G1441">
        <v>53.29</v>
      </c>
      <c r="H1441" t="s">
        <v>25</v>
      </c>
      <c r="I1441" s="22">
        <f t="shared" si="45"/>
        <v>1.6651283494616108E-2</v>
      </c>
      <c r="J1441" s="22" t="str">
        <f t="shared" si="46"/>
        <v/>
      </c>
    </row>
    <row r="1442" spans="1:10">
      <c r="A1442" s="1">
        <v>41604</v>
      </c>
      <c r="B1442">
        <v>53.1</v>
      </c>
      <c r="C1442">
        <v>53.46</v>
      </c>
      <c r="D1442">
        <v>52.96</v>
      </c>
      <c r="E1442">
        <v>53.01</v>
      </c>
      <c r="F1442">
        <v>17661000</v>
      </c>
      <c r="G1442">
        <v>53.01</v>
      </c>
      <c r="H1442" t="s">
        <v>25</v>
      </c>
      <c r="I1442" s="22">
        <f t="shared" si="45"/>
        <v>-5.268121308976163E-3</v>
      </c>
      <c r="J1442" s="22" t="str">
        <f t="shared" si="46"/>
        <v>lost money</v>
      </c>
    </row>
    <row r="1443" spans="1:10">
      <c r="A1443" s="1">
        <v>41605</v>
      </c>
      <c r="B1443">
        <v>52.97</v>
      </c>
      <c r="C1443">
        <v>53.26</v>
      </c>
      <c r="D1443">
        <v>52.9</v>
      </c>
      <c r="E1443">
        <v>53.05</v>
      </c>
      <c r="F1443">
        <v>13075200</v>
      </c>
      <c r="G1443">
        <v>53.05</v>
      </c>
      <c r="H1443" t="s">
        <v>25</v>
      </c>
      <c r="I1443" s="22">
        <f t="shared" si="45"/>
        <v>7.5429006027742803E-4</v>
      </c>
      <c r="J1443" s="22" t="str">
        <f t="shared" si="46"/>
        <v/>
      </c>
    </row>
    <row r="1444" spans="1:10">
      <c r="A1444" s="1">
        <v>41607</v>
      </c>
      <c r="B1444">
        <v>53.11</v>
      </c>
      <c r="C1444">
        <v>53.59</v>
      </c>
      <c r="D1444">
        <v>52.86</v>
      </c>
      <c r="E1444">
        <v>52.92</v>
      </c>
      <c r="F1444">
        <v>10952100</v>
      </c>
      <c r="G1444">
        <v>52.92</v>
      </c>
      <c r="H1444" t="s">
        <v>25</v>
      </c>
      <c r="I1444" s="22">
        <f t="shared" si="45"/>
        <v>-2.4535258132371315E-3</v>
      </c>
      <c r="J1444" s="22" t="str">
        <f t="shared" si="46"/>
        <v>lost money</v>
      </c>
    </row>
    <row r="1445" spans="1:10">
      <c r="A1445" s="1">
        <v>40911</v>
      </c>
      <c r="B1445">
        <v>24.28</v>
      </c>
      <c r="C1445">
        <v>24.7</v>
      </c>
      <c r="D1445">
        <v>24.28</v>
      </c>
      <c r="E1445">
        <v>24.5</v>
      </c>
      <c r="F1445">
        <v>20822600</v>
      </c>
      <c r="G1445">
        <v>23.7</v>
      </c>
      <c r="H1445" t="s">
        <v>15</v>
      </c>
      <c r="I1445" s="22" t="str">
        <f t="shared" si="45"/>
        <v/>
      </c>
      <c r="J1445" s="22" t="str">
        <f t="shared" si="46"/>
        <v/>
      </c>
    </row>
    <row r="1446" spans="1:10">
      <c r="A1446" s="1">
        <v>40912</v>
      </c>
      <c r="B1446">
        <v>24.51</v>
      </c>
      <c r="C1446">
        <v>24.75</v>
      </c>
      <c r="D1446">
        <v>24.38</v>
      </c>
      <c r="E1446">
        <v>24.73</v>
      </c>
      <c r="F1446">
        <v>17343900</v>
      </c>
      <c r="G1446">
        <v>23.92</v>
      </c>
      <c r="H1446" t="s">
        <v>15</v>
      </c>
      <c r="I1446" s="22">
        <f t="shared" si="45"/>
        <v>9.2398809413456809E-3</v>
      </c>
      <c r="J1446" s="22" t="str">
        <f t="shared" si="46"/>
        <v/>
      </c>
    </row>
    <row r="1447" spans="1:10">
      <c r="A1447" s="1">
        <v>40913</v>
      </c>
      <c r="B1447">
        <v>24.68</v>
      </c>
      <c r="C1447">
        <v>25.03</v>
      </c>
      <c r="D1447">
        <v>24.49</v>
      </c>
      <c r="E1447">
        <v>24.95</v>
      </c>
      <c r="F1447">
        <v>22343500</v>
      </c>
      <c r="G1447">
        <v>24.13</v>
      </c>
      <c r="H1447" t="s">
        <v>15</v>
      </c>
      <c r="I1447" s="22">
        <f t="shared" si="45"/>
        <v>8.74095055450929E-3</v>
      </c>
      <c r="J1447" s="22" t="str">
        <f t="shared" si="46"/>
        <v/>
      </c>
    </row>
    <row r="1448" spans="1:10">
      <c r="A1448" s="1">
        <v>40914</v>
      </c>
      <c r="B1448">
        <v>24.9</v>
      </c>
      <c r="C1448">
        <v>25.03</v>
      </c>
      <c r="D1448">
        <v>24.58</v>
      </c>
      <c r="E1448">
        <v>24.69</v>
      </c>
      <c r="F1448">
        <v>9614000</v>
      </c>
      <c r="G1448">
        <v>23.88</v>
      </c>
      <c r="H1448" t="s">
        <v>15</v>
      </c>
      <c r="I1448" s="22">
        <f t="shared" si="45"/>
        <v>-1.0414591112538974E-2</v>
      </c>
      <c r="J1448" s="22" t="str">
        <f t="shared" si="46"/>
        <v>lost money</v>
      </c>
    </row>
    <row r="1449" spans="1:10">
      <c r="A1449" s="1">
        <v>40917</v>
      </c>
      <c r="B1449">
        <v>24.86</v>
      </c>
      <c r="C1449">
        <v>25.37</v>
      </c>
      <c r="D1449">
        <v>24.85</v>
      </c>
      <c r="E1449">
        <v>25.21</v>
      </c>
      <c r="F1449">
        <v>19711500</v>
      </c>
      <c r="G1449">
        <v>24.38</v>
      </c>
      <c r="H1449" t="s">
        <v>15</v>
      </c>
      <c r="I1449" s="22">
        <f t="shared" si="45"/>
        <v>2.0721835528724128E-2</v>
      </c>
      <c r="J1449" s="22" t="str">
        <f t="shared" si="46"/>
        <v/>
      </c>
    </row>
    <row r="1450" spans="1:10">
      <c r="A1450" s="1">
        <v>40918</v>
      </c>
      <c r="B1450">
        <v>25.54</v>
      </c>
      <c r="C1450">
        <v>25.7</v>
      </c>
      <c r="D1450">
        <v>25.33</v>
      </c>
      <c r="E1450">
        <v>25.4</v>
      </c>
      <c r="F1450">
        <v>19442600</v>
      </c>
      <c r="G1450">
        <v>24.57</v>
      </c>
      <c r="H1450" t="s">
        <v>15</v>
      </c>
      <c r="I1450" s="22">
        <f t="shared" si="45"/>
        <v>7.7630624799623323E-3</v>
      </c>
      <c r="J1450" s="22" t="str">
        <f t="shared" si="46"/>
        <v>lost money</v>
      </c>
    </row>
    <row r="1451" spans="1:10">
      <c r="A1451" s="1">
        <v>40919</v>
      </c>
      <c r="B1451">
        <v>25.39</v>
      </c>
      <c r="C1451">
        <v>25.6</v>
      </c>
      <c r="D1451">
        <v>25.21</v>
      </c>
      <c r="E1451">
        <v>25.42</v>
      </c>
      <c r="F1451">
        <v>11767400</v>
      </c>
      <c r="G1451">
        <v>24.58</v>
      </c>
      <c r="H1451" t="s">
        <v>15</v>
      </c>
      <c r="I1451" s="22">
        <f t="shared" si="45"/>
        <v>4.0691760480086571E-4</v>
      </c>
      <c r="J1451" s="22" t="str">
        <f t="shared" si="46"/>
        <v/>
      </c>
    </row>
    <row r="1452" spans="1:10">
      <c r="A1452" s="1">
        <v>40920</v>
      </c>
      <c r="B1452">
        <v>25.44</v>
      </c>
      <c r="C1452">
        <v>25.63</v>
      </c>
      <c r="D1452">
        <v>25.31</v>
      </c>
      <c r="E1452">
        <v>25.5</v>
      </c>
      <c r="F1452">
        <v>11061400</v>
      </c>
      <c r="G1452">
        <v>24.66</v>
      </c>
      <c r="H1452" t="s">
        <v>15</v>
      </c>
      <c r="I1452" s="22">
        <f t="shared" si="45"/>
        <v>3.2493935983096112E-3</v>
      </c>
      <c r="J1452" s="22" t="str">
        <f t="shared" si="46"/>
        <v/>
      </c>
    </row>
    <row r="1453" spans="1:10">
      <c r="A1453" s="1">
        <v>40921</v>
      </c>
      <c r="B1453">
        <v>25.42</v>
      </c>
      <c r="C1453">
        <v>25.49</v>
      </c>
      <c r="D1453">
        <v>25.15</v>
      </c>
      <c r="E1453">
        <v>25.38</v>
      </c>
      <c r="F1453">
        <v>10061200</v>
      </c>
      <c r="G1453">
        <v>24.55</v>
      </c>
      <c r="H1453" t="s">
        <v>15</v>
      </c>
      <c r="I1453" s="22">
        <f t="shared" si="45"/>
        <v>-4.4706434956686301E-3</v>
      </c>
      <c r="J1453" s="22" t="str">
        <f t="shared" si="46"/>
        <v>lost money</v>
      </c>
    </row>
    <row r="1454" spans="1:10">
      <c r="A1454" s="1">
        <v>40925</v>
      </c>
      <c r="B1454">
        <v>25.61</v>
      </c>
      <c r="C1454">
        <v>25.85</v>
      </c>
      <c r="D1454">
        <v>25.43</v>
      </c>
      <c r="E1454">
        <v>25.54</v>
      </c>
      <c r="F1454">
        <v>11983900</v>
      </c>
      <c r="G1454">
        <v>24.7</v>
      </c>
      <c r="H1454" t="s">
        <v>15</v>
      </c>
      <c r="I1454" s="22">
        <f t="shared" si="45"/>
        <v>6.0913893934019126E-3</v>
      </c>
      <c r="J1454" s="22" t="str">
        <f t="shared" si="46"/>
        <v>lost money</v>
      </c>
    </row>
    <row r="1455" spans="1:10">
      <c r="A1455" s="1">
        <v>40926</v>
      </c>
      <c r="B1455">
        <v>25.53</v>
      </c>
      <c r="C1455">
        <v>25.83</v>
      </c>
      <c r="D1455">
        <v>25.31</v>
      </c>
      <c r="E1455">
        <v>25.72</v>
      </c>
      <c r="F1455">
        <v>14728600</v>
      </c>
      <c r="G1455">
        <v>24.88</v>
      </c>
      <c r="H1455" t="s">
        <v>15</v>
      </c>
      <c r="I1455" s="22">
        <f t="shared" si="45"/>
        <v>7.2610242370472729E-3</v>
      </c>
      <c r="J1455" s="22" t="str">
        <f t="shared" si="46"/>
        <v/>
      </c>
    </row>
    <row r="1456" spans="1:10">
      <c r="A1456" s="1">
        <v>40927</v>
      </c>
      <c r="B1456">
        <v>25.72</v>
      </c>
      <c r="C1456">
        <v>25.94</v>
      </c>
      <c r="D1456">
        <v>25.66</v>
      </c>
      <c r="E1456">
        <v>25.87</v>
      </c>
      <c r="F1456">
        <v>10036900</v>
      </c>
      <c r="G1456">
        <v>25.02</v>
      </c>
      <c r="H1456" t="s">
        <v>15</v>
      </c>
      <c r="I1456" s="22">
        <f t="shared" si="45"/>
        <v>5.6112371677863862E-3</v>
      </c>
      <c r="J1456" s="22" t="str">
        <f t="shared" si="46"/>
        <v/>
      </c>
    </row>
    <row r="1457" spans="1:10">
      <c r="A1457" s="1">
        <v>40928</v>
      </c>
      <c r="B1457">
        <v>25.88</v>
      </c>
      <c r="C1457">
        <v>26.11</v>
      </c>
      <c r="D1457">
        <v>25.75</v>
      </c>
      <c r="E1457">
        <v>26.07</v>
      </c>
      <c r="F1457">
        <v>15293800</v>
      </c>
      <c r="G1457">
        <v>25.21</v>
      </c>
      <c r="H1457" t="s">
        <v>15</v>
      </c>
      <c r="I1457" s="22">
        <f t="shared" si="45"/>
        <v>7.5652361610634754E-3</v>
      </c>
      <c r="J1457" s="22" t="str">
        <f t="shared" si="46"/>
        <v/>
      </c>
    </row>
    <row r="1458" spans="1:10">
      <c r="A1458" s="1">
        <v>40931</v>
      </c>
      <c r="B1458">
        <v>25.93</v>
      </c>
      <c r="C1458">
        <v>26.32</v>
      </c>
      <c r="D1458">
        <v>25.78</v>
      </c>
      <c r="E1458">
        <v>25.93</v>
      </c>
      <c r="F1458">
        <v>13547800</v>
      </c>
      <c r="G1458">
        <v>25.08</v>
      </c>
      <c r="H1458" t="s">
        <v>15</v>
      </c>
      <c r="I1458" s="22">
        <f t="shared" si="45"/>
        <v>-5.1700254351086236E-3</v>
      </c>
      <c r="J1458" s="22" t="str">
        <f t="shared" si="46"/>
        <v/>
      </c>
    </row>
    <row r="1459" spans="1:10">
      <c r="A1459" s="1">
        <v>40932</v>
      </c>
      <c r="B1459">
        <v>25.81</v>
      </c>
      <c r="C1459">
        <v>25.9</v>
      </c>
      <c r="D1459">
        <v>25.6</v>
      </c>
      <c r="E1459">
        <v>25.86</v>
      </c>
      <c r="F1459">
        <v>10023500</v>
      </c>
      <c r="G1459">
        <v>25.01</v>
      </c>
      <c r="H1459" t="s">
        <v>15</v>
      </c>
      <c r="I1459" s="22">
        <f t="shared" si="45"/>
        <v>-2.7949708751921183E-3</v>
      </c>
      <c r="J1459" s="22" t="str">
        <f t="shared" si="46"/>
        <v/>
      </c>
    </row>
    <row r="1460" spans="1:10">
      <c r="A1460" s="1">
        <v>40933</v>
      </c>
      <c r="B1460">
        <v>25.76</v>
      </c>
      <c r="C1460">
        <v>26.22</v>
      </c>
      <c r="D1460">
        <v>25.61</v>
      </c>
      <c r="E1460">
        <v>26.12</v>
      </c>
      <c r="F1460">
        <v>18091100</v>
      </c>
      <c r="G1460">
        <v>25.26</v>
      </c>
      <c r="H1460" t="s">
        <v>15</v>
      </c>
      <c r="I1460" s="22">
        <f t="shared" si="45"/>
        <v>9.9463720328174243E-3</v>
      </c>
      <c r="J1460" s="22" t="str">
        <f t="shared" si="46"/>
        <v/>
      </c>
    </row>
    <row r="1461" spans="1:10">
      <c r="A1461" s="1">
        <v>40934</v>
      </c>
      <c r="B1461">
        <v>26.34</v>
      </c>
      <c r="C1461">
        <v>26.81</v>
      </c>
      <c r="D1461">
        <v>26.16</v>
      </c>
      <c r="E1461">
        <v>26.31</v>
      </c>
      <c r="F1461">
        <v>18550100</v>
      </c>
      <c r="G1461">
        <v>25.45</v>
      </c>
      <c r="H1461" t="s">
        <v>15</v>
      </c>
      <c r="I1461" s="22">
        <f t="shared" si="45"/>
        <v>7.4936260741866869E-3</v>
      </c>
      <c r="J1461" s="22" t="str">
        <f t="shared" si="46"/>
        <v>lost money</v>
      </c>
    </row>
    <row r="1462" spans="1:10">
      <c r="A1462" s="1">
        <v>40935</v>
      </c>
      <c r="B1462">
        <v>26.31</v>
      </c>
      <c r="C1462">
        <v>26.59</v>
      </c>
      <c r="D1462">
        <v>26.2</v>
      </c>
      <c r="E1462">
        <v>26.33</v>
      </c>
      <c r="F1462">
        <v>14366800</v>
      </c>
      <c r="G1462">
        <v>25.46</v>
      </c>
      <c r="H1462" t="s">
        <v>15</v>
      </c>
      <c r="I1462" s="22">
        <f t="shared" si="45"/>
        <v>3.9285013272875126E-4</v>
      </c>
      <c r="J1462" s="22" t="str">
        <f t="shared" si="46"/>
        <v/>
      </c>
    </row>
    <row r="1463" spans="1:10">
      <c r="A1463" s="1">
        <v>40938</v>
      </c>
      <c r="B1463">
        <v>26.2</v>
      </c>
      <c r="C1463">
        <v>26.56</v>
      </c>
      <c r="D1463">
        <v>25.84</v>
      </c>
      <c r="E1463">
        <v>26.36</v>
      </c>
      <c r="F1463">
        <v>18253700</v>
      </c>
      <c r="G1463">
        <v>25.49</v>
      </c>
      <c r="H1463" t="s">
        <v>15</v>
      </c>
      <c r="I1463" s="22">
        <f t="shared" si="45"/>
        <v>1.1776252587635406E-3</v>
      </c>
      <c r="J1463" s="22" t="str">
        <f t="shared" si="46"/>
        <v/>
      </c>
    </row>
    <row r="1464" spans="1:10">
      <c r="A1464" s="1">
        <v>40939</v>
      </c>
      <c r="B1464">
        <v>26.5</v>
      </c>
      <c r="C1464">
        <v>26.59</v>
      </c>
      <c r="D1464">
        <v>26.26</v>
      </c>
      <c r="E1464">
        <v>26.58</v>
      </c>
      <c r="F1464">
        <v>16092400</v>
      </c>
      <c r="G1464">
        <v>25.71</v>
      </c>
      <c r="H1464" t="s">
        <v>15</v>
      </c>
      <c r="I1464" s="22">
        <f t="shared" si="45"/>
        <v>8.5938028897741114E-3</v>
      </c>
      <c r="J1464" s="22" t="str">
        <f t="shared" si="46"/>
        <v/>
      </c>
    </row>
    <row r="1465" spans="1:10">
      <c r="A1465" s="1">
        <v>40940</v>
      </c>
      <c r="B1465">
        <v>26.72</v>
      </c>
      <c r="C1465">
        <v>27.17</v>
      </c>
      <c r="D1465">
        <v>26.57</v>
      </c>
      <c r="E1465">
        <v>26.85</v>
      </c>
      <c r="F1465">
        <v>16084100</v>
      </c>
      <c r="G1465">
        <v>25.97</v>
      </c>
      <c r="H1465" t="s">
        <v>15</v>
      </c>
      <c r="I1465" s="22">
        <f t="shared" si="45"/>
        <v>1.0062004396858858E-2</v>
      </c>
      <c r="J1465" s="22" t="str">
        <f t="shared" si="46"/>
        <v/>
      </c>
    </row>
    <row r="1466" spans="1:10">
      <c r="A1466" s="1">
        <v>40941</v>
      </c>
      <c r="B1466">
        <v>26.8</v>
      </c>
      <c r="C1466">
        <v>26.98</v>
      </c>
      <c r="D1466">
        <v>26.65</v>
      </c>
      <c r="E1466">
        <v>26.69</v>
      </c>
      <c r="F1466">
        <v>17334400</v>
      </c>
      <c r="G1466">
        <v>25.81</v>
      </c>
      <c r="H1466" t="s">
        <v>15</v>
      </c>
      <c r="I1466" s="22">
        <f t="shared" si="45"/>
        <v>-6.1800119441345752E-3</v>
      </c>
      <c r="J1466" s="22" t="str">
        <f t="shared" si="46"/>
        <v>lost money</v>
      </c>
    </row>
    <row r="1467" spans="1:10">
      <c r="A1467" s="1">
        <v>40942</v>
      </c>
      <c r="B1467">
        <v>26.97</v>
      </c>
      <c r="C1467">
        <v>27.18</v>
      </c>
      <c r="D1467">
        <v>26.9</v>
      </c>
      <c r="E1467">
        <v>27.15</v>
      </c>
      <c r="F1467">
        <v>13635700</v>
      </c>
      <c r="G1467">
        <v>26.26</v>
      </c>
      <c r="H1467" t="s">
        <v>15</v>
      </c>
      <c r="I1467" s="22">
        <f t="shared" si="45"/>
        <v>1.728485514412777E-2</v>
      </c>
      <c r="J1467" s="22" t="str">
        <f t="shared" si="46"/>
        <v/>
      </c>
    </row>
    <row r="1468" spans="1:10">
      <c r="A1468" s="1">
        <v>40945</v>
      </c>
      <c r="B1468">
        <v>27.09</v>
      </c>
      <c r="C1468">
        <v>27.18</v>
      </c>
      <c r="D1468">
        <v>26.94</v>
      </c>
      <c r="E1468">
        <v>27.09</v>
      </c>
      <c r="F1468">
        <v>12939800</v>
      </c>
      <c r="G1468">
        <v>26.2</v>
      </c>
      <c r="H1468" t="s">
        <v>15</v>
      </c>
      <c r="I1468" s="22">
        <f t="shared" si="45"/>
        <v>-2.2874581075990807E-3</v>
      </c>
      <c r="J1468" s="22" t="str">
        <f t="shared" si="46"/>
        <v/>
      </c>
    </row>
    <row r="1469" spans="1:10">
      <c r="A1469" s="1">
        <v>40946</v>
      </c>
      <c r="B1469">
        <v>27</v>
      </c>
      <c r="C1469">
        <v>27.15</v>
      </c>
      <c r="D1469">
        <v>26.76</v>
      </c>
      <c r="E1469">
        <v>27.09</v>
      </c>
      <c r="F1469">
        <v>12184400</v>
      </c>
      <c r="G1469">
        <v>26.2</v>
      </c>
      <c r="H1469" t="s">
        <v>15</v>
      </c>
      <c r="I1469" s="22">
        <f t="shared" si="45"/>
        <v>0</v>
      </c>
      <c r="J1469" s="22" t="str">
        <f t="shared" si="46"/>
        <v/>
      </c>
    </row>
    <row r="1470" spans="1:10">
      <c r="A1470" s="1">
        <v>40947</v>
      </c>
      <c r="B1470">
        <v>27.05</v>
      </c>
      <c r="C1470">
        <v>27.29</v>
      </c>
      <c r="D1470">
        <v>26.84</v>
      </c>
      <c r="E1470">
        <v>27.25</v>
      </c>
      <c r="F1470">
        <v>12718600</v>
      </c>
      <c r="G1470">
        <v>26.35</v>
      </c>
      <c r="H1470" t="s">
        <v>15</v>
      </c>
      <c r="I1470" s="22">
        <f t="shared" si="45"/>
        <v>5.7088642203202006E-3</v>
      </c>
      <c r="J1470" s="22" t="str">
        <f t="shared" si="46"/>
        <v/>
      </c>
    </row>
    <row r="1471" spans="1:10">
      <c r="A1471" s="1">
        <v>40948</v>
      </c>
      <c r="B1471">
        <v>27.27</v>
      </c>
      <c r="C1471">
        <v>27.5</v>
      </c>
      <c r="D1471">
        <v>27.11</v>
      </c>
      <c r="E1471">
        <v>27.46</v>
      </c>
      <c r="F1471">
        <v>13951000</v>
      </c>
      <c r="G1471">
        <v>26.56</v>
      </c>
      <c r="H1471" t="s">
        <v>15</v>
      </c>
      <c r="I1471" s="22">
        <f t="shared" si="45"/>
        <v>7.9380496208616286E-3</v>
      </c>
      <c r="J1471" s="22" t="str">
        <f t="shared" si="46"/>
        <v/>
      </c>
    </row>
    <row r="1472" spans="1:10">
      <c r="A1472" s="1">
        <v>40949</v>
      </c>
      <c r="B1472">
        <v>27.26</v>
      </c>
      <c r="C1472">
        <v>27.35</v>
      </c>
      <c r="D1472">
        <v>27</v>
      </c>
      <c r="E1472">
        <v>27.18</v>
      </c>
      <c r="F1472">
        <v>10705200</v>
      </c>
      <c r="G1472">
        <v>26.29</v>
      </c>
      <c r="H1472" t="s">
        <v>15</v>
      </c>
      <c r="I1472" s="22">
        <f t="shared" si="45"/>
        <v>-1.0217685866443218E-2</v>
      </c>
      <c r="J1472" s="22" t="str">
        <f t="shared" si="46"/>
        <v>lost money</v>
      </c>
    </row>
    <row r="1473" spans="1:10">
      <c r="A1473" s="1">
        <v>40952</v>
      </c>
      <c r="B1473">
        <v>27.39</v>
      </c>
      <c r="C1473">
        <v>27.52</v>
      </c>
      <c r="D1473">
        <v>27.27</v>
      </c>
      <c r="E1473">
        <v>27.41</v>
      </c>
      <c r="F1473">
        <v>8028500</v>
      </c>
      <c r="G1473">
        <v>26.51</v>
      </c>
      <c r="H1473" t="s">
        <v>15</v>
      </c>
      <c r="I1473" s="22">
        <f t="shared" si="45"/>
        <v>8.3333815591444607E-3</v>
      </c>
      <c r="J1473" s="22" t="str">
        <f t="shared" si="46"/>
        <v/>
      </c>
    </row>
    <row r="1474" spans="1:10">
      <c r="A1474" s="1">
        <v>40953</v>
      </c>
      <c r="B1474">
        <v>27.22</v>
      </c>
      <c r="C1474">
        <v>27.36</v>
      </c>
      <c r="D1474">
        <v>26.93</v>
      </c>
      <c r="E1474">
        <v>27.25</v>
      </c>
      <c r="F1474">
        <v>16726700</v>
      </c>
      <c r="G1474">
        <v>26.35</v>
      </c>
      <c r="H1474" t="s">
        <v>15</v>
      </c>
      <c r="I1474" s="22">
        <f t="shared" si="45"/>
        <v>-6.0537453135628277E-3</v>
      </c>
      <c r="J1474" s="22" t="str">
        <f t="shared" si="46"/>
        <v/>
      </c>
    </row>
    <row r="1475" spans="1:10">
      <c r="A1475" s="1">
        <v>40954</v>
      </c>
      <c r="B1475">
        <v>28.98</v>
      </c>
      <c r="C1475">
        <v>29.05</v>
      </c>
      <c r="D1475">
        <v>28.3</v>
      </c>
      <c r="E1475">
        <v>28.52</v>
      </c>
      <c r="F1475">
        <v>35266100</v>
      </c>
      <c r="G1475">
        <v>27.58</v>
      </c>
      <c r="H1475" t="s">
        <v>15</v>
      </c>
      <c r="I1475" s="22">
        <f t="shared" ref="I1475:I1538" si="47">IF(A1475=$A$2,"",LN(G1475/G1474))</f>
        <v>4.5622597377784381E-2</v>
      </c>
      <c r="J1475" s="22" t="str">
        <f t="shared" ref="J1475:J1538" si="48">IF(B1475&gt;E1475,"lost money","")</f>
        <v>lost money</v>
      </c>
    </row>
    <row r="1476" spans="1:10">
      <c r="A1476" s="1">
        <v>40955</v>
      </c>
      <c r="B1476">
        <v>28.72</v>
      </c>
      <c r="C1476">
        <v>28.8</v>
      </c>
      <c r="D1476">
        <v>28.39</v>
      </c>
      <c r="E1476">
        <v>28.65</v>
      </c>
      <c r="F1476">
        <v>19958600</v>
      </c>
      <c r="G1476">
        <v>27.71</v>
      </c>
      <c r="H1476" t="s">
        <v>15</v>
      </c>
      <c r="I1476" s="22">
        <f t="shared" si="47"/>
        <v>4.7024865097314416E-3</v>
      </c>
      <c r="J1476" s="22" t="str">
        <f t="shared" si="48"/>
        <v>lost money</v>
      </c>
    </row>
    <row r="1477" spans="1:10">
      <c r="A1477" s="1">
        <v>40956</v>
      </c>
      <c r="B1477">
        <v>28.5</v>
      </c>
      <c r="C1477">
        <v>29.27</v>
      </c>
      <c r="D1477">
        <v>28.4</v>
      </c>
      <c r="E1477">
        <v>29.17</v>
      </c>
      <c r="F1477">
        <v>23528200</v>
      </c>
      <c r="G1477">
        <v>28.21</v>
      </c>
      <c r="H1477" t="s">
        <v>15</v>
      </c>
      <c r="I1477" s="22">
        <f t="shared" si="47"/>
        <v>1.7883166139017977E-2</v>
      </c>
      <c r="J1477" s="22" t="str">
        <f t="shared" si="48"/>
        <v/>
      </c>
    </row>
    <row r="1478" spans="1:10">
      <c r="A1478" s="1">
        <v>40960</v>
      </c>
      <c r="B1478">
        <v>29.11</v>
      </c>
      <c r="C1478">
        <v>29.17</v>
      </c>
      <c r="D1478">
        <v>28.91</v>
      </c>
      <c r="E1478">
        <v>29.07</v>
      </c>
      <c r="F1478">
        <v>14420200</v>
      </c>
      <c r="G1478">
        <v>28.11</v>
      </c>
      <c r="H1478" t="s">
        <v>15</v>
      </c>
      <c r="I1478" s="22">
        <f t="shared" si="47"/>
        <v>-3.5511400954644098E-3</v>
      </c>
      <c r="J1478" s="22" t="str">
        <f t="shared" si="48"/>
        <v>lost money</v>
      </c>
    </row>
    <row r="1479" spans="1:10">
      <c r="A1479" s="1">
        <v>40961</v>
      </c>
      <c r="B1479">
        <v>28.97</v>
      </c>
      <c r="C1479">
        <v>29.29</v>
      </c>
      <c r="D1479">
        <v>28.82</v>
      </c>
      <c r="E1479">
        <v>29.28</v>
      </c>
      <c r="F1479">
        <v>21077600</v>
      </c>
      <c r="G1479">
        <v>28.32</v>
      </c>
      <c r="H1479" t="s">
        <v>15</v>
      </c>
      <c r="I1479" s="22">
        <f t="shared" si="47"/>
        <v>7.4428839070784427E-3</v>
      </c>
      <c r="J1479" s="22" t="str">
        <f t="shared" si="48"/>
        <v/>
      </c>
    </row>
    <row r="1480" spans="1:10">
      <c r="A1480" s="1">
        <v>40962</v>
      </c>
      <c r="B1480">
        <v>29.23</v>
      </c>
      <c r="C1480">
        <v>29.83</v>
      </c>
      <c r="D1480">
        <v>29.18</v>
      </c>
      <c r="E1480">
        <v>29.81</v>
      </c>
      <c r="F1480">
        <v>20018400</v>
      </c>
      <c r="G1480">
        <v>28.83</v>
      </c>
      <c r="H1480" t="s">
        <v>15</v>
      </c>
      <c r="I1480" s="22">
        <f t="shared" si="47"/>
        <v>1.7848242824791812E-2</v>
      </c>
      <c r="J1480" s="22" t="str">
        <f t="shared" si="48"/>
        <v/>
      </c>
    </row>
    <row r="1481" spans="1:10">
      <c r="A1481" s="1">
        <v>40963</v>
      </c>
      <c r="B1481">
        <v>29.92</v>
      </c>
      <c r="C1481">
        <v>29.92</v>
      </c>
      <c r="D1481">
        <v>29.05</v>
      </c>
      <c r="E1481">
        <v>29.19</v>
      </c>
      <c r="F1481">
        <v>16146700</v>
      </c>
      <c r="G1481">
        <v>28.23</v>
      </c>
      <c r="H1481" t="s">
        <v>15</v>
      </c>
      <c r="I1481" s="22">
        <f t="shared" si="47"/>
        <v>-2.103126938491277E-2</v>
      </c>
      <c r="J1481" s="22" t="str">
        <f t="shared" si="48"/>
        <v>lost money</v>
      </c>
    </row>
    <row r="1482" spans="1:10">
      <c r="A1482" s="1">
        <v>40966</v>
      </c>
      <c r="B1482">
        <v>28.91</v>
      </c>
      <c r="C1482">
        <v>29.39</v>
      </c>
      <c r="D1482">
        <v>28.9</v>
      </c>
      <c r="E1482">
        <v>29.19</v>
      </c>
      <c r="F1482">
        <v>12150600</v>
      </c>
      <c r="G1482">
        <v>28.23</v>
      </c>
      <c r="H1482" t="s">
        <v>15</v>
      </c>
      <c r="I1482" s="22">
        <f t="shared" si="47"/>
        <v>0</v>
      </c>
      <c r="J1482" s="22" t="str">
        <f t="shared" si="48"/>
        <v/>
      </c>
    </row>
    <row r="1483" spans="1:10">
      <c r="A1483" s="1">
        <v>40967</v>
      </c>
      <c r="B1483">
        <v>29.2</v>
      </c>
      <c r="C1483">
        <v>29.39</v>
      </c>
      <c r="D1483">
        <v>29.04</v>
      </c>
      <c r="E1483">
        <v>29.37</v>
      </c>
      <c r="F1483">
        <v>13695900</v>
      </c>
      <c r="G1483">
        <v>28.41</v>
      </c>
      <c r="H1483" t="s">
        <v>15</v>
      </c>
      <c r="I1483" s="22">
        <f t="shared" si="47"/>
        <v>6.3559536006985058E-3</v>
      </c>
      <c r="J1483" s="22" t="str">
        <f t="shared" si="48"/>
        <v/>
      </c>
    </row>
    <row r="1484" spans="1:10">
      <c r="A1484" s="1">
        <v>40968</v>
      </c>
      <c r="B1484">
        <v>29.4</v>
      </c>
      <c r="C1484">
        <v>29.55</v>
      </c>
      <c r="D1484">
        <v>29.27</v>
      </c>
      <c r="E1484">
        <v>29.41</v>
      </c>
      <c r="F1484">
        <v>17050400</v>
      </c>
      <c r="G1484">
        <v>28.44</v>
      </c>
      <c r="H1484" t="s">
        <v>15</v>
      </c>
      <c r="I1484" s="22">
        <f t="shared" si="47"/>
        <v>1.0554090689436891E-3</v>
      </c>
      <c r="J1484" s="22" t="str">
        <f t="shared" si="48"/>
        <v/>
      </c>
    </row>
    <row r="1485" spans="1:10">
      <c r="A1485" s="1">
        <v>40969</v>
      </c>
      <c r="B1485">
        <v>29.41</v>
      </c>
      <c r="C1485">
        <v>29.64</v>
      </c>
      <c r="D1485">
        <v>29.29</v>
      </c>
      <c r="E1485">
        <v>29.45</v>
      </c>
      <c r="F1485">
        <v>13094800</v>
      </c>
      <c r="G1485">
        <v>28.48</v>
      </c>
      <c r="H1485" t="s">
        <v>15</v>
      </c>
      <c r="I1485" s="22">
        <f t="shared" si="47"/>
        <v>1.4054816087349464E-3</v>
      </c>
      <c r="J1485" s="22" t="str">
        <f t="shared" si="48"/>
        <v/>
      </c>
    </row>
    <row r="1486" spans="1:10">
      <c r="A1486" s="1">
        <v>40970</v>
      </c>
      <c r="B1486">
        <v>29.36</v>
      </c>
      <c r="C1486">
        <v>29.61</v>
      </c>
      <c r="D1486">
        <v>29.08</v>
      </c>
      <c r="E1486">
        <v>29.24</v>
      </c>
      <c r="F1486">
        <v>11134900</v>
      </c>
      <c r="G1486">
        <v>28.28</v>
      </c>
      <c r="H1486" t="s">
        <v>15</v>
      </c>
      <c r="I1486" s="22">
        <f t="shared" si="47"/>
        <v>-7.047245515402944E-3</v>
      </c>
      <c r="J1486" s="22" t="str">
        <f t="shared" si="48"/>
        <v>lost money</v>
      </c>
    </row>
    <row r="1487" spans="1:10">
      <c r="A1487" s="1">
        <v>40973</v>
      </c>
      <c r="B1487">
        <v>29.18</v>
      </c>
      <c r="C1487">
        <v>29.22</v>
      </c>
      <c r="D1487">
        <v>28.81</v>
      </c>
      <c r="E1487">
        <v>29.1</v>
      </c>
      <c r="F1487">
        <v>13344600</v>
      </c>
      <c r="G1487">
        <v>28.14</v>
      </c>
      <c r="H1487" t="s">
        <v>15</v>
      </c>
      <c r="I1487" s="22">
        <f t="shared" si="47"/>
        <v>-4.9627893421290139E-3</v>
      </c>
      <c r="J1487" s="22" t="str">
        <f t="shared" si="48"/>
        <v>lost money</v>
      </c>
    </row>
    <row r="1488" spans="1:10">
      <c r="A1488" s="1">
        <v>40974</v>
      </c>
      <c r="B1488">
        <v>28.85</v>
      </c>
      <c r="C1488">
        <v>29.16</v>
      </c>
      <c r="D1488">
        <v>28.72</v>
      </c>
      <c r="E1488">
        <v>28.92</v>
      </c>
      <c r="F1488">
        <v>14464300</v>
      </c>
      <c r="G1488">
        <v>27.97</v>
      </c>
      <c r="H1488" t="s">
        <v>15</v>
      </c>
      <c r="I1488" s="22">
        <f t="shared" si="47"/>
        <v>-6.0595444723747002E-3</v>
      </c>
      <c r="J1488" s="22" t="str">
        <f t="shared" si="48"/>
        <v/>
      </c>
    </row>
    <row r="1489" spans="1:10">
      <c r="A1489" s="1">
        <v>40975</v>
      </c>
      <c r="B1489">
        <v>28.96</v>
      </c>
      <c r="C1489">
        <v>29.32</v>
      </c>
      <c r="D1489">
        <v>28.8</v>
      </c>
      <c r="E1489">
        <v>29.24</v>
      </c>
      <c r="F1489">
        <v>12860200</v>
      </c>
      <c r="G1489">
        <v>28.28</v>
      </c>
      <c r="H1489" t="s">
        <v>15</v>
      </c>
      <c r="I1489" s="22">
        <f t="shared" si="47"/>
        <v>1.102233381450363E-2</v>
      </c>
      <c r="J1489" s="22" t="str">
        <f t="shared" si="48"/>
        <v/>
      </c>
    </row>
    <row r="1490" spans="1:10">
      <c r="A1490" s="1">
        <v>40976</v>
      </c>
      <c r="B1490">
        <v>29.44</v>
      </c>
      <c r="C1490">
        <v>29.75</v>
      </c>
      <c r="D1490">
        <v>29.39</v>
      </c>
      <c r="E1490">
        <v>29.62</v>
      </c>
      <c r="F1490">
        <v>10186700</v>
      </c>
      <c r="G1490">
        <v>28.65</v>
      </c>
      <c r="H1490" t="s">
        <v>15</v>
      </c>
      <c r="I1490" s="22">
        <f t="shared" si="47"/>
        <v>1.2998602132376543E-2</v>
      </c>
      <c r="J1490" s="22" t="str">
        <f t="shared" si="48"/>
        <v/>
      </c>
    </row>
    <row r="1491" spans="1:10">
      <c r="A1491" s="1">
        <v>40977</v>
      </c>
      <c r="B1491">
        <v>29.81</v>
      </c>
      <c r="C1491">
        <v>29.86</v>
      </c>
      <c r="D1491">
        <v>29.68</v>
      </c>
      <c r="E1491">
        <v>29.84</v>
      </c>
      <c r="F1491">
        <v>9133300</v>
      </c>
      <c r="G1491">
        <v>28.86</v>
      </c>
      <c r="H1491" t="s">
        <v>15</v>
      </c>
      <c r="I1491" s="22">
        <f t="shared" si="47"/>
        <v>7.3031101849763492E-3</v>
      </c>
      <c r="J1491" s="22" t="str">
        <f t="shared" si="48"/>
        <v/>
      </c>
    </row>
    <row r="1492" spans="1:10">
      <c r="A1492" s="1">
        <v>40980</v>
      </c>
      <c r="B1492">
        <v>29.69</v>
      </c>
      <c r="C1492">
        <v>29.85</v>
      </c>
      <c r="D1492">
        <v>29.55</v>
      </c>
      <c r="E1492">
        <v>29.61</v>
      </c>
      <c r="F1492">
        <v>8775600</v>
      </c>
      <c r="G1492">
        <v>28.64</v>
      </c>
      <c r="H1492" t="s">
        <v>15</v>
      </c>
      <c r="I1492" s="22">
        <f t="shared" si="47"/>
        <v>-7.6522112532799291E-3</v>
      </c>
      <c r="J1492" s="22" t="str">
        <f t="shared" si="48"/>
        <v>lost money</v>
      </c>
    </row>
    <row r="1493" spans="1:10">
      <c r="A1493" s="1">
        <v>40981</v>
      </c>
      <c r="B1493">
        <v>29.83</v>
      </c>
      <c r="C1493">
        <v>30.05</v>
      </c>
      <c r="D1493">
        <v>29.65</v>
      </c>
      <c r="E1493">
        <v>30.04</v>
      </c>
      <c r="F1493">
        <v>11489500</v>
      </c>
      <c r="G1493">
        <v>29.05</v>
      </c>
      <c r="H1493" t="s">
        <v>15</v>
      </c>
      <c r="I1493" s="22">
        <f t="shared" si="47"/>
        <v>1.4214141205475385E-2</v>
      </c>
      <c r="J1493" s="22" t="str">
        <f t="shared" si="48"/>
        <v/>
      </c>
    </row>
    <row r="1494" spans="1:10">
      <c r="A1494" s="1">
        <v>40982</v>
      </c>
      <c r="B1494">
        <v>30</v>
      </c>
      <c r="C1494">
        <v>30</v>
      </c>
      <c r="D1494">
        <v>29.72</v>
      </c>
      <c r="E1494">
        <v>29.79</v>
      </c>
      <c r="F1494">
        <v>11165400</v>
      </c>
      <c r="G1494">
        <v>28.81</v>
      </c>
      <c r="H1494" t="s">
        <v>15</v>
      </c>
      <c r="I1494" s="22">
        <f t="shared" si="47"/>
        <v>-8.2959342014832169E-3</v>
      </c>
      <c r="J1494" s="22" t="str">
        <f t="shared" si="48"/>
        <v>lost money</v>
      </c>
    </row>
    <row r="1495" spans="1:10">
      <c r="A1495" s="1">
        <v>40983</v>
      </c>
      <c r="B1495">
        <v>29.78</v>
      </c>
      <c r="C1495">
        <v>29.89</v>
      </c>
      <c r="D1495">
        <v>29.42</v>
      </c>
      <c r="E1495">
        <v>29.8</v>
      </c>
      <c r="F1495">
        <v>11413100</v>
      </c>
      <c r="G1495">
        <v>28.82</v>
      </c>
      <c r="H1495" t="s">
        <v>15</v>
      </c>
      <c r="I1495" s="22">
        <f t="shared" si="47"/>
        <v>3.4704147493890518E-4</v>
      </c>
      <c r="J1495" s="22" t="str">
        <f t="shared" si="48"/>
        <v/>
      </c>
    </row>
    <row r="1496" spans="1:10">
      <c r="A1496" s="1">
        <v>40984</v>
      </c>
      <c r="B1496">
        <v>29.73</v>
      </c>
      <c r="C1496">
        <v>29.83</v>
      </c>
      <c r="D1496">
        <v>29.4</v>
      </c>
      <c r="E1496">
        <v>29.5</v>
      </c>
      <c r="F1496">
        <v>20892100</v>
      </c>
      <c r="G1496">
        <v>28.53</v>
      </c>
      <c r="H1496" t="s">
        <v>15</v>
      </c>
      <c r="I1496" s="22">
        <f t="shared" si="47"/>
        <v>-1.011342534596734E-2</v>
      </c>
      <c r="J1496" s="22" t="str">
        <f t="shared" si="48"/>
        <v>lost money</v>
      </c>
    </row>
    <row r="1497" spans="1:10">
      <c r="A1497" s="1">
        <v>40987</v>
      </c>
      <c r="B1497">
        <v>29.36</v>
      </c>
      <c r="C1497">
        <v>29.98</v>
      </c>
      <c r="D1497">
        <v>29.27</v>
      </c>
      <c r="E1497">
        <v>29.86</v>
      </c>
      <c r="F1497">
        <v>9806100</v>
      </c>
      <c r="G1497">
        <v>28.88</v>
      </c>
      <c r="H1497" t="s">
        <v>15</v>
      </c>
      <c r="I1497" s="22">
        <f t="shared" si="47"/>
        <v>1.219314879921685E-2</v>
      </c>
      <c r="J1497" s="22" t="str">
        <f t="shared" si="48"/>
        <v/>
      </c>
    </row>
    <row r="1498" spans="1:10">
      <c r="A1498" s="1">
        <v>40988</v>
      </c>
      <c r="B1498">
        <v>29.71</v>
      </c>
      <c r="C1498">
        <v>29.94</v>
      </c>
      <c r="D1498">
        <v>29.45</v>
      </c>
      <c r="E1498">
        <v>29.77</v>
      </c>
      <c r="F1498">
        <v>10456700</v>
      </c>
      <c r="G1498">
        <v>28.79</v>
      </c>
      <c r="H1498" t="s">
        <v>15</v>
      </c>
      <c r="I1498" s="22">
        <f t="shared" si="47"/>
        <v>-3.1212094005409188E-3</v>
      </c>
      <c r="J1498" s="22" t="str">
        <f t="shared" si="48"/>
        <v/>
      </c>
    </row>
    <row r="1499" spans="1:10">
      <c r="A1499" s="1">
        <v>40989</v>
      </c>
      <c r="B1499">
        <v>29.77</v>
      </c>
      <c r="C1499">
        <v>29.9</v>
      </c>
      <c r="D1499">
        <v>29.53</v>
      </c>
      <c r="E1499">
        <v>29.71</v>
      </c>
      <c r="F1499">
        <v>11039900</v>
      </c>
      <c r="G1499">
        <v>28.73</v>
      </c>
      <c r="H1499" t="s">
        <v>15</v>
      </c>
      <c r="I1499" s="22">
        <f t="shared" si="47"/>
        <v>-2.0862316328862768E-3</v>
      </c>
      <c r="J1499" s="22" t="str">
        <f t="shared" si="48"/>
        <v>lost money</v>
      </c>
    </row>
    <row r="1500" spans="1:10">
      <c r="A1500" s="1">
        <v>40990</v>
      </c>
      <c r="B1500">
        <v>29.56</v>
      </c>
      <c r="C1500">
        <v>29.9</v>
      </c>
      <c r="D1500">
        <v>29.53</v>
      </c>
      <c r="E1500">
        <v>29.89</v>
      </c>
      <c r="F1500">
        <v>12140300</v>
      </c>
      <c r="G1500">
        <v>28.91</v>
      </c>
      <c r="H1500" t="s">
        <v>15</v>
      </c>
      <c r="I1500" s="22">
        <f t="shared" si="47"/>
        <v>6.2456830370566053E-3</v>
      </c>
      <c r="J1500" s="22" t="str">
        <f t="shared" si="48"/>
        <v/>
      </c>
    </row>
    <row r="1501" spans="1:10">
      <c r="A1501" s="1">
        <v>40991</v>
      </c>
      <c r="B1501">
        <v>29.94</v>
      </c>
      <c r="C1501">
        <v>30</v>
      </c>
      <c r="D1501">
        <v>29.64</v>
      </c>
      <c r="E1501">
        <v>29.99</v>
      </c>
      <c r="F1501">
        <v>8386000</v>
      </c>
      <c r="G1501">
        <v>29</v>
      </c>
      <c r="H1501" t="s">
        <v>15</v>
      </c>
      <c r="I1501" s="22">
        <f t="shared" si="47"/>
        <v>3.1082739582192404E-3</v>
      </c>
      <c r="J1501" s="22" t="str">
        <f t="shared" si="48"/>
        <v/>
      </c>
    </row>
    <row r="1502" spans="1:10">
      <c r="A1502" s="1">
        <v>40994</v>
      </c>
      <c r="B1502">
        <v>30.09</v>
      </c>
      <c r="C1502">
        <v>30.39</v>
      </c>
      <c r="D1502">
        <v>29.95</v>
      </c>
      <c r="E1502">
        <v>30.35</v>
      </c>
      <c r="F1502">
        <v>13506700</v>
      </c>
      <c r="G1502">
        <v>29.35</v>
      </c>
      <c r="H1502" t="s">
        <v>15</v>
      </c>
      <c r="I1502" s="22">
        <f t="shared" si="47"/>
        <v>1.1996716287631506E-2</v>
      </c>
      <c r="J1502" s="22" t="str">
        <f t="shared" si="48"/>
        <v/>
      </c>
    </row>
    <row r="1503" spans="1:10">
      <c r="A1503" s="1">
        <v>40995</v>
      </c>
      <c r="B1503">
        <v>30.27</v>
      </c>
      <c r="C1503">
        <v>30.41</v>
      </c>
      <c r="D1503">
        <v>30.14</v>
      </c>
      <c r="E1503">
        <v>30.17</v>
      </c>
      <c r="F1503">
        <v>11838200</v>
      </c>
      <c r="G1503">
        <v>29.18</v>
      </c>
      <c r="H1503" t="s">
        <v>15</v>
      </c>
      <c r="I1503" s="22">
        <f t="shared" si="47"/>
        <v>-5.8090031794658945E-3</v>
      </c>
      <c r="J1503" s="22" t="str">
        <f t="shared" si="48"/>
        <v>lost money</v>
      </c>
    </row>
    <row r="1504" spans="1:10">
      <c r="A1504" s="1">
        <v>40996</v>
      </c>
      <c r="B1504">
        <v>30.05</v>
      </c>
      <c r="C1504">
        <v>30.2</v>
      </c>
      <c r="D1504">
        <v>29.82</v>
      </c>
      <c r="E1504">
        <v>29.92</v>
      </c>
      <c r="F1504">
        <v>13593500</v>
      </c>
      <c r="G1504">
        <v>28.94</v>
      </c>
      <c r="H1504" t="s">
        <v>15</v>
      </c>
      <c r="I1504" s="22">
        <f t="shared" si="47"/>
        <v>-8.2588218913017489E-3</v>
      </c>
      <c r="J1504" s="22" t="str">
        <f t="shared" si="48"/>
        <v>lost money</v>
      </c>
    </row>
    <row r="1505" spans="1:10">
      <c r="A1505" s="1">
        <v>40997</v>
      </c>
      <c r="B1505">
        <v>29.72</v>
      </c>
      <c r="C1505">
        <v>29.86</v>
      </c>
      <c r="D1505">
        <v>29.5</v>
      </c>
      <c r="E1505">
        <v>29.83</v>
      </c>
      <c r="F1505">
        <v>12244500</v>
      </c>
      <c r="G1505">
        <v>28.85</v>
      </c>
      <c r="H1505" t="s">
        <v>15</v>
      </c>
      <c r="I1505" s="22">
        <f t="shared" si="47"/>
        <v>-3.1147282492292668E-3</v>
      </c>
      <c r="J1505" s="22" t="str">
        <f t="shared" si="48"/>
        <v/>
      </c>
    </row>
    <row r="1506" spans="1:10">
      <c r="A1506" s="1">
        <v>40998</v>
      </c>
      <c r="B1506">
        <v>29.99</v>
      </c>
      <c r="C1506">
        <v>30.05</v>
      </c>
      <c r="D1506">
        <v>29.73</v>
      </c>
      <c r="E1506">
        <v>30.01</v>
      </c>
      <c r="F1506">
        <v>9841700</v>
      </c>
      <c r="G1506">
        <v>29.02</v>
      </c>
      <c r="H1506" t="s">
        <v>15</v>
      </c>
      <c r="I1506" s="22">
        <f t="shared" si="47"/>
        <v>5.8752545019332587E-3</v>
      </c>
      <c r="J1506" s="22" t="str">
        <f t="shared" si="48"/>
        <v/>
      </c>
    </row>
    <row r="1507" spans="1:10">
      <c r="A1507" s="1">
        <v>41001</v>
      </c>
      <c r="B1507">
        <v>29.75</v>
      </c>
      <c r="C1507">
        <v>30.15</v>
      </c>
      <c r="D1507">
        <v>29.57</v>
      </c>
      <c r="E1507">
        <v>30.05</v>
      </c>
      <c r="F1507">
        <v>11850600</v>
      </c>
      <c r="G1507">
        <v>29.22</v>
      </c>
      <c r="H1507" t="s">
        <v>15</v>
      </c>
      <c r="I1507" s="22">
        <f t="shared" si="47"/>
        <v>6.8681588665115111E-3</v>
      </c>
      <c r="J1507" s="22" t="str">
        <f t="shared" si="48"/>
        <v/>
      </c>
    </row>
    <row r="1508" spans="1:10">
      <c r="A1508" s="1">
        <v>41002</v>
      </c>
      <c r="B1508">
        <v>29.84</v>
      </c>
      <c r="C1508">
        <v>29.94</v>
      </c>
      <c r="D1508">
        <v>29.44</v>
      </c>
      <c r="E1508">
        <v>29.66</v>
      </c>
      <c r="F1508">
        <v>12841000</v>
      </c>
      <c r="G1508">
        <v>28.84</v>
      </c>
      <c r="H1508" t="s">
        <v>15</v>
      </c>
      <c r="I1508" s="22">
        <f t="shared" si="47"/>
        <v>-1.3090093905805048E-2</v>
      </c>
      <c r="J1508" s="22" t="str">
        <f t="shared" si="48"/>
        <v>lost money</v>
      </c>
    </row>
    <row r="1509" spans="1:10">
      <c r="A1509" s="1">
        <v>41003</v>
      </c>
      <c r="B1509">
        <v>29.5</v>
      </c>
      <c r="C1509">
        <v>29.57</v>
      </c>
      <c r="D1509">
        <v>29.09</v>
      </c>
      <c r="E1509">
        <v>29.32</v>
      </c>
      <c r="F1509">
        <v>11155200</v>
      </c>
      <c r="G1509">
        <v>28.51</v>
      </c>
      <c r="H1509" t="s">
        <v>15</v>
      </c>
      <c r="I1509" s="22">
        <f t="shared" si="47"/>
        <v>-1.1508409492167696E-2</v>
      </c>
      <c r="J1509" s="22" t="str">
        <f t="shared" si="48"/>
        <v>lost money</v>
      </c>
    </row>
    <row r="1510" spans="1:10">
      <c r="A1510" s="1">
        <v>41004</v>
      </c>
      <c r="B1510">
        <v>29.19</v>
      </c>
      <c r="C1510">
        <v>29.57</v>
      </c>
      <c r="D1510">
        <v>29.08</v>
      </c>
      <c r="E1510">
        <v>29.56</v>
      </c>
      <c r="F1510">
        <v>11289500</v>
      </c>
      <c r="G1510">
        <v>28.75</v>
      </c>
      <c r="H1510" t="s">
        <v>15</v>
      </c>
      <c r="I1510" s="22">
        <f t="shared" si="47"/>
        <v>8.3828643187786964E-3</v>
      </c>
      <c r="J1510" s="22" t="str">
        <f t="shared" si="48"/>
        <v/>
      </c>
    </row>
    <row r="1511" spans="1:10">
      <c r="A1511" s="1">
        <v>41008</v>
      </c>
      <c r="B1511">
        <v>29.13</v>
      </c>
      <c r="C1511">
        <v>29.43</v>
      </c>
      <c r="D1511">
        <v>29.01</v>
      </c>
      <c r="E1511">
        <v>29.33</v>
      </c>
      <c r="F1511">
        <v>10471700</v>
      </c>
      <c r="G1511">
        <v>28.52</v>
      </c>
      <c r="H1511" t="s">
        <v>15</v>
      </c>
      <c r="I1511" s="22">
        <f t="shared" si="47"/>
        <v>-8.0321716972642666E-3</v>
      </c>
      <c r="J1511" s="22" t="str">
        <f t="shared" si="48"/>
        <v/>
      </c>
    </row>
    <row r="1512" spans="1:10">
      <c r="A1512" s="1">
        <v>41009</v>
      </c>
      <c r="B1512">
        <v>29.18</v>
      </c>
      <c r="C1512">
        <v>29.22</v>
      </c>
      <c r="D1512">
        <v>28.54</v>
      </c>
      <c r="E1512">
        <v>28.65</v>
      </c>
      <c r="F1512">
        <v>12425300</v>
      </c>
      <c r="G1512">
        <v>27.86</v>
      </c>
      <c r="H1512" t="s">
        <v>15</v>
      </c>
      <c r="I1512" s="22">
        <f t="shared" si="47"/>
        <v>-2.3413627194435561E-2</v>
      </c>
      <c r="J1512" s="22" t="str">
        <f t="shared" si="48"/>
        <v>lost money</v>
      </c>
    </row>
    <row r="1513" spans="1:10">
      <c r="A1513" s="1">
        <v>41010</v>
      </c>
      <c r="B1513">
        <v>28.87</v>
      </c>
      <c r="C1513">
        <v>29.08</v>
      </c>
      <c r="D1513">
        <v>28.73</v>
      </c>
      <c r="E1513">
        <v>28.98</v>
      </c>
      <c r="F1513">
        <v>9116200</v>
      </c>
      <c r="G1513">
        <v>28.18</v>
      </c>
      <c r="H1513" t="s">
        <v>15</v>
      </c>
      <c r="I1513" s="22">
        <f t="shared" si="47"/>
        <v>1.1420538118874628E-2</v>
      </c>
      <c r="J1513" s="22" t="str">
        <f t="shared" si="48"/>
        <v/>
      </c>
    </row>
    <row r="1514" spans="1:10">
      <c r="A1514" s="1">
        <v>41011</v>
      </c>
      <c r="B1514">
        <v>29.05</v>
      </c>
      <c r="C1514">
        <v>29.77</v>
      </c>
      <c r="D1514">
        <v>28.95</v>
      </c>
      <c r="E1514">
        <v>29.68</v>
      </c>
      <c r="F1514">
        <v>14479900</v>
      </c>
      <c r="G1514">
        <v>28.86</v>
      </c>
      <c r="H1514" t="s">
        <v>15</v>
      </c>
      <c r="I1514" s="22">
        <f t="shared" si="47"/>
        <v>2.3844046875190612E-2</v>
      </c>
      <c r="J1514" s="22" t="str">
        <f t="shared" si="48"/>
        <v/>
      </c>
    </row>
    <row r="1515" spans="1:10">
      <c r="A1515" s="1">
        <v>41012</v>
      </c>
      <c r="B1515">
        <v>29.64</v>
      </c>
      <c r="C1515">
        <v>29.78</v>
      </c>
      <c r="D1515">
        <v>29.48</v>
      </c>
      <c r="E1515">
        <v>29.5</v>
      </c>
      <c r="F1515">
        <v>11579600</v>
      </c>
      <c r="G1515">
        <v>28.69</v>
      </c>
      <c r="H1515" t="s">
        <v>15</v>
      </c>
      <c r="I1515" s="22">
        <f t="shared" si="47"/>
        <v>-5.9079233524513839E-3</v>
      </c>
      <c r="J1515" s="22" t="str">
        <f t="shared" si="48"/>
        <v>lost money</v>
      </c>
    </row>
    <row r="1516" spans="1:10">
      <c r="A1516" s="1">
        <v>41015</v>
      </c>
      <c r="B1516">
        <v>29.58</v>
      </c>
      <c r="C1516">
        <v>29.84</v>
      </c>
      <c r="D1516">
        <v>29.49</v>
      </c>
      <c r="E1516">
        <v>29.77</v>
      </c>
      <c r="F1516">
        <v>9150800</v>
      </c>
      <c r="G1516">
        <v>28.95</v>
      </c>
      <c r="H1516" t="s">
        <v>15</v>
      </c>
      <c r="I1516" s="22">
        <f t="shared" si="47"/>
        <v>9.0215740257307241E-3</v>
      </c>
      <c r="J1516" s="22" t="str">
        <f t="shared" si="48"/>
        <v/>
      </c>
    </row>
    <row r="1517" spans="1:10">
      <c r="A1517" s="1">
        <v>41016</v>
      </c>
      <c r="B1517">
        <v>29.88</v>
      </c>
      <c r="C1517">
        <v>30.19</v>
      </c>
      <c r="D1517">
        <v>29.71</v>
      </c>
      <c r="E1517">
        <v>30.09</v>
      </c>
      <c r="F1517">
        <v>8797700</v>
      </c>
      <c r="G1517">
        <v>29.26</v>
      </c>
      <c r="H1517" t="s">
        <v>15</v>
      </c>
      <c r="I1517" s="22">
        <f t="shared" si="47"/>
        <v>1.0651191572974053E-2</v>
      </c>
      <c r="J1517" s="22" t="str">
        <f t="shared" si="48"/>
        <v/>
      </c>
    </row>
    <row r="1518" spans="1:10">
      <c r="A1518" s="1">
        <v>41017</v>
      </c>
      <c r="B1518">
        <v>29.94</v>
      </c>
      <c r="C1518">
        <v>30.03</v>
      </c>
      <c r="D1518">
        <v>29.8</v>
      </c>
      <c r="E1518">
        <v>29.86</v>
      </c>
      <c r="F1518">
        <v>9075800</v>
      </c>
      <c r="G1518">
        <v>29.04</v>
      </c>
      <c r="H1518" t="s">
        <v>15</v>
      </c>
      <c r="I1518" s="22">
        <f t="shared" si="47"/>
        <v>-7.5472056353829663E-3</v>
      </c>
      <c r="J1518" s="22" t="str">
        <f t="shared" si="48"/>
        <v>lost money</v>
      </c>
    </row>
    <row r="1519" spans="1:10">
      <c r="A1519" s="1">
        <v>41018</v>
      </c>
      <c r="B1519">
        <v>29.69</v>
      </c>
      <c r="C1519">
        <v>30.05</v>
      </c>
      <c r="D1519">
        <v>29.42</v>
      </c>
      <c r="E1519">
        <v>29.48</v>
      </c>
      <c r="F1519">
        <v>11594600</v>
      </c>
      <c r="G1519">
        <v>28.67</v>
      </c>
      <c r="H1519" t="s">
        <v>15</v>
      </c>
      <c r="I1519" s="22">
        <f t="shared" si="47"/>
        <v>-1.282291006131682E-2</v>
      </c>
      <c r="J1519" s="22" t="str">
        <f t="shared" si="48"/>
        <v>lost money</v>
      </c>
    </row>
    <row r="1520" spans="1:10">
      <c r="A1520" s="1">
        <v>41019</v>
      </c>
      <c r="B1520">
        <v>29.55</v>
      </c>
      <c r="C1520">
        <v>29.76</v>
      </c>
      <c r="D1520">
        <v>29.42</v>
      </c>
      <c r="E1520">
        <v>29.45</v>
      </c>
      <c r="F1520">
        <v>14085600</v>
      </c>
      <c r="G1520">
        <v>28.64</v>
      </c>
      <c r="H1520" t="s">
        <v>15</v>
      </c>
      <c r="I1520" s="22">
        <f t="shared" si="47"/>
        <v>-1.0469378028336123E-3</v>
      </c>
      <c r="J1520" s="22" t="str">
        <f t="shared" si="48"/>
        <v>lost money</v>
      </c>
    </row>
    <row r="1521" spans="1:10">
      <c r="A1521" s="1">
        <v>41022</v>
      </c>
      <c r="B1521">
        <v>29.28</v>
      </c>
      <c r="C1521">
        <v>29.28</v>
      </c>
      <c r="D1521">
        <v>28.85</v>
      </c>
      <c r="E1521">
        <v>29.04</v>
      </c>
      <c r="F1521">
        <v>14872700</v>
      </c>
      <c r="G1521">
        <v>28.24</v>
      </c>
      <c r="H1521" t="s">
        <v>15</v>
      </c>
      <c r="I1521" s="22">
        <f t="shared" si="47"/>
        <v>-1.4064929467403665E-2</v>
      </c>
      <c r="J1521" s="22" t="str">
        <f t="shared" si="48"/>
        <v>lost money</v>
      </c>
    </row>
    <row r="1522" spans="1:10">
      <c r="A1522" s="1">
        <v>41023</v>
      </c>
      <c r="B1522">
        <v>29.18</v>
      </c>
      <c r="C1522">
        <v>29.5</v>
      </c>
      <c r="D1522">
        <v>29.13</v>
      </c>
      <c r="E1522">
        <v>29.35</v>
      </c>
      <c r="F1522">
        <v>11814200</v>
      </c>
      <c r="G1522">
        <v>28.54</v>
      </c>
      <c r="H1522" t="s">
        <v>15</v>
      </c>
      <c r="I1522" s="22">
        <f t="shared" si="47"/>
        <v>1.0567199423648969E-2</v>
      </c>
      <c r="J1522" s="22" t="str">
        <f t="shared" si="48"/>
        <v/>
      </c>
    </row>
    <row r="1523" spans="1:10">
      <c r="A1523" s="1">
        <v>41024</v>
      </c>
      <c r="B1523">
        <v>29.6</v>
      </c>
      <c r="C1523">
        <v>29.74</v>
      </c>
      <c r="D1523">
        <v>29.38</v>
      </c>
      <c r="E1523">
        <v>29.65</v>
      </c>
      <c r="F1523">
        <v>10984000</v>
      </c>
      <c r="G1523">
        <v>28.83</v>
      </c>
      <c r="H1523" t="s">
        <v>15</v>
      </c>
      <c r="I1523" s="22">
        <f t="shared" si="47"/>
        <v>1.0109899601620455E-2</v>
      </c>
      <c r="J1523" s="22" t="str">
        <f t="shared" si="48"/>
        <v/>
      </c>
    </row>
    <row r="1524" spans="1:10">
      <c r="A1524" s="1">
        <v>41025</v>
      </c>
      <c r="B1524">
        <v>29.52</v>
      </c>
      <c r="C1524">
        <v>30.34</v>
      </c>
      <c r="D1524">
        <v>29.51</v>
      </c>
      <c r="E1524">
        <v>30.24</v>
      </c>
      <c r="F1524">
        <v>18288400</v>
      </c>
      <c r="G1524">
        <v>29.41</v>
      </c>
      <c r="H1524" t="s">
        <v>15</v>
      </c>
      <c r="I1524" s="22">
        <f t="shared" si="47"/>
        <v>1.9918240915592911E-2</v>
      </c>
      <c r="J1524" s="22" t="str">
        <f t="shared" si="48"/>
        <v/>
      </c>
    </row>
    <row r="1525" spans="1:10">
      <c r="A1525" s="1">
        <v>41026</v>
      </c>
      <c r="B1525">
        <v>30.29</v>
      </c>
      <c r="C1525">
        <v>30.44</v>
      </c>
      <c r="D1525">
        <v>29.89</v>
      </c>
      <c r="E1525">
        <v>30.28</v>
      </c>
      <c r="F1525">
        <v>14600500</v>
      </c>
      <c r="G1525">
        <v>29.45</v>
      </c>
      <c r="H1525" t="s">
        <v>15</v>
      </c>
      <c r="I1525" s="22">
        <f t="shared" si="47"/>
        <v>1.3591575316919615E-3</v>
      </c>
      <c r="J1525" s="22" t="str">
        <f t="shared" si="48"/>
        <v>lost money</v>
      </c>
    </row>
    <row r="1526" spans="1:10">
      <c r="A1526" s="1">
        <v>41029</v>
      </c>
      <c r="B1526">
        <v>30.21</v>
      </c>
      <c r="C1526">
        <v>30.46</v>
      </c>
      <c r="D1526">
        <v>30.17</v>
      </c>
      <c r="E1526">
        <v>30.35</v>
      </c>
      <c r="F1526">
        <v>8639000</v>
      </c>
      <c r="G1526">
        <v>29.51</v>
      </c>
      <c r="H1526" t="s">
        <v>15</v>
      </c>
      <c r="I1526" s="22">
        <f t="shared" si="47"/>
        <v>2.0352788572523942E-3</v>
      </c>
      <c r="J1526" s="22" t="str">
        <f t="shared" si="48"/>
        <v/>
      </c>
    </row>
    <row r="1527" spans="1:10">
      <c r="A1527" s="1">
        <v>41030</v>
      </c>
      <c r="B1527">
        <v>30.28</v>
      </c>
      <c r="C1527">
        <v>30.88</v>
      </c>
      <c r="D1527">
        <v>30.26</v>
      </c>
      <c r="E1527">
        <v>30.6</v>
      </c>
      <c r="F1527">
        <v>21826900</v>
      </c>
      <c r="G1527">
        <v>29.76</v>
      </c>
      <c r="H1527" t="s">
        <v>15</v>
      </c>
      <c r="I1527" s="22">
        <f t="shared" si="47"/>
        <v>8.436021010043173E-3</v>
      </c>
      <c r="J1527" s="22" t="str">
        <f t="shared" si="48"/>
        <v/>
      </c>
    </row>
    <row r="1528" spans="1:10">
      <c r="A1528" s="1">
        <v>41031</v>
      </c>
      <c r="B1528">
        <v>30.16</v>
      </c>
      <c r="C1528">
        <v>30.56</v>
      </c>
      <c r="D1528">
        <v>29.54</v>
      </c>
      <c r="E1528">
        <v>30.42</v>
      </c>
      <c r="F1528">
        <v>28301400</v>
      </c>
      <c r="G1528">
        <v>29.58</v>
      </c>
      <c r="H1528" t="s">
        <v>15</v>
      </c>
      <c r="I1528" s="22">
        <f t="shared" si="47"/>
        <v>-6.0667526822375381E-3</v>
      </c>
      <c r="J1528" s="22" t="str">
        <f t="shared" si="48"/>
        <v/>
      </c>
    </row>
    <row r="1529" spans="1:10">
      <c r="A1529" s="1">
        <v>41032</v>
      </c>
      <c r="B1529">
        <v>30.5</v>
      </c>
      <c r="C1529">
        <v>30.75</v>
      </c>
      <c r="D1529">
        <v>30.14</v>
      </c>
      <c r="E1529">
        <v>30.36</v>
      </c>
      <c r="F1529">
        <v>13456800</v>
      </c>
      <c r="G1529">
        <v>29.52</v>
      </c>
      <c r="H1529" t="s">
        <v>15</v>
      </c>
      <c r="I1529" s="22">
        <f t="shared" si="47"/>
        <v>-2.0304575503819517E-3</v>
      </c>
      <c r="J1529" s="22" t="str">
        <f t="shared" si="48"/>
        <v>lost money</v>
      </c>
    </row>
    <row r="1530" spans="1:10">
      <c r="A1530" s="1">
        <v>41033</v>
      </c>
      <c r="B1530">
        <v>30.03</v>
      </c>
      <c r="C1530">
        <v>30.19</v>
      </c>
      <c r="D1530">
        <v>29.43</v>
      </c>
      <c r="E1530">
        <v>29.45</v>
      </c>
      <c r="F1530">
        <v>16019800</v>
      </c>
      <c r="G1530">
        <v>28.64</v>
      </c>
      <c r="H1530" t="s">
        <v>15</v>
      </c>
      <c r="I1530" s="22">
        <f t="shared" si="47"/>
        <v>-3.0263657639826819E-2</v>
      </c>
      <c r="J1530" s="22" t="str">
        <f t="shared" si="48"/>
        <v>lost money</v>
      </c>
    </row>
    <row r="1531" spans="1:10">
      <c r="A1531" s="1">
        <v>41036</v>
      </c>
      <c r="B1531">
        <v>29.25</v>
      </c>
      <c r="C1531">
        <v>29.79</v>
      </c>
      <c r="D1531">
        <v>29.12</v>
      </c>
      <c r="E1531">
        <v>29.63</v>
      </c>
      <c r="F1531">
        <v>12667600</v>
      </c>
      <c r="G1531">
        <v>28.81</v>
      </c>
      <c r="H1531" t="s">
        <v>15</v>
      </c>
      <c r="I1531" s="22">
        <f t="shared" si="47"/>
        <v>5.9182070039921911E-3</v>
      </c>
      <c r="J1531" s="22" t="str">
        <f t="shared" si="48"/>
        <v/>
      </c>
    </row>
    <row r="1532" spans="1:10">
      <c r="A1532" s="1">
        <v>41037</v>
      </c>
      <c r="B1532">
        <v>29.51</v>
      </c>
      <c r="C1532">
        <v>29.66</v>
      </c>
      <c r="D1532">
        <v>29.12</v>
      </c>
      <c r="E1532">
        <v>29.4</v>
      </c>
      <c r="F1532">
        <v>15597500</v>
      </c>
      <c r="G1532">
        <v>28.59</v>
      </c>
      <c r="H1532" t="s">
        <v>15</v>
      </c>
      <c r="I1532" s="22">
        <f t="shared" si="47"/>
        <v>-7.665542762216585E-3</v>
      </c>
      <c r="J1532" s="22" t="str">
        <f t="shared" si="48"/>
        <v>lost money</v>
      </c>
    </row>
    <row r="1533" spans="1:10">
      <c r="A1533" s="1">
        <v>41038</v>
      </c>
      <c r="B1533">
        <v>29.12</v>
      </c>
      <c r="C1533">
        <v>29.45</v>
      </c>
      <c r="D1533">
        <v>29.05</v>
      </c>
      <c r="E1533">
        <v>29.17</v>
      </c>
      <c r="F1533">
        <v>14891200</v>
      </c>
      <c r="G1533">
        <v>28.37</v>
      </c>
      <c r="H1533" t="s">
        <v>15</v>
      </c>
      <c r="I1533" s="22">
        <f t="shared" si="47"/>
        <v>-7.7247575134604249E-3</v>
      </c>
      <c r="J1533" s="22" t="str">
        <f t="shared" si="48"/>
        <v/>
      </c>
    </row>
    <row r="1534" spans="1:10">
      <c r="A1534" s="1">
        <v>41039</v>
      </c>
      <c r="B1534">
        <v>29.4</v>
      </c>
      <c r="C1534">
        <v>29.72</v>
      </c>
      <c r="D1534">
        <v>29.32</v>
      </c>
      <c r="E1534">
        <v>29.63</v>
      </c>
      <c r="F1534">
        <v>11965500</v>
      </c>
      <c r="G1534">
        <v>28.81</v>
      </c>
      <c r="H1534" t="s">
        <v>15</v>
      </c>
      <c r="I1534" s="22">
        <f t="shared" si="47"/>
        <v>1.5390300275676977E-2</v>
      </c>
      <c r="J1534" s="22" t="str">
        <f t="shared" si="48"/>
        <v/>
      </c>
    </row>
    <row r="1535" spans="1:10">
      <c r="A1535" s="1">
        <v>41040</v>
      </c>
      <c r="B1535">
        <v>29.56</v>
      </c>
      <c r="C1535">
        <v>29.82</v>
      </c>
      <c r="D1535">
        <v>29.37</v>
      </c>
      <c r="E1535">
        <v>29.38</v>
      </c>
      <c r="F1535">
        <v>10792700</v>
      </c>
      <c r="G1535">
        <v>28.57</v>
      </c>
      <c r="H1535" t="s">
        <v>15</v>
      </c>
      <c r="I1535" s="22">
        <f t="shared" si="47"/>
        <v>-8.3653328537554097E-3</v>
      </c>
      <c r="J1535" s="22" t="str">
        <f t="shared" si="48"/>
        <v>lost money</v>
      </c>
    </row>
    <row r="1536" spans="1:10">
      <c r="A1536" s="1">
        <v>41043</v>
      </c>
      <c r="B1536">
        <v>29.19</v>
      </c>
      <c r="C1536">
        <v>29.33</v>
      </c>
      <c r="D1536">
        <v>28.82</v>
      </c>
      <c r="E1536">
        <v>28.89</v>
      </c>
      <c r="F1536">
        <v>14271200</v>
      </c>
      <c r="G1536">
        <v>28.09</v>
      </c>
      <c r="H1536" t="s">
        <v>15</v>
      </c>
      <c r="I1536" s="22">
        <f t="shared" si="47"/>
        <v>-1.6943575126529411E-2</v>
      </c>
      <c r="J1536" s="22" t="str">
        <f t="shared" si="48"/>
        <v>lost money</v>
      </c>
    </row>
    <row r="1537" spans="1:10">
      <c r="A1537" s="1">
        <v>41044</v>
      </c>
      <c r="B1537">
        <v>28.89</v>
      </c>
      <c r="C1537">
        <v>29.33</v>
      </c>
      <c r="D1537">
        <v>28.73</v>
      </c>
      <c r="E1537">
        <v>28.85</v>
      </c>
      <c r="F1537">
        <v>11380900</v>
      </c>
      <c r="G1537">
        <v>28.05</v>
      </c>
      <c r="H1537" t="s">
        <v>15</v>
      </c>
      <c r="I1537" s="22">
        <f t="shared" si="47"/>
        <v>-1.4250091474469293E-3</v>
      </c>
      <c r="J1537" s="22" t="str">
        <f t="shared" si="48"/>
        <v>lost money</v>
      </c>
    </row>
    <row r="1538" spans="1:10">
      <c r="A1538" s="1">
        <v>41045</v>
      </c>
      <c r="B1538">
        <v>28.89</v>
      </c>
      <c r="C1538">
        <v>29.2</v>
      </c>
      <c r="D1538">
        <v>28.81</v>
      </c>
      <c r="E1538">
        <v>28.85</v>
      </c>
      <c r="F1538">
        <v>11392300</v>
      </c>
      <c r="G1538">
        <v>28.05</v>
      </c>
      <c r="H1538" t="s">
        <v>15</v>
      </c>
      <c r="I1538" s="22">
        <f t="shared" si="47"/>
        <v>0</v>
      </c>
      <c r="J1538" s="22" t="str">
        <f t="shared" si="48"/>
        <v>lost money</v>
      </c>
    </row>
    <row r="1539" spans="1:10">
      <c r="A1539" s="1">
        <v>41046</v>
      </c>
      <c r="B1539">
        <v>28.83</v>
      </c>
      <c r="C1539">
        <v>28.86</v>
      </c>
      <c r="D1539">
        <v>28.35</v>
      </c>
      <c r="E1539">
        <v>28.35</v>
      </c>
      <c r="F1539">
        <v>9804100</v>
      </c>
      <c r="G1539">
        <v>27.57</v>
      </c>
      <c r="H1539" t="s">
        <v>15</v>
      </c>
      <c r="I1539" s="22">
        <f t="shared" ref="I1539:I1602" si="49">IF(A1539=$A$2,"",LN(G1539/G1538))</f>
        <v>-1.726040693299993E-2</v>
      </c>
      <c r="J1539" s="22" t="str">
        <f t="shared" ref="J1539:J1602" si="50">IF(B1539&gt;E1539,"lost money","")</f>
        <v>lost money</v>
      </c>
    </row>
    <row r="1540" spans="1:10">
      <c r="A1540" s="1">
        <v>41047</v>
      </c>
      <c r="B1540">
        <v>28.48</v>
      </c>
      <c r="C1540">
        <v>28.63</v>
      </c>
      <c r="D1540">
        <v>28.18</v>
      </c>
      <c r="E1540">
        <v>28.28</v>
      </c>
      <c r="F1540">
        <v>16567400</v>
      </c>
      <c r="G1540">
        <v>27.5</v>
      </c>
      <c r="H1540" t="s">
        <v>15</v>
      </c>
      <c r="I1540" s="22">
        <f t="shared" si="49"/>
        <v>-2.5422203631797792E-3</v>
      </c>
      <c r="J1540" s="22" t="str">
        <f t="shared" si="50"/>
        <v>lost money</v>
      </c>
    </row>
    <row r="1541" spans="1:10">
      <c r="A1541" s="1">
        <v>41050</v>
      </c>
      <c r="B1541">
        <v>28.28</v>
      </c>
      <c r="C1541">
        <v>28.75</v>
      </c>
      <c r="D1541">
        <v>28.09</v>
      </c>
      <c r="E1541">
        <v>28.71</v>
      </c>
      <c r="F1541">
        <v>10508100</v>
      </c>
      <c r="G1541">
        <v>27.92</v>
      </c>
      <c r="H1541" t="s">
        <v>15</v>
      </c>
      <c r="I1541" s="22">
        <f t="shared" si="49"/>
        <v>1.5157273221646167E-2</v>
      </c>
      <c r="J1541" s="22" t="str">
        <f t="shared" si="50"/>
        <v/>
      </c>
    </row>
    <row r="1542" spans="1:10">
      <c r="A1542" s="1">
        <v>41051</v>
      </c>
      <c r="B1542">
        <v>28.71</v>
      </c>
      <c r="C1542">
        <v>29.12</v>
      </c>
      <c r="D1542">
        <v>28.62</v>
      </c>
      <c r="E1542">
        <v>28.94</v>
      </c>
      <c r="F1542">
        <v>11941300</v>
      </c>
      <c r="G1542">
        <v>28.14</v>
      </c>
      <c r="H1542" t="s">
        <v>15</v>
      </c>
      <c r="I1542" s="22">
        <f t="shared" si="49"/>
        <v>7.8487737920712036E-3</v>
      </c>
      <c r="J1542" s="22" t="str">
        <f t="shared" si="50"/>
        <v/>
      </c>
    </row>
    <row r="1543" spans="1:10">
      <c r="A1543" s="1">
        <v>41052</v>
      </c>
      <c r="B1543">
        <v>28.73</v>
      </c>
      <c r="C1543">
        <v>28.84</v>
      </c>
      <c r="D1543">
        <v>28.39</v>
      </c>
      <c r="E1543">
        <v>28.79</v>
      </c>
      <c r="F1543">
        <v>10200000</v>
      </c>
      <c r="G1543">
        <v>28</v>
      </c>
      <c r="H1543" t="s">
        <v>15</v>
      </c>
      <c r="I1543" s="22">
        <f t="shared" si="49"/>
        <v>-4.9875415110390512E-3</v>
      </c>
      <c r="J1543" s="22" t="str">
        <f t="shared" si="50"/>
        <v/>
      </c>
    </row>
    <row r="1544" spans="1:10">
      <c r="A1544" s="1">
        <v>41053</v>
      </c>
      <c r="B1544">
        <v>28.82</v>
      </c>
      <c r="C1544">
        <v>29.17</v>
      </c>
      <c r="D1544">
        <v>28.69</v>
      </c>
      <c r="E1544">
        <v>28.93</v>
      </c>
      <c r="F1544">
        <v>12747600</v>
      </c>
      <c r="G1544">
        <v>28.13</v>
      </c>
      <c r="H1544" t="s">
        <v>15</v>
      </c>
      <c r="I1544" s="22">
        <f t="shared" si="49"/>
        <v>4.6321123265615849E-3</v>
      </c>
      <c r="J1544" s="22" t="str">
        <f t="shared" si="50"/>
        <v/>
      </c>
    </row>
    <row r="1545" spans="1:10">
      <c r="A1545" s="1">
        <v>41054</v>
      </c>
      <c r="B1545">
        <v>29</v>
      </c>
      <c r="C1545">
        <v>29.15</v>
      </c>
      <c r="D1545">
        <v>28.7</v>
      </c>
      <c r="E1545">
        <v>28.85</v>
      </c>
      <c r="F1545">
        <v>9329200</v>
      </c>
      <c r="G1545">
        <v>28.05</v>
      </c>
      <c r="H1545" t="s">
        <v>15</v>
      </c>
      <c r="I1545" s="22">
        <f t="shared" si="49"/>
        <v>-2.8479905330600799E-3</v>
      </c>
      <c r="J1545" s="22" t="str">
        <f t="shared" si="50"/>
        <v>lost money</v>
      </c>
    </row>
    <row r="1546" spans="1:10">
      <c r="A1546" s="1">
        <v>41058</v>
      </c>
      <c r="B1546">
        <v>28.97</v>
      </c>
      <c r="C1546">
        <v>29.28</v>
      </c>
      <c r="D1546">
        <v>28.84</v>
      </c>
      <c r="E1546">
        <v>29.22</v>
      </c>
      <c r="F1546">
        <v>9905600</v>
      </c>
      <c r="G1546">
        <v>28.41</v>
      </c>
      <c r="H1546" t="s">
        <v>15</v>
      </c>
      <c r="I1546" s="22">
        <f t="shared" si="49"/>
        <v>1.2752563897391119E-2</v>
      </c>
      <c r="J1546" s="22" t="str">
        <f t="shared" si="50"/>
        <v/>
      </c>
    </row>
    <row r="1547" spans="1:10">
      <c r="A1547" s="1">
        <v>41059</v>
      </c>
      <c r="B1547">
        <v>29.03</v>
      </c>
      <c r="C1547">
        <v>29.17</v>
      </c>
      <c r="D1547">
        <v>28.9</v>
      </c>
      <c r="E1547">
        <v>28.95</v>
      </c>
      <c r="F1547">
        <v>10299800</v>
      </c>
      <c r="G1547">
        <v>28.15</v>
      </c>
      <c r="H1547" t="s">
        <v>15</v>
      </c>
      <c r="I1547" s="22">
        <f t="shared" si="49"/>
        <v>-9.1938412803972223E-3</v>
      </c>
      <c r="J1547" s="22" t="str">
        <f t="shared" si="50"/>
        <v>lost money</v>
      </c>
    </row>
    <row r="1548" spans="1:10">
      <c r="A1548" s="1">
        <v>41060</v>
      </c>
      <c r="B1548">
        <v>28.95</v>
      </c>
      <c r="C1548">
        <v>29.18</v>
      </c>
      <c r="D1548">
        <v>28.72</v>
      </c>
      <c r="E1548">
        <v>28.91</v>
      </c>
      <c r="F1548">
        <v>13206900</v>
      </c>
      <c r="G1548">
        <v>28.11</v>
      </c>
      <c r="H1548" t="s">
        <v>15</v>
      </c>
      <c r="I1548" s="22">
        <f t="shared" si="49"/>
        <v>-1.4219696672588267E-3</v>
      </c>
      <c r="J1548" s="22" t="str">
        <f t="shared" si="50"/>
        <v>lost money</v>
      </c>
    </row>
    <row r="1549" spans="1:10">
      <c r="A1549" s="1">
        <v>41061</v>
      </c>
      <c r="B1549">
        <v>28.57</v>
      </c>
      <c r="C1549">
        <v>28.84</v>
      </c>
      <c r="D1549">
        <v>28.34</v>
      </c>
      <c r="E1549">
        <v>28.63</v>
      </c>
      <c r="F1549">
        <v>20663400</v>
      </c>
      <c r="G1549">
        <v>27.84</v>
      </c>
      <c r="H1549" t="s">
        <v>15</v>
      </c>
      <c r="I1549" s="22">
        <f t="shared" si="49"/>
        <v>-9.6515494522215854E-3</v>
      </c>
      <c r="J1549" s="22" t="str">
        <f t="shared" si="50"/>
        <v/>
      </c>
    </row>
    <row r="1550" spans="1:10">
      <c r="A1550" s="1">
        <v>41064</v>
      </c>
      <c r="B1550">
        <v>28.7</v>
      </c>
      <c r="C1550">
        <v>29.05</v>
      </c>
      <c r="D1550">
        <v>28.64</v>
      </c>
      <c r="E1550">
        <v>28.95</v>
      </c>
      <c r="F1550">
        <v>21242800</v>
      </c>
      <c r="G1550">
        <v>28.15</v>
      </c>
      <c r="H1550" t="s">
        <v>15</v>
      </c>
      <c r="I1550" s="22">
        <f t="shared" si="49"/>
        <v>1.1073519119480433E-2</v>
      </c>
      <c r="J1550" s="22" t="str">
        <f t="shared" si="50"/>
        <v/>
      </c>
    </row>
    <row r="1551" spans="1:10">
      <c r="A1551" s="1">
        <v>41065</v>
      </c>
      <c r="B1551">
        <v>28.9</v>
      </c>
      <c r="C1551">
        <v>29.1</v>
      </c>
      <c r="D1551">
        <v>28.81</v>
      </c>
      <c r="E1551">
        <v>29.03</v>
      </c>
      <c r="F1551">
        <v>13755800</v>
      </c>
      <c r="G1551">
        <v>28.23</v>
      </c>
      <c r="H1551" t="s">
        <v>15</v>
      </c>
      <c r="I1551" s="22">
        <f t="shared" si="49"/>
        <v>2.83788767969869E-3</v>
      </c>
      <c r="J1551" s="22" t="str">
        <f t="shared" si="50"/>
        <v/>
      </c>
    </row>
    <row r="1552" spans="1:10">
      <c r="A1552" s="1">
        <v>41066</v>
      </c>
      <c r="B1552">
        <v>29.13</v>
      </c>
      <c r="C1552">
        <v>29.77</v>
      </c>
      <c r="D1552">
        <v>29.04</v>
      </c>
      <c r="E1552">
        <v>29.76</v>
      </c>
      <c r="F1552">
        <v>13231900</v>
      </c>
      <c r="G1552">
        <v>28.94</v>
      </c>
      <c r="H1552" t="s">
        <v>15</v>
      </c>
      <c r="I1552" s="22">
        <f t="shared" si="49"/>
        <v>2.4839478937939963E-2</v>
      </c>
      <c r="J1552" s="22" t="str">
        <f t="shared" si="50"/>
        <v/>
      </c>
    </row>
    <row r="1553" spans="1:10">
      <c r="A1553" s="1">
        <v>41067</v>
      </c>
      <c r="B1553">
        <v>30.1</v>
      </c>
      <c r="C1553">
        <v>30.29</v>
      </c>
      <c r="D1553">
        <v>29.91</v>
      </c>
      <c r="E1553">
        <v>30.01</v>
      </c>
      <c r="F1553">
        <v>16884400</v>
      </c>
      <c r="G1553">
        <v>29.18</v>
      </c>
      <c r="H1553" t="s">
        <v>15</v>
      </c>
      <c r="I1553" s="22">
        <f t="shared" si="49"/>
        <v>8.2588218913017229E-3</v>
      </c>
      <c r="J1553" s="22" t="str">
        <f t="shared" si="50"/>
        <v>lost money</v>
      </c>
    </row>
    <row r="1554" spans="1:10">
      <c r="A1554" s="1">
        <v>41068</v>
      </c>
      <c r="B1554">
        <v>29.83</v>
      </c>
      <c r="C1554">
        <v>30.33</v>
      </c>
      <c r="D1554">
        <v>29.82</v>
      </c>
      <c r="E1554">
        <v>30.27</v>
      </c>
      <c r="F1554">
        <v>15217900</v>
      </c>
      <c r="G1554">
        <v>29.44</v>
      </c>
      <c r="H1554" t="s">
        <v>15</v>
      </c>
      <c r="I1554" s="22">
        <f t="shared" si="49"/>
        <v>8.8707507660358998E-3</v>
      </c>
      <c r="J1554" s="22" t="str">
        <f t="shared" si="50"/>
        <v/>
      </c>
    </row>
    <row r="1555" spans="1:10">
      <c r="A1555" s="1">
        <v>41071</v>
      </c>
      <c r="B1555">
        <v>30.43</v>
      </c>
      <c r="C1555">
        <v>30.6</v>
      </c>
      <c r="D1555">
        <v>29.9</v>
      </c>
      <c r="E1555">
        <v>29.94</v>
      </c>
      <c r="F1555">
        <v>11870200</v>
      </c>
      <c r="G1555">
        <v>29.11</v>
      </c>
      <c r="H1555" t="s">
        <v>15</v>
      </c>
      <c r="I1555" s="22">
        <f t="shared" si="49"/>
        <v>-1.1272536103143662E-2</v>
      </c>
      <c r="J1555" s="22" t="str">
        <f t="shared" si="50"/>
        <v>lost money</v>
      </c>
    </row>
    <row r="1556" spans="1:10">
      <c r="A1556" s="1">
        <v>41072</v>
      </c>
      <c r="B1556">
        <v>30.13</v>
      </c>
      <c r="C1556">
        <v>30.47</v>
      </c>
      <c r="D1556">
        <v>29.92</v>
      </c>
      <c r="E1556">
        <v>30.45</v>
      </c>
      <c r="F1556">
        <v>24975800</v>
      </c>
      <c r="G1556">
        <v>29.61</v>
      </c>
      <c r="H1556" t="s">
        <v>15</v>
      </c>
      <c r="I1556" s="22">
        <f t="shared" si="49"/>
        <v>1.7030384355968042E-2</v>
      </c>
      <c r="J1556" s="22" t="str">
        <f t="shared" si="50"/>
        <v/>
      </c>
    </row>
    <row r="1557" spans="1:10">
      <c r="A1557" s="1">
        <v>41073</v>
      </c>
      <c r="B1557">
        <v>30.38</v>
      </c>
      <c r="C1557">
        <v>30.44</v>
      </c>
      <c r="D1557">
        <v>29.79</v>
      </c>
      <c r="E1557">
        <v>29.98</v>
      </c>
      <c r="F1557">
        <v>14025000</v>
      </c>
      <c r="G1557">
        <v>29.15</v>
      </c>
      <c r="H1557" t="s">
        <v>15</v>
      </c>
      <c r="I1557" s="22">
        <f t="shared" si="49"/>
        <v>-1.5657229316998592E-2</v>
      </c>
      <c r="J1557" s="22" t="str">
        <f t="shared" si="50"/>
        <v>lost money</v>
      </c>
    </row>
    <row r="1558" spans="1:10">
      <c r="A1558" s="1">
        <v>41074</v>
      </c>
      <c r="B1558">
        <v>30.1</v>
      </c>
      <c r="C1558">
        <v>30.78</v>
      </c>
      <c r="D1558">
        <v>30.06</v>
      </c>
      <c r="E1558">
        <v>30.71</v>
      </c>
      <c r="F1558">
        <v>15429100</v>
      </c>
      <c r="G1558">
        <v>29.86</v>
      </c>
      <c r="H1558" t="s">
        <v>15</v>
      </c>
      <c r="I1558" s="22">
        <f t="shared" si="49"/>
        <v>2.4064879314543076E-2</v>
      </c>
      <c r="J1558" s="22" t="str">
        <f t="shared" si="50"/>
        <v/>
      </c>
    </row>
    <row r="1559" spans="1:10">
      <c r="A1559" s="1">
        <v>41075</v>
      </c>
      <c r="B1559">
        <v>30.85</v>
      </c>
      <c r="C1559">
        <v>31.17</v>
      </c>
      <c r="D1559">
        <v>30.6</v>
      </c>
      <c r="E1559">
        <v>31.09</v>
      </c>
      <c r="F1559">
        <v>21013900</v>
      </c>
      <c r="G1559">
        <v>30.23</v>
      </c>
      <c r="H1559" t="s">
        <v>15</v>
      </c>
      <c r="I1559" s="22">
        <f t="shared" si="49"/>
        <v>1.2315016680322335E-2</v>
      </c>
      <c r="J1559" s="22" t="str">
        <f t="shared" si="50"/>
        <v/>
      </c>
    </row>
    <row r="1560" spans="1:10">
      <c r="A1560" s="1">
        <v>41078</v>
      </c>
      <c r="B1560">
        <v>31.1</v>
      </c>
      <c r="C1560">
        <v>31.41</v>
      </c>
      <c r="D1560">
        <v>30.97</v>
      </c>
      <c r="E1560">
        <v>31.16</v>
      </c>
      <c r="F1560">
        <v>12163700</v>
      </c>
      <c r="G1560">
        <v>30.3</v>
      </c>
      <c r="H1560" t="s">
        <v>15</v>
      </c>
      <c r="I1560" s="22">
        <f t="shared" si="49"/>
        <v>2.3129037239566731E-3</v>
      </c>
      <c r="J1560" s="22" t="str">
        <f t="shared" si="50"/>
        <v/>
      </c>
    </row>
    <row r="1561" spans="1:10">
      <c r="A1561" s="1">
        <v>41079</v>
      </c>
      <c r="B1561">
        <v>31.25</v>
      </c>
      <c r="C1561">
        <v>31.65</v>
      </c>
      <c r="D1561">
        <v>31.06</v>
      </c>
      <c r="E1561">
        <v>31.31</v>
      </c>
      <c r="F1561">
        <v>13386500</v>
      </c>
      <c r="G1561">
        <v>30.45</v>
      </c>
      <c r="H1561" t="s">
        <v>15</v>
      </c>
      <c r="I1561" s="22">
        <f t="shared" si="49"/>
        <v>4.9382816405825767E-3</v>
      </c>
      <c r="J1561" s="22" t="str">
        <f t="shared" si="50"/>
        <v/>
      </c>
    </row>
    <row r="1562" spans="1:10">
      <c r="A1562" s="1">
        <v>41080</v>
      </c>
      <c r="B1562">
        <v>31.29</v>
      </c>
      <c r="C1562">
        <v>31.38</v>
      </c>
      <c r="D1562">
        <v>30.89</v>
      </c>
      <c r="E1562">
        <v>31.19</v>
      </c>
      <c r="F1562">
        <v>15362200</v>
      </c>
      <c r="G1562">
        <v>30.33</v>
      </c>
      <c r="H1562" t="s">
        <v>15</v>
      </c>
      <c r="I1562" s="22">
        <f t="shared" si="49"/>
        <v>-3.9486724554163308E-3</v>
      </c>
      <c r="J1562" s="22" t="str">
        <f t="shared" si="50"/>
        <v>lost money</v>
      </c>
    </row>
    <row r="1563" spans="1:10">
      <c r="A1563" s="1">
        <v>41081</v>
      </c>
      <c r="B1563">
        <v>31.34</v>
      </c>
      <c r="C1563">
        <v>31.34</v>
      </c>
      <c r="D1563">
        <v>30.64</v>
      </c>
      <c r="E1563">
        <v>30.68</v>
      </c>
      <c r="F1563">
        <v>14262200</v>
      </c>
      <c r="G1563">
        <v>29.83</v>
      </c>
      <c r="H1563" t="s">
        <v>15</v>
      </c>
      <c r="I1563" s="22">
        <f t="shared" si="49"/>
        <v>-1.6622723173832617E-2</v>
      </c>
      <c r="J1563" s="22" t="str">
        <f t="shared" si="50"/>
        <v>lost money</v>
      </c>
    </row>
    <row r="1564" spans="1:10">
      <c r="A1564" s="1">
        <v>41082</v>
      </c>
      <c r="B1564">
        <v>30.75</v>
      </c>
      <c r="C1564">
        <v>30.95</v>
      </c>
      <c r="D1564">
        <v>30.57</v>
      </c>
      <c r="E1564">
        <v>30.83</v>
      </c>
      <c r="F1564">
        <v>18278000</v>
      </c>
      <c r="G1564">
        <v>29.98</v>
      </c>
      <c r="H1564" t="s">
        <v>15</v>
      </c>
      <c r="I1564" s="22">
        <f t="shared" si="49"/>
        <v>5.015894147794576E-3</v>
      </c>
      <c r="J1564" s="22" t="str">
        <f t="shared" si="50"/>
        <v/>
      </c>
    </row>
    <row r="1565" spans="1:10">
      <c r="A1565" s="1">
        <v>41085</v>
      </c>
      <c r="B1565">
        <v>30.68</v>
      </c>
      <c r="C1565">
        <v>30.7</v>
      </c>
      <c r="D1565">
        <v>30.21</v>
      </c>
      <c r="E1565">
        <v>30.33</v>
      </c>
      <c r="F1565">
        <v>11600200</v>
      </c>
      <c r="G1565">
        <v>29.49</v>
      </c>
      <c r="H1565" t="s">
        <v>15</v>
      </c>
      <c r="I1565" s="22">
        <f t="shared" si="49"/>
        <v>-1.6479269847266859E-2</v>
      </c>
      <c r="J1565" s="22" t="str">
        <f t="shared" si="50"/>
        <v>lost money</v>
      </c>
    </row>
    <row r="1566" spans="1:10">
      <c r="A1566" s="1">
        <v>41086</v>
      </c>
      <c r="B1566">
        <v>30.37</v>
      </c>
      <c r="C1566">
        <v>30.69</v>
      </c>
      <c r="D1566">
        <v>30.17</v>
      </c>
      <c r="E1566">
        <v>30.58</v>
      </c>
      <c r="F1566">
        <v>10394600</v>
      </c>
      <c r="G1566">
        <v>29.74</v>
      </c>
      <c r="H1566" t="s">
        <v>15</v>
      </c>
      <c r="I1566" s="22">
        <f t="shared" si="49"/>
        <v>8.441718204824155E-3</v>
      </c>
      <c r="J1566" s="22" t="str">
        <f t="shared" si="50"/>
        <v/>
      </c>
    </row>
    <row r="1567" spans="1:10">
      <c r="A1567" s="1">
        <v>41087</v>
      </c>
      <c r="B1567">
        <v>30.77</v>
      </c>
      <c r="C1567">
        <v>31.3</v>
      </c>
      <c r="D1567">
        <v>30.71</v>
      </c>
      <c r="E1567">
        <v>31.04</v>
      </c>
      <c r="F1567">
        <v>14016100</v>
      </c>
      <c r="G1567">
        <v>30.18</v>
      </c>
      <c r="H1567" t="s">
        <v>15</v>
      </c>
      <c r="I1567" s="22">
        <f t="shared" si="49"/>
        <v>1.4686512307693871E-2</v>
      </c>
      <c r="J1567" s="22" t="str">
        <f t="shared" si="50"/>
        <v/>
      </c>
    </row>
    <row r="1568" spans="1:10">
      <c r="A1568" s="1">
        <v>41088</v>
      </c>
      <c r="B1568">
        <v>30.83</v>
      </c>
      <c r="C1568">
        <v>31.09</v>
      </c>
      <c r="D1568">
        <v>30.56</v>
      </c>
      <c r="E1568">
        <v>31.04</v>
      </c>
      <c r="F1568">
        <v>12290500</v>
      </c>
      <c r="G1568">
        <v>30.18</v>
      </c>
      <c r="H1568" t="s">
        <v>15</v>
      </c>
      <c r="I1568" s="22">
        <f t="shared" si="49"/>
        <v>0</v>
      </c>
      <c r="J1568" s="22" t="str">
        <f t="shared" si="50"/>
        <v/>
      </c>
    </row>
    <row r="1569" spans="1:10">
      <c r="A1569" s="1">
        <v>41089</v>
      </c>
      <c r="B1569">
        <v>31.54</v>
      </c>
      <c r="C1569">
        <v>31.99</v>
      </c>
      <c r="D1569">
        <v>31.21</v>
      </c>
      <c r="E1569">
        <v>31.97</v>
      </c>
      <c r="F1569">
        <v>16139900</v>
      </c>
      <c r="G1569">
        <v>31.25</v>
      </c>
      <c r="H1569" t="s">
        <v>15</v>
      </c>
      <c r="I1569" s="22">
        <f t="shared" si="49"/>
        <v>3.4839922842707621E-2</v>
      </c>
      <c r="J1569" s="22" t="str">
        <f t="shared" si="50"/>
        <v/>
      </c>
    </row>
    <row r="1570" spans="1:10">
      <c r="A1570" s="1">
        <v>41092</v>
      </c>
      <c r="B1570">
        <v>32.1</v>
      </c>
      <c r="C1570">
        <v>32.5</v>
      </c>
      <c r="D1570">
        <v>31.97</v>
      </c>
      <c r="E1570">
        <v>32.26</v>
      </c>
      <c r="F1570">
        <v>11757900</v>
      </c>
      <c r="G1570">
        <v>31.54</v>
      </c>
      <c r="H1570" t="s">
        <v>15</v>
      </c>
      <c r="I1570" s="22">
        <f t="shared" si="49"/>
        <v>9.2372053524817747E-3</v>
      </c>
      <c r="J1570" s="22" t="str">
        <f t="shared" si="50"/>
        <v/>
      </c>
    </row>
    <row r="1571" spans="1:10">
      <c r="A1571" s="1">
        <v>41093</v>
      </c>
      <c r="B1571">
        <v>32.229999999999997</v>
      </c>
      <c r="C1571">
        <v>32.4</v>
      </c>
      <c r="D1571">
        <v>31.9</v>
      </c>
      <c r="E1571">
        <v>32.03</v>
      </c>
      <c r="F1571">
        <v>8031400</v>
      </c>
      <c r="G1571">
        <v>31.31</v>
      </c>
      <c r="H1571" t="s">
        <v>15</v>
      </c>
      <c r="I1571" s="22">
        <f t="shared" si="49"/>
        <v>-7.3190461965780577E-3</v>
      </c>
      <c r="J1571" s="22" t="str">
        <f t="shared" si="50"/>
        <v>lost money</v>
      </c>
    </row>
    <row r="1572" spans="1:10">
      <c r="A1572" s="1">
        <v>41095</v>
      </c>
      <c r="B1572">
        <v>31.9</v>
      </c>
      <c r="C1572">
        <v>32.06</v>
      </c>
      <c r="D1572">
        <v>31.43</v>
      </c>
      <c r="E1572">
        <v>31.45</v>
      </c>
      <c r="F1572">
        <v>9793900</v>
      </c>
      <c r="G1572">
        <v>30.74</v>
      </c>
      <c r="H1572" t="s">
        <v>15</v>
      </c>
      <c r="I1572" s="22">
        <f t="shared" si="49"/>
        <v>-1.8372797227864578E-2</v>
      </c>
      <c r="J1572" s="22" t="str">
        <f t="shared" si="50"/>
        <v>lost money</v>
      </c>
    </row>
    <row r="1573" spans="1:10">
      <c r="A1573" s="1">
        <v>41096</v>
      </c>
      <c r="B1573">
        <v>31.29</v>
      </c>
      <c r="C1573">
        <v>31.82</v>
      </c>
      <c r="D1573">
        <v>31.19</v>
      </c>
      <c r="E1573">
        <v>31.36</v>
      </c>
      <c r="F1573">
        <v>10373300</v>
      </c>
      <c r="G1573">
        <v>30.66</v>
      </c>
      <c r="H1573" t="s">
        <v>15</v>
      </c>
      <c r="I1573" s="22">
        <f t="shared" si="49"/>
        <v>-2.6058646667816735E-3</v>
      </c>
      <c r="J1573" s="22" t="str">
        <f t="shared" si="50"/>
        <v/>
      </c>
    </row>
    <row r="1574" spans="1:10">
      <c r="A1574" s="1">
        <v>41099</v>
      </c>
      <c r="B1574">
        <v>31.44</v>
      </c>
      <c r="C1574">
        <v>31.52</v>
      </c>
      <c r="D1574">
        <v>31.21</v>
      </c>
      <c r="E1574">
        <v>31.27</v>
      </c>
      <c r="F1574">
        <v>10656300</v>
      </c>
      <c r="G1574">
        <v>30.57</v>
      </c>
      <c r="H1574" t="s">
        <v>15</v>
      </c>
      <c r="I1574" s="22">
        <f t="shared" si="49"/>
        <v>-2.9397375409249576E-3</v>
      </c>
      <c r="J1574" s="22" t="str">
        <f t="shared" si="50"/>
        <v>lost money</v>
      </c>
    </row>
    <row r="1575" spans="1:10">
      <c r="A1575" s="1">
        <v>41100</v>
      </c>
      <c r="B1575">
        <v>31.51</v>
      </c>
      <c r="C1575">
        <v>31.96</v>
      </c>
      <c r="D1575">
        <v>31.18</v>
      </c>
      <c r="E1575">
        <v>31.35</v>
      </c>
      <c r="F1575">
        <v>12800300</v>
      </c>
      <c r="G1575">
        <v>30.65</v>
      </c>
      <c r="H1575" t="s">
        <v>15</v>
      </c>
      <c r="I1575" s="22">
        <f t="shared" si="49"/>
        <v>2.6135264794771855E-3</v>
      </c>
      <c r="J1575" s="22" t="str">
        <f t="shared" si="50"/>
        <v>lost money</v>
      </c>
    </row>
    <row r="1576" spans="1:10">
      <c r="A1576" s="1">
        <v>41101</v>
      </c>
      <c r="B1576">
        <v>31.3</v>
      </c>
      <c r="C1576">
        <v>31.81</v>
      </c>
      <c r="D1576">
        <v>31.27</v>
      </c>
      <c r="E1576">
        <v>31.73</v>
      </c>
      <c r="F1576">
        <v>14069300</v>
      </c>
      <c r="G1576">
        <v>31.02</v>
      </c>
      <c r="H1576" t="s">
        <v>15</v>
      </c>
      <c r="I1576" s="22">
        <f t="shared" si="49"/>
        <v>1.1999495366172418E-2</v>
      </c>
      <c r="J1576" s="22" t="str">
        <f t="shared" si="50"/>
        <v/>
      </c>
    </row>
    <row r="1577" spans="1:10">
      <c r="A1577" s="1">
        <v>41102</v>
      </c>
      <c r="B1577">
        <v>31.42</v>
      </c>
      <c r="C1577">
        <v>31.48</v>
      </c>
      <c r="D1577">
        <v>31.04</v>
      </c>
      <c r="E1577">
        <v>31.1</v>
      </c>
      <c r="F1577">
        <v>17751100</v>
      </c>
      <c r="G1577">
        <v>30.4</v>
      </c>
      <c r="H1577" t="s">
        <v>15</v>
      </c>
      <c r="I1577" s="22">
        <f t="shared" si="49"/>
        <v>-2.0189549336216788E-2</v>
      </c>
      <c r="J1577" s="22" t="str">
        <f t="shared" si="50"/>
        <v>lost money</v>
      </c>
    </row>
    <row r="1578" spans="1:10">
      <c r="A1578" s="1">
        <v>41103</v>
      </c>
      <c r="B1578">
        <v>31.13</v>
      </c>
      <c r="C1578">
        <v>31.9</v>
      </c>
      <c r="D1578">
        <v>31.1</v>
      </c>
      <c r="E1578">
        <v>31.87</v>
      </c>
      <c r="F1578">
        <v>10465500</v>
      </c>
      <c r="G1578">
        <v>31.15</v>
      </c>
      <c r="H1578" t="s">
        <v>15</v>
      </c>
      <c r="I1578" s="22">
        <f t="shared" si="49"/>
        <v>2.437163682128617E-2</v>
      </c>
      <c r="J1578" s="22" t="str">
        <f t="shared" si="50"/>
        <v/>
      </c>
    </row>
    <row r="1579" spans="1:10">
      <c r="A1579" s="1">
        <v>41106</v>
      </c>
      <c r="B1579">
        <v>31.69</v>
      </c>
      <c r="C1579">
        <v>31.86</v>
      </c>
      <c r="D1579">
        <v>31.54</v>
      </c>
      <c r="E1579">
        <v>31.83</v>
      </c>
      <c r="F1579">
        <v>10001000</v>
      </c>
      <c r="G1579">
        <v>31.12</v>
      </c>
      <c r="H1579" t="s">
        <v>15</v>
      </c>
      <c r="I1579" s="22">
        <f t="shared" si="49"/>
        <v>-9.6354592327117859E-4</v>
      </c>
      <c r="J1579" s="22" t="str">
        <f t="shared" si="50"/>
        <v/>
      </c>
    </row>
    <row r="1580" spans="1:10">
      <c r="A1580" s="1">
        <v>41107</v>
      </c>
      <c r="B1580">
        <v>31.88</v>
      </c>
      <c r="C1580">
        <v>32.4</v>
      </c>
      <c r="D1580">
        <v>31.74</v>
      </c>
      <c r="E1580">
        <v>32.33</v>
      </c>
      <c r="F1580">
        <v>13360000</v>
      </c>
      <c r="G1580">
        <v>31.6</v>
      </c>
      <c r="H1580" t="s">
        <v>15</v>
      </c>
      <c r="I1580" s="22">
        <f t="shared" si="49"/>
        <v>1.5306421282675507E-2</v>
      </c>
      <c r="J1580" s="22" t="str">
        <f t="shared" si="50"/>
        <v/>
      </c>
    </row>
    <row r="1581" spans="1:10">
      <c r="A1581" s="1">
        <v>41108</v>
      </c>
      <c r="B1581">
        <v>32.25</v>
      </c>
      <c r="C1581">
        <v>32.44</v>
      </c>
      <c r="D1581">
        <v>31.97</v>
      </c>
      <c r="E1581">
        <v>32.39</v>
      </c>
      <c r="F1581">
        <v>11298100</v>
      </c>
      <c r="G1581">
        <v>31.66</v>
      </c>
      <c r="H1581" t="s">
        <v>15</v>
      </c>
      <c r="I1581" s="22">
        <f t="shared" si="49"/>
        <v>1.8969338599996708E-3</v>
      </c>
      <c r="J1581" s="22" t="str">
        <f t="shared" si="50"/>
        <v/>
      </c>
    </row>
    <row r="1582" spans="1:10">
      <c r="A1582" s="1">
        <v>41109</v>
      </c>
      <c r="B1582">
        <v>32.380000000000003</v>
      </c>
      <c r="C1582">
        <v>32.78</v>
      </c>
      <c r="D1582">
        <v>32.19</v>
      </c>
      <c r="E1582">
        <v>32.380000000000003</v>
      </c>
      <c r="F1582">
        <v>11322000</v>
      </c>
      <c r="G1582">
        <v>31.65</v>
      </c>
      <c r="H1582" t="s">
        <v>15</v>
      </c>
      <c r="I1582" s="22">
        <f t="shared" si="49"/>
        <v>-3.1590586268093863E-4</v>
      </c>
      <c r="J1582" s="22" t="str">
        <f t="shared" si="50"/>
        <v/>
      </c>
    </row>
    <row r="1583" spans="1:10">
      <c r="A1583" s="1">
        <v>41110</v>
      </c>
      <c r="B1583">
        <v>32.29</v>
      </c>
      <c r="C1583">
        <v>32.42</v>
      </c>
      <c r="D1583">
        <v>32.049999999999997</v>
      </c>
      <c r="E1583">
        <v>32.18</v>
      </c>
      <c r="F1583">
        <v>12382800</v>
      </c>
      <c r="G1583">
        <v>31.46</v>
      </c>
      <c r="H1583" t="s">
        <v>15</v>
      </c>
      <c r="I1583" s="22">
        <f t="shared" si="49"/>
        <v>-6.0212509600533412E-3</v>
      </c>
      <c r="J1583" s="22" t="str">
        <f t="shared" si="50"/>
        <v>lost money</v>
      </c>
    </row>
    <row r="1584" spans="1:10">
      <c r="A1584" s="1">
        <v>41113</v>
      </c>
      <c r="B1584">
        <v>31.65</v>
      </c>
      <c r="C1584">
        <v>31.79</v>
      </c>
      <c r="D1584">
        <v>31.29</v>
      </c>
      <c r="E1584">
        <v>31.37</v>
      </c>
      <c r="F1584">
        <v>14153400</v>
      </c>
      <c r="G1584">
        <v>30.67</v>
      </c>
      <c r="H1584" t="s">
        <v>15</v>
      </c>
      <c r="I1584" s="22">
        <f t="shared" si="49"/>
        <v>-2.5431919503971539E-2</v>
      </c>
      <c r="J1584" s="22" t="str">
        <f t="shared" si="50"/>
        <v>lost money</v>
      </c>
    </row>
    <row r="1585" spans="1:10">
      <c r="A1585" s="1">
        <v>41114</v>
      </c>
      <c r="B1585">
        <v>31.44</v>
      </c>
      <c r="C1585">
        <v>31.49</v>
      </c>
      <c r="D1585">
        <v>31.05</v>
      </c>
      <c r="E1585">
        <v>31.4</v>
      </c>
      <c r="F1585">
        <v>13641500</v>
      </c>
      <c r="G1585">
        <v>30.7</v>
      </c>
      <c r="H1585" t="s">
        <v>15</v>
      </c>
      <c r="I1585" s="22">
        <f t="shared" si="49"/>
        <v>9.7767646699130611E-4</v>
      </c>
      <c r="J1585" s="22" t="str">
        <f t="shared" si="50"/>
        <v>lost money</v>
      </c>
    </row>
    <row r="1586" spans="1:10">
      <c r="A1586" s="1">
        <v>41115</v>
      </c>
      <c r="B1586">
        <v>31.55</v>
      </c>
      <c r="C1586">
        <v>31.57</v>
      </c>
      <c r="D1586">
        <v>31.1</v>
      </c>
      <c r="E1586">
        <v>31.36</v>
      </c>
      <c r="F1586">
        <v>8656300</v>
      </c>
      <c r="G1586">
        <v>30.66</v>
      </c>
      <c r="H1586" t="s">
        <v>15</v>
      </c>
      <c r="I1586" s="22">
        <f t="shared" si="49"/>
        <v>-1.3037811494833809E-3</v>
      </c>
      <c r="J1586" s="22" t="str">
        <f t="shared" si="50"/>
        <v>lost money</v>
      </c>
    </row>
    <row r="1587" spans="1:10">
      <c r="A1587" s="1">
        <v>41116</v>
      </c>
      <c r="B1587">
        <v>31.92</v>
      </c>
      <c r="C1587">
        <v>32.25</v>
      </c>
      <c r="D1587">
        <v>31.55</v>
      </c>
      <c r="E1587">
        <v>31.61</v>
      </c>
      <c r="F1587">
        <v>17497800</v>
      </c>
      <c r="G1587">
        <v>30.9</v>
      </c>
      <c r="H1587" t="s">
        <v>15</v>
      </c>
      <c r="I1587" s="22">
        <f t="shared" si="49"/>
        <v>7.7973104600317106E-3</v>
      </c>
      <c r="J1587" s="22" t="str">
        <f t="shared" si="50"/>
        <v>lost money</v>
      </c>
    </row>
    <row r="1588" spans="1:10">
      <c r="A1588" s="1">
        <v>41117</v>
      </c>
      <c r="B1588">
        <v>31.89</v>
      </c>
      <c r="C1588">
        <v>32.36</v>
      </c>
      <c r="D1588">
        <v>31.74</v>
      </c>
      <c r="E1588">
        <v>32.29</v>
      </c>
      <c r="F1588">
        <v>15094000</v>
      </c>
      <c r="G1588">
        <v>31.57</v>
      </c>
      <c r="H1588" t="s">
        <v>15</v>
      </c>
      <c r="I1588" s="22">
        <f t="shared" si="49"/>
        <v>2.1451118666200527E-2</v>
      </c>
      <c r="J1588" s="22" t="str">
        <f t="shared" si="50"/>
        <v/>
      </c>
    </row>
    <row r="1589" spans="1:10">
      <c r="A1589" s="1">
        <v>41120</v>
      </c>
      <c r="B1589">
        <v>32.31</v>
      </c>
      <c r="C1589">
        <v>32.56</v>
      </c>
      <c r="D1589">
        <v>32.08</v>
      </c>
      <c r="E1589">
        <v>32.21</v>
      </c>
      <c r="F1589">
        <v>9696300</v>
      </c>
      <c r="G1589">
        <v>31.49</v>
      </c>
      <c r="H1589" t="s">
        <v>15</v>
      </c>
      <c r="I1589" s="22">
        <f t="shared" si="49"/>
        <v>-2.5372674569670971E-3</v>
      </c>
      <c r="J1589" s="22" t="str">
        <f t="shared" si="50"/>
        <v>lost money</v>
      </c>
    </row>
    <row r="1590" spans="1:10">
      <c r="A1590" s="1">
        <v>41121</v>
      </c>
      <c r="B1590">
        <v>32.21</v>
      </c>
      <c r="C1590">
        <v>32.729999999999997</v>
      </c>
      <c r="D1590">
        <v>32.18</v>
      </c>
      <c r="E1590">
        <v>32.549999999999997</v>
      </c>
      <c r="F1590">
        <v>19508700</v>
      </c>
      <c r="G1590">
        <v>31.82</v>
      </c>
      <c r="H1590" t="s">
        <v>15</v>
      </c>
      <c r="I1590" s="22">
        <f t="shared" si="49"/>
        <v>1.0424987796707658E-2</v>
      </c>
      <c r="J1590" s="22" t="str">
        <f t="shared" si="50"/>
        <v/>
      </c>
    </row>
    <row r="1591" spans="1:10">
      <c r="A1591" s="1">
        <v>41122</v>
      </c>
      <c r="B1591">
        <v>33.590000000000003</v>
      </c>
      <c r="C1591">
        <v>34</v>
      </c>
      <c r="D1591">
        <v>33.479999999999997</v>
      </c>
      <c r="E1591">
        <v>33.549999999999997</v>
      </c>
      <c r="F1591">
        <v>22155900</v>
      </c>
      <c r="G1591">
        <v>32.799999999999997</v>
      </c>
      <c r="H1591" t="s">
        <v>15</v>
      </c>
      <c r="I1591" s="22">
        <f t="shared" si="49"/>
        <v>3.0333492480457094E-2</v>
      </c>
      <c r="J1591" s="22" t="str">
        <f t="shared" si="50"/>
        <v>lost money</v>
      </c>
    </row>
    <row r="1592" spans="1:10">
      <c r="A1592" s="1">
        <v>41123</v>
      </c>
      <c r="B1592">
        <v>33.49</v>
      </c>
      <c r="C1592">
        <v>34.46</v>
      </c>
      <c r="D1592">
        <v>33.380000000000003</v>
      </c>
      <c r="E1592">
        <v>34.119999999999997</v>
      </c>
      <c r="F1592">
        <v>23926500</v>
      </c>
      <c r="G1592">
        <v>33.35</v>
      </c>
      <c r="H1592" t="s">
        <v>15</v>
      </c>
      <c r="I1592" s="22">
        <f t="shared" si="49"/>
        <v>1.6629256971534747E-2</v>
      </c>
      <c r="J1592" s="22" t="str">
        <f t="shared" si="50"/>
        <v/>
      </c>
    </row>
    <row r="1593" spans="1:10">
      <c r="A1593" s="1">
        <v>41124</v>
      </c>
      <c r="B1593">
        <v>34.549999999999997</v>
      </c>
      <c r="C1593">
        <v>35.090000000000003</v>
      </c>
      <c r="D1593">
        <v>34.450000000000003</v>
      </c>
      <c r="E1593">
        <v>34.61</v>
      </c>
      <c r="F1593">
        <v>21454800</v>
      </c>
      <c r="G1593">
        <v>33.83</v>
      </c>
      <c r="H1593" t="s">
        <v>15</v>
      </c>
      <c r="I1593" s="22">
        <f t="shared" si="49"/>
        <v>1.4290210430984317E-2</v>
      </c>
      <c r="J1593" s="22" t="str">
        <f t="shared" si="50"/>
        <v/>
      </c>
    </row>
    <row r="1594" spans="1:10">
      <c r="A1594" s="1">
        <v>41127</v>
      </c>
      <c r="B1594">
        <v>34.64</v>
      </c>
      <c r="C1594">
        <v>35.06</v>
      </c>
      <c r="D1594">
        <v>34.409999999999997</v>
      </c>
      <c r="E1594">
        <v>34.94</v>
      </c>
      <c r="F1594">
        <v>12440100</v>
      </c>
      <c r="G1594">
        <v>34.159999999999997</v>
      </c>
      <c r="H1594" t="s">
        <v>15</v>
      </c>
      <c r="I1594" s="22">
        <f t="shared" si="49"/>
        <v>9.7073861277519116E-3</v>
      </c>
      <c r="J1594" s="22" t="str">
        <f t="shared" si="50"/>
        <v/>
      </c>
    </row>
    <row r="1595" spans="1:10">
      <c r="A1595" s="1">
        <v>41128</v>
      </c>
      <c r="B1595">
        <v>35.08</v>
      </c>
      <c r="C1595">
        <v>35.159999999999997</v>
      </c>
      <c r="D1595">
        <v>34.51</v>
      </c>
      <c r="E1595">
        <v>34.549999999999997</v>
      </c>
      <c r="F1595">
        <v>18691600</v>
      </c>
      <c r="G1595">
        <v>33.770000000000003</v>
      </c>
      <c r="H1595" t="s">
        <v>15</v>
      </c>
      <c r="I1595" s="22">
        <f t="shared" si="49"/>
        <v>-1.1482534522892544E-2</v>
      </c>
      <c r="J1595" s="22" t="str">
        <f t="shared" si="50"/>
        <v>lost money</v>
      </c>
    </row>
    <row r="1596" spans="1:10">
      <c r="A1596" s="1">
        <v>41129</v>
      </c>
      <c r="B1596">
        <v>34.520000000000003</v>
      </c>
      <c r="C1596">
        <v>34.65</v>
      </c>
      <c r="D1596">
        <v>34.119999999999997</v>
      </c>
      <c r="E1596">
        <v>34.51</v>
      </c>
      <c r="F1596">
        <v>13353400</v>
      </c>
      <c r="G1596">
        <v>33.74</v>
      </c>
      <c r="H1596" t="s">
        <v>15</v>
      </c>
      <c r="I1596" s="22">
        <f t="shared" si="49"/>
        <v>-8.8875727965411833E-4</v>
      </c>
      <c r="J1596" s="22" t="str">
        <f t="shared" si="50"/>
        <v>lost money</v>
      </c>
    </row>
    <row r="1597" spans="1:10">
      <c r="A1597" s="1">
        <v>41130</v>
      </c>
      <c r="B1597">
        <v>34.520000000000003</v>
      </c>
      <c r="C1597">
        <v>34.72</v>
      </c>
      <c r="D1597">
        <v>34.36</v>
      </c>
      <c r="E1597">
        <v>34.549999999999997</v>
      </c>
      <c r="F1597">
        <v>11732000</v>
      </c>
      <c r="G1597">
        <v>33.770000000000003</v>
      </c>
      <c r="H1597" t="s">
        <v>15</v>
      </c>
      <c r="I1597" s="22">
        <f t="shared" si="49"/>
        <v>8.8875727965408451E-4</v>
      </c>
      <c r="J1597" s="22" t="str">
        <f t="shared" si="50"/>
        <v/>
      </c>
    </row>
    <row r="1598" spans="1:10">
      <c r="A1598" s="1">
        <v>41131</v>
      </c>
      <c r="B1598">
        <v>34.520000000000003</v>
      </c>
      <c r="C1598">
        <v>34.75</v>
      </c>
      <c r="D1598">
        <v>34.299999999999997</v>
      </c>
      <c r="E1598">
        <v>34.729999999999997</v>
      </c>
      <c r="F1598">
        <v>7897200</v>
      </c>
      <c r="G1598">
        <v>33.950000000000003</v>
      </c>
      <c r="H1598" t="s">
        <v>15</v>
      </c>
      <c r="I1598" s="22">
        <f t="shared" si="49"/>
        <v>5.3160196072287664E-3</v>
      </c>
      <c r="J1598" s="22" t="str">
        <f t="shared" si="50"/>
        <v/>
      </c>
    </row>
    <row r="1599" spans="1:10">
      <c r="A1599" s="1">
        <v>41134</v>
      </c>
      <c r="B1599">
        <v>34.64</v>
      </c>
      <c r="C1599">
        <v>34.64</v>
      </c>
      <c r="D1599">
        <v>34.21</v>
      </c>
      <c r="E1599">
        <v>34.549999999999997</v>
      </c>
      <c r="F1599">
        <v>11566900</v>
      </c>
      <c r="G1599">
        <v>33.770000000000003</v>
      </c>
      <c r="H1599" t="s">
        <v>15</v>
      </c>
      <c r="I1599" s="22">
        <f t="shared" si="49"/>
        <v>-5.3160196072287854E-3</v>
      </c>
      <c r="J1599" s="22" t="str">
        <f t="shared" si="50"/>
        <v>lost money</v>
      </c>
    </row>
    <row r="1600" spans="1:10">
      <c r="A1600" s="1">
        <v>41135</v>
      </c>
      <c r="B1600">
        <v>34.81</v>
      </c>
      <c r="C1600">
        <v>34.880000000000003</v>
      </c>
      <c r="D1600">
        <v>34.33</v>
      </c>
      <c r="E1600">
        <v>34.36</v>
      </c>
      <c r="F1600">
        <v>12464500</v>
      </c>
      <c r="G1600">
        <v>33.590000000000003</v>
      </c>
      <c r="H1600" t="s">
        <v>15</v>
      </c>
      <c r="I1600" s="22">
        <f t="shared" si="49"/>
        <v>-5.3444307732749144E-3</v>
      </c>
      <c r="J1600" s="22" t="str">
        <f t="shared" si="50"/>
        <v>lost money</v>
      </c>
    </row>
    <row r="1601" spans="1:10">
      <c r="A1601" s="1">
        <v>41136</v>
      </c>
      <c r="B1601">
        <v>34.369999999999997</v>
      </c>
      <c r="C1601">
        <v>34.42</v>
      </c>
      <c r="D1601">
        <v>34</v>
      </c>
      <c r="E1601">
        <v>34.19</v>
      </c>
      <c r="F1601">
        <v>10610200</v>
      </c>
      <c r="G1601">
        <v>33.42</v>
      </c>
      <c r="H1601" t="s">
        <v>15</v>
      </c>
      <c r="I1601" s="22">
        <f t="shared" si="49"/>
        <v>-5.0738804569537676E-3</v>
      </c>
      <c r="J1601" s="22" t="str">
        <f t="shared" si="50"/>
        <v>lost money</v>
      </c>
    </row>
    <row r="1602" spans="1:10">
      <c r="A1602" s="1">
        <v>41137</v>
      </c>
      <c r="B1602">
        <v>34.35</v>
      </c>
      <c r="C1602">
        <v>34.39</v>
      </c>
      <c r="D1602">
        <v>34.06</v>
      </c>
      <c r="E1602">
        <v>34.14</v>
      </c>
      <c r="F1602">
        <v>10193100</v>
      </c>
      <c r="G1602">
        <v>33.369999999999997</v>
      </c>
      <c r="H1602" t="s">
        <v>15</v>
      </c>
      <c r="I1602" s="22">
        <f t="shared" si="49"/>
        <v>-1.4972304039651868E-3</v>
      </c>
      <c r="J1602" s="22" t="str">
        <f t="shared" si="50"/>
        <v>lost money</v>
      </c>
    </row>
    <row r="1603" spans="1:10">
      <c r="A1603" s="1">
        <v>41138</v>
      </c>
      <c r="B1603">
        <v>34.28</v>
      </c>
      <c r="C1603">
        <v>34.28</v>
      </c>
      <c r="D1603">
        <v>33.89</v>
      </c>
      <c r="E1603">
        <v>34.020000000000003</v>
      </c>
      <c r="F1603">
        <v>10603600</v>
      </c>
      <c r="G1603">
        <v>33.26</v>
      </c>
      <c r="H1603" t="s">
        <v>15</v>
      </c>
      <c r="I1603" s="22">
        <f t="shared" ref="I1603:I1666" si="51">IF(A1603=$A$2,"",LN(G1603/G1602))</f>
        <v>-3.3018189985009852E-3</v>
      </c>
      <c r="J1603" s="22" t="str">
        <f t="shared" ref="J1603:J1666" si="52">IF(B1603&gt;E1603,"lost money","")</f>
        <v>lost money</v>
      </c>
    </row>
    <row r="1604" spans="1:10">
      <c r="A1604" s="1">
        <v>41141</v>
      </c>
      <c r="B1604">
        <v>33.86</v>
      </c>
      <c r="C1604">
        <v>34.11</v>
      </c>
      <c r="D1604">
        <v>33.729999999999997</v>
      </c>
      <c r="E1604">
        <v>33.9</v>
      </c>
      <c r="F1604">
        <v>8024500</v>
      </c>
      <c r="G1604">
        <v>33.14</v>
      </c>
      <c r="H1604" t="s">
        <v>15</v>
      </c>
      <c r="I1604" s="22">
        <f t="shared" si="51"/>
        <v>-3.6144617663647224E-3</v>
      </c>
      <c r="J1604" s="22" t="str">
        <f t="shared" si="52"/>
        <v/>
      </c>
    </row>
    <row r="1605" spans="1:10">
      <c r="A1605" s="1">
        <v>41142</v>
      </c>
      <c r="B1605">
        <v>33.9</v>
      </c>
      <c r="C1605">
        <v>34.24</v>
      </c>
      <c r="D1605">
        <v>33.86</v>
      </c>
      <c r="E1605">
        <v>34.04</v>
      </c>
      <c r="F1605">
        <v>11963900</v>
      </c>
      <c r="G1605">
        <v>33.28</v>
      </c>
      <c r="H1605" t="s">
        <v>15</v>
      </c>
      <c r="I1605" s="22">
        <f t="shared" si="51"/>
        <v>4.2156039545910495E-3</v>
      </c>
      <c r="J1605" s="22" t="str">
        <f t="shared" si="52"/>
        <v/>
      </c>
    </row>
    <row r="1606" spans="1:10">
      <c r="A1606" s="1">
        <v>41143</v>
      </c>
      <c r="B1606">
        <v>33.94</v>
      </c>
      <c r="C1606">
        <v>34.15</v>
      </c>
      <c r="D1606">
        <v>33.9</v>
      </c>
      <c r="E1606">
        <v>33.97</v>
      </c>
      <c r="F1606">
        <v>11260500</v>
      </c>
      <c r="G1606">
        <v>33.21</v>
      </c>
      <c r="H1606" t="s">
        <v>15</v>
      </c>
      <c r="I1606" s="22">
        <f t="shared" si="51"/>
        <v>-2.1055805643526763E-3</v>
      </c>
      <c r="J1606" s="22" t="str">
        <f t="shared" si="52"/>
        <v/>
      </c>
    </row>
    <row r="1607" spans="1:10">
      <c r="A1607" s="1">
        <v>41144</v>
      </c>
      <c r="B1607">
        <v>33.86</v>
      </c>
      <c r="C1607">
        <v>34.020000000000003</v>
      </c>
      <c r="D1607">
        <v>33.81</v>
      </c>
      <c r="E1607">
        <v>33.950000000000003</v>
      </c>
      <c r="F1607">
        <v>7694100</v>
      </c>
      <c r="G1607">
        <v>33.19</v>
      </c>
      <c r="H1607" t="s">
        <v>15</v>
      </c>
      <c r="I1607" s="22">
        <f t="shared" si="51"/>
        <v>-6.0240965677202244E-4</v>
      </c>
      <c r="J1607" s="22" t="str">
        <f t="shared" si="52"/>
        <v/>
      </c>
    </row>
    <row r="1608" spans="1:10">
      <c r="A1608" s="1">
        <v>41145</v>
      </c>
      <c r="B1608">
        <v>33.85</v>
      </c>
      <c r="C1608">
        <v>34.15</v>
      </c>
      <c r="D1608">
        <v>33.659999999999997</v>
      </c>
      <c r="E1608">
        <v>33.950000000000003</v>
      </c>
      <c r="F1608">
        <v>14038400</v>
      </c>
      <c r="G1608">
        <v>33.19</v>
      </c>
      <c r="H1608" t="s">
        <v>15</v>
      </c>
      <c r="I1608" s="22">
        <f t="shared" si="51"/>
        <v>0</v>
      </c>
      <c r="J1608" s="22" t="str">
        <f t="shared" si="52"/>
        <v/>
      </c>
    </row>
    <row r="1609" spans="1:10">
      <c r="A1609" s="1">
        <v>41148</v>
      </c>
      <c r="B1609">
        <v>33.94</v>
      </c>
      <c r="C1609">
        <v>34.090000000000003</v>
      </c>
      <c r="D1609">
        <v>33.840000000000003</v>
      </c>
      <c r="E1609">
        <v>33.97</v>
      </c>
      <c r="F1609">
        <v>8767800</v>
      </c>
      <c r="G1609">
        <v>33.21</v>
      </c>
      <c r="H1609" t="s">
        <v>15</v>
      </c>
      <c r="I1609" s="22">
        <f t="shared" si="51"/>
        <v>6.0240965677204597E-4</v>
      </c>
      <c r="J1609" s="22" t="str">
        <f t="shared" si="52"/>
        <v/>
      </c>
    </row>
    <row r="1610" spans="1:10">
      <c r="A1610" s="1">
        <v>41149</v>
      </c>
      <c r="B1610">
        <v>33.9</v>
      </c>
      <c r="C1610">
        <v>34.06</v>
      </c>
      <c r="D1610">
        <v>33.76</v>
      </c>
      <c r="E1610">
        <v>33.950000000000003</v>
      </c>
      <c r="F1610">
        <v>10041800</v>
      </c>
      <c r="G1610">
        <v>33.19</v>
      </c>
      <c r="H1610" t="s">
        <v>15</v>
      </c>
      <c r="I1610" s="22">
        <f t="shared" si="51"/>
        <v>-6.0240965677202244E-4</v>
      </c>
      <c r="J1610" s="22" t="str">
        <f t="shared" si="52"/>
        <v/>
      </c>
    </row>
    <row r="1611" spans="1:10">
      <c r="A1611" s="1">
        <v>41150</v>
      </c>
      <c r="B1611">
        <v>33.99</v>
      </c>
      <c r="C1611">
        <v>34.159999999999997</v>
      </c>
      <c r="D1611">
        <v>33.880000000000003</v>
      </c>
      <c r="E1611">
        <v>33.950000000000003</v>
      </c>
      <c r="F1611">
        <v>6946700</v>
      </c>
      <c r="G1611">
        <v>33.19</v>
      </c>
      <c r="H1611" t="s">
        <v>15</v>
      </c>
      <c r="I1611" s="22">
        <f t="shared" si="51"/>
        <v>0</v>
      </c>
      <c r="J1611" s="22" t="str">
        <f t="shared" si="52"/>
        <v>lost money</v>
      </c>
    </row>
    <row r="1612" spans="1:10">
      <c r="A1612" s="1">
        <v>41151</v>
      </c>
      <c r="B1612">
        <v>33.78</v>
      </c>
      <c r="C1612">
        <v>33.9</v>
      </c>
      <c r="D1612">
        <v>33.520000000000003</v>
      </c>
      <c r="E1612">
        <v>33.630000000000003</v>
      </c>
      <c r="F1612">
        <v>9864400</v>
      </c>
      <c r="G1612">
        <v>32.880000000000003</v>
      </c>
      <c r="H1612" t="s">
        <v>15</v>
      </c>
      <c r="I1612" s="22">
        <f t="shared" si="51"/>
        <v>-9.3840555439038947E-3</v>
      </c>
      <c r="J1612" s="22" t="str">
        <f t="shared" si="52"/>
        <v>lost money</v>
      </c>
    </row>
    <row r="1613" spans="1:10">
      <c r="A1613" s="1">
        <v>41152</v>
      </c>
      <c r="B1613">
        <v>33.81</v>
      </c>
      <c r="C1613">
        <v>33.9</v>
      </c>
      <c r="D1613">
        <v>33.450000000000003</v>
      </c>
      <c r="E1613">
        <v>33.53</v>
      </c>
      <c r="F1613">
        <v>12122700</v>
      </c>
      <c r="G1613">
        <v>32.78</v>
      </c>
      <c r="H1613" t="s">
        <v>15</v>
      </c>
      <c r="I1613" s="22">
        <f t="shared" si="51"/>
        <v>-3.0459968722955648E-3</v>
      </c>
      <c r="J1613" s="22" t="str">
        <f t="shared" si="52"/>
        <v>lost money</v>
      </c>
    </row>
    <row r="1614" spans="1:10">
      <c r="A1614" s="1">
        <v>41156</v>
      </c>
      <c r="B1614">
        <v>33.47</v>
      </c>
      <c r="C1614">
        <v>33.71</v>
      </c>
      <c r="D1614">
        <v>33.43</v>
      </c>
      <c r="E1614">
        <v>33.53</v>
      </c>
      <c r="F1614">
        <v>11845200</v>
      </c>
      <c r="G1614">
        <v>32.78</v>
      </c>
      <c r="H1614" t="s">
        <v>15</v>
      </c>
      <c r="I1614" s="22">
        <f t="shared" si="51"/>
        <v>0</v>
      </c>
      <c r="J1614" s="22" t="str">
        <f t="shared" si="52"/>
        <v/>
      </c>
    </row>
    <row r="1615" spans="1:10">
      <c r="A1615" s="1">
        <v>41157</v>
      </c>
      <c r="B1615">
        <v>33.49</v>
      </c>
      <c r="C1615">
        <v>33.76</v>
      </c>
      <c r="D1615">
        <v>33.42</v>
      </c>
      <c r="E1615">
        <v>33.71</v>
      </c>
      <c r="F1615">
        <v>12880500</v>
      </c>
      <c r="G1615">
        <v>32.950000000000003</v>
      </c>
      <c r="H1615" t="s">
        <v>15</v>
      </c>
      <c r="I1615" s="22">
        <f t="shared" si="51"/>
        <v>5.1726876328326166E-3</v>
      </c>
      <c r="J1615" s="22" t="str">
        <f t="shared" si="52"/>
        <v/>
      </c>
    </row>
    <row r="1616" spans="1:10">
      <c r="A1616" s="1">
        <v>41158</v>
      </c>
      <c r="B1616">
        <v>33.97</v>
      </c>
      <c r="C1616">
        <v>34.659999999999997</v>
      </c>
      <c r="D1616">
        <v>33.9</v>
      </c>
      <c r="E1616">
        <v>34.65</v>
      </c>
      <c r="F1616">
        <v>13779500</v>
      </c>
      <c r="G1616">
        <v>33.869999999999997</v>
      </c>
      <c r="H1616" t="s">
        <v>15</v>
      </c>
      <c r="I1616" s="22">
        <f t="shared" si="51"/>
        <v>2.7538405881163956E-2</v>
      </c>
      <c r="J1616" s="22" t="str">
        <f t="shared" si="52"/>
        <v/>
      </c>
    </row>
    <row r="1617" spans="1:10">
      <c r="A1617" s="1">
        <v>41159</v>
      </c>
      <c r="B1617">
        <v>34.659999999999997</v>
      </c>
      <c r="C1617">
        <v>34.74</v>
      </c>
      <c r="D1617">
        <v>34.44</v>
      </c>
      <c r="E1617">
        <v>34.46</v>
      </c>
      <c r="F1617">
        <v>10023400</v>
      </c>
      <c r="G1617">
        <v>33.69</v>
      </c>
      <c r="H1617" t="s">
        <v>15</v>
      </c>
      <c r="I1617" s="22">
        <f t="shared" si="51"/>
        <v>-5.3286094112188764E-3</v>
      </c>
      <c r="J1617" s="22" t="str">
        <f t="shared" si="52"/>
        <v>lost money</v>
      </c>
    </row>
    <row r="1618" spans="1:10">
      <c r="A1618" s="1">
        <v>41162</v>
      </c>
      <c r="B1618">
        <v>34.549999999999997</v>
      </c>
      <c r="C1618">
        <v>34.549999999999997</v>
      </c>
      <c r="D1618">
        <v>34.159999999999997</v>
      </c>
      <c r="E1618">
        <v>34.17</v>
      </c>
      <c r="F1618">
        <v>9613800</v>
      </c>
      <c r="G1618">
        <v>33.4</v>
      </c>
      <c r="H1618" t="s">
        <v>15</v>
      </c>
      <c r="I1618" s="22">
        <f t="shared" si="51"/>
        <v>-8.6451574358067402E-3</v>
      </c>
      <c r="J1618" s="22" t="str">
        <f t="shared" si="52"/>
        <v>lost money</v>
      </c>
    </row>
    <row r="1619" spans="1:10">
      <c r="A1619" s="1">
        <v>41163</v>
      </c>
      <c r="B1619">
        <v>34.119999999999997</v>
      </c>
      <c r="C1619">
        <v>34.49</v>
      </c>
      <c r="D1619">
        <v>34.03</v>
      </c>
      <c r="E1619">
        <v>34.270000000000003</v>
      </c>
      <c r="F1619">
        <v>7016100</v>
      </c>
      <c r="G1619">
        <v>33.5</v>
      </c>
      <c r="H1619" t="s">
        <v>15</v>
      </c>
      <c r="I1619" s="22">
        <f t="shared" si="51"/>
        <v>2.9895388483659859E-3</v>
      </c>
      <c r="J1619" s="22" t="str">
        <f t="shared" si="52"/>
        <v/>
      </c>
    </row>
    <row r="1620" spans="1:10">
      <c r="A1620" s="1">
        <v>41164</v>
      </c>
      <c r="B1620">
        <v>34.409999999999997</v>
      </c>
      <c r="C1620">
        <v>34.65</v>
      </c>
      <c r="D1620">
        <v>34.380000000000003</v>
      </c>
      <c r="E1620">
        <v>34.590000000000003</v>
      </c>
      <c r="F1620">
        <v>13217200</v>
      </c>
      <c r="G1620">
        <v>33.81</v>
      </c>
      <c r="H1620" t="s">
        <v>15</v>
      </c>
      <c r="I1620" s="22">
        <f t="shared" si="51"/>
        <v>9.2111778887739582E-3</v>
      </c>
      <c r="J1620" s="22" t="str">
        <f t="shared" si="52"/>
        <v/>
      </c>
    </row>
    <row r="1621" spans="1:10">
      <c r="A1621" s="1">
        <v>41165</v>
      </c>
      <c r="B1621">
        <v>34.5</v>
      </c>
      <c r="C1621">
        <v>35.31</v>
      </c>
      <c r="D1621">
        <v>34.47</v>
      </c>
      <c r="E1621">
        <v>35.25</v>
      </c>
      <c r="F1621">
        <v>11864100</v>
      </c>
      <c r="G1621">
        <v>34.46</v>
      </c>
      <c r="H1621" t="s">
        <v>15</v>
      </c>
      <c r="I1621" s="22">
        <f t="shared" si="51"/>
        <v>1.904261437998897E-2</v>
      </c>
      <c r="J1621" s="22" t="str">
        <f t="shared" si="52"/>
        <v/>
      </c>
    </row>
    <row r="1622" spans="1:10">
      <c r="A1622" s="1">
        <v>41166</v>
      </c>
      <c r="B1622">
        <v>35.200000000000003</v>
      </c>
      <c r="C1622">
        <v>35.450000000000003</v>
      </c>
      <c r="D1622">
        <v>35.04</v>
      </c>
      <c r="E1622">
        <v>35.299999999999997</v>
      </c>
      <c r="F1622">
        <v>12633100</v>
      </c>
      <c r="G1622">
        <v>34.51</v>
      </c>
      <c r="H1622" t="s">
        <v>15</v>
      </c>
      <c r="I1622" s="22">
        <f t="shared" si="51"/>
        <v>1.4499060101282905E-3</v>
      </c>
      <c r="J1622" s="22" t="str">
        <f t="shared" si="52"/>
        <v/>
      </c>
    </row>
    <row r="1623" spans="1:10">
      <c r="A1623" s="1">
        <v>41169</v>
      </c>
      <c r="B1623">
        <v>35.33</v>
      </c>
      <c r="C1623">
        <v>35.409999999999997</v>
      </c>
      <c r="D1623">
        <v>34.880000000000003</v>
      </c>
      <c r="E1623">
        <v>35.06</v>
      </c>
      <c r="F1623">
        <v>10576100</v>
      </c>
      <c r="G1623">
        <v>34.270000000000003</v>
      </c>
      <c r="H1623" t="s">
        <v>15</v>
      </c>
      <c r="I1623" s="22">
        <f t="shared" si="51"/>
        <v>-6.9788012233944208E-3</v>
      </c>
      <c r="J1623" s="22" t="str">
        <f t="shared" si="52"/>
        <v>lost money</v>
      </c>
    </row>
    <row r="1624" spans="1:10">
      <c r="A1624" s="1">
        <v>41170</v>
      </c>
      <c r="B1624">
        <v>34.909999999999997</v>
      </c>
      <c r="C1624">
        <v>35.06</v>
      </c>
      <c r="D1624">
        <v>34.72</v>
      </c>
      <c r="E1624">
        <v>34.85</v>
      </c>
      <c r="F1624">
        <v>8702600</v>
      </c>
      <c r="G1624">
        <v>34.07</v>
      </c>
      <c r="H1624" t="s">
        <v>15</v>
      </c>
      <c r="I1624" s="22">
        <f t="shared" si="51"/>
        <v>-5.8531042136423499E-3</v>
      </c>
      <c r="J1624" s="22" t="str">
        <f t="shared" si="52"/>
        <v>lost money</v>
      </c>
    </row>
    <row r="1625" spans="1:10">
      <c r="A1625" s="1">
        <v>41171</v>
      </c>
      <c r="B1625">
        <v>34.799999999999997</v>
      </c>
      <c r="C1625">
        <v>35.450000000000003</v>
      </c>
      <c r="D1625">
        <v>34.72</v>
      </c>
      <c r="E1625">
        <v>35.380000000000003</v>
      </c>
      <c r="F1625">
        <v>17049000</v>
      </c>
      <c r="G1625">
        <v>34.590000000000003</v>
      </c>
      <c r="H1625" t="s">
        <v>15</v>
      </c>
      <c r="I1625" s="22">
        <f t="shared" si="51"/>
        <v>1.5147391276202314E-2</v>
      </c>
      <c r="J1625" s="22" t="str">
        <f t="shared" si="52"/>
        <v/>
      </c>
    </row>
    <row r="1626" spans="1:10">
      <c r="A1626" s="1">
        <v>41172</v>
      </c>
      <c r="B1626">
        <v>35.26</v>
      </c>
      <c r="C1626">
        <v>35.97</v>
      </c>
      <c r="D1626">
        <v>35.19</v>
      </c>
      <c r="E1626">
        <v>35.950000000000003</v>
      </c>
      <c r="F1626">
        <v>14726900</v>
      </c>
      <c r="G1626">
        <v>35.14</v>
      </c>
      <c r="H1626" t="s">
        <v>15</v>
      </c>
      <c r="I1626" s="22">
        <f t="shared" si="51"/>
        <v>1.5775459809873795E-2</v>
      </c>
      <c r="J1626" s="22" t="str">
        <f t="shared" si="52"/>
        <v/>
      </c>
    </row>
    <row r="1627" spans="1:10">
      <c r="A1627" s="1">
        <v>41173</v>
      </c>
      <c r="B1627">
        <v>36.130000000000003</v>
      </c>
      <c r="C1627">
        <v>36.54</v>
      </c>
      <c r="D1627">
        <v>35.950000000000003</v>
      </c>
      <c r="E1627">
        <v>36.22</v>
      </c>
      <c r="F1627">
        <v>24190100</v>
      </c>
      <c r="G1627">
        <v>35.409999999999997</v>
      </c>
      <c r="H1627" t="s">
        <v>15</v>
      </c>
      <c r="I1627" s="22">
        <f t="shared" si="51"/>
        <v>7.6541833648610365E-3</v>
      </c>
      <c r="J1627" s="22" t="str">
        <f t="shared" si="52"/>
        <v/>
      </c>
    </row>
    <row r="1628" spans="1:10">
      <c r="A1628" s="1">
        <v>41176</v>
      </c>
      <c r="B1628">
        <v>36.159999999999997</v>
      </c>
      <c r="C1628">
        <v>36.54</v>
      </c>
      <c r="D1628">
        <v>36.03</v>
      </c>
      <c r="E1628">
        <v>36.43</v>
      </c>
      <c r="F1628">
        <v>10254100</v>
      </c>
      <c r="G1628">
        <v>35.61</v>
      </c>
      <c r="H1628" t="s">
        <v>15</v>
      </c>
      <c r="I1628" s="22">
        <f t="shared" si="51"/>
        <v>5.6322311658741249E-3</v>
      </c>
      <c r="J1628" s="22" t="str">
        <f t="shared" si="52"/>
        <v/>
      </c>
    </row>
    <row r="1629" spans="1:10">
      <c r="A1629" s="1">
        <v>41177</v>
      </c>
      <c r="B1629">
        <v>36.67</v>
      </c>
      <c r="C1629">
        <v>36.9</v>
      </c>
      <c r="D1629">
        <v>35.83</v>
      </c>
      <c r="E1629">
        <v>35.86</v>
      </c>
      <c r="F1629">
        <v>17236200</v>
      </c>
      <c r="G1629">
        <v>35.06</v>
      </c>
      <c r="H1629" t="s">
        <v>15</v>
      </c>
      <c r="I1629" s="22">
        <f t="shared" si="51"/>
        <v>-1.5565617796597889E-2</v>
      </c>
      <c r="J1629" s="22" t="str">
        <f t="shared" si="52"/>
        <v>lost money</v>
      </c>
    </row>
    <row r="1630" spans="1:10">
      <c r="A1630" s="1">
        <v>41178</v>
      </c>
      <c r="B1630">
        <v>35.909999999999997</v>
      </c>
      <c r="C1630">
        <v>35.979999999999997</v>
      </c>
      <c r="D1630">
        <v>35.06</v>
      </c>
      <c r="E1630">
        <v>35.119999999999997</v>
      </c>
      <c r="F1630">
        <v>13915900</v>
      </c>
      <c r="G1630">
        <v>34.33</v>
      </c>
      <c r="H1630" t="s">
        <v>15</v>
      </c>
      <c r="I1630" s="22">
        <f t="shared" si="51"/>
        <v>-2.1041272023487888E-2</v>
      </c>
      <c r="J1630" s="22" t="str">
        <f t="shared" si="52"/>
        <v>lost money</v>
      </c>
    </row>
    <row r="1631" spans="1:10">
      <c r="A1631" s="1">
        <v>41179</v>
      </c>
      <c r="B1631">
        <v>35.369999999999997</v>
      </c>
      <c r="C1631">
        <v>35.869999999999997</v>
      </c>
      <c r="D1631">
        <v>35.28</v>
      </c>
      <c r="E1631">
        <v>35.79</v>
      </c>
      <c r="F1631">
        <v>12729800</v>
      </c>
      <c r="G1631">
        <v>34.99</v>
      </c>
      <c r="H1631" t="s">
        <v>15</v>
      </c>
      <c r="I1631" s="22">
        <f t="shared" si="51"/>
        <v>1.9042698909996113E-2</v>
      </c>
      <c r="J1631" s="22" t="str">
        <f t="shared" si="52"/>
        <v/>
      </c>
    </row>
    <row r="1632" spans="1:10">
      <c r="A1632" s="1">
        <v>41180</v>
      </c>
      <c r="B1632">
        <v>35.75</v>
      </c>
      <c r="C1632">
        <v>35.94</v>
      </c>
      <c r="D1632">
        <v>35.57</v>
      </c>
      <c r="E1632">
        <v>35.74</v>
      </c>
      <c r="F1632">
        <v>10326000</v>
      </c>
      <c r="G1632">
        <v>34.94</v>
      </c>
      <c r="H1632" t="s">
        <v>15</v>
      </c>
      <c r="I1632" s="22">
        <f t="shared" si="51"/>
        <v>-1.4300016736862224E-3</v>
      </c>
      <c r="J1632" s="22" t="str">
        <f t="shared" si="52"/>
        <v>lost money</v>
      </c>
    </row>
    <row r="1633" spans="1:10">
      <c r="A1633" s="1">
        <v>41183</v>
      </c>
      <c r="B1633">
        <v>35.950000000000003</v>
      </c>
      <c r="C1633">
        <v>36.159999999999997</v>
      </c>
      <c r="D1633">
        <v>35.29</v>
      </c>
      <c r="E1633">
        <v>35.380000000000003</v>
      </c>
      <c r="F1633">
        <v>11387600</v>
      </c>
      <c r="G1633">
        <v>34.74</v>
      </c>
      <c r="H1633" t="s">
        <v>15</v>
      </c>
      <c r="I1633" s="22">
        <f t="shared" si="51"/>
        <v>-5.7405438929514991E-3</v>
      </c>
      <c r="J1633" s="22" t="str">
        <f t="shared" si="52"/>
        <v>lost money</v>
      </c>
    </row>
    <row r="1634" spans="1:10">
      <c r="A1634" s="1">
        <v>41184</v>
      </c>
      <c r="B1634">
        <v>35.46</v>
      </c>
      <c r="C1634">
        <v>36.07</v>
      </c>
      <c r="D1634">
        <v>35.46</v>
      </c>
      <c r="E1634">
        <v>35.840000000000003</v>
      </c>
      <c r="F1634">
        <v>12708700</v>
      </c>
      <c r="G1634">
        <v>35.200000000000003</v>
      </c>
      <c r="H1634" t="s">
        <v>15</v>
      </c>
      <c r="I1634" s="22">
        <f t="shared" si="51"/>
        <v>1.315432179109248E-2</v>
      </c>
      <c r="J1634" s="22" t="str">
        <f t="shared" si="52"/>
        <v/>
      </c>
    </row>
    <row r="1635" spans="1:10">
      <c r="A1635" s="1">
        <v>41185</v>
      </c>
      <c r="B1635">
        <v>35.93</v>
      </c>
      <c r="C1635">
        <v>36.47</v>
      </c>
      <c r="D1635">
        <v>35.89</v>
      </c>
      <c r="E1635">
        <v>36.200000000000003</v>
      </c>
      <c r="F1635">
        <v>10391400</v>
      </c>
      <c r="G1635">
        <v>35.549999999999997</v>
      </c>
      <c r="H1635" t="s">
        <v>15</v>
      </c>
      <c r="I1635" s="22">
        <f t="shared" si="51"/>
        <v>9.8940736451983164E-3</v>
      </c>
      <c r="J1635" s="22" t="str">
        <f t="shared" si="52"/>
        <v/>
      </c>
    </row>
    <row r="1636" spans="1:10">
      <c r="A1636" s="1">
        <v>41186</v>
      </c>
      <c r="B1636">
        <v>36.44</v>
      </c>
      <c r="C1636">
        <v>36.700000000000003</v>
      </c>
      <c r="D1636">
        <v>36.25</v>
      </c>
      <c r="E1636">
        <v>36.5</v>
      </c>
      <c r="F1636">
        <v>9366900</v>
      </c>
      <c r="G1636">
        <v>35.840000000000003</v>
      </c>
      <c r="H1636" t="s">
        <v>15</v>
      </c>
      <c r="I1636" s="22">
        <f t="shared" si="51"/>
        <v>8.1244318574800779E-3</v>
      </c>
      <c r="J1636" s="22" t="str">
        <f t="shared" si="52"/>
        <v/>
      </c>
    </row>
    <row r="1637" spans="1:10">
      <c r="A1637" s="1">
        <v>41187</v>
      </c>
      <c r="B1637">
        <v>36.72</v>
      </c>
      <c r="C1637">
        <v>36.979999999999997</v>
      </c>
      <c r="D1637">
        <v>36.46</v>
      </c>
      <c r="E1637">
        <v>36.54</v>
      </c>
      <c r="F1637">
        <v>8425900</v>
      </c>
      <c r="G1637">
        <v>35.880000000000003</v>
      </c>
      <c r="H1637" t="s">
        <v>15</v>
      </c>
      <c r="I1637" s="22">
        <f t="shared" si="51"/>
        <v>1.1154490838656155E-3</v>
      </c>
      <c r="J1637" s="22" t="str">
        <f t="shared" si="52"/>
        <v>lost money</v>
      </c>
    </row>
    <row r="1638" spans="1:10">
      <c r="A1638" s="1">
        <v>41190</v>
      </c>
      <c r="B1638">
        <v>36.35</v>
      </c>
      <c r="C1638">
        <v>36.47</v>
      </c>
      <c r="D1638">
        <v>36.17</v>
      </c>
      <c r="E1638">
        <v>36.21</v>
      </c>
      <c r="F1638">
        <v>10219100</v>
      </c>
      <c r="G1638">
        <v>35.56</v>
      </c>
      <c r="H1638" t="s">
        <v>15</v>
      </c>
      <c r="I1638" s="22">
        <f t="shared" si="51"/>
        <v>-8.9586265448915719E-3</v>
      </c>
      <c r="J1638" s="22" t="str">
        <f t="shared" si="52"/>
        <v>lost money</v>
      </c>
    </row>
    <row r="1639" spans="1:10">
      <c r="A1639" s="1">
        <v>41191</v>
      </c>
      <c r="B1639">
        <v>36.049999999999997</v>
      </c>
      <c r="C1639">
        <v>36.159999999999997</v>
      </c>
      <c r="D1639">
        <v>35.29</v>
      </c>
      <c r="E1639">
        <v>35.32</v>
      </c>
      <c r="F1639">
        <v>12280400</v>
      </c>
      <c r="G1639">
        <v>34.69</v>
      </c>
      <c r="H1639" t="s">
        <v>15</v>
      </c>
      <c r="I1639" s="22">
        <f t="shared" si="51"/>
        <v>-2.4769949664045589E-2</v>
      </c>
      <c r="J1639" s="22" t="str">
        <f t="shared" si="52"/>
        <v>lost money</v>
      </c>
    </row>
    <row r="1640" spans="1:10">
      <c r="A1640" s="1">
        <v>41192</v>
      </c>
      <c r="B1640">
        <v>35.44</v>
      </c>
      <c r="C1640">
        <v>35.44</v>
      </c>
      <c r="D1640">
        <v>34.94</v>
      </c>
      <c r="E1640">
        <v>35.159999999999997</v>
      </c>
      <c r="F1640">
        <v>16710300</v>
      </c>
      <c r="G1640">
        <v>34.53</v>
      </c>
      <c r="H1640" t="s">
        <v>15</v>
      </c>
      <c r="I1640" s="22">
        <f t="shared" si="51"/>
        <v>-4.6229495797572443E-3</v>
      </c>
      <c r="J1640" s="22" t="str">
        <f t="shared" si="52"/>
        <v>lost money</v>
      </c>
    </row>
    <row r="1641" spans="1:10">
      <c r="A1641" s="1">
        <v>41193</v>
      </c>
      <c r="B1641">
        <v>35.369999999999997</v>
      </c>
      <c r="C1641">
        <v>35.56</v>
      </c>
      <c r="D1641">
        <v>35.1</v>
      </c>
      <c r="E1641">
        <v>35.130000000000003</v>
      </c>
      <c r="F1641">
        <v>14016400</v>
      </c>
      <c r="G1641">
        <v>34.5</v>
      </c>
      <c r="H1641" t="s">
        <v>15</v>
      </c>
      <c r="I1641" s="22">
        <f t="shared" si="51"/>
        <v>-8.6918736458696229E-4</v>
      </c>
      <c r="J1641" s="22" t="str">
        <f t="shared" si="52"/>
        <v>lost money</v>
      </c>
    </row>
    <row r="1642" spans="1:10">
      <c r="A1642" s="1">
        <v>41194</v>
      </c>
      <c r="B1642">
        <v>35.29</v>
      </c>
      <c r="C1642">
        <v>35.869999999999997</v>
      </c>
      <c r="D1642">
        <v>35.159999999999997</v>
      </c>
      <c r="E1642">
        <v>35.78</v>
      </c>
      <c r="F1642">
        <v>12002800</v>
      </c>
      <c r="G1642">
        <v>35.14</v>
      </c>
      <c r="H1642" t="s">
        <v>15</v>
      </c>
      <c r="I1642" s="22">
        <f t="shared" si="51"/>
        <v>1.8380758721637157E-2</v>
      </c>
      <c r="J1642" s="22" t="str">
        <f t="shared" si="52"/>
        <v/>
      </c>
    </row>
    <row r="1643" spans="1:10">
      <c r="A1643" s="1">
        <v>41197</v>
      </c>
      <c r="B1643">
        <v>35.83</v>
      </c>
      <c r="C1643">
        <v>36.53</v>
      </c>
      <c r="D1643">
        <v>35.76</v>
      </c>
      <c r="E1643">
        <v>36.43</v>
      </c>
      <c r="F1643">
        <v>11803800</v>
      </c>
      <c r="G1643">
        <v>35.78</v>
      </c>
      <c r="H1643" t="s">
        <v>15</v>
      </c>
      <c r="I1643" s="22">
        <f t="shared" si="51"/>
        <v>1.8048995321621922E-2</v>
      </c>
      <c r="J1643" s="22" t="str">
        <f t="shared" si="52"/>
        <v/>
      </c>
    </row>
    <row r="1644" spans="1:10">
      <c r="A1644" s="1">
        <v>41198</v>
      </c>
      <c r="B1644">
        <v>36.58</v>
      </c>
      <c r="C1644">
        <v>36.909999999999997</v>
      </c>
      <c r="D1644">
        <v>36.479999999999997</v>
      </c>
      <c r="E1644">
        <v>36.67</v>
      </c>
      <c r="F1644">
        <v>9743300</v>
      </c>
      <c r="G1644">
        <v>36.01</v>
      </c>
      <c r="H1644" t="s">
        <v>15</v>
      </c>
      <c r="I1644" s="22">
        <f t="shared" si="51"/>
        <v>6.4075995802106503E-3</v>
      </c>
      <c r="J1644" s="22" t="str">
        <f t="shared" si="52"/>
        <v/>
      </c>
    </row>
    <row r="1645" spans="1:10">
      <c r="A1645" s="1">
        <v>41199</v>
      </c>
      <c r="B1645">
        <v>36.82</v>
      </c>
      <c r="C1645">
        <v>37.22</v>
      </c>
      <c r="D1645">
        <v>36.67</v>
      </c>
      <c r="E1645">
        <v>37.119999999999997</v>
      </c>
      <c r="F1645">
        <v>10123100</v>
      </c>
      <c r="G1645">
        <v>36.450000000000003</v>
      </c>
      <c r="H1645" t="s">
        <v>15</v>
      </c>
      <c r="I1645" s="22">
        <f t="shared" si="51"/>
        <v>1.2144780793883526E-2</v>
      </c>
      <c r="J1645" s="22" t="str">
        <f t="shared" si="52"/>
        <v/>
      </c>
    </row>
    <row r="1646" spans="1:10">
      <c r="A1646" s="1">
        <v>41200</v>
      </c>
      <c r="B1646">
        <v>37.1</v>
      </c>
      <c r="C1646">
        <v>37.6</v>
      </c>
      <c r="D1646">
        <v>36.89</v>
      </c>
      <c r="E1646">
        <v>37.29</v>
      </c>
      <c r="F1646">
        <v>13998500</v>
      </c>
      <c r="G1646">
        <v>36.619999999999997</v>
      </c>
      <c r="H1646" t="s">
        <v>15</v>
      </c>
      <c r="I1646" s="22">
        <f t="shared" si="51"/>
        <v>4.6530807916972628E-3</v>
      </c>
      <c r="J1646" s="22" t="str">
        <f t="shared" si="52"/>
        <v/>
      </c>
    </row>
    <row r="1647" spans="1:10">
      <c r="A1647" s="1">
        <v>41201</v>
      </c>
      <c r="B1647">
        <v>37.21</v>
      </c>
      <c r="C1647">
        <v>37.5</v>
      </c>
      <c r="D1647">
        <v>36.619999999999997</v>
      </c>
      <c r="E1647">
        <v>36.950000000000003</v>
      </c>
      <c r="F1647">
        <v>14775700</v>
      </c>
      <c r="G1647">
        <v>36.29</v>
      </c>
      <c r="H1647" t="s">
        <v>15</v>
      </c>
      <c r="I1647" s="22">
        <f t="shared" si="51"/>
        <v>-9.0523180213856556E-3</v>
      </c>
      <c r="J1647" s="22" t="str">
        <f t="shared" si="52"/>
        <v>lost money</v>
      </c>
    </row>
    <row r="1648" spans="1:10">
      <c r="A1648" s="1">
        <v>41204</v>
      </c>
      <c r="B1648">
        <v>36.86</v>
      </c>
      <c r="C1648">
        <v>37.17</v>
      </c>
      <c r="D1648">
        <v>36.700000000000003</v>
      </c>
      <c r="E1648">
        <v>37.03</v>
      </c>
      <c r="F1648">
        <v>10543100</v>
      </c>
      <c r="G1648">
        <v>36.36</v>
      </c>
      <c r="H1648" t="s">
        <v>15</v>
      </c>
      <c r="I1648" s="22">
        <f t="shared" si="51"/>
        <v>1.9270480842991013E-3</v>
      </c>
      <c r="J1648" s="22" t="str">
        <f t="shared" si="52"/>
        <v/>
      </c>
    </row>
    <row r="1649" spans="1:10">
      <c r="A1649" s="1">
        <v>41205</v>
      </c>
      <c r="B1649">
        <v>36.56</v>
      </c>
      <c r="C1649">
        <v>36.69</v>
      </c>
      <c r="D1649">
        <v>36.07</v>
      </c>
      <c r="E1649">
        <v>36.43</v>
      </c>
      <c r="F1649">
        <v>14041900</v>
      </c>
      <c r="G1649">
        <v>35.78</v>
      </c>
      <c r="H1649" t="s">
        <v>15</v>
      </c>
      <c r="I1649" s="22">
        <f t="shared" si="51"/>
        <v>-1.6080191228704972E-2</v>
      </c>
      <c r="J1649" s="22" t="str">
        <f t="shared" si="52"/>
        <v>lost money</v>
      </c>
    </row>
    <row r="1650" spans="1:10">
      <c r="A1650" s="1">
        <v>41206</v>
      </c>
      <c r="B1650">
        <v>36.61</v>
      </c>
      <c r="C1650">
        <v>36.85</v>
      </c>
      <c r="D1650">
        <v>36.33</v>
      </c>
      <c r="E1650">
        <v>36.42</v>
      </c>
      <c r="F1650">
        <v>12721600</v>
      </c>
      <c r="G1650">
        <v>35.770000000000003</v>
      </c>
      <c r="H1650" t="s">
        <v>15</v>
      </c>
      <c r="I1650" s="22">
        <f t="shared" si="51"/>
        <v>-2.795248096467249E-4</v>
      </c>
      <c r="J1650" s="22" t="str">
        <f t="shared" si="52"/>
        <v>lost money</v>
      </c>
    </row>
    <row r="1651" spans="1:10">
      <c r="A1651" s="1">
        <v>41207</v>
      </c>
      <c r="B1651">
        <v>36.68</v>
      </c>
      <c r="C1651">
        <v>36.9</v>
      </c>
      <c r="D1651">
        <v>36.200000000000003</v>
      </c>
      <c r="E1651">
        <v>36.36</v>
      </c>
      <c r="F1651">
        <v>10891600</v>
      </c>
      <c r="G1651">
        <v>35.71</v>
      </c>
      <c r="H1651" t="s">
        <v>15</v>
      </c>
      <c r="I1651" s="22">
        <f t="shared" si="51"/>
        <v>-1.6787916645693425E-3</v>
      </c>
      <c r="J1651" s="22" t="str">
        <f t="shared" si="52"/>
        <v>lost money</v>
      </c>
    </row>
    <row r="1652" spans="1:10">
      <c r="A1652" s="1">
        <v>41208</v>
      </c>
      <c r="B1652">
        <v>36.630000000000003</v>
      </c>
      <c r="C1652">
        <v>37.78</v>
      </c>
      <c r="D1652">
        <v>36.630000000000003</v>
      </c>
      <c r="E1652">
        <v>37.56</v>
      </c>
      <c r="F1652">
        <v>23692100</v>
      </c>
      <c r="G1652">
        <v>36.89</v>
      </c>
      <c r="H1652" t="s">
        <v>15</v>
      </c>
      <c r="I1652" s="22">
        <f t="shared" si="51"/>
        <v>3.2509750002227285E-2</v>
      </c>
      <c r="J1652" s="22" t="str">
        <f t="shared" si="52"/>
        <v/>
      </c>
    </row>
    <row r="1653" spans="1:10">
      <c r="A1653" s="1">
        <v>41213</v>
      </c>
      <c r="B1653">
        <v>37.6</v>
      </c>
      <c r="C1653">
        <v>37.85</v>
      </c>
      <c r="D1653">
        <v>37.119999999999997</v>
      </c>
      <c r="E1653">
        <v>37.53</v>
      </c>
      <c r="F1653">
        <v>16202500</v>
      </c>
      <c r="G1653">
        <v>36.86</v>
      </c>
      <c r="H1653" t="s">
        <v>15</v>
      </c>
      <c r="I1653" s="22">
        <f t="shared" si="51"/>
        <v>-8.1355936690702966E-4</v>
      </c>
      <c r="J1653" s="22" t="str">
        <f t="shared" si="52"/>
        <v>lost money</v>
      </c>
    </row>
    <row r="1654" spans="1:10">
      <c r="A1654" s="1">
        <v>41214</v>
      </c>
      <c r="B1654">
        <v>37.659999999999997</v>
      </c>
      <c r="C1654">
        <v>37.950000000000003</v>
      </c>
      <c r="D1654">
        <v>37.36</v>
      </c>
      <c r="E1654">
        <v>37.549999999999997</v>
      </c>
      <c r="F1654">
        <v>12076800</v>
      </c>
      <c r="G1654">
        <v>36.880000000000003</v>
      </c>
      <c r="H1654" t="s">
        <v>15</v>
      </c>
      <c r="I1654" s="22">
        <f t="shared" si="51"/>
        <v>5.4244644671602835E-4</v>
      </c>
      <c r="J1654" s="22" t="str">
        <f t="shared" si="52"/>
        <v>lost money</v>
      </c>
    </row>
    <row r="1655" spans="1:10">
      <c r="A1655" s="1">
        <v>41215</v>
      </c>
      <c r="B1655">
        <v>37.79</v>
      </c>
      <c r="C1655">
        <v>37.96</v>
      </c>
      <c r="D1655">
        <v>37.57</v>
      </c>
      <c r="E1655">
        <v>37.61</v>
      </c>
      <c r="F1655">
        <v>14147900</v>
      </c>
      <c r="G1655">
        <v>36.93</v>
      </c>
      <c r="H1655" t="s">
        <v>15</v>
      </c>
      <c r="I1655" s="22">
        <f t="shared" si="51"/>
        <v>1.354830176078731E-3</v>
      </c>
      <c r="J1655" s="22" t="str">
        <f t="shared" si="52"/>
        <v>lost money</v>
      </c>
    </row>
    <row r="1656" spans="1:10">
      <c r="A1656" s="1">
        <v>41218</v>
      </c>
      <c r="B1656">
        <v>37.380000000000003</v>
      </c>
      <c r="C1656">
        <v>37.49</v>
      </c>
      <c r="D1656">
        <v>36.72</v>
      </c>
      <c r="E1656">
        <v>37.43</v>
      </c>
      <c r="F1656">
        <v>13215700</v>
      </c>
      <c r="G1656">
        <v>36.76</v>
      </c>
      <c r="H1656" t="s">
        <v>15</v>
      </c>
      <c r="I1656" s="22">
        <f t="shared" si="51"/>
        <v>-4.6139313769855573E-3</v>
      </c>
      <c r="J1656" s="22" t="str">
        <f t="shared" si="52"/>
        <v/>
      </c>
    </row>
    <row r="1657" spans="1:10">
      <c r="A1657" s="1">
        <v>41219</v>
      </c>
      <c r="B1657">
        <v>37.409999999999997</v>
      </c>
      <c r="C1657">
        <v>37.5</v>
      </c>
      <c r="D1657">
        <v>37.17</v>
      </c>
      <c r="E1657">
        <v>37.17</v>
      </c>
      <c r="F1657">
        <v>13631700</v>
      </c>
      <c r="G1657">
        <v>36.5</v>
      </c>
      <c r="H1657" t="s">
        <v>15</v>
      </c>
      <c r="I1657" s="22">
        <f t="shared" si="51"/>
        <v>-7.0980368990404283E-3</v>
      </c>
      <c r="J1657" s="22" t="str">
        <f t="shared" si="52"/>
        <v>lost money</v>
      </c>
    </row>
    <row r="1658" spans="1:10">
      <c r="A1658" s="1">
        <v>41220</v>
      </c>
      <c r="B1658">
        <v>36.82</v>
      </c>
      <c r="C1658">
        <v>36.93</v>
      </c>
      <c r="D1658">
        <v>36.04</v>
      </c>
      <c r="E1658">
        <v>36.58</v>
      </c>
      <c r="F1658">
        <v>17394200</v>
      </c>
      <c r="G1658">
        <v>35.92</v>
      </c>
      <c r="H1658" t="s">
        <v>15</v>
      </c>
      <c r="I1658" s="22">
        <f t="shared" si="51"/>
        <v>-1.6018017154446944E-2</v>
      </c>
      <c r="J1658" s="22" t="str">
        <f t="shared" si="52"/>
        <v>lost money</v>
      </c>
    </row>
    <row r="1659" spans="1:10">
      <c r="A1659" s="1">
        <v>41221</v>
      </c>
      <c r="B1659">
        <v>36.42</v>
      </c>
      <c r="C1659">
        <v>36.83</v>
      </c>
      <c r="D1659">
        <v>36.19</v>
      </c>
      <c r="E1659">
        <v>36.200000000000003</v>
      </c>
      <c r="F1659">
        <v>11591100</v>
      </c>
      <c r="G1659">
        <v>35.549999999999997</v>
      </c>
      <c r="H1659" t="s">
        <v>15</v>
      </c>
      <c r="I1659" s="22">
        <f t="shared" si="51"/>
        <v>-1.0354087184749122E-2</v>
      </c>
      <c r="J1659" s="22" t="str">
        <f t="shared" si="52"/>
        <v>lost money</v>
      </c>
    </row>
    <row r="1660" spans="1:10">
      <c r="A1660" s="1">
        <v>41222</v>
      </c>
      <c r="B1660">
        <v>36</v>
      </c>
      <c r="C1660">
        <v>36.31</v>
      </c>
      <c r="D1660">
        <v>35.85</v>
      </c>
      <c r="E1660">
        <v>36.119999999999997</v>
      </c>
      <c r="F1660">
        <v>12117600</v>
      </c>
      <c r="G1660">
        <v>35.47</v>
      </c>
      <c r="H1660" t="s">
        <v>15</v>
      </c>
      <c r="I1660" s="22">
        <f t="shared" si="51"/>
        <v>-2.2528874637193341E-3</v>
      </c>
      <c r="J1660" s="22" t="str">
        <f t="shared" si="52"/>
        <v/>
      </c>
    </row>
    <row r="1661" spans="1:10">
      <c r="A1661" s="1">
        <v>41225</v>
      </c>
      <c r="B1661">
        <v>36.11</v>
      </c>
      <c r="C1661">
        <v>36.24</v>
      </c>
      <c r="D1661">
        <v>35.840000000000003</v>
      </c>
      <c r="E1661">
        <v>36.17</v>
      </c>
      <c r="F1661">
        <v>8246700</v>
      </c>
      <c r="G1661">
        <v>35.520000000000003</v>
      </c>
      <c r="H1661" t="s">
        <v>15</v>
      </c>
      <c r="I1661" s="22">
        <f t="shared" si="51"/>
        <v>1.4086493384390096E-3</v>
      </c>
      <c r="J1661" s="22" t="str">
        <f t="shared" si="52"/>
        <v/>
      </c>
    </row>
    <row r="1662" spans="1:10">
      <c r="A1662" s="1">
        <v>41226</v>
      </c>
      <c r="B1662">
        <v>36.1</v>
      </c>
      <c r="C1662">
        <v>36.590000000000003</v>
      </c>
      <c r="D1662">
        <v>35.75</v>
      </c>
      <c r="E1662">
        <v>36.11</v>
      </c>
      <c r="F1662">
        <v>12538900</v>
      </c>
      <c r="G1662">
        <v>35.46</v>
      </c>
      <c r="H1662" t="s">
        <v>15</v>
      </c>
      <c r="I1662" s="22">
        <f t="shared" si="51"/>
        <v>-1.6906174779075501E-3</v>
      </c>
      <c r="J1662" s="22" t="str">
        <f t="shared" si="52"/>
        <v/>
      </c>
    </row>
    <row r="1663" spans="1:10">
      <c r="A1663" s="1">
        <v>41227</v>
      </c>
      <c r="B1663">
        <v>36.21</v>
      </c>
      <c r="C1663">
        <v>36.22</v>
      </c>
      <c r="D1663">
        <v>35.31</v>
      </c>
      <c r="E1663">
        <v>35.4</v>
      </c>
      <c r="F1663">
        <v>13573600</v>
      </c>
      <c r="G1663">
        <v>34.76</v>
      </c>
      <c r="H1663" t="s">
        <v>15</v>
      </c>
      <c r="I1663" s="22">
        <f t="shared" si="51"/>
        <v>-1.9938000248870654E-2</v>
      </c>
      <c r="J1663" s="22" t="str">
        <f t="shared" si="52"/>
        <v>lost money</v>
      </c>
    </row>
    <row r="1664" spans="1:10">
      <c r="A1664" s="1">
        <v>41228</v>
      </c>
      <c r="B1664">
        <v>35.4</v>
      </c>
      <c r="C1664">
        <v>35.700000000000003</v>
      </c>
      <c r="D1664">
        <v>34.96</v>
      </c>
      <c r="E1664">
        <v>35.14</v>
      </c>
      <c r="F1664">
        <v>11606200</v>
      </c>
      <c r="G1664">
        <v>34.51</v>
      </c>
      <c r="H1664" t="s">
        <v>15</v>
      </c>
      <c r="I1664" s="22">
        <f t="shared" si="51"/>
        <v>-7.2181632872792929E-3</v>
      </c>
      <c r="J1664" s="22" t="str">
        <f t="shared" si="52"/>
        <v>lost money</v>
      </c>
    </row>
    <row r="1665" spans="1:10">
      <c r="A1665" s="1">
        <v>41229</v>
      </c>
      <c r="B1665">
        <v>35.17</v>
      </c>
      <c r="C1665">
        <v>35.57</v>
      </c>
      <c r="D1665">
        <v>34.950000000000003</v>
      </c>
      <c r="E1665">
        <v>35.450000000000003</v>
      </c>
      <c r="F1665">
        <v>15955500</v>
      </c>
      <c r="G1665">
        <v>34.81</v>
      </c>
      <c r="H1665" t="s">
        <v>15</v>
      </c>
      <c r="I1665" s="22">
        <f t="shared" si="51"/>
        <v>8.6555647134355946E-3</v>
      </c>
      <c r="J1665" s="22" t="str">
        <f t="shared" si="52"/>
        <v/>
      </c>
    </row>
    <row r="1666" spans="1:10">
      <c r="A1666" s="1">
        <v>41232</v>
      </c>
      <c r="B1666">
        <v>35.799999999999997</v>
      </c>
      <c r="C1666">
        <v>36.03</v>
      </c>
      <c r="D1666">
        <v>35.5</v>
      </c>
      <c r="E1666">
        <v>36.01</v>
      </c>
      <c r="F1666">
        <v>10694500</v>
      </c>
      <c r="G1666">
        <v>35.36</v>
      </c>
      <c r="H1666" t="s">
        <v>15</v>
      </c>
      <c r="I1666" s="22">
        <f t="shared" si="51"/>
        <v>1.5676535946095096E-2</v>
      </c>
      <c r="J1666" s="22" t="str">
        <f t="shared" si="52"/>
        <v/>
      </c>
    </row>
    <row r="1667" spans="1:10">
      <c r="A1667" s="1">
        <v>41233</v>
      </c>
      <c r="B1667">
        <v>35.96</v>
      </c>
      <c r="C1667">
        <v>36.619999999999997</v>
      </c>
      <c r="D1667">
        <v>35.9</v>
      </c>
      <c r="E1667">
        <v>36.56</v>
      </c>
      <c r="F1667">
        <v>11059600</v>
      </c>
      <c r="G1667">
        <v>35.9</v>
      </c>
      <c r="H1667" t="s">
        <v>15</v>
      </c>
      <c r="I1667" s="22">
        <f t="shared" ref="I1667:I1730" si="53">IF(A1667=$A$2,"",LN(G1667/G1666))</f>
        <v>1.515605772479045E-2</v>
      </c>
      <c r="J1667" s="22" t="str">
        <f t="shared" ref="J1667:J1730" si="54">IF(B1667&gt;E1667,"lost money","")</f>
        <v/>
      </c>
    </row>
    <row r="1668" spans="1:10">
      <c r="A1668" s="1">
        <v>41234</v>
      </c>
      <c r="B1668">
        <v>36.65</v>
      </c>
      <c r="C1668">
        <v>36.65</v>
      </c>
      <c r="D1668">
        <v>36.26</v>
      </c>
      <c r="E1668">
        <v>36.49</v>
      </c>
      <c r="F1668">
        <v>5980900</v>
      </c>
      <c r="G1668">
        <v>35.83</v>
      </c>
      <c r="H1668" t="s">
        <v>15</v>
      </c>
      <c r="I1668" s="22">
        <f t="shared" si="53"/>
        <v>-1.951764177370738E-3</v>
      </c>
      <c r="J1668" s="22" t="str">
        <f t="shared" si="54"/>
        <v>lost money</v>
      </c>
    </row>
    <row r="1669" spans="1:10">
      <c r="A1669" s="1">
        <v>41236</v>
      </c>
      <c r="B1669">
        <v>36.76</v>
      </c>
      <c r="C1669">
        <v>36.909999999999997</v>
      </c>
      <c r="D1669">
        <v>36.56</v>
      </c>
      <c r="E1669">
        <v>36.909999999999997</v>
      </c>
      <c r="F1669">
        <v>3662100</v>
      </c>
      <c r="G1669">
        <v>36.25</v>
      </c>
      <c r="H1669" t="s">
        <v>15</v>
      </c>
      <c r="I1669" s="22">
        <f t="shared" si="53"/>
        <v>1.1653849983821471E-2</v>
      </c>
      <c r="J1669" s="22" t="str">
        <f t="shared" si="54"/>
        <v/>
      </c>
    </row>
    <row r="1670" spans="1:10">
      <c r="A1670" s="1">
        <v>41239</v>
      </c>
      <c r="B1670">
        <v>36.69</v>
      </c>
      <c r="C1670">
        <v>36.83</v>
      </c>
      <c r="D1670">
        <v>36.53</v>
      </c>
      <c r="E1670">
        <v>36.630000000000003</v>
      </c>
      <c r="F1670">
        <v>7104100</v>
      </c>
      <c r="G1670">
        <v>35.97</v>
      </c>
      <c r="H1670" t="s">
        <v>15</v>
      </c>
      <c r="I1670" s="22">
        <f t="shared" si="53"/>
        <v>-7.7541235931512797E-3</v>
      </c>
      <c r="J1670" s="22" t="str">
        <f t="shared" si="54"/>
        <v>lost money</v>
      </c>
    </row>
    <row r="1671" spans="1:10">
      <c r="A1671" s="1">
        <v>41240</v>
      </c>
      <c r="B1671">
        <v>36.44</v>
      </c>
      <c r="C1671">
        <v>36.65</v>
      </c>
      <c r="D1671">
        <v>36.25</v>
      </c>
      <c r="E1671">
        <v>36.29</v>
      </c>
      <c r="F1671">
        <v>8589100</v>
      </c>
      <c r="G1671">
        <v>35.64</v>
      </c>
      <c r="H1671" t="s">
        <v>15</v>
      </c>
      <c r="I1671" s="22">
        <f t="shared" si="53"/>
        <v>-9.2166551049239522E-3</v>
      </c>
      <c r="J1671" s="22" t="str">
        <f t="shared" si="54"/>
        <v>lost money</v>
      </c>
    </row>
    <row r="1672" spans="1:10">
      <c r="A1672" s="1">
        <v>41241</v>
      </c>
      <c r="B1672">
        <v>36.26</v>
      </c>
      <c r="C1672">
        <v>36.71</v>
      </c>
      <c r="D1672">
        <v>35.9</v>
      </c>
      <c r="E1672">
        <v>36.659999999999997</v>
      </c>
      <c r="F1672">
        <v>13273900</v>
      </c>
      <c r="G1672">
        <v>36</v>
      </c>
      <c r="H1672" t="s">
        <v>15</v>
      </c>
      <c r="I1672" s="22">
        <f t="shared" si="53"/>
        <v>1.0050335853501506E-2</v>
      </c>
      <c r="J1672" s="22" t="str">
        <f t="shared" si="54"/>
        <v/>
      </c>
    </row>
    <row r="1673" spans="1:10">
      <c r="A1673" s="1">
        <v>41242</v>
      </c>
      <c r="B1673">
        <v>36.700000000000003</v>
      </c>
      <c r="C1673">
        <v>36.9</v>
      </c>
      <c r="D1673">
        <v>36.43</v>
      </c>
      <c r="E1673">
        <v>36.86</v>
      </c>
      <c r="F1673">
        <v>11492800</v>
      </c>
      <c r="G1673">
        <v>36.200000000000003</v>
      </c>
      <c r="H1673" t="s">
        <v>15</v>
      </c>
      <c r="I1673" s="22">
        <f t="shared" si="53"/>
        <v>5.5401803756153509E-3</v>
      </c>
      <c r="J1673" s="22" t="str">
        <f t="shared" si="54"/>
        <v/>
      </c>
    </row>
    <row r="1674" spans="1:10">
      <c r="A1674" s="1">
        <v>41243</v>
      </c>
      <c r="B1674">
        <v>36.869999999999997</v>
      </c>
      <c r="C1674">
        <v>37.270000000000003</v>
      </c>
      <c r="D1674">
        <v>36.76</v>
      </c>
      <c r="E1674">
        <v>37.200000000000003</v>
      </c>
      <c r="F1674">
        <v>11700100</v>
      </c>
      <c r="G1674">
        <v>36.53</v>
      </c>
      <c r="H1674" t="s">
        <v>15</v>
      </c>
      <c r="I1674" s="22">
        <f t="shared" si="53"/>
        <v>9.0747219754657542E-3</v>
      </c>
      <c r="J1674" s="22" t="str">
        <f t="shared" si="54"/>
        <v/>
      </c>
    </row>
    <row r="1675" spans="1:10">
      <c r="A1675" s="1">
        <v>41246</v>
      </c>
      <c r="B1675">
        <v>37.369999999999997</v>
      </c>
      <c r="C1675">
        <v>37.409999999999997</v>
      </c>
      <c r="D1675">
        <v>36.979999999999997</v>
      </c>
      <c r="E1675">
        <v>37.08</v>
      </c>
      <c r="F1675">
        <v>8412500</v>
      </c>
      <c r="G1675">
        <v>36.409999999999997</v>
      </c>
      <c r="H1675" t="s">
        <v>15</v>
      </c>
      <c r="I1675" s="22">
        <f t="shared" si="53"/>
        <v>-3.2903786198491742E-3</v>
      </c>
      <c r="J1675" s="22" t="str">
        <f t="shared" si="54"/>
        <v>lost money</v>
      </c>
    </row>
    <row r="1676" spans="1:10">
      <c r="A1676" s="1">
        <v>41247</v>
      </c>
      <c r="B1676">
        <v>37.06</v>
      </c>
      <c r="C1676">
        <v>37.25</v>
      </c>
      <c r="D1676">
        <v>36.97</v>
      </c>
      <c r="E1676">
        <v>37.200000000000003</v>
      </c>
      <c r="F1676">
        <v>10301600</v>
      </c>
      <c r="G1676">
        <v>36.53</v>
      </c>
      <c r="H1676" t="s">
        <v>15</v>
      </c>
      <c r="I1676" s="22">
        <f t="shared" si="53"/>
        <v>3.2903786198491495E-3</v>
      </c>
      <c r="J1676" s="22" t="str">
        <f t="shared" si="54"/>
        <v/>
      </c>
    </row>
    <row r="1677" spans="1:10">
      <c r="A1677" s="1">
        <v>41248</v>
      </c>
      <c r="B1677">
        <v>37.200000000000003</v>
      </c>
      <c r="C1677">
        <v>37.29</v>
      </c>
      <c r="D1677">
        <v>36.700000000000003</v>
      </c>
      <c r="E1677">
        <v>36.880000000000003</v>
      </c>
      <c r="F1677">
        <v>11379500</v>
      </c>
      <c r="G1677">
        <v>36.22</v>
      </c>
      <c r="H1677" t="s">
        <v>15</v>
      </c>
      <c r="I1677" s="22">
        <f t="shared" si="53"/>
        <v>-8.5223883519239194E-3</v>
      </c>
      <c r="J1677" s="22" t="str">
        <f t="shared" si="54"/>
        <v>lost money</v>
      </c>
    </row>
    <row r="1678" spans="1:10">
      <c r="A1678" s="1">
        <v>41249</v>
      </c>
      <c r="B1678">
        <v>36.92</v>
      </c>
      <c r="C1678">
        <v>37.229999999999997</v>
      </c>
      <c r="D1678">
        <v>36.81</v>
      </c>
      <c r="E1678">
        <v>37.14</v>
      </c>
      <c r="F1678">
        <v>8262200</v>
      </c>
      <c r="G1678">
        <v>36.47</v>
      </c>
      <c r="H1678" t="s">
        <v>15</v>
      </c>
      <c r="I1678" s="22">
        <f t="shared" si="53"/>
        <v>6.8785523653214628E-3</v>
      </c>
      <c r="J1678" s="22" t="str">
        <f t="shared" si="54"/>
        <v/>
      </c>
    </row>
    <row r="1679" spans="1:10">
      <c r="A1679" s="1">
        <v>41250</v>
      </c>
      <c r="B1679">
        <v>37.25</v>
      </c>
      <c r="C1679">
        <v>37.33</v>
      </c>
      <c r="D1679">
        <v>36.82</v>
      </c>
      <c r="E1679">
        <v>37.03</v>
      </c>
      <c r="F1679">
        <v>11830200</v>
      </c>
      <c r="G1679">
        <v>36.36</v>
      </c>
      <c r="H1679" t="s">
        <v>15</v>
      </c>
      <c r="I1679" s="22">
        <f t="shared" si="53"/>
        <v>-3.0207355113107751E-3</v>
      </c>
      <c r="J1679" s="22" t="str">
        <f t="shared" si="54"/>
        <v>lost money</v>
      </c>
    </row>
    <row r="1680" spans="1:10">
      <c r="A1680" s="1">
        <v>41253</v>
      </c>
      <c r="B1680">
        <v>36.950000000000003</v>
      </c>
      <c r="C1680">
        <v>37.54</v>
      </c>
      <c r="D1680">
        <v>36.9</v>
      </c>
      <c r="E1680">
        <v>37.25</v>
      </c>
      <c r="F1680">
        <v>9237100</v>
      </c>
      <c r="G1680">
        <v>36.58</v>
      </c>
      <c r="H1680" t="s">
        <v>15</v>
      </c>
      <c r="I1680" s="22">
        <f t="shared" si="53"/>
        <v>6.0323736534415341E-3</v>
      </c>
      <c r="J1680" s="22" t="str">
        <f t="shared" si="54"/>
        <v/>
      </c>
    </row>
    <row r="1681" spans="1:10">
      <c r="A1681" s="1">
        <v>41254</v>
      </c>
      <c r="B1681">
        <v>37.47</v>
      </c>
      <c r="C1681">
        <v>37.549999999999997</v>
      </c>
      <c r="D1681">
        <v>37.229999999999997</v>
      </c>
      <c r="E1681">
        <v>37.4</v>
      </c>
      <c r="F1681">
        <v>11711200</v>
      </c>
      <c r="G1681">
        <v>36.729999999999997</v>
      </c>
      <c r="H1681" t="s">
        <v>15</v>
      </c>
      <c r="I1681" s="22">
        <f t="shared" si="53"/>
        <v>4.0922168688563723E-3</v>
      </c>
      <c r="J1681" s="22" t="str">
        <f t="shared" si="54"/>
        <v>lost money</v>
      </c>
    </row>
    <row r="1682" spans="1:10">
      <c r="A1682" s="1">
        <v>41255</v>
      </c>
      <c r="B1682">
        <v>37.54</v>
      </c>
      <c r="C1682">
        <v>37.76</v>
      </c>
      <c r="D1682">
        <v>37.32</v>
      </c>
      <c r="E1682">
        <v>37.42</v>
      </c>
      <c r="F1682">
        <v>9886600</v>
      </c>
      <c r="G1682">
        <v>36.75</v>
      </c>
      <c r="H1682" t="s">
        <v>15</v>
      </c>
      <c r="I1682" s="22">
        <f t="shared" si="53"/>
        <v>5.443658272698132E-4</v>
      </c>
      <c r="J1682" s="22" t="str">
        <f t="shared" si="54"/>
        <v>lost money</v>
      </c>
    </row>
    <row r="1683" spans="1:10">
      <c r="A1683" s="1">
        <v>41256</v>
      </c>
      <c r="B1683">
        <v>37.42</v>
      </c>
      <c r="C1683">
        <v>37.56</v>
      </c>
      <c r="D1683">
        <v>36.68</v>
      </c>
      <c r="E1683">
        <v>36.94</v>
      </c>
      <c r="F1683">
        <v>10663500</v>
      </c>
      <c r="G1683">
        <v>36.28</v>
      </c>
      <c r="H1683" t="s">
        <v>15</v>
      </c>
      <c r="I1683" s="22">
        <f t="shared" si="53"/>
        <v>-1.2871600411909835E-2</v>
      </c>
      <c r="J1683" s="22" t="str">
        <f t="shared" si="54"/>
        <v>lost money</v>
      </c>
    </row>
    <row r="1684" spans="1:10">
      <c r="A1684" s="1">
        <v>41257</v>
      </c>
      <c r="B1684">
        <v>36.85</v>
      </c>
      <c r="C1684">
        <v>36.9</v>
      </c>
      <c r="D1684">
        <v>36.43</v>
      </c>
      <c r="E1684">
        <v>36.54</v>
      </c>
      <c r="F1684">
        <v>12332700</v>
      </c>
      <c r="G1684">
        <v>35.880000000000003</v>
      </c>
      <c r="H1684" t="s">
        <v>15</v>
      </c>
      <c r="I1684" s="22">
        <f t="shared" si="53"/>
        <v>-1.1086588056340479E-2</v>
      </c>
      <c r="J1684" s="22" t="str">
        <f t="shared" si="54"/>
        <v>lost money</v>
      </c>
    </row>
    <row r="1685" spans="1:10">
      <c r="A1685" s="1">
        <v>41260</v>
      </c>
      <c r="B1685">
        <v>36.72</v>
      </c>
      <c r="C1685">
        <v>37.57</v>
      </c>
      <c r="D1685">
        <v>36.520000000000003</v>
      </c>
      <c r="E1685">
        <v>37.54</v>
      </c>
      <c r="F1685">
        <v>15029900</v>
      </c>
      <c r="G1685">
        <v>36.869999999999997</v>
      </c>
      <c r="H1685" t="s">
        <v>15</v>
      </c>
      <c r="I1685" s="22">
        <f t="shared" si="53"/>
        <v>2.7218175055457594E-2</v>
      </c>
      <c r="J1685" s="22" t="str">
        <f t="shared" si="54"/>
        <v/>
      </c>
    </row>
    <row r="1686" spans="1:10">
      <c r="A1686" s="1">
        <v>41261</v>
      </c>
      <c r="B1686">
        <v>37.71</v>
      </c>
      <c r="C1686">
        <v>38.15</v>
      </c>
      <c r="D1686">
        <v>37.28</v>
      </c>
      <c r="E1686">
        <v>38.049999999999997</v>
      </c>
      <c r="F1686">
        <v>13814900</v>
      </c>
      <c r="G1686">
        <v>37.369999999999997</v>
      </c>
      <c r="H1686" t="s">
        <v>15</v>
      </c>
      <c r="I1686" s="22">
        <f t="shared" si="53"/>
        <v>1.347003125133928E-2</v>
      </c>
      <c r="J1686" s="22" t="str">
        <f t="shared" si="54"/>
        <v/>
      </c>
    </row>
    <row r="1687" spans="1:10">
      <c r="A1687" s="1">
        <v>41262</v>
      </c>
      <c r="B1687">
        <v>38.06</v>
      </c>
      <c r="C1687">
        <v>38.19</v>
      </c>
      <c r="D1687">
        <v>37.89</v>
      </c>
      <c r="E1687">
        <v>38.01</v>
      </c>
      <c r="F1687">
        <v>13650400</v>
      </c>
      <c r="G1687">
        <v>37.33</v>
      </c>
      <c r="H1687" t="s">
        <v>15</v>
      </c>
      <c r="I1687" s="22">
        <f t="shared" si="53"/>
        <v>-1.0709505709000638E-3</v>
      </c>
      <c r="J1687" s="22" t="str">
        <f t="shared" si="54"/>
        <v>lost money</v>
      </c>
    </row>
    <row r="1688" spans="1:10">
      <c r="A1688" s="1">
        <v>41263</v>
      </c>
      <c r="B1688">
        <v>38.049999999999997</v>
      </c>
      <c r="C1688">
        <v>38.22</v>
      </c>
      <c r="D1688">
        <v>37.85</v>
      </c>
      <c r="E1688">
        <v>38.090000000000003</v>
      </c>
      <c r="F1688">
        <v>11536800</v>
      </c>
      <c r="G1688">
        <v>37.409999999999997</v>
      </c>
      <c r="H1688" t="s">
        <v>15</v>
      </c>
      <c r="I1688" s="22">
        <f t="shared" si="53"/>
        <v>2.1407554335622489E-3</v>
      </c>
      <c r="J1688" s="22" t="str">
        <f t="shared" si="54"/>
        <v/>
      </c>
    </row>
    <row r="1689" spans="1:10">
      <c r="A1689" s="1">
        <v>41264</v>
      </c>
      <c r="B1689">
        <v>37.630000000000003</v>
      </c>
      <c r="C1689">
        <v>37.659999999999997</v>
      </c>
      <c r="D1689">
        <v>37.01</v>
      </c>
      <c r="E1689">
        <v>37.229999999999997</v>
      </c>
      <c r="F1689">
        <v>26158800</v>
      </c>
      <c r="G1689">
        <v>36.56</v>
      </c>
      <c r="H1689" t="s">
        <v>15</v>
      </c>
      <c r="I1689" s="22">
        <f t="shared" si="53"/>
        <v>-2.2983301774105416E-2</v>
      </c>
      <c r="J1689" s="22" t="str">
        <f t="shared" si="54"/>
        <v>lost money</v>
      </c>
    </row>
    <row r="1690" spans="1:10">
      <c r="A1690" s="1">
        <v>41267</v>
      </c>
      <c r="B1690">
        <v>37.11</v>
      </c>
      <c r="C1690">
        <v>37.46</v>
      </c>
      <c r="D1690">
        <v>37.1</v>
      </c>
      <c r="E1690">
        <v>37.36</v>
      </c>
      <c r="F1690">
        <v>3393600</v>
      </c>
      <c r="G1690">
        <v>36.69</v>
      </c>
      <c r="H1690" t="s">
        <v>15</v>
      </c>
      <c r="I1690" s="22">
        <f t="shared" si="53"/>
        <v>3.549491781241255E-3</v>
      </c>
      <c r="J1690" s="22" t="str">
        <f t="shared" si="54"/>
        <v/>
      </c>
    </row>
    <row r="1691" spans="1:10">
      <c r="A1691" s="1">
        <v>41269</v>
      </c>
      <c r="B1691">
        <v>37.270000000000003</v>
      </c>
      <c r="C1691">
        <v>37.4</v>
      </c>
      <c r="D1691">
        <v>36.9</v>
      </c>
      <c r="E1691">
        <v>37.299999999999997</v>
      </c>
      <c r="F1691">
        <v>8661500</v>
      </c>
      <c r="G1691">
        <v>36.630000000000003</v>
      </c>
      <c r="H1691" t="s">
        <v>15</v>
      </c>
      <c r="I1691" s="22">
        <f t="shared" si="53"/>
        <v>-1.6366615764675148E-3</v>
      </c>
      <c r="J1691" s="22" t="str">
        <f t="shared" si="54"/>
        <v/>
      </c>
    </row>
    <row r="1692" spans="1:10">
      <c r="A1692" s="1">
        <v>41270</v>
      </c>
      <c r="B1692">
        <v>37.33</v>
      </c>
      <c r="C1692">
        <v>37.36</v>
      </c>
      <c r="D1692">
        <v>36.39</v>
      </c>
      <c r="E1692">
        <v>36.99</v>
      </c>
      <c r="F1692">
        <v>13453200</v>
      </c>
      <c r="G1692">
        <v>36.33</v>
      </c>
      <c r="H1692" t="s">
        <v>15</v>
      </c>
      <c r="I1692" s="22">
        <f t="shared" si="53"/>
        <v>-8.2237305576124964E-3</v>
      </c>
      <c r="J1692" s="22" t="str">
        <f t="shared" si="54"/>
        <v>lost money</v>
      </c>
    </row>
    <row r="1693" spans="1:10">
      <c r="A1693" s="1">
        <v>41271</v>
      </c>
      <c r="B1693">
        <v>36.67</v>
      </c>
      <c r="C1693">
        <v>36.99</v>
      </c>
      <c r="D1693">
        <v>36.520000000000003</v>
      </c>
      <c r="E1693">
        <v>36.54</v>
      </c>
      <c r="F1693">
        <v>7587400</v>
      </c>
      <c r="G1693">
        <v>36.04</v>
      </c>
      <c r="H1693" t="s">
        <v>15</v>
      </c>
      <c r="I1693" s="22">
        <f t="shared" si="53"/>
        <v>-8.014413492973339E-3</v>
      </c>
      <c r="J1693" s="22" t="str">
        <f t="shared" si="54"/>
        <v>lost money</v>
      </c>
    </row>
    <row r="1694" spans="1:10">
      <c r="A1694" s="1">
        <v>41274</v>
      </c>
      <c r="B1694">
        <v>36.4</v>
      </c>
      <c r="C1694">
        <v>37.4</v>
      </c>
      <c r="D1694">
        <v>36.299999999999997</v>
      </c>
      <c r="E1694">
        <v>37.36</v>
      </c>
      <c r="F1694">
        <v>13407600</v>
      </c>
      <c r="G1694">
        <v>36.85</v>
      </c>
      <c r="H1694" t="s">
        <v>15</v>
      </c>
      <c r="I1694" s="22">
        <f t="shared" si="53"/>
        <v>2.2226185895208483E-2</v>
      </c>
      <c r="J1694" s="22" t="str">
        <f t="shared" si="54"/>
        <v/>
      </c>
    </row>
    <row r="1695" spans="1:10">
      <c r="A1695" s="1">
        <v>41276</v>
      </c>
      <c r="B1695">
        <v>38.049999999999997</v>
      </c>
      <c r="C1695">
        <v>38.57</v>
      </c>
      <c r="D1695">
        <v>38.049999999999997</v>
      </c>
      <c r="E1695">
        <v>38.520000000000003</v>
      </c>
      <c r="F1695">
        <v>17623200</v>
      </c>
      <c r="G1695">
        <v>38</v>
      </c>
      <c r="H1695" t="s">
        <v>15</v>
      </c>
      <c r="I1695" s="22">
        <f t="shared" si="53"/>
        <v>3.073054109104013E-2</v>
      </c>
      <c r="J1695" s="22" t="str">
        <f t="shared" si="54"/>
        <v/>
      </c>
    </row>
    <row r="1696" spans="1:10">
      <c r="A1696" s="1">
        <v>41277</v>
      </c>
      <c r="B1696">
        <v>38.49</v>
      </c>
      <c r="C1696">
        <v>38.58</v>
      </c>
      <c r="D1696">
        <v>37.979999999999997</v>
      </c>
      <c r="E1696">
        <v>38.090000000000003</v>
      </c>
      <c r="F1696">
        <v>11403800</v>
      </c>
      <c r="G1696">
        <v>37.57</v>
      </c>
      <c r="H1696" t="s">
        <v>15</v>
      </c>
      <c r="I1696" s="22">
        <f t="shared" si="53"/>
        <v>-1.1380300140508198E-2</v>
      </c>
      <c r="J1696" s="22" t="str">
        <f t="shared" si="54"/>
        <v>lost money</v>
      </c>
    </row>
    <row r="1697" spans="1:10">
      <c r="A1697" s="1">
        <v>41278</v>
      </c>
      <c r="B1697">
        <v>38.200000000000003</v>
      </c>
      <c r="C1697">
        <v>38.29</v>
      </c>
      <c r="D1697">
        <v>37.9</v>
      </c>
      <c r="E1697">
        <v>38.07</v>
      </c>
      <c r="F1697">
        <v>9517500</v>
      </c>
      <c r="G1697">
        <v>37.549999999999997</v>
      </c>
      <c r="H1697" t="s">
        <v>15</v>
      </c>
      <c r="I1697" s="22">
        <f t="shared" si="53"/>
        <v>-5.324813757338542E-4</v>
      </c>
      <c r="J1697" s="22" t="str">
        <f t="shared" si="54"/>
        <v>lost money</v>
      </c>
    </row>
    <row r="1698" spans="1:10">
      <c r="A1698" s="1">
        <v>41281</v>
      </c>
      <c r="B1698">
        <v>37.85</v>
      </c>
      <c r="C1698">
        <v>38.04</v>
      </c>
      <c r="D1698">
        <v>37.65</v>
      </c>
      <c r="E1698">
        <v>37.9</v>
      </c>
      <c r="F1698">
        <v>9517000</v>
      </c>
      <c r="G1698">
        <v>37.380000000000003</v>
      </c>
      <c r="H1698" t="s">
        <v>15</v>
      </c>
      <c r="I1698" s="22">
        <f t="shared" si="53"/>
        <v>-4.5375761827267987E-3</v>
      </c>
      <c r="J1698" s="22" t="str">
        <f t="shared" si="54"/>
        <v/>
      </c>
    </row>
    <row r="1699" spans="1:10">
      <c r="A1699" s="1">
        <v>41282</v>
      </c>
      <c r="B1699">
        <v>37.72</v>
      </c>
      <c r="C1699">
        <v>38.159999999999997</v>
      </c>
      <c r="D1699">
        <v>37.21</v>
      </c>
      <c r="E1699">
        <v>38.159999999999997</v>
      </c>
      <c r="F1699">
        <v>16755200</v>
      </c>
      <c r="G1699">
        <v>37.64</v>
      </c>
      <c r="H1699" t="s">
        <v>15</v>
      </c>
      <c r="I1699" s="22">
        <f t="shared" si="53"/>
        <v>6.9315126897620946E-3</v>
      </c>
      <c r="J1699" s="22" t="str">
        <f t="shared" si="54"/>
        <v/>
      </c>
    </row>
    <row r="1700" spans="1:10">
      <c r="A1700" s="1">
        <v>41283</v>
      </c>
      <c r="B1700">
        <v>38.25</v>
      </c>
      <c r="C1700">
        <v>38.549999999999997</v>
      </c>
      <c r="D1700">
        <v>38.119999999999997</v>
      </c>
      <c r="E1700">
        <v>38.42</v>
      </c>
      <c r="F1700">
        <v>9814000</v>
      </c>
      <c r="G1700">
        <v>37.9</v>
      </c>
      <c r="H1700" t="s">
        <v>15</v>
      </c>
      <c r="I1700" s="22">
        <f t="shared" si="53"/>
        <v>6.8837973712016481E-3</v>
      </c>
      <c r="J1700" s="22" t="str">
        <f t="shared" si="54"/>
        <v/>
      </c>
    </row>
    <row r="1701" spans="1:10">
      <c r="A1701" s="1">
        <v>41284</v>
      </c>
      <c r="B1701">
        <v>38.65</v>
      </c>
      <c r="C1701">
        <v>38.76</v>
      </c>
      <c r="D1701">
        <v>38.25</v>
      </c>
      <c r="E1701">
        <v>38.5</v>
      </c>
      <c r="F1701">
        <v>10497800</v>
      </c>
      <c r="G1701">
        <v>37.979999999999997</v>
      </c>
      <c r="H1701" t="s">
        <v>15</v>
      </c>
      <c r="I1701" s="22">
        <f t="shared" si="53"/>
        <v>2.1085932957590971E-3</v>
      </c>
      <c r="J1701" s="22" t="str">
        <f t="shared" si="54"/>
        <v>lost money</v>
      </c>
    </row>
    <row r="1702" spans="1:10">
      <c r="A1702" s="1">
        <v>41285</v>
      </c>
      <c r="B1702">
        <v>38.39</v>
      </c>
      <c r="C1702">
        <v>38.58</v>
      </c>
      <c r="D1702">
        <v>38.28</v>
      </c>
      <c r="E1702">
        <v>38.46</v>
      </c>
      <c r="F1702">
        <v>6977800</v>
      </c>
      <c r="G1702">
        <v>37.94</v>
      </c>
      <c r="H1702" t="s">
        <v>15</v>
      </c>
      <c r="I1702" s="22">
        <f t="shared" si="53"/>
        <v>-1.0537408772716347E-3</v>
      </c>
      <c r="J1702" s="22" t="str">
        <f t="shared" si="54"/>
        <v/>
      </c>
    </row>
    <row r="1703" spans="1:10">
      <c r="A1703" s="1">
        <v>41288</v>
      </c>
      <c r="B1703">
        <v>38.5</v>
      </c>
      <c r="C1703">
        <v>38.93</v>
      </c>
      <c r="D1703">
        <v>38.47</v>
      </c>
      <c r="E1703">
        <v>38.92</v>
      </c>
      <c r="F1703">
        <v>8626900</v>
      </c>
      <c r="G1703">
        <v>38.39</v>
      </c>
      <c r="H1703" t="s">
        <v>15</v>
      </c>
      <c r="I1703" s="22">
        <f t="shared" si="53"/>
        <v>1.1791044505838238E-2</v>
      </c>
      <c r="J1703" s="22" t="str">
        <f t="shared" si="54"/>
        <v/>
      </c>
    </row>
    <row r="1704" spans="1:10">
      <c r="A1704" s="1">
        <v>41289</v>
      </c>
      <c r="B1704">
        <v>38.869999999999997</v>
      </c>
      <c r="C1704">
        <v>39.22</v>
      </c>
      <c r="D1704">
        <v>38.71</v>
      </c>
      <c r="E1704">
        <v>39.200000000000003</v>
      </c>
      <c r="F1704">
        <v>12442100</v>
      </c>
      <c r="G1704">
        <v>38.67</v>
      </c>
      <c r="H1704" t="s">
        <v>15</v>
      </c>
      <c r="I1704" s="22">
        <f t="shared" si="53"/>
        <v>7.2670966064993774E-3</v>
      </c>
      <c r="J1704" s="22" t="str">
        <f t="shared" si="54"/>
        <v/>
      </c>
    </row>
    <row r="1705" spans="1:10">
      <c r="A1705" s="1">
        <v>41290</v>
      </c>
      <c r="B1705">
        <v>39.06</v>
      </c>
      <c r="C1705">
        <v>39.29</v>
      </c>
      <c r="D1705">
        <v>38.979999999999997</v>
      </c>
      <c r="E1705">
        <v>39.18</v>
      </c>
      <c r="F1705">
        <v>8854400</v>
      </c>
      <c r="G1705">
        <v>38.65</v>
      </c>
      <c r="H1705" t="s">
        <v>15</v>
      </c>
      <c r="I1705" s="22">
        <f t="shared" si="53"/>
        <v>-5.1733058577477665E-4</v>
      </c>
      <c r="J1705" s="22" t="str">
        <f t="shared" si="54"/>
        <v/>
      </c>
    </row>
    <row r="1706" spans="1:10">
      <c r="A1706" s="1">
        <v>41291</v>
      </c>
      <c r="B1706">
        <v>39.340000000000003</v>
      </c>
      <c r="C1706">
        <v>40.04</v>
      </c>
      <c r="D1706">
        <v>39.22</v>
      </c>
      <c r="E1706">
        <v>39.950000000000003</v>
      </c>
      <c r="F1706">
        <v>11103300</v>
      </c>
      <c r="G1706">
        <v>39.409999999999997</v>
      </c>
      <c r="H1706" t="s">
        <v>15</v>
      </c>
      <c r="I1706" s="22">
        <f t="shared" si="53"/>
        <v>1.9472816173481303E-2</v>
      </c>
      <c r="J1706" s="22" t="str">
        <f t="shared" si="54"/>
        <v/>
      </c>
    </row>
    <row r="1707" spans="1:10">
      <c r="A1707" s="1">
        <v>41292</v>
      </c>
      <c r="B1707">
        <v>39.92</v>
      </c>
      <c r="C1707">
        <v>40.28</v>
      </c>
      <c r="D1707">
        <v>39.74</v>
      </c>
      <c r="E1707">
        <v>40.270000000000003</v>
      </c>
      <c r="F1707">
        <v>11771700</v>
      </c>
      <c r="G1707">
        <v>39.72</v>
      </c>
      <c r="H1707" t="s">
        <v>15</v>
      </c>
      <c r="I1707" s="22">
        <f t="shared" si="53"/>
        <v>7.8352479700594946E-3</v>
      </c>
      <c r="J1707" s="22" t="str">
        <f t="shared" si="54"/>
        <v/>
      </c>
    </row>
    <row r="1708" spans="1:10">
      <c r="A1708" s="1">
        <v>41296</v>
      </c>
      <c r="B1708">
        <v>40.18</v>
      </c>
      <c r="C1708">
        <v>40.25</v>
      </c>
      <c r="D1708">
        <v>39.6</v>
      </c>
      <c r="E1708">
        <v>39.81</v>
      </c>
      <c r="F1708">
        <v>13542300</v>
      </c>
      <c r="G1708">
        <v>39.270000000000003</v>
      </c>
      <c r="H1708" t="s">
        <v>15</v>
      </c>
      <c r="I1708" s="22">
        <f t="shared" si="53"/>
        <v>-1.1393970587053466E-2</v>
      </c>
      <c r="J1708" s="22" t="str">
        <f t="shared" si="54"/>
        <v>lost money</v>
      </c>
    </row>
    <row r="1709" spans="1:10">
      <c r="A1709" s="1">
        <v>41297</v>
      </c>
      <c r="B1709">
        <v>39.89</v>
      </c>
      <c r="C1709">
        <v>40.119999999999997</v>
      </c>
      <c r="D1709">
        <v>39.799999999999997</v>
      </c>
      <c r="E1709">
        <v>40</v>
      </c>
      <c r="F1709">
        <v>9539900</v>
      </c>
      <c r="G1709">
        <v>39.46</v>
      </c>
      <c r="H1709" t="s">
        <v>15</v>
      </c>
      <c r="I1709" s="22">
        <f t="shared" si="53"/>
        <v>4.8266320045509169E-3</v>
      </c>
      <c r="J1709" s="22" t="str">
        <f t="shared" si="54"/>
        <v/>
      </c>
    </row>
    <row r="1710" spans="1:10">
      <c r="A1710" s="1">
        <v>41298</v>
      </c>
      <c r="B1710">
        <v>40.22</v>
      </c>
      <c r="C1710">
        <v>40.25</v>
      </c>
      <c r="D1710">
        <v>39.57</v>
      </c>
      <c r="E1710">
        <v>39.58</v>
      </c>
      <c r="F1710">
        <v>12619300</v>
      </c>
      <c r="G1710">
        <v>39.04</v>
      </c>
      <c r="H1710" t="s">
        <v>15</v>
      </c>
      <c r="I1710" s="22">
        <f t="shared" si="53"/>
        <v>-1.0700739049577555E-2</v>
      </c>
      <c r="J1710" s="22" t="str">
        <f t="shared" si="54"/>
        <v>lost money</v>
      </c>
    </row>
    <row r="1711" spans="1:10">
      <c r="A1711" s="1">
        <v>41299</v>
      </c>
      <c r="B1711">
        <v>39.92</v>
      </c>
      <c r="C1711">
        <v>39.92</v>
      </c>
      <c r="D1711">
        <v>39.5</v>
      </c>
      <c r="E1711">
        <v>39.76</v>
      </c>
      <c r="F1711">
        <v>10395500</v>
      </c>
      <c r="G1711">
        <v>39.22</v>
      </c>
      <c r="H1711" t="s">
        <v>15</v>
      </c>
      <c r="I1711" s="22">
        <f t="shared" si="53"/>
        <v>4.6000592233083702E-3</v>
      </c>
      <c r="J1711" s="22" t="str">
        <f t="shared" si="54"/>
        <v>lost money</v>
      </c>
    </row>
    <row r="1712" spans="1:10">
      <c r="A1712" s="1">
        <v>41302</v>
      </c>
      <c r="B1712">
        <v>39.9</v>
      </c>
      <c r="C1712">
        <v>39.909999999999997</v>
      </c>
      <c r="D1712">
        <v>39.51</v>
      </c>
      <c r="E1712">
        <v>39.57</v>
      </c>
      <c r="F1712">
        <v>9767500</v>
      </c>
      <c r="G1712">
        <v>39.03</v>
      </c>
      <c r="H1712" t="s">
        <v>15</v>
      </c>
      <c r="I1712" s="22">
        <f t="shared" si="53"/>
        <v>-4.856239575676536E-3</v>
      </c>
      <c r="J1712" s="22" t="str">
        <f t="shared" si="54"/>
        <v>lost money</v>
      </c>
    </row>
    <row r="1713" spans="1:10">
      <c r="A1713" s="1">
        <v>41303</v>
      </c>
      <c r="B1713">
        <v>39.590000000000003</v>
      </c>
      <c r="C1713">
        <v>39.590000000000003</v>
      </c>
      <c r="D1713">
        <v>38.950000000000003</v>
      </c>
      <c r="E1713">
        <v>39.11</v>
      </c>
      <c r="F1713">
        <v>14897900</v>
      </c>
      <c r="G1713">
        <v>38.58</v>
      </c>
      <c r="H1713" t="s">
        <v>15</v>
      </c>
      <c r="I1713" s="22">
        <f t="shared" si="53"/>
        <v>-1.1596573714940647E-2</v>
      </c>
      <c r="J1713" s="22" t="str">
        <f t="shared" si="54"/>
        <v>lost money</v>
      </c>
    </row>
    <row r="1714" spans="1:10">
      <c r="A1714" s="1">
        <v>41304</v>
      </c>
      <c r="B1714">
        <v>39.28</v>
      </c>
      <c r="C1714">
        <v>39.340000000000003</v>
      </c>
      <c r="D1714">
        <v>38.86</v>
      </c>
      <c r="E1714">
        <v>39.03</v>
      </c>
      <c r="F1714">
        <v>15038100</v>
      </c>
      <c r="G1714">
        <v>38.5</v>
      </c>
      <c r="H1714" t="s">
        <v>15</v>
      </c>
      <c r="I1714" s="22">
        <f t="shared" si="53"/>
        <v>-2.0757661838444194E-3</v>
      </c>
      <c r="J1714" s="22" t="str">
        <f t="shared" si="54"/>
        <v>lost money</v>
      </c>
    </row>
    <row r="1715" spans="1:10">
      <c r="A1715" s="1">
        <v>41305</v>
      </c>
      <c r="B1715">
        <v>38.5</v>
      </c>
      <c r="C1715">
        <v>38.93</v>
      </c>
      <c r="D1715">
        <v>37.89</v>
      </c>
      <c r="E1715">
        <v>38.08</v>
      </c>
      <c r="F1715">
        <v>25015700</v>
      </c>
      <c r="G1715">
        <v>37.56</v>
      </c>
      <c r="H1715" t="s">
        <v>15</v>
      </c>
      <c r="I1715" s="22">
        <f t="shared" si="53"/>
        <v>-2.4718586953676298E-2</v>
      </c>
      <c r="J1715" s="22" t="str">
        <f t="shared" si="54"/>
        <v>lost money</v>
      </c>
    </row>
    <row r="1716" spans="1:10">
      <c r="A1716" s="1">
        <v>41306</v>
      </c>
      <c r="B1716">
        <v>38.4</v>
      </c>
      <c r="C1716">
        <v>38.619999999999997</v>
      </c>
      <c r="D1716">
        <v>38.130000000000003</v>
      </c>
      <c r="E1716">
        <v>38.6</v>
      </c>
      <c r="F1716">
        <v>15353600</v>
      </c>
      <c r="G1716">
        <v>38.07</v>
      </c>
      <c r="H1716" t="s">
        <v>15</v>
      </c>
      <c r="I1716" s="22">
        <f t="shared" si="53"/>
        <v>1.3486916054343863E-2</v>
      </c>
      <c r="J1716" s="22" t="str">
        <f t="shared" si="54"/>
        <v/>
      </c>
    </row>
    <row r="1717" spans="1:10">
      <c r="A1717" s="1">
        <v>41309</v>
      </c>
      <c r="B1717">
        <v>38.450000000000003</v>
      </c>
      <c r="C1717">
        <v>38.51</v>
      </c>
      <c r="D1717">
        <v>37.81</v>
      </c>
      <c r="E1717">
        <v>38.19</v>
      </c>
      <c r="F1717">
        <v>16171300</v>
      </c>
      <c r="G1717">
        <v>37.67</v>
      </c>
      <c r="H1717" t="s">
        <v>15</v>
      </c>
      <c r="I1717" s="22">
        <f t="shared" si="53"/>
        <v>-1.0562548690456261E-2</v>
      </c>
      <c r="J1717" s="22" t="str">
        <f t="shared" si="54"/>
        <v>lost money</v>
      </c>
    </row>
    <row r="1718" spans="1:10">
      <c r="A1718" s="1">
        <v>41310</v>
      </c>
      <c r="B1718">
        <v>38.479999999999997</v>
      </c>
      <c r="C1718">
        <v>39.47</v>
      </c>
      <c r="D1718">
        <v>38.22</v>
      </c>
      <c r="E1718">
        <v>39.24</v>
      </c>
      <c r="F1718">
        <v>16357500</v>
      </c>
      <c r="G1718">
        <v>38.71</v>
      </c>
      <c r="H1718" t="s">
        <v>15</v>
      </c>
      <c r="I1718" s="22">
        <f t="shared" si="53"/>
        <v>2.7233942885606925E-2</v>
      </c>
      <c r="J1718" s="22" t="str">
        <f t="shared" si="54"/>
        <v/>
      </c>
    </row>
    <row r="1719" spans="1:10">
      <c r="A1719" s="1">
        <v>41311</v>
      </c>
      <c r="B1719">
        <v>39.119999999999997</v>
      </c>
      <c r="C1719">
        <v>39.15</v>
      </c>
      <c r="D1719">
        <v>38.6</v>
      </c>
      <c r="E1719">
        <v>38.729999999999997</v>
      </c>
      <c r="F1719">
        <v>11499800</v>
      </c>
      <c r="G1719">
        <v>38.200000000000003</v>
      </c>
      <c r="H1719" t="s">
        <v>15</v>
      </c>
      <c r="I1719" s="22">
        <f t="shared" si="53"/>
        <v>-1.3262448977027205E-2</v>
      </c>
      <c r="J1719" s="22" t="str">
        <f t="shared" si="54"/>
        <v>lost money</v>
      </c>
    </row>
    <row r="1720" spans="1:10">
      <c r="A1720" s="1">
        <v>41312</v>
      </c>
      <c r="B1720">
        <v>38.67</v>
      </c>
      <c r="C1720">
        <v>38.74</v>
      </c>
      <c r="D1720">
        <v>38.08</v>
      </c>
      <c r="E1720">
        <v>38.619999999999997</v>
      </c>
      <c r="F1720">
        <v>13031300</v>
      </c>
      <c r="G1720">
        <v>38.090000000000003</v>
      </c>
      <c r="H1720" t="s">
        <v>15</v>
      </c>
      <c r="I1720" s="22">
        <f t="shared" si="53"/>
        <v>-2.8837351220167631E-3</v>
      </c>
      <c r="J1720" s="22" t="str">
        <f t="shared" si="54"/>
        <v>lost money</v>
      </c>
    </row>
    <row r="1721" spans="1:10">
      <c r="A1721" s="1">
        <v>41313</v>
      </c>
      <c r="B1721">
        <v>38.69</v>
      </c>
      <c r="C1721">
        <v>38.880000000000003</v>
      </c>
      <c r="D1721">
        <v>38.549999999999997</v>
      </c>
      <c r="E1721">
        <v>38.75</v>
      </c>
      <c r="F1721">
        <v>15393500</v>
      </c>
      <c r="G1721">
        <v>38.22</v>
      </c>
      <c r="H1721" t="s">
        <v>15</v>
      </c>
      <c r="I1721" s="22">
        <f t="shared" si="53"/>
        <v>3.4071583216141346E-3</v>
      </c>
      <c r="J1721" s="22" t="str">
        <f t="shared" si="54"/>
        <v/>
      </c>
    </row>
    <row r="1722" spans="1:10">
      <c r="A1722" s="1">
        <v>41316</v>
      </c>
      <c r="B1722">
        <v>38.729999999999997</v>
      </c>
      <c r="C1722">
        <v>38.770000000000003</v>
      </c>
      <c r="D1722">
        <v>38.39</v>
      </c>
      <c r="E1722">
        <v>38.64</v>
      </c>
      <c r="F1722">
        <v>7343200</v>
      </c>
      <c r="G1722">
        <v>38.11</v>
      </c>
      <c r="H1722" t="s">
        <v>15</v>
      </c>
      <c r="I1722" s="22">
        <f t="shared" si="53"/>
        <v>-2.8822239263581696E-3</v>
      </c>
      <c r="J1722" s="22" t="str">
        <f t="shared" si="54"/>
        <v>lost money</v>
      </c>
    </row>
    <row r="1723" spans="1:10">
      <c r="A1723" s="1">
        <v>41317</v>
      </c>
      <c r="B1723">
        <v>38.6</v>
      </c>
      <c r="C1723">
        <v>39.03</v>
      </c>
      <c r="D1723">
        <v>38.31</v>
      </c>
      <c r="E1723">
        <v>38.97</v>
      </c>
      <c r="F1723">
        <v>17427800</v>
      </c>
      <c r="G1723">
        <v>38.44</v>
      </c>
      <c r="H1723" t="s">
        <v>15</v>
      </c>
      <c r="I1723" s="22">
        <f t="shared" si="53"/>
        <v>8.6218692163227608E-3</v>
      </c>
      <c r="J1723" s="22" t="str">
        <f t="shared" si="54"/>
        <v/>
      </c>
    </row>
    <row r="1724" spans="1:10">
      <c r="A1724" s="1">
        <v>41318</v>
      </c>
      <c r="B1724">
        <v>41.87</v>
      </c>
      <c r="C1724">
        <v>42</v>
      </c>
      <c r="D1724">
        <v>39.840000000000003</v>
      </c>
      <c r="E1724">
        <v>40.130000000000003</v>
      </c>
      <c r="F1724">
        <v>57068300</v>
      </c>
      <c r="G1724">
        <v>39.58</v>
      </c>
      <c r="H1724" t="s">
        <v>15</v>
      </c>
      <c r="I1724" s="22">
        <f t="shared" si="53"/>
        <v>2.922535607232795E-2</v>
      </c>
      <c r="J1724" s="22" t="str">
        <f t="shared" si="54"/>
        <v>lost money</v>
      </c>
    </row>
    <row r="1725" spans="1:10">
      <c r="A1725" s="1">
        <v>41319</v>
      </c>
      <c r="B1725">
        <v>40.39</v>
      </c>
      <c r="C1725">
        <v>40.68</v>
      </c>
      <c r="D1725">
        <v>39.9</v>
      </c>
      <c r="E1725">
        <v>40.340000000000003</v>
      </c>
      <c r="F1725">
        <v>21813700</v>
      </c>
      <c r="G1725">
        <v>39.79</v>
      </c>
      <c r="H1725" t="s">
        <v>15</v>
      </c>
      <c r="I1725" s="22">
        <f t="shared" si="53"/>
        <v>5.2916842644175127E-3</v>
      </c>
      <c r="J1725" s="22" t="str">
        <f t="shared" si="54"/>
        <v>lost money</v>
      </c>
    </row>
    <row r="1726" spans="1:10">
      <c r="A1726" s="1">
        <v>41320</v>
      </c>
      <c r="B1726">
        <v>40.270000000000003</v>
      </c>
      <c r="C1726">
        <v>41.26</v>
      </c>
      <c r="D1726">
        <v>40.270000000000003</v>
      </c>
      <c r="E1726">
        <v>41.24</v>
      </c>
      <c r="F1726">
        <v>19953000</v>
      </c>
      <c r="G1726">
        <v>40.68</v>
      </c>
      <c r="H1726" t="s">
        <v>15</v>
      </c>
      <c r="I1726" s="22">
        <f t="shared" si="53"/>
        <v>2.212094674152202E-2</v>
      </c>
      <c r="J1726" s="22" t="str">
        <f t="shared" si="54"/>
        <v/>
      </c>
    </row>
    <row r="1727" spans="1:10">
      <c r="A1727" s="1">
        <v>41324</v>
      </c>
      <c r="B1727">
        <v>41.27</v>
      </c>
      <c r="C1727">
        <v>41.57</v>
      </c>
      <c r="D1727">
        <v>41.2</v>
      </c>
      <c r="E1727">
        <v>41.45</v>
      </c>
      <c r="F1727">
        <v>17090400</v>
      </c>
      <c r="G1727">
        <v>40.89</v>
      </c>
      <c r="H1727" t="s">
        <v>15</v>
      </c>
      <c r="I1727" s="22">
        <f t="shared" si="53"/>
        <v>5.1489631961917246E-3</v>
      </c>
      <c r="J1727" s="22" t="str">
        <f t="shared" si="54"/>
        <v/>
      </c>
    </row>
    <row r="1728" spans="1:10">
      <c r="A1728" s="1">
        <v>41325</v>
      </c>
      <c r="B1728">
        <v>41.52</v>
      </c>
      <c r="C1728">
        <v>41.73</v>
      </c>
      <c r="D1728">
        <v>40.92</v>
      </c>
      <c r="E1728">
        <v>40.950000000000003</v>
      </c>
      <c r="F1728">
        <v>15627900</v>
      </c>
      <c r="G1728">
        <v>40.39</v>
      </c>
      <c r="H1728" t="s">
        <v>15</v>
      </c>
      <c r="I1728" s="22">
        <f t="shared" si="53"/>
        <v>-1.2303304801229382E-2</v>
      </c>
      <c r="J1728" s="22" t="str">
        <f t="shared" si="54"/>
        <v>lost money</v>
      </c>
    </row>
    <row r="1729" spans="1:10">
      <c r="A1729" s="1">
        <v>41326</v>
      </c>
      <c r="B1729">
        <v>40.72</v>
      </c>
      <c r="C1729">
        <v>40.83</v>
      </c>
      <c r="D1729">
        <v>39.96</v>
      </c>
      <c r="E1729">
        <v>40.08</v>
      </c>
      <c r="F1729">
        <v>13057900</v>
      </c>
      <c r="G1729">
        <v>39.53</v>
      </c>
      <c r="H1729" t="s">
        <v>15</v>
      </c>
      <c r="I1729" s="22">
        <f t="shared" si="53"/>
        <v>-2.1522352266727385E-2</v>
      </c>
      <c r="J1729" s="22" t="str">
        <f t="shared" si="54"/>
        <v>lost money</v>
      </c>
    </row>
    <row r="1730" spans="1:10">
      <c r="A1730" s="1">
        <v>41327</v>
      </c>
      <c r="B1730">
        <v>39.82</v>
      </c>
      <c r="C1730">
        <v>40.090000000000003</v>
      </c>
      <c r="D1730">
        <v>39.630000000000003</v>
      </c>
      <c r="E1730">
        <v>39.909999999999997</v>
      </c>
      <c r="F1730">
        <v>14252800</v>
      </c>
      <c r="G1730">
        <v>39.369999999999997</v>
      </c>
      <c r="H1730" t="s">
        <v>15</v>
      </c>
      <c r="I1730" s="22">
        <f t="shared" si="53"/>
        <v>-4.0557723529480371E-3</v>
      </c>
      <c r="J1730" s="22" t="str">
        <f t="shared" si="54"/>
        <v/>
      </c>
    </row>
    <row r="1731" spans="1:10">
      <c r="A1731" s="1">
        <v>41330</v>
      </c>
      <c r="B1731">
        <v>40.06</v>
      </c>
      <c r="C1731">
        <v>40.32</v>
      </c>
      <c r="D1731">
        <v>39.33</v>
      </c>
      <c r="E1731">
        <v>39.409999999999997</v>
      </c>
      <c r="F1731">
        <v>18045600</v>
      </c>
      <c r="G1731">
        <v>38.869999999999997</v>
      </c>
      <c r="H1731" t="s">
        <v>15</v>
      </c>
      <c r="I1731" s="22">
        <f t="shared" ref="I1731:I1794" si="55">IF(A1731=$A$2,"",LN(G1731/G1730))</f>
        <v>-1.2781360091514329E-2</v>
      </c>
      <c r="J1731" s="22" t="str">
        <f t="shared" ref="J1731:J1794" si="56">IF(B1731&gt;E1731,"lost money","")</f>
        <v>lost money</v>
      </c>
    </row>
    <row r="1732" spans="1:10">
      <c r="A1732" s="1">
        <v>41331</v>
      </c>
      <c r="B1732">
        <v>39.520000000000003</v>
      </c>
      <c r="C1732">
        <v>39.770000000000003</v>
      </c>
      <c r="D1732">
        <v>39.450000000000003</v>
      </c>
      <c r="E1732">
        <v>39.69</v>
      </c>
      <c r="F1732">
        <v>12820100</v>
      </c>
      <c r="G1732">
        <v>39.15</v>
      </c>
      <c r="H1732" t="s">
        <v>15</v>
      </c>
      <c r="I1732" s="22">
        <f t="shared" si="55"/>
        <v>7.1776775726803592E-3</v>
      </c>
      <c r="J1732" s="22" t="str">
        <f t="shared" si="56"/>
        <v/>
      </c>
    </row>
    <row r="1733" spans="1:10">
      <c r="A1733" s="1">
        <v>41332</v>
      </c>
      <c r="B1733">
        <v>39.770000000000003</v>
      </c>
      <c r="C1733">
        <v>40.33</v>
      </c>
      <c r="D1733">
        <v>39.450000000000003</v>
      </c>
      <c r="E1733">
        <v>40.15</v>
      </c>
      <c r="F1733">
        <v>9328100</v>
      </c>
      <c r="G1733">
        <v>39.6</v>
      </c>
      <c r="H1733" t="s">
        <v>15</v>
      </c>
      <c r="I1733" s="22">
        <f t="shared" si="55"/>
        <v>1.142869582362285E-2</v>
      </c>
      <c r="J1733" s="22" t="str">
        <f t="shared" si="56"/>
        <v/>
      </c>
    </row>
    <row r="1734" spans="1:10">
      <c r="A1734" s="1">
        <v>41333</v>
      </c>
      <c r="B1734">
        <v>40.07</v>
      </c>
      <c r="C1734">
        <v>40.380000000000003</v>
      </c>
      <c r="D1734">
        <v>39.79</v>
      </c>
      <c r="E1734">
        <v>39.79</v>
      </c>
      <c r="F1734">
        <v>12348300</v>
      </c>
      <c r="G1734">
        <v>39.25</v>
      </c>
      <c r="H1734" t="s">
        <v>15</v>
      </c>
      <c r="I1734" s="22">
        <f t="shared" si="55"/>
        <v>-8.8776740320174533E-3</v>
      </c>
      <c r="J1734" s="22" t="str">
        <f t="shared" si="56"/>
        <v>lost money</v>
      </c>
    </row>
    <row r="1735" spans="1:10">
      <c r="A1735" s="1">
        <v>41334</v>
      </c>
      <c r="B1735">
        <v>39.72</v>
      </c>
      <c r="C1735">
        <v>40.06</v>
      </c>
      <c r="D1735">
        <v>39.46</v>
      </c>
      <c r="E1735">
        <v>40.03</v>
      </c>
      <c r="F1735">
        <v>12236800</v>
      </c>
      <c r="G1735">
        <v>39.49</v>
      </c>
      <c r="H1735" t="s">
        <v>15</v>
      </c>
      <c r="I1735" s="22">
        <f t="shared" si="55"/>
        <v>6.0960310701406971E-3</v>
      </c>
      <c r="J1735" s="22" t="str">
        <f t="shared" si="56"/>
        <v/>
      </c>
    </row>
    <row r="1736" spans="1:10">
      <c r="A1736" s="1">
        <v>41337</v>
      </c>
      <c r="B1736">
        <v>39.869999999999997</v>
      </c>
      <c r="C1736">
        <v>40.479999999999997</v>
      </c>
      <c r="D1736">
        <v>39.630000000000003</v>
      </c>
      <c r="E1736">
        <v>40.380000000000003</v>
      </c>
      <c r="F1736">
        <v>9775700</v>
      </c>
      <c r="G1736">
        <v>39.83</v>
      </c>
      <c r="H1736" t="s">
        <v>15</v>
      </c>
      <c r="I1736" s="22">
        <f t="shared" si="55"/>
        <v>8.5729218949947995E-3</v>
      </c>
      <c r="J1736" s="22" t="str">
        <f t="shared" si="56"/>
        <v/>
      </c>
    </row>
    <row r="1737" spans="1:10">
      <c r="A1737" s="1">
        <v>41338</v>
      </c>
      <c r="B1737">
        <v>40.700000000000003</v>
      </c>
      <c r="C1737">
        <v>41.04</v>
      </c>
      <c r="D1737">
        <v>40.630000000000003</v>
      </c>
      <c r="E1737">
        <v>40.950000000000003</v>
      </c>
      <c r="F1737">
        <v>12353900</v>
      </c>
      <c r="G1737">
        <v>40.39</v>
      </c>
      <c r="H1737" t="s">
        <v>15</v>
      </c>
      <c r="I1737" s="22">
        <f t="shared" si="55"/>
        <v>1.3961832381768759E-2</v>
      </c>
      <c r="J1737" s="22" t="str">
        <f t="shared" si="56"/>
        <v/>
      </c>
    </row>
    <row r="1738" spans="1:10">
      <c r="A1738" s="1">
        <v>41339</v>
      </c>
      <c r="B1738">
        <v>41.15</v>
      </c>
      <c r="C1738">
        <v>41.31</v>
      </c>
      <c r="D1738">
        <v>40.72</v>
      </c>
      <c r="E1738">
        <v>40.85</v>
      </c>
      <c r="F1738">
        <v>7831900</v>
      </c>
      <c r="G1738">
        <v>40.29</v>
      </c>
      <c r="H1738" t="s">
        <v>15</v>
      </c>
      <c r="I1738" s="22">
        <f t="shared" si="55"/>
        <v>-2.4789303720656117E-3</v>
      </c>
      <c r="J1738" s="22" t="str">
        <f t="shared" si="56"/>
        <v>lost money</v>
      </c>
    </row>
    <row r="1739" spans="1:10">
      <c r="A1739" s="1">
        <v>41340</v>
      </c>
      <c r="B1739">
        <v>40.83</v>
      </c>
      <c r="C1739">
        <v>40.99</v>
      </c>
      <c r="D1739">
        <v>40.61</v>
      </c>
      <c r="E1739">
        <v>40.619999999999997</v>
      </c>
      <c r="F1739">
        <v>6674100</v>
      </c>
      <c r="G1739">
        <v>40.07</v>
      </c>
      <c r="H1739" t="s">
        <v>15</v>
      </c>
      <c r="I1739" s="22">
        <f t="shared" si="55"/>
        <v>-5.4753745552026502E-3</v>
      </c>
      <c r="J1739" s="22" t="str">
        <f t="shared" si="56"/>
        <v>lost money</v>
      </c>
    </row>
    <row r="1740" spans="1:10">
      <c r="A1740" s="1">
        <v>41341</v>
      </c>
      <c r="B1740">
        <v>40.86</v>
      </c>
      <c r="C1740">
        <v>41.17</v>
      </c>
      <c r="D1740">
        <v>40.47</v>
      </c>
      <c r="E1740">
        <v>41</v>
      </c>
      <c r="F1740">
        <v>11391300</v>
      </c>
      <c r="G1740">
        <v>40.44</v>
      </c>
      <c r="H1740" t="s">
        <v>15</v>
      </c>
      <c r="I1740" s="22">
        <f t="shared" si="55"/>
        <v>9.1914695042175192E-3</v>
      </c>
      <c r="J1740" s="22" t="str">
        <f t="shared" si="56"/>
        <v/>
      </c>
    </row>
    <row r="1741" spans="1:10">
      <c r="A1741" s="1">
        <v>41344</v>
      </c>
      <c r="B1741">
        <v>40.83</v>
      </c>
      <c r="C1741">
        <v>41.14</v>
      </c>
      <c r="D1741">
        <v>40.72</v>
      </c>
      <c r="E1741">
        <v>41.13</v>
      </c>
      <c r="F1741">
        <v>8461900</v>
      </c>
      <c r="G1741">
        <v>40.57</v>
      </c>
      <c r="H1741" t="s">
        <v>15</v>
      </c>
      <c r="I1741" s="22">
        <f t="shared" si="55"/>
        <v>3.2094830660853559E-3</v>
      </c>
      <c r="J1741" s="22" t="str">
        <f t="shared" si="56"/>
        <v/>
      </c>
    </row>
    <row r="1742" spans="1:10">
      <c r="A1742" s="1">
        <v>41345</v>
      </c>
      <c r="B1742">
        <v>41.07</v>
      </c>
      <c r="C1742">
        <v>41.07</v>
      </c>
      <c r="D1742">
        <v>40.51</v>
      </c>
      <c r="E1742">
        <v>40.72</v>
      </c>
      <c r="F1742">
        <v>14407600</v>
      </c>
      <c r="G1742">
        <v>40.17</v>
      </c>
      <c r="H1742" t="s">
        <v>15</v>
      </c>
      <c r="I1742" s="22">
        <f t="shared" si="55"/>
        <v>-9.9084288471650312E-3</v>
      </c>
      <c r="J1742" s="22" t="str">
        <f t="shared" si="56"/>
        <v>lost money</v>
      </c>
    </row>
    <row r="1743" spans="1:10">
      <c r="A1743" s="1">
        <v>41346</v>
      </c>
      <c r="B1743">
        <v>40.79</v>
      </c>
      <c r="C1743">
        <v>40.82</v>
      </c>
      <c r="D1743">
        <v>40.33</v>
      </c>
      <c r="E1743">
        <v>40.590000000000003</v>
      </c>
      <c r="F1743">
        <v>8661900</v>
      </c>
      <c r="G1743">
        <v>40.04</v>
      </c>
      <c r="H1743" t="s">
        <v>15</v>
      </c>
      <c r="I1743" s="22">
        <f t="shared" si="55"/>
        <v>-3.2414939241710672E-3</v>
      </c>
      <c r="J1743" s="22" t="str">
        <f t="shared" si="56"/>
        <v>lost money</v>
      </c>
    </row>
    <row r="1744" spans="1:10">
      <c r="A1744" s="1">
        <v>41347</v>
      </c>
      <c r="B1744">
        <v>40.79</v>
      </c>
      <c r="C1744">
        <v>41.24</v>
      </c>
      <c r="D1744">
        <v>40.56</v>
      </c>
      <c r="E1744">
        <v>41.16</v>
      </c>
      <c r="F1744">
        <v>14188600</v>
      </c>
      <c r="G1744">
        <v>40.6</v>
      </c>
      <c r="H1744" t="s">
        <v>15</v>
      </c>
      <c r="I1744" s="22">
        <f t="shared" si="55"/>
        <v>1.3889112160667093E-2</v>
      </c>
      <c r="J1744" s="22" t="str">
        <f t="shared" si="56"/>
        <v/>
      </c>
    </row>
    <row r="1745" spans="1:10">
      <c r="A1745" s="1">
        <v>41348</v>
      </c>
      <c r="B1745">
        <v>40.869999999999997</v>
      </c>
      <c r="C1745">
        <v>41.24</v>
      </c>
      <c r="D1745">
        <v>40.590000000000003</v>
      </c>
      <c r="E1745">
        <v>40.71</v>
      </c>
      <c r="F1745">
        <v>17649800</v>
      </c>
      <c r="G1745">
        <v>40.159999999999997</v>
      </c>
      <c r="H1745" t="s">
        <v>15</v>
      </c>
      <c r="I1745" s="22">
        <f t="shared" si="55"/>
        <v>-1.0896591224213367E-2</v>
      </c>
      <c r="J1745" s="22" t="str">
        <f t="shared" si="56"/>
        <v>lost money</v>
      </c>
    </row>
    <row r="1746" spans="1:10">
      <c r="A1746" s="1">
        <v>41351</v>
      </c>
      <c r="B1746">
        <v>40.25</v>
      </c>
      <c r="C1746">
        <v>40.5</v>
      </c>
      <c r="D1746">
        <v>39.85</v>
      </c>
      <c r="E1746">
        <v>40.369999999999997</v>
      </c>
      <c r="F1746">
        <v>13026900</v>
      </c>
      <c r="G1746">
        <v>39.82</v>
      </c>
      <c r="H1746" t="s">
        <v>15</v>
      </c>
      <c r="I1746" s="22">
        <f t="shared" si="55"/>
        <v>-8.5021767474234046E-3</v>
      </c>
      <c r="J1746" s="22" t="str">
        <f t="shared" si="56"/>
        <v/>
      </c>
    </row>
    <row r="1747" spans="1:10">
      <c r="A1747" s="1">
        <v>41352</v>
      </c>
      <c r="B1747">
        <v>40.35</v>
      </c>
      <c r="C1747">
        <v>40.44</v>
      </c>
      <c r="D1747">
        <v>39.53</v>
      </c>
      <c r="E1747">
        <v>40.130000000000003</v>
      </c>
      <c r="F1747">
        <v>16238100</v>
      </c>
      <c r="G1747">
        <v>39.58</v>
      </c>
      <c r="H1747" t="s">
        <v>15</v>
      </c>
      <c r="I1747" s="22">
        <f t="shared" si="55"/>
        <v>-6.0453584616305791E-3</v>
      </c>
      <c r="J1747" s="22" t="str">
        <f t="shared" si="56"/>
        <v>lost money</v>
      </c>
    </row>
    <row r="1748" spans="1:10">
      <c r="A1748" s="1">
        <v>41353</v>
      </c>
      <c r="B1748">
        <v>40.51</v>
      </c>
      <c r="C1748">
        <v>41.09</v>
      </c>
      <c r="D1748">
        <v>40.450000000000003</v>
      </c>
      <c r="E1748">
        <v>40.98</v>
      </c>
      <c r="F1748">
        <v>12650100</v>
      </c>
      <c r="G1748">
        <v>40.42</v>
      </c>
      <c r="H1748" t="s">
        <v>15</v>
      </c>
      <c r="I1748" s="22">
        <f t="shared" si="55"/>
        <v>2.1000771801055369E-2</v>
      </c>
      <c r="J1748" s="22" t="str">
        <f t="shared" si="56"/>
        <v/>
      </c>
    </row>
    <row r="1749" spans="1:10">
      <c r="A1749" s="1">
        <v>41354</v>
      </c>
      <c r="B1749">
        <v>40.770000000000003</v>
      </c>
      <c r="C1749">
        <v>40.9</v>
      </c>
      <c r="D1749">
        <v>40.159999999999997</v>
      </c>
      <c r="E1749">
        <v>40.4</v>
      </c>
      <c r="F1749">
        <v>12017900</v>
      </c>
      <c r="G1749">
        <v>39.85</v>
      </c>
      <c r="H1749" t="s">
        <v>15</v>
      </c>
      <c r="I1749" s="22">
        <f t="shared" si="55"/>
        <v>-1.4202306739250912E-2</v>
      </c>
      <c r="J1749" s="22" t="str">
        <f t="shared" si="56"/>
        <v>lost money</v>
      </c>
    </row>
    <row r="1750" spans="1:10">
      <c r="A1750" s="1">
        <v>41355</v>
      </c>
      <c r="B1750">
        <v>40.64</v>
      </c>
      <c r="C1750">
        <v>41.23</v>
      </c>
      <c r="D1750">
        <v>40.51</v>
      </c>
      <c r="E1750">
        <v>41.22</v>
      </c>
      <c r="F1750">
        <v>9594900</v>
      </c>
      <c r="G1750">
        <v>40.659999999999997</v>
      </c>
      <c r="H1750" t="s">
        <v>15</v>
      </c>
      <c r="I1750" s="22">
        <f t="shared" si="55"/>
        <v>2.0122402963976504E-2</v>
      </c>
      <c r="J1750" s="22" t="str">
        <f t="shared" si="56"/>
        <v/>
      </c>
    </row>
    <row r="1751" spans="1:10">
      <c r="A1751" s="1">
        <v>41358</v>
      </c>
      <c r="B1751">
        <v>41.42</v>
      </c>
      <c r="C1751">
        <v>41.82</v>
      </c>
      <c r="D1751">
        <v>41.27</v>
      </c>
      <c r="E1751">
        <v>41.72</v>
      </c>
      <c r="F1751">
        <v>21844100</v>
      </c>
      <c r="G1751">
        <v>41.15</v>
      </c>
      <c r="H1751" t="s">
        <v>15</v>
      </c>
      <c r="I1751" s="22">
        <f t="shared" si="55"/>
        <v>1.1979118922878248E-2</v>
      </c>
      <c r="J1751" s="22" t="str">
        <f t="shared" si="56"/>
        <v/>
      </c>
    </row>
    <row r="1752" spans="1:10">
      <c r="A1752" s="1">
        <v>41359</v>
      </c>
      <c r="B1752">
        <v>41.92</v>
      </c>
      <c r="C1752">
        <v>42</v>
      </c>
      <c r="D1752">
        <v>41.31</v>
      </c>
      <c r="E1752">
        <v>41.47</v>
      </c>
      <c r="F1752">
        <v>12964900</v>
      </c>
      <c r="G1752">
        <v>40.909999999999997</v>
      </c>
      <c r="H1752" t="s">
        <v>15</v>
      </c>
      <c r="I1752" s="22">
        <f t="shared" si="55"/>
        <v>-5.8493951817716926E-3</v>
      </c>
      <c r="J1752" s="22" t="str">
        <f t="shared" si="56"/>
        <v>lost money</v>
      </c>
    </row>
    <row r="1753" spans="1:10">
      <c r="A1753" s="1">
        <v>41360</v>
      </c>
      <c r="B1753">
        <v>41.29</v>
      </c>
      <c r="C1753">
        <v>41.76</v>
      </c>
      <c r="D1753">
        <v>41.15</v>
      </c>
      <c r="E1753">
        <v>41.75</v>
      </c>
      <c r="F1753">
        <v>11165200</v>
      </c>
      <c r="G1753">
        <v>41.18</v>
      </c>
      <c r="H1753" t="s">
        <v>15</v>
      </c>
      <c r="I1753" s="22">
        <f t="shared" si="55"/>
        <v>6.5781696583361929E-3</v>
      </c>
      <c r="J1753" s="22" t="str">
        <f t="shared" si="56"/>
        <v/>
      </c>
    </row>
    <row r="1754" spans="1:10">
      <c r="A1754" s="1">
        <v>41361</v>
      </c>
      <c r="B1754">
        <v>41.67</v>
      </c>
      <c r="C1754">
        <v>42.01</v>
      </c>
      <c r="D1754">
        <v>41.52</v>
      </c>
      <c r="E1754">
        <v>41.98</v>
      </c>
      <c r="F1754">
        <v>13591000</v>
      </c>
      <c r="G1754">
        <v>41.41</v>
      </c>
      <c r="H1754" t="s">
        <v>15</v>
      </c>
      <c r="I1754" s="22">
        <f t="shared" si="55"/>
        <v>5.5696959578324969E-3</v>
      </c>
      <c r="J1754" s="22" t="str">
        <f t="shared" si="56"/>
        <v/>
      </c>
    </row>
    <row r="1755" spans="1:10">
      <c r="A1755" s="1">
        <v>41365</v>
      </c>
      <c r="B1755">
        <v>41.46</v>
      </c>
      <c r="C1755">
        <v>42.06</v>
      </c>
      <c r="D1755">
        <v>41.08</v>
      </c>
      <c r="E1755">
        <v>41.38</v>
      </c>
      <c r="F1755">
        <v>10038800</v>
      </c>
      <c r="G1755">
        <v>41.01</v>
      </c>
      <c r="H1755" t="s">
        <v>15</v>
      </c>
      <c r="I1755" s="22">
        <f t="shared" si="55"/>
        <v>-9.7064581535080113E-3</v>
      </c>
      <c r="J1755" s="22" t="str">
        <f t="shared" si="56"/>
        <v>lost money</v>
      </c>
    </row>
    <row r="1756" spans="1:10">
      <c r="A1756" s="1">
        <v>41366</v>
      </c>
      <c r="B1756">
        <v>41.45</v>
      </c>
      <c r="C1756">
        <v>42.36</v>
      </c>
      <c r="D1756">
        <v>41.43</v>
      </c>
      <c r="E1756">
        <v>42.3</v>
      </c>
      <c r="F1756">
        <v>14517400</v>
      </c>
      <c r="G1756">
        <v>41.92</v>
      </c>
      <c r="H1756" t="s">
        <v>15</v>
      </c>
      <c r="I1756" s="22">
        <f t="shared" si="55"/>
        <v>2.1947100608818861E-2</v>
      </c>
      <c r="J1756" s="22" t="str">
        <f t="shared" si="56"/>
        <v/>
      </c>
    </row>
    <row r="1757" spans="1:10">
      <c r="A1757" s="1">
        <v>41367</v>
      </c>
      <c r="B1757">
        <v>42.28</v>
      </c>
      <c r="C1757">
        <v>42.61</v>
      </c>
      <c r="D1757">
        <v>41.55</v>
      </c>
      <c r="E1757">
        <v>41.82</v>
      </c>
      <c r="F1757">
        <v>12906900</v>
      </c>
      <c r="G1757">
        <v>41.44</v>
      </c>
      <c r="H1757" t="s">
        <v>15</v>
      </c>
      <c r="I1757" s="22">
        <f t="shared" si="55"/>
        <v>-1.151644206155918E-2</v>
      </c>
      <c r="J1757" s="22" t="str">
        <f t="shared" si="56"/>
        <v>lost money</v>
      </c>
    </row>
    <row r="1758" spans="1:10">
      <c r="A1758" s="1">
        <v>41368</v>
      </c>
      <c r="B1758">
        <v>41.78</v>
      </c>
      <c r="C1758">
        <v>42.3</v>
      </c>
      <c r="D1758">
        <v>41.63</v>
      </c>
      <c r="E1758">
        <v>42.12</v>
      </c>
      <c r="F1758">
        <v>7765900</v>
      </c>
      <c r="G1758">
        <v>41.74</v>
      </c>
      <c r="H1758" t="s">
        <v>15</v>
      </c>
      <c r="I1758" s="22">
        <f t="shared" si="55"/>
        <v>7.2133036978271944E-3</v>
      </c>
      <c r="J1758" s="22" t="str">
        <f t="shared" si="56"/>
        <v/>
      </c>
    </row>
    <row r="1759" spans="1:10">
      <c r="A1759" s="1">
        <v>41369</v>
      </c>
      <c r="B1759">
        <v>41.39</v>
      </c>
      <c r="C1759">
        <v>41.64</v>
      </c>
      <c r="D1759">
        <v>40.93</v>
      </c>
      <c r="E1759">
        <v>41.56</v>
      </c>
      <c r="F1759">
        <v>13974800</v>
      </c>
      <c r="G1759">
        <v>41.19</v>
      </c>
      <c r="H1759" t="s">
        <v>15</v>
      </c>
      <c r="I1759" s="22">
        <f t="shared" si="55"/>
        <v>-1.3264393201065417E-2</v>
      </c>
      <c r="J1759" s="22" t="str">
        <f t="shared" si="56"/>
        <v/>
      </c>
    </row>
    <row r="1760" spans="1:10">
      <c r="A1760" s="1">
        <v>41372</v>
      </c>
      <c r="B1760">
        <v>41.6</v>
      </c>
      <c r="C1760">
        <v>41.71</v>
      </c>
      <c r="D1760">
        <v>41.27</v>
      </c>
      <c r="E1760">
        <v>41.63</v>
      </c>
      <c r="F1760">
        <v>9523200</v>
      </c>
      <c r="G1760">
        <v>41.25</v>
      </c>
      <c r="H1760" t="s">
        <v>15</v>
      </c>
      <c r="I1760" s="22">
        <f t="shared" si="55"/>
        <v>1.4556043327005853E-3</v>
      </c>
      <c r="J1760" s="22" t="str">
        <f t="shared" si="56"/>
        <v/>
      </c>
    </row>
    <row r="1761" spans="1:10">
      <c r="A1761" s="1">
        <v>41373</v>
      </c>
      <c r="B1761">
        <v>41.63</v>
      </c>
      <c r="C1761">
        <v>41.82</v>
      </c>
      <c r="D1761">
        <v>40.92</v>
      </c>
      <c r="E1761">
        <v>41.28</v>
      </c>
      <c r="F1761">
        <v>11575800</v>
      </c>
      <c r="G1761">
        <v>40.909999999999997</v>
      </c>
      <c r="H1761" t="s">
        <v>15</v>
      </c>
      <c r="I1761" s="22">
        <f t="shared" si="55"/>
        <v>-8.2765808393828258E-3</v>
      </c>
      <c r="J1761" s="22" t="str">
        <f t="shared" si="56"/>
        <v>lost money</v>
      </c>
    </row>
    <row r="1762" spans="1:10">
      <c r="A1762" s="1">
        <v>41374</v>
      </c>
      <c r="B1762">
        <v>41.28</v>
      </c>
      <c r="C1762">
        <v>41.78</v>
      </c>
      <c r="D1762">
        <v>41.2</v>
      </c>
      <c r="E1762">
        <v>41.62</v>
      </c>
      <c r="F1762">
        <v>13239100</v>
      </c>
      <c r="G1762">
        <v>41.25</v>
      </c>
      <c r="H1762" t="s">
        <v>15</v>
      </c>
      <c r="I1762" s="22">
        <f t="shared" si="55"/>
        <v>8.2765808393827703E-3</v>
      </c>
      <c r="J1762" s="22" t="str">
        <f t="shared" si="56"/>
        <v/>
      </c>
    </row>
    <row r="1763" spans="1:10">
      <c r="A1763" s="1">
        <v>41375</v>
      </c>
      <c r="B1763">
        <v>41.8</v>
      </c>
      <c r="C1763">
        <v>41.96</v>
      </c>
      <c r="D1763">
        <v>41.65</v>
      </c>
      <c r="E1763">
        <v>41.81</v>
      </c>
      <c r="F1763">
        <v>13221200</v>
      </c>
      <c r="G1763">
        <v>41.43</v>
      </c>
      <c r="H1763" t="s">
        <v>15</v>
      </c>
      <c r="I1763" s="22">
        <f t="shared" si="55"/>
        <v>4.3541433086204343E-3</v>
      </c>
      <c r="J1763" s="22" t="str">
        <f t="shared" si="56"/>
        <v/>
      </c>
    </row>
    <row r="1764" spans="1:10">
      <c r="A1764" s="1">
        <v>41376</v>
      </c>
      <c r="B1764">
        <v>41.87</v>
      </c>
      <c r="C1764">
        <v>42.12</v>
      </c>
      <c r="D1764">
        <v>41.77</v>
      </c>
      <c r="E1764">
        <v>42</v>
      </c>
      <c r="F1764">
        <v>16969200</v>
      </c>
      <c r="G1764">
        <v>41.62</v>
      </c>
      <c r="H1764" t="s">
        <v>15</v>
      </c>
      <c r="I1764" s="22">
        <f t="shared" si="55"/>
        <v>4.5755648761778627E-3</v>
      </c>
      <c r="J1764" s="22" t="str">
        <f t="shared" si="56"/>
        <v/>
      </c>
    </row>
    <row r="1765" spans="1:10">
      <c r="A1765" s="1">
        <v>41379</v>
      </c>
      <c r="B1765">
        <v>41.87</v>
      </c>
      <c r="C1765">
        <v>41.87</v>
      </c>
      <c r="D1765">
        <v>41.1</v>
      </c>
      <c r="E1765">
        <v>41.15</v>
      </c>
      <c r="F1765">
        <v>13544500</v>
      </c>
      <c r="G1765">
        <v>40.78</v>
      </c>
      <c r="H1765" t="s">
        <v>15</v>
      </c>
      <c r="I1765" s="22">
        <f t="shared" si="55"/>
        <v>-2.0389055819179141E-2</v>
      </c>
      <c r="J1765" s="22" t="str">
        <f t="shared" si="56"/>
        <v>lost money</v>
      </c>
    </row>
    <row r="1766" spans="1:10">
      <c r="A1766" s="1">
        <v>41380</v>
      </c>
      <c r="B1766">
        <v>41.48</v>
      </c>
      <c r="C1766">
        <v>41.63</v>
      </c>
      <c r="D1766">
        <v>41.24</v>
      </c>
      <c r="E1766">
        <v>41.41</v>
      </c>
      <c r="F1766">
        <v>16430900</v>
      </c>
      <c r="G1766">
        <v>41.04</v>
      </c>
      <c r="H1766" t="s">
        <v>15</v>
      </c>
      <c r="I1766" s="22">
        <f t="shared" si="55"/>
        <v>6.3554357162048259E-3</v>
      </c>
      <c r="J1766" s="22" t="str">
        <f t="shared" si="56"/>
        <v>lost money</v>
      </c>
    </row>
    <row r="1767" spans="1:10">
      <c r="A1767" s="1">
        <v>41381</v>
      </c>
      <c r="B1767">
        <v>41.12</v>
      </c>
      <c r="C1767">
        <v>41.28</v>
      </c>
      <c r="D1767">
        <v>40.53</v>
      </c>
      <c r="E1767">
        <v>40.619999999999997</v>
      </c>
      <c r="F1767">
        <v>18027800</v>
      </c>
      <c r="G1767">
        <v>40.25</v>
      </c>
      <c r="H1767" t="s">
        <v>15</v>
      </c>
      <c r="I1767" s="22">
        <f t="shared" si="55"/>
        <v>-1.9437196997941709E-2</v>
      </c>
      <c r="J1767" s="22" t="str">
        <f t="shared" si="56"/>
        <v>lost money</v>
      </c>
    </row>
    <row r="1768" spans="1:10">
      <c r="A1768" s="1">
        <v>41382</v>
      </c>
      <c r="B1768">
        <v>40.72</v>
      </c>
      <c r="C1768">
        <v>40.76</v>
      </c>
      <c r="D1768">
        <v>39.950000000000003</v>
      </c>
      <c r="E1768">
        <v>39.99</v>
      </c>
      <c r="F1768">
        <v>16178800</v>
      </c>
      <c r="G1768">
        <v>39.630000000000003</v>
      </c>
      <c r="H1768" t="s">
        <v>15</v>
      </c>
      <c r="I1768" s="22">
        <f t="shared" si="55"/>
        <v>-1.5523596662228639E-2</v>
      </c>
      <c r="J1768" s="22" t="str">
        <f t="shared" si="56"/>
        <v>lost money</v>
      </c>
    </row>
    <row r="1769" spans="1:10">
      <c r="A1769" s="1">
        <v>41383</v>
      </c>
      <c r="B1769">
        <v>39.86</v>
      </c>
      <c r="C1769">
        <v>40.61</v>
      </c>
      <c r="D1769">
        <v>39.659999999999997</v>
      </c>
      <c r="E1769">
        <v>40.56</v>
      </c>
      <c r="F1769">
        <v>14644900</v>
      </c>
      <c r="G1769">
        <v>40.19</v>
      </c>
      <c r="H1769" t="s">
        <v>15</v>
      </c>
      <c r="I1769" s="22">
        <f t="shared" si="55"/>
        <v>1.4031801258765915E-2</v>
      </c>
      <c r="J1769" s="22" t="str">
        <f t="shared" si="56"/>
        <v/>
      </c>
    </row>
    <row r="1770" spans="1:10">
      <c r="A1770" s="1">
        <v>41386</v>
      </c>
      <c r="B1770">
        <v>40.49</v>
      </c>
      <c r="C1770">
        <v>40.619999999999997</v>
      </c>
      <c r="D1770">
        <v>40.25</v>
      </c>
      <c r="E1770">
        <v>40.47</v>
      </c>
      <c r="F1770">
        <v>13750800</v>
      </c>
      <c r="G1770">
        <v>40.11</v>
      </c>
      <c r="H1770" t="s">
        <v>15</v>
      </c>
      <c r="I1770" s="22">
        <f t="shared" si="55"/>
        <v>-1.9925286791481708E-3</v>
      </c>
      <c r="J1770" s="22" t="str">
        <f t="shared" si="56"/>
        <v>lost money</v>
      </c>
    </row>
    <row r="1771" spans="1:10">
      <c r="A1771" s="1">
        <v>41387</v>
      </c>
      <c r="B1771">
        <v>40.78</v>
      </c>
      <c r="C1771">
        <v>40.93</v>
      </c>
      <c r="D1771">
        <v>40.28</v>
      </c>
      <c r="E1771">
        <v>40.9</v>
      </c>
      <c r="F1771">
        <v>11957000</v>
      </c>
      <c r="G1771">
        <v>40.53</v>
      </c>
      <c r="H1771" t="s">
        <v>15</v>
      </c>
      <c r="I1771" s="22">
        <f t="shared" si="55"/>
        <v>1.04167608582558E-2</v>
      </c>
      <c r="J1771" s="22" t="str">
        <f t="shared" si="56"/>
        <v/>
      </c>
    </row>
    <row r="1772" spans="1:10">
      <c r="A1772" s="1">
        <v>41388</v>
      </c>
      <c r="B1772">
        <v>41.05</v>
      </c>
      <c r="C1772">
        <v>41.28</v>
      </c>
      <c r="D1772">
        <v>40.54</v>
      </c>
      <c r="E1772">
        <v>40.67</v>
      </c>
      <c r="F1772">
        <v>11451500</v>
      </c>
      <c r="G1772">
        <v>40.299999999999997</v>
      </c>
      <c r="H1772" t="s">
        <v>15</v>
      </c>
      <c r="I1772" s="22">
        <f t="shared" si="55"/>
        <v>-5.690971687579956E-3</v>
      </c>
      <c r="J1772" s="22" t="str">
        <f t="shared" si="56"/>
        <v>lost money</v>
      </c>
    </row>
    <row r="1773" spans="1:10">
      <c r="A1773" s="1">
        <v>41389</v>
      </c>
      <c r="B1773">
        <v>40.74</v>
      </c>
      <c r="C1773">
        <v>41.02</v>
      </c>
      <c r="D1773">
        <v>40.61</v>
      </c>
      <c r="E1773">
        <v>40.75</v>
      </c>
      <c r="F1773">
        <v>12009300</v>
      </c>
      <c r="G1773">
        <v>40.380000000000003</v>
      </c>
      <c r="H1773" t="s">
        <v>15</v>
      </c>
      <c r="I1773" s="22">
        <f t="shared" si="55"/>
        <v>1.9831439320542469E-3</v>
      </c>
      <c r="J1773" s="22" t="str">
        <f t="shared" si="56"/>
        <v/>
      </c>
    </row>
    <row r="1774" spans="1:10">
      <c r="A1774" s="1">
        <v>41390</v>
      </c>
      <c r="B1774">
        <v>40.799999999999997</v>
      </c>
      <c r="C1774">
        <v>41.53</v>
      </c>
      <c r="D1774">
        <v>40.64</v>
      </c>
      <c r="E1774">
        <v>41.37</v>
      </c>
      <c r="F1774">
        <v>13760000</v>
      </c>
      <c r="G1774">
        <v>41</v>
      </c>
      <c r="H1774" t="s">
        <v>15</v>
      </c>
      <c r="I1774" s="22">
        <f t="shared" si="55"/>
        <v>1.5237453819616312E-2</v>
      </c>
      <c r="J1774" s="22" t="str">
        <f t="shared" si="56"/>
        <v/>
      </c>
    </row>
    <row r="1775" spans="1:10">
      <c r="A1775" s="1">
        <v>41393</v>
      </c>
      <c r="B1775">
        <v>41.62</v>
      </c>
      <c r="C1775">
        <v>41.69</v>
      </c>
      <c r="D1775">
        <v>41.28</v>
      </c>
      <c r="E1775">
        <v>41.49</v>
      </c>
      <c r="F1775">
        <v>8377000</v>
      </c>
      <c r="G1775">
        <v>41.12</v>
      </c>
      <c r="H1775" t="s">
        <v>15</v>
      </c>
      <c r="I1775" s="22">
        <f t="shared" si="55"/>
        <v>2.9225544426018666E-3</v>
      </c>
      <c r="J1775" s="22" t="str">
        <f t="shared" si="56"/>
        <v>lost money</v>
      </c>
    </row>
    <row r="1776" spans="1:10">
      <c r="A1776" s="1">
        <v>41394</v>
      </c>
      <c r="B1776">
        <v>41.66</v>
      </c>
      <c r="C1776">
        <v>41.68</v>
      </c>
      <c r="D1776">
        <v>41.13</v>
      </c>
      <c r="E1776">
        <v>41.3</v>
      </c>
      <c r="F1776">
        <v>8877800</v>
      </c>
      <c r="G1776">
        <v>40.93</v>
      </c>
      <c r="H1776" t="s">
        <v>15</v>
      </c>
      <c r="I1776" s="22">
        <f t="shared" si="55"/>
        <v>-4.6313306425980177E-3</v>
      </c>
      <c r="J1776" s="22" t="str">
        <f t="shared" si="56"/>
        <v>lost money</v>
      </c>
    </row>
    <row r="1777" spans="1:10">
      <c r="A1777" s="1">
        <v>41395</v>
      </c>
      <c r="B1777">
        <v>41.98</v>
      </c>
      <c r="C1777">
        <v>42.47</v>
      </c>
      <c r="D1777">
        <v>41.66</v>
      </c>
      <c r="E1777">
        <v>41.86</v>
      </c>
      <c r="F1777">
        <v>13410200</v>
      </c>
      <c r="G1777">
        <v>41.48</v>
      </c>
      <c r="H1777" t="s">
        <v>15</v>
      </c>
      <c r="I1777" s="22">
        <f t="shared" si="55"/>
        <v>1.3348092857014856E-2</v>
      </c>
      <c r="J1777" s="22" t="str">
        <f t="shared" si="56"/>
        <v>lost money</v>
      </c>
    </row>
    <row r="1778" spans="1:10">
      <c r="A1778" s="1">
        <v>41396</v>
      </c>
      <c r="B1778">
        <v>41.71</v>
      </c>
      <c r="C1778">
        <v>42.2</v>
      </c>
      <c r="D1778">
        <v>41.65</v>
      </c>
      <c r="E1778">
        <v>42.11</v>
      </c>
      <c r="F1778">
        <v>7773500</v>
      </c>
      <c r="G1778">
        <v>41.73</v>
      </c>
      <c r="H1778" t="s">
        <v>15</v>
      </c>
      <c r="I1778" s="22">
        <f t="shared" si="55"/>
        <v>6.0089112421346826E-3</v>
      </c>
      <c r="J1778" s="22" t="str">
        <f t="shared" si="56"/>
        <v/>
      </c>
    </row>
    <row r="1779" spans="1:10">
      <c r="A1779" s="1">
        <v>41397</v>
      </c>
      <c r="B1779">
        <v>42.14</v>
      </c>
      <c r="C1779">
        <v>42.75</v>
      </c>
      <c r="D1779">
        <v>42.14</v>
      </c>
      <c r="E1779">
        <v>42.54</v>
      </c>
      <c r="F1779">
        <v>7773300</v>
      </c>
      <c r="G1779">
        <v>42.16</v>
      </c>
      <c r="H1779" t="s">
        <v>15</v>
      </c>
      <c r="I1779" s="22">
        <f t="shared" si="55"/>
        <v>1.0251609629645714E-2</v>
      </c>
      <c r="J1779" s="22" t="str">
        <f t="shared" si="56"/>
        <v/>
      </c>
    </row>
    <row r="1780" spans="1:10">
      <c r="A1780" s="1">
        <v>41400</v>
      </c>
      <c r="B1780">
        <v>42.46</v>
      </c>
      <c r="C1780">
        <v>42.84</v>
      </c>
      <c r="D1780">
        <v>42.34</v>
      </c>
      <c r="E1780">
        <v>42.78</v>
      </c>
      <c r="F1780">
        <v>7241000</v>
      </c>
      <c r="G1780">
        <v>42.39</v>
      </c>
      <c r="H1780" t="s">
        <v>15</v>
      </c>
      <c r="I1780" s="22">
        <f t="shared" si="55"/>
        <v>5.4405811314390219E-3</v>
      </c>
      <c r="J1780" s="22" t="str">
        <f t="shared" si="56"/>
        <v/>
      </c>
    </row>
    <row r="1781" spans="1:10">
      <c r="A1781" s="1">
        <v>41401</v>
      </c>
      <c r="B1781">
        <v>42.97</v>
      </c>
      <c r="C1781">
        <v>43.25</v>
      </c>
      <c r="D1781">
        <v>42.83</v>
      </c>
      <c r="E1781">
        <v>43.05</v>
      </c>
      <c r="F1781">
        <v>9159000</v>
      </c>
      <c r="G1781">
        <v>42.66</v>
      </c>
      <c r="H1781" t="s">
        <v>15</v>
      </c>
      <c r="I1781" s="22">
        <f t="shared" si="55"/>
        <v>6.3492276786587445E-3</v>
      </c>
      <c r="J1781" s="22" t="str">
        <f t="shared" si="56"/>
        <v/>
      </c>
    </row>
    <row r="1782" spans="1:10">
      <c r="A1782" s="1">
        <v>41402</v>
      </c>
      <c r="B1782">
        <v>42.94</v>
      </c>
      <c r="C1782">
        <v>43.36</v>
      </c>
      <c r="D1782">
        <v>42.91</v>
      </c>
      <c r="E1782">
        <v>43.28</v>
      </c>
      <c r="F1782">
        <v>7181700</v>
      </c>
      <c r="G1782">
        <v>42.89</v>
      </c>
      <c r="H1782" t="s">
        <v>15</v>
      </c>
      <c r="I1782" s="22">
        <f t="shared" si="55"/>
        <v>5.3769854855845768E-3</v>
      </c>
      <c r="J1782" s="22" t="str">
        <f t="shared" si="56"/>
        <v/>
      </c>
    </row>
    <row r="1783" spans="1:10">
      <c r="A1783" s="1">
        <v>41403</v>
      </c>
      <c r="B1783">
        <v>43.17</v>
      </c>
      <c r="C1783">
        <v>43.29</v>
      </c>
      <c r="D1783">
        <v>42.75</v>
      </c>
      <c r="E1783">
        <v>42.96</v>
      </c>
      <c r="F1783">
        <v>7828800</v>
      </c>
      <c r="G1783">
        <v>42.57</v>
      </c>
      <c r="H1783" t="s">
        <v>15</v>
      </c>
      <c r="I1783" s="22">
        <f t="shared" si="55"/>
        <v>-7.4889186887281516E-3</v>
      </c>
      <c r="J1783" s="22" t="str">
        <f t="shared" si="56"/>
        <v>lost money</v>
      </c>
    </row>
    <row r="1784" spans="1:10">
      <c r="A1784" s="1">
        <v>41404</v>
      </c>
      <c r="B1784">
        <v>43.09</v>
      </c>
      <c r="C1784">
        <v>43.36</v>
      </c>
      <c r="D1784">
        <v>42.91</v>
      </c>
      <c r="E1784">
        <v>43.08</v>
      </c>
      <c r="F1784">
        <v>6383800</v>
      </c>
      <c r="G1784">
        <v>42.69</v>
      </c>
      <c r="H1784" t="s">
        <v>15</v>
      </c>
      <c r="I1784" s="22">
        <f t="shared" si="55"/>
        <v>2.8149209298095946E-3</v>
      </c>
      <c r="J1784" s="22" t="str">
        <f t="shared" si="56"/>
        <v>lost money</v>
      </c>
    </row>
    <row r="1785" spans="1:10">
      <c r="A1785" s="1">
        <v>41407</v>
      </c>
      <c r="B1785">
        <v>43.08</v>
      </c>
      <c r="C1785">
        <v>43.2</v>
      </c>
      <c r="D1785">
        <v>42.57</v>
      </c>
      <c r="E1785">
        <v>43.19</v>
      </c>
      <c r="F1785">
        <v>9887200</v>
      </c>
      <c r="G1785">
        <v>42.8</v>
      </c>
      <c r="H1785" t="s">
        <v>15</v>
      </c>
      <c r="I1785" s="22">
        <f t="shared" si="55"/>
        <v>2.5734018178803632E-3</v>
      </c>
      <c r="J1785" s="22" t="str">
        <f t="shared" si="56"/>
        <v/>
      </c>
    </row>
    <row r="1786" spans="1:10">
      <c r="A1786" s="1">
        <v>41408</v>
      </c>
      <c r="B1786">
        <v>43.28</v>
      </c>
      <c r="C1786">
        <v>43.64</v>
      </c>
      <c r="D1786">
        <v>43.04</v>
      </c>
      <c r="E1786">
        <v>43.33</v>
      </c>
      <c r="F1786">
        <v>9921500</v>
      </c>
      <c r="G1786">
        <v>42.94</v>
      </c>
      <c r="H1786" t="s">
        <v>15</v>
      </c>
      <c r="I1786" s="22">
        <f t="shared" si="55"/>
        <v>3.2656898628837905E-3</v>
      </c>
      <c r="J1786" s="22" t="str">
        <f t="shared" si="56"/>
        <v/>
      </c>
    </row>
    <row r="1787" spans="1:10">
      <c r="A1787" s="1">
        <v>41409</v>
      </c>
      <c r="B1787">
        <v>43.45</v>
      </c>
      <c r="C1787">
        <v>43.74</v>
      </c>
      <c r="D1787">
        <v>42.97</v>
      </c>
      <c r="E1787">
        <v>43.73</v>
      </c>
      <c r="F1787">
        <v>7900000</v>
      </c>
      <c r="G1787">
        <v>43.34</v>
      </c>
      <c r="H1787" t="s">
        <v>15</v>
      </c>
      <c r="I1787" s="22">
        <f t="shared" si="55"/>
        <v>9.2722036575781756E-3</v>
      </c>
      <c r="J1787" s="22" t="str">
        <f t="shared" si="56"/>
        <v/>
      </c>
    </row>
    <row r="1788" spans="1:10">
      <c r="A1788" s="1">
        <v>41410</v>
      </c>
      <c r="B1788">
        <v>43.5</v>
      </c>
      <c r="C1788">
        <v>43.73</v>
      </c>
      <c r="D1788">
        <v>42.75</v>
      </c>
      <c r="E1788">
        <v>42.87</v>
      </c>
      <c r="F1788">
        <v>8882600</v>
      </c>
      <c r="G1788">
        <v>42.48</v>
      </c>
      <c r="H1788" t="s">
        <v>15</v>
      </c>
      <c r="I1788" s="22">
        <f t="shared" si="55"/>
        <v>-2.0042619174529753E-2</v>
      </c>
      <c r="J1788" s="22" t="str">
        <f t="shared" si="56"/>
        <v>lost money</v>
      </c>
    </row>
    <row r="1789" spans="1:10">
      <c r="A1789" s="1">
        <v>41411</v>
      </c>
      <c r="B1789">
        <v>43.17</v>
      </c>
      <c r="C1789">
        <v>43.19</v>
      </c>
      <c r="D1789">
        <v>42.17</v>
      </c>
      <c r="E1789">
        <v>42.64</v>
      </c>
      <c r="F1789">
        <v>14666500</v>
      </c>
      <c r="G1789">
        <v>42.26</v>
      </c>
      <c r="H1789" t="s">
        <v>15</v>
      </c>
      <c r="I1789" s="22">
        <f t="shared" si="55"/>
        <v>-5.1923647457727514E-3</v>
      </c>
      <c r="J1789" s="22" t="str">
        <f t="shared" si="56"/>
        <v>lost money</v>
      </c>
    </row>
    <row r="1790" spans="1:10">
      <c r="A1790" s="1">
        <v>41414</v>
      </c>
      <c r="B1790">
        <v>42.47</v>
      </c>
      <c r="C1790">
        <v>42.56</v>
      </c>
      <c r="D1790">
        <v>41.31</v>
      </c>
      <c r="E1790">
        <v>41.52</v>
      </c>
      <c r="F1790">
        <v>19027200</v>
      </c>
      <c r="G1790">
        <v>41.15</v>
      </c>
      <c r="H1790" t="s">
        <v>15</v>
      </c>
      <c r="I1790" s="22">
        <f t="shared" si="55"/>
        <v>-2.6617085064831771E-2</v>
      </c>
      <c r="J1790" s="22" t="str">
        <f t="shared" si="56"/>
        <v>lost money</v>
      </c>
    </row>
    <row r="1791" spans="1:10">
      <c r="A1791" s="1">
        <v>41415</v>
      </c>
      <c r="B1791">
        <v>41.61</v>
      </c>
      <c r="C1791">
        <v>42.41</v>
      </c>
      <c r="D1791">
        <v>41.54</v>
      </c>
      <c r="E1791">
        <v>42.23</v>
      </c>
      <c r="F1791">
        <v>12777800</v>
      </c>
      <c r="G1791">
        <v>41.85</v>
      </c>
      <c r="H1791" t="s">
        <v>15</v>
      </c>
      <c r="I1791" s="22">
        <f t="shared" si="55"/>
        <v>1.6867869812405484E-2</v>
      </c>
      <c r="J1791" s="22" t="str">
        <f t="shared" si="56"/>
        <v/>
      </c>
    </row>
    <row r="1792" spans="1:10">
      <c r="A1792" s="1">
        <v>41416</v>
      </c>
      <c r="B1792">
        <v>41.94</v>
      </c>
      <c r="C1792">
        <v>42.64</v>
      </c>
      <c r="D1792">
        <v>41.54</v>
      </c>
      <c r="E1792">
        <v>41.78</v>
      </c>
      <c r="F1792">
        <v>11729600</v>
      </c>
      <c r="G1792">
        <v>41.4</v>
      </c>
      <c r="H1792" t="s">
        <v>15</v>
      </c>
      <c r="I1792" s="22">
        <f t="shared" si="55"/>
        <v>-1.081091610421573E-2</v>
      </c>
      <c r="J1792" s="22" t="str">
        <f t="shared" si="56"/>
        <v>lost money</v>
      </c>
    </row>
    <row r="1793" spans="1:10">
      <c r="A1793" s="1">
        <v>41417</v>
      </c>
      <c r="B1793">
        <v>41.59</v>
      </c>
      <c r="C1793">
        <v>41.87</v>
      </c>
      <c r="D1793">
        <v>41.37</v>
      </c>
      <c r="E1793">
        <v>41.82</v>
      </c>
      <c r="F1793">
        <v>10763500</v>
      </c>
      <c r="G1793">
        <v>41.44</v>
      </c>
      <c r="H1793" t="s">
        <v>15</v>
      </c>
      <c r="I1793" s="22">
        <f t="shared" si="55"/>
        <v>9.6571711995879132E-4</v>
      </c>
      <c r="J1793" s="22" t="str">
        <f t="shared" si="56"/>
        <v/>
      </c>
    </row>
    <row r="1794" spans="1:10">
      <c r="A1794" s="1">
        <v>41418</v>
      </c>
      <c r="B1794">
        <v>41.42</v>
      </c>
      <c r="C1794">
        <v>41.95</v>
      </c>
      <c r="D1794">
        <v>41.33</v>
      </c>
      <c r="E1794">
        <v>41.95</v>
      </c>
      <c r="F1794">
        <v>7734300</v>
      </c>
      <c r="G1794">
        <v>41.57</v>
      </c>
      <c r="H1794" t="s">
        <v>15</v>
      </c>
      <c r="I1794" s="22">
        <f t="shared" si="55"/>
        <v>3.1321553133185449E-3</v>
      </c>
      <c r="J1794" s="22" t="str">
        <f t="shared" si="56"/>
        <v/>
      </c>
    </row>
    <row r="1795" spans="1:10">
      <c r="A1795" s="1">
        <v>41422</v>
      </c>
      <c r="B1795">
        <v>42.25</v>
      </c>
      <c r="C1795">
        <v>42.48</v>
      </c>
      <c r="D1795">
        <v>41.52</v>
      </c>
      <c r="E1795">
        <v>41.82</v>
      </c>
      <c r="F1795">
        <v>8026300</v>
      </c>
      <c r="G1795">
        <v>41.44</v>
      </c>
      <c r="H1795" t="s">
        <v>15</v>
      </c>
      <c r="I1795" s="22">
        <f t="shared" ref="I1795:I1858" si="57">IF(A1795=$A$2,"",LN(G1795/G1794))</f>
        <v>-3.1321553133185302E-3</v>
      </c>
      <c r="J1795" s="22" t="str">
        <f t="shared" ref="J1795:J1858" si="58">IF(B1795&gt;E1795,"lost money","")</f>
        <v>lost money</v>
      </c>
    </row>
    <row r="1796" spans="1:10">
      <c r="A1796" s="1">
        <v>41423</v>
      </c>
      <c r="B1796">
        <v>41.76</v>
      </c>
      <c r="C1796">
        <v>41.79</v>
      </c>
      <c r="D1796">
        <v>40.770000000000003</v>
      </c>
      <c r="E1796">
        <v>40.79</v>
      </c>
      <c r="F1796">
        <v>17274900</v>
      </c>
      <c r="G1796">
        <v>40.42</v>
      </c>
      <c r="H1796" t="s">
        <v>15</v>
      </c>
      <c r="I1796" s="22">
        <f t="shared" si="57"/>
        <v>-2.4921885975752532E-2</v>
      </c>
      <c r="J1796" s="22" t="str">
        <f t="shared" si="58"/>
        <v>lost money</v>
      </c>
    </row>
    <row r="1797" spans="1:10">
      <c r="A1797" s="1">
        <v>41424</v>
      </c>
      <c r="B1797">
        <v>40.92</v>
      </c>
      <c r="C1797">
        <v>41.25</v>
      </c>
      <c r="D1797">
        <v>40.9</v>
      </c>
      <c r="E1797">
        <v>40.950000000000003</v>
      </c>
      <c r="F1797">
        <v>7390300</v>
      </c>
      <c r="G1797">
        <v>40.58</v>
      </c>
      <c r="H1797" t="s">
        <v>15</v>
      </c>
      <c r="I1797" s="22">
        <f t="shared" si="57"/>
        <v>3.9506224221937539E-3</v>
      </c>
      <c r="J1797" s="22" t="str">
        <f t="shared" si="58"/>
        <v/>
      </c>
    </row>
    <row r="1798" spans="1:10">
      <c r="A1798" s="1">
        <v>41425</v>
      </c>
      <c r="B1798">
        <v>40.89</v>
      </c>
      <c r="C1798">
        <v>40.89</v>
      </c>
      <c r="D1798">
        <v>40.15</v>
      </c>
      <c r="E1798">
        <v>40.17</v>
      </c>
      <c r="F1798">
        <v>14503600</v>
      </c>
      <c r="G1798">
        <v>39.81</v>
      </c>
      <c r="H1798" t="s">
        <v>15</v>
      </c>
      <c r="I1798" s="22">
        <f t="shared" si="57"/>
        <v>-1.915719738544279E-2</v>
      </c>
      <c r="J1798" s="22" t="str">
        <f t="shared" si="58"/>
        <v>lost money</v>
      </c>
    </row>
    <row r="1799" spans="1:10">
      <c r="A1799" s="1">
        <v>41428</v>
      </c>
      <c r="B1799">
        <v>40.25</v>
      </c>
      <c r="C1799">
        <v>40.46</v>
      </c>
      <c r="D1799">
        <v>39.51</v>
      </c>
      <c r="E1799">
        <v>40.46</v>
      </c>
      <c r="F1799">
        <v>11662000</v>
      </c>
      <c r="G1799">
        <v>40.1</v>
      </c>
      <c r="H1799" t="s">
        <v>15</v>
      </c>
      <c r="I1799" s="22">
        <f t="shared" si="57"/>
        <v>7.2581973002977382E-3</v>
      </c>
      <c r="J1799" s="22" t="str">
        <f t="shared" si="58"/>
        <v/>
      </c>
    </row>
    <row r="1800" spans="1:10">
      <c r="A1800" s="1">
        <v>41429</v>
      </c>
      <c r="B1800">
        <v>40.520000000000003</v>
      </c>
      <c r="C1800">
        <v>41.11</v>
      </c>
      <c r="D1800">
        <v>40.31</v>
      </c>
      <c r="E1800">
        <v>40.92</v>
      </c>
      <c r="F1800">
        <v>13358400</v>
      </c>
      <c r="G1800">
        <v>40.549999999999997</v>
      </c>
      <c r="H1800" t="s">
        <v>15</v>
      </c>
      <c r="I1800" s="22">
        <f t="shared" si="57"/>
        <v>1.1159446248898228E-2</v>
      </c>
      <c r="J1800" s="22" t="str">
        <f t="shared" si="58"/>
        <v/>
      </c>
    </row>
    <row r="1801" spans="1:10">
      <c r="A1801" s="1">
        <v>41430</v>
      </c>
      <c r="B1801">
        <v>40.96</v>
      </c>
      <c r="C1801">
        <v>40.97</v>
      </c>
      <c r="D1801">
        <v>40.06</v>
      </c>
      <c r="E1801">
        <v>40.19</v>
      </c>
      <c r="F1801">
        <v>13474300</v>
      </c>
      <c r="G1801">
        <v>39.83</v>
      </c>
      <c r="H1801" t="s">
        <v>15</v>
      </c>
      <c r="I1801" s="22">
        <f t="shared" si="57"/>
        <v>-1.7915383367869086E-2</v>
      </c>
      <c r="J1801" s="22" t="str">
        <f t="shared" si="58"/>
        <v>lost money</v>
      </c>
    </row>
    <row r="1802" spans="1:10">
      <c r="A1802" s="1">
        <v>41431</v>
      </c>
      <c r="B1802">
        <v>40.26</v>
      </c>
      <c r="C1802">
        <v>40.340000000000003</v>
      </c>
      <c r="D1802">
        <v>39.61</v>
      </c>
      <c r="E1802">
        <v>40.24</v>
      </c>
      <c r="F1802">
        <v>11164900</v>
      </c>
      <c r="G1802">
        <v>39.880000000000003</v>
      </c>
      <c r="H1802" t="s">
        <v>15</v>
      </c>
      <c r="I1802" s="22">
        <f t="shared" si="57"/>
        <v>1.2545479000848564E-3</v>
      </c>
      <c r="J1802" s="22" t="str">
        <f t="shared" si="58"/>
        <v>lost money</v>
      </c>
    </row>
    <row r="1803" spans="1:10">
      <c r="A1803" s="1">
        <v>41432</v>
      </c>
      <c r="B1803">
        <v>40.520000000000003</v>
      </c>
      <c r="C1803">
        <v>41.28</v>
      </c>
      <c r="D1803">
        <v>40.33</v>
      </c>
      <c r="E1803">
        <v>41.18</v>
      </c>
      <c r="F1803">
        <v>12413100</v>
      </c>
      <c r="G1803">
        <v>40.81</v>
      </c>
      <c r="H1803" t="s">
        <v>15</v>
      </c>
      <c r="I1803" s="22">
        <f t="shared" si="57"/>
        <v>2.3052204324076789E-2</v>
      </c>
      <c r="J1803" s="22" t="str">
        <f t="shared" si="58"/>
        <v/>
      </c>
    </row>
    <row r="1804" spans="1:10">
      <c r="A1804" s="1">
        <v>41435</v>
      </c>
      <c r="B1804">
        <v>41.18</v>
      </c>
      <c r="C1804">
        <v>41.21</v>
      </c>
      <c r="D1804">
        <v>40.5</v>
      </c>
      <c r="E1804">
        <v>40.67</v>
      </c>
      <c r="F1804">
        <v>10289900</v>
      </c>
      <c r="G1804">
        <v>40.299999999999997</v>
      </c>
      <c r="H1804" t="s">
        <v>15</v>
      </c>
      <c r="I1804" s="22">
        <f t="shared" si="57"/>
        <v>-1.2575680465077125E-2</v>
      </c>
      <c r="J1804" s="22" t="str">
        <f t="shared" si="58"/>
        <v>lost money</v>
      </c>
    </row>
    <row r="1805" spans="1:10">
      <c r="A1805" s="1">
        <v>41436</v>
      </c>
      <c r="B1805">
        <v>40.47</v>
      </c>
      <c r="C1805">
        <v>40.58</v>
      </c>
      <c r="D1805">
        <v>39.93</v>
      </c>
      <c r="E1805">
        <v>40.159999999999997</v>
      </c>
      <c r="F1805">
        <v>9961400</v>
      </c>
      <c r="G1805">
        <v>39.799999999999997</v>
      </c>
      <c r="H1805" t="s">
        <v>15</v>
      </c>
      <c r="I1805" s="22">
        <f t="shared" si="57"/>
        <v>-1.2484556662245284E-2</v>
      </c>
      <c r="J1805" s="22" t="str">
        <f t="shared" si="58"/>
        <v>lost money</v>
      </c>
    </row>
    <row r="1806" spans="1:10">
      <c r="A1806" s="1">
        <v>41437</v>
      </c>
      <c r="B1806">
        <v>40.36</v>
      </c>
      <c r="C1806">
        <v>40.39</v>
      </c>
      <c r="D1806">
        <v>39.26</v>
      </c>
      <c r="E1806">
        <v>39.520000000000003</v>
      </c>
      <c r="F1806">
        <v>11890000</v>
      </c>
      <c r="G1806">
        <v>39.159999999999997</v>
      </c>
      <c r="H1806" t="s">
        <v>15</v>
      </c>
      <c r="I1806" s="22">
        <f t="shared" si="57"/>
        <v>-1.621109462808237E-2</v>
      </c>
      <c r="J1806" s="22" t="str">
        <f t="shared" si="58"/>
        <v>lost money</v>
      </c>
    </row>
    <row r="1807" spans="1:10">
      <c r="A1807" s="1">
        <v>41438</v>
      </c>
      <c r="B1807">
        <v>39.4</v>
      </c>
      <c r="C1807">
        <v>39.9</v>
      </c>
      <c r="D1807">
        <v>38.909999999999997</v>
      </c>
      <c r="E1807">
        <v>39.75</v>
      </c>
      <c r="F1807">
        <v>12264500</v>
      </c>
      <c r="G1807">
        <v>39.39</v>
      </c>
      <c r="H1807" t="s">
        <v>15</v>
      </c>
      <c r="I1807" s="22">
        <f t="shared" si="57"/>
        <v>5.8561593205049261E-3</v>
      </c>
      <c r="J1807" s="22" t="str">
        <f t="shared" si="58"/>
        <v/>
      </c>
    </row>
    <row r="1808" spans="1:10">
      <c r="A1808" s="1">
        <v>41439</v>
      </c>
      <c r="B1808">
        <v>39.61</v>
      </c>
      <c r="C1808">
        <v>39.880000000000003</v>
      </c>
      <c r="D1808">
        <v>39.14</v>
      </c>
      <c r="E1808">
        <v>39.74</v>
      </c>
      <c r="F1808">
        <v>11962600</v>
      </c>
      <c r="G1808">
        <v>39.380000000000003</v>
      </c>
      <c r="H1808" t="s">
        <v>15</v>
      </c>
      <c r="I1808" s="22">
        <f t="shared" si="57"/>
        <v>-2.5390377183498052E-4</v>
      </c>
      <c r="J1808" s="22" t="str">
        <f t="shared" si="58"/>
        <v/>
      </c>
    </row>
    <row r="1809" spans="1:10">
      <c r="A1809" s="1">
        <v>41442</v>
      </c>
      <c r="B1809">
        <v>40.17</v>
      </c>
      <c r="C1809">
        <v>40.58</v>
      </c>
      <c r="D1809">
        <v>39.700000000000003</v>
      </c>
      <c r="E1809">
        <v>40.08</v>
      </c>
      <c r="F1809">
        <v>9850900</v>
      </c>
      <c r="G1809">
        <v>39.72</v>
      </c>
      <c r="H1809" t="s">
        <v>15</v>
      </c>
      <c r="I1809" s="22">
        <f t="shared" si="57"/>
        <v>8.5967659659922178E-3</v>
      </c>
      <c r="J1809" s="22" t="str">
        <f t="shared" si="58"/>
        <v>lost money</v>
      </c>
    </row>
    <row r="1810" spans="1:10">
      <c r="A1810" s="1">
        <v>41443</v>
      </c>
      <c r="B1810">
        <v>40.22</v>
      </c>
      <c r="C1810">
        <v>40.71</v>
      </c>
      <c r="D1810">
        <v>40.159999999999997</v>
      </c>
      <c r="E1810">
        <v>40.39</v>
      </c>
      <c r="F1810">
        <v>9603700</v>
      </c>
      <c r="G1810">
        <v>40.03</v>
      </c>
      <c r="H1810" t="s">
        <v>15</v>
      </c>
      <c r="I1810" s="22">
        <f t="shared" si="57"/>
        <v>7.7743338275104053E-3</v>
      </c>
      <c r="J1810" s="22" t="str">
        <f t="shared" si="58"/>
        <v/>
      </c>
    </row>
    <row r="1811" spans="1:10">
      <c r="A1811" s="1">
        <v>41444</v>
      </c>
      <c r="B1811">
        <v>40.51</v>
      </c>
      <c r="C1811">
        <v>40.82</v>
      </c>
      <c r="D1811">
        <v>40.130000000000003</v>
      </c>
      <c r="E1811">
        <v>40.21</v>
      </c>
      <c r="F1811">
        <v>11500500</v>
      </c>
      <c r="G1811">
        <v>39.85</v>
      </c>
      <c r="H1811" t="s">
        <v>15</v>
      </c>
      <c r="I1811" s="22">
        <f t="shared" si="57"/>
        <v>-4.5067677682581984E-3</v>
      </c>
      <c r="J1811" s="22" t="str">
        <f t="shared" si="58"/>
        <v>lost money</v>
      </c>
    </row>
    <row r="1812" spans="1:10">
      <c r="A1812" s="1">
        <v>41445</v>
      </c>
      <c r="B1812">
        <v>39.79</v>
      </c>
      <c r="C1812">
        <v>39.79</v>
      </c>
      <c r="D1812">
        <v>38.75</v>
      </c>
      <c r="E1812">
        <v>38.909999999999997</v>
      </c>
      <c r="F1812">
        <v>15167200</v>
      </c>
      <c r="G1812">
        <v>38.56</v>
      </c>
      <c r="H1812" t="s">
        <v>15</v>
      </c>
      <c r="I1812" s="22">
        <f t="shared" si="57"/>
        <v>-3.2906935493879186E-2</v>
      </c>
      <c r="J1812" s="22" t="str">
        <f t="shared" si="58"/>
        <v>lost money</v>
      </c>
    </row>
    <row r="1813" spans="1:10">
      <c r="A1813" s="1">
        <v>41446</v>
      </c>
      <c r="B1813">
        <v>39.22</v>
      </c>
      <c r="C1813">
        <v>39.82</v>
      </c>
      <c r="D1813">
        <v>38.89</v>
      </c>
      <c r="E1813">
        <v>39.770000000000003</v>
      </c>
      <c r="F1813">
        <v>23151500</v>
      </c>
      <c r="G1813">
        <v>39.409999999999997</v>
      </c>
      <c r="H1813" t="s">
        <v>15</v>
      </c>
      <c r="I1813" s="22">
        <f t="shared" si="57"/>
        <v>2.1804121464567377E-2</v>
      </c>
      <c r="J1813" s="22" t="str">
        <f t="shared" si="58"/>
        <v/>
      </c>
    </row>
    <row r="1814" spans="1:10">
      <c r="A1814" s="1">
        <v>41449</v>
      </c>
      <c r="B1814">
        <v>39.369999999999997</v>
      </c>
      <c r="C1814">
        <v>40</v>
      </c>
      <c r="D1814">
        <v>39.33</v>
      </c>
      <c r="E1814">
        <v>39.78</v>
      </c>
      <c r="F1814">
        <v>16838900</v>
      </c>
      <c r="G1814">
        <v>39.42</v>
      </c>
      <c r="H1814" t="s">
        <v>15</v>
      </c>
      <c r="I1814" s="22">
        <f t="shared" si="57"/>
        <v>2.5371051766201079E-4</v>
      </c>
      <c r="J1814" s="22" t="str">
        <f t="shared" si="58"/>
        <v/>
      </c>
    </row>
    <row r="1815" spans="1:10">
      <c r="A1815" s="1">
        <v>41450</v>
      </c>
      <c r="B1815">
        <v>40.03</v>
      </c>
      <c r="C1815">
        <v>40.33</v>
      </c>
      <c r="D1815">
        <v>39.69</v>
      </c>
      <c r="E1815">
        <v>40.17</v>
      </c>
      <c r="F1815">
        <v>13549300</v>
      </c>
      <c r="G1815">
        <v>39.81</v>
      </c>
      <c r="H1815" t="s">
        <v>15</v>
      </c>
      <c r="I1815" s="22">
        <f t="shared" si="57"/>
        <v>9.8448352876516054E-3</v>
      </c>
      <c r="J1815" s="22" t="str">
        <f t="shared" si="58"/>
        <v/>
      </c>
    </row>
    <row r="1816" spans="1:10">
      <c r="A1816" s="1">
        <v>41451</v>
      </c>
      <c r="B1816">
        <v>40.49</v>
      </c>
      <c r="C1816">
        <v>40.630000000000003</v>
      </c>
      <c r="D1816">
        <v>40.1</v>
      </c>
      <c r="E1816">
        <v>40.19</v>
      </c>
      <c r="F1816">
        <v>11061500</v>
      </c>
      <c r="G1816">
        <v>39.83</v>
      </c>
      <c r="H1816" t="s">
        <v>15</v>
      </c>
      <c r="I1816" s="22">
        <f t="shared" si="57"/>
        <v>5.0226018132681579E-4</v>
      </c>
      <c r="J1816" s="22" t="str">
        <f t="shared" si="58"/>
        <v>lost money</v>
      </c>
    </row>
    <row r="1817" spans="1:10">
      <c r="A1817" s="1">
        <v>41452</v>
      </c>
      <c r="B1817">
        <v>40.549999999999997</v>
      </c>
      <c r="C1817">
        <v>40.869999999999997</v>
      </c>
      <c r="D1817">
        <v>40.26</v>
      </c>
      <c r="E1817">
        <v>40.299999999999997</v>
      </c>
      <c r="F1817">
        <v>13062100</v>
      </c>
      <c r="G1817">
        <v>39.94</v>
      </c>
      <c r="H1817" t="s">
        <v>15</v>
      </c>
      <c r="I1817" s="22">
        <f t="shared" si="57"/>
        <v>2.7579307941163265E-3</v>
      </c>
      <c r="J1817" s="22" t="str">
        <f t="shared" si="58"/>
        <v>lost money</v>
      </c>
    </row>
    <row r="1818" spans="1:10">
      <c r="A1818" s="1">
        <v>41453</v>
      </c>
      <c r="B1818">
        <v>40.1</v>
      </c>
      <c r="C1818">
        <v>41.99</v>
      </c>
      <c r="D1818">
        <v>40.1</v>
      </c>
      <c r="E1818">
        <v>41.75</v>
      </c>
      <c r="F1818">
        <v>48648200</v>
      </c>
      <c r="G1818">
        <v>41.37</v>
      </c>
      <c r="H1818" t="s">
        <v>15</v>
      </c>
      <c r="I1818" s="22">
        <f t="shared" si="57"/>
        <v>3.517765248565103E-2</v>
      </c>
      <c r="J1818" s="22" t="str">
        <f t="shared" si="58"/>
        <v/>
      </c>
    </row>
    <row r="1819" spans="1:10">
      <c r="A1819" s="1">
        <v>41456</v>
      </c>
      <c r="B1819">
        <v>41.89</v>
      </c>
      <c r="C1819">
        <v>41.93</v>
      </c>
      <c r="D1819">
        <v>40.630000000000003</v>
      </c>
      <c r="E1819">
        <v>40.659999999999997</v>
      </c>
      <c r="F1819">
        <v>14470800</v>
      </c>
      <c r="G1819">
        <v>40.479999999999997</v>
      </c>
      <c r="H1819" t="s">
        <v>15</v>
      </c>
      <c r="I1819" s="22">
        <f t="shared" si="57"/>
        <v>-2.1747955494110054E-2</v>
      </c>
      <c r="J1819" s="22" t="str">
        <f t="shared" si="58"/>
        <v>lost money</v>
      </c>
    </row>
    <row r="1820" spans="1:10">
      <c r="A1820" s="1">
        <v>41457</v>
      </c>
      <c r="B1820">
        <v>40.44</v>
      </c>
      <c r="C1820">
        <v>41.22</v>
      </c>
      <c r="D1820">
        <v>40.26</v>
      </c>
      <c r="E1820">
        <v>40.75</v>
      </c>
      <c r="F1820">
        <v>12375900</v>
      </c>
      <c r="G1820">
        <v>40.57</v>
      </c>
      <c r="H1820" t="s">
        <v>15</v>
      </c>
      <c r="I1820" s="22">
        <f t="shared" si="57"/>
        <v>2.2208522391457758E-3</v>
      </c>
      <c r="J1820" s="22" t="str">
        <f t="shared" si="58"/>
        <v/>
      </c>
    </row>
    <row r="1821" spans="1:10">
      <c r="A1821" s="1">
        <v>41458</v>
      </c>
      <c r="B1821">
        <v>40.42</v>
      </c>
      <c r="C1821">
        <v>41.28</v>
      </c>
      <c r="D1821">
        <v>40.409999999999997</v>
      </c>
      <c r="E1821">
        <v>41.15</v>
      </c>
      <c r="F1821">
        <v>6571900</v>
      </c>
      <c r="G1821">
        <v>40.97</v>
      </c>
      <c r="H1821" t="s">
        <v>15</v>
      </c>
      <c r="I1821" s="22">
        <f t="shared" si="57"/>
        <v>9.8112143404238371E-3</v>
      </c>
      <c r="J1821" s="22" t="str">
        <f t="shared" si="58"/>
        <v/>
      </c>
    </row>
    <row r="1822" spans="1:10">
      <c r="A1822" s="1">
        <v>41460</v>
      </c>
      <c r="B1822">
        <v>41.76</v>
      </c>
      <c r="C1822">
        <v>41.92</v>
      </c>
      <c r="D1822">
        <v>41.24</v>
      </c>
      <c r="E1822">
        <v>41.7</v>
      </c>
      <c r="F1822">
        <v>7797600</v>
      </c>
      <c r="G1822">
        <v>41.52</v>
      </c>
      <c r="H1822" t="s">
        <v>15</v>
      </c>
      <c r="I1822" s="22">
        <f t="shared" si="57"/>
        <v>1.3335147298853663E-2</v>
      </c>
      <c r="J1822" s="22" t="str">
        <f t="shared" si="58"/>
        <v>lost money</v>
      </c>
    </row>
    <row r="1823" spans="1:10">
      <c r="A1823" s="1">
        <v>41463</v>
      </c>
      <c r="B1823">
        <v>41.95</v>
      </c>
      <c r="C1823">
        <v>42.51</v>
      </c>
      <c r="D1823">
        <v>41.84</v>
      </c>
      <c r="E1823">
        <v>42.41</v>
      </c>
      <c r="F1823">
        <v>11901600</v>
      </c>
      <c r="G1823">
        <v>42.23</v>
      </c>
      <c r="H1823" t="s">
        <v>15</v>
      </c>
      <c r="I1823" s="22">
        <f t="shared" si="57"/>
        <v>1.6955630088218914E-2</v>
      </c>
      <c r="J1823" s="22" t="str">
        <f t="shared" si="58"/>
        <v/>
      </c>
    </row>
    <row r="1824" spans="1:10">
      <c r="A1824" s="1">
        <v>41464</v>
      </c>
      <c r="B1824">
        <v>42.87</v>
      </c>
      <c r="C1824">
        <v>43.08</v>
      </c>
      <c r="D1824">
        <v>42.64</v>
      </c>
      <c r="E1824">
        <v>42.67</v>
      </c>
      <c r="F1824">
        <v>11270700</v>
      </c>
      <c r="G1824">
        <v>42.48</v>
      </c>
      <c r="H1824" t="s">
        <v>15</v>
      </c>
      <c r="I1824" s="22">
        <f t="shared" si="57"/>
        <v>5.9025079878312547E-3</v>
      </c>
      <c r="J1824" s="22" t="str">
        <f t="shared" si="58"/>
        <v>lost money</v>
      </c>
    </row>
    <row r="1825" spans="1:10">
      <c r="A1825" s="1">
        <v>41465</v>
      </c>
      <c r="B1825">
        <v>42.71</v>
      </c>
      <c r="C1825">
        <v>43.03</v>
      </c>
      <c r="D1825">
        <v>42.48</v>
      </c>
      <c r="E1825">
        <v>42.91</v>
      </c>
      <c r="F1825">
        <v>8866000</v>
      </c>
      <c r="G1825">
        <v>42.72</v>
      </c>
      <c r="H1825" t="s">
        <v>15</v>
      </c>
      <c r="I1825" s="22">
        <f t="shared" si="57"/>
        <v>5.6338177182560642E-3</v>
      </c>
      <c r="J1825" s="22" t="str">
        <f t="shared" si="58"/>
        <v/>
      </c>
    </row>
    <row r="1826" spans="1:10">
      <c r="A1826" s="1">
        <v>41466</v>
      </c>
      <c r="B1826">
        <v>43.46</v>
      </c>
      <c r="C1826">
        <v>44.65</v>
      </c>
      <c r="D1826">
        <v>43.27</v>
      </c>
      <c r="E1826">
        <v>44.46</v>
      </c>
      <c r="F1826">
        <v>22515700</v>
      </c>
      <c r="G1826">
        <v>44.27</v>
      </c>
      <c r="H1826" t="s">
        <v>15</v>
      </c>
      <c r="I1826" s="22">
        <f t="shared" si="57"/>
        <v>3.5640052092110408E-2</v>
      </c>
      <c r="J1826" s="22" t="str">
        <f t="shared" si="58"/>
        <v/>
      </c>
    </row>
    <row r="1827" spans="1:10">
      <c r="A1827" s="1">
        <v>41467</v>
      </c>
      <c r="B1827">
        <v>44.43</v>
      </c>
      <c r="C1827">
        <v>44.7</v>
      </c>
      <c r="D1827">
        <v>44.09</v>
      </c>
      <c r="E1827">
        <v>44.68</v>
      </c>
      <c r="F1827">
        <v>10966700</v>
      </c>
      <c r="G1827">
        <v>44.49</v>
      </c>
      <c r="H1827" t="s">
        <v>15</v>
      </c>
      <c r="I1827" s="22">
        <f t="shared" si="57"/>
        <v>4.9571980739007218E-3</v>
      </c>
      <c r="J1827" s="22" t="str">
        <f t="shared" si="58"/>
        <v/>
      </c>
    </row>
    <row r="1828" spans="1:10">
      <c r="A1828" s="1">
        <v>41470</v>
      </c>
      <c r="B1828">
        <v>44.56</v>
      </c>
      <c r="C1828">
        <v>44.63</v>
      </c>
      <c r="D1828">
        <v>44.04</v>
      </c>
      <c r="E1828">
        <v>44.15</v>
      </c>
      <c r="F1828">
        <v>8946000</v>
      </c>
      <c r="G1828">
        <v>43.96</v>
      </c>
      <c r="H1828" t="s">
        <v>15</v>
      </c>
      <c r="I1828" s="22">
        <f t="shared" si="57"/>
        <v>-1.198431528252982E-2</v>
      </c>
      <c r="J1828" s="22" t="str">
        <f t="shared" si="58"/>
        <v>lost money</v>
      </c>
    </row>
    <row r="1829" spans="1:10">
      <c r="A1829" s="1">
        <v>41471</v>
      </c>
      <c r="B1829">
        <v>44.16</v>
      </c>
      <c r="C1829">
        <v>44.34</v>
      </c>
      <c r="D1829">
        <v>43.75</v>
      </c>
      <c r="E1829">
        <v>43.99</v>
      </c>
      <c r="F1829">
        <v>8589900</v>
      </c>
      <c r="G1829">
        <v>43.8</v>
      </c>
      <c r="H1829" t="s">
        <v>15</v>
      </c>
      <c r="I1829" s="22">
        <f t="shared" si="57"/>
        <v>-3.6463121530201986E-3</v>
      </c>
      <c r="J1829" s="22" t="str">
        <f t="shared" si="58"/>
        <v>lost money</v>
      </c>
    </row>
    <row r="1830" spans="1:10">
      <c r="A1830" s="1">
        <v>41472</v>
      </c>
      <c r="B1830">
        <v>44.15</v>
      </c>
      <c r="C1830">
        <v>44.24</v>
      </c>
      <c r="D1830">
        <v>43.67</v>
      </c>
      <c r="E1830">
        <v>43.87</v>
      </c>
      <c r="F1830">
        <v>7574800</v>
      </c>
      <c r="G1830">
        <v>43.68</v>
      </c>
      <c r="H1830" t="s">
        <v>15</v>
      </c>
      <c r="I1830" s="22">
        <f t="shared" si="57"/>
        <v>-2.7434859457508326E-3</v>
      </c>
      <c r="J1830" s="22" t="str">
        <f t="shared" si="58"/>
        <v>lost money</v>
      </c>
    </row>
    <row r="1831" spans="1:10">
      <c r="A1831" s="1">
        <v>41473</v>
      </c>
      <c r="B1831">
        <v>44.05</v>
      </c>
      <c r="C1831">
        <v>44.63</v>
      </c>
      <c r="D1831">
        <v>44.04</v>
      </c>
      <c r="E1831">
        <v>44.34</v>
      </c>
      <c r="F1831">
        <v>9886000</v>
      </c>
      <c r="G1831">
        <v>44.15</v>
      </c>
      <c r="H1831" t="s">
        <v>15</v>
      </c>
      <c r="I1831" s="22">
        <f t="shared" si="57"/>
        <v>1.070259561331938E-2</v>
      </c>
      <c r="J1831" s="22" t="str">
        <f t="shared" si="58"/>
        <v/>
      </c>
    </row>
    <row r="1832" spans="1:10">
      <c r="A1832" s="1">
        <v>41474</v>
      </c>
      <c r="B1832">
        <v>44.48</v>
      </c>
      <c r="C1832">
        <v>44.63</v>
      </c>
      <c r="D1832">
        <v>44.13</v>
      </c>
      <c r="E1832">
        <v>44.57</v>
      </c>
      <c r="F1832">
        <v>10046200</v>
      </c>
      <c r="G1832">
        <v>44.38</v>
      </c>
      <c r="H1832" t="s">
        <v>15</v>
      </c>
      <c r="I1832" s="22">
        <f t="shared" si="57"/>
        <v>5.195990454478867E-3</v>
      </c>
      <c r="J1832" s="22" t="str">
        <f t="shared" si="58"/>
        <v/>
      </c>
    </row>
    <row r="1833" spans="1:10">
      <c r="A1833" s="1">
        <v>41477</v>
      </c>
      <c r="B1833">
        <v>45.27</v>
      </c>
      <c r="C1833">
        <v>45.45</v>
      </c>
      <c r="D1833">
        <v>44.51</v>
      </c>
      <c r="E1833">
        <v>44.93</v>
      </c>
      <c r="F1833">
        <v>10241700</v>
      </c>
      <c r="G1833">
        <v>44.73</v>
      </c>
      <c r="H1833" t="s">
        <v>15</v>
      </c>
      <c r="I1833" s="22">
        <f t="shared" si="57"/>
        <v>7.8554999403088327E-3</v>
      </c>
      <c r="J1833" s="22" t="str">
        <f t="shared" si="58"/>
        <v>lost money</v>
      </c>
    </row>
    <row r="1834" spans="1:10">
      <c r="A1834" s="1">
        <v>41478</v>
      </c>
      <c r="B1834">
        <v>44.95</v>
      </c>
      <c r="C1834">
        <v>45.41</v>
      </c>
      <c r="D1834">
        <v>44.8</v>
      </c>
      <c r="E1834">
        <v>45.14</v>
      </c>
      <c r="F1834">
        <v>11841000</v>
      </c>
      <c r="G1834">
        <v>44.94</v>
      </c>
      <c r="H1834" t="s">
        <v>15</v>
      </c>
      <c r="I1834" s="22">
        <f t="shared" si="57"/>
        <v>4.6838493124264375E-3</v>
      </c>
      <c r="J1834" s="22" t="str">
        <f t="shared" si="58"/>
        <v/>
      </c>
    </row>
    <row r="1835" spans="1:10">
      <c r="A1835" s="1">
        <v>41479</v>
      </c>
      <c r="B1835">
        <v>45.14</v>
      </c>
      <c r="C1835">
        <v>45.63</v>
      </c>
      <c r="D1835">
        <v>44.64</v>
      </c>
      <c r="E1835">
        <v>44.96</v>
      </c>
      <c r="F1835">
        <v>9826000</v>
      </c>
      <c r="G1835">
        <v>44.76</v>
      </c>
      <c r="H1835" t="s">
        <v>15</v>
      </c>
      <c r="I1835" s="22">
        <f t="shared" si="57"/>
        <v>-4.0133833134586763E-3</v>
      </c>
      <c r="J1835" s="22" t="str">
        <f t="shared" si="58"/>
        <v>lost money</v>
      </c>
    </row>
    <row r="1836" spans="1:10">
      <c r="A1836" s="1">
        <v>41480</v>
      </c>
      <c r="B1836">
        <v>44.69</v>
      </c>
      <c r="C1836">
        <v>44.81</v>
      </c>
      <c r="D1836">
        <v>43.97</v>
      </c>
      <c r="E1836">
        <v>44.17</v>
      </c>
      <c r="F1836">
        <v>10393500</v>
      </c>
      <c r="G1836">
        <v>43.98</v>
      </c>
      <c r="H1836" t="s">
        <v>15</v>
      </c>
      <c r="I1836" s="22">
        <f t="shared" si="57"/>
        <v>-1.757989831710937E-2</v>
      </c>
      <c r="J1836" s="22" t="str">
        <f t="shared" si="58"/>
        <v>lost money</v>
      </c>
    </row>
    <row r="1837" spans="1:10">
      <c r="A1837" s="1">
        <v>41481</v>
      </c>
      <c r="B1837">
        <v>43.81</v>
      </c>
      <c r="C1837">
        <v>43.9</v>
      </c>
      <c r="D1837">
        <v>43.41</v>
      </c>
      <c r="E1837">
        <v>43.73</v>
      </c>
      <c r="F1837">
        <v>13962800</v>
      </c>
      <c r="G1837">
        <v>43.54</v>
      </c>
      <c r="H1837" t="s">
        <v>15</v>
      </c>
      <c r="I1837" s="22">
        <f t="shared" si="57"/>
        <v>-1.0054929320213643E-2</v>
      </c>
      <c r="J1837" s="22" t="str">
        <f t="shared" si="58"/>
        <v>lost money</v>
      </c>
    </row>
    <row r="1838" spans="1:10">
      <c r="A1838" s="1">
        <v>41484</v>
      </c>
      <c r="B1838">
        <v>43.49</v>
      </c>
      <c r="C1838">
        <v>43.66</v>
      </c>
      <c r="D1838">
        <v>43.33</v>
      </c>
      <c r="E1838">
        <v>43.4</v>
      </c>
      <c r="F1838">
        <v>7995000</v>
      </c>
      <c r="G1838">
        <v>43.21</v>
      </c>
      <c r="H1838" t="s">
        <v>15</v>
      </c>
      <c r="I1838" s="22">
        <f t="shared" si="57"/>
        <v>-7.6081058625595685E-3</v>
      </c>
      <c r="J1838" s="22" t="str">
        <f t="shared" si="58"/>
        <v>lost money</v>
      </c>
    </row>
    <row r="1839" spans="1:10">
      <c r="A1839" s="1">
        <v>41485</v>
      </c>
      <c r="B1839">
        <v>43.29</v>
      </c>
      <c r="C1839">
        <v>43.5</v>
      </c>
      <c r="D1839">
        <v>42.66</v>
      </c>
      <c r="E1839">
        <v>42.71</v>
      </c>
      <c r="F1839">
        <v>13451700</v>
      </c>
      <c r="G1839">
        <v>42.52</v>
      </c>
      <c r="H1839" t="s">
        <v>15</v>
      </c>
      <c r="I1839" s="22">
        <f t="shared" si="57"/>
        <v>-1.6097396470094564E-2</v>
      </c>
      <c r="J1839" s="22" t="str">
        <f t="shared" si="58"/>
        <v>lost money</v>
      </c>
    </row>
    <row r="1840" spans="1:10">
      <c r="A1840" s="1">
        <v>41486</v>
      </c>
      <c r="B1840">
        <v>44.25</v>
      </c>
      <c r="C1840">
        <v>45.39</v>
      </c>
      <c r="D1840">
        <v>43.93</v>
      </c>
      <c r="E1840">
        <v>45.08</v>
      </c>
      <c r="F1840">
        <v>27047400</v>
      </c>
      <c r="G1840">
        <v>44.88</v>
      </c>
      <c r="H1840" t="s">
        <v>15</v>
      </c>
      <c r="I1840" s="22">
        <f t="shared" si="57"/>
        <v>5.4017707740693581E-2</v>
      </c>
      <c r="J1840" s="22" t="str">
        <f t="shared" si="58"/>
        <v/>
      </c>
    </row>
    <row r="1841" spans="1:10">
      <c r="A1841" s="1">
        <v>41487</v>
      </c>
      <c r="B1841">
        <v>45.77</v>
      </c>
      <c r="C1841">
        <v>46.33</v>
      </c>
      <c r="D1841">
        <v>45.69</v>
      </c>
      <c r="E1841">
        <v>45.84</v>
      </c>
      <c r="F1841">
        <v>14001200</v>
      </c>
      <c r="G1841">
        <v>45.64</v>
      </c>
      <c r="H1841" t="s">
        <v>15</v>
      </c>
      <c r="I1841" s="22">
        <f t="shared" si="57"/>
        <v>1.6792263779433936E-2</v>
      </c>
      <c r="J1841" s="22" t="str">
        <f t="shared" si="58"/>
        <v/>
      </c>
    </row>
    <row r="1842" spans="1:10">
      <c r="A1842" s="1">
        <v>41488</v>
      </c>
      <c r="B1842">
        <v>45.89</v>
      </c>
      <c r="C1842">
        <v>45.89</v>
      </c>
      <c r="D1842">
        <v>45.39</v>
      </c>
      <c r="E1842">
        <v>45.72</v>
      </c>
      <c r="F1842">
        <v>11619900</v>
      </c>
      <c r="G1842">
        <v>45.52</v>
      </c>
      <c r="H1842" t="s">
        <v>15</v>
      </c>
      <c r="I1842" s="22">
        <f t="shared" si="57"/>
        <v>-2.6327351757993141E-3</v>
      </c>
      <c r="J1842" s="22" t="str">
        <f t="shared" si="58"/>
        <v>lost money</v>
      </c>
    </row>
    <row r="1843" spans="1:10">
      <c r="A1843" s="1">
        <v>41491</v>
      </c>
      <c r="B1843">
        <v>45.54</v>
      </c>
      <c r="C1843">
        <v>45.96</v>
      </c>
      <c r="D1843">
        <v>45.54</v>
      </c>
      <c r="E1843">
        <v>45.63</v>
      </c>
      <c r="F1843">
        <v>7746200</v>
      </c>
      <c r="G1843">
        <v>45.43</v>
      </c>
      <c r="H1843" t="s">
        <v>15</v>
      </c>
      <c r="I1843" s="22">
        <f t="shared" si="57"/>
        <v>-1.9791100467636603E-3</v>
      </c>
      <c r="J1843" s="22" t="str">
        <f t="shared" si="58"/>
        <v/>
      </c>
    </row>
    <row r="1844" spans="1:10">
      <c r="A1844" s="1">
        <v>41492</v>
      </c>
      <c r="B1844">
        <v>45.43</v>
      </c>
      <c r="C1844">
        <v>45.63</v>
      </c>
      <c r="D1844">
        <v>44.71</v>
      </c>
      <c r="E1844">
        <v>44.99</v>
      </c>
      <c r="F1844">
        <v>11263000</v>
      </c>
      <c r="G1844">
        <v>44.79</v>
      </c>
      <c r="H1844" t="s">
        <v>15</v>
      </c>
      <c r="I1844" s="22">
        <f t="shared" si="57"/>
        <v>-1.418777955210327E-2</v>
      </c>
      <c r="J1844" s="22" t="str">
        <f t="shared" si="58"/>
        <v>lost money</v>
      </c>
    </row>
    <row r="1845" spans="1:10">
      <c r="A1845" s="1">
        <v>41493</v>
      </c>
      <c r="B1845">
        <v>44.77</v>
      </c>
      <c r="C1845">
        <v>45.31</v>
      </c>
      <c r="D1845">
        <v>44.63</v>
      </c>
      <c r="E1845">
        <v>45.18</v>
      </c>
      <c r="F1845">
        <v>9495100</v>
      </c>
      <c r="G1845">
        <v>44.98</v>
      </c>
      <c r="H1845" t="s">
        <v>15</v>
      </c>
      <c r="I1845" s="22">
        <f t="shared" si="57"/>
        <v>4.2330463119608693E-3</v>
      </c>
      <c r="J1845" s="22" t="str">
        <f t="shared" si="58"/>
        <v/>
      </c>
    </row>
    <row r="1846" spans="1:10">
      <c r="A1846" s="1">
        <v>41494</v>
      </c>
      <c r="B1846">
        <v>45.54</v>
      </c>
      <c r="C1846">
        <v>45.73</v>
      </c>
      <c r="D1846">
        <v>44.88</v>
      </c>
      <c r="E1846">
        <v>44.94</v>
      </c>
      <c r="F1846">
        <v>7377400</v>
      </c>
      <c r="G1846">
        <v>44.74</v>
      </c>
      <c r="H1846" t="s">
        <v>15</v>
      </c>
      <c r="I1846" s="22">
        <f t="shared" si="57"/>
        <v>-5.349990469185978E-3</v>
      </c>
      <c r="J1846" s="22" t="str">
        <f t="shared" si="58"/>
        <v>lost money</v>
      </c>
    </row>
    <row r="1847" spans="1:10">
      <c r="A1847" s="1">
        <v>41495</v>
      </c>
      <c r="B1847">
        <v>44.78</v>
      </c>
      <c r="C1847">
        <v>45.1</v>
      </c>
      <c r="D1847">
        <v>44.54</v>
      </c>
      <c r="E1847">
        <v>44.62</v>
      </c>
      <c r="F1847">
        <v>6200700</v>
      </c>
      <c r="G1847">
        <v>44.43</v>
      </c>
      <c r="H1847" t="s">
        <v>15</v>
      </c>
      <c r="I1847" s="22">
        <f t="shared" si="57"/>
        <v>-6.9530391141665003E-3</v>
      </c>
      <c r="J1847" s="22" t="str">
        <f t="shared" si="58"/>
        <v>lost money</v>
      </c>
    </row>
    <row r="1848" spans="1:10">
      <c r="A1848" s="1">
        <v>41498</v>
      </c>
      <c r="B1848">
        <v>44.38</v>
      </c>
      <c r="C1848">
        <v>44.87</v>
      </c>
      <c r="D1848">
        <v>44.27</v>
      </c>
      <c r="E1848">
        <v>44.78</v>
      </c>
      <c r="F1848">
        <v>5085700</v>
      </c>
      <c r="G1848">
        <v>44.58</v>
      </c>
      <c r="H1848" t="s">
        <v>15</v>
      </c>
      <c r="I1848" s="22">
        <f t="shared" si="57"/>
        <v>3.3704110099055723E-3</v>
      </c>
      <c r="J1848" s="22" t="str">
        <f t="shared" si="58"/>
        <v/>
      </c>
    </row>
    <row r="1849" spans="1:10">
      <c r="A1849" s="1">
        <v>41499</v>
      </c>
      <c r="B1849">
        <v>44.66</v>
      </c>
      <c r="C1849">
        <v>45</v>
      </c>
      <c r="D1849">
        <v>44.33</v>
      </c>
      <c r="E1849">
        <v>44.85</v>
      </c>
      <c r="F1849">
        <v>6916800</v>
      </c>
      <c r="G1849">
        <v>44.65</v>
      </c>
      <c r="H1849" t="s">
        <v>15</v>
      </c>
      <c r="I1849" s="22">
        <f t="shared" si="57"/>
        <v>1.5689793647852266E-3</v>
      </c>
      <c r="J1849" s="22" t="str">
        <f t="shared" si="58"/>
        <v/>
      </c>
    </row>
    <row r="1850" spans="1:10">
      <c r="A1850" s="1">
        <v>41500</v>
      </c>
      <c r="B1850">
        <v>44.79</v>
      </c>
      <c r="C1850">
        <v>44.8</v>
      </c>
      <c r="D1850">
        <v>43.79</v>
      </c>
      <c r="E1850">
        <v>43.86</v>
      </c>
      <c r="F1850">
        <v>11644000</v>
      </c>
      <c r="G1850">
        <v>43.67</v>
      </c>
      <c r="H1850" t="s">
        <v>15</v>
      </c>
      <c r="I1850" s="22">
        <f t="shared" si="57"/>
        <v>-2.219293982503839E-2</v>
      </c>
      <c r="J1850" s="22" t="str">
        <f t="shared" si="58"/>
        <v>lost money</v>
      </c>
    </row>
    <row r="1851" spans="1:10">
      <c r="A1851" s="1">
        <v>41501</v>
      </c>
      <c r="B1851">
        <v>43.69</v>
      </c>
      <c r="C1851">
        <v>43.7</v>
      </c>
      <c r="D1851">
        <v>42.62</v>
      </c>
      <c r="E1851">
        <v>43.01</v>
      </c>
      <c r="F1851">
        <v>12099600</v>
      </c>
      <c r="G1851">
        <v>42.82</v>
      </c>
      <c r="H1851" t="s">
        <v>15</v>
      </c>
      <c r="I1851" s="22">
        <f t="shared" si="57"/>
        <v>-1.9656084335932918E-2</v>
      </c>
      <c r="J1851" s="22" t="str">
        <f t="shared" si="58"/>
        <v>lost money</v>
      </c>
    </row>
    <row r="1852" spans="1:10">
      <c r="A1852" s="1">
        <v>41502</v>
      </c>
      <c r="B1852">
        <v>42.89</v>
      </c>
      <c r="C1852">
        <v>42.92</v>
      </c>
      <c r="D1852">
        <v>42.32</v>
      </c>
      <c r="E1852">
        <v>42.54</v>
      </c>
      <c r="F1852">
        <v>10420300</v>
      </c>
      <c r="G1852">
        <v>42.35</v>
      </c>
      <c r="H1852" t="s">
        <v>15</v>
      </c>
      <c r="I1852" s="22">
        <f t="shared" si="57"/>
        <v>-1.1036862063473329E-2</v>
      </c>
      <c r="J1852" s="22" t="str">
        <f t="shared" si="58"/>
        <v>lost money</v>
      </c>
    </row>
    <row r="1853" spans="1:10">
      <c r="A1853" s="1">
        <v>41505</v>
      </c>
      <c r="B1853">
        <v>42.58</v>
      </c>
      <c r="C1853">
        <v>42.76</v>
      </c>
      <c r="D1853">
        <v>42.12</v>
      </c>
      <c r="E1853">
        <v>42.19</v>
      </c>
      <c r="F1853">
        <v>6526400</v>
      </c>
      <c r="G1853">
        <v>42.01</v>
      </c>
      <c r="H1853" t="s">
        <v>15</v>
      </c>
      <c r="I1853" s="22">
        <f t="shared" si="57"/>
        <v>-8.0607359167727509E-3</v>
      </c>
      <c r="J1853" s="22" t="str">
        <f t="shared" si="58"/>
        <v>lost money</v>
      </c>
    </row>
    <row r="1854" spans="1:10">
      <c r="A1854" s="1">
        <v>41506</v>
      </c>
      <c r="B1854">
        <v>42.41</v>
      </c>
      <c r="C1854">
        <v>42.83</v>
      </c>
      <c r="D1854">
        <v>42.15</v>
      </c>
      <c r="E1854">
        <v>42.69</v>
      </c>
      <c r="F1854">
        <v>7060700</v>
      </c>
      <c r="G1854">
        <v>42.5</v>
      </c>
      <c r="H1854" t="s">
        <v>15</v>
      </c>
      <c r="I1854" s="22">
        <f t="shared" si="57"/>
        <v>1.1596390749080445E-2</v>
      </c>
      <c r="J1854" s="22" t="str">
        <f t="shared" si="58"/>
        <v/>
      </c>
    </row>
    <row r="1855" spans="1:10">
      <c r="A1855" s="1">
        <v>41507</v>
      </c>
      <c r="B1855">
        <v>42.46</v>
      </c>
      <c r="C1855">
        <v>42.47</v>
      </c>
      <c r="D1855">
        <v>41.32</v>
      </c>
      <c r="E1855">
        <v>41.83</v>
      </c>
      <c r="F1855">
        <v>14092500</v>
      </c>
      <c r="G1855">
        <v>41.65</v>
      </c>
      <c r="H1855" t="s">
        <v>15</v>
      </c>
      <c r="I1855" s="22">
        <f t="shared" si="57"/>
        <v>-2.0202707317519466E-2</v>
      </c>
      <c r="J1855" s="22" t="str">
        <f t="shared" si="58"/>
        <v>lost money</v>
      </c>
    </row>
    <row r="1856" spans="1:10">
      <c r="A1856" s="1">
        <v>41508</v>
      </c>
      <c r="B1856">
        <v>41.96</v>
      </c>
      <c r="C1856">
        <v>42.17</v>
      </c>
      <c r="D1856">
        <v>41.87</v>
      </c>
      <c r="E1856">
        <v>42.02</v>
      </c>
      <c r="F1856">
        <v>5690700</v>
      </c>
      <c r="G1856">
        <v>41.84</v>
      </c>
      <c r="H1856" t="s">
        <v>15</v>
      </c>
      <c r="I1856" s="22">
        <f t="shared" si="57"/>
        <v>4.5514511438157794E-3</v>
      </c>
      <c r="J1856" s="22" t="str">
        <f t="shared" si="58"/>
        <v/>
      </c>
    </row>
    <row r="1857" spans="1:10">
      <c r="A1857" s="1">
        <v>41509</v>
      </c>
      <c r="B1857">
        <v>42</v>
      </c>
      <c r="C1857">
        <v>42.15</v>
      </c>
      <c r="D1857">
        <v>41.52</v>
      </c>
      <c r="E1857">
        <v>41.86</v>
      </c>
      <c r="F1857">
        <v>7888200</v>
      </c>
      <c r="G1857">
        <v>41.68</v>
      </c>
      <c r="H1857" t="s">
        <v>15</v>
      </c>
      <c r="I1857" s="22">
        <f t="shared" si="57"/>
        <v>-3.8314223115560602E-3</v>
      </c>
      <c r="J1857" s="22" t="str">
        <f t="shared" si="58"/>
        <v>lost money</v>
      </c>
    </row>
    <row r="1858" spans="1:10">
      <c r="A1858" s="1">
        <v>41512</v>
      </c>
      <c r="B1858">
        <v>41.95</v>
      </c>
      <c r="C1858">
        <v>42.09</v>
      </c>
      <c r="D1858">
        <v>41.29</v>
      </c>
      <c r="E1858">
        <v>41.44</v>
      </c>
      <c r="F1858">
        <v>10309300</v>
      </c>
      <c r="G1858">
        <v>41.26</v>
      </c>
      <c r="H1858" t="s">
        <v>15</v>
      </c>
      <c r="I1858" s="22">
        <f t="shared" si="57"/>
        <v>-1.0127889802005716E-2</v>
      </c>
      <c r="J1858" s="22" t="str">
        <f t="shared" si="58"/>
        <v>lost money</v>
      </c>
    </row>
    <row r="1859" spans="1:10">
      <c r="A1859" s="1">
        <v>41513</v>
      </c>
      <c r="B1859">
        <v>41.17</v>
      </c>
      <c r="C1859">
        <v>42.19</v>
      </c>
      <c r="D1859">
        <v>41.06</v>
      </c>
      <c r="E1859">
        <v>41.8</v>
      </c>
      <c r="F1859">
        <v>11662000</v>
      </c>
      <c r="G1859">
        <v>41.62</v>
      </c>
      <c r="H1859" t="s">
        <v>15</v>
      </c>
      <c r="I1859" s="22">
        <f t="shared" ref="I1859:I1922" si="59">IF(A1859=$A$2,"",LN(G1859/G1858))</f>
        <v>8.6873133223825932E-3</v>
      </c>
      <c r="J1859" s="22" t="str">
        <f t="shared" ref="J1859:J1922" si="60">IF(B1859&gt;E1859,"lost money","")</f>
        <v/>
      </c>
    </row>
    <row r="1860" spans="1:10">
      <c r="A1860" s="1">
        <v>41514</v>
      </c>
      <c r="B1860">
        <v>41.77</v>
      </c>
      <c r="C1860">
        <v>42.21</v>
      </c>
      <c r="D1860">
        <v>41.45</v>
      </c>
      <c r="E1860">
        <v>41.92</v>
      </c>
      <c r="F1860">
        <v>12744300</v>
      </c>
      <c r="G1860">
        <v>41.74</v>
      </c>
      <c r="H1860" t="s">
        <v>15</v>
      </c>
      <c r="I1860" s="22">
        <f t="shared" si="59"/>
        <v>2.8790806835664981E-3</v>
      </c>
      <c r="J1860" s="22" t="str">
        <f t="shared" si="60"/>
        <v/>
      </c>
    </row>
    <row r="1861" spans="1:10">
      <c r="A1861" s="1">
        <v>41515</v>
      </c>
      <c r="B1861">
        <v>41.82</v>
      </c>
      <c r="C1861">
        <v>42.71</v>
      </c>
      <c r="D1861">
        <v>41.72</v>
      </c>
      <c r="E1861">
        <v>42.44</v>
      </c>
      <c r="F1861">
        <v>9778800</v>
      </c>
      <c r="G1861">
        <v>42.26</v>
      </c>
      <c r="H1861" t="s">
        <v>15</v>
      </c>
      <c r="I1861" s="22">
        <f t="shared" si="59"/>
        <v>1.2381110538855778E-2</v>
      </c>
      <c r="J1861" s="22" t="str">
        <f t="shared" si="60"/>
        <v/>
      </c>
    </row>
    <row r="1862" spans="1:10">
      <c r="A1862" s="1">
        <v>41516</v>
      </c>
      <c r="B1862">
        <v>42.57</v>
      </c>
      <c r="C1862">
        <v>42.57</v>
      </c>
      <c r="D1862">
        <v>41.95</v>
      </c>
      <c r="E1862">
        <v>42.09</v>
      </c>
      <c r="F1862">
        <v>9933400</v>
      </c>
      <c r="G1862">
        <v>41.91</v>
      </c>
      <c r="H1862" t="s">
        <v>15</v>
      </c>
      <c r="I1862" s="22">
        <f t="shared" si="59"/>
        <v>-8.316550250930586E-3</v>
      </c>
      <c r="J1862" s="22" t="str">
        <f t="shared" si="60"/>
        <v>lost money</v>
      </c>
    </row>
    <row r="1863" spans="1:10">
      <c r="A1863" s="1">
        <v>41520</v>
      </c>
      <c r="B1863">
        <v>42.61</v>
      </c>
      <c r="C1863">
        <v>43.16</v>
      </c>
      <c r="D1863">
        <v>42.45</v>
      </c>
      <c r="E1863">
        <v>42.74</v>
      </c>
      <c r="F1863">
        <v>9403700</v>
      </c>
      <c r="G1863">
        <v>42.55</v>
      </c>
      <c r="H1863" t="s">
        <v>15</v>
      </c>
      <c r="I1863" s="22">
        <f t="shared" si="59"/>
        <v>1.5155393082402942E-2</v>
      </c>
      <c r="J1863" s="22" t="str">
        <f t="shared" si="60"/>
        <v/>
      </c>
    </row>
    <row r="1864" spans="1:10">
      <c r="A1864" s="1">
        <v>41521</v>
      </c>
      <c r="B1864">
        <v>42.88</v>
      </c>
      <c r="C1864">
        <v>43.24</v>
      </c>
      <c r="D1864">
        <v>42.59</v>
      </c>
      <c r="E1864">
        <v>43.06</v>
      </c>
      <c r="F1864">
        <v>9891400</v>
      </c>
      <c r="G1864">
        <v>42.87</v>
      </c>
      <c r="H1864" t="s">
        <v>15</v>
      </c>
      <c r="I1864" s="22">
        <f t="shared" si="59"/>
        <v>7.4924255905026941E-3</v>
      </c>
      <c r="J1864" s="22" t="str">
        <f t="shared" si="60"/>
        <v/>
      </c>
    </row>
    <row r="1865" spans="1:10">
      <c r="A1865" s="1">
        <v>41522</v>
      </c>
      <c r="B1865">
        <v>42.98</v>
      </c>
      <c r="C1865">
        <v>43.2</v>
      </c>
      <c r="D1865">
        <v>42.32</v>
      </c>
      <c r="E1865">
        <v>42.54</v>
      </c>
      <c r="F1865">
        <v>10360600</v>
      </c>
      <c r="G1865">
        <v>42.35</v>
      </c>
      <c r="H1865" t="s">
        <v>15</v>
      </c>
      <c r="I1865" s="22">
        <f t="shared" si="59"/>
        <v>-1.2203859511822275E-2</v>
      </c>
      <c r="J1865" s="22" t="str">
        <f t="shared" si="60"/>
        <v>lost money</v>
      </c>
    </row>
    <row r="1866" spans="1:10">
      <c r="A1866" s="1">
        <v>41523</v>
      </c>
      <c r="B1866">
        <v>42.79</v>
      </c>
      <c r="C1866">
        <v>42.87</v>
      </c>
      <c r="D1866">
        <v>42.13</v>
      </c>
      <c r="E1866">
        <v>42.48</v>
      </c>
      <c r="F1866">
        <v>10503200</v>
      </c>
      <c r="G1866">
        <v>42.29</v>
      </c>
      <c r="H1866" t="s">
        <v>15</v>
      </c>
      <c r="I1866" s="22">
        <f t="shared" si="59"/>
        <v>-1.4177696136662081E-3</v>
      </c>
      <c r="J1866" s="22" t="str">
        <f t="shared" si="60"/>
        <v>lost money</v>
      </c>
    </row>
    <row r="1867" spans="1:10">
      <c r="A1867" s="1">
        <v>41526</v>
      </c>
      <c r="B1867">
        <v>42.56</v>
      </c>
      <c r="C1867">
        <v>42.7</v>
      </c>
      <c r="D1867">
        <v>42.09</v>
      </c>
      <c r="E1867">
        <v>42.3</v>
      </c>
      <c r="F1867">
        <v>11279900</v>
      </c>
      <c r="G1867">
        <v>42.12</v>
      </c>
      <c r="H1867" t="s">
        <v>15</v>
      </c>
      <c r="I1867" s="22">
        <f t="shared" si="59"/>
        <v>-4.0279642186225144E-3</v>
      </c>
      <c r="J1867" s="22" t="str">
        <f t="shared" si="60"/>
        <v>lost money</v>
      </c>
    </row>
    <row r="1868" spans="1:10">
      <c r="A1868" s="1">
        <v>41527</v>
      </c>
      <c r="B1868">
        <v>42.45</v>
      </c>
      <c r="C1868">
        <v>42.84</v>
      </c>
      <c r="D1868">
        <v>42.41</v>
      </c>
      <c r="E1868">
        <v>42.84</v>
      </c>
      <c r="F1868">
        <v>10896900</v>
      </c>
      <c r="G1868">
        <v>42.65</v>
      </c>
      <c r="H1868" t="s">
        <v>15</v>
      </c>
      <c r="I1868" s="22">
        <f t="shared" si="59"/>
        <v>1.2504586671913377E-2</v>
      </c>
      <c r="J1868" s="22" t="str">
        <f t="shared" si="60"/>
        <v/>
      </c>
    </row>
    <row r="1869" spans="1:10">
      <c r="A1869" s="1">
        <v>41528</v>
      </c>
      <c r="B1869">
        <v>42.73</v>
      </c>
      <c r="C1869">
        <v>43.89</v>
      </c>
      <c r="D1869">
        <v>42.73</v>
      </c>
      <c r="E1869">
        <v>43.8</v>
      </c>
      <c r="F1869">
        <v>10502800</v>
      </c>
      <c r="G1869">
        <v>43.61</v>
      </c>
      <c r="H1869" t="s">
        <v>15</v>
      </c>
      <c r="I1869" s="22">
        <f t="shared" si="59"/>
        <v>2.2259207916987059E-2</v>
      </c>
      <c r="J1869" s="22" t="str">
        <f t="shared" si="60"/>
        <v/>
      </c>
    </row>
    <row r="1870" spans="1:10">
      <c r="A1870" s="1">
        <v>41529</v>
      </c>
      <c r="B1870">
        <v>43.85</v>
      </c>
      <c r="C1870">
        <v>43.93</v>
      </c>
      <c r="D1870">
        <v>43.41</v>
      </c>
      <c r="E1870">
        <v>43.49</v>
      </c>
      <c r="F1870">
        <v>7082600</v>
      </c>
      <c r="G1870">
        <v>43.3</v>
      </c>
      <c r="H1870" t="s">
        <v>15</v>
      </c>
      <c r="I1870" s="22">
        <f t="shared" si="59"/>
        <v>-7.1338468462309925E-3</v>
      </c>
      <c r="J1870" s="22" t="str">
        <f t="shared" si="60"/>
        <v>lost money</v>
      </c>
    </row>
    <row r="1871" spans="1:10">
      <c r="A1871" s="1">
        <v>41530</v>
      </c>
      <c r="B1871">
        <v>43.65</v>
      </c>
      <c r="C1871">
        <v>44.13</v>
      </c>
      <c r="D1871">
        <v>43.54</v>
      </c>
      <c r="E1871">
        <v>43.97</v>
      </c>
      <c r="F1871">
        <v>7114100</v>
      </c>
      <c r="G1871">
        <v>43.78</v>
      </c>
      <c r="H1871" t="s">
        <v>15</v>
      </c>
      <c r="I1871" s="22">
        <f t="shared" si="59"/>
        <v>1.1024457086272784E-2</v>
      </c>
      <c r="J1871" s="22" t="str">
        <f t="shared" si="60"/>
        <v/>
      </c>
    </row>
    <row r="1872" spans="1:10">
      <c r="A1872" s="1">
        <v>41533</v>
      </c>
      <c r="B1872">
        <v>44.59</v>
      </c>
      <c r="C1872">
        <v>44.69</v>
      </c>
      <c r="D1872">
        <v>44.23</v>
      </c>
      <c r="E1872">
        <v>44.42</v>
      </c>
      <c r="F1872">
        <v>8518700</v>
      </c>
      <c r="G1872">
        <v>44.23</v>
      </c>
      <c r="H1872" t="s">
        <v>15</v>
      </c>
      <c r="I1872" s="22">
        <f t="shared" si="59"/>
        <v>1.022619978551843E-2</v>
      </c>
      <c r="J1872" s="22" t="str">
        <f t="shared" si="60"/>
        <v>lost money</v>
      </c>
    </row>
    <row r="1873" spans="1:10">
      <c r="A1873" s="1">
        <v>41534</v>
      </c>
      <c r="B1873">
        <v>44.57</v>
      </c>
      <c r="C1873">
        <v>44.77</v>
      </c>
      <c r="D1873">
        <v>44.4</v>
      </c>
      <c r="E1873">
        <v>44.45</v>
      </c>
      <c r="F1873">
        <v>7276800</v>
      </c>
      <c r="G1873">
        <v>44.26</v>
      </c>
      <c r="H1873" t="s">
        <v>15</v>
      </c>
      <c r="I1873" s="22">
        <f t="shared" si="59"/>
        <v>6.78042742668234E-4</v>
      </c>
      <c r="J1873" s="22" t="str">
        <f t="shared" si="60"/>
        <v>lost money</v>
      </c>
    </row>
    <row r="1874" spans="1:10">
      <c r="A1874" s="1">
        <v>41535</v>
      </c>
      <c r="B1874">
        <v>44.5</v>
      </c>
      <c r="C1874">
        <v>44.54</v>
      </c>
      <c r="D1874">
        <v>43.85</v>
      </c>
      <c r="E1874">
        <v>44.27</v>
      </c>
      <c r="F1874">
        <v>12564200</v>
      </c>
      <c r="G1874">
        <v>44.08</v>
      </c>
      <c r="H1874" t="s">
        <v>15</v>
      </c>
      <c r="I1874" s="22">
        <f t="shared" si="59"/>
        <v>-4.0751697782445521E-3</v>
      </c>
      <c r="J1874" s="22" t="str">
        <f t="shared" si="60"/>
        <v>lost money</v>
      </c>
    </row>
    <row r="1875" spans="1:10">
      <c r="A1875" s="1">
        <v>41536</v>
      </c>
      <c r="B1875">
        <v>44.51</v>
      </c>
      <c r="C1875">
        <v>44.78</v>
      </c>
      <c r="D1875">
        <v>44.23</v>
      </c>
      <c r="E1875">
        <v>44.41</v>
      </c>
      <c r="F1875">
        <v>7865300</v>
      </c>
      <c r="G1875">
        <v>44.22</v>
      </c>
      <c r="H1875" t="s">
        <v>15</v>
      </c>
      <c r="I1875" s="22">
        <f t="shared" si="59"/>
        <v>3.1710105846412331E-3</v>
      </c>
      <c r="J1875" s="22" t="str">
        <f t="shared" si="60"/>
        <v>lost money</v>
      </c>
    </row>
    <row r="1876" spans="1:10">
      <c r="A1876" s="1">
        <v>41537</v>
      </c>
      <c r="B1876">
        <v>44.47</v>
      </c>
      <c r="C1876">
        <v>44.82</v>
      </c>
      <c r="D1876">
        <v>44.33</v>
      </c>
      <c r="E1876">
        <v>44.4</v>
      </c>
      <c r="F1876">
        <v>13415400</v>
      </c>
      <c r="G1876">
        <v>44.21</v>
      </c>
      <c r="H1876" t="s">
        <v>15</v>
      </c>
      <c r="I1876" s="22">
        <f t="shared" si="59"/>
        <v>-2.2616759114834291E-4</v>
      </c>
      <c r="J1876" s="22" t="str">
        <f t="shared" si="60"/>
        <v>lost money</v>
      </c>
    </row>
    <row r="1877" spans="1:10">
      <c r="A1877" s="1">
        <v>41540</v>
      </c>
      <c r="B1877">
        <v>44.08</v>
      </c>
      <c r="C1877">
        <v>44.34</v>
      </c>
      <c r="D1877">
        <v>43.7</v>
      </c>
      <c r="E1877">
        <v>43.94</v>
      </c>
      <c r="F1877">
        <v>7764700</v>
      </c>
      <c r="G1877">
        <v>43.75</v>
      </c>
      <c r="H1877" t="s">
        <v>15</v>
      </c>
      <c r="I1877" s="22">
        <f t="shared" si="59"/>
        <v>-1.045939503452842E-2</v>
      </c>
      <c r="J1877" s="22" t="str">
        <f t="shared" si="60"/>
        <v>lost money</v>
      </c>
    </row>
    <row r="1878" spans="1:10">
      <c r="A1878" s="1">
        <v>41541</v>
      </c>
      <c r="B1878">
        <v>44.12</v>
      </c>
      <c r="C1878">
        <v>44.35</v>
      </c>
      <c r="D1878">
        <v>43.61</v>
      </c>
      <c r="E1878">
        <v>43.69</v>
      </c>
      <c r="F1878">
        <v>10884700</v>
      </c>
      <c r="G1878">
        <v>43.5</v>
      </c>
      <c r="H1878" t="s">
        <v>15</v>
      </c>
      <c r="I1878" s="22">
        <f t="shared" si="59"/>
        <v>-5.7306747089849834E-3</v>
      </c>
      <c r="J1878" s="22" t="str">
        <f t="shared" si="60"/>
        <v>lost money</v>
      </c>
    </row>
    <row r="1879" spans="1:10">
      <c r="A1879" s="1">
        <v>41542</v>
      </c>
      <c r="B1879">
        <v>43.79</v>
      </c>
      <c r="C1879">
        <v>43.85</v>
      </c>
      <c r="D1879">
        <v>43.2</v>
      </c>
      <c r="E1879">
        <v>43.25</v>
      </c>
      <c r="F1879">
        <v>9614200</v>
      </c>
      <c r="G1879">
        <v>43.06</v>
      </c>
      <c r="H1879" t="s">
        <v>15</v>
      </c>
      <c r="I1879" s="22">
        <f t="shared" si="59"/>
        <v>-1.0166446158421376E-2</v>
      </c>
      <c r="J1879" s="22" t="str">
        <f t="shared" si="60"/>
        <v>lost money</v>
      </c>
    </row>
    <row r="1880" spans="1:10">
      <c r="A1880" s="1">
        <v>41543</v>
      </c>
      <c r="B1880">
        <v>43.44</v>
      </c>
      <c r="C1880">
        <v>44.13</v>
      </c>
      <c r="D1880">
        <v>43.36</v>
      </c>
      <c r="E1880">
        <v>44.1</v>
      </c>
      <c r="F1880">
        <v>9348200</v>
      </c>
      <c r="G1880">
        <v>43.91</v>
      </c>
      <c r="H1880" t="s">
        <v>15</v>
      </c>
      <c r="I1880" s="22">
        <f t="shared" si="59"/>
        <v>1.9547592637408937E-2</v>
      </c>
      <c r="J1880" s="22" t="str">
        <f t="shared" si="60"/>
        <v/>
      </c>
    </row>
    <row r="1881" spans="1:10">
      <c r="A1881" s="1">
        <v>41544</v>
      </c>
      <c r="B1881">
        <v>44.02</v>
      </c>
      <c r="C1881">
        <v>44.87</v>
      </c>
      <c r="D1881">
        <v>43.94</v>
      </c>
      <c r="E1881">
        <v>44.74</v>
      </c>
      <c r="F1881">
        <v>10749100</v>
      </c>
      <c r="G1881">
        <v>44.55</v>
      </c>
      <c r="H1881" t="s">
        <v>15</v>
      </c>
      <c r="I1881" s="22">
        <f t="shared" si="59"/>
        <v>1.4470069343192253E-2</v>
      </c>
      <c r="J1881" s="22" t="str">
        <f t="shared" si="60"/>
        <v/>
      </c>
    </row>
    <row r="1882" spans="1:10">
      <c r="A1882" s="1">
        <v>41547</v>
      </c>
      <c r="B1882">
        <v>44.23</v>
      </c>
      <c r="C1882">
        <v>45.31</v>
      </c>
      <c r="D1882">
        <v>44.23</v>
      </c>
      <c r="E1882">
        <v>45.12</v>
      </c>
      <c r="F1882">
        <v>18221800</v>
      </c>
      <c r="G1882">
        <v>45.12</v>
      </c>
      <c r="H1882" t="s">
        <v>15</v>
      </c>
      <c r="I1882" s="22">
        <f t="shared" si="59"/>
        <v>1.271345327298515E-2</v>
      </c>
      <c r="J1882" s="22" t="str">
        <f t="shared" si="60"/>
        <v/>
      </c>
    </row>
    <row r="1883" spans="1:10">
      <c r="A1883" s="1">
        <v>41548</v>
      </c>
      <c r="B1883">
        <v>45.15</v>
      </c>
      <c r="C1883">
        <v>45.76</v>
      </c>
      <c r="D1883">
        <v>45.04</v>
      </c>
      <c r="E1883">
        <v>45.61</v>
      </c>
      <c r="F1883">
        <v>12742400</v>
      </c>
      <c r="G1883">
        <v>45.61</v>
      </c>
      <c r="H1883" t="s">
        <v>15</v>
      </c>
      <c r="I1883" s="22">
        <f t="shared" si="59"/>
        <v>1.0801383533805674E-2</v>
      </c>
      <c r="J1883" s="22" t="str">
        <f t="shared" si="60"/>
        <v/>
      </c>
    </row>
    <row r="1884" spans="1:10">
      <c r="A1884" s="1">
        <v>41549</v>
      </c>
      <c r="B1884">
        <v>45.3</v>
      </c>
      <c r="C1884">
        <v>45.45</v>
      </c>
      <c r="D1884">
        <v>45.1</v>
      </c>
      <c r="E1884">
        <v>45.45</v>
      </c>
      <c r="F1884">
        <v>9489000</v>
      </c>
      <c r="G1884">
        <v>45.45</v>
      </c>
      <c r="H1884" t="s">
        <v>15</v>
      </c>
      <c r="I1884" s="22">
        <f t="shared" si="59"/>
        <v>-3.5141701001211783E-3</v>
      </c>
      <c r="J1884" s="22" t="str">
        <f t="shared" si="60"/>
        <v/>
      </c>
    </row>
    <row r="1885" spans="1:10">
      <c r="A1885" s="1">
        <v>41550</v>
      </c>
      <c r="B1885">
        <v>45.15</v>
      </c>
      <c r="C1885">
        <v>45.3</v>
      </c>
      <c r="D1885">
        <v>44.62</v>
      </c>
      <c r="E1885">
        <v>45.01</v>
      </c>
      <c r="F1885">
        <v>9594700</v>
      </c>
      <c r="G1885">
        <v>45.01</v>
      </c>
      <c r="H1885" t="s">
        <v>15</v>
      </c>
      <c r="I1885" s="22">
        <f t="shared" si="59"/>
        <v>-9.7281333186465743E-3</v>
      </c>
      <c r="J1885" s="22" t="str">
        <f t="shared" si="60"/>
        <v>lost money</v>
      </c>
    </row>
    <row r="1886" spans="1:10">
      <c r="A1886" s="1">
        <v>41551</v>
      </c>
      <c r="B1886">
        <v>44.91</v>
      </c>
      <c r="C1886">
        <v>45.85</v>
      </c>
      <c r="D1886">
        <v>44.75</v>
      </c>
      <c r="E1886">
        <v>45.64</v>
      </c>
      <c r="F1886">
        <v>11559200</v>
      </c>
      <c r="G1886">
        <v>45.64</v>
      </c>
      <c r="H1886" t="s">
        <v>15</v>
      </c>
      <c r="I1886" s="22">
        <f t="shared" si="59"/>
        <v>1.3899837689033518E-2</v>
      </c>
      <c r="J1886" s="22" t="str">
        <f t="shared" si="60"/>
        <v/>
      </c>
    </row>
    <row r="1887" spans="1:10">
      <c r="A1887" s="1">
        <v>41554</v>
      </c>
      <c r="B1887">
        <v>45.13</v>
      </c>
      <c r="C1887">
        <v>45.89</v>
      </c>
      <c r="D1887">
        <v>45.05</v>
      </c>
      <c r="E1887">
        <v>45.1</v>
      </c>
      <c r="F1887">
        <v>8002000</v>
      </c>
      <c r="G1887">
        <v>45.1</v>
      </c>
      <c r="H1887" t="s">
        <v>15</v>
      </c>
      <c r="I1887" s="22">
        <f t="shared" si="59"/>
        <v>-1.1902278485242189E-2</v>
      </c>
      <c r="J1887" s="22" t="str">
        <f t="shared" si="60"/>
        <v>lost money</v>
      </c>
    </row>
    <row r="1888" spans="1:10">
      <c r="A1888" s="1">
        <v>41555</v>
      </c>
      <c r="B1888">
        <v>45.05</v>
      </c>
      <c r="C1888">
        <v>45.13</v>
      </c>
      <c r="D1888">
        <v>44.56</v>
      </c>
      <c r="E1888">
        <v>44.62</v>
      </c>
      <c r="F1888">
        <v>10273100</v>
      </c>
      <c r="G1888">
        <v>44.62</v>
      </c>
      <c r="H1888" t="s">
        <v>15</v>
      </c>
      <c r="I1888" s="22">
        <f t="shared" si="59"/>
        <v>-1.0700057504246302E-2</v>
      </c>
      <c r="J1888" s="22" t="str">
        <f t="shared" si="60"/>
        <v>lost money</v>
      </c>
    </row>
    <row r="1889" spans="1:10">
      <c r="A1889" s="1">
        <v>41556</v>
      </c>
      <c r="B1889">
        <v>44.84</v>
      </c>
      <c r="C1889">
        <v>45.17</v>
      </c>
      <c r="D1889">
        <v>44.09</v>
      </c>
      <c r="E1889">
        <v>44.33</v>
      </c>
      <c r="F1889">
        <v>9945000</v>
      </c>
      <c r="G1889">
        <v>44.33</v>
      </c>
      <c r="H1889" t="s">
        <v>15</v>
      </c>
      <c r="I1889" s="22">
        <f t="shared" si="59"/>
        <v>-6.5205402474243267E-3</v>
      </c>
      <c r="J1889" s="22" t="str">
        <f t="shared" si="60"/>
        <v>lost money</v>
      </c>
    </row>
    <row r="1890" spans="1:10">
      <c r="A1890" s="1">
        <v>41557</v>
      </c>
      <c r="B1890">
        <v>44.78</v>
      </c>
      <c r="C1890">
        <v>45.42</v>
      </c>
      <c r="D1890">
        <v>44.62</v>
      </c>
      <c r="E1890">
        <v>45.35</v>
      </c>
      <c r="F1890">
        <v>8734900</v>
      </c>
      <c r="G1890">
        <v>45.35</v>
      </c>
      <c r="H1890" t="s">
        <v>15</v>
      </c>
      <c r="I1890" s="22">
        <f t="shared" si="59"/>
        <v>2.2748527804183565E-2</v>
      </c>
      <c r="J1890" s="22" t="str">
        <f t="shared" si="60"/>
        <v/>
      </c>
    </row>
    <row r="1891" spans="1:10">
      <c r="A1891" s="1">
        <v>41558</v>
      </c>
      <c r="B1891">
        <v>45.16</v>
      </c>
      <c r="C1891">
        <v>46.23</v>
      </c>
      <c r="D1891">
        <v>45.12</v>
      </c>
      <c r="E1891">
        <v>46.06</v>
      </c>
      <c r="F1891">
        <v>9544000</v>
      </c>
      <c r="G1891">
        <v>46.06</v>
      </c>
      <c r="H1891" t="s">
        <v>15</v>
      </c>
      <c r="I1891" s="22">
        <f t="shared" si="59"/>
        <v>1.5534717831393485E-2</v>
      </c>
      <c r="J1891" s="22" t="str">
        <f t="shared" si="60"/>
        <v/>
      </c>
    </row>
    <row r="1892" spans="1:10">
      <c r="A1892" s="1">
        <v>41561</v>
      </c>
      <c r="B1892">
        <v>45.95</v>
      </c>
      <c r="C1892">
        <v>46.55</v>
      </c>
      <c r="D1892">
        <v>45.82</v>
      </c>
      <c r="E1892">
        <v>46.46</v>
      </c>
      <c r="F1892">
        <v>8076700</v>
      </c>
      <c r="G1892">
        <v>46.46</v>
      </c>
      <c r="H1892" t="s">
        <v>15</v>
      </c>
      <c r="I1892" s="22">
        <f t="shared" si="59"/>
        <v>8.6468329497238049E-3</v>
      </c>
      <c r="J1892" s="22" t="str">
        <f t="shared" si="60"/>
        <v/>
      </c>
    </row>
    <row r="1893" spans="1:10">
      <c r="A1893" s="1">
        <v>41562</v>
      </c>
      <c r="B1893">
        <v>46.45</v>
      </c>
      <c r="C1893">
        <v>46.87</v>
      </c>
      <c r="D1893">
        <v>46.05</v>
      </c>
      <c r="E1893">
        <v>46.39</v>
      </c>
      <c r="F1893">
        <v>9956100</v>
      </c>
      <c r="G1893">
        <v>46.39</v>
      </c>
      <c r="H1893" t="s">
        <v>15</v>
      </c>
      <c r="I1893" s="22">
        <f t="shared" si="59"/>
        <v>-1.5078085786107392E-3</v>
      </c>
      <c r="J1893" s="22" t="str">
        <f t="shared" si="60"/>
        <v>lost money</v>
      </c>
    </row>
    <row r="1894" spans="1:10">
      <c r="A1894" s="1">
        <v>41563</v>
      </c>
      <c r="B1894">
        <v>46.73</v>
      </c>
      <c r="C1894">
        <v>47.13</v>
      </c>
      <c r="D1894">
        <v>46.46</v>
      </c>
      <c r="E1894">
        <v>46.98</v>
      </c>
      <c r="F1894">
        <v>15203000</v>
      </c>
      <c r="G1894">
        <v>46.98</v>
      </c>
      <c r="H1894" t="s">
        <v>15</v>
      </c>
      <c r="I1894" s="22">
        <f t="shared" si="59"/>
        <v>1.2638060467114305E-2</v>
      </c>
      <c r="J1894" s="22" t="str">
        <f t="shared" si="60"/>
        <v/>
      </c>
    </row>
    <row r="1895" spans="1:10">
      <c r="A1895" s="1">
        <v>41564</v>
      </c>
      <c r="B1895">
        <v>46.89</v>
      </c>
      <c r="C1895">
        <v>47.5</v>
      </c>
      <c r="D1895">
        <v>46.78</v>
      </c>
      <c r="E1895">
        <v>47.47</v>
      </c>
      <c r="F1895">
        <v>9668900</v>
      </c>
      <c r="G1895">
        <v>47.47</v>
      </c>
      <c r="H1895" t="s">
        <v>15</v>
      </c>
      <c r="I1895" s="22">
        <f t="shared" si="59"/>
        <v>1.0375953332459973E-2</v>
      </c>
      <c r="J1895" s="22" t="str">
        <f t="shared" si="60"/>
        <v/>
      </c>
    </row>
    <row r="1896" spans="1:10">
      <c r="A1896" s="1">
        <v>41565</v>
      </c>
      <c r="B1896">
        <v>47.28</v>
      </c>
      <c r="C1896">
        <v>47.49</v>
      </c>
      <c r="D1896">
        <v>46.95</v>
      </c>
      <c r="E1896">
        <v>47.04</v>
      </c>
      <c r="F1896">
        <v>9980100</v>
      </c>
      <c r="G1896">
        <v>47.04</v>
      </c>
      <c r="H1896" t="s">
        <v>15</v>
      </c>
      <c r="I1896" s="22">
        <f t="shared" si="59"/>
        <v>-9.0996289728551422E-3</v>
      </c>
      <c r="J1896" s="22" t="str">
        <f t="shared" si="60"/>
        <v>lost money</v>
      </c>
    </row>
    <row r="1897" spans="1:10">
      <c r="A1897" s="1">
        <v>41568</v>
      </c>
      <c r="B1897">
        <v>46.91</v>
      </c>
      <c r="C1897">
        <v>47.1</v>
      </c>
      <c r="D1897">
        <v>46.83</v>
      </c>
      <c r="E1897">
        <v>47.09</v>
      </c>
      <c r="F1897">
        <v>7019200</v>
      </c>
      <c r="G1897">
        <v>47.09</v>
      </c>
      <c r="H1897" t="s">
        <v>15</v>
      </c>
      <c r="I1897" s="22">
        <f t="shared" si="59"/>
        <v>1.0623606650917118E-3</v>
      </c>
      <c r="J1897" s="22" t="str">
        <f t="shared" si="60"/>
        <v/>
      </c>
    </row>
    <row r="1898" spans="1:10">
      <c r="A1898" s="1">
        <v>41569</v>
      </c>
      <c r="B1898">
        <v>47.41</v>
      </c>
      <c r="C1898">
        <v>47.63</v>
      </c>
      <c r="D1898">
        <v>47.21</v>
      </c>
      <c r="E1898">
        <v>47.36</v>
      </c>
      <c r="F1898">
        <v>9749700</v>
      </c>
      <c r="G1898">
        <v>47.36</v>
      </c>
      <c r="H1898" t="s">
        <v>15</v>
      </c>
      <c r="I1898" s="22">
        <f t="shared" si="59"/>
        <v>5.71732632028702E-3</v>
      </c>
      <c r="J1898" s="22" t="str">
        <f t="shared" si="60"/>
        <v>lost money</v>
      </c>
    </row>
    <row r="1899" spans="1:10">
      <c r="A1899" s="1">
        <v>41570</v>
      </c>
      <c r="B1899">
        <v>47.13</v>
      </c>
      <c r="C1899">
        <v>47.63</v>
      </c>
      <c r="D1899">
        <v>46.8</v>
      </c>
      <c r="E1899">
        <v>46.96</v>
      </c>
      <c r="F1899">
        <v>8705800</v>
      </c>
      <c r="G1899">
        <v>46.96</v>
      </c>
      <c r="H1899" t="s">
        <v>15</v>
      </c>
      <c r="I1899" s="22">
        <f t="shared" si="59"/>
        <v>-8.4818150559092306E-3</v>
      </c>
      <c r="J1899" s="22" t="str">
        <f t="shared" si="60"/>
        <v>lost money</v>
      </c>
    </row>
    <row r="1900" spans="1:10">
      <c r="A1900" s="1">
        <v>41571</v>
      </c>
      <c r="B1900">
        <v>47.26</v>
      </c>
      <c r="C1900">
        <v>47.99</v>
      </c>
      <c r="D1900">
        <v>47.01</v>
      </c>
      <c r="E1900">
        <v>47.76</v>
      </c>
      <c r="F1900">
        <v>8776600</v>
      </c>
      <c r="G1900">
        <v>47.76</v>
      </c>
      <c r="H1900" t="s">
        <v>15</v>
      </c>
      <c r="I1900" s="22">
        <f t="shared" si="59"/>
        <v>1.6892293564505653E-2</v>
      </c>
      <c r="J1900" s="22" t="str">
        <f t="shared" si="60"/>
        <v/>
      </c>
    </row>
    <row r="1901" spans="1:10">
      <c r="A1901" s="1">
        <v>41572</v>
      </c>
      <c r="B1901">
        <v>47.96</v>
      </c>
      <c r="C1901">
        <v>48.19</v>
      </c>
      <c r="D1901">
        <v>47.64</v>
      </c>
      <c r="E1901">
        <v>48.17</v>
      </c>
      <c r="F1901">
        <v>9192400</v>
      </c>
      <c r="G1901">
        <v>48.17</v>
      </c>
      <c r="H1901" t="s">
        <v>15</v>
      </c>
      <c r="I1901" s="22">
        <f t="shared" si="59"/>
        <v>8.5479515577829186E-3</v>
      </c>
      <c r="J1901" s="22" t="str">
        <f t="shared" si="60"/>
        <v/>
      </c>
    </row>
    <row r="1902" spans="1:10">
      <c r="A1902" s="1">
        <v>41575</v>
      </c>
      <c r="B1902">
        <v>48.35</v>
      </c>
      <c r="C1902">
        <v>48.35</v>
      </c>
      <c r="D1902">
        <v>47.97</v>
      </c>
      <c r="E1902">
        <v>48.23</v>
      </c>
      <c r="F1902">
        <v>9402500</v>
      </c>
      <c r="G1902">
        <v>48.23</v>
      </c>
      <c r="H1902" t="s">
        <v>15</v>
      </c>
      <c r="I1902" s="22">
        <f t="shared" si="59"/>
        <v>1.2448134387509767E-3</v>
      </c>
      <c r="J1902" s="22" t="str">
        <f t="shared" si="60"/>
        <v>lost money</v>
      </c>
    </row>
    <row r="1903" spans="1:10">
      <c r="A1903" s="1">
        <v>41576</v>
      </c>
      <c r="B1903">
        <v>48.2</v>
      </c>
      <c r="C1903">
        <v>48.23</v>
      </c>
      <c r="D1903">
        <v>47.54</v>
      </c>
      <c r="E1903">
        <v>47.71</v>
      </c>
      <c r="F1903">
        <v>13466300</v>
      </c>
      <c r="G1903">
        <v>47.71</v>
      </c>
      <c r="H1903" t="s">
        <v>15</v>
      </c>
      <c r="I1903" s="22">
        <f t="shared" si="59"/>
        <v>-1.0840214552864833E-2</v>
      </c>
      <c r="J1903" s="22" t="str">
        <f t="shared" si="60"/>
        <v>lost money</v>
      </c>
    </row>
    <row r="1904" spans="1:10">
      <c r="A1904" s="1">
        <v>41577</v>
      </c>
      <c r="B1904">
        <v>47.86</v>
      </c>
      <c r="C1904">
        <v>47.86</v>
      </c>
      <c r="D1904">
        <v>46.87</v>
      </c>
      <c r="E1904">
        <v>47.09</v>
      </c>
      <c r="F1904">
        <v>13447500</v>
      </c>
      <c r="G1904">
        <v>47.09</v>
      </c>
      <c r="H1904" t="s">
        <v>15</v>
      </c>
      <c r="I1904" s="22">
        <f t="shared" si="59"/>
        <v>-1.3080355272552363E-2</v>
      </c>
      <c r="J1904" s="22" t="str">
        <f t="shared" si="60"/>
        <v>lost money</v>
      </c>
    </row>
    <row r="1905" spans="1:10">
      <c r="A1905" s="1">
        <v>41578</v>
      </c>
      <c r="B1905">
        <v>46.58</v>
      </c>
      <c r="C1905">
        <v>48.21</v>
      </c>
      <c r="D1905">
        <v>46.58</v>
      </c>
      <c r="E1905">
        <v>47.6</v>
      </c>
      <c r="F1905">
        <v>15587100</v>
      </c>
      <c r="G1905">
        <v>47.6</v>
      </c>
      <c r="H1905" t="s">
        <v>15</v>
      </c>
      <c r="I1905" s="22">
        <f t="shared" si="59"/>
        <v>1.077209698191104E-2</v>
      </c>
      <c r="J1905" s="22" t="str">
        <f t="shared" si="60"/>
        <v/>
      </c>
    </row>
    <row r="1906" spans="1:10">
      <c r="A1906" s="1">
        <v>41579</v>
      </c>
      <c r="B1906">
        <v>47.85</v>
      </c>
      <c r="C1906">
        <v>48.76</v>
      </c>
      <c r="D1906">
        <v>47.73</v>
      </c>
      <c r="E1906">
        <v>48.65</v>
      </c>
      <c r="F1906">
        <v>12431800</v>
      </c>
      <c r="G1906">
        <v>48.65</v>
      </c>
      <c r="H1906" t="s">
        <v>15</v>
      </c>
      <c r="I1906" s="22">
        <f t="shared" si="59"/>
        <v>2.1819047394639673E-2</v>
      </c>
      <c r="J1906" s="22" t="str">
        <f t="shared" si="60"/>
        <v/>
      </c>
    </row>
    <row r="1907" spans="1:10">
      <c r="A1907" s="1">
        <v>41582</v>
      </c>
      <c r="B1907">
        <v>48.67</v>
      </c>
      <c r="C1907">
        <v>48.9</v>
      </c>
      <c r="D1907">
        <v>48</v>
      </c>
      <c r="E1907">
        <v>48.18</v>
      </c>
      <c r="F1907">
        <v>7393400</v>
      </c>
      <c r="G1907">
        <v>48.18</v>
      </c>
      <c r="H1907" t="s">
        <v>15</v>
      </c>
      <c r="I1907" s="22">
        <f t="shared" si="59"/>
        <v>-9.7078114452887887E-3</v>
      </c>
      <c r="J1907" s="22" t="str">
        <f t="shared" si="60"/>
        <v>lost money</v>
      </c>
    </row>
    <row r="1908" spans="1:10">
      <c r="A1908" s="1">
        <v>41583</v>
      </c>
      <c r="B1908">
        <v>48.33</v>
      </c>
      <c r="C1908">
        <v>48.37</v>
      </c>
      <c r="D1908">
        <v>47.35</v>
      </c>
      <c r="E1908">
        <v>47.84</v>
      </c>
      <c r="F1908">
        <v>7776600</v>
      </c>
      <c r="G1908">
        <v>47.84</v>
      </c>
      <c r="H1908" t="s">
        <v>15</v>
      </c>
      <c r="I1908" s="22">
        <f t="shared" si="59"/>
        <v>-7.0818875443489637E-3</v>
      </c>
      <c r="J1908" s="22" t="str">
        <f t="shared" si="60"/>
        <v>lost money</v>
      </c>
    </row>
    <row r="1909" spans="1:10">
      <c r="A1909" s="1">
        <v>41584</v>
      </c>
      <c r="B1909">
        <v>47.88</v>
      </c>
      <c r="C1909">
        <v>48.21</v>
      </c>
      <c r="D1909">
        <v>47.66</v>
      </c>
      <c r="E1909">
        <v>47.81</v>
      </c>
      <c r="F1909">
        <v>7251800</v>
      </c>
      <c r="G1909">
        <v>47.81</v>
      </c>
      <c r="H1909" t="s">
        <v>15</v>
      </c>
      <c r="I1909" s="22">
        <f t="shared" si="59"/>
        <v>-6.2728700436433726E-4</v>
      </c>
      <c r="J1909" s="22" t="str">
        <f t="shared" si="60"/>
        <v>lost money</v>
      </c>
    </row>
    <row r="1910" spans="1:10">
      <c r="A1910" s="1">
        <v>41585</v>
      </c>
      <c r="B1910">
        <v>48.12</v>
      </c>
      <c r="C1910">
        <v>48.25</v>
      </c>
      <c r="D1910">
        <v>47.12</v>
      </c>
      <c r="E1910">
        <v>47.24</v>
      </c>
      <c r="F1910">
        <v>9590700</v>
      </c>
      <c r="G1910">
        <v>47.24</v>
      </c>
      <c r="H1910" t="s">
        <v>15</v>
      </c>
      <c r="I1910" s="22">
        <f t="shared" si="59"/>
        <v>-1.1993831308850449E-2</v>
      </c>
      <c r="J1910" s="22" t="str">
        <f t="shared" si="60"/>
        <v>lost money</v>
      </c>
    </row>
    <row r="1911" spans="1:10">
      <c r="A1911" s="1">
        <v>41586</v>
      </c>
      <c r="B1911">
        <v>47.34</v>
      </c>
      <c r="C1911">
        <v>48.24</v>
      </c>
      <c r="D1911">
        <v>46.91</v>
      </c>
      <c r="E1911">
        <v>48.18</v>
      </c>
      <c r="F1911">
        <v>9939500</v>
      </c>
      <c r="G1911">
        <v>48.18</v>
      </c>
      <c r="H1911" t="s">
        <v>15</v>
      </c>
      <c r="I1911" s="22">
        <f t="shared" si="59"/>
        <v>1.9703005857563741E-2</v>
      </c>
      <c r="J1911" s="22" t="str">
        <f t="shared" si="60"/>
        <v/>
      </c>
    </row>
    <row r="1912" spans="1:10">
      <c r="A1912" s="1">
        <v>41589</v>
      </c>
      <c r="B1912">
        <v>47.95</v>
      </c>
      <c r="C1912">
        <v>48.18</v>
      </c>
      <c r="D1912">
        <v>47.05</v>
      </c>
      <c r="E1912">
        <v>47.35</v>
      </c>
      <c r="F1912">
        <v>8948200</v>
      </c>
      <c r="G1912">
        <v>47.35</v>
      </c>
      <c r="H1912" t="s">
        <v>15</v>
      </c>
      <c r="I1912" s="22">
        <f t="shared" si="59"/>
        <v>-1.7377177554637975E-2</v>
      </c>
      <c r="J1912" s="22" t="str">
        <f t="shared" si="60"/>
        <v>lost money</v>
      </c>
    </row>
    <row r="1913" spans="1:10">
      <c r="A1913" s="1">
        <v>41590</v>
      </c>
      <c r="B1913">
        <v>47.32</v>
      </c>
      <c r="C1913">
        <v>47.34</v>
      </c>
      <c r="D1913">
        <v>46.58</v>
      </c>
      <c r="E1913">
        <v>46.98</v>
      </c>
      <c r="F1913">
        <v>8372300</v>
      </c>
      <c r="G1913">
        <v>46.98</v>
      </c>
      <c r="H1913" t="s">
        <v>15</v>
      </c>
      <c r="I1913" s="22">
        <f t="shared" si="59"/>
        <v>-7.8448404013205814E-3</v>
      </c>
      <c r="J1913" s="22" t="str">
        <f t="shared" si="60"/>
        <v>lost money</v>
      </c>
    </row>
    <row r="1914" spans="1:10">
      <c r="A1914" s="1">
        <v>41591</v>
      </c>
      <c r="B1914">
        <v>46.85</v>
      </c>
      <c r="C1914">
        <v>47.41</v>
      </c>
      <c r="D1914">
        <v>46.62</v>
      </c>
      <c r="E1914">
        <v>47.39</v>
      </c>
      <c r="F1914">
        <v>7398300</v>
      </c>
      <c r="G1914">
        <v>47.39</v>
      </c>
      <c r="H1914" t="s">
        <v>15</v>
      </c>
      <c r="I1914" s="22">
        <f t="shared" si="59"/>
        <v>8.6892567487303184E-3</v>
      </c>
      <c r="J1914" s="22" t="str">
        <f t="shared" si="60"/>
        <v/>
      </c>
    </row>
    <row r="1915" spans="1:10">
      <c r="A1915" s="1">
        <v>41592</v>
      </c>
      <c r="B1915">
        <v>47.52</v>
      </c>
      <c r="C1915">
        <v>47.78</v>
      </c>
      <c r="D1915">
        <v>47.24</v>
      </c>
      <c r="E1915">
        <v>47.69</v>
      </c>
      <c r="F1915">
        <v>6418400</v>
      </c>
      <c r="G1915">
        <v>47.69</v>
      </c>
      <c r="H1915" t="s">
        <v>15</v>
      </c>
      <c r="I1915" s="22">
        <f t="shared" si="59"/>
        <v>6.310496330635889E-3</v>
      </c>
      <c r="J1915" s="22" t="str">
        <f t="shared" si="60"/>
        <v/>
      </c>
    </row>
    <row r="1916" spans="1:10">
      <c r="A1916" s="1">
        <v>41593</v>
      </c>
      <c r="B1916">
        <v>47.74</v>
      </c>
      <c r="C1916">
        <v>47.99</v>
      </c>
      <c r="D1916">
        <v>47.4</v>
      </c>
      <c r="E1916">
        <v>47.73</v>
      </c>
      <c r="F1916">
        <v>10013700</v>
      </c>
      <c r="G1916">
        <v>47.73</v>
      </c>
      <c r="H1916" t="s">
        <v>15</v>
      </c>
      <c r="I1916" s="22">
        <f t="shared" si="59"/>
        <v>8.3839870767220053E-4</v>
      </c>
      <c r="J1916" s="22" t="str">
        <f t="shared" si="60"/>
        <v>lost money</v>
      </c>
    </row>
    <row r="1917" spans="1:10">
      <c r="A1917" s="1">
        <v>41596</v>
      </c>
      <c r="B1917">
        <v>47.64</v>
      </c>
      <c r="C1917">
        <v>47.92</v>
      </c>
      <c r="D1917">
        <v>47.34</v>
      </c>
      <c r="E1917">
        <v>47.38</v>
      </c>
      <c r="F1917">
        <v>8386500</v>
      </c>
      <c r="G1917">
        <v>47.38</v>
      </c>
      <c r="H1917" t="s">
        <v>15</v>
      </c>
      <c r="I1917" s="22">
        <f t="shared" si="59"/>
        <v>-7.3599322871656138E-3</v>
      </c>
      <c r="J1917" s="22" t="str">
        <f t="shared" si="60"/>
        <v>lost money</v>
      </c>
    </row>
    <row r="1918" spans="1:10">
      <c r="A1918" s="1">
        <v>41597</v>
      </c>
      <c r="B1918">
        <v>47.34</v>
      </c>
      <c r="C1918">
        <v>47.57</v>
      </c>
      <c r="D1918">
        <v>47.1</v>
      </c>
      <c r="E1918">
        <v>47.46</v>
      </c>
      <c r="F1918">
        <v>6173200</v>
      </c>
      <c r="G1918">
        <v>47.46</v>
      </c>
      <c r="H1918" t="s">
        <v>15</v>
      </c>
      <c r="I1918" s="22">
        <f t="shared" si="59"/>
        <v>1.6870522769779582E-3</v>
      </c>
      <c r="J1918" s="22" t="str">
        <f t="shared" si="60"/>
        <v/>
      </c>
    </row>
    <row r="1919" spans="1:10">
      <c r="A1919" s="1">
        <v>41598</v>
      </c>
      <c r="B1919">
        <v>47.7</v>
      </c>
      <c r="C1919">
        <v>47.85</v>
      </c>
      <c r="D1919">
        <v>46.76</v>
      </c>
      <c r="E1919">
        <v>46.85</v>
      </c>
      <c r="F1919">
        <v>8348100</v>
      </c>
      <c r="G1919">
        <v>46.85</v>
      </c>
      <c r="H1919" t="s">
        <v>15</v>
      </c>
      <c r="I1919" s="22">
        <f t="shared" si="59"/>
        <v>-1.2936242323186279E-2</v>
      </c>
      <c r="J1919" s="22" t="str">
        <f t="shared" si="60"/>
        <v>lost money</v>
      </c>
    </row>
    <row r="1920" spans="1:10">
      <c r="A1920" s="1">
        <v>41599</v>
      </c>
      <c r="B1920">
        <v>47.14</v>
      </c>
      <c r="C1920">
        <v>47.71</v>
      </c>
      <c r="D1920">
        <v>46.92</v>
      </c>
      <c r="E1920">
        <v>47.45</v>
      </c>
      <c r="F1920">
        <v>7078600</v>
      </c>
      <c r="G1920">
        <v>47.45</v>
      </c>
      <c r="H1920" t="s">
        <v>15</v>
      </c>
      <c r="I1920" s="22">
        <f t="shared" si="59"/>
        <v>1.2725516371505641E-2</v>
      </c>
      <c r="J1920" s="22" t="str">
        <f t="shared" si="60"/>
        <v/>
      </c>
    </row>
    <row r="1921" spans="1:10">
      <c r="A1921" s="1">
        <v>41600</v>
      </c>
      <c r="B1921">
        <v>47.49</v>
      </c>
      <c r="C1921">
        <v>49.95</v>
      </c>
      <c r="D1921">
        <v>47.49</v>
      </c>
      <c r="E1921">
        <v>49.52</v>
      </c>
      <c r="F1921">
        <v>27177000</v>
      </c>
      <c r="G1921">
        <v>49.52</v>
      </c>
      <c r="H1921" t="s">
        <v>15</v>
      </c>
      <c r="I1921" s="22">
        <f t="shared" si="59"/>
        <v>4.270010332040379E-2</v>
      </c>
      <c r="J1921" s="22" t="str">
        <f t="shared" si="60"/>
        <v/>
      </c>
    </row>
    <row r="1922" spans="1:10">
      <c r="A1922" s="1">
        <v>41603</v>
      </c>
      <c r="B1922">
        <v>49.48</v>
      </c>
      <c r="C1922">
        <v>50.75</v>
      </c>
      <c r="D1922">
        <v>49.34</v>
      </c>
      <c r="E1922">
        <v>49.91</v>
      </c>
      <c r="F1922">
        <v>17834300</v>
      </c>
      <c r="G1922">
        <v>49.91</v>
      </c>
      <c r="H1922" t="s">
        <v>15</v>
      </c>
      <c r="I1922" s="22">
        <f t="shared" si="59"/>
        <v>7.8447551051770252E-3</v>
      </c>
      <c r="J1922" s="22" t="str">
        <f t="shared" si="60"/>
        <v/>
      </c>
    </row>
    <row r="1923" spans="1:10">
      <c r="A1923" s="1">
        <v>41604</v>
      </c>
      <c r="B1923">
        <v>50.04</v>
      </c>
      <c r="C1923">
        <v>50.29</v>
      </c>
      <c r="D1923">
        <v>49.56</v>
      </c>
      <c r="E1923">
        <v>49.78</v>
      </c>
      <c r="F1923">
        <v>12526200</v>
      </c>
      <c r="G1923">
        <v>49.78</v>
      </c>
      <c r="H1923" t="s">
        <v>15</v>
      </c>
      <c r="I1923" s="22">
        <f t="shared" ref="I1923:I1986" si="61">IF(A1923=$A$2,"",LN(G1923/G1922))</f>
        <v>-2.6080865420718686E-3</v>
      </c>
      <c r="J1923" s="22" t="str">
        <f t="shared" ref="J1923:J1986" si="62">IF(B1923&gt;E1923,"lost money","")</f>
        <v>lost money</v>
      </c>
    </row>
    <row r="1924" spans="1:10">
      <c r="A1924" s="1">
        <v>41605</v>
      </c>
      <c r="B1924">
        <v>49.65</v>
      </c>
      <c r="C1924">
        <v>50.02</v>
      </c>
      <c r="D1924">
        <v>49.34</v>
      </c>
      <c r="E1924">
        <v>49.78</v>
      </c>
      <c r="F1924">
        <v>8279800</v>
      </c>
      <c r="G1924">
        <v>49.78</v>
      </c>
      <c r="H1924" t="s">
        <v>15</v>
      </c>
      <c r="I1924" s="22">
        <f t="shared" si="61"/>
        <v>0</v>
      </c>
      <c r="J1924" s="22" t="str">
        <f t="shared" si="62"/>
        <v/>
      </c>
    </row>
    <row r="1925" spans="1:10">
      <c r="A1925" s="1">
        <v>41607</v>
      </c>
      <c r="B1925">
        <v>49.73</v>
      </c>
      <c r="C1925">
        <v>50.15</v>
      </c>
      <c r="D1925">
        <v>49.66</v>
      </c>
      <c r="E1925">
        <v>49.87</v>
      </c>
      <c r="F1925">
        <v>5599600</v>
      </c>
      <c r="G1925">
        <v>49.87</v>
      </c>
      <c r="H1925" t="s">
        <v>15</v>
      </c>
      <c r="I1925" s="22">
        <f t="shared" si="61"/>
        <v>1.8063226185850922E-3</v>
      </c>
      <c r="J1925" s="22" t="str">
        <f t="shared" si="62"/>
        <v/>
      </c>
    </row>
    <row r="1926" spans="1:10">
      <c r="A1926" s="1">
        <v>40911</v>
      </c>
      <c r="B1926">
        <v>73.92</v>
      </c>
      <c r="C1926">
        <v>74.83</v>
      </c>
      <c r="D1926">
        <v>73.92</v>
      </c>
      <c r="E1926">
        <v>74.17</v>
      </c>
      <c r="F1926">
        <v>10172700</v>
      </c>
      <c r="G1926">
        <v>51.82</v>
      </c>
      <c r="H1926" t="s">
        <v>5</v>
      </c>
      <c r="I1926" s="22" t="str">
        <f t="shared" si="61"/>
        <v/>
      </c>
      <c r="J1926" s="22" t="str">
        <f t="shared" si="62"/>
        <v/>
      </c>
    </row>
    <row r="1927" spans="1:10">
      <c r="A1927" s="1">
        <v>40912</v>
      </c>
      <c r="B1927">
        <v>73.900000000000006</v>
      </c>
      <c r="C1927">
        <v>74.09</v>
      </c>
      <c r="D1927">
        <v>73.27</v>
      </c>
      <c r="E1927">
        <v>73.819999999999993</v>
      </c>
      <c r="F1927">
        <v>7411100</v>
      </c>
      <c r="G1927">
        <v>51.58</v>
      </c>
      <c r="H1927" t="s">
        <v>5</v>
      </c>
      <c r="I1927" s="22">
        <f t="shared" si="61"/>
        <v>-4.6421746807652512E-3</v>
      </c>
      <c r="J1927" s="22" t="str">
        <f t="shared" si="62"/>
        <v>lost money</v>
      </c>
    </row>
    <row r="1928" spans="1:10">
      <c r="A1928" s="1">
        <v>40913</v>
      </c>
      <c r="B1928">
        <v>73.260000000000005</v>
      </c>
      <c r="C1928">
        <v>73.47</v>
      </c>
      <c r="D1928">
        <v>72.63</v>
      </c>
      <c r="E1928">
        <v>73.23</v>
      </c>
      <c r="F1928">
        <v>10276200</v>
      </c>
      <c r="G1928">
        <v>51.16</v>
      </c>
      <c r="H1928" t="s">
        <v>5</v>
      </c>
      <c r="I1928" s="22">
        <f t="shared" si="61"/>
        <v>-8.1760237425568625E-3</v>
      </c>
      <c r="J1928" s="22" t="str">
        <f t="shared" si="62"/>
        <v>lost money</v>
      </c>
    </row>
    <row r="1929" spans="1:10">
      <c r="A1929" s="1">
        <v>40914</v>
      </c>
      <c r="B1929">
        <v>73.459999999999994</v>
      </c>
      <c r="C1929">
        <v>73.5</v>
      </c>
      <c r="D1929">
        <v>72.59</v>
      </c>
      <c r="E1929">
        <v>72.66</v>
      </c>
      <c r="F1929">
        <v>7268400</v>
      </c>
      <c r="G1929">
        <v>50.77</v>
      </c>
      <c r="H1929" t="s">
        <v>5</v>
      </c>
      <c r="I1929" s="22">
        <f t="shared" si="61"/>
        <v>-7.6523477513388933E-3</v>
      </c>
      <c r="J1929" s="22" t="str">
        <f t="shared" si="62"/>
        <v>lost money</v>
      </c>
    </row>
    <row r="1930" spans="1:10">
      <c r="A1930" s="1">
        <v>40917</v>
      </c>
      <c r="B1930">
        <v>72.760000000000005</v>
      </c>
      <c r="C1930">
        <v>73.040000000000006</v>
      </c>
      <c r="D1930">
        <v>72.48</v>
      </c>
      <c r="E1930">
        <v>72.94</v>
      </c>
      <c r="F1930">
        <v>10997800</v>
      </c>
      <c r="G1930">
        <v>50.96</v>
      </c>
      <c r="H1930" t="s">
        <v>5</v>
      </c>
      <c r="I1930" s="22">
        <f t="shared" si="61"/>
        <v>3.7353823046049569E-3</v>
      </c>
      <c r="J1930" s="22" t="str">
        <f t="shared" si="62"/>
        <v/>
      </c>
    </row>
    <row r="1931" spans="1:10">
      <c r="A1931" s="1">
        <v>40918</v>
      </c>
      <c r="B1931">
        <v>73.55</v>
      </c>
      <c r="C1931">
        <v>73.819999999999993</v>
      </c>
      <c r="D1931">
        <v>73.099999999999994</v>
      </c>
      <c r="E1931">
        <v>73.28</v>
      </c>
      <c r="F1931">
        <v>6926000</v>
      </c>
      <c r="G1931">
        <v>51.2</v>
      </c>
      <c r="H1931" t="s">
        <v>5</v>
      </c>
      <c r="I1931" s="22">
        <f t="shared" si="61"/>
        <v>4.6985207815543354E-3</v>
      </c>
      <c r="J1931" s="22" t="str">
        <f t="shared" si="62"/>
        <v>lost money</v>
      </c>
    </row>
    <row r="1932" spans="1:10">
      <c r="A1932" s="1">
        <v>40919</v>
      </c>
      <c r="B1932">
        <v>72.88</v>
      </c>
      <c r="C1932">
        <v>73.03</v>
      </c>
      <c r="D1932">
        <v>71.95</v>
      </c>
      <c r="E1932">
        <v>72.010000000000005</v>
      </c>
      <c r="F1932">
        <v>9819300</v>
      </c>
      <c r="G1932">
        <v>50.31</v>
      </c>
      <c r="H1932" t="s">
        <v>5</v>
      </c>
      <c r="I1932" s="22">
        <f t="shared" si="61"/>
        <v>-1.753566754223488E-2</v>
      </c>
      <c r="J1932" s="22" t="str">
        <f t="shared" si="62"/>
        <v>lost money</v>
      </c>
    </row>
    <row r="1933" spans="1:10">
      <c r="A1933" s="1">
        <v>40920</v>
      </c>
      <c r="B1933">
        <v>71.45</v>
      </c>
      <c r="C1933">
        <v>71.7</v>
      </c>
      <c r="D1933">
        <v>70.67</v>
      </c>
      <c r="E1933">
        <v>70.760000000000005</v>
      </c>
      <c r="F1933">
        <v>14941600</v>
      </c>
      <c r="G1933">
        <v>49.44</v>
      </c>
      <c r="H1933" t="s">
        <v>5</v>
      </c>
      <c r="I1933" s="22">
        <f t="shared" si="61"/>
        <v>-1.7444051353791883E-2</v>
      </c>
      <c r="J1933" s="22" t="str">
        <f t="shared" si="62"/>
        <v>lost money</v>
      </c>
    </row>
    <row r="1934" spans="1:10">
      <c r="A1934" s="1">
        <v>40921</v>
      </c>
      <c r="B1934">
        <v>70.39</v>
      </c>
      <c r="C1934">
        <v>70.89</v>
      </c>
      <c r="D1934">
        <v>70.05</v>
      </c>
      <c r="E1934">
        <v>70.34</v>
      </c>
      <c r="F1934">
        <v>12567100</v>
      </c>
      <c r="G1934">
        <v>49.14</v>
      </c>
      <c r="H1934" t="s">
        <v>5</v>
      </c>
      <c r="I1934" s="22">
        <f t="shared" si="61"/>
        <v>-6.0864460564022168E-3</v>
      </c>
      <c r="J1934" s="22" t="str">
        <f t="shared" si="62"/>
        <v>lost money</v>
      </c>
    </row>
    <row r="1935" spans="1:10">
      <c r="A1935" s="1">
        <v>40925</v>
      </c>
      <c r="B1935">
        <v>71</v>
      </c>
      <c r="C1935">
        <v>71.260000000000005</v>
      </c>
      <c r="D1935">
        <v>70.489999999999995</v>
      </c>
      <c r="E1935">
        <v>70.8</v>
      </c>
      <c r="F1935">
        <v>8332200</v>
      </c>
      <c r="G1935">
        <v>49.47</v>
      </c>
      <c r="H1935" t="s">
        <v>5</v>
      </c>
      <c r="I1935" s="22">
        <f t="shared" si="61"/>
        <v>6.693058146584145E-3</v>
      </c>
      <c r="J1935" s="22" t="str">
        <f t="shared" si="62"/>
        <v>lost money</v>
      </c>
    </row>
    <row r="1936" spans="1:10">
      <c r="A1936" s="1">
        <v>40926</v>
      </c>
      <c r="B1936">
        <v>70.89</v>
      </c>
      <c r="C1936">
        <v>71.73</v>
      </c>
      <c r="D1936">
        <v>70.5</v>
      </c>
      <c r="E1936">
        <v>71.5</v>
      </c>
      <c r="F1936">
        <v>9496200</v>
      </c>
      <c r="G1936">
        <v>49.96</v>
      </c>
      <c r="H1936" t="s">
        <v>5</v>
      </c>
      <c r="I1936" s="22">
        <f t="shared" si="61"/>
        <v>9.8562600177596656E-3</v>
      </c>
      <c r="J1936" s="22" t="str">
        <f t="shared" si="62"/>
        <v/>
      </c>
    </row>
    <row r="1937" spans="1:10">
      <c r="A1937" s="1">
        <v>40927</v>
      </c>
      <c r="B1937">
        <v>71.72</v>
      </c>
      <c r="C1937">
        <v>71.790000000000006</v>
      </c>
      <c r="D1937">
        <v>70.81</v>
      </c>
      <c r="E1937">
        <v>71.27</v>
      </c>
      <c r="F1937">
        <v>10689400</v>
      </c>
      <c r="G1937">
        <v>49.79</v>
      </c>
      <c r="H1937" t="s">
        <v>5</v>
      </c>
      <c r="I1937" s="22">
        <f t="shared" si="61"/>
        <v>-3.4085246032855535E-3</v>
      </c>
      <c r="J1937" s="22" t="str">
        <f t="shared" si="62"/>
        <v>lost money</v>
      </c>
    </row>
    <row r="1938" spans="1:10">
      <c r="A1938" s="1">
        <v>40928</v>
      </c>
      <c r="B1938">
        <v>71.03</v>
      </c>
      <c r="C1938">
        <v>71.2</v>
      </c>
      <c r="D1938">
        <v>70.42</v>
      </c>
      <c r="E1938">
        <v>71.2</v>
      </c>
      <c r="F1938">
        <v>10097100</v>
      </c>
      <c r="G1938">
        <v>49.75</v>
      </c>
      <c r="H1938" t="s">
        <v>5</v>
      </c>
      <c r="I1938" s="22">
        <f t="shared" si="61"/>
        <v>-8.0369704948951711E-4</v>
      </c>
      <c r="J1938" s="22" t="str">
        <f t="shared" si="62"/>
        <v/>
      </c>
    </row>
    <row r="1939" spans="1:10">
      <c r="A1939" s="1">
        <v>40931</v>
      </c>
      <c r="B1939">
        <v>70.78</v>
      </c>
      <c r="C1939">
        <v>71.040000000000006</v>
      </c>
      <c r="D1939">
        <v>70.400000000000006</v>
      </c>
      <c r="E1939">
        <v>70.56</v>
      </c>
      <c r="F1939">
        <v>12179200</v>
      </c>
      <c r="G1939">
        <v>49.3</v>
      </c>
      <c r="H1939" t="s">
        <v>5</v>
      </c>
      <c r="I1939" s="22">
        <f t="shared" si="61"/>
        <v>-9.0863825559573709E-3</v>
      </c>
      <c r="J1939" s="22" t="str">
        <f t="shared" si="62"/>
        <v>lost money</v>
      </c>
    </row>
    <row r="1940" spans="1:10">
      <c r="A1940" s="1">
        <v>40932</v>
      </c>
      <c r="B1940">
        <v>70.14</v>
      </c>
      <c r="C1940">
        <v>70.930000000000007</v>
      </c>
      <c r="D1940">
        <v>70.02</v>
      </c>
      <c r="E1940">
        <v>70.61</v>
      </c>
      <c r="F1940">
        <v>10897300</v>
      </c>
      <c r="G1940">
        <v>49.33</v>
      </c>
      <c r="H1940" t="s">
        <v>5</v>
      </c>
      <c r="I1940" s="22">
        <f t="shared" si="61"/>
        <v>6.0833419700247909E-4</v>
      </c>
      <c r="J1940" s="22" t="str">
        <f t="shared" si="62"/>
        <v/>
      </c>
    </row>
    <row r="1941" spans="1:10">
      <c r="A1941" s="1">
        <v>40933</v>
      </c>
      <c r="B1941">
        <v>71.510000000000005</v>
      </c>
      <c r="C1941">
        <v>71.62</v>
      </c>
      <c r="D1941">
        <v>69.010000000000005</v>
      </c>
      <c r="E1941">
        <v>69.98</v>
      </c>
      <c r="F1941">
        <v>22200900</v>
      </c>
      <c r="G1941">
        <v>48.89</v>
      </c>
      <c r="H1941" t="s">
        <v>5</v>
      </c>
      <c r="I1941" s="22">
        <f t="shared" si="61"/>
        <v>-8.9595386550926619E-3</v>
      </c>
      <c r="J1941" s="22" t="str">
        <f t="shared" si="62"/>
        <v>lost money</v>
      </c>
    </row>
    <row r="1942" spans="1:10">
      <c r="A1942" s="1">
        <v>40934</v>
      </c>
      <c r="B1942">
        <v>70.48</v>
      </c>
      <c r="C1942">
        <v>70.489999999999995</v>
      </c>
      <c r="D1942">
        <v>69.36</v>
      </c>
      <c r="E1942">
        <v>69.53</v>
      </c>
      <c r="F1942">
        <v>13117500</v>
      </c>
      <c r="G1942">
        <v>48.58</v>
      </c>
      <c r="H1942" t="s">
        <v>5</v>
      </c>
      <c r="I1942" s="22">
        <f t="shared" si="61"/>
        <v>-6.3609530165277609E-3</v>
      </c>
      <c r="J1942" s="22" t="str">
        <f t="shared" si="62"/>
        <v>lost money</v>
      </c>
    </row>
    <row r="1943" spans="1:10">
      <c r="A1943" s="1">
        <v>40935</v>
      </c>
      <c r="B1943">
        <v>69.08</v>
      </c>
      <c r="C1943">
        <v>69.760000000000005</v>
      </c>
      <c r="D1943">
        <v>68.790000000000006</v>
      </c>
      <c r="E1943">
        <v>69.400000000000006</v>
      </c>
      <c r="F1943">
        <v>10192600</v>
      </c>
      <c r="G1943">
        <v>48.49</v>
      </c>
      <c r="H1943" t="s">
        <v>5</v>
      </c>
      <c r="I1943" s="22">
        <f t="shared" si="61"/>
        <v>-1.8543324567654191E-3</v>
      </c>
      <c r="J1943" s="22" t="str">
        <f t="shared" si="62"/>
        <v/>
      </c>
    </row>
    <row r="1944" spans="1:10">
      <c r="A1944" s="1">
        <v>40938</v>
      </c>
      <c r="B1944">
        <v>68.91</v>
      </c>
      <c r="C1944">
        <v>69.06</v>
      </c>
      <c r="D1944">
        <v>68.25</v>
      </c>
      <c r="E1944">
        <v>68.72</v>
      </c>
      <c r="F1944">
        <v>15003900</v>
      </c>
      <c r="G1944">
        <v>48.01</v>
      </c>
      <c r="H1944" t="s">
        <v>5</v>
      </c>
      <c r="I1944" s="22">
        <f t="shared" si="61"/>
        <v>-9.9482685744120523E-3</v>
      </c>
      <c r="J1944" s="22" t="str">
        <f t="shared" si="62"/>
        <v>lost money</v>
      </c>
    </row>
    <row r="1945" spans="1:10">
      <c r="A1945" s="1">
        <v>40939</v>
      </c>
      <c r="B1945">
        <v>69.010000000000005</v>
      </c>
      <c r="C1945">
        <v>69.17</v>
      </c>
      <c r="D1945">
        <v>68</v>
      </c>
      <c r="E1945">
        <v>68.209999999999994</v>
      </c>
      <c r="F1945">
        <v>28422400</v>
      </c>
      <c r="G1945">
        <v>47.66</v>
      </c>
      <c r="H1945" t="s">
        <v>5</v>
      </c>
      <c r="I1945" s="22">
        <f t="shared" si="61"/>
        <v>-7.3168508722529415E-3</v>
      </c>
      <c r="J1945" s="22" t="str">
        <f t="shared" si="62"/>
        <v>lost money</v>
      </c>
    </row>
    <row r="1946" spans="1:10">
      <c r="A1946" s="1">
        <v>40940</v>
      </c>
      <c r="B1946">
        <v>68.900000000000006</v>
      </c>
      <c r="C1946">
        <v>69.650000000000006</v>
      </c>
      <c r="D1946">
        <v>68.540000000000006</v>
      </c>
      <c r="E1946">
        <v>69.319999999999993</v>
      </c>
      <c r="F1946">
        <v>13598800</v>
      </c>
      <c r="G1946">
        <v>48.43</v>
      </c>
      <c r="H1946" t="s">
        <v>5</v>
      </c>
      <c r="I1946" s="22">
        <f t="shared" si="61"/>
        <v>1.6026984744541683E-2</v>
      </c>
      <c r="J1946" s="22" t="str">
        <f t="shared" si="62"/>
        <v/>
      </c>
    </row>
    <row r="1947" spans="1:10">
      <c r="A1947" s="1">
        <v>40941</v>
      </c>
      <c r="B1947">
        <v>69.209999999999994</v>
      </c>
      <c r="C1947">
        <v>70.069999999999993</v>
      </c>
      <c r="D1947">
        <v>69.2</v>
      </c>
      <c r="E1947">
        <v>69.91</v>
      </c>
      <c r="F1947">
        <v>11579400</v>
      </c>
      <c r="G1947">
        <v>48.84</v>
      </c>
      <c r="H1947" t="s">
        <v>5</v>
      </c>
      <c r="I1947" s="22">
        <f t="shared" si="61"/>
        <v>8.4301928273661508E-3</v>
      </c>
      <c r="J1947" s="22" t="str">
        <f t="shared" si="62"/>
        <v/>
      </c>
    </row>
    <row r="1948" spans="1:10">
      <c r="A1948" s="1">
        <v>40942</v>
      </c>
      <c r="B1948">
        <v>70.599999999999994</v>
      </c>
      <c r="C1948">
        <v>70.66</v>
      </c>
      <c r="D1948">
        <v>70.069999999999993</v>
      </c>
      <c r="E1948">
        <v>70.459999999999994</v>
      </c>
      <c r="F1948">
        <v>13078900</v>
      </c>
      <c r="G1948">
        <v>49.23</v>
      </c>
      <c r="H1948" t="s">
        <v>5</v>
      </c>
      <c r="I1948" s="22">
        <f t="shared" si="61"/>
        <v>7.9535445276052597E-3</v>
      </c>
      <c r="J1948" s="22" t="str">
        <f t="shared" si="62"/>
        <v>lost money</v>
      </c>
    </row>
    <row r="1949" spans="1:10">
      <c r="A1949" s="1">
        <v>40945</v>
      </c>
      <c r="B1949">
        <v>70.239999999999995</v>
      </c>
      <c r="C1949">
        <v>71.36</v>
      </c>
      <c r="D1949">
        <v>70.2</v>
      </c>
      <c r="E1949">
        <v>71.319999999999993</v>
      </c>
      <c r="F1949">
        <v>8888700</v>
      </c>
      <c r="G1949">
        <v>49.83</v>
      </c>
      <c r="H1949" t="s">
        <v>5</v>
      </c>
      <c r="I1949" s="22">
        <f t="shared" si="61"/>
        <v>1.2114018523203955E-2</v>
      </c>
      <c r="J1949" s="22" t="str">
        <f t="shared" si="62"/>
        <v/>
      </c>
    </row>
    <row r="1950" spans="1:10">
      <c r="A1950" s="1">
        <v>40946</v>
      </c>
      <c r="B1950">
        <v>71.48</v>
      </c>
      <c r="C1950">
        <v>72.13</v>
      </c>
      <c r="D1950">
        <v>71.27</v>
      </c>
      <c r="E1950">
        <v>71.92</v>
      </c>
      <c r="F1950">
        <v>10817000</v>
      </c>
      <c r="G1950">
        <v>50.25</v>
      </c>
      <c r="H1950" t="s">
        <v>5</v>
      </c>
      <c r="I1950" s="22">
        <f t="shared" si="61"/>
        <v>8.3933346458720786E-3</v>
      </c>
      <c r="J1950" s="22" t="str">
        <f t="shared" si="62"/>
        <v/>
      </c>
    </row>
    <row r="1951" spans="1:10">
      <c r="A1951" s="1">
        <v>40947</v>
      </c>
      <c r="B1951">
        <v>72.290000000000006</v>
      </c>
      <c r="C1951">
        <v>72.430000000000007</v>
      </c>
      <c r="D1951">
        <v>71.72</v>
      </c>
      <c r="E1951">
        <v>72.25</v>
      </c>
      <c r="F1951">
        <v>7713300</v>
      </c>
      <c r="G1951">
        <v>50.48</v>
      </c>
      <c r="H1951" t="s">
        <v>5</v>
      </c>
      <c r="I1951" s="22">
        <f t="shared" si="61"/>
        <v>4.5666712937724625E-3</v>
      </c>
      <c r="J1951" s="22" t="str">
        <f t="shared" si="62"/>
        <v>lost money</v>
      </c>
    </row>
    <row r="1952" spans="1:10">
      <c r="A1952" s="1">
        <v>40948</v>
      </c>
      <c r="B1952">
        <v>72.239999999999995</v>
      </c>
      <c r="C1952">
        <v>72.5</v>
      </c>
      <c r="D1952">
        <v>71.239999999999995</v>
      </c>
      <c r="E1952">
        <v>71.55</v>
      </c>
      <c r="F1952">
        <v>31544600</v>
      </c>
      <c r="G1952">
        <v>49.99</v>
      </c>
      <c r="H1952" t="s">
        <v>5</v>
      </c>
      <c r="I1952" s="22">
        <f t="shared" si="61"/>
        <v>-9.7542328074786706E-3</v>
      </c>
      <c r="J1952" s="22" t="str">
        <f t="shared" si="62"/>
        <v>lost money</v>
      </c>
    </row>
    <row r="1953" spans="1:10">
      <c r="A1953" s="1">
        <v>40949</v>
      </c>
      <c r="B1953">
        <v>71.680000000000007</v>
      </c>
      <c r="C1953">
        <v>72.47</v>
      </c>
      <c r="D1953">
        <v>71.45</v>
      </c>
      <c r="E1953">
        <v>72.25</v>
      </c>
      <c r="F1953">
        <v>46148700</v>
      </c>
      <c r="G1953">
        <v>50.48</v>
      </c>
      <c r="H1953" t="s">
        <v>5</v>
      </c>
      <c r="I1953" s="22">
        <f t="shared" si="61"/>
        <v>9.7542328074785682E-3</v>
      </c>
      <c r="J1953" s="22" t="str">
        <f t="shared" si="62"/>
        <v/>
      </c>
    </row>
    <row r="1954" spans="1:10">
      <c r="A1954" s="1">
        <v>40952</v>
      </c>
      <c r="B1954">
        <v>72.69</v>
      </c>
      <c r="C1954">
        <v>72.91</v>
      </c>
      <c r="D1954">
        <v>71.98</v>
      </c>
      <c r="E1954">
        <v>72.81</v>
      </c>
      <c r="F1954">
        <v>41798100</v>
      </c>
      <c r="G1954">
        <v>50.87</v>
      </c>
      <c r="H1954" t="s">
        <v>5</v>
      </c>
      <c r="I1954" s="22">
        <f t="shared" si="61"/>
        <v>7.6961406017159364E-3</v>
      </c>
      <c r="J1954" s="22" t="str">
        <f t="shared" si="62"/>
        <v/>
      </c>
    </row>
    <row r="1955" spans="1:10">
      <c r="A1955" s="1">
        <v>40953</v>
      </c>
      <c r="B1955">
        <v>72.62</v>
      </c>
      <c r="C1955">
        <v>73.91</v>
      </c>
      <c r="D1955">
        <v>72.61</v>
      </c>
      <c r="E1955">
        <v>73.599999999999994</v>
      </c>
      <c r="F1955">
        <v>10558200</v>
      </c>
      <c r="G1955">
        <v>51.42</v>
      </c>
      <c r="H1955" t="s">
        <v>5</v>
      </c>
      <c r="I1955" s="22">
        <f t="shared" si="61"/>
        <v>1.0753843003069891E-2</v>
      </c>
      <c r="J1955" s="22" t="str">
        <f t="shared" si="62"/>
        <v/>
      </c>
    </row>
    <row r="1956" spans="1:10">
      <c r="A1956" s="1">
        <v>40954</v>
      </c>
      <c r="B1956">
        <v>74</v>
      </c>
      <c r="C1956">
        <v>74</v>
      </c>
      <c r="D1956">
        <v>73.11</v>
      </c>
      <c r="E1956">
        <v>73.45</v>
      </c>
      <c r="F1956">
        <v>11559600</v>
      </c>
      <c r="G1956">
        <v>51.32</v>
      </c>
      <c r="H1956" t="s">
        <v>5</v>
      </c>
      <c r="I1956" s="22">
        <f t="shared" si="61"/>
        <v>-1.9466620903077659E-3</v>
      </c>
      <c r="J1956" s="22" t="str">
        <f t="shared" si="62"/>
        <v>lost money</v>
      </c>
    </row>
    <row r="1957" spans="1:10">
      <c r="A1957" s="1">
        <v>40955</v>
      </c>
      <c r="B1957">
        <v>72.92</v>
      </c>
      <c r="C1957">
        <v>72.95</v>
      </c>
      <c r="D1957">
        <v>72.14</v>
      </c>
      <c r="E1957">
        <v>72.78</v>
      </c>
      <c r="F1957">
        <v>11008000</v>
      </c>
      <c r="G1957">
        <v>51.31</v>
      </c>
      <c r="H1957" t="s">
        <v>5</v>
      </c>
      <c r="I1957" s="22">
        <f t="shared" si="61"/>
        <v>-1.9487479356218546E-4</v>
      </c>
      <c r="J1957" s="22" t="str">
        <f t="shared" si="62"/>
        <v>lost money</v>
      </c>
    </row>
    <row r="1958" spans="1:10">
      <c r="A1958" s="1">
        <v>40956</v>
      </c>
      <c r="B1958">
        <v>73.150000000000006</v>
      </c>
      <c r="C1958">
        <v>73.52</v>
      </c>
      <c r="D1958">
        <v>72.959999999999994</v>
      </c>
      <c r="E1958">
        <v>73.36</v>
      </c>
      <c r="F1958">
        <v>10545600</v>
      </c>
      <c r="G1958">
        <v>51.72</v>
      </c>
      <c r="H1958" t="s">
        <v>5</v>
      </c>
      <c r="I1958" s="22">
        <f t="shared" si="61"/>
        <v>7.9588889497832303E-3</v>
      </c>
      <c r="J1958" s="22" t="str">
        <f t="shared" si="62"/>
        <v/>
      </c>
    </row>
    <row r="1959" spans="1:10">
      <c r="A1959" s="1">
        <v>40960</v>
      </c>
      <c r="B1959">
        <v>73.94</v>
      </c>
      <c r="C1959">
        <v>74.13</v>
      </c>
      <c r="D1959">
        <v>73.62</v>
      </c>
      <c r="E1959">
        <v>73.83</v>
      </c>
      <c r="F1959">
        <v>12840200</v>
      </c>
      <c r="G1959">
        <v>52.05</v>
      </c>
      <c r="H1959" t="s">
        <v>5</v>
      </c>
      <c r="I1959" s="22">
        <f t="shared" si="61"/>
        <v>6.3602411573211014E-3</v>
      </c>
      <c r="J1959" s="22" t="str">
        <f t="shared" si="62"/>
        <v>lost money</v>
      </c>
    </row>
    <row r="1960" spans="1:10">
      <c r="A1960" s="1">
        <v>40961</v>
      </c>
      <c r="B1960">
        <v>74.03</v>
      </c>
      <c r="C1960">
        <v>74.489999999999995</v>
      </c>
      <c r="D1960">
        <v>73.91</v>
      </c>
      <c r="E1960">
        <v>74.13</v>
      </c>
      <c r="F1960">
        <v>8688500</v>
      </c>
      <c r="G1960">
        <v>52.26</v>
      </c>
      <c r="H1960" t="s">
        <v>5</v>
      </c>
      <c r="I1960" s="22">
        <f t="shared" si="61"/>
        <v>4.0264650314886085E-3</v>
      </c>
      <c r="J1960" s="22" t="str">
        <f t="shared" si="62"/>
        <v/>
      </c>
    </row>
    <row r="1961" spans="1:10">
      <c r="A1961" s="1">
        <v>40962</v>
      </c>
      <c r="B1961">
        <v>74.37</v>
      </c>
      <c r="C1961">
        <v>75</v>
      </c>
      <c r="D1961">
        <v>74.2</v>
      </c>
      <c r="E1961">
        <v>74.81</v>
      </c>
      <c r="F1961">
        <v>9835300</v>
      </c>
      <c r="G1961">
        <v>52.74</v>
      </c>
      <c r="H1961" t="s">
        <v>5</v>
      </c>
      <c r="I1961" s="22">
        <f t="shared" si="61"/>
        <v>9.1429208326742444E-3</v>
      </c>
      <c r="J1961" s="22" t="str">
        <f t="shared" si="62"/>
        <v/>
      </c>
    </row>
    <row r="1962" spans="1:10">
      <c r="A1962" s="1">
        <v>40963</v>
      </c>
      <c r="B1962">
        <v>75.08</v>
      </c>
      <c r="C1962">
        <v>76.25</v>
      </c>
      <c r="D1962">
        <v>75</v>
      </c>
      <c r="E1962">
        <v>75.95</v>
      </c>
      <c r="F1962">
        <v>14767700</v>
      </c>
      <c r="G1962">
        <v>53.55</v>
      </c>
      <c r="H1962" t="s">
        <v>5</v>
      </c>
      <c r="I1962" s="22">
        <f t="shared" si="61"/>
        <v>1.5241615968617041E-2</v>
      </c>
      <c r="J1962" s="22" t="str">
        <f t="shared" si="62"/>
        <v/>
      </c>
    </row>
    <row r="1963" spans="1:10">
      <c r="A1963" s="1">
        <v>40966</v>
      </c>
      <c r="B1963">
        <v>75.89</v>
      </c>
      <c r="C1963">
        <v>76.84</v>
      </c>
      <c r="D1963">
        <v>75.7</v>
      </c>
      <c r="E1963">
        <v>76.430000000000007</v>
      </c>
      <c r="F1963">
        <v>10564600</v>
      </c>
      <c r="G1963">
        <v>53.88</v>
      </c>
      <c r="H1963" t="s">
        <v>5</v>
      </c>
      <c r="I1963" s="22">
        <f t="shared" si="61"/>
        <v>6.1435546484056597E-3</v>
      </c>
      <c r="J1963" s="22" t="str">
        <f t="shared" si="62"/>
        <v/>
      </c>
    </row>
    <row r="1964" spans="1:10">
      <c r="A1964" s="1">
        <v>40967</v>
      </c>
      <c r="B1964">
        <v>76.760000000000005</v>
      </c>
      <c r="C1964">
        <v>77.430000000000007</v>
      </c>
      <c r="D1964">
        <v>76.400000000000006</v>
      </c>
      <c r="E1964">
        <v>77.27</v>
      </c>
      <c r="F1964">
        <v>14028900</v>
      </c>
      <c r="G1964">
        <v>54.48</v>
      </c>
      <c r="H1964" t="s">
        <v>5</v>
      </c>
      <c r="I1964" s="22">
        <f t="shared" si="61"/>
        <v>1.1074310299093495E-2</v>
      </c>
      <c r="J1964" s="22" t="str">
        <f t="shared" si="62"/>
        <v/>
      </c>
    </row>
    <row r="1965" spans="1:10">
      <c r="A1965" s="1">
        <v>40968</v>
      </c>
      <c r="B1965">
        <v>77.33</v>
      </c>
      <c r="C1965">
        <v>77.72</v>
      </c>
      <c r="D1965">
        <v>76.06</v>
      </c>
      <c r="E1965">
        <v>76.55</v>
      </c>
      <c r="F1965">
        <v>15948500</v>
      </c>
      <c r="G1965">
        <v>53.97</v>
      </c>
      <c r="H1965" t="s">
        <v>5</v>
      </c>
      <c r="I1965" s="22">
        <f t="shared" si="61"/>
        <v>-9.4053252107054331E-3</v>
      </c>
      <c r="J1965" s="22" t="str">
        <f t="shared" si="62"/>
        <v>lost money</v>
      </c>
    </row>
    <row r="1966" spans="1:10">
      <c r="A1966" s="1">
        <v>40969</v>
      </c>
      <c r="B1966">
        <v>77.11</v>
      </c>
      <c r="C1966">
        <v>78.239999999999995</v>
      </c>
      <c r="D1966">
        <v>77.010000000000005</v>
      </c>
      <c r="E1966">
        <v>78.22</v>
      </c>
      <c r="F1966">
        <v>12182300</v>
      </c>
      <c r="G1966">
        <v>55.15</v>
      </c>
      <c r="H1966" t="s">
        <v>5</v>
      </c>
      <c r="I1966" s="22">
        <f t="shared" si="61"/>
        <v>2.1628409068959974E-2</v>
      </c>
      <c r="J1966" s="22" t="str">
        <f t="shared" si="62"/>
        <v/>
      </c>
    </row>
    <row r="1967" spans="1:10">
      <c r="A1967" s="1">
        <v>40970</v>
      </c>
      <c r="B1967">
        <v>77.92</v>
      </c>
      <c r="C1967">
        <v>78.19</v>
      </c>
      <c r="D1967">
        <v>77.400000000000006</v>
      </c>
      <c r="E1967">
        <v>77.650000000000006</v>
      </c>
      <c r="F1967">
        <v>9302700</v>
      </c>
      <c r="G1967">
        <v>54.74</v>
      </c>
      <c r="H1967" t="s">
        <v>5</v>
      </c>
      <c r="I1967" s="22">
        <f t="shared" si="61"/>
        <v>-7.4620420869783754E-3</v>
      </c>
      <c r="J1967" s="22" t="str">
        <f t="shared" si="62"/>
        <v>lost money</v>
      </c>
    </row>
    <row r="1968" spans="1:10">
      <c r="A1968" s="1">
        <v>40973</v>
      </c>
      <c r="B1968">
        <v>77.25</v>
      </c>
      <c r="C1968">
        <v>77.72</v>
      </c>
      <c r="D1968">
        <v>76.78</v>
      </c>
      <c r="E1968">
        <v>77.56</v>
      </c>
      <c r="F1968">
        <v>9240900</v>
      </c>
      <c r="G1968">
        <v>54.68</v>
      </c>
      <c r="H1968" t="s">
        <v>5</v>
      </c>
      <c r="I1968" s="22">
        <f t="shared" si="61"/>
        <v>-1.0966917567842411E-3</v>
      </c>
      <c r="J1968" s="22" t="str">
        <f t="shared" si="62"/>
        <v/>
      </c>
    </row>
    <row r="1969" spans="1:10">
      <c r="A1969" s="1">
        <v>40974</v>
      </c>
      <c r="B1969">
        <v>76.3</v>
      </c>
      <c r="C1969">
        <v>76.709999999999994</v>
      </c>
      <c r="D1969">
        <v>75.930000000000007</v>
      </c>
      <c r="E1969">
        <v>76.45</v>
      </c>
      <c r="F1969">
        <v>11580900</v>
      </c>
      <c r="G1969">
        <v>53.9</v>
      </c>
      <c r="H1969" t="s">
        <v>5</v>
      </c>
      <c r="I1969" s="22">
        <f t="shared" si="61"/>
        <v>-1.4367533940797308E-2</v>
      </c>
      <c r="J1969" s="22" t="str">
        <f t="shared" si="62"/>
        <v/>
      </c>
    </row>
    <row r="1970" spans="1:10">
      <c r="A1970" s="1">
        <v>40975</v>
      </c>
      <c r="B1970">
        <v>76.45</v>
      </c>
      <c r="C1970">
        <v>77.5</v>
      </c>
      <c r="D1970">
        <v>76.290000000000006</v>
      </c>
      <c r="E1970">
        <v>77.02</v>
      </c>
      <c r="F1970">
        <v>9301500</v>
      </c>
      <c r="G1970">
        <v>54.3</v>
      </c>
      <c r="H1970" t="s">
        <v>5</v>
      </c>
      <c r="I1970" s="22">
        <f t="shared" si="61"/>
        <v>7.3937490249381919E-3</v>
      </c>
      <c r="J1970" s="22" t="str">
        <f t="shared" si="62"/>
        <v/>
      </c>
    </row>
    <row r="1971" spans="1:10">
      <c r="A1971" s="1">
        <v>40976</v>
      </c>
      <c r="B1971">
        <v>77.459999999999994</v>
      </c>
      <c r="C1971">
        <v>77.650000000000006</v>
      </c>
      <c r="D1971">
        <v>77.14</v>
      </c>
      <c r="E1971">
        <v>77.22</v>
      </c>
      <c r="F1971">
        <v>8055800</v>
      </c>
      <c r="G1971">
        <v>54.44</v>
      </c>
      <c r="H1971" t="s">
        <v>5</v>
      </c>
      <c r="I1971" s="22">
        <f t="shared" si="61"/>
        <v>2.5749508433755399E-3</v>
      </c>
      <c r="J1971" s="22" t="str">
        <f t="shared" si="62"/>
        <v>lost money</v>
      </c>
    </row>
    <row r="1972" spans="1:10">
      <c r="A1972" s="1">
        <v>40977</v>
      </c>
      <c r="B1972">
        <v>77.23</v>
      </c>
      <c r="C1972">
        <v>78</v>
      </c>
      <c r="D1972">
        <v>77.08</v>
      </c>
      <c r="E1972">
        <v>77.16</v>
      </c>
      <c r="F1972">
        <v>11161500</v>
      </c>
      <c r="G1972">
        <v>54.4</v>
      </c>
      <c r="H1972" t="s">
        <v>5</v>
      </c>
      <c r="I1972" s="22">
        <f t="shared" si="61"/>
        <v>-7.3502392136832041E-4</v>
      </c>
      <c r="J1972" s="22" t="str">
        <f t="shared" si="62"/>
        <v>lost money</v>
      </c>
    </row>
    <row r="1973" spans="1:10">
      <c r="A1973" s="1">
        <v>40980</v>
      </c>
      <c r="B1973">
        <v>77.17</v>
      </c>
      <c r="C1973">
        <v>77.8</v>
      </c>
      <c r="D1973">
        <v>76.98</v>
      </c>
      <c r="E1973">
        <v>77.31</v>
      </c>
      <c r="F1973">
        <v>9715000</v>
      </c>
      <c r="G1973">
        <v>54.5</v>
      </c>
      <c r="H1973" t="s">
        <v>5</v>
      </c>
      <c r="I1973" s="22">
        <f t="shared" si="61"/>
        <v>1.836547807301552E-3</v>
      </c>
      <c r="J1973" s="22" t="str">
        <f t="shared" si="62"/>
        <v/>
      </c>
    </row>
    <row r="1974" spans="1:10">
      <c r="A1974" s="1">
        <v>40981</v>
      </c>
      <c r="B1974">
        <v>77.680000000000007</v>
      </c>
      <c r="C1974">
        <v>77.81</v>
      </c>
      <c r="D1974">
        <v>77.040000000000006</v>
      </c>
      <c r="E1974">
        <v>77.760000000000005</v>
      </c>
      <c r="F1974">
        <v>11394600</v>
      </c>
      <c r="G1974">
        <v>54.82</v>
      </c>
      <c r="H1974" t="s">
        <v>5</v>
      </c>
      <c r="I1974" s="22">
        <f t="shared" si="61"/>
        <v>5.8543892054412541E-3</v>
      </c>
      <c r="J1974" s="22" t="str">
        <f t="shared" si="62"/>
        <v/>
      </c>
    </row>
    <row r="1975" spans="1:10">
      <c r="A1975" s="1">
        <v>40982</v>
      </c>
      <c r="B1975">
        <v>77.790000000000006</v>
      </c>
      <c r="C1975">
        <v>78.11</v>
      </c>
      <c r="D1975">
        <v>77.28</v>
      </c>
      <c r="E1975">
        <v>77.510000000000005</v>
      </c>
      <c r="F1975">
        <v>10688700</v>
      </c>
      <c r="G1975">
        <v>54.65</v>
      </c>
      <c r="H1975" t="s">
        <v>5</v>
      </c>
      <c r="I1975" s="22">
        <f t="shared" si="61"/>
        <v>-3.1058762520921896E-3</v>
      </c>
      <c r="J1975" s="22" t="str">
        <f t="shared" si="62"/>
        <v>lost money</v>
      </c>
    </row>
    <row r="1976" spans="1:10">
      <c r="A1976" s="1">
        <v>40983</v>
      </c>
      <c r="B1976">
        <v>77.489999999999995</v>
      </c>
      <c r="C1976">
        <v>77.7</v>
      </c>
      <c r="D1976">
        <v>76.13</v>
      </c>
      <c r="E1976">
        <v>76.63</v>
      </c>
      <c r="F1976">
        <v>12184000</v>
      </c>
      <c r="G1976">
        <v>54.03</v>
      </c>
      <c r="H1976" t="s">
        <v>5</v>
      </c>
      <c r="I1976" s="22">
        <f t="shared" si="61"/>
        <v>-1.1409766766573164E-2</v>
      </c>
      <c r="J1976" s="22" t="str">
        <f t="shared" si="62"/>
        <v>lost money</v>
      </c>
    </row>
    <row r="1977" spans="1:10">
      <c r="A1977" s="1">
        <v>40984</v>
      </c>
      <c r="B1977">
        <v>76.900000000000006</v>
      </c>
      <c r="C1977">
        <v>77.489999999999995</v>
      </c>
      <c r="D1977">
        <v>76.790000000000006</v>
      </c>
      <c r="E1977">
        <v>77.180000000000007</v>
      </c>
      <c r="F1977">
        <v>19925400</v>
      </c>
      <c r="G1977">
        <v>54.41</v>
      </c>
      <c r="H1977" t="s">
        <v>5</v>
      </c>
      <c r="I1977" s="22">
        <f t="shared" si="61"/>
        <v>7.0085126418595644E-3</v>
      </c>
      <c r="J1977" s="22" t="str">
        <f t="shared" si="62"/>
        <v/>
      </c>
    </row>
    <row r="1978" spans="1:10">
      <c r="A1978" s="1">
        <v>40987</v>
      </c>
      <c r="B1978">
        <v>77.23</v>
      </c>
      <c r="C1978">
        <v>78.290000000000006</v>
      </c>
      <c r="D1978">
        <v>77.02</v>
      </c>
      <c r="E1978">
        <v>78.069999999999993</v>
      </c>
      <c r="F1978">
        <v>7828500</v>
      </c>
      <c r="G1978">
        <v>55.04</v>
      </c>
      <c r="H1978" t="s">
        <v>5</v>
      </c>
      <c r="I1978" s="22">
        <f t="shared" si="61"/>
        <v>1.1512233127254268E-2</v>
      </c>
      <c r="J1978" s="22" t="str">
        <f t="shared" si="62"/>
        <v/>
      </c>
    </row>
    <row r="1979" spans="1:10">
      <c r="A1979" s="1">
        <v>40988</v>
      </c>
      <c r="B1979">
        <v>77.510000000000005</v>
      </c>
      <c r="C1979">
        <v>77.989999999999995</v>
      </c>
      <c r="D1979">
        <v>77.11</v>
      </c>
      <c r="E1979">
        <v>77.569999999999993</v>
      </c>
      <c r="F1979">
        <v>9302200</v>
      </c>
      <c r="G1979">
        <v>54.69</v>
      </c>
      <c r="H1979" t="s">
        <v>5</v>
      </c>
      <c r="I1979" s="22">
        <f t="shared" si="61"/>
        <v>-6.3793162664068578E-3</v>
      </c>
      <c r="J1979" s="22" t="str">
        <f t="shared" si="62"/>
        <v/>
      </c>
    </row>
    <row r="1980" spans="1:10">
      <c r="A1980" s="1">
        <v>40989</v>
      </c>
      <c r="B1980">
        <v>77.77</v>
      </c>
      <c r="C1980">
        <v>77.81</v>
      </c>
      <c r="D1980">
        <v>76.98</v>
      </c>
      <c r="E1980">
        <v>77.290000000000006</v>
      </c>
      <c r="F1980">
        <v>10526200</v>
      </c>
      <c r="G1980">
        <v>54.49</v>
      </c>
      <c r="H1980" t="s">
        <v>5</v>
      </c>
      <c r="I1980" s="22">
        <f t="shared" si="61"/>
        <v>-3.6636787636743382E-3</v>
      </c>
      <c r="J1980" s="22" t="str">
        <f t="shared" si="62"/>
        <v>lost money</v>
      </c>
    </row>
    <row r="1981" spans="1:10">
      <c r="A1981" s="1">
        <v>40990</v>
      </c>
      <c r="B1981">
        <v>76.86</v>
      </c>
      <c r="C1981">
        <v>77</v>
      </c>
      <c r="D1981">
        <v>75.72</v>
      </c>
      <c r="E1981">
        <v>75.89</v>
      </c>
      <c r="F1981">
        <v>12144000</v>
      </c>
      <c r="G1981">
        <v>53.5</v>
      </c>
      <c r="H1981" t="s">
        <v>5</v>
      </c>
      <c r="I1981" s="22">
        <f t="shared" si="61"/>
        <v>-1.8335544693046116E-2</v>
      </c>
      <c r="J1981" s="22" t="str">
        <f t="shared" si="62"/>
        <v>lost money</v>
      </c>
    </row>
    <row r="1982" spans="1:10">
      <c r="A1982" s="1">
        <v>40991</v>
      </c>
      <c r="B1982">
        <v>76.010000000000005</v>
      </c>
      <c r="C1982">
        <v>76.88</v>
      </c>
      <c r="D1982">
        <v>75.55</v>
      </c>
      <c r="E1982">
        <v>76.510000000000005</v>
      </c>
      <c r="F1982">
        <v>10680300</v>
      </c>
      <c r="G1982">
        <v>53.94</v>
      </c>
      <c r="H1982" t="s">
        <v>5</v>
      </c>
      <c r="I1982" s="22">
        <f t="shared" si="61"/>
        <v>8.1906638096229199E-3</v>
      </c>
      <c r="J1982" s="22" t="str">
        <f t="shared" si="62"/>
        <v/>
      </c>
    </row>
    <row r="1983" spans="1:10">
      <c r="A1983" s="1">
        <v>40994</v>
      </c>
      <c r="B1983">
        <v>77.08</v>
      </c>
      <c r="C1983">
        <v>77.44</v>
      </c>
      <c r="D1983">
        <v>76.930000000000007</v>
      </c>
      <c r="E1983">
        <v>77.36</v>
      </c>
      <c r="F1983">
        <v>7875900</v>
      </c>
      <c r="G1983">
        <v>54.54</v>
      </c>
      <c r="H1983" t="s">
        <v>5</v>
      </c>
      <c r="I1983" s="22">
        <f t="shared" si="61"/>
        <v>1.1062059705858603E-2</v>
      </c>
      <c r="J1983" s="22" t="str">
        <f t="shared" si="62"/>
        <v/>
      </c>
    </row>
    <row r="1984" spans="1:10">
      <c r="A1984" s="1">
        <v>40995</v>
      </c>
      <c r="B1984">
        <v>77.48</v>
      </c>
      <c r="C1984">
        <v>77.5</v>
      </c>
      <c r="D1984">
        <v>76.8</v>
      </c>
      <c r="E1984">
        <v>76.84</v>
      </c>
      <c r="F1984">
        <v>8212700</v>
      </c>
      <c r="G1984">
        <v>54.17</v>
      </c>
      <c r="H1984" t="s">
        <v>5</v>
      </c>
      <c r="I1984" s="22">
        <f t="shared" si="61"/>
        <v>-6.8071277476348937E-3</v>
      </c>
      <c r="J1984" s="22" t="str">
        <f t="shared" si="62"/>
        <v>lost money</v>
      </c>
    </row>
    <row r="1985" spans="1:10">
      <c r="A1985" s="1">
        <v>40996</v>
      </c>
      <c r="B1985">
        <v>76.62</v>
      </c>
      <c r="C1985">
        <v>76.790000000000006</v>
      </c>
      <c r="D1985">
        <v>75.510000000000005</v>
      </c>
      <c r="E1985">
        <v>75.98</v>
      </c>
      <c r="F1985">
        <v>9905200</v>
      </c>
      <c r="G1985">
        <v>53.57</v>
      </c>
      <c r="H1985" t="s">
        <v>5</v>
      </c>
      <c r="I1985" s="22">
        <f t="shared" si="61"/>
        <v>-1.1138039776938533E-2</v>
      </c>
      <c r="J1985" s="22" t="str">
        <f t="shared" si="62"/>
        <v>lost money</v>
      </c>
    </row>
    <row r="1986" spans="1:10">
      <c r="A1986" s="1">
        <v>40997</v>
      </c>
      <c r="B1986">
        <v>75.2</v>
      </c>
      <c r="C1986">
        <v>75.849999999999994</v>
      </c>
      <c r="D1986">
        <v>74.44</v>
      </c>
      <c r="E1986">
        <v>75.8</v>
      </c>
      <c r="F1986">
        <v>10084900</v>
      </c>
      <c r="G1986">
        <v>53.44</v>
      </c>
      <c r="H1986" t="s">
        <v>5</v>
      </c>
      <c r="I1986" s="22">
        <f t="shared" si="61"/>
        <v>-2.4296806644787824E-3</v>
      </c>
      <c r="J1986" s="22" t="str">
        <f t="shared" si="62"/>
        <v/>
      </c>
    </row>
    <row r="1987" spans="1:10">
      <c r="A1987" s="1">
        <v>40998</v>
      </c>
      <c r="B1987">
        <v>76.16</v>
      </c>
      <c r="C1987">
        <v>76.569999999999993</v>
      </c>
      <c r="D1987">
        <v>75.84</v>
      </c>
      <c r="E1987">
        <v>76.010000000000005</v>
      </c>
      <c r="F1987">
        <v>9034800</v>
      </c>
      <c r="G1987">
        <v>53.59</v>
      </c>
      <c r="H1987" t="s">
        <v>5</v>
      </c>
      <c r="I1987" s="22">
        <f t="shared" ref="I1987:I2050" si="63">IF(A1987=$A$2,"",LN(G1987/G1986))</f>
        <v>2.8029542783686826E-3</v>
      </c>
      <c r="J1987" s="22" t="str">
        <f t="shared" ref="J1987:J2050" si="64">IF(B1987&gt;E1987,"lost money","")</f>
        <v>lost money</v>
      </c>
    </row>
    <row r="1988" spans="1:10">
      <c r="A1988" s="1">
        <v>41001</v>
      </c>
      <c r="B1988">
        <v>75.989999999999995</v>
      </c>
      <c r="C1988">
        <v>77.31</v>
      </c>
      <c r="D1988">
        <v>75.88</v>
      </c>
      <c r="E1988">
        <v>76.87</v>
      </c>
      <c r="F1988">
        <v>7962300</v>
      </c>
      <c r="G1988">
        <v>54.19</v>
      </c>
      <c r="H1988" t="s">
        <v>5</v>
      </c>
      <c r="I1988" s="22">
        <f t="shared" si="63"/>
        <v>1.1133906071263794E-2</v>
      </c>
      <c r="J1988" s="22" t="str">
        <f t="shared" si="64"/>
        <v/>
      </c>
    </row>
    <row r="1989" spans="1:10">
      <c r="A1989" s="1">
        <v>41002</v>
      </c>
      <c r="B1989">
        <v>76.66</v>
      </c>
      <c r="C1989">
        <v>76.75</v>
      </c>
      <c r="D1989">
        <v>75.680000000000007</v>
      </c>
      <c r="E1989">
        <v>76.31</v>
      </c>
      <c r="F1989">
        <v>8912300</v>
      </c>
      <c r="G1989">
        <v>53.8</v>
      </c>
      <c r="H1989" t="s">
        <v>5</v>
      </c>
      <c r="I1989" s="22">
        <f t="shared" si="63"/>
        <v>-7.2229224102841371E-3</v>
      </c>
      <c r="J1989" s="22" t="str">
        <f t="shared" si="64"/>
        <v>lost money</v>
      </c>
    </row>
    <row r="1990" spans="1:10">
      <c r="A1990" s="1">
        <v>41003</v>
      </c>
      <c r="B1990">
        <v>75.73</v>
      </c>
      <c r="C1990">
        <v>76.75</v>
      </c>
      <c r="D1990">
        <v>75.400000000000006</v>
      </c>
      <c r="E1990">
        <v>76.180000000000007</v>
      </c>
      <c r="F1990">
        <v>9762300</v>
      </c>
      <c r="G1990">
        <v>53.71</v>
      </c>
      <c r="H1990" t="s">
        <v>5</v>
      </c>
      <c r="I1990" s="22">
        <f t="shared" si="63"/>
        <v>-1.6742632503706403E-3</v>
      </c>
      <c r="J1990" s="22" t="str">
        <f t="shared" si="64"/>
        <v/>
      </c>
    </row>
    <row r="1991" spans="1:10">
      <c r="A1991" s="1">
        <v>41004</v>
      </c>
      <c r="B1991">
        <v>76.06</v>
      </c>
      <c r="C1991">
        <v>76.349999999999994</v>
      </c>
      <c r="D1991">
        <v>75.25</v>
      </c>
      <c r="E1991">
        <v>75.36</v>
      </c>
      <c r="F1991">
        <v>8342200</v>
      </c>
      <c r="G1991">
        <v>53.13</v>
      </c>
      <c r="H1991" t="s">
        <v>5</v>
      </c>
      <c r="I1991" s="22">
        <f t="shared" si="63"/>
        <v>-1.0857463454516081E-2</v>
      </c>
      <c r="J1991" s="22" t="str">
        <f t="shared" si="64"/>
        <v>lost money</v>
      </c>
    </row>
    <row r="1992" spans="1:10">
      <c r="A1992" s="1">
        <v>41008</v>
      </c>
      <c r="B1992">
        <v>74.66</v>
      </c>
      <c r="C1992">
        <v>75.489999999999995</v>
      </c>
      <c r="D1992">
        <v>74.599999999999994</v>
      </c>
      <c r="E1992">
        <v>75.05</v>
      </c>
      <c r="F1992">
        <v>8865700</v>
      </c>
      <c r="G1992">
        <v>52.91</v>
      </c>
      <c r="H1992" t="s">
        <v>5</v>
      </c>
      <c r="I1992" s="22">
        <f t="shared" si="63"/>
        <v>-4.1493835468115895E-3</v>
      </c>
      <c r="J1992" s="22" t="str">
        <f t="shared" si="64"/>
        <v/>
      </c>
    </row>
    <row r="1993" spans="1:10">
      <c r="A1993" s="1">
        <v>41009</v>
      </c>
      <c r="B1993">
        <v>74.95</v>
      </c>
      <c r="C1993">
        <v>75.25</v>
      </c>
      <c r="D1993">
        <v>73.44</v>
      </c>
      <c r="E1993">
        <v>73.69</v>
      </c>
      <c r="F1993">
        <v>12813000</v>
      </c>
      <c r="G1993">
        <v>51.95</v>
      </c>
      <c r="H1993" t="s">
        <v>5</v>
      </c>
      <c r="I1993" s="22">
        <f t="shared" si="63"/>
        <v>-1.8310639370803815E-2</v>
      </c>
      <c r="J1993" s="22" t="str">
        <f t="shared" si="64"/>
        <v>lost money</v>
      </c>
    </row>
    <row r="1994" spans="1:10">
      <c r="A1994" s="1">
        <v>41010</v>
      </c>
      <c r="B1994">
        <v>74.39</v>
      </c>
      <c r="C1994">
        <v>74.78</v>
      </c>
      <c r="D1994">
        <v>73.42</v>
      </c>
      <c r="E1994">
        <v>73.55</v>
      </c>
      <c r="F1994">
        <v>12058500</v>
      </c>
      <c r="G1994">
        <v>51.85</v>
      </c>
      <c r="H1994" t="s">
        <v>5</v>
      </c>
      <c r="I1994" s="22">
        <f t="shared" si="63"/>
        <v>-1.9267828697000567E-3</v>
      </c>
      <c r="J1994" s="22" t="str">
        <f t="shared" si="64"/>
        <v>lost money</v>
      </c>
    </row>
    <row r="1995" spans="1:10">
      <c r="A1995" s="1">
        <v>41011</v>
      </c>
      <c r="B1995">
        <v>73.48</v>
      </c>
      <c r="C1995">
        <v>74.739999999999995</v>
      </c>
      <c r="D1995">
        <v>73.48</v>
      </c>
      <c r="E1995">
        <v>74.53</v>
      </c>
      <c r="F1995">
        <v>11161900</v>
      </c>
      <c r="G1995">
        <v>52.54</v>
      </c>
      <c r="H1995" t="s">
        <v>5</v>
      </c>
      <c r="I1995" s="22">
        <f t="shared" si="63"/>
        <v>1.321984958185745E-2</v>
      </c>
      <c r="J1995" s="22" t="str">
        <f t="shared" si="64"/>
        <v/>
      </c>
    </row>
    <row r="1996" spans="1:10">
      <c r="A1996" s="1">
        <v>41012</v>
      </c>
      <c r="B1996">
        <v>74.17</v>
      </c>
      <c r="C1996">
        <v>74.650000000000006</v>
      </c>
      <c r="D1996">
        <v>73.63</v>
      </c>
      <c r="E1996">
        <v>73.63</v>
      </c>
      <c r="F1996">
        <v>9080600</v>
      </c>
      <c r="G1996">
        <v>51.91</v>
      </c>
      <c r="H1996" t="s">
        <v>5</v>
      </c>
      <c r="I1996" s="22">
        <f t="shared" si="63"/>
        <v>-1.2063334418256215E-2</v>
      </c>
      <c r="J1996" s="22" t="str">
        <f t="shared" si="64"/>
        <v>lost money</v>
      </c>
    </row>
    <row r="1997" spans="1:10">
      <c r="A1997" s="1">
        <v>41015</v>
      </c>
      <c r="B1997">
        <v>73.81</v>
      </c>
      <c r="C1997">
        <v>74.52</v>
      </c>
      <c r="D1997">
        <v>73.62</v>
      </c>
      <c r="E1997">
        <v>73.83</v>
      </c>
      <c r="F1997">
        <v>16771200</v>
      </c>
      <c r="G1997">
        <v>52.05</v>
      </c>
      <c r="H1997" t="s">
        <v>5</v>
      </c>
      <c r="I1997" s="22">
        <f t="shared" si="63"/>
        <v>2.6933452218403046E-3</v>
      </c>
      <c r="J1997" s="22" t="str">
        <f t="shared" si="64"/>
        <v/>
      </c>
    </row>
    <row r="1998" spans="1:10">
      <c r="A1998" s="1">
        <v>41016</v>
      </c>
      <c r="B1998">
        <v>74.400000000000006</v>
      </c>
      <c r="C1998">
        <v>74.680000000000007</v>
      </c>
      <c r="D1998">
        <v>74.22</v>
      </c>
      <c r="E1998">
        <v>74.260000000000005</v>
      </c>
      <c r="F1998">
        <v>7822600</v>
      </c>
      <c r="G1998">
        <v>52.35</v>
      </c>
      <c r="H1998" t="s">
        <v>5</v>
      </c>
      <c r="I1998" s="22">
        <f t="shared" si="63"/>
        <v>5.7471422555680713E-3</v>
      </c>
      <c r="J1998" s="22" t="str">
        <f t="shared" si="64"/>
        <v>lost money</v>
      </c>
    </row>
    <row r="1999" spans="1:10">
      <c r="A1999" s="1">
        <v>41017</v>
      </c>
      <c r="B1999">
        <v>73.319999999999993</v>
      </c>
      <c r="C1999">
        <v>73.83</v>
      </c>
      <c r="D1999">
        <v>73.17</v>
      </c>
      <c r="E1999">
        <v>73.290000000000006</v>
      </c>
      <c r="F1999">
        <v>9701700</v>
      </c>
      <c r="G1999">
        <v>51.67</v>
      </c>
      <c r="H1999" t="s">
        <v>5</v>
      </c>
      <c r="I1999" s="22">
        <f t="shared" si="63"/>
        <v>-1.3074595017452607E-2</v>
      </c>
      <c r="J1999" s="22" t="str">
        <f t="shared" si="64"/>
        <v>lost money</v>
      </c>
    </row>
    <row r="2000" spans="1:10">
      <c r="A2000" s="1">
        <v>41018</v>
      </c>
      <c r="B2000">
        <v>73.19</v>
      </c>
      <c r="C2000">
        <v>73.39</v>
      </c>
      <c r="D2000">
        <v>72.3</v>
      </c>
      <c r="E2000">
        <v>72.89</v>
      </c>
      <c r="F2000">
        <v>9462300</v>
      </c>
      <c r="G2000">
        <v>51.39</v>
      </c>
      <c r="H2000" t="s">
        <v>5</v>
      </c>
      <c r="I2000" s="22">
        <f t="shared" si="63"/>
        <v>-5.4337412949550289E-3</v>
      </c>
      <c r="J2000" s="22" t="str">
        <f t="shared" si="64"/>
        <v>lost money</v>
      </c>
    </row>
    <row r="2001" spans="1:10">
      <c r="A2001" s="1">
        <v>41019</v>
      </c>
      <c r="B2001">
        <v>73.11</v>
      </c>
      <c r="C2001">
        <v>73.540000000000006</v>
      </c>
      <c r="D2001">
        <v>72.67</v>
      </c>
      <c r="E2001">
        <v>72.88</v>
      </c>
      <c r="F2001">
        <v>9299200</v>
      </c>
      <c r="G2001">
        <v>51.38</v>
      </c>
      <c r="H2001" t="s">
        <v>5</v>
      </c>
      <c r="I2001" s="22">
        <f t="shared" si="63"/>
        <v>-1.9460932240063705E-4</v>
      </c>
      <c r="J2001" s="22" t="str">
        <f t="shared" si="64"/>
        <v>lost money</v>
      </c>
    </row>
    <row r="2002" spans="1:10">
      <c r="A2002" s="1">
        <v>41022</v>
      </c>
      <c r="B2002">
        <v>71.739999999999995</v>
      </c>
      <c r="C2002">
        <v>72.72</v>
      </c>
      <c r="D2002">
        <v>71.37</v>
      </c>
      <c r="E2002">
        <v>72.33</v>
      </c>
      <c r="F2002">
        <v>10107000</v>
      </c>
      <c r="G2002">
        <v>50.99</v>
      </c>
      <c r="H2002" t="s">
        <v>5</v>
      </c>
      <c r="I2002" s="22">
        <f t="shared" si="63"/>
        <v>-7.6194566146731268E-3</v>
      </c>
      <c r="J2002" s="22" t="str">
        <f t="shared" si="64"/>
        <v/>
      </c>
    </row>
    <row r="2003" spans="1:10">
      <c r="A2003" s="1">
        <v>41023</v>
      </c>
      <c r="B2003">
        <v>72.14</v>
      </c>
      <c r="C2003">
        <v>72.430000000000007</v>
      </c>
      <c r="D2003">
        <v>71.819999999999993</v>
      </c>
      <c r="E2003">
        <v>71.88</v>
      </c>
      <c r="F2003">
        <v>11503000</v>
      </c>
      <c r="G2003">
        <v>50.68</v>
      </c>
      <c r="H2003" t="s">
        <v>5</v>
      </c>
      <c r="I2003" s="22">
        <f t="shared" si="63"/>
        <v>-6.0981796141260933E-3</v>
      </c>
      <c r="J2003" s="22" t="str">
        <f t="shared" si="64"/>
        <v>lost money</v>
      </c>
    </row>
    <row r="2004" spans="1:10">
      <c r="A2004" s="1">
        <v>41024</v>
      </c>
      <c r="B2004">
        <v>72.22</v>
      </c>
      <c r="C2004">
        <v>72.22</v>
      </c>
      <c r="D2004">
        <v>70.53</v>
      </c>
      <c r="E2004">
        <v>71.02</v>
      </c>
      <c r="F2004">
        <v>13374000</v>
      </c>
      <c r="G2004">
        <v>50.07</v>
      </c>
      <c r="H2004" t="s">
        <v>5</v>
      </c>
      <c r="I2004" s="22">
        <f t="shared" si="63"/>
        <v>-1.2109329111084885E-2</v>
      </c>
      <c r="J2004" s="22" t="str">
        <f t="shared" si="64"/>
        <v>lost money</v>
      </c>
    </row>
    <row r="2005" spans="1:10">
      <c r="A2005" s="1">
        <v>41025</v>
      </c>
      <c r="B2005">
        <v>71.069999999999993</v>
      </c>
      <c r="C2005">
        <v>72.36</v>
      </c>
      <c r="D2005">
        <v>70.92</v>
      </c>
      <c r="E2005">
        <v>72.19</v>
      </c>
      <c r="F2005">
        <v>10519400</v>
      </c>
      <c r="G2005">
        <v>50.89</v>
      </c>
      <c r="H2005" t="s">
        <v>5</v>
      </c>
      <c r="I2005" s="22">
        <f t="shared" si="63"/>
        <v>1.624441425888784E-2</v>
      </c>
      <c r="J2005" s="22" t="str">
        <f t="shared" si="64"/>
        <v/>
      </c>
    </row>
    <row r="2006" spans="1:10">
      <c r="A2006" s="1">
        <v>41026</v>
      </c>
      <c r="B2006">
        <v>72.37</v>
      </c>
      <c r="C2006">
        <v>72.5</v>
      </c>
      <c r="D2006">
        <v>71.53</v>
      </c>
      <c r="E2006">
        <v>71.98</v>
      </c>
      <c r="F2006">
        <v>7357600</v>
      </c>
      <c r="G2006">
        <v>50.75</v>
      </c>
      <c r="H2006" t="s">
        <v>5</v>
      </c>
      <c r="I2006" s="22">
        <f t="shared" si="63"/>
        <v>-2.7548226788446199E-3</v>
      </c>
      <c r="J2006" s="22" t="str">
        <f t="shared" si="64"/>
        <v>lost money</v>
      </c>
    </row>
    <row r="2007" spans="1:10">
      <c r="A2007" s="1">
        <v>41029</v>
      </c>
      <c r="B2007">
        <v>71.95</v>
      </c>
      <c r="C2007">
        <v>72.3</v>
      </c>
      <c r="D2007">
        <v>71.400000000000006</v>
      </c>
      <c r="E2007">
        <v>71.63</v>
      </c>
      <c r="F2007">
        <v>9670300</v>
      </c>
      <c r="G2007">
        <v>50.5</v>
      </c>
      <c r="H2007" t="s">
        <v>5</v>
      </c>
      <c r="I2007" s="22">
        <f t="shared" si="63"/>
        <v>-4.9382816405825663E-3</v>
      </c>
      <c r="J2007" s="22" t="str">
        <f t="shared" si="64"/>
        <v>lost money</v>
      </c>
    </row>
    <row r="2008" spans="1:10">
      <c r="A2008" s="1">
        <v>41030</v>
      </c>
      <c r="B2008">
        <v>55.92</v>
      </c>
      <c r="C2008">
        <v>56.74</v>
      </c>
      <c r="D2008">
        <v>55.46</v>
      </c>
      <c r="E2008">
        <v>56.51</v>
      </c>
      <c r="F2008">
        <v>15247300</v>
      </c>
      <c r="G2008">
        <v>52.26</v>
      </c>
      <c r="H2008" t="s">
        <v>5</v>
      </c>
      <c r="I2008" s="22">
        <f t="shared" si="63"/>
        <v>3.4257923811152315E-2</v>
      </c>
      <c r="J2008" s="22" t="str">
        <f t="shared" si="64"/>
        <v/>
      </c>
    </row>
    <row r="2009" spans="1:10">
      <c r="A2009" s="1">
        <v>41031</v>
      </c>
      <c r="B2009">
        <v>55.83</v>
      </c>
      <c r="C2009">
        <v>55.83</v>
      </c>
      <c r="D2009">
        <v>54.43</v>
      </c>
      <c r="E2009">
        <v>54.59</v>
      </c>
      <c r="F2009">
        <v>14678600</v>
      </c>
      <c r="G2009">
        <v>50.49</v>
      </c>
      <c r="H2009" t="s">
        <v>5</v>
      </c>
      <c r="I2009" s="22">
        <f t="shared" si="63"/>
        <v>-3.4455963221642051E-2</v>
      </c>
      <c r="J2009" s="22" t="str">
        <f t="shared" si="64"/>
        <v>lost money</v>
      </c>
    </row>
    <row r="2010" spans="1:10">
      <c r="A2010" s="1">
        <v>41032</v>
      </c>
      <c r="B2010">
        <v>54.67</v>
      </c>
      <c r="C2010">
        <v>54.96</v>
      </c>
      <c r="D2010">
        <v>53.81</v>
      </c>
      <c r="E2010">
        <v>54.26</v>
      </c>
      <c r="F2010">
        <v>12943300</v>
      </c>
      <c r="G2010">
        <v>50.18</v>
      </c>
      <c r="H2010" t="s">
        <v>5</v>
      </c>
      <c r="I2010" s="22">
        <f t="shared" si="63"/>
        <v>-6.1587559325480927E-3</v>
      </c>
      <c r="J2010" s="22" t="str">
        <f t="shared" si="64"/>
        <v>lost money</v>
      </c>
    </row>
    <row r="2011" spans="1:10">
      <c r="A2011" s="1">
        <v>41033</v>
      </c>
      <c r="B2011">
        <v>53.8</v>
      </c>
      <c r="C2011">
        <v>54</v>
      </c>
      <c r="D2011">
        <v>52.96</v>
      </c>
      <c r="E2011">
        <v>53.17</v>
      </c>
      <c r="F2011">
        <v>12443400</v>
      </c>
      <c r="G2011">
        <v>49.17</v>
      </c>
      <c r="H2011" t="s">
        <v>5</v>
      </c>
      <c r="I2011" s="22">
        <f t="shared" si="63"/>
        <v>-2.0332859514428217E-2</v>
      </c>
      <c r="J2011" s="22" t="str">
        <f t="shared" si="64"/>
        <v>lost money</v>
      </c>
    </row>
    <row r="2012" spans="1:10">
      <c r="A2012" s="1">
        <v>41036</v>
      </c>
      <c r="B2012">
        <v>52.24</v>
      </c>
      <c r="C2012">
        <v>53.43</v>
      </c>
      <c r="D2012">
        <v>52.13</v>
      </c>
      <c r="E2012">
        <v>53.35</v>
      </c>
      <c r="F2012">
        <v>12194300</v>
      </c>
      <c r="G2012">
        <v>49.34</v>
      </c>
      <c r="H2012" t="s">
        <v>5</v>
      </c>
      <c r="I2012" s="22">
        <f t="shared" si="63"/>
        <v>3.4514296773626432E-3</v>
      </c>
      <c r="J2012" s="22" t="str">
        <f t="shared" si="64"/>
        <v/>
      </c>
    </row>
    <row r="2013" spans="1:10">
      <c r="A2013" s="1">
        <v>41037</v>
      </c>
      <c r="B2013">
        <v>52.84</v>
      </c>
      <c r="C2013">
        <v>54.49</v>
      </c>
      <c r="D2013">
        <v>52.73</v>
      </c>
      <c r="E2013">
        <v>54.31</v>
      </c>
      <c r="F2013">
        <v>14149700</v>
      </c>
      <c r="G2013">
        <v>50.23</v>
      </c>
      <c r="H2013" t="s">
        <v>5</v>
      </c>
      <c r="I2013" s="22">
        <f t="shared" si="63"/>
        <v>1.7877346660742619E-2</v>
      </c>
      <c r="J2013" s="22" t="str">
        <f t="shared" si="64"/>
        <v/>
      </c>
    </row>
    <row r="2014" spans="1:10">
      <c r="A2014" s="1">
        <v>41038</v>
      </c>
      <c r="B2014">
        <v>53.68</v>
      </c>
      <c r="C2014">
        <v>53.93</v>
      </c>
      <c r="D2014">
        <v>52.68</v>
      </c>
      <c r="E2014">
        <v>53.47</v>
      </c>
      <c r="F2014">
        <v>10859400</v>
      </c>
      <c r="G2014">
        <v>49.45</v>
      </c>
      <c r="H2014" t="s">
        <v>5</v>
      </c>
      <c r="I2014" s="22">
        <f t="shared" si="63"/>
        <v>-1.5650399693232099E-2</v>
      </c>
      <c r="J2014" s="22" t="str">
        <f t="shared" si="64"/>
        <v>lost money</v>
      </c>
    </row>
    <row r="2015" spans="1:10">
      <c r="A2015" s="1">
        <v>41039</v>
      </c>
      <c r="B2015">
        <v>54.09</v>
      </c>
      <c r="C2015">
        <v>54.6</v>
      </c>
      <c r="D2015">
        <v>53.82</v>
      </c>
      <c r="E2015">
        <v>54.22</v>
      </c>
      <c r="F2015">
        <v>30869700</v>
      </c>
      <c r="G2015">
        <v>50.14</v>
      </c>
      <c r="H2015" t="s">
        <v>5</v>
      </c>
      <c r="I2015" s="22">
        <f t="shared" si="63"/>
        <v>1.385703466142606E-2</v>
      </c>
      <c r="J2015" s="22" t="str">
        <f t="shared" si="64"/>
        <v/>
      </c>
    </row>
    <row r="2016" spans="1:10">
      <c r="A2016" s="1">
        <v>41040</v>
      </c>
      <c r="B2016">
        <v>54.01</v>
      </c>
      <c r="C2016">
        <v>54.5</v>
      </c>
      <c r="D2016">
        <v>53.43</v>
      </c>
      <c r="E2016">
        <v>53.5</v>
      </c>
      <c r="F2016">
        <v>31293500</v>
      </c>
      <c r="G2016">
        <v>49.48</v>
      </c>
      <c r="H2016" t="s">
        <v>5</v>
      </c>
      <c r="I2016" s="22">
        <f t="shared" si="63"/>
        <v>-1.3250545205860274E-2</v>
      </c>
      <c r="J2016" s="22" t="str">
        <f t="shared" si="64"/>
        <v>lost money</v>
      </c>
    </row>
    <row r="2017" spans="1:10">
      <c r="A2017" s="1">
        <v>41043</v>
      </c>
      <c r="B2017">
        <v>52.66</v>
      </c>
      <c r="C2017">
        <v>53.17</v>
      </c>
      <c r="D2017">
        <v>52.51</v>
      </c>
      <c r="E2017">
        <v>52.93</v>
      </c>
      <c r="F2017">
        <v>31388900</v>
      </c>
      <c r="G2017">
        <v>48.95</v>
      </c>
      <c r="H2017" t="s">
        <v>5</v>
      </c>
      <c r="I2017" s="22">
        <f t="shared" si="63"/>
        <v>-1.0769178547767615E-2</v>
      </c>
      <c r="J2017" s="22" t="str">
        <f t="shared" si="64"/>
        <v/>
      </c>
    </row>
    <row r="2018" spans="1:10">
      <c r="A2018" s="1">
        <v>41044</v>
      </c>
      <c r="B2018">
        <v>53</v>
      </c>
      <c r="C2018">
        <v>53.12</v>
      </c>
      <c r="D2018">
        <v>52.41</v>
      </c>
      <c r="E2018">
        <v>52.53</v>
      </c>
      <c r="F2018">
        <v>8085600</v>
      </c>
      <c r="G2018">
        <v>48.58</v>
      </c>
      <c r="H2018" t="s">
        <v>5</v>
      </c>
      <c r="I2018" s="22">
        <f t="shared" si="63"/>
        <v>-7.5874454024930154E-3</v>
      </c>
      <c r="J2018" s="22" t="str">
        <f t="shared" si="64"/>
        <v>lost money</v>
      </c>
    </row>
    <row r="2019" spans="1:10">
      <c r="A2019" s="1">
        <v>41045</v>
      </c>
      <c r="B2019">
        <v>52.75</v>
      </c>
      <c r="C2019">
        <v>53.11</v>
      </c>
      <c r="D2019">
        <v>52.32</v>
      </c>
      <c r="E2019">
        <v>52.32</v>
      </c>
      <c r="F2019">
        <v>10259300</v>
      </c>
      <c r="G2019">
        <v>48.39</v>
      </c>
      <c r="H2019" t="s">
        <v>5</v>
      </c>
      <c r="I2019" s="22">
        <f t="shared" si="63"/>
        <v>-3.9187427687992432E-3</v>
      </c>
      <c r="J2019" s="22" t="str">
        <f t="shared" si="64"/>
        <v>lost money</v>
      </c>
    </row>
    <row r="2020" spans="1:10">
      <c r="A2020" s="1">
        <v>41046</v>
      </c>
      <c r="B2020">
        <v>51.8</v>
      </c>
      <c r="C2020">
        <v>52.08</v>
      </c>
      <c r="D2020">
        <v>51.17</v>
      </c>
      <c r="E2020">
        <v>51.19</v>
      </c>
      <c r="F2020">
        <v>8634200</v>
      </c>
      <c r="G2020">
        <v>47.95</v>
      </c>
      <c r="H2020" t="s">
        <v>5</v>
      </c>
      <c r="I2020" s="22">
        <f t="shared" si="63"/>
        <v>-9.1343794757799551E-3</v>
      </c>
      <c r="J2020" s="22" t="str">
        <f t="shared" si="64"/>
        <v>lost money</v>
      </c>
    </row>
    <row r="2021" spans="1:10">
      <c r="A2021" s="1">
        <v>41047</v>
      </c>
      <c r="B2021">
        <v>51.33</v>
      </c>
      <c r="C2021">
        <v>51.61</v>
      </c>
      <c r="D2021">
        <v>50.66</v>
      </c>
      <c r="E2021">
        <v>50.82</v>
      </c>
      <c r="F2021">
        <v>13088300</v>
      </c>
      <c r="G2021">
        <v>47.6</v>
      </c>
      <c r="H2021" t="s">
        <v>5</v>
      </c>
      <c r="I2021" s="22">
        <f t="shared" si="63"/>
        <v>-7.3260400920728977E-3</v>
      </c>
      <c r="J2021" s="22" t="str">
        <f t="shared" si="64"/>
        <v>lost money</v>
      </c>
    </row>
    <row r="2022" spans="1:10">
      <c r="A2022" s="1">
        <v>41050</v>
      </c>
      <c r="B2022">
        <v>50.82</v>
      </c>
      <c r="C2022">
        <v>51.88</v>
      </c>
      <c r="D2022">
        <v>50.8</v>
      </c>
      <c r="E2022">
        <v>51.77</v>
      </c>
      <c r="F2022">
        <v>9445000</v>
      </c>
      <c r="G2022">
        <v>48.49</v>
      </c>
      <c r="H2022" t="s">
        <v>5</v>
      </c>
      <c r="I2022" s="22">
        <f t="shared" si="63"/>
        <v>1.8524829879886524E-2</v>
      </c>
      <c r="J2022" s="22" t="str">
        <f t="shared" si="64"/>
        <v/>
      </c>
    </row>
    <row r="2023" spans="1:10">
      <c r="A2023" s="1">
        <v>41051</v>
      </c>
      <c r="B2023">
        <v>51.99</v>
      </c>
      <c r="C2023">
        <v>52.45</v>
      </c>
      <c r="D2023">
        <v>51.36</v>
      </c>
      <c r="E2023">
        <v>51.67</v>
      </c>
      <c r="F2023">
        <v>8906600</v>
      </c>
      <c r="G2023">
        <v>48.4</v>
      </c>
      <c r="H2023" t="s">
        <v>5</v>
      </c>
      <c r="I2023" s="22">
        <f t="shared" si="63"/>
        <v>-1.8577773946750074E-3</v>
      </c>
      <c r="J2023" s="22" t="str">
        <f t="shared" si="64"/>
        <v>lost money</v>
      </c>
    </row>
    <row r="2024" spans="1:10">
      <c r="A2024" s="1">
        <v>41052</v>
      </c>
      <c r="B2024">
        <v>51.3</v>
      </c>
      <c r="C2024">
        <v>52.12</v>
      </c>
      <c r="D2024">
        <v>50.97</v>
      </c>
      <c r="E2024">
        <v>52.09</v>
      </c>
      <c r="F2024">
        <v>8513800</v>
      </c>
      <c r="G2024">
        <v>48.79</v>
      </c>
      <c r="H2024" t="s">
        <v>5</v>
      </c>
      <c r="I2024" s="22">
        <f t="shared" si="63"/>
        <v>8.0255601051597777E-3</v>
      </c>
      <c r="J2024" s="22" t="str">
        <f t="shared" si="64"/>
        <v/>
      </c>
    </row>
    <row r="2025" spans="1:10">
      <c r="A2025" s="1">
        <v>41053</v>
      </c>
      <c r="B2025">
        <v>52.36</v>
      </c>
      <c r="C2025">
        <v>52.39</v>
      </c>
      <c r="D2025">
        <v>51.57</v>
      </c>
      <c r="E2025">
        <v>52.14</v>
      </c>
      <c r="F2025">
        <v>7334200</v>
      </c>
      <c r="G2025">
        <v>48.84</v>
      </c>
      <c r="H2025" t="s">
        <v>5</v>
      </c>
      <c r="I2025" s="22">
        <f t="shared" si="63"/>
        <v>1.0242754147581923E-3</v>
      </c>
      <c r="J2025" s="22" t="str">
        <f t="shared" si="64"/>
        <v>lost money</v>
      </c>
    </row>
    <row r="2026" spans="1:10">
      <c r="A2026" s="1">
        <v>41054</v>
      </c>
      <c r="B2026">
        <v>52.22</v>
      </c>
      <c r="C2026">
        <v>52.44</v>
      </c>
      <c r="D2026">
        <v>51.97</v>
      </c>
      <c r="E2026">
        <v>52.11</v>
      </c>
      <c r="F2026">
        <v>5785400</v>
      </c>
      <c r="G2026">
        <v>48.81</v>
      </c>
      <c r="H2026" t="s">
        <v>5</v>
      </c>
      <c r="I2026" s="22">
        <f t="shared" si="63"/>
        <v>-6.1443934344788324E-4</v>
      </c>
      <c r="J2026" s="22" t="str">
        <f t="shared" si="64"/>
        <v>lost money</v>
      </c>
    </row>
    <row r="2027" spans="1:10">
      <c r="A2027" s="1">
        <v>41058</v>
      </c>
      <c r="B2027">
        <v>52.91</v>
      </c>
      <c r="C2027">
        <v>53.5</v>
      </c>
      <c r="D2027">
        <v>52.71</v>
      </c>
      <c r="E2027">
        <v>53.27</v>
      </c>
      <c r="F2027">
        <v>10987600</v>
      </c>
      <c r="G2027">
        <v>49.9</v>
      </c>
      <c r="H2027" t="s">
        <v>5</v>
      </c>
      <c r="I2027" s="22">
        <f t="shared" si="63"/>
        <v>2.2085792858416737E-2</v>
      </c>
      <c r="J2027" s="22" t="str">
        <f t="shared" si="64"/>
        <v/>
      </c>
    </row>
    <row r="2028" spans="1:10">
      <c r="A2028" s="1">
        <v>41059</v>
      </c>
      <c r="B2028">
        <v>52.69</v>
      </c>
      <c r="C2028">
        <v>52.76</v>
      </c>
      <c r="D2028">
        <v>51.91</v>
      </c>
      <c r="E2028">
        <v>52.04</v>
      </c>
      <c r="F2028">
        <v>9675800</v>
      </c>
      <c r="G2028">
        <v>48.74</v>
      </c>
      <c r="H2028" t="s">
        <v>5</v>
      </c>
      <c r="I2028" s="22">
        <f t="shared" si="63"/>
        <v>-2.3520954560412793E-2</v>
      </c>
      <c r="J2028" s="22" t="str">
        <f t="shared" si="64"/>
        <v>lost money</v>
      </c>
    </row>
    <row r="2029" spans="1:10">
      <c r="A2029" s="1">
        <v>41060</v>
      </c>
      <c r="B2029">
        <v>52.19</v>
      </c>
      <c r="C2029">
        <v>52.64</v>
      </c>
      <c r="D2029">
        <v>51.34</v>
      </c>
      <c r="E2029">
        <v>52.16</v>
      </c>
      <c r="F2029">
        <v>12155900</v>
      </c>
      <c r="G2029">
        <v>48.86</v>
      </c>
      <c r="H2029" t="s">
        <v>5</v>
      </c>
      <c r="I2029" s="22">
        <f t="shared" si="63"/>
        <v>2.4590176325342745E-3</v>
      </c>
      <c r="J2029" s="22" t="str">
        <f t="shared" si="64"/>
        <v>lost money</v>
      </c>
    </row>
    <row r="2030" spans="1:10">
      <c r="A2030" s="1">
        <v>41061</v>
      </c>
      <c r="B2030">
        <v>51.4</v>
      </c>
      <c r="C2030">
        <v>51.64</v>
      </c>
      <c r="D2030">
        <v>50.89</v>
      </c>
      <c r="E2030">
        <v>51.19</v>
      </c>
      <c r="F2030">
        <v>16184000</v>
      </c>
      <c r="G2030">
        <v>47.95</v>
      </c>
      <c r="H2030" t="s">
        <v>5</v>
      </c>
      <c r="I2030" s="22">
        <f t="shared" si="63"/>
        <v>-1.8800264500147146E-2</v>
      </c>
      <c r="J2030" s="22" t="str">
        <f t="shared" si="64"/>
        <v>lost money</v>
      </c>
    </row>
    <row r="2031" spans="1:10">
      <c r="A2031" s="1">
        <v>41064</v>
      </c>
      <c r="B2031">
        <v>51.4</v>
      </c>
      <c r="C2031">
        <v>51.52</v>
      </c>
      <c r="D2031">
        <v>50.62</v>
      </c>
      <c r="E2031">
        <v>51.3</v>
      </c>
      <c r="F2031">
        <v>9257700</v>
      </c>
      <c r="G2031">
        <v>48.05</v>
      </c>
      <c r="H2031" t="s">
        <v>5</v>
      </c>
      <c r="I2031" s="22">
        <f t="shared" si="63"/>
        <v>2.0833340868540474E-3</v>
      </c>
      <c r="J2031" s="22" t="str">
        <f t="shared" si="64"/>
        <v>lost money</v>
      </c>
    </row>
    <row r="2032" spans="1:10">
      <c r="A2032" s="1">
        <v>41065</v>
      </c>
      <c r="B2032">
        <v>51.78</v>
      </c>
      <c r="C2032">
        <v>52</v>
      </c>
      <c r="D2032">
        <v>51.35</v>
      </c>
      <c r="E2032">
        <v>51.87</v>
      </c>
      <c r="F2032">
        <v>9662800</v>
      </c>
      <c r="G2032">
        <v>48.58</v>
      </c>
      <c r="H2032" t="s">
        <v>5</v>
      </c>
      <c r="I2032" s="22">
        <f t="shared" si="63"/>
        <v>1.0969788157724958E-2</v>
      </c>
      <c r="J2032" s="22" t="str">
        <f t="shared" si="64"/>
        <v/>
      </c>
    </row>
    <row r="2033" spans="1:10">
      <c r="A2033" s="1">
        <v>41066</v>
      </c>
      <c r="B2033">
        <v>52.4</v>
      </c>
      <c r="C2033">
        <v>53.58</v>
      </c>
      <c r="D2033">
        <v>52.4</v>
      </c>
      <c r="E2033">
        <v>53.58</v>
      </c>
      <c r="F2033">
        <v>15104200</v>
      </c>
      <c r="G2033">
        <v>50.19</v>
      </c>
      <c r="H2033" t="s">
        <v>5</v>
      </c>
      <c r="I2033" s="22">
        <f t="shared" si="63"/>
        <v>3.2603880092815882E-2</v>
      </c>
      <c r="J2033" s="22" t="str">
        <f t="shared" si="64"/>
        <v/>
      </c>
    </row>
    <row r="2034" spans="1:10">
      <c r="A2034" s="1">
        <v>41067</v>
      </c>
      <c r="B2034">
        <v>54.24</v>
      </c>
      <c r="C2034">
        <v>54.59</v>
      </c>
      <c r="D2034">
        <v>53.75</v>
      </c>
      <c r="E2034">
        <v>53.81</v>
      </c>
      <c r="F2034">
        <v>14205400</v>
      </c>
      <c r="G2034">
        <v>50.4</v>
      </c>
      <c r="H2034" t="s">
        <v>5</v>
      </c>
      <c r="I2034" s="22">
        <f t="shared" si="63"/>
        <v>4.175371410480592E-3</v>
      </c>
      <c r="J2034" s="22" t="str">
        <f t="shared" si="64"/>
        <v>lost money</v>
      </c>
    </row>
    <row r="2035" spans="1:10">
      <c r="A2035" s="1">
        <v>41068</v>
      </c>
      <c r="B2035">
        <v>53.77</v>
      </c>
      <c r="C2035">
        <v>54.28</v>
      </c>
      <c r="D2035">
        <v>53.57</v>
      </c>
      <c r="E2035">
        <v>53.97</v>
      </c>
      <c r="F2035">
        <v>8630900</v>
      </c>
      <c r="G2035">
        <v>50.55</v>
      </c>
      <c r="H2035" t="s">
        <v>5</v>
      </c>
      <c r="I2035" s="22">
        <f t="shared" si="63"/>
        <v>2.97177038915748E-3</v>
      </c>
      <c r="J2035" s="22" t="str">
        <f t="shared" si="64"/>
        <v/>
      </c>
    </row>
    <row r="2036" spans="1:10">
      <c r="A2036" s="1">
        <v>41071</v>
      </c>
      <c r="B2036">
        <v>54.51</v>
      </c>
      <c r="C2036">
        <v>54.77</v>
      </c>
      <c r="D2036">
        <v>53.8</v>
      </c>
      <c r="E2036">
        <v>53.88</v>
      </c>
      <c r="F2036">
        <v>9279500</v>
      </c>
      <c r="G2036">
        <v>50.47</v>
      </c>
      <c r="H2036" t="s">
        <v>5</v>
      </c>
      <c r="I2036" s="22">
        <f t="shared" si="63"/>
        <v>-1.5838451143093382E-3</v>
      </c>
      <c r="J2036" s="22" t="str">
        <f t="shared" si="64"/>
        <v>lost money</v>
      </c>
    </row>
    <row r="2037" spans="1:10">
      <c r="A2037" s="1">
        <v>41072</v>
      </c>
      <c r="B2037">
        <v>54.27</v>
      </c>
      <c r="C2037">
        <v>54.75</v>
      </c>
      <c r="D2037">
        <v>53.94</v>
      </c>
      <c r="E2037">
        <v>54.71</v>
      </c>
      <c r="F2037">
        <v>7442100</v>
      </c>
      <c r="G2037">
        <v>51.24</v>
      </c>
      <c r="H2037" t="s">
        <v>5</v>
      </c>
      <c r="I2037" s="22">
        <f t="shared" si="63"/>
        <v>1.5141376676362476E-2</v>
      </c>
      <c r="J2037" s="22" t="str">
        <f t="shared" si="64"/>
        <v/>
      </c>
    </row>
    <row r="2038" spans="1:10">
      <c r="A2038" s="1">
        <v>41073</v>
      </c>
      <c r="B2038">
        <v>54.63</v>
      </c>
      <c r="C2038">
        <v>54.84</v>
      </c>
      <c r="D2038">
        <v>53.84</v>
      </c>
      <c r="E2038">
        <v>54.1</v>
      </c>
      <c r="F2038">
        <v>11916200</v>
      </c>
      <c r="G2038">
        <v>50.67</v>
      </c>
      <c r="H2038" t="s">
        <v>5</v>
      </c>
      <c r="I2038" s="22">
        <f t="shared" si="63"/>
        <v>-1.1186457540715056E-2</v>
      </c>
      <c r="J2038" s="22" t="str">
        <f t="shared" si="64"/>
        <v>lost money</v>
      </c>
    </row>
    <row r="2039" spans="1:10">
      <c r="A2039" s="1">
        <v>41074</v>
      </c>
      <c r="B2039">
        <v>54.03</v>
      </c>
      <c r="C2039">
        <v>54.89</v>
      </c>
      <c r="D2039">
        <v>53.79</v>
      </c>
      <c r="E2039">
        <v>54.68</v>
      </c>
      <c r="F2039">
        <v>9699500</v>
      </c>
      <c r="G2039">
        <v>51.22</v>
      </c>
      <c r="H2039" t="s">
        <v>5</v>
      </c>
      <c r="I2039" s="22">
        <f t="shared" si="63"/>
        <v>1.0796061283560671E-2</v>
      </c>
      <c r="J2039" s="22" t="str">
        <f t="shared" si="64"/>
        <v/>
      </c>
    </row>
    <row r="2040" spans="1:10">
      <c r="A2040" s="1">
        <v>41075</v>
      </c>
      <c r="B2040">
        <v>54.76</v>
      </c>
      <c r="C2040">
        <v>55.46</v>
      </c>
      <c r="D2040">
        <v>54.71</v>
      </c>
      <c r="E2040">
        <v>55.46</v>
      </c>
      <c r="F2040">
        <v>12542400</v>
      </c>
      <c r="G2040">
        <v>51.95</v>
      </c>
      <c r="H2040" t="s">
        <v>5</v>
      </c>
      <c r="I2040" s="22">
        <f t="shared" si="63"/>
        <v>1.4151636773857194E-2</v>
      </c>
      <c r="J2040" s="22" t="str">
        <f t="shared" si="64"/>
        <v/>
      </c>
    </row>
    <row r="2041" spans="1:10">
      <c r="A2041" s="1">
        <v>41078</v>
      </c>
      <c r="B2041">
        <v>55.03</v>
      </c>
      <c r="C2041">
        <v>55.24</v>
      </c>
      <c r="D2041">
        <v>54.54</v>
      </c>
      <c r="E2041">
        <v>55.07</v>
      </c>
      <c r="F2041">
        <v>8850100</v>
      </c>
      <c r="G2041">
        <v>51.58</v>
      </c>
      <c r="H2041" t="s">
        <v>5</v>
      </c>
      <c r="I2041" s="22">
        <f t="shared" si="63"/>
        <v>-7.1477170920377208E-3</v>
      </c>
      <c r="J2041" s="22" t="str">
        <f t="shared" si="64"/>
        <v/>
      </c>
    </row>
    <row r="2042" spans="1:10">
      <c r="A2042" s="1">
        <v>41079</v>
      </c>
      <c r="B2042">
        <v>55.5</v>
      </c>
      <c r="C2042">
        <v>56</v>
      </c>
      <c r="D2042">
        <v>55.3</v>
      </c>
      <c r="E2042">
        <v>55.64</v>
      </c>
      <c r="F2042">
        <v>9477800</v>
      </c>
      <c r="G2042">
        <v>52.11</v>
      </c>
      <c r="H2042" t="s">
        <v>5</v>
      </c>
      <c r="I2042" s="22">
        <f t="shared" si="63"/>
        <v>1.0222868467924631E-2</v>
      </c>
      <c r="J2042" s="22" t="str">
        <f t="shared" si="64"/>
        <v/>
      </c>
    </row>
    <row r="2043" spans="1:10">
      <c r="A2043" s="1">
        <v>41080</v>
      </c>
      <c r="B2043">
        <v>55.34</v>
      </c>
      <c r="C2043">
        <v>55.55</v>
      </c>
      <c r="D2043">
        <v>53.99</v>
      </c>
      <c r="E2043">
        <v>54.44</v>
      </c>
      <c r="F2043">
        <v>11757400</v>
      </c>
      <c r="G2043">
        <v>50.99</v>
      </c>
      <c r="H2043" t="s">
        <v>5</v>
      </c>
      <c r="I2043" s="22">
        <f t="shared" si="63"/>
        <v>-2.1727333854058888E-2</v>
      </c>
      <c r="J2043" s="22" t="str">
        <f t="shared" si="64"/>
        <v>lost money</v>
      </c>
    </row>
    <row r="2044" spans="1:10">
      <c r="A2044" s="1">
        <v>41081</v>
      </c>
      <c r="B2044">
        <v>54.33</v>
      </c>
      <c r="C2044">
        <v>54.48</v>
      </c>
      <c r="D2044">
        <v>52.68</v>
      </c>
      <c r="E2044">
        <v>52.76</v>
      </c>
      <c r="F2044">
        <v>12560600</v>
      </c>
      <c r="G2044">
        <v>49.42</v>
      </c>
      <c r="H2044" t="s">
        <v>5</v>
      </c>
      <c r="I2044" s="22">
        <f t="shared" si="63"/>
        <v>-3.1274334506600353E-2</v>
      </c>
      <c r="J2044" s="22" t="str">
        <f t="shared" si="64"/>
        <v>lost money</v>
      </c>
    </row>
    <row r="2045" spans="1:10">
      <c r="A2045" s="1">
        <v>41082</v>
      </c>
      <c r="B2045">
        <v>53.19</v>
      </c>
      <c r="C2045">
        <v>53.7</v>
      </c>
      <c r="D2045">
        <v>52.75</v>
      </c>
      <c r="E2045">
        <v>53.41</v>
      </c>
      <c r="F2045">
        <v>12575700</v>
      </c>
      <c r="G2045">
        <v>50.03</v>
      </c>
      <c r="H2045" t="s">
        <v>5</v>
      </c>
      <c r="I2045" s="22">
        <f t="shared" si="63"/>
        <v>1.2267624939649759E-2</v>
      </c>
      <c r="J2045" s="22" t="str">
        <f t="shared" si="64"/>
        <v/>
      </c>
    </row>
    <row r="2046" spans="1:10">
      <c r="A2046" s="1">
        <v>41085</v>
      </c>
      <c r="B2046">
        <v>52.82</v>
      </c>
      <c r="C2046">
        <v>53.05</v>
      </c>
      <c r="D2046">
        <v>52.29</v>
      </c>
      <c r="E2046">
        <v>52.96</v>
      </c>
      <c r="F2046">
        <v>6980100</v>
      </c>
      <c r="G2046">
        <v>49.6</v>
      </c>
      <c r="H2046" t="s">
        <v>5</v>
      </c>
      <c r="I2046" s="22">
        <f t="shared" si="63"/>
        <v>-8.6319917692318504E-3</v>
      </c>
      <c r="J2046" s="22" t="str">
        <f t="shared" si="64"/>
        <v/>
      </c>
    </row>
    <row r="2047" spans="1:10">
      <c r="A2047" s="1">
        <v>41086</v>
      </c>
      <c r="B2047">
        <v>53.35</v>
      </c>
      <c r="C2047">
        <v>53.89</v>
      </c>
      <c r="D2047">
        <v>53</v>
      </c>
      <c r="E2047">
        <v>53.64</v>
      </c>
      <c r="F2047">
        <v>7548900</v>
      </c>
      <c r="G2047">
        <v>50.24</v>
      </c>
      <c r="H2047" t="s">
        <v>5</v>
      </c>
      <c r="I2047" s="22">
        <f t="shared" si="63"/>
        <v>1.2820688429061469E-2</v>
      </c>
      <c r="J2047" s="22" t="str">
        <f t="shared" si="64"/>
        <v/>
      </c>
    </row>
    <row r="2048" spans="1:10">
      <c r="A2048" s="1">
        <v>41087</v>
      </c>
      <c r="B2048">
        <v>53.89</v>
      </c>
      <c r="C2048">
        <v>54.6</v>
      </c>
      <c r="D2048">
        <v>53.74</v>
      </c>
      <c r="E2048">
        <v>54.45</v>
      </c>
      <c r="F2048">
        <v>9130600</v>
      </c>
      <c r="G2048">
        <v>51</v>
      </c>
      <c r="H2048" t="s">
        <v>5</v>
      </c>
      <c r="I2048" s="22">
        <f t="shared" si="63"/>
        <v>1.5014110564382505E-2</v>
      </c>
      <c r="J2048" s="22" t="str">
        <f t="shared" si="64"/>
        <v/>
      </c>
    </row>
    <row r="2049" spans="1:10">
      <c r="A2049" s="1">
        <v>41088</v>
      </c>
      <c r="B2049">
        <v>54.07</v>
      </c>
      <c r="C2049">
        <v>54.61</v>
      </c>
      <c r="D2049">
        <v>53.66</v>
      </c>
      <c r="E2049">
        <v>54.53</v>
      </c>
      <c r="F2049">
        <v>8444900</v>
      </c>
      <c r="G2049">
        <v>51.08</v>
      </c>
      <c r="H2049" t="s">
        <v>5</v>
      </c>
      <c r="I2049" s="22">
        <f t="shared" si="63"/>
        <v>1.567398440012676E-3</v>
      </c>
      <c r="J2049" s="22" t="str">
        <f t="shared" si="64"/>
        <v/>
      </c>
    </row>
    <row r="2050" spans="1:10">
      <c r="A2050" s="1">
        <v>41089</v>
      </c>
      <c r="B2050">
        <v>55.68</v>
      </c>
      <c r="C2050">
        <v>55.88</v>
      </c>
      <c r="D2050">
        <v>55.25</v>
      </c>
      <c r="E2050">
        <v>55.88</v>
      </c>
      <c r="F2050">
        <v>8550500</v>
      </c>
      <c r="G2050">
        <v>52.34</v>
      </c>
      <c r="H2050" t="s">
        <v>5</v>
      </c>
      <c r="I2050" s="22">
        <f t="shared" si="63"/>
        <v>2.4367865937661371E-2</v>
      </c>
      <c r="J2050" s="22" t="str">
        <f t="shared" si="64"/>
        <v/>
      </c>
    </row>
    <row r="2051" spans="1:10">
      <c r="A2051" s="1">
        <v>41092</v>
      </c>
      <c r="B2051">
        <v>55.97</v>
      </c>
      <c r="C2051">
        <v>56.1</v>
      </c>
      <c r="D2051">
        <v>55.19</v>
      </c>
      <c r="E2051">
        <v>55.73</v>
      </c>
      <c r="F2051">
        <v>6163100</v>
      </c>
      <c r="G2051">
        <v>52.2</v>
      </c>
      <c r="H2051" t="s">
        <v>5</v>
      </c>
      <c r="I2051" s="22">
        <f t="shared" ref="I2051:I2114" si="65">IF(A2051=$A$2,"",LN(G2051/G2050))</f>
        <v>-2.6784022134067331E-3</v>
      </c>
      <c r="J2051" s="22" t="str">
        <f t="shared" ref="J2051:J2114" si="66">IF(B2051&gt;E2051,"lost money","")</f>
        <v>lost money</v>
      </c>
    </row>
    <row r="2052" spans="1:10">
      <c r="A2052" s="1">
        <v>41093</v>
      </c>
      <c r="B2052">
        <v>56.01</v>
      </c>
      <c r="C2052">
        <v>56.47</v>
      </c>
      <c r="D2052">
        <v>55.82</v>
      </c>
      <c r="E2052">
        <v>56.41</v>
      </c>
      <c r="F2052">
        <v>5784200</v>
      </c>
      <c r="G2052">
        <v>52.84</v>
      </c>
      <c r="H2052" t="s">
        <v>5</v>
      </c>
      <c r="I2052" s="22">
        <f t="shared" si="65"/>
        <v>1.2185984765531462E-2</v>
      </c>
      <c r="J2052" s="22" t="str">
        <f t="shared" si="66"/>
        <v/>
      </c>
    </row>
    <row r="2053" spans="1:10">
      <c r="A2053" s="1">
        <v>41095</v>
      </c>
      <c r="B2053">
        <v>56.23</v>
      </c>
      <c r="C2053">
        <v>56.31</v>
      </c>
      <c r="D2053">
        <v>55.19</v>
      </c>
      <c r="E2053">
        <v>55.28</v>
      </c>
      <c r="F2053">
        <v>19880900</v>
      </c>
      <c r="G2053">
        <v>51.78</v>
      </c>
      <c r="H2053" t="s">
        <v>5</v>
      </c>
      <c r="I2053" s="22">
        <f t="shared" si="65"/>
        <v>-2.0264505330733013E-2</v>
      </c>
      <c r="J2053" s="22" t="str">
        <f t="shared" si="66"/>
        <v>lost money</v>
      </c>
    </row>
    <row r="2054" spans="1:10">
      <c r="A2054" s="1">
        <v>41096</v>
      </c>
      <c r="B2054">
        <v>54.77</v>
      </c>
      <c r="C2054">
        <v>54.91</v>
      </c>
      <c r="D2054">
        <v>54.25</v>
      </c>
      <c r="E2054">
        <v>54.75</v>
      </c>
      <c r="F2054">
        <v>16980400</v>
      </c>
      <c r="G2054">
        <v>51.28</v>
      </c>
      <c r="H2054" t="s">
        <v>5</v>
      </c>
      <c r="I2054" s="22">
        <f t="shared" si="65"/>
        <v>-9.7031617109769944E-3</v>
      </c>
      <c r="J2054" s="22" t="str">
        <f t="shared" si="66"/>
        <v>lost money</v>
      </c>
    </row>
    <row r="2055" spans="1:10">
      <c r="A2055" s="1">
        <v>41099</v>
      </c>
      <c r="B2055">
        <v>54.67</v>
      </c>
      <c r="C2055">
        <v>54.75</v>
      </c>
      <c r="D2055">
        <v>54.05</v>
      </c>
      <c r="E2055">
        <v>54.33</v>
      </c>
      <c r="F2055">
        <v>13532900</v>
      </c>
      <c r="G2055">
        <v>50.89</v>
      </c>
      <c r="H2055" t="s">
        <v>5</v>
      </c>
      <c r="I2055" s="22">
        <f t="shared" si="65"/>
        <v>-7.634372011673351E-3</v>
      </c>
      <c r="J2055" s="22" t="str">
        <f t="shared" si="66"/>
        <v>lost money</v>
      </c>
    </row>
    <row r="2056" spans="1:10">
      <c r="A2056" s="1">
        <v>41100</v>
      </c>
      <c r="B2056">
        <v>54.61</v>
      </c>
      <c r="C2056">
        <v>54.75</v>
      </c>
      <c r="D2056">
        <v>53.23</v>
      </c>
      <c r="E2056">
        <v>53.48</v>
      </c>
      <c r="F2056">
        <v>7696800</v>
      </c>
      <c r="G2056">
        <v>50.09</v>
      </c>
      <c r="H2056" t="s">
        <v>5</v>
      </c>
      <c r="I2056" s="22">
        <f t="shared" si="65"/>
        <v>-1.5845053231215805E-2</v>
      </c>
      <c r="J2056" s="22" t="str">
        <f t="shared" si="66"/>
        <v>lost money</v>
      </c>
    </row>
    <row r="2057" spans="1:10">
      <c r="A2057" s="1">
        <v>41101</v>
      </c>
      <c r="B2057">
        <v>53.5</v>
      </c>
      <c r="C2057">
        <v>54.65</v>
      </c>
      <c r="D2057">
        <v>53.39</v>
      </c>
      <c r="E2057">
        <v>54.36</v>
      </c>
      <c r="F2057">
        <v>11461300</v>
      </c>
      <c r="G2057">
        <v>50.92</v>
      </c>
      <c r="H2057" t="s">
        <v>5</v>
      </c>
      <c r="I2057" s="22">
        <f t="shared" si="65"/>
        <v>1.6434386319680281E-2</v>
      </c>
      <c r="J2057" s="22" t="str">
        <f t="shared" si="66"/>
        <v/>
      </c>
    </row>
    <row r="2058" spans="1:10">
      <c r="A2058" s="1">
        <v>41102</v>
      </c>
      <c r="B2058">
        <v>53.85</v>
      </c>
      <c r="C2058">
        <v>54.25</v>
      </c>
      <c r="D2058">
        <v>53.5</v>
      </c>
      <c r="E2058">
        <v>53.98</v>
      </c>
      <c r="F2058">
        <v>6494800</v>
      </c>
      <c r="G2058">
        <v>50.56</v>
      </c>
      <c r="H2058" t="s">
        <v>5</v>
      </c>
      <c r="I2058" s="22">
        <f t="shared" si="65"/>
        <v>-7.0950238506037964E-3</v>
      </c>
      <c r="J2058" s="22" t="str">
        <f t="shared" si="66"/>
        <v/>
      </c>
    </row>
    <row r="2059" spans="1:10">
      <c r="A2059" s="1">
        <v>41103</v>
      </c>
      <c r="B2059">
        <v>54.24</v>
      </c>
      <c r="C2059">
        <v>55.05</v>
      </c>
      <c r="D2059">
        <v>54.11</v>
      </c>
      <c r="E2059">
        <v>54.98</v>
      </c>
      <c r="F2059">
        <v>5514900</v>
      </c>
      <c r="G2059">
        <v>51.5</v>
      </c>
      <c r="H2059" t="s">
        <v>5</v>
      </c>
      <c r="I2059" s="22">
        <f t="shared" si="65"/>
        <v>1.8421057831088411E-2</v>
      </c>
      <c r="J2059" s="22" t="str">
        <f t="shared" si="66"/>
        <v/>
      </c>
    </row>
    <row r="2060" spans="1:10">
      <c r="A2060" s="1">
        <v>41106</v>
      </c>
      <c r="B2060">
        <v>54.91</v>
      </c>
      <c r="C2060">
        <v>55.62</v>
      </c>
      <c r="D2060">
        <v>54.6</v>
      </c>
      <c r="E2060">
        <v>55.46</v>
      </c>
      <c r="F2060">
        <v>6008900</v>
      </c>
      <c r="G2060">
        <v>51.95</v>
      </c>
      <c r="H2060" t="s">
        <v>5</v>
      </c>
      <c r="I2060" s="22">
        <f t="shared" si="65"/>
        <v>8.6999098755458897E-3</v>
      </c>
      <c r="J2060" s="22" t="str">
        <f t="shared" si="66"/>
        <v/>
      </c>
    </row>
    <row r="2061" spans="1:10">
      <c r="A2061" s="1">
        <v>41107</v>
      </c>
      <c r="B2061">
        <v>55.77</v>
      </c>
      <c r="C2061">
        <v>56.36</v>
      </c>
      <c r="D2061">
        <v>55.08</v>
      </c>
      <c r="E2061">
        <v>56.28</v>
      </c>
      <c r="F2061">
        <v>6910500</v>
      </c>
      <c r="G2061">
        <v>52.71</v>
      </c>
      <c r="H2061" t="s">
        <v>5</v>
      </c>
      <c r="I2061" s="22">
        <f t="shared" si="65"/>
        <v>1.452347332187915E-2</v>
      </c>
      <c r="J2061" s="22" t="str">
        <f t="shared" si="66"/>
        <v/>
      </c>
    </row>
    <row r="2062" spans="1:10">
      <c r="A2062" s="1">
        <v>41108</v>
      </c>
      <c r="B2062">
        <v>56.21</v>
      </c>
      <c r="C2062">
        <v>56.89</v>
      </c>
      <c r="D2062">
        <v>56.02</v>
      </c>
      <c r="E2062">
        <v>56.77</v>
      </c>
      <c r="F2062">
        <v>6103700</v>
      </c>
      <c r="G2062">
        <v>53.17</v>
      </c>
      <c r="H2062" t="s">
        <v>5</v>
      </c>
      <c r="I2062" s="22">
        <f t="shared" si="65"/>
        <v>8.6891366491316548E-3</v>
      </c>
      <c r="J2062" s="22" t="str">
        <f t="shared" si="66"/>
        <v/>
      </c>
    </row>
    <row r="2063" spans="1:10">
      <c r="A2063" s="1">
        <v>41109</v>
      </c>
      <c r="B2063">
        <v>56.42</v>
      </c>
      <c r="C2063">
        <v>56.56</v>
      </c>
      <c r="D2063">
        <v>55.95</v>
      </c>
      <c r="E2063">
        <v>56.37</v>
      </c>
      <c r="F2063">
        <v>7473200</v>
      </c>
      <c r="G2063">
        <v>53.42</v>
      </c>
      <c r="H2063" t="s">
        <v>5</v>
      </c>
      <c r="I2063" s="22">
        <f t="shared" si="65"/>
        <v>4.6908801655677389E-3</v>
      </c>
      <c r="J2063" s="22" t="str">
        <f t="shared" si="66"/>
        <v>lost money</v>
      </c>
    </row>
    <row r="2064" spans="1:10">
      <c r="A2064" s="1">
        <v>41110</v>
      </c>
      <c r="B2064">
        <v>56.07</v>
      </c>
      <c r="C2064">
        <v>56.07</v>
      </c>
      <c r="D2064">
        <v>55.51</v>
      </c>
      <c r="E2064">
        <v>55.99</v>
      </c>
      <c r="F2064">
        <v>7843500</v>
      </c>
      <c r="G2064">
        <v>53.06</v>
      </c>
      <c r="H2064" t="s">
        <v>5</v>
      </c>
      <c r="I2064" s="22">
        <f t="shared" si="65"/>
        <v>-6.7618589722212566E-3</v>
      </c>
      <c r="J2064" s="22" t="str">
        <f t="shared" si="66"/>
        <v>lost money</v>
      </c>
    </row>
    <row r="2065" spans="1:10">
      <c r="A2065" s="1">
        <v>41113</v>
      </c>
      <c r="B2065">
        <v>54.82</v>
      </c>
      <c r="C2065">
        <v>55.19</v>
      </c>
      <c r="D2065">
        <v>54.35</v>
      </c>
      <c r="E2065">
        <v>55.05</v>
      </c>
      <c r="F2065">
        <v>7692500</v>
      </c>
      <c r="G2065">
        <v>52.17</v>
      </c>
      <c r="H2065" t="s">
        <v>5</v>
      </c>
      <c r="I2065" s="22">
        <f t="shared" si="65"/>
        <v>-1.691573167529228E-2</v>
      </c>
      <c r="J2065" s="22" t="str">
        <f t="shared" si="66"/>
        <v/>
      </c>
    </row>
    <row r="2066" spans="1:10">
      <c r="A2066" s="1">
        <v>41114</v>
      </c>
      <c r="B2066">
        <v>55.04</v>
      </c>
      <c r="C2066">
        <v>55.13</v>
      </c>
      <c r="D2066">
        <v>53.83</v>
      </c>
      <c r="E2066">
        <v>54.64</v>
      </c>
      <c r="F2066">
        <v>6951600</v>
      </c>
      <c r="G2066">
        <v>51.78</v>
      </c>
      <c r="H2066" t="s">
        <v>5</v>
      </c>
      <c r="I2066" s="22">
        <f t="shared" si="65"/>
        <v>-7.5036427109097664E-3</v>
      </c>
      <c r="J2066" s="22" t="str">
        <f t="shared" si="66"/>
        <v>lost money</v>
      </c>
    </row>
    <row r="2067" spans="1:10">
      <c r="A2067" s="1">
        <v>41115</v>
      </c>
      <c r="B2067">
        <v>54.26</v>
      </c>
      <c r="C2067">
        <v>54.6</v>
      </c>
      <c r="D2067">
        <v>52.84</v>
      </c>
      <c r="E2067">
        <v>53.24</v>
      </c>
      <c r="F2067">
        <v>12716800</v>
      </c>
      <c r="G2067">
        <v>50.45</v>
      </c>
      <c r="H2067" t="s">
        <v>5</v>
      </c>
      <c r="I2067" s="22">
        <f t="shared" si="65"/>
        <v>-2.6021227523773598E-2</v>
      </c>
      <c r="J2067" s="22" t="str">
        <f t="shared" si="66"/>
        <v>lost money</v>
      </c>
    </row>
    <row r="2068" spans="1:10">
      <c r="A2068" s="1">
        <v>41116</v>
      </c>
      <c r="B2068">
        <v>54.03</v>
      </c>
      <c r="C2068">
        <v>54.53</v>
      </c>
      <c r="D2068">
        <v>53.32</v>
      </c>
      <c r="E2068">
        <v>54.4</v>
      </c>
      <c r="F2068">
        <v>10981800</v>
      </c>
      <c r="G2068">
        <v>51.55</v>
      </c>
      <c r="H2068" t="s">
        <v>5</v>
      </c>
      <c r="I2068" s="22">
        <f t="shared" si="65"/>
        <v>2.1569463663350764E-2</v>
      </c>
      <c r="J2068" s="22" t="str">
        <f t="shared" si="66"/>
        <v/>
      </c>
    </row>
    <row r="2069" spans="1:10">
      <c r="A2069" s="1">
        <v>41117</v>
      </c>
      <c r="B2069">
        <v>54.87</v>
      </c>
      <c r="C2069">
        <v>55.16</v>
      </c>
      <c r="D2069">
        <v>54.48</v>
      </c>
      <c r="E2069">
        <v>54.97</v>
      </c>
      <c r="F2069">
        <v>13707500</v>
      </c>
      <c r="G2069">
        <v>52.09</v>
      </c>
      <c r="H2069" t="s">
        <v>5</v>
      </c>
      <c r="I2069" s="22">
        <f t="shared" si="65"/>
        <v>1.0420781294131466E-2</v>
      </c>
      <c r="J2069" s="22" t="str">
        <f t="shared" si="66"/>
        <v/>
      </c>
    </row>
    <row r="2070" spans="1:10">
      <c r="A2070" s="1">
        <v>41120</v>
      </c>
      <c r="B2070">
        <v>54.94</v>
      </c>
      <c r="C2070">
        <v>55.16</v>
      </c>
      <c r="D2070">
        <v>54.56</v>
      </c>
      <c r="E2070">
        <v>54.86</v>
      </c>
      <c r="F2070">
        <v>5810000</v>
      </c>
      <c r="G2070">
        <v>51.99</v>
      </c>
      <c r="H2070" t="s">
        <v>5</v>
      </c>
      <c r="I2070" s="22">
        <f t="shared" si="65"/>
        <v>-1.9215993614758145E-3</v>
      </c>
      <c r="J2070" s="22" t="str">
        <f t="shared" si="66"/>
        <v>lost money</v>
      </c>
    </row>
    <row r="2071" spans="1:10">
      <c r="A2071" s="1">
        <v>41121</v>
      </c>
      <c r="B2071">
        <v>54.85</v>
      </c>
      <c r="C2071">
        <v>55.1</v>
      </c>
      <c r="D2071">
        <v>54.16</v>
      </c>
      <c r="E2071">
        <v>54.44</v>
      </c>
      <c r="F2071">
        <v>8958000</v>
      </c>
      <c r="G2071">
        <v>51.59</v>
      </c>
      <c r="H2071" t="s">
        <v>5</v>
      </c>
      <c r="I2071" s="22">
        <f t="shared" si="65"/>
        <v>-7.7235371390658369E-3</v>
      </c>
      <c r="J2071" s="22" t="str">
        <f t="shared" si="66"/>
        <v>lost money</v>
      </c>
    </row>
    <row r="2072" spans="1:10">
      <c r="A2072" s="1">
        <v>41122</v>
      </c>
      <c r="B2072">
        <v>54.64</v>
      </c>
      <c r="C2072">
        <v>55.42</v>
      </c>
      <c r="D2072">
        <v>54.28</v>
      </c>
      <c r="E2072">
        <v>55.22</v>
      </c>
      <c r="F2072">
        <v>7613900</v>
      </c>
      <c r="G2072">
        <v>52.33</v>
      </c>
      <c r="H2072" t="s">
        <v>5</v>
      </c>
      <c r="I2072" s="22">
        <f t="shared" si="65"/>
        <v>1.4241965127557904E-2</v>
      </c>
      <c r="J2072" s="22" t="str">
        <f t="shared" si="66"/>
        <v/>
      </c>
    </row>
    <row r="2073" spans="1:10">
      <c r="A2073" s="1">
        <v>41123</v>
      </c>
      <c r="B2073">
        <v>54.62</v>
      </c>
      <c r="C2073">
        <v>55.21</v>
      </c>
      <c r="D2073">
        <v>54.19</v>
      </c>
      <c r="E2073">
        <v>54.65</v>
      </c>
      <c r="F2073">
        <v>8003900</v>
      </c>
      <c r="G2073">
        <v>51.79</v>
      </c>
      <c r="H2073" t="s">
        <v>5</v>
      </c>
      <c r="I2073" s="22">
        <f t="shared" si="65"/>
        <v>-1.0372739948316353E-2</v>
      </c>
      <c r="J2073" s="22" t="str">
        <f t="shared" si="66"/>
        <v/>
      </c>
    </row>
    <row r="2074" spans="1:10">
      <c r="A2074" s="1">
        <v>41124</v>
      </c>
      <c r="B2074">
        <v>55.56</v>
      </c>
      <c r="C2074">
        <v>55.99</v>
      </c>
      <c r="D2074">
        <v>55.41</v>
      </c>
      <c r="E2074">
        <v>55.71</v>
      </c>
      <c r="F2074">
        <v>6640700</v>
      </c>
      <c r="G2074">
        <v>52.79</v>
      </c>
      <c r="H2074" t="s">
        <v>5</v>
      </c>
      <c r="I2074" s="22">
        <f t="shared" si="65"/>
        <v>1.9124698399724666E-2</v>
      </c>
      <c r="J2074" s="22" t="str">
        <f t="shared" si="66"/>
        <v/>
      </c>
    </row>
    <row r="2075" spans="1:10">
      <c r="A2075" s="1">
        <v>41127</v>
      </c>
      <c r="B2075">
        <v>55.93</v>
      </c>
      <c r="C2075">
        <v>56.39</v>
      </c>
      <c r="D2075">
        <v>55.8</v>
      </c>
      <c r="E2075">
        <v>55.89</v>
      </c>
      <c r="F2075">
        <v>5922800</v>
      </c>
      <c r="G2075">
        <v>52.96</v>
      </c>
      <c r="H2075" t="s">
        <v>5</v>
      </c>
      <c r="I2075" s="22">
        <f t="shared" si="65"/>
        <v>3.2151327932279463E-3</v>
      </c>
      <c r="J2075" s="22" t="str">
        <f t="shared" si="66"/>
        <v>lost money</v>
      </c>
    </row>
    <row r="2076" spans="1:10">
      <c r="A2076" s="1">
        <v>41128</v>
      </c>
      <c r="B2076">
        <v>56.34</v>
      </c>
      <c r="C2076">
        <v>56.7</v>
      </c>
      <c r="D2076">
        <v>56.24</v>
      </c>
      <c r="E2076">
        <v>56.45</v>
      </c>
      <c r="F2076">
        <v>7858300</v>
      </c>
      <c r="G2076">
        <v>53.5</v>
      </c>
      <c r="H2076" t="s">
        <v>5</v>
      </c>
      <c r="I2076" s="22">
        <f t="shared" si="65"/>
        <v>1.0144742273208161E-2</v>
      </c>
      <c r="J2076" s="22" t="str">
        <f t="shared" si="66"/>
        <v/>
      </c>
    </row>
    <row r="2077" spans="1:10">
      <c r="A2077" s="1">
        <v>41129</v>
      </c>
      <c r="B2077">
        <v>56.03</v>
      </c>
      <c r="C2077">
        <v>57.35</v>
      </c>
      <c r="D2077">
        <v>56.03</v>
      </c>
      <c r="E2077">
        <v>57.17</v>
      </c>
      <c r="F2077">
        <v>10027100</v>
      </c>
      <c r="G2077">
        <v>54.18</v>
      </c>
      <c r="H2077" t="s">
        <v>5</v>
      </c>
      <c r="I2077" s="22">
        <f t="shared" si="65"/>
        <v>1.2630182754988121E-2</v>
      </c>
      <c r="J2077" s="22" t="str">
        <f t="shared" si="66"/>
        <v/>
      </c>
    </row>
    <row r="2078" spans="1:10">
      <c r="A2078" s="1">
        <v>41130</v>
      </c>
      <c r="B2078">
        <v>57.17</v>
      </c>
      <c r="C2078">
        <v>57.37</v>
      </c>
      <c r="D2078">
        <v>56.85</v>
      </c>
      <c r="E2078">
        <v>57.09</v>
      </c>
      <c r="F2078">
        <v>5093100</v>
      </c>
      <c r="G2078">
        <v>54.1</v>
      </c>
      <c r="H2078" t="s">
        <v>5</v>
      </c>
      <c r="I2078" s="22">
        <f t="shared" si="65"/>
        <v>-1.4776508045132126E-3</v>
      </c>
      <c r="J2078" s="22" t="str">
        <f t="shared" si="66"/>
        <v>lost money</v>
      </c>
    </row>
    <row r="2079" spans="1:10">
      <c r="A2079" s="1">
        <v>41131</v>
      </c>
      <c r="B2079">
        <v>56.8</v>
      </c>
      <c r="C2079">
        <v>57.32</v>
      </c>
      <c r="D2079">
        <v>56.58</v>
      </c>
      <c r="E2079">
        <v>57.28</v>
      </c>
      <c r="F2079">
        <v>4700600</v>
      </c>
      <c r="G2079">
        <v>54.28</v>
      </c>
      <c r="H2079" t="s">
        <v>5</v>
      </c>
      <c r="I2079" s="22">
        <f t="shared" si="65"/>
        <v>3.3216491142325083E-3</v>
      </c>
      <c r="J2079" s="22" t="str">
        <f t="shared" si="66"/>
        <v/>
      </c>
    </row>
    <row r="2080" spans="1:10">
      <c r="A2080" s="1">
        <v>41134</v>
      </c>
      <c r="B2080">
        <v>57.46</v>
      </c>
      <c r="C2080">
        <v>57.65</v>
      </c>
      <c r="D2080">
        <v>57.04</v>
      </c>
      <c r="E2080">
        <v>57.31</v>
      </c>
      <c r="F2080">
        <v>5692900</v>
      </c>
      <c r="G2080">
        <v>54.31</v>
      </c>
      <c r="H2080" t="s">
        <v>5</v>
      </c>
      <c r="I2080" s="22">
        <f t="shared" si="65"/>
        <v>5.5253708008544638E-4</v>
      </c>
      <c r="J2080" s="22" t="str">
        <f t="shared" si="66"/>
        <v>lost money</v>
      </c>
    </row>
    <row r="2081" spans="1:10">
      <c r="A2081" s="1">
        <v>41135</v>
      </c>
      <c r="B2081">
        <v>57.67</v>
      </c>
      <c r="C2081">
        <v>57.76</v>
      </c>
      <c r="D2081">
        <v>57.21</v>
      </c>
      <c r="E2081">
        <v>57.35</v>
      </c>
      <c r="F2081">
        <v>4445100</v>
      </c>
      <c r="G2081">
        <v>54.35</v>
      </c>
      <c r="H2081" t="s">
        <v>5</v>
      </c>
      <c r="I2081" s="22">
        <f t="shared" si="65"/>
        <v>7.3624152046456533E-4</v>
      </c>
      <c r="J2081" s="22" t="str">
        <f t="shared" si="66"/>
        <v>lost money</v>
      </c>
    </row>
    <row r="2082" spans="1:10">
      <c r="A2082" s="1">
        <v>41136</v>
      </c>
      <c r="B2082">
        <v>57.36</v>
      </c>
      <c r="C2082">
        <v>57.5</v>
      </c>
      <c r="D2082">
        <v>57.07</v>
      </c>
      <c r="E2082">
        <v>57.24</v>
      </c>
      <c r="F2082">
        <v>4052100</v>
      </c>
      <c r="G2082">
        <v>54.24</v>
      </c>
      <c r="H2082" t="s">
        <v>5</v>
      </c>
      <c r="I2082" s="22">
        <f t="shared" si="65"/>
        <v>-2.0259699350783367E-3</v>
      </c>
      <c r="J2082" s="22" t="str">
        <f t="shared" si="66"/>
        <v>lost money</v>
      </c>
    </row>
    <row r="2083" spans="1:10">
      <c r="A2083" s="1">
        <v>41137</v>
      </c>
      <c r="B2083">
        <v>57.29</v>
      </c>
      <c r="C2083">
        <v>57.68</v>
      </c>
      <c r="D2083">
        <v>57.22</v>
      </c>
      <c r="E2083">
        <v>57.55</v>
      </c>
      <c r="F2083">
        <v>5065300</v>
      </c>
      <c r="G2083">
        <v>54.54</v>
      </c>
      <c r="H2083" t="s">
        <v>5</v>
      </c>
      <c r="I2083" s="22">
        <f t="shared" si="65"/>
        <v>5.5157337853022625E-3</v>
      </c>
      <c r="J2083" s="22" t="str">
        <f t="shared" si="66"/>
        <v/>
      </c>
    </row>
    <row r="2084" spans="1:10">
      <c r="A2084" s="1">
        <v>41138</v>
      </c>
      <c r="B2084">
        <v>57.74</v>
      </c>
      <c r="C2084">
        <v>57.77</v>
      </c>
      <c r="D2084">
        <v>57.25</v>
      </c>
      <c r="E2084">
        <v>57.39</v>
      </c>
      <c r="F2084">
        <v>5182300</v>
      </c>
      <c r="G2084">
        <v>54.39</v>
      </c>
      <c r="H2084" t="s">
        <v>5</v>
      </c>
      <c r="I2084" s="22">
        <f t="shared" si="65"/>
        <v>-2.7540639825730292E-3</v>
      </c>
      <c r="J2084" s="22" t="str">
        <f t="shared" si="66"/>
        <v>lost money</v>
      </c>
    </row>
    <row r="2085" spans="1:10">
      <c r="A2085" s="1">
        <v>41141</v>
      </c>
      <c r="B2085">
        <v>57.34</v>
      </c>
      <c r="C2085">
        <v>57.37</v>
      </c>
      <c r="D2085">
        <v>56.87</v>
      </c>
      <c r="E2085">
        <v>57.03</v>
      </c>
      <c r="F2085">
        <v>7862600</v>
      </c>
      <c r="G2085">
        <v>54.05</v>
      </c>
      <c r="H2085" t="s">
        <v>5</v>
      </c>
      <c r="I2085" s="22">
        <f t="shared" si="65"/>
        <v>-6.270769349652182E-3</v>
      </c>
      <c r="J2085" s="22" t="str">
        <f t="shared" si="66"/>
        <v>lost money</v>
      </c>
    </row>
    <row r="2086" spans="1:10">
      <c r="A2086" s="1">
        <v>41142</v>
      </c>
      <c r="B2086">
        <v>57.11</v>
      </c>
      <c r="C2086">
        <v>57.3</v>
      </c>
      <c r="D2086">
        <v>56.57</v>
      </c>
      <c r="E2086">
        <v>56.63</v>
      </c>
      <c r="F2086">
        <v>6032000</v>
      </c>
      <c r="G2086">
        <v>53.67</v>
      </c>
      <c r="H2086" t="s">
        <v>5</v>
      </c>
      <c r="I2086" s="22">
        <f t="shared" si="65"/>
        <v>-7.0553578964797576E-3</v>
      </c>
      <c r="J2086" s="22" t="str">
        <f t="shared" si="66"/>
        <v>lost money</v>
      </c>
    </row>
    <row r="2087" spans="1:10">
      <c r="A2087" s="1">
        <v>41143</v>
      </c>
      <c r="B2087">
        <v>56.49</v>
      </c>
      <c r="C2087">
        <v>56.78</v>
      </c>
      <c r="D2087">
        <v>56.2</v>
      </c>
      <c r="E2087">
        <v>56.68</v>
      </c>
      <c r="F2087">
        <v>4454500</v>
      </c>
      <c r="G2087">
        <v>53.71</v>
      </c>
      <c r="H2087" t="s">
        <v>5</v>
      </c>
      <c r="I2087" s="22">
        <f t="shared" si="65"/>
        <v>7.4501772863048315E-4</v>
      </c>
      <c r="J2087" s="22" t="str">
        <f t="shared" si="66"/>
        <v/>
      </c>
    </row>
    <row r="2088" spans="1:10">
      <c r="A2088" s="1">
        <v>41144</v>
      </c>
      <c r="B2088">
        <v>56.65</v>
      </c>
      <c r="C2088">
        <v>56.65</v>
      </c>
      <c r="D2088">
        <v>56.06</v>
      </c>
      <c r="E2088">
        <v>56.16</v>
      </c>
      <c r="F2088">
        <v>4637000</v>
      </c>
      <c r="G2088">
        <v>53.22</v>
      </c>
      <c r="H2088" t="s">
        <v>5</v>
      </c>
      <c r="I2088" s="22">
        <f t="shared" si="65"/>
        <v>-9.1649383678248531E-3</v>
      </c>
      <c r="J2088" s="22" t="str">
        <f t="shared" si="66"/>
        <v>lost money</v>
      </c>
    </row>
    <row r="2089" spans="1:10">
      <c r="A2089" s="1">
        <v>41145</v>
      </c>
      <c r="B2089">
        <v>56.07</v>
      </c>
      <c r="C2089">
        <v>56.45</v>
      </c>
      <c r="D2089">
        <v>55.78</v>
      </c>
      <c r="E2089">
        <v>56.36</v>
      </c>
      <c r="F2089">
        <v>3931300</v>
      </c>
      <c r="G2089">
        <v>53.41</v>
      </c>
      <c r="H2089" t="s">
        <v>5</v>
      </c>
      <c r="I2089" s="22">
        <f t="shared" si="65"/>
        <v>3.5637288021356725E-3</v>
      </c>
      <c r="J2089" s="22" t="str">
        <f t="shared" si="66"/>
        <v/>
      </c>
    </row>
    <row r="2090" spans="1:10">
      <c r="A2090" s="1">
        <v>41148</v>
      </c>
      <c r="B2090">
        <v>56.42</v>
      </c>
      <c r="C2090">
        <v>56.77</v>
      </c>
      <c r="D2090">
        <v>56.33</v>
      </c>
      <c r="E2090">
        <v>56.38</v>
      </c>
      <c r="F2090">
        <v>3412500</v>
      </c>
      <c r="G2090">
        <v>53.43</v>
      </c>
      <c r="H2090" t="s">
        <v>5</v>
      </c>
      <c r="I2090" s="22">
        <f t="shared" si="65"/>
        <v>3.7439161800119754E-4</v>
      </c>
      <c r="J2090" s="22" t="str">
        <f t="shared" si="66"/>
        <v>lost money</v>
      </c>
    </row>
    <row r="2091" spans="1:10">
      <c r="A2091" s="1">
        <v>41149</v>
      </c>
      <c r="B2091">
        <v>56.44</v>
      </c>
      <c r="C2091">
        <v>56.63</v>
      </c>
      <c r="D2091">
        <v>56.27</v>
      </c>
      <c r="E2091">
        <v>56.46</v>
      </c>
      <c r="F2091">
        <v>4057800</v>
      </c>
      <c r="G2091">
        <v>53.5</v>
      </c>
      <c r="H2091" t="s">
        <v>5</v>
      </c>
      <c r="I2091" s="22">
        <f t="shared" si="65"/>
        <v>1.3092679322808279E-3</v>
      </c>
      <c r="J2091" s="22" t="str">
        <f t="shared" si="66"/>
        <v/>
      </c>
    </row>
    <row r="2092" spans="1:10">
      <c r="A2092" s="1">
        <v>41150</v>
      </c>
      <c r="B2092">
        <v>56.38</v>
      </c>
      <c r="C2092">
        <v>56.56</v>
      </c>
      <c r="D2092">
        <v>56.16</v>
      </c>
      <c r="E2092">
        <v>56.35</v>
      </c>
      <c r="F2092">
        <v>6401500</v>
      </c>
      <c r="G2092">
        <v>53.4</v>
      </c>
      <c r="H2092" t="s">
        <v>5</v>
      </c>
      <c r="I2092" s="22">
        <f t="shared" si="65"/>
        <v>-1.8709079358117313E-3</v>
      </c>
      <c r="J2092" s="22" t="str">
        <f t="shared" si="66"/>
        <v>lost money</v>
      </c>
    </row>
    <row r="2093" spans="1:10">
      <c r="A2093" s="1">
        <v>41151</v>
      </c>
      <c r="B2093">
        <v>56.13</v>
      </c>
      <c r="C2093">
        <v>56.34</v>
      </c>
      <c r="D2093">
        <v>55.97</v>
      </c>
      <c r="E2093">
        <v>56.11</v>
      </c>
      <c r="F2093">
        <v>4001000</v>
      </c>
      <c r="G2093">
        <v>53.17</v>
      </c>
      <c r="H2093" t="s">
        <v>5</v>
      </c>
      <c r="I2093" s="22">
        <f t="shared" si="65"/>
        <v>-4.3164184499020182E-3</v>
      </c>
      <c r="J2093" s="22" t="str">
        <f t="shared" si="66"/>
        <v>lost money</v>
      </c>
    </row>
    <row r="2094" spans="1:10">
      <c r="A2094" s="1">
        <v>41152</v>
      </c>
      <c r="B2094">
        <v>56.57</v>
      </c>
      <c r="C2094">
        <v>57.13</v>
      </c>
      <c r="D2094">
        <v>56.54</v>
      </c>
      <c r="E2094">
        <v>56.79</v>
      </c>
      <c r="F2094">
        <v>11848700</v>
      </c>
      <c r="G2094">
        <v>53.82</v>
      </c>
      <c r="H2094" t="s">
        <v>5</v>
      </c>
      <c r="I2094" s="22">
        <f t="shared" si="65"/>
        <v>1.2150817782512528E-2</v>
      </c>
      <c r="J2094" s="22" t="str">
        <f t="shared" si="66"/>
        <v/>
      </c>
    </row>
    <row r="2095" spans="1:10">
      <c r="A2095" s="1">
        <v>41156</v>
      </c>
      <c r="B2095">
        <v>56.96</v>
      </c>
      <c r="C2095">
        <v>57</v>
      </c>
      <c r="D2095">
        <v>56</v>
      </c>
      <c r="E2095">
        <v>56.21</v>
      </c>
      <c r="F2095">
        <v>5698700</v>
      </c>
      <c r="G2095">
        <v>53.27</v>
      </c>
      <c r="H2095" t="s">
        <v>5</v>
      </c>
      <c r="I2095" s="22">
        <f t="shared" si="65"/>
        <v>-1.0271824369851947E-2</v>
      </c>
      <c r="J2095" s="22" t="str">
        <f t="shared" si="66"/>
        <v>lost money</v>
      </c>
    </row>
    <row r="2096" spans="1:10">
      <c r="A2096" s="1">
        <v>41157</v>
      </c>
      <c r="B2096">
        <v>56.16</v>
      </c>
      <c r="C2096">
        <v>56.18</v>
      </c>
      <c r="D2096">
        <v>54.83</v>
      </c>
      <c r="E2096">
        <v>54.87</v>
      </c>
      <c r="F2096">
        <v>8608700</v>
      </c>
      <c r="G2096">
        <v>52</v>
      </c>
      <c r="H2096" t="s">
        <v>5</v>
      </c>
      <c r="I2096" s="22">
        <f t="shared" si="65"/>
        <v>-2.4129602347480433E-2</v>
      </c>
      <c r="J2096" s="22" t="str">
        <f t="shared" si="66"/>
        <v>lost money</v>
      </c>
    </row>
    <row r="2097" spans="1:10">
      <c r="A2097" s="1">
        <v>41158</v>
      </c>
      <c r="B2097">
        <v>55.27</v>
      </c>
      <c r="C2097">
        <v>56.18</v>
      </c>
      <c r="D2097">
        <v>55.27</v>
      </c>
      <c r="E2097">
        <v>55.79</v>
      </c>
      <c r="F2097">
        <v>6560600</v>
      </c>
      <c r="G2097">
        <v>52.87</v>
      </c>
      <c r="H2097" t="s">
        <v>5</v>
      </c>
      <c r="I2097" s="22">
        <f t="shared" si="65"/>
        <v>1.6592351665931478E-2</v>
      </c>
      <c r="J2097" s="22" t="str">
        <f t="shared" si="66"/>
        <v/>
      </c>
    </row>
    <row r="2098" spans="1:10">
      <c r="A2098" s="1">
        <v>41159</v>
      </c>
      <c r="B2098">
        <v>56.03</v>
      </c>
      <c r="C2098">
        <v>56.68</v>
      </c>
      <c r="D2098">
        <v>56</v>
      </c>
      <c r="E2098">
        <v>56.64</v>
      </c>
      <c r="F2098">
        <v>5837500</v>
      </c>
      <c r="G2098">
        <v>53.68</v>
      </c>
      <c r="H2098" t="s">
        <v>5</v>
      </c>
      <c r="I2098" s="22">
        <f t="shared" si="65"/>
        <v>1.5204422416067625E-2</v>
      </c>
      <c r="J2098" s="22" t="str">
        <f t="shared" si="66"/>
        <v/>
      </c>
    </row>
    <row r="2099" spans="1:10">
      <c r="A2099" s="1">
        <v>41162</v>
      </c>
      <c r="B2099">
        <v>56.67</v>
      </c>
      <c r="C2099">
        <v>56.68</v>
      </c>
      <c r="D2099">
        <v>56.15</v>
      </c>
      <c r="E2099">
        <v>56.18</v>
      </c>
      <c r="F2099">
        <v>4696400</v>
      </c>
      <c r="G2099">
        <v>53.24</v>
      </c>
      <c r="H2099" t="s">
        <v>5</v>
      </c>
      <c r="I2099" s="22">
        <f t="shared" si="65"/>
        <v>-8.23049913651548E-3</v>
      </c>
      <c r="J2099" s="22" t="str">
        <f t="shared" si="66"/>
        <v>lost money</v>
      </c>
    </row>
    <row r="2100" spans="1:10">
      <c r="A2100" s="1">
        <v>41163</v>
      </c>
      <c r="B2100">
        <v>56.42</v>
      </c>
      <c r="C2100">
        <v>56.8</v>
      </c>
      <c r="D2100">
        <v>56.35</v>
      </c>
      <c r="E2100">
        <v>56.37</v>
      </c>
      <c r="F2100">
        <v>5112500</v>
      </c>
      <c r="G2100">
        <v>53.42</v>
      </c>
      <c r="H2100" t="s">
        <v>5</v>
      </c>
      <c r="I2100" s="22">
        <f t="shared" si="65"/>
        <v>3.3752141549038654E-3</v>
      </c>
      <c r="J2100" s="22" t="str">
        <f t="shared" si="66"/>
        <v>lost money</v>
      </c>
    </row>
    <row r="2101" spans="1:10">
      <c r="A2101" s="1">
        <v>41164</v>
      </c>
      <c r="B2101">
        <v>56.73</v>
      </c>
      <c r="C2101">
        <v>56.78</v>
      </c>
      <c r="D2101">
        <v>56.36</v>
      </c>
      <c r="E2101">
        <v>56.54</v>
      </c>
      <c r="F2101">
        <v>4807300</v>
      </c>
      <c r="G2101">
        <v>53.58</v>
      </c>
      <c r="H2101" t="s">
        <v>5</v>
      </c>
      <c r="I2101" s="22">
        <f t="shared" si="65"/>
        <v>2.9906564346477895E-3</v>
      </c>
      <c r="J2101" s="22" t="str">
        <f t="shared" si="66"/>
        <v>lost money</v>
      </c>
    </row>
    <row r="2102" spans="1:10">
      <c r="A2102" s="1">
        <v>41165</v>
      </c>
      <c r="B2102">
        <v>56.67</v>
      </c>
      <c r="C2102">
        <v>57.97</v>
      </c>
      <c r="D2102">
        <v>56.1</v>
      </c>
      <c r="E2102">
        <v>57.65</v>
      </c>
      <c r="F2102">
        <v>7735800</v>
      </c>
      <c r="G2102">
        <v>54.63</v>
      </c>
      <c r="H2102" t="s">
        <v>5</v>
      </c>
      <c r="I2102" s="22">
        <f t="shared" si="65"/>
        <v>1.940731829116361E-2</v>
      </c>
      <c r="J2102" s="22" t="str">
        <f t="shared" si="66"/>
        <v/>
      </c>
    </row>
    <row r="2103" spans="1:10">
      <c r="A2103" s="1">
        <v>41166</v>
      </c>
      <c r="B2103">
        <v>57.89</v>
      </c>
      <c r="C2103">
        <v>58.9</v>
      </c>
      <c r="D2103">
        <v>57.89</v>
      </c>
      <c r="E2103">
        <v>58.21</v>
      </c>
      <c r="F2103">
        <v>8576300</v>
      </c>
      <c r="G2103">
        <v>55.16</v>
      </c>
      <c r="H2103" t="s">
        <v>5</v>
      </c>
      <c r="I2103" s="22">
        <f t="shared" si="65"/>
        <v>9.654870517474743E-3</v>
      </c>
      <c r="J2103" s="22" t="str">
        <f t="shared" si="66"/>
        <v/>
      </c>
    </row>
    <row r="2104" spans="1:10">
      <c r="A2104" s="1">
        <v>41169</v>
      </c>
      <c r="B2104">
        <v>58.1</v>
      </c>
      <c r="C2104">
        <v>58.75</v>
      </c>
      <c r="D2104">
        <v>58.02</v>
      </c>
      <c r="E2104">
        <v>58.3</v>
      </c>
      <c r="F2104">
        <v>11627300</v>
      </c>
      <c r="G2104">
        <v>55.25</v>
      </c>
      <c r="H2104" t="s">
        <v>5</v>
      </c>
      <c r="I2104" s="22">
        <f t="shared" si="65"/>
        <v>1.6302874727611436E-3</v>
      </c>
      <c r="J2104" s="22" t="str">
        <f t="shared" si="66"/>
        <v/>
      </c>
    </row>
    <row r="2105" spans="1:10">
      <c r="A2105" s="1">
        <v>41170</v>
      </c>
      <c r="B2105">
        <v>58.36</v>
      </c>
      <c r="C2105">
        <v>58.39</v>
      </c>
      <c r="D2105">
        <v>57.6</v>
      </c>
      <c r="E2105">
        <v>57.82</v>
      </c>
      <c r="F2105">
        <v>5837400</v>
      </c>
      <c r="G2105">
        <v>54.79</v>
      </c>
      <c r="H2105" t="s">
        <v>5</v>
      </c>
      <c r="I2105" s="22">
        <f t="shared" si="65"/>
        <v>-8.3606448475378771E-3</v>
      </c>
      <c r="J2105" s="22" t="str">
        <f t="shared" si="66"/>
        <v>lost money</v>
      </c>
    </row>
    <row r="2106" spans="1:10">
      <c r="A2106" s="1">
        <v>41171</v>
      </c>
      <c r="B2106">
        <v>57.71</v>
      </c>
      <c r="C2106">
        <v>57.88</v>
      </c>
      <c r="D2106">
        <v>57.26</v>
      </c>
      <c r="E2106">
        <v>57.31</v>
      </c>
      <c r="F2106">
        <v>5166100</v>
      </c>
      <c r="G2106">
        <v>54.31</v>
      </c>
      <c r="H2106" t="s">
        <v>5</v>
      </c>
      <c r="I2106" s="22">
        <f t="shared" si="65"/>
        <v>-8.799323503570362E-3</v>
      </c>
      <c r="J2106" s="22" t="str">
        <f t="shared" si="66"/>
        <v>lost money</v>
      </c>
    </row>
    <row r="2107" spans="1:10">
      <c r="A2107" s="1">
        <v>41172</v>
      </c>
      <c r="B2107">
        <v>57.11</v>
      </c>
      <c r="C2107">
        <v>57.76</v>
      </c>
      <c r="D2107">
        <v>56.77</v>
      </c>
      <c r="E2107">
        <v>57.59</v>
      </c>
      <c r="F2107">
        <v>6137000</v>
      </c>
      <c r="G2107">
        <v>54.58</v>
      </c>
      <c r="H2107" t="s">
        <v>5</v>
      </c>
      <c r="I2107" s="22">
        <f t="shared" si="65"/>
        <v>4.959143233438385E-3</v>
      </c>
      <c r="J2107" s="22" t="str">
        <f t="shared" si="66"/>
        <v/>
      </c>
    </row>
    <row r="2108" spans="1:10">
      <c r="A2108" s="1">
        <v>41173</v>
      </c>
      <c r="B2108">
        <v>57.76</v>
      </c>
      <c r="C2108">
        <v>57.85</v>
      </c>
      <c r="D2108">
        <v>57.13</v>
      </c>
      <c r="E2108">
        <v>57.36</v>
      </c>
      <c r="F2108">
        <v>12777500</v>
      </c>
      <c r="G2108">
        <v>54.36</v>
      </c>
      <c r="H2108" t="s">
        <v>5</v>
      </c>
      <c r="I2108" s="22">
        <f t="shared" si="65"/>
        <v>-4.0389259972494458E-3</v>
      </c>
      <c r="J2108" s="22" t="str">
        <f t="shared" si="66"/>
        <v>lost money</v>
      </c>
    </row>
    <row r="2109" spans="1:10">
      <c r="A2109" s="1">
        <v>41176</v>
      </c>
      <c r="B2109">
        <v>57.1</v>
      </c>
      <c r="C2109">
        <v>58.06</v>
      </c>
      <c r="D2109">
        <v>57.05</v>
      </c>
      <c r="E2109">
        <v>57.96</v>
      </c>
      <c r="F2109">
        <v>7289900</v>
      </c>
      <c r="G2109">
        <v>54.93</v>
      </c>
      <c r="H2109" t="s">
        <v>5</v>
      </c>
      <c r="I2109" s="22">
        <f t="shared" si="65"/>
        <v>1.043105807158607E-2</v>
      </c>
      <c r="J2109" s="22" t="str">
        <f t="shared" si="66"/>
        <v/>
      </c>
    </row>
    <row r="2110" spans="1:10">
      <c r="A2110" s="1">
        <v>41177</v>
      </c>
      <c r="B2110">
        <v>58.06</v>
      </c>
      <c r="C2110">
        <v>58.08</v>
      </c>
      <c r="D2110">
        <v>57.35</v>
      </c>
      <c r="E2110">
        <v>57.41</v>
      </c>
      <c r="F2110">
        <v>7457600</v>
      </c>
      <c r="G2110">
        <v>54.41</v>
      </c>
      <c r="H2110" t="s">
        <v>5</v>
      </c>
      <c r="I2110" s="22">
        <f t="shared" si="65"/>
        <v>-9.511686856695175E-3</v>
      </c>
      <c r="J2110" s="22" t="str">
        <f t="shared" si="66"/>
        <v>lost money</v>
      </c>
    </row>
    <row r="2111" spans="1:10">
      <c r="A2111" s="1">
        <v>41178</v>
      </c>
      <c r="B2111">
        <v>57.32</v>
      </c>
      <c r="C2111">
        <v>57.47</v>
      </c>
      <c r="D2111">
        <v>56.88</v>
      </c>
      <c r="E2111">
        <v>57.01</v>
      </c>
      <c r="F2111">
        <v>6459100</v>
      </c>
      <c r="G2111">
        <v>54.03</v>
      </c>
      <c r="H2111" t="s">
        <v>5</v>
      </c>
      <c r="I2111" s="22">
        <f t="shared" si="65"/>
        <v>-7.0085126418594941E-3</v>
      </c>
      <c r="J2111" s="22" t="str">
        <f t="shared" si="66"/>
        <v>lost money</v>
      </c>
    </row>
    <row r="2112" spans="1:10">
      <c r="A2112" s="1">
        <v>41179</v>
      </c>
      <c r="B2112">
        <v>57.3</v>
      </c>
      <c r="C2112">
        <v>57.46</v>
      </c>
      <c r="D2112">
        <v>57.02</v>
      </c>
      <c r="E2112">
        <v>57.39</v>
      </c>
      <c r="F2112">
        <v>4240200</v>
      </c>
      <c r="G2112">
        <v>54.39</v>
      </c>
      <c r="H2112" t="s">
        <v>5</v>
      </c>
      <c r="I2112" s="22">
        <f t="shared" si="65"/>
        <v>6.6408655788949703E-3</v>
      </c>
      <c r="J2112" s="22" t="str">
        <f t="shared" si="66"/>
        <v/>
      </c>
    </row>
    <row r="2113" spans="1:10">
      <c r="A2113" s="1">
        <v>41180</v>
      </c>
      <c r="B2113">
        <v>57.17</v>
      </c>
      <c r="C2113">
        <v>57.32</v>
      </c>
      <c r="D2113">
        <v>56.83</v>
      </c>
      <c r="E2113">
        <v>57.18</v>
      </c>
      <c r="F2113">
        <v>5013500</v>
      </c>
      <c r="G2113">
        <v>54.19</v>
      </c>
      <c r="H2113" t="s">
        <v>5</v>
      </c>
      <c r="I2113" s="22">
        <f t="shared" si="65"/>
        <v>-3.6839238568465572E-3</v>
      </c>
      <c r="J2113" s="22" t="str">
        <f t="shared" si="66"/>
        <v/>
      </c>
    </row>
    <row r="2114" spans="1:10">
      <c r="A2114" s="1">
        <v>41183</v>
      </c>
      <c r="B2114">
        <v>57.48</v>
      </c>
      <c r="C2114">
        <v>57.85</v>
      </c>
      <c r="D2114">
        <v>57.25</v>
      </c>
      <c r="E2114">
        <v>57.41</v>
      </c>
      <c r="F2114">
        <v>4817600</v>
      </c>
      <c r="G2114">
        <v>54.41</v>
      </c>
      <c r="H2114" t="s">
        <v>5</v>
      </c>
      <c r="I2114" s="22">
        <f t="shared" si="65"/>
        <v>4.0515709198110979E-3</v>
      </c>
      <c r="J2114" s="22" t="str">
        <f t="shared" si="66"/>
        <v>lost money</v>
      </c>
    </row>
    <row r="2115" spans="1:10">
      <c r="A2115" s="1">
        <v>41184</v>
      </c>
      <c r="B2115">
        <v>57.7</v>
      </c>
      <c r="C2115">
        <v>57.81</v>
      </c>
      <c r="D2115">
        <v>57.04</v>
      </c>
      <c r="E2115">
        <v>57.37</v>
      </c>
      <c r="F2115">
        <v>5187800</v>
      </c>
      <c r="G2115">
        <v>54.37</v>
      </c>
      <c r="H2115" t="s">
        <v>5</v>
      </c>
      <c r="I2115" s="22">
        <f t="shared" ref="I2115:I2178" si="67">IF(A2115=$A$2,"",LN(G2115/G2114))</f>
        <v>-7.3542934000469205E-4</v>
      </c>
      <c r="J2115" s="22" t="str">
        <f t="shared" ref="J2115:J2178" si="68">IF(B2115&gt;E2115,"lost money","")</f>
        <v>lost money</v>
      </c>
    </row>
    <row r="2116" spans="1:10">
      <c r="A2116" s="1">
        <v>41185</v>
      </c>
      <c r="B2116">
        <v>57.32</v>
      </c>
      <c r="C2116">
        <v>57.39</v>
      </c>
      <c r="D2116">
        <v>56.59</v>
      </c>
      <c r="E2116">
        <v>56.77</v>
      </c>
      <c r="F2116">
        <v>6840200</v>
      </c>
      <c r="G2116">
        <v>53.8</v>
      </c>
      <c r="H2116" t="s">
        <v>5</v>
      </c>
      <c r="I2116" s="22">
        <f t="shared" si="67"/>
        <v>-1.0539063990090532E-2</v>
      </c>
      <c r="J2116" s="22" t="str">
        <f t="shared" si="68"/>
        <v>lost money</v>
      </c>
    </row>
    <row r="2117" spans="1:10">
      <c r="A2117" s="1">
        <v>41186</v>
      </c>
      <c r="B2117">
        <v>57.12</v>
      </c>
      <c r="C2117">
        <v>57.45</v>
      </c>
      <c r="D2117">
        <v>56.81</v>
      </c>
      <c r="E2117">
        <v>57.4</v>
      </c>
      <c r="F2117">
        <v>4432200</v>
      </c>
      <c r="G2117">
        <v>54.4</v>
      </c>
      <c r="H2117" t="s">
        <v>5</v>
      </c>
      <c r="I2117" s="22">
        <f t="shared" si="67"/>
        <v>1.1090686694158138E-2</v>
      </c>
      <c r="J2117" s="22" t="str">
        <f t="shared" si="68"/>
        <v/>
      </c>
    </row>
    <row r="2118" spans="1:10">
      <c r="A2118" s="1">
        <v>41187</v>
      </c>
      <c r="B2118">
        <v>57.61</v>
      </c>
      <c r="C2118">
        <v>58.03</v>
      </c>
      <c r="D2118">
        <v>57.41</v>
      </c>
      <c r="E2118">
        <v>57.58</v>
      </c>
      <c r="F2118">
        <v>4362700</v>
      </c>
      <c r="G2118">
        <v>54.57</v>
      </c>
      <c r="H2118" t="s">
        <v>5</v>
      </c>
      <c r="I2118" s="22">
        <f t="shared" si="67"/>
        <v>3.1201273362436777E-3</v>
      </c>
      <c r="J2118" s="22" t="str">
        <f t="shared" si="68"/>
        <v>lost money</v>
      </c>
    </row>
    <row r="2119" spans="1:10">
      <c r="A2119" s="1">
        <v>41190</v>
      </c>
      <c r="B2119">
        <v>57.37</v>
      </c>
      <c r="C2119">
        <v>57.69</v>
      </c>
      <c r="D2119">
        <v>57.27</v>
      </c>
      <c r="E2119">
        <v>57.62</v>
      </c>
      <c r="F2119">
        <v>2463200</v>
      </c>
      <c r="G2119">
        <v>54.6</v>
      </c>
      <c r="H2119" t="s">
        <v>5</v>
      </c>
      <c r="I2119" s="22">
        <f t="shared" si="67"/>
        <v>5.496015527188268E-4</v>
      </c>
      <c r="J2119" s="22" t="str">
        <f t="shared" si="68"/>
        <v/>
      </c>
    </row>
    <row r="2120" spans="1:10">
      <c r="A2120" s="1">
        <v>41191</v>
      </c>
      <c r="B2120">
        <v>57.71</v>
      </c>
      <c r="C2120">
        <v>58.23</v>
      </c>
      <c r="D2120">
        <v>57.62</v>
      </c>
      <c r="E2120">
        <v>57.8</v>
      </c>
      <c r="F2120">
        <v>4924800</v>
      </c>
      <c r="G2120">
        <v>54.77</v>
      </c>
      <c r="H2120" t="s">
        <v>5</v>
      </c>
      <c r="I2120" s="22">
        <f t="shared" si="67"/>
        <v>3.1087160447705862E-3</v>
      </c>
      <c r="J2120" s="22" t="str">
        <f t="shared" si="68"/>
        <v/>
      </c>
    </row>
    <row r="2121" spans="1:10">
      <c r="A2121" s="1">
        <v>41192</v>
      </c>
      <c r="B2121">
        <v>57.7</v>
      </c>
      <c r="C2121">
        <v>57.83</v>
      </c>
      <c r="D2121">
        <v>57.13</v>
      </c>
      <c r="E2121">
        <v>57.24</v>
      </c>
      <c r="F2121">
        <v>6493600</v>
      </c>
      <c r="G2121">
        <v>54.24</v>
      </c>
      <c r="H2121" t="s">
        <v>5</v>
      </c>
      <c r="I2121" s="22">
        <f t="shared" si="67"/>
        <v>-9.7239551634898981E-3</v>
      </c>
      <c r="J2121" s="22" t="str">
        <f t="shared" si="68"/>
        <v>lost money</v>
      </c>
    </row>
    <row r="2122" spans="1:10">
      <c r="A2122" s="1">
        <v>41193</v>
      </c>
      <c r="B2122">
        <v>57.08</v>
      </c>
      <c r="C2122">
        <v>57.08</v>
      </c>
      <c r="D2122">
        <v>56.63</v>
      </c>
      <c r="E2122">
        <v>56.63</v>
      </c>
      <c r="F2122">
        <v>5972900</v>
      </c>
      <c r="G2122">
        <v>54.29</v>
      </c>
      <c r="H2122" t="s">
        <v>5</v>
      </c>
      <c r="I2122" s="22">
        <f t="shared" si="67"/>
        <v>9.2140428521942915E-4</v>
      </c>
      <c r="J2122" s="22" t="str">
        <f t="shared" si="68"/>
        <v>lost money</v>
      </c>
    </row>
    <row r="2123" spans="1:10">
      <c r="A2123" s="1">
        <v>41194</v>
      </c>
      <c r="B2123">
        <v>56.8</v>
      </c>
      <c r="C2123">
        <v>56.89</v>
      </c>
      <c r="D2123">
        <v>55.9</v>
      </c>
      <c r="E2123">
        <v>56.17</v>
      </c>
      <c r="F2123">
        <v>5854900</v>
      </c>
      <c r="G2123">
        <v>53.85</v>
      </c>
      <c r="H2123" t="s">
        <v>5</v>
      </c>
      <c r="I2123" s="22">
        <f t="shared" si="67"/>
        <v>-8.1376443149620854E-3</v>
      </c>
      <c r="J2123" s="22" t="str">
        <f t="shared" si="68"/>
        <v>lost money</v>
      </c>
    </row>
    <row r="2124" spans="1:10">
      <c r="A2124" s="1">
        <v>41197</v>
      </c>
      <c r="B2124">
        <v>56.17</v>
      </c>
      <c r="C2124">
        <v>56.89</v>
      </c>
      <c r="D2124">
        <v>55.89</v>
      </c>
      <c r="E2124">
        <v>56.79</v>
      </c>
      <c r="F2124">
        <v>4697500</v>
      </c>
      <c r="G2124">
        <v>54.45</v>
      </c>
      <c r="H2124" t="s">
        <v>5</v>
      </c>
      <c r="I2124" s="22">
        <f t="shared" si="67"/>
        <v>1.1080445776571959E-2</v>
      </c>
      <c r="J2124" s="22" t="str">
        <f t="shared" si="68"/>
        <v/>
      </c>
    </row>
    <row r="2125" spans="1:10">
      <c r="A2125" s="1">
        <v>41198</v>
      </c>
      <c r="B2125">
        <v>57.15</v>
      </c>
      <c r="C2125">
        <v>57.8</v>
      </c>
      <c r="D2125">
        <v>56.96</v>
      </c>
      <c r="E2125">
        <v>57.62</v>
      </c>
      <c r="F2125">
        <v>5490300</v>
      </c>
      <c r="G2125">
        <v>55.24</v>
      </c>
      <c r="H2125" t="s">
        <v>5</v>
      </c>
      <c r="I2125" s="22">
        <f t="shared" si="67"/>
        <v>1.4404479162121824E-2</v>
      </c>
      <c r="J2125" s="22" t="str">
        <f t="shared" si="68"/>
        <v/>
      </c>
    </row>
    <row r="2126" spans="1:10">
      <c r="A2126" s="1">
        <v>41199</v>
      </c>
      <c r="B2126">
        <v>57.47</v>
      </c>
      <c r="C2126">
        <v>58.28</v>
      </c>
      <c r="D2126">
        <v>57.36</v>
      </c>
      <c r="E2126">
        <v>58.12</v>
      </c>
      <c r="F2126">
        <v>4687000</v>
      </c>
      <c r="G2126">
        <v>55.72</v>
      </c>
      <c r="H2126" t="s">
        <v>5</v>
      </c>
      <c r="I2126" s="22">
        <f t="shared" si="67"/>
        <v>8.6518203705134647E-3</v>
      </c>
      <c r="J2126" s="22" t="str">
        <f t="shared" si="68"/>
        <v/>
      </c>
    </row>
    <row r="2127" spans="1:10">
      <c r="A2127" s="1">
        <v>41200</v>
      </c>
      <c r="B2127">
        <v>58.25</v>
      </c>
      <c r="C2127">
        <v>58.52</v>
      </c>
      <c r="D2127">
        <v>58.1</v>
      </c>
      <c r="E2127">
        <v>58.27</v>
      </c>
      <c r="F2127">
        <v>4853400</v>
      </c>
      <c r="G2127">
        <v>55.86</v>
      </c>
      <c r="H2127" t="s">
        <v>5</v>
      </c>
      <c r="I2127" s="22">
        <f t="shared" si="67"/>
        <v>2.509411605425707E-3</v>
      </c>
      <c r="J2127" s="22" t="str">
        <f t="shared" si="68"/>
        <v/>
      </c>
    </row>
    <row r="2128" spans="1:10">
      <c r="A2128" s="1">
        <v>41201</v>
      </c>
      <c r="B2128">
        <v>58.2</v>
      </c>
      <c r="C2128">
        <v>58.35</v>
      </c>
      <c r="D2128">
        <v>57.33</v>
      </c>
      <c r="E2128">
        <v>57.45</v>
      </c>
      <c r="F2128">
        <v>5982800</v>
      </c>
      <c r="G2128">
        <v>55.08</v>
      </c>
      <c r="H2128" t="s">
        <v>5</v>
      </c>
      <c r="I2128" s="22">
        <f t="shared" si="67"/>
        <v>-1.4061886656576646E-2</v>
      </c>
      <c r="J2128" s="22" t="str">
        <f t="shared" si="68"/>
        <v>lost money</v>
      </c>
    </row>
    <row r="2129" spans="1:10">
      <c r="A2129" s="1">
        <v>41204</v>
      </c>
      <c r="B2129">
        <v>57.52</v>
      </c>
      <c r="C2129">
        <v>57.54</v>
      </c>
      <c r="D2129">
        <v>56.43</v>
      </c>
      <c r="E2129">
        <v>57.04</v>
      </c>
      <c r="F2129">
        <v>5891200</v>
      </c>
      <c r="G2129">
        <v>54.69</v>
      </c>
      <c r="H2129" t="s">
        <v>5</v>
      </c>
      <c r="I2129" s="22">
        <f t="shared" si="67"/>
        <v>-7.1057965017727476E-3</v>
      </c>
      <c r="J2129" s="22" t="str">
        <f t="shared" si="68"/>
        <v>lost money</v>
      </c>
    </row>
    <row r="2130" spans="1:10">
      <c r="A2130" s="1">
        <v>41205</v>
      </c>
      <c r="B2130">
        <v>56.26</v>
      </c>
      <c r="C2130">
        <v>56.33</v>
      </c>
      <c r="D2130">
        <v>55.7</v>
      </c>
      <c r="E2130">
        <v>56.06</v>
      </c>
      <c r="F2130">
        <v>6852800</v>
      </c>
      <c r="G2130">
        <v>53.75</v>
      </c>
      <c r="H2130" t="s">
        <v>5</v>
      </c>
      <c r="I2130" s="22">
        <f t="shared" si="67"/>
        <v>-1.7337210350909127E-2</v>
      </c>
      <c r="J2130" s="22" t="str">
        <f t="shared" si="68"/>
        <v>lost money</v>
      </c>
    </row>
    <row r="2131" spans="1:10">
      <c r="A2131" s="1">
        <v>41206</v>
      </c>
      <c r="B2131">
        <v>56.08</v>
      </c>
      <c r="C2131">
        <v>56.43</v>
      </c>
      <c r="D2131">
        <v>55.81</v>
      </c>
      <c r="E2131">
        <v>55.95</v>
      </c>
      <c r="F2131">
        <v>6605000</v>
      </c>
      <c r="G2131">
        <v>53.64</v>
      </c>
      <c r="H2131" t="s">
        <v>5</v>
      </c>
      <c r="I2131" s="22">
        <f t="shared" si="67"/>
        <v>-2.0486085942943493E-3</v>
      </c>
      <c r="J2131" s="22" t="str">
        <f t="shared" si="68"/>
        <v>lost money</v>
      </c>
    </row>
    <row r="2132" spans="1:10">
      <c r="A2132" s="1">
        <v>41207</v>
      </c>
      <c r="B2132">
        <v>56.71</v>
      </c>
      <c r="C2132">
        <v>57.53</v>
      </c>
      <c r="D2132">
        <v>56.65</v>
      </c>
      <c r="E2132">
        <v>57.16</v>
      </c>
      <c r="F2132">
        <v>9705100</v>
      </c>
      <c r="G2132">
        <v>54.8</v>
      </c>
      <c r="H2132" t="s">
        <v>5</v>
      </c>
      <c r="I2132" s="22">
        <f t="shared" si="67"/>
        <v>2.1395135540492105E-2</v>
      </c>
      <c r="J2132" s="22" t="str">
        <f t="shared" si="68"/>
        <v/>
      </c>
    </row>
    <row r="2133" spans="1:10">
      <c r="A2133" s="1">
        <v>41208</v>
      </c>
      <c r="B2133">
        <v>57.01</v>
      </c>
      <c r="C2133">
        <v>57.57</v>
      </c>
      <c r="D2133">
        <v>57</v>
      </c>
      <c r="E2133">
        <v>57.31</v>
      </c>
      <c r="F2133">
        <v>6012900</v>
      </c>
      <c r="G2133">
        <v>54.94</v>
      </c>
      <c r="H2133" t="s">
        <v>5</v>
      </c>
      <c r="I2133" s="22">
        <f t="shared" si="67"/>
        <v>2.5514867131578908E-3</v>
      </c>
      <c r="J2133" s="22" t="str">
        <f t="shared" si="68"/>
        <v/>
      </c>
    </row>
    <row r="2134" spans="1:10">
      <c r="A2134" s="1">
        <v>41213</v>
      </c>
      <c r="B2134">
        <v>57.61</v>
      </c>
      <c r="C2134">
        <v>57.92</v>
      </c>
      <c r="D2134">
        <v>57.5</v>
      </c>
      <c r="E2134">
        <v>57.85</v>
      </c>
      <c r="F2134">
        <v>6167800</v>
      </c>
      <c r="G2134">
        <v>55.46</v>
      </c>
      <c r="H2134" t="s">
        <v>5</v>
      </c>
      <c r="I2134" s="22">
        <f t="shared" si="67"/>
        <v>9.4203595205041533E-3</v>
      </c>
      <c r="J2134" s="22" t="str">
        <f t="shared" si="68"/>
        <v/>
      </c>
    </row>
    <row r="2135" spans="1:10">
      <c r="A2135" s="1">
        <v>41214</v>
      </c>
      <c r="B2135">
        <v>58</v>
      </c>
      <c r="C2135">
        <v>58.5</v>
      </c>
      <c r="D2135">
        <v>57.92</v>
      </c>
      <c r="E2135">
        <v>58.42</v>
      </c>
      <c r="F2135">
        <v>6731500</v>
      </c>
      <c r="G2135">
        <v>56.01</v>
      </c>
      <c r="H2135" t="s">
        <v>5</v>
      </c>
      <c r="I2135" s="22">
        <f t="shared" si="67"/>
        <v>9.8682060341089978E-3</v>
      </c>
      <c r="J2135" s="22" t="str">
        <f t="shared" si="68"/>
        <v/>
      </c>
    </row>
    <row r="2136" spans="1:10">
      <c r="A2136" s="1">
        <v>41215</v>
      </c>
      <c r="B2136">
        <v>58.61</v>
      </c>
      <c r="C2136">
        <v>58.8</v>
      </c>
      <c r="D2136">
        <v>57.56</v>
      </c>
      <c r="E2136">
        <v>57.65</v>
      </c>
      <c r="F2136">
        <v>11408200</v>
      </c>
      <c r="G2136">
        <v>55.27</v>
      </c>
      <c r="H2136" t="s">
        <v>5</v>
      </c>
      <c r="I2136" s="22">
        <f t="shared" si="67"/>
        <v>-1.3299980376569282E-2</v>
      </c>
      <c r="J2136" s="22" t="str">
        <f t="shared" si="68"/>
        <v>lost money</v>
      </c>
    </row>
    <row r="2137" spans="1:10">
      <c r="A2137" s="1">
        <v>41218</v>
      </c>
      <c r="B2137">
        <v>57.49</v>
      </c>
      <c r="C2137">
        <v>57.82</v>
      </c>
      <c r="D2137">
        <v>57.28</v>
      </c>
      <c r="E2137">
        <v>57.53</v>
      </c>
      <c r="F2137">
        <v>4805200</v>
      </c>
      <c r="G2137">
        <v>55.15</v>
      </c>
      <c r="H2137" t="s">
        <v>5</v>
      </c>
      <c r="I2137" s="22">
        <f t="shared" si="67"/>
        <v>-2.1735201456602286E-3</v>
      </c>
      <c r="J2137" s="22" t="str">
        <f t="shared" si="68"/>
        <v/>
      </c>
    </row>
    <row r="2138" spans="1:10">
      <c r="A2138" s="1">
        <v>41219</v>
      </c>
      <c r="B2138">
        <v>57.54</v>
      </c>
      <c r="C2138">
        <v>58.41</v>
      </c>
      <c r="D2138">
        <v>57.47</v>
      </c>
      <c r="E2138">
        <v>58.22</v>
      </c>
      <c r="F2138">
        <v>7424500</v>
      </c>
      <c r="G2138">
        <v>55.82</v>
      </c>
      <c r="H2138" t="s">
        <v>5</v>
      </c>
      <c r="I2138" s="22">
        <f t="shared" si="67"/>
        <v>1.2075482408664644E-2</v>
      </c>
      <c r="J2138" s="22" t="str">
        <f t="shared" si="68"/>
        <v/>
      </c>
    </row>
    <row r="2139" spans="1:10">
      <c r="A2139" s="1">
        <v>41220</v>
      </c>
      <c r="B2139">
        <v>57.43</v>
      </c>
      <c r="C2139">
        <v>57.55</v>
      </c>
      <c r="D2139">
        <v>56.57</v>
      </c>
      <c r="E2139">
        <v>56.77</v>
      </c>
      <c r="F2139">
        <v>7946200</v>
      </c>
      <c r="G2139">
        <v>54.43</v>
      </c>
      <c r="H2139" t="s">
        <v>5</v>
      </c>
      <c r="I2139" s="22">
        <f t="shared" si="67"/>
        <v>-2.5216755662067481E-2</v>
      </c>
      <c r="J2139" s="22" t="str">
        <f t="shared" si="68"/>
        <v>lost money</v>
      </c>
    </row>
    <row r="2140" spans="1:10">
      <c r="A2140" s="1">
        <v>41221</v>
      </c>
      <c r="B2140">
        <v>56.73</v>
      </c>
      <c r="C2140">
        <v>56.99</v>
      </c>
      <c r="D2140">
        <v>55.85</v>
      </c>
      <c r="E2140">
        <v>55.86</v>
      </c>
      <c r="F2140">
        <v>6084800</v>
      </c>
      <c r="G2140">
        <v>53.55</v>
      </c>
      <c r="H2140" t="s">
        <v>5</v>
      </c>
      <c r="I2140" s="22">
        <f t="shared" si="67"/>
        <v>-1.6299675552350894E-2</v>
      </c>
      <c r="J2140" s="22" t="str">
        <f t="shared" si="68"/>
        <v>lost money</v>
      </c>
    </row>
    <row r="2141" spans="1:10">
      <c r="A2141" s="1">
        <v>41222</v>
      </c>
      <c r="B2141">
        <v>55.68</v>
      </c>
      <c r="C2141">
        <v>56.26</v>
      </c>
      <c r="D2141">
        <v>55.61</v>
      </c>
      <c r="E2141">
        <v>55.67</v>
      </c>
      <c r="F2141">
        <v>5695900</v>
      </c>
      <c r="G2141">
        <v>53.37</v>
      </c>
      <c r="H2141" t="s">
        <v>5</v>
      </c>
      <c r="I2141" s="22">
        <f t="shared" si="67"/>
        <v>-3.3670065479042954E-3</v>
      </c>
      <c r="J2141" s="22" t="str">
        <f t="shared" si="68"/>
        <v>lost money</v>
      </c>
    </row>
    <row r="2142" spans="1:10">
      <c r="A2142" s="1">
        <v>41225</v>
      </c>
      <c r="B2142">
        <v>55.83</v>
      </c>
      <c r="C2142">
        <v>56.05</v>
      </c>
      <c r="D2142">
        <v>55.44</v>
      </c>
      <c r="E2142">
        <v>55.64</v>
      </c>
      <c r="F2142">
        <v>3989300</v>
      </c>
      <c r="G2142">
        <v>53.34</v>
      </c>
      <c r="H2142" t="s">
        <v>5</v>
      </c>
      <c r="I2142" s="22">
        <f t="shared" si="67"/>
        <v>-5.6227159198513543E-4</v>
      </c>
      <c r="J2142" s="22" t="str">
        <f t="shared" si="68"/>
        <v>lost money</v>
      </c>
    </row>
    <row r="2143" spans="1:10">
      <c r="A2143" s="1">
        <v>41226</v>
      </c>
      <c r="B2143">
        <v>55.31</v>
      </c>
      <c r="C2143">
        <v>56</v>
      </c>
      <c r="D2143">
        <v>55.25</v>
      </c>
      <c r="E2143">
        <v>55.35</v>
      </c>
      <c r="F2143">
        <v>4463300</v>
      </c>
      <c r="G2143">
        <v>53.06</v>
      </c>
      <c r="H2143" t="s">
        <v>5</v>
      </c>
      <c r="I2143" s="22">
        <f t="shared" si="67"/>
        <v>-5.263170044274644E-3</v>
      </c>
      <c r="J2143" s="22" t="str">
        <f t="shared" si="68"/>
        <v/>
      </c>
    </row>
    <row r="2144" spans="1:10">
      <c r="A2144" s="1">
        <v>41227</v>
      </c>
      <c r="B2144">
        <v>55.37</v>
      </c>
      <c r="C2144">
        <v>55.7</v>
      </c>
      <c r="D2144">
        <v>54.66</v>
      </c>
      <c r="E2144">
        <v>54.77</v>
      </c>
      <c r="F2144">
        <v>6435000</v>
      </c>
      <c r="G2144">
        <v>52.51</v>
      </c>
      <c r="H2144" t="s">
        <v>5</v>
      </c>
      <c r="I2144" s="22">
        <f t="shared" si="67"/>
        <v>-1.0419721059825748E-2</v>
      </c>
      <c r="J2144" s="22" t="str">
        <f t="shared" si="68"/>
        <v>lost money</v>
      </c>
    </row>
    <row r="2145" spans="1:10">
      <c r="A2145" s="1">
        <v>41228</v>
      </c>
      <c r="B2145">
        <v>54.65</v>
      </c>
      <c r="C2145">
        <v>55.14</v>
      </c>
      <c r="D2145">
        <v>54.12</v>
      </c>
      <c r="E2145">
        <v>54.59</v>
      </c>
      <c r="F2145">
        <v>7598900</v>
      </c>
      <c r="G2145">
        <v>52.34</v>
      </c>
      <c r="H2145" t="s">
        <v>5</v>
      </c>
      <c r="I2145" s="22">
        <f t="shared" si="67"/>
        <v>-3.2427305477680736E-3</v>
      </c>
      <c r="J2145" s="22" t="str">
        <f t="shared" si="68"/>
        <v>lost money</v>
      </c>
    </row>
    <row r="2146" spans="1:10">
      <c r="A2146" s="1">
        <v>41229</v>
      </c>
      <c r="B2146">
        <v>54.57</v>
      </c>
      <c r="C2146">
        <v>55.14</v>
      </c>
      <c r="D2146">
        <v>53.95</v>
      </c>
      <c r="E2146">
        <v>55.03</v>
      </c>
      <c r="F2146">
        <v>8942400</v>
      </c>
      <c r="G2146">
        <v>52.76</v>
      </c>
      <c r="H2146" t="s">
        <v>5</v>
      </c>
      <c r="I2146" s="22">
        <f t="shared" si="67"/>
        <v>7.9924307471138517E-3</v>
      </c>
      <c r="J2146" s="22" t="str">
        <f t="shared" si="68"/>
        <v/>
      </c>
    </row>
    <row r="2147" spans="1:10">
      <c r="A2147" s="1">
        <v>41232</v>
      </c>
      <c r="B2147">
        <v>55.69</v>
      </c>
      <c r="C2147">
        <v>56.01</v>
      </c>
      <c r="D2147">
        <v>55.43</v>
      </c>
      <c r="E2147">
        <v>55.73</v>
      </c>
      <c r="F2147">
        <v>5675300</v>
      </c>
      <c r="G2147">
        <v>53.43</v>
      </c>
      <c r="H2147" t="s">
        <v>5</v>
      </c>
      <c r="I2147" s="22">
        <f t="shared" si="67"/>
        <v>1.2619058120566179E-2</v>
      </c>
      <c r="J2147" s="22" t="str">
        <f t="shared" si="68"/>
        <v/>
      </c>
    </row>
    <row r="2148" spans="1:10">
      <c r="A2148" s="1">
        <v>41233</v>
      </c>
      <c r="B2148">
        <v>55.63</v>
      </c>
      <c r="C2148">
        <v>55.69</v>
      </c>
      <c r="D2148">
        <v>55.16</v>
      </c>
      <c r="E2148">
        <v>55.63</v>
      </c>
      <c r="F2148">
        <v>4432200</v>
      </c>
      <c r="G2148">
        <v>53.33</v>
      </c>
      <c r="H2148" t="s">
        <v>5</v>
      </c>
      <c r="I2148" s="22">
        <f t="shared" si="67"/>
        <v>-1.8733613571691519E-3</v>
      </c>
      <c r="J2148" s="22" t="str">
        <f t="shared" si="68"/>
        <v/>
      </c>
    </row>
    <row r="2149" spans="1:10">
      <c r="A2149" s="1">
        <v>41234</v>
      </c>
      <c r="B2149">
        <v>55.82</v>
      </c>
      <c r="C2149">
        <v>56.06</v>
      </c>
      <c r="D2149">
        <v>55.53</v>
      </c>
      <c r="E2149">
        <v>56.05</v>
      </c>
      <c r="F2149">
        <v>3325700</v>
      </c>
      <c r="G2149">
        <v>53.74</v>
      </c>
      <c r="H2149" t="s">
        <v>5</v>
      </c>
      <c r="I2149" s="22">
        <f t="shared" si="67"/>
        <v>7.6585785748344232E-3</v>
      </c>
      <c r="J2149" s="22" t="str">
        <f t="shared" si="68"/>
        <v/>
      </c>
    </row>
    <row r="2150" spans="1:10">
      <c r="A2150" s="1">
        <v>41236</v>
      </c>
      <c r="B2150">
        <v>56.31</v>
      </c>
      <c r="C2150">
        <v>56.7</v>
      </c>
      <c r="D2150">
        <v>56.09</v>
      </c>
      <c r="E2150">
        <v>56.67</v>
      </c>
      <c r="F2150">
        <v>2057300</v>
      </c>
      <c r="G2150">
        <v>54.33</v>
      </c>
      <c r="H2150" t="s">
        <v>5</v>
      </c>
      <c r="I2150" s="22">
        <f t="shared" si="67"/>
        <v>1.0918957376086466E-2</v>
      </c>
      <c r="J2150" s="22" t="str">
        <f t="shared" si="68"/>
        <v/>
      </c>
    </row>
    <row r="2151" spans="1:10">
      <c r="A2151" s="1">
        <v>41239</v>
      </c>
      <c r="B2151">
        <v>56.23</v>
      </c>
      <c r="C2151">
        <v>56.8</v>
      </c>
      <c r="D2151">
        <v>56.01</v>
      </c>
      <c r="E2151">
        <v>56.8</v>
      </c>
      <c r="F2151">
        <v>5478400</v>
      </c>
      <c r="G2151">
        <v>54.46</v>
      </c>
      <c r="H2151" t="s">
        <v>5</v>
      </c>
      <c r="I2151" s="22">
        <f t="shared" si="67"/>
        <v>2.3899266821817804E-3</v>
      </c>
      <c r="J2151" s="22" t="str">
        <f t="shared" si="68"/>
        <v/>
      </c>
    </row>
    <row r="2152" spans="1:10">
      <c r="A2152" s="1">
        <v>41240</v>
      </c>
      <c r="B2152">
        <v>56.67</v>
      </c>
      <c r="C2152">
        <v>57.01</v>
      </c>
      <c r="D2152">
        <v>56.14</v>
      </c>
      <c r="E2152">
        <v>56.18</v>
      </c>
      <c r="F2152">
        <v>7198000</v>
      </c>
      <c r="G2152">
        <v>53.86</v>
      </c>
      <c r="H2152" t="s">
        <v>5</v>
      </c>
      <c r="I2152" s="22">
        <f t="shared" si="67"/>
        <v>-1.107839986216067E-2</v>
      </c>
      <c r="J2152" s="22" t="str">
        <f t="shared" si="68"/>
        <v>lost money</v>
      </c>
    </row>
    <row r="2153" spans="1:10">
      <c r="A2153" s="1">
        <v>41241</v>
      </c>
      <c r="B2153">
        <v>55.94</v>
      </c>
      <c r="C2153">
        <v>57.07</v>
      </c>
      <c r="D2153">
        <v>55.78</v>
      </c>
      <c r="E2153">
        <v>57.06</v>
      </c>
      <c r="F2153">
        <v>7168100</v>
      </c>
      <c r="G2153">
        <v>54.7</v>
      </c>
      <c r="H2153" t="s">
        <v>5</v>
      </c>
      <c r="I2153" s="22">
        <f t="shared" si="67"/>
        <v>1.5475622044482683E-2</v>
      </c>
      <c r="J2153" s="22" t="str">
        <f t="shared" si="68"/>
        <v/>
      </c>
    </row>
    <row r="2154" spans="1:10">
      <c r="A2154" s="1">
        <v>41242</v>
      </c>
      <c r="B2154">
        <v>57.31</v>
      </c>
      <c r="C2154">
        <v>57.38</v>
      </c>
      <c r="D2154">
        <v>56.87</v>
      </c>
      <c r="E2154">
        <v>56.98</v>
      </c>
      <c r="F2154">
        <v>4398400</v>
      </c>
      <c r="G2154">
        <v>54.63</v>
      </c>
      <c r="H2154" t="s">
        <v>5</v>
      </c>
      <c r="I2154" s="22">
        <f t="shared" si="67"/>
        <v>-1.2805270203092337E-3</v>
      </c>
      <c r="J2154" s="22" t="str">
        <f t="shared" si="68"/>
        <v>lost money</v>
      </c>
    </row>
    <row r="2155" spans="1:10">
      <c r="A2155" s="1">
        <v>41243</v>
      </c>
      <c r="B2155">
        <v>57.13</v>
      </c>
      <c r="C2155">
        <v>57.2</v>
      </c>
      <c r="D2155">
        <v>56.75</v>
      </c>
      <c r="E2155">
        <v>56.94</v>
      </c>
      <c r="F2155">
        <v>7627100</v>
      </c>
      <c r="G2155">
        <v>54.59</v>
      </c>
      <c r="H2155" t="s">
        <v>5</v>
      </c>
      <c r="I2155" s="22">
        <f t="shared" si="67"/>
        <v>-7.324666139599781E-4</v>
      </c>
      <c r="J2155" s="22" t="str">
        <f t="shared" si="68"/>
        <v>lost money</v>
      </c>
    </row>
    <row r="2156" spans="1:10">
      <c r="A2156" s="1">
        <v>41246</v>
      </c>
      <c r="B2156">
        <v>57.33</v>
      </c>
      <c r="C2156">
        <v>57.4</v>
      </c>
      <c r="D2156">
        <v>56.87</v>
      </c>
      <c r="E2156">
        <v>57.17</v>
      </c>
      <c r="F2156">
        <v>7163100</v>
      </c>
      <c r="G2156">
        <v>54.81</v>
      </c>
      <c r="H2156" t="s">
        <v>5</v>
      </c>
      <c r="I2156" s="22">
        <f t="shared" si="67"/>
        <v>4.0219432643586956E-3</v>
      </c>
      <c r="J2156" s="22" t="str">
        <f t="shared" si="68"/>
        <v>lost money</v>
      </c>
    </row>
    <row r="2157" spans="1:10">
      <c r="A2157" s="1">
        <v>41247</v>
      </c>
      <c r="B2157">
        <v>57.07</v>
      </c>
      <c r="C2157">
        <v>57.2</v>
      </c>
      <c r="D2157">
        <v>56.57</v>
      </c>
      <c r="E2157">
        <v>56.84</v>
      </c>
      <c r="F2157">
        <v>5416200</v>
      </c>
      <c r="G2157">
        <v>54.49</v>
      </c>
      <c r="H2157" t="s">
        <v>5</v>
      </c>
      <c r="I2157" s="22">
        <f t="shared" si="67"/>
        <v>-5.855460463018043E-3</v>
      </c>
      <c r="J2157" s="22" t="str">
        <f t="shared" si="68"/>
        <v>lost money</v>
      </c>
    </row>
    <row r="2158" spans="1:10">
      <c r="A2158" s="1">
        <v>41248</v>
      </c>
      <c r="B2158">
        <v>56.84</v>
      </c>
      <c r="C2158">
        <v>57.61</v>
      </c>
      <c r="D2158">
        <v>56.65</v>
      </c>
      <c r="E2158">
        <v>57.18</v>
      </c>
      <c r="F2158">
        <v>6072900</v>
      </c>
      <c r="G2158">
        <v>54.82</v>
      </c>
      <c r="H2158" t="s">
        <v>5</v>
      </c>
      <c r="I2158" s="22">
        <f t="shared" si="67"/>
        <v>6.0378922796327948E-3</v>
      </c>
      <c r="J2158" s="22" t="str">
        <f t="shared" si="68"/>
        <v/>
      </c>
    </row>
    <row r="2159" spans="1:10">
      <c r="A2159" s="1">
        <v>41249</v>
      </c>
      <c r="B2159">
        <v>57.18</v>
      </c>
      <c r="C2159">
        <v>57.51</v>
      </c>
      <c r="D2159">
        <v>56.92</v>
      </c>
      <c r="E2159">
        <v>57.35</v>
      </c>
      <c r="F2159">
        <v>6688700</v>
      </c>
      <c r="G2159">
        <v>54.98</v>
      </c>
      <c r="H2159" t="s">
        <v>5</v>
      </c>
      <c r="I2159" s="22">
        <f t="shared" si="67"/>
        <v>2.9143918624598263E-3</v>
      </c>
      <c r="J2159" s="22" t="str">
        <f t="shared" si="68"/>
        <v/>
      </c>
    </row>
    <row r="2160" spans="1:10">
      <c r="A2160" s="1">
        <v>41250</v>
      </c>
      <c r="B2160">
        <v>57.49</v>
      </c>
      <c r="C2160">
        <v>57.94</v>
      </c>
      <c r="D2160">
        <v>57.4</v>
      </c>
      <c r="E2160">
        <v>57.94</v>
      </c>
      <c r="F2160">
        <v>5342100</v>
      </c>
      <c r="G2160">
        <v>55.55</v>
      </c>
      <c r="H2160" t="s">
        <v>5</v>
      </c>
      <c r="I2160" s="22">
        <f t="shared" si="67"/>
        <v>1.0314033348539402E-2</v>
      </c>
      <c r="J2160" s="22" t="str">
        <f t="shared" si="68"/>
        <v/>
      </c>
    </row>
    <row r="2161" spans="1:10">
      <c r="A2161" s="1">
        <v>41253</v>
      </c>
      <c r="B2161">
        <v>57.59</v>
      </c>
      <c r="C2161">
        <v>58.08</v>
      </c>
      <c r="D2161">
        <v>57.59</v>
      </c>
      <c r="E2161">
        <v>57.88</v>
      </c>
      <c r="F2161">
        <v>5328400</v>
      </c>
      <c r="G2161">
        <v>55.49</v>
      </c>
      <c r="H2161" t="s">
        <v>5</v>
      </c>
      <c r="I2161" s="22">
        <f t="shared" si="67"/>
        <v>-1.080691747828987E-3</v>
      </c>
      <c r="J2161" s="22" t="str">
        <f t="shared" si="68"/>
        <v/>
      </c>
    </row>
    <row r="2162" spans="1:10">
      <c r="A2162" s="1">
        <v>41254</v>
      </c>
      <c r="B2162">
        <v>58.01</v>
      </c>
      <c r="C2162">
        <v>58.38</v>
      </c>
      <c r="D2162">
        <v>57.85</v>
      </c>
      <c r="E2162">
        <v>58.12</v>
      </c>
      <c r="F2162">
        <v>4806400</v>
      </c>
      <c r="G2162">
        <v>55.72</v>
      </c>
      <c r="H2162" t="s">
        <v>5</v>
      </c>
      <c r="I2162" s="22">
        <f t="shared" si="67"/>
        <v>4.1363245737950707E-3</v>
      </c>
      <c r="J2162" s="22" t="str">
        <f t="shared" si="68"/>
        <v/>
      </c>
    </row>
    <row r="2163" spans="1:10">
      <c r="A2163" s="1">
        <v>41255</v>
      </c>
      <c r="B2163">
        <v>58.36</v>
      </c>
      <c r="C2163">
        <v>58.75</v>
      </c>
      <c r="D2163">
        <v>58.09</v>
      </c>
      <c r="E2163">
        <v>58.2</v>
      </c>
      <c r="F2163">
        <v>5480200</v>
      </c>
      <c r="G2163">
        <v>55.8</v>
      </c>
      <c r="H2163" t="s">
        <v>5</v>
      </c>
      <c r="I2163" s="22">
        <f t="shared" si="67"/>
        <v>1.4347204756603724E-3</v>
      </c>
      <c r="J2163" s="22" t="str">
        <f t="shared" si="68"/>
        <v>lost money</v>
      </c>
    </row>
    <row r="2164" spans="1:10">
      <c r="A2164" s="1">
        <v>41256</v>
      </c>
      <c r="B2164">
        <v>58.1</v>
      </c>
      <c r="C2164">
        <v>58.13</v>
      </c>
      <c r="D2164">
        <v>57.53</v>
      </c>
      <c r="E2164">
        <v>57.88</v>
      </c>
      <c r="F2164">
        <v>6066100</v>
      </c>
      <c r="G2164">
        <v>55.49</v>
      </c>
      <c r="H2164" t="s">
        <v>5</v>
      </c>
      <c r="I2164" s="22">
        <f t="shared" si="67"/>
        <v>-5.5710450494552482E-3</v>
      </c>
      <c r="J2164" s="22" t="str">
        <f t="shared" si="68"/>
        <v>lost money</v>
      </c>
    </row>
    <row r="2165" spans="1:10">
      <c r="A2165" s="1">
        <v>41257</v>
      </c>
      <c r="B2165">
        <v>57.59</v>
      </c>
      <c r="C2165">
        <v>57.91</v>
      </c>
      <c r="D2165">
        <v>57.55</v>
      </c>
      <c r="E2165">
        <v>57.69</v>
      </c>
      <c r="F2165">
        <v>3858000</v>
      </c>
      <c r="G2165">
        <v>55.31</v>
      </c>
      <c r="H2165" t="s">
        <v>5</v>
      </c>
      <c r="I2165" s="22">
        <f t="shared" si="67"/>
        <v>-3.2491003312232381E-3</v>
      </c>
      <c r="J2165" s="22" t="str">
        <f t="shared" si="68"/>
        <v/>
      </c>
    </row>
    <row r="2166" spans="1:10">
      <c r="A2166" s="1">
        <v>41260</v>
      </c>
      <c r="B2166">
        <v>57.98</v>
      </c>
      <c r="C2166">
        <v>58.66</v>
      </c>
      <c r="D2166">
        <v>57.67</v>
      </c>
      <c r="E2166">
        <v>58.28</v>
      </c>
      <c r="F2166">
        <v>5484600</v>
      </c>
      <c r="G2166">
        <v>55.87</v>
      </c>
      <c r="H2166" t="s">
        <v>5</v>
      </c>
      <c r="I2166" s="22">
        <f t="shared" si="67"/>
        <v>1.0073839464470769E-2</v>
      </c>
      <c r="J2166" s="22" t="str">
        <f t="shared" si="68"/>
        <v/>
      </c>
    </row>
    <row r="2167" spans="1:10">
      <c r="A2167" s="1">
        <v>41261</v>
      </c>
      <c r="B2167">
        <v>58.22</v>
      </c>
      <c r="C2167">
        <v>59.34</v>
      </c>
      <c r="D2167">
        <v>58.18</v>
      </c>
      <c r="E2167">
        <v>59.3</v>
      </c>
      <c r="F2167">
        <v>7308900</v>
      </c>
      <c r="G2167">
        <v>56.85</v>
      </c>
      <c r="H2167" t="s">
        <v>5</v>
      </c>
      <c r="I2167" s="22">
        <f t="shared" si="67"/>
        <v>1.7388656725487745E-2</v>
      </c>
      <c r="J2167" s="22" t="str">
        <f t="shared" si="68"/>
        <v/>
      </c>
    </row>
    <row r="2168" spans="1:10">
      <c r="A2168" s="1">
        <v>41262</v>
      </c>
      <c r="B2168">
        <v>59.34</v>
      </c>
      <c r="C2168">
        <v>59.65</v>
      </c>
      <c r="D2168">
        <v>59.2</v>
      </c>
      <c r="E2168">
        <v>59.2</v>
      </c>
      <c r="F2168">
        <v>6877500</v>
      </c>
      <c r="G2168">
        <v>56.76</v>
      </c>
      <c r="H2168" t="s">
        <v>5</v>
      </c>
      <c r="I2168" s="22">
        <f t="shared" si="67"/>
        <v>-1.5843679047032029E-3</v>
      </c>
      <c r="J2168" s="22" t="str">
        <f t="shared" si="68"/>
        <v>lost money</v>
      </c>
    </row>
    <row r="2169" spans="1:10">
      <c r="A2169" s="1">
        <v>41263</v>
      </c>
      <c r="B2169">
        <v>59.3</v>
      </c>
      <c r="C2169">
        <v>59.5</v>
      </c>
      <c r="D2169">
        <v>58.53</v>
      </c>
      <c r="E2169">
        <v>59.28</v>
      </c>
      <c r="F2169">
        <v>7144500</v>
      </c>
      <c r="G2169">
        <v>56.83</v>
      </c>
      <c r="H2169" t="s">
        <v>5</v>
      </c>
      <c r="I2169" s="22">
        <f t="shared" si="67"/>
        <v>1.2325030171881357E-3</v>
      </c>
      <c r="J2169" s="22" t="str">
        <f t="shared" si="68"/>
        <v>lost money</v>
      </c>
    </row>
    <row r="2170" spans="1:10">
      <c r="A2170" s="1">
        <v>41264</v>
      </c>
      <c r="B2170">
        <v>58.54</v>
      </c>
      <c r="C2170">
        <v>59.03</v>
      </c>
      <c r="D2170">
        <v>58.21</v>
      </c>
      <c r="E2170">
        <v>58.61</v>
      </c>
      <c r="F2170">
        <v>15284900</v>
      </c>
      <c r="G2170">
        <v>56.19</v>
      </c>
      <c r="H2170" t="s">
        <v>5</v>
      </c>
      <c r="I2170" s="22">
        <f t="shared" si="67"/>
        <v>-1.1325550184923282E-2</v>
      </c>
      <c r="J2170" s="22" t="str">
        <f t="shared" si="68"/>
        <v/>
      </c>
    </row>
    <row r="2171" spans="1:10">
      <c r="A2171" s="1">
        <v>41267</v>
      </c>
      <c r="B2171">
        <v>58.56</v>
      </c>
      <c r="C2171">
        <v>58.69</v>
      </c>
      <c r="D2171">
        <v>58.33</v>
      </c>
      <c r="E2171">
        <v>58.44</v>
      </c>
      <c r="F2171">
        <v>2121500</v>
      </c>
      <c r="G2171">
        <v>56.03</v>
      </c>
      <c r="H2171" t="s">
        <v>5</v>
      </c>
      <c r="I2171" s="22">
        <f t="shared" si="67"/>
        <v>-2.8515435469136426E-3</v>
      </c>
      <c r="J2171" s="22" t="str">
        <f t="shared" si="68"/>
        <v>lost money</v>
      </c>
    </row>
    <row r="2172" spans="1:10">
      <c r="A2172" s="1">
        <v>41269</v>
      </c>
      <c r="B2172">
        <v>58.62</v>
      </c>
      <c r="C2172">
        <v>58.67</v>
      </c>
      <c r="D2172">
        <v>57.88</v>
      </c>
      <c r="E2172">
        <v>57.95</v>
      </c>
      <c r="F2172">
        <v>4761600</v>
      </c>
      <c r="G2172">
        <v>55.56</v>
      </c>
      <c r="H2172" t="s">
        <v>5</v>
      </c>
      <c r="I2172" s="22">
        <f t="shared" si="67"/>
        <v>-8.4237436910501E-3</v>
      </c>
      <c r="J2172" s="22" t="str">
        <f t="shared" si="68"/>
        <v>lost money</v>
      </c>
    </row>
    <row r="2173" spans="1:10">
      <c r="A2173" s="1">
        <v>41270</v>
      </c>
      <c r="B2173">
        <v>58</v>
      </c>
      <c r="C2173">
        <v>58.19</v>
      </c>
      <c r="D2173">
        <v>57.2</v>
      </c>
      <c r="E2173">
        <v>57.9</v>
      </c>
      <c r="F2173">
        <v>5110800</v>
      </c>
      <c r="G2173">
        <v>55.51</v>
      </c>
      <c r="H2173" t="s">
        <v>5</v>
      </c>
      <c r="I2173" s="22">
        <f t="shared" si="67"/>
        <v>-9.0033318407322011E-4</v>
      </c>
      <c r="J2173" s="22" t="str">
        <f t="shared" si="68"/>
        <v>lost money</v>
      </c>
    </row>
    <row r="2174" spans="1:10">
      <c r="A2174" s="1">
        <v>41271</v>
      </c>
      <c r="B2174">
        <v>57.63</v>
      </c>
      <c r="C2174">
        <v>57.7</v>
      </c>
      <c r="D2174">
        <v>57.01</v>
      </c>
      <c r="E2174">
        <v>57.07</v>
      </c>
      <c r="F2174">
        <v>4861000</v>
      </c>
      <c r="G2174">
        <v>54.71</v>
      </c>
      <c r="H2174" t="s">
        <v>5</v>
      </c>
      <c r="I2174" s="22">
        <f t="shared" si="67"/>
        <v>-1.4516676626335297E-2</v>
      </c>
      <c r="J2174" s="22" t="str">
        <f t="shared" si="68"/>
        <v>lost money</v>
      </c>
    </row>
    <row r="2175" spans="1:10">
      <c r="A2175" s="1">
        <v>41274</v>
      </c>
      <c r="B2175">
        <v>56.98</v>
      </c>
      <c r="C2175">
        <v>58.02</v>
      </c>
      <c r="D2175">
        <v>56.84</v>
      </c>
      <c r="E2175">
        <v>57.99</v>
      </c>
      <c r="F2175">
        <v>6877700</v>
      </c>
      <c r="G2175">
        <v>55.6</v>
      </c>
      <c r="H2175" t="s">
        <v>5</v>
      </c>
      <c r="I2175" s="22">
        <f t="shared" si="67"/>
        <v>1.6136693180802207E-2</v>
      </c>
      <c r="J2175" s="22" t="str">
        <f t="shared" si="68"/>
        <v/>
      </c>
    </row>
    <row r="2176" spans="1:10">
      <c r="A2176" s="1">
        <v>41276</v>
      </c>
      <c r="B2176">
        <v>59.15</v>
      </c>
      <c r="C2176">
        <v>59.23</v>
      </c>
      <c r="D2176">
        <v>58.51</v>
      </c>
      <c r="E2176">
        <v>59.21</v>
      </c>
      <c r="F2176">
        <v>6263400</v>
      </c>
      <c r="G2176">
        <v>56.77</v>
      </c>
      <c r="H2176" t="s">
        <v>5</v>
      </c>
      <c r="I2176" s="22">
        <f t="shared" si="67"/>
        <v>2.0824815926098233E-2</v>
      </c>
      <c r="J2176" s="22" t="str">
        <f t="shared" si="68"/>
        <v/>
      </c>
    </row>
    <row r="2177" spans="1:10">
      <c r="A2177" s="1">
        <v>41277</v>
      </c>
      <c r="B2177">
        <v>59.14</v>
      </c>
      <c r="C2177">
        <v>59.47</v>
      </c>
      <c r="D2177">
        <v>58.87</v>
      </c>
      <c r="E2177">
        <v>59.17</v>
      </c>
      <c r="F2177">
        <v>4377500</v>
      </c>
      <c r="G2177">
        <v>56.73</v>
      </c>
      <c r="H2177" t="s">
        <v>5</v>
      </c>
      <c r="I2177" s="22">
        <f t="shared" si="67"/>
        <v>-7.0484584415917665E-4</v>
      </c>
      <c r="J2177" s="22" t="str">
        <f t="shared" si="68"/>
        <v/>
      </c>
    </row>
    <row r="2178" spans="1:10">
      <c r="A2178" s="1">
        <v>41278</v>
      </c>
      <c r="B2178">
        <v>59.29</v>
      </c>
      <c r="C2178">
        <v>59.9</v>
      </c>
      <c r="D2178">
        <v>59.25</v>
      </c>
      <c r="E2178">
        <v>59.83</v>
      </c>
      <c r="F2178">
        <v>4827700</v>
      </c>
      <c r="G2178">
        <v>57.36</v>
      </c>
      <c r="H2178" t="s">
        <v>5</v>
      </c>
      <c r="I2178" s="22">
        <f t="shared" si="67"/>
        <v>1.1044024952889133E-2</v>
      </c>
      <c r="J2178" s="22" t="str">
        <f t="shared" si="68"/>
        <v/>
      </c>
    </row>
    <row r="2179" spans="1:10">
      <c r="A2179" s="1">
        <v>41281</v>
      </c>
      <c r="B2179">
        <v>59.63</v>
      </c>
      <c r="C2179">
        <v>59.71</v>
      </c>
      <c r="D2179">
        <v>59.04</v>
      </c>
      <c r="E2179">
        <v>59.17</v>
      </c>
      <c r="F2179">
        <v>5489500</v>
      </c>
      <c r="G2179">
        <v>56.73</v>
      </c>
      <c r="H2179" t="s">
        <v>5</v>
      </c>
      <c r="I2179" s="22">
        <f t="shared" ref="I2179:I2242" si="69">IF(A2179=$A$2,"",LN(G2179/G2178))</f>
        <v>-1.1044024952889095E-2</v>
      </c>
      <c r="J2179" s="22" t="str">
        <f t="shared" ref="J2179:J2242" si="70">IF(B2179&gt;E2179,"lost money","")</f>
        <v>lost money</v>
      </c>
    </row>
    <row r="2180" spans="1:10">
      <c r="A2180" s="1">
        <v>41282</v>
      </c>
      <c r="B2180">
        <v>58.99</v>
      </c>
      <c r="C2180">
        <v>59.09</v>
      </c>
      <c r="D2180">
        <v>58.25</v>
      </c>
      <c r="E2180">
        <v>58.37</v>
      </c>
      <c r="F2180">
        <v>6137700</v>
      </c>
      <c r="G2180">
        <v>55.96</v>
      </c>
      <c r="H2180" t="s">
        <v>5</v>
      </c>
      <c r="I2180" s="22">
        <f t="shared" si="69"/>
        <v>-1.3666021541195283E-2</v>
      </c>
      <c r="J2180" s="22" t="str">
        <f t="shared" si="70"/>
        <v>lost money</v>
      </c>
    </row>
    <row r="2181" spans="1:10">
      <c r="A2181" s="1">
        <v>41283</v>
      </c>
      <c r="B2181">
        <v>58.59</v>
      </c>
      <c r="C2181">
        <v>58.67</v>
      </c>
      <c r="D2181">
        <v>58.17</v>
      </c>
      <c r="E2181">
        <v>58.25</v>
      </c>
      <c r="F2181">
        <v>4156300</v>
      </c>
      <c r="G2181">
        <v>55.85</v>
      </c>
      <c r="H2181" t="s">
        <v>5</v>
      </c>
      <c r="I2181" s="22">
        <f t="shared" si="69"/>
        <v>-1.9676242820707186E-3</v>
      </c>
      <c r="J2181" s="22" t="str">
        <f t="shared" si="70"/>
        <v>lost money</v>
      </c>
    </row>
    <row r="2182" spans="1:10">
      <c r="A2182" s="1">
        <v>41284</v>
      </c>
      <c r="B2182">
        <v>58.53</v>
      </c>
      <c r="C2182">
        <v>58.63</v>
      </c>
      <c r="D2182">
        <v>58.12</v>
      </c>
      <c r="E2182">
        <v>58.5</v>
      </c>
      <c r="F2182">
        <v>5433800</v>
      </c>
      <c r="G2182">
        <v>56.08</v>
      </c>
      <c r="H2182" t="s">
        <v>5</v>
      </c>
      <c r="I2182" s="22">
        <f t="shared" si="69"/>
        <v>4.1097172111249055E-3</v>
      </c>
      <c r="J2182" s="22" t="str">
        <f t="shared" si="70"/>
        <v>lost money</v>
      </c>
    </row>
    <row r="2183" spans="1:10">
      <c r="A2183" s="1">
        <v>41285</v>
      </c>
      <c r="B2183">
        <v>58.33</v>
      </c>
      <c r="C2183">
        <v>58.36</v>
      </c>
      <c r="D2183">
        <v>58.03</v>
      </c>
      <c r="E2183">
        <v>58.27</v>
      </c>
      <c r="F2183">
        <v>3964700</v>
      </c>
      <c r="G2183">
        <v>55.86</v>
      </c>
      <c r="H2183" t="s">
        <v>5</v>
      </c>
      <c r="I2183" s="22">
        <f t="shared" si="69"/>
        <v>-3.9306822093039435E-3</v>
      </c>
      <c r="J2183" s="22" t="str">
        <f t="shared" si="70"/>
        <v>lost money</v>
      </c>
    </row>
    <row r="2184" spans="1:10">
      <c r="A2184" s="1">
        <v>41288</v>
      </c>
      <c r="B2184">
        <v>58.2</v>
      </c>
      <c r="C2184">
        <v>58.55</v>
      </c>
      <c r="D2184">
        <v>58.19</v>
      </c>
      <c r="E2184">
        <v>58.47</v>
      </c>
      <c r="F2184">
        <v>4219900</v>
      </c>
      <c r="G2184">
        <v>56.06</v>
      </c>
      <c r="H2184" t="s">
        <v>5</v>
      </c>
      <c r="I2184" s="22">
        <f t="shared" si="69"/>
        <v>3.573985219611533E-3</v>
      </c>
      <c r="J2184" s="22" t="str">
        <f t="shared" si="70"/>
        <v/>
      </c>
    </row>
    <row r="2185" spans="1:10">
      <c r="A2185" s="1">
        <v>41289</v>
      </c>
      <c r="B2185">
        <v>58.4</v>
      </c>
      <c r="C2185">
        <v>59.08</v>
      </c>
      <c r="D2185">
        <v>58.28</v>
      </c>
      <c r="E2185">
        <v>59.03</v>
      </c>
      <c r="F2185">
        <v>6180400</v>
      </c>
      <c r="G2185">
        <v>56.59</v>
      </c>
      <c r="H2185" t="s">
        <v>5</v>
      </c>
      <c r="I2185" s="22">
        <f t="shared" si="69"/>
        <v>9.4097454177902353E-3</v>
      </c>
      <c r="J2185" s="22" t="str">
        <f t="shared" si="70"/>
        <v/>
      </c>
    </row>
    <row r="2186" spans="1:10">
      <c r="A2186" s="1">
        <v>41290</v>
      </c>
      <c r="B2186">
        <v>58.94</v>
      </c>
      <c r="C2186">
        <v>59.14</v>
      </c>
      <c r="D2186">
        <v>58.73</v>
      </c>
      <c r="E2186">
        <v>58.88</v>
      </c>
      <c r="F2186">
        <v>5598100</v>
      </c>
      <c r="G2186">
        <v>56.45</v>
      </c>
      <c r="H2186" t="s">
        <v>5</v>
      </c>
      <c r="I2186" s="22">
        <f t="shared" si="69"/>
        <v>-2.4770005587614148E-3</v>
      </c>
      <c r="J2186" s="22" t="str">
        <f t="shared" si="70"/>
        <v>lost money</v>
      </c>
    </row>
    <row r="2187" spans="1:10">
      <c r="A2187" s="1">
        <v>41291</v>
      </c>
      <c r="B2187">
        <v>59.11</v>
      </c>
      <c r="C2187">
        <v>59.32</v>
      </c>
      <c r="D2187">
        <v>58.65</v>
      </c>
      <c r="E2187">
        <v>59.14</v>
      </c>
      <c r="F2187">
        <v>5299700</v>
      </c>
      <c r="G2187">
        <v>56.7</v>
      </c>
      <c r="H2187" t="s">
        <v>5</v>
      </c>
      <c r="I2187" s="22">
        <f t="shared" si="69"/>
        <v>4.4189201380354145E-3</v>
      </c>
      <c r="J2187" s="22" t="str">
        <f t="shared" si="70"/>
        <v/>
      </c>
    </row>
    <row r="2188" spans="1:10">
      <c r="A2188" s="1">
        <v>41292</v>
      </c>
      <c r="B2188">
        <v>59.06</v>
      </c>
      <c r="C2188">
        <v>59.36</v>
      </c>
      <c r="D2188">
        <v>58.97</v>
      </c>
      <c r="E2188">
        <v>59.27</v>
      </c>
      <c r="F2188">
        <v>5309500</v>
      </c>
      <c r="G2188">
        <v>56.82</v>
      </c>
      <c r="H2188" t="s">
        <v>5</v>
      </c>
      <c r="I2188" s="22">
        <f t="shared" si="69"/>
        <v>2.1141656923353348E-3</v>
      </c>
      <c r="J2188" s="22" t="str">
        <f t="shared" si="70"/>
        <v/>
      </c>
    </row>
    <row r="2189" spans="1:10">
      <c r="A2189" s="1">
        <v>41296</v>
      </c>
      <c r="B2189">
        <v>59.3</v>
      </c>
      <c r="C2189">
        <v>59.98</v>
      </c>
      <c r="D2189">
        <v>59.17</v>
      </c>
      <c r="E2189">
        <v>59.98</v>
      </c>
      <c r="F2189">
        <v>4712600</v>
      </c>
      <c r="G2189">
        <v>57.5</v>
      </c>
      <c r="H2189" t="s">
        <v>5</v>
      </c>
      <c r="I2189" s="22">
        <f t="shared" si="69"/>
        <v>1.1896571377262858E-2</v>
      </c>
      <c r="J2189" s="22" t="str">
        <f t="shared" si="70"/>
        <v/>
      </c>
    </row>
    <row r="2190" spans="1:10">
      <c r="A2190" s="1">
        <v>41297</v>
      </c>
      <c r="B2190">
        <v>59.84</v>
      </c>
      <c r="C2190">
        <v>59.92</v>
      </c>
      <c r="D2190">
        <v>59.43</v>
      </c>
      <c r="E2190">
        <v>59.55</v>
      </c>
      <c r="F2190">
        <v>4493400</v>
      </c>
      <c r="G2190">
        <v>57.09</v>
      </c>
      <c r="H2190" t="s">
        <v>5</v>
      </c>
      <c r="I2190" s="22">
        <f t="shared" si="69"/>
        <v>-7.1559778271369093E-3</v>
      </c>
      <c r="J2190" s="22" t="str">
        <f t="shared" si="70"/>
        <v>lost money</v>
      </c>
    </row>
    <row r="2191" spans="1:10">
      <c r="A2191" s="1">
        <v>41298</v>
      </c>
      <c r="B2191">
        <v>59.67</v>
      </c>
      <c r="C2191">
        <v>60.58</v>
      </c>
      <c r="D2191">
        <v>59.52</v>
      </c>
      <c r="E2191">
        <v>60.41</v>
      </c>
      <c r="F2191">
        <v>7088600</v>
      </c>
      <c r="G2191">
        <v>57.92</v>
      </c>
      <c r="H2191" t="s">
        <v>5</v>
      </c>
      <c r="I2191" s="22">
        <f t="shared" si="69"/>
        <v>1.4433778101293182E-2</v>
      </c>
      <c r="J2191" s="22" t="str">
        <f t="shared" si="70"/>
        <v/>
      </c>
    </row>
    <row r="2192" spans="1:10">
      <c r="A2192" s="1">
        <v>41299</v>
      </c>
      <c r="B2192">
        <v>60.47</v>
      </c>
      <c r="C2192">
        <v>61.1</v>
      </c>
      <c r="D2192">
        <v>60.34</v>
      </c>
      <c r="E2192">
        <v>61.06</v>
      </c>
      <c r="F2192">
        <v>5500100</v>
      </c>
      <c r="G2192">
        <v>58.54</v>
      </c>
      <c r="H2192" t="s">
        <v>5</v>
      </c>
      <c r="I2192" s="22">
        <f t="shared" si="69"/>
        <v>1.0647533186278871E-2</v>
      </c>
      <c r="J2192" s="22" t="str">
        <f t="shared" si="70"/>
        <v/>
      </c>
    </row>
    <row r="2193" spans="1:10">
      <c r="A2193" s="1">
        <v>41302</v>
      </c>
      <c r="B2193">
        <v>60.88</v>
      </c>
      <c r="C2193">
        <v>60.94</v>
      </c>
      <c r="D2193">
        <v>60.18</v>
      </c>
      <c r="E2193">
        <v>60.75</v>
      </c>
      <c r="F2193">
        <v>4889300</v>
      </c>
      <c r="G2193">
        <v>58.24</v>
      </c>
      <c r="H2193" t="s">
        <v>5</v>
      </c>
      <c r="I2193" s="22">
        <f t="shared" si="69"/>
        <v>-5.1378773753091604E-3</v>
      </c>
      <c r="J2193" s="22" t="str">
        <f t="shared" si="70"/>
        <v>lost money</v>
      </c>
    </row>
    <row r="2194" spans="1:10">
      <c r="A2194" s="1">
        <v>41303</v>
      </c>
      <c r="B2194">
        <v>61</v>
      </c>
      <c r="C2194">
        <v>61.76</v>
      </c>
      <c r="D2194">
        <v>60.94</v>
      </c>
      <c r="E2194">
        <v>61.66</v>
      </c>
      <c r="F2194">
        <v>7362200</v>
      </c>
      <c r="G2194">
        <v>59.11</v>
      </c>
      <c r="H2194" t="s">
        <v>5</v>
      </c>
      <c r="I2194" s="22">
        <f t="shared" si="69"/>
        <v>1.4827710947847595E-2</v>
      </c>
      <c r="J2194" s="22" t="str">
        <f t="shared" si="70"/>
        <v/>
      </c>
    </row>
    <row r="2195" spans="1:10">
      <c r="A2195" s="1">
        <v>41304</v>
      </c>
      <c r="B2195">
        <v>61.67</v>
      </c>
      <c r="C2195">
        <v>62.05</v>
      </c>
      <c r="D2195">
        <v>60.92</v>
      </c>
      <c r="E2195">
        <v>61.09</v>
      </c>
      <c r="F2195">
        <v>6792500</v>
      </c>
      <c r="G2195">
        <v>58.57</v>
      </c>
      <c r="H2195" t="s">
        <v>5</v>
      </c>
      <c r="I2195" s="22">
        <f t="shared" si="69"/>
        <v>-9.1774947345872084E-3</v>
      </c>
      <c r="J2195" s="22" t="str">
        <f t="shared" si="70"/>
        <v>lost money</v>
      </c>
    </row>
    <row r="2196" spans="1:10">
      <c r="A2196" s="1">
        <v>41305</v>
      </c>
      <c r="B2196">
        <v>59.2</v>
      </c>
      <c r="C2196">
        <v>59.46</v>
      </c>
      <c r="D2196">
        <v>57.81</v>
      </c>
      <c r="E2196">
        <v>58</v>
      </c>
      <c r="F2196">
        <v>16914000</v>
      </c>
      <c r="G2196">
        <v>55.61</v>
      </c>
      <c r="H2196" t="s">
        <v>5</v>
      </c>
      <c r="I2196" s="22">
        <f t="shared" si="69"/>
        <v>-5.1859578902218324E-2</v>
      </c>
      <c r="J2196" s="22" t="str">
        <f t="shared" si="70"/>
        <v>lost money</v>
      </c>
    </row>
    <row r="2197" spans="1:10">
      <c r="A2197" s="1">
        <v>41306</v>
      </c>
      <c r="B2197">
        <v>58.47</v>
      </c>
      <c r="C2197">
        <v>58.84</v>
      </c>
      <c r="D2197">
        <v>58.02</v>
      </c>
      <c r="E2197">
        <v>58.82</v>
      </c>
      <c r="F2197">
        <v>11468700</v>
      </c>
      <c r="G2197">
        <v>56.39</v>
      </c>
      <c r="H2197" t="s">
        <v>5</v>
      </c>
      <c r="I2197" s="22">
        <f t="shared" si="69"/>
        <v>1.3928796619618253E-2</v>
      </c>
      <c r="J2197" s="22" t="str">
        <f t="shared" si="70"/>
        <v/>
      </c>
    </row>
    <row r="2198" spans="1:10">
      <c r="A2198" s="1">
        <v>41309</v>
      </c>
      <c r="B2198">
        <v>58.47</v>
      </c>
      <c r="C2198">
        <v>58.48</v>
      </c>
      <c r="D2198">
        <v>58</v>
      </c>
      <c r="E2198">
        <v>58.03</v>
      </c>
      <c r="F2198">
        <v>7313100</v>
      </c>
      <c r="G2198">
        <v>55.63</v>
      </c>
      <c r="H2198" t="s">
        <v>5</v>
      </c>
      <c r="I2198" s="22">
        <f t="shared" si="69"/>
        <v>-1.3569213731888848E-2</v>
      </c>
      <c r="J2198" s="22" t="str">
        <f t="shared" si="70"/>
        <v>lost money</v>
      </c>
    </row>
    <row r="2199" spans="1:10">
      <c r="A2199" s="1">
        <v>41310</v>
      </c>
      <c r="B2199">
        <v>58.44</v>
      </c>
      <c r="C2199">
        <v>58.53</v>
      </c>
      <c r="D2199">
        <v>57.63</v>
      </c>
      <c r="E2199">
        <v>57.72</v>
      </c>
      <c r="F2199">
        <v>7783100</v>
      </c>
      <c r="G2199">
        <v>55.34</v>
      </c>
      <c r="H2199" t="s">
        <v>5</v>
      </c>
      <c r="I2199" s="22">
        <f t="shared" si="69"/>
        <v>-5.2266497284220014E-3</v>
      </c>
      <c r="J2199" s="22" t="str">
        <f t="shared" si="70"/>
        <v>lost money</v>
      </c>
    </row>
    <row r="2200" spans="1:10">
      <c r="A2200" s="1">
        <v>41311</v>
      </c>
      <c r="B2200">
        <v>57.5</v>
      </c>
      <c r="C2200">
        <v>57.7</v>
      </c>
      <c r="D2200">
        <v>57.05</v>
      </c>
      <c r="E2200">
        <v>57.59</v>
      </c>
      <c r="F2200">
        <v>6874600</v>
      </c>
      <c r="G2200">
        <v>55.21</v>
      </c>
      <c r="H2200" t="s">
        <v>5</v>
      </c>
      <c r="I2200" s="22">
        <f t="shared" si="69"/>
        <v>-2.3518780628266757E-3</v>
      </c>
      <c r="J2200" s="22" t="str">
        <f t="shared" si="70"/>
        <v/>
      </c>
    </row>
    <row r="2201" spans="1:10">
      <c r="A2201" s="1">
        <v>41312</v>
      </c>
      <c r="B2201">
        <v>57.67</v>
      </c>
      <c r="C2201">
        <v>57.84</v>
      </c>
      <c r="D2201">
        <v>57.36</v>
      </c>
      <c r="E2201">
        <v>57.63</v>
      </c>
      <c r="F2201">
        <v>5705900</v>
      </c>
      <c r="G2201">
        <v>55.25</v>
      </c>
      <c r="H2201" t="s">
        <v>5</v>
      </c>
      <c r="I2201" s="22">
        <f t="shared" si="69"/>
        <v>7.242441019089448E-4</v>
      </c>
      <c r="J2201" s="22" t="str">
        <f t="shared" si="70"/>
        <v>lost money</v>
      </c>
    </row>
    <row r="2202" spans="1:10">
      <c r="A2202" s="1">
        <v>41313</v>
      </c>
      <c r="B2202">
        <v>57.82</v>
      </c>
      <c r="C2202">
        <v>57.87</v>
      </c>
      <c r="D2202">
        <v>57.58</v>
      </c>
      <c r="E2202">
        <v>57.87</v>
      </c>
      <c r="F2202">
        <v>17871800</v>
      </c>
      <c r="G2202">
        <v>55.48</v>
      </c>
      <c r="H2202" t="s">
        <v>5</v>
      </c>
      <c r="I2202" s="22">
        <f t="shared" si="69"/>
        <v>4.1542550487684952E-3</v>
      </c>
      <c r="J2202" s="22" t="str">
        <f t="shared" si="70"/>
        <v/>
      </c>
    </row>
    <row r="2203" spans="1:10">
      <c r="A2203" s="1">
        <v>41316</v>
      </c>
      <c r="B2203">
        <v>57.94</v>
      </c>
      <c r="C2203">
        <v>57.94</v>
      </c>
      <c r="D2203">
        <v>57.53</v>
      </c>
      <c r="E2203">
        <v>57.59</v>
      </c>
      <c r="F2203">
        <v>19329700</v>
      </c>
      <c r="G2203">
        <v>55.21</v>
      </c>
      <c r="H2203" t="s">
        <v>5</v>
      </c>
      <c r="I2203" s="22">
        <f t="shared" si="69"/>
        <v>-4.8784991506775023E-3</v>
      </c>
      <c r="J2203" s="22" t="str">
        <f t="shared" si="70"/>
        <v>lost money</v>
      </c>
    </row>
    <row r="2204" spans="1:10">
      <c r="A2204" s="1">
        <v>41317</v>
      </c>
      <c r="B2204">
        <v>57.84</v>
      </c>
      <c r="C2204">
        <v>58.26</v>
      </c>
      <c r="D2204">
        <v>57.6</v>
      </c>
      <c r="E2204">
        <v>58.25</v>
      </c>
      <c r="F2204">
        <v>21826800</v>
      </c>
      <c r="G2204">
        <v>55.85</v>
      </c>
      <c r="H2204" t="s">
        <v>5</v>
      </c>
      <c r="I2204" s="22">
        <f t="shared" si="69"/>
        <v>1.1525429219256495E-2</v>
      </c>
      <c r="J2204" s="22" t="str">
        <f t="shared" si="70"/>
        <v/>
      </c>
    </row>
    <row r="2205" spans="1:10">
      <c r="A2205" s="1">
        <v>41318</v>
      </c>
      <c r="B2205">
        <v>58.35</v>
      </c>
      <c r="C2205">
        <v>58.62</v>
      </c>
      <c r="D2205">
        <v>58</v>
      </c>
      <c r="E2205">
        <v>58.61</v>
      </c>
      <c r="F2205">
        <v>6789300</v>
      </c>
      <c r="G2205">
        <v>56.19</v>
      </c>
      <c r="H2205" t="s">
        <v>5</v>
      </c>
      <c r="I2205" s="22">
        <f t="shared" si="69"/>
        <v>6.0692796088969714E-3</v>
      </c>
      <c r="J2205" s="22" t="str">
        <f t="shared" si="70"/>
        <v/>
      </c>
    </row>
    <row r="2206" spans="1:10">
      <c r="A2206" s="1">
        <v>41319</v>
      </c>
      <c r="B2206">
        <v>57.8</v>
      </c>
      <c r="C2206">
        <v>58.01</v>
      </c>
      <c r="D2206">
        <v>57.62</v>
      </c>
      <c r="E2206">
        <v>57.92</v>
      </c>
      <c r="F2206">
        <v>5764400</v>
      </c>
      <c r="G2206">
        <v>56.16</v>
      </c>
      <c r="H2206" t="s">
        <v>5</v>
      </c>
      <c r="I2206" s="22">
        <f t="shared" si="69"/>
        <v>-5.3404540655117741E-4</v>
      </c>
      <c r="J2206" s="22" t="str">
        <f t="shared" si="70"/>
        <v/>
      </c>
    </row>
    <row r="2207" spans="1:10">
      <c r="A2207" s="1">
        <v>41320</v>
      </c>
      <c r="B2207">
        <v>57.9</v>
      </c>
      <c r="C2207">
        <v>58.01</v>
      </c>
      <c r="D2207">
        <v>56.78</v>
      </c>
      <c r="E2207">
        <v>57.02</v>
      </c>
      <c r="F2207">
        <v>9695600</v>
      </c>
      <c r="G2207">
        <v>55.29</v>
      </c>
      <c r="H2207" t="s">
        <v>5</v>
      </c>
      <c r="I2207" s="22">
        <f t="shared" si="69"/>
        <v>-1.5612699367714018E-2</v>
      </c>
      <c r="J2207" s="22" t="str">
        <f t="shared" si="70"/>
        <v>lost money</v>
      </c>
    </row>
    <row r="2208" spans="1:10">
      <c r="A2208" s="1">
        <v>41324</v>
      </c>
      <c r="B2208">
        <v>57.64</v>
      </c>
      <c r="C2208">
        <v>58.61</v>
      </c>
      <c r="D2208">
        <v>57.52</v>
      </c>
      <c r="E2208">
        <v>58.6</v>
      </c>
      <c r="F2208">
        <v>8119800</v>
      </c>
      <c r="G2208">
        <v>56.82</v>
      </c>
      <c r="H2208" t="s">
        <v>5</v>
      </c>
      <c r="I2208" s="22">
        <f t="shared" si="69"/>
        <v>2.7296316076200231E-2</v>
      </c>
      <c r="J2208" s="22" t="str">
        <f t="shared" si="70"/>
        <v/>
      </c>
    </row>
    <row r="2209" spans="1:10">
      <c r="A2209" s="1">
        <v>41325</v>
      </c>
      <c r="B2209">
        <v>58.6</v>
      </c>
      <c r="C2209">
        <v>58.61</v>
      </c>
      <c r="D2209">
        <v>57.64</v>
      </c>
      <c r="E2209">
        <v>57.67</v>
      </c>
      <c r="F2209">
        <v>5925400</v>
      </c>
      <c r="G2209">
        <v>55.92</v>
      </c>
      <c r="H2209" t="s">
        <v>5</v>
      </c>
      <c r="I2209" s="22">
        <f t="shared" si="69"/>
        <v>-1.5966278500486993E-2</v>
      </c>
      <c r="J2209" s="22" t="str">
        <f t="shared" si="70"/>
        <v>lost money</v>
      </c>
    </row>
    <row r="2210" spans="1:10">
      <c r="A2210" s="1">
        <v>41326</v>
      </c>
      <c r="B2210">
        <v>57.56</v>
      </c>
      <c r="C2210">
        <v>58.16</v>
      </c>
      <c r="D2210">
        <v>57.09</v>
      </c>
      <c r="E2210">
        <v>58.11</v>
      </c>
      <c r="F2210">
        <v>7297900</v>
      </c>
      <c r="G2210">
        <v>56.35</v>
      </c>
      <c r="H2210" t="s">
        <v>5</v>
      </c>
      <c r="I2210" s="22">
        <f t="shared" si="69"/>
        <v>7.660142560230415E-3</v>
      </c>
      <c r="J2210" s="22" t="str">
        <f t="shared" si="70"/>
        <v/>
      </c>
    </row>
    <row r="2211" spans="1:10">
      <c r="A2211" s="1">
        <v>41327</v>
      </c>
      <c r="B2211">
        <v>58.3</v>
      </c>
      <c r="C2211">
        <v>58.33</v>
      </c>
      <c r="D2211">
        <v>57.65</v>
      </c>
      <c r="E2211">
        <v>58.2</v>
      </c>
      <c r="F2211">
        <v>4386600</v>
      </c>
      <c r="G2211">
        <v>56.43</v>
      </c>
      <c r="H2211" t="s">
        <v>5</v>
      </c>
      <c r="I2211" s="22">
        <f t="shared" si="69"/>
        <v>1.418691495263304E-3</v>
      </c>
      <c r="J2211" s="22" t="str">
        <f t="shared" si="70"/>
        <v>lost money</v>
      </c>
    </row>
    <row r="2212" spans="1:10">
      <c r="A2212" s="1">
        <v>41330</v>
      </c>
      <c r="B2212">
        <v>58.47</v>
      </c>
      <c r="C2212">
        <v>58.55</v>
      </c>
      <c r="D2212">
        <v>56.83</v>
      </c>
      <c r="E2212">
        <v>56.89</v>
      </c>
      <c r="F2212">
        <v>8408400</v>
      </c>
      <c r="G2212">
        <v>55.16</v>
      </c>
      <c r="H2212" t="s">
        <v>5</v>
      </c>
      <c r="I2212" s="22">
        <f t="shared" si="69"/>
        <v>-2.2762879055947732E-2</v>
      </c>
      <c r="J2212" s="22" t="str">
        <f t="shared" si="70"/>
        <v>lost money</v>
      </c>
    </row>
    <row r="2213" spans="1:10">
      <c r="A2213" s="1">
        <v>41331</v>
      </c>
      <c r="B2213">
        <v>57.3</v>
      </c>
      <c r="C2213">
        <v>57.92</v>
      </c>
      <c r="D2213">
        <v>56.95</v>
      </c>
      <c r="E2213">
        <v>57.75</v>
      </c>
      <c r="F2213">
        <v>7763500</v>
      </c>
      <c r="G2213">
        <v>56</v>
      </c>
      <c r="H2213" t="s">
        <v>5</v>
      </c>
      <c r="I2213" s="22">
        <f t="shared" si="69"/>
        <v>1.5113637810048325E-2</v>
      </c>
      <c r="J2213" s="22" t="str">
        <f t="shared" si="70"/>
        <v/>
      </c>
    </row>
    <row r="2214" spans="1:10">
      <c r="A2214" s="1">
        <v>41332</v>
      </c>
      <c r="B2214">
        <v>57.56</v>
      </c>
      <c r="C2214">
        <v>58.18</v>
      </c>
      <c r="D2214">
        <v>57.41</v>
      </c>
      <c r="E2214">
        <v>58.04</v>
      </c>
      <c r="F2214">
        <v>6116300</v>
      </c>
      <c r="G2214">
        <v>56.28</v>
      </c>
      <c r="H2214" t="s">
        <v>5</v>
      </c>
      <c r="I2214" s="22">
        <f t="shared" si="69"/>
        <v>4.9875415110391882E-3</v>
      </c>
      <c r="J2214" s="22" t="str">
        <f t="shared" si="70"/>
        <v/>
      </c>
    </row>
    <row r="2215" spans="1:10">
      <c r="A2215" s="1">
        <v>41333</v>
      </c>
      <c r="B2215">
        <v>57.9</v>
      </c>
      <c r="C2215">
        <v>58.3</v>
      </c>
      <c r="D2215">
        <v>57.85</v>
      </c>
      <c r="E2215">
        <v>57.95</v>
      </c>
      <c r="F2215">
        <v>7527700</v>
      </c>
      <c r="G2215">
        <v>56.19</v>
      </c>
      <c r="H2215" t="s">
        <v>5</v>
      </c>
      <c r="I2215" s="22">
        <f t="shared" si="69"/>
        <v>-1.6004271220814827E-3</v>
      </c>
      <c r="J2215" s="22" t="str">
        <f t="shared" si="70"/>
        <v/>
      </c>
    </row>
    <row r="2216" spans="1:10">
      <c r="A2216" s="1">
        <v>41334</v>
      </c>
      <c r="B2216">
        <v>57.93</v>
      </c>
      <c r="C2216">
        <v>58.28</v>
      </c>
      <c r="D2216">
        <v>57.65</v>
      </c>
      <c r="E2216">
        <v>58.28</v>
      </c>
      <c r="F2216">
        <v>6730000</v>
      </c>
      <c r="G2216">
        <v>56.51</v>
      </c>
      <c r="H2216" t="s">
        <v>5</v>
      </c>
      <c r="I2216" s="22">
        <f t="shared" si="69"/>
        <v>5.6788085176450454E-3</v>
      </c>
      <c r="J2216" s="22" t="str">
        <f t="shared" si="70"/>
        <v/>
      </c>
    </row>
    <row r="2217" spans="1:10">
      <c r="A2217" s="1">
        <v>41337</v>
      </c>
      <c r="B2217">
        <v>58.14</v>
      </c>
      <c r="C2217">
        <v>58.19</v>
      </c>
      <c r="D2217">
        <v>57.25</v>
      </c>
      <c r="E2217">
        <v>57.62</v>
      </c>
      <c r="F2217">
        <v>5845200</v>
      </c>
      <c r="G2217">
        <v>55.87</v>
      </c>
      <c r="H2217" t="s">
        <v>5</v>
      </c>
      <c r="I2217" s="22">
        <f t="shared" si="69"/>
        <v>-1.1390050170694565E-2</v>
      </c>
      <c r="J2217" s="22" t="str">
        <f t="shared" si="70"/>
        <v>lost money</v>
      </c>
    </row>
    <row r="2218" spans="1:10">
      <c r="A2218" s="1">
        <v>41338</v>
      </c>
      <c r="B2218">
        <v>57.94</v>
      </c>
      <c r="C2218">
        <v>58.01</v>
      </c>
      <c r="D2218">
        <v>57.36</v>
      </c>
      <c r="E2218">
        <v>57.66</v>
      </c>
      <c r="F2218">
        <v>7151000</v>
      </c>
      <c r="G2218">
        <v>55.91</v>
      </c>
      <c r="H2218" t="s">
        <v>5</v>
      </c>
      <c r="I2218" s="22">
        <f t="shared" si="69"/>
        <v>7.1569156749643154E-4</v>
      </c>
      <c r="J2218" s="22" t="str">
        <f t="shared" si="70"/>
        <v>lost money</v>
      </c>
    </row>
    <row r="2219" spans="1:10">
      <c r="A2219" s="1">
        <v>41339</v>
      </c>
      <c r="B2219">
        <v>57.93</v>
      </c>
      <c r="C2219">
        <v>58.04</v>
      </c>
      <c r="D2219">
        <v>57.44</v>
      </c>
      <c r="E2219">
        <v>58</v>
      </c>
      <c r="F2219">
        <v>6691100</v>
      </c>
      <c r="G2219">
        <v>56.24</v>
      </c>
      <c r="H2219" t="s">
        <v>5</v>
      </c>
      <c r="I2219" s="22">
        <f t="shared" si="69"/>
        <v>5.8849924638555507E-3</v>
      </c>
      <c r="J2219" s="22" t="str">
        <f t="shared" si="70"/>
        <v/>
      </c>
    </row>
    <row r="2220" spans="1:10">
      <c r="A2220" s="1">
        <v>41340</v>
      </c>
      <c r="B2220">
        <v>58</v>
      </c>
      <c r="C2220">
        <v>58.14</v>
      </c>
      <c r="D2220">
        <v>57.85</v>
      </c>
      <c r="E2220">
        <v>57.86</v>
      </c>
      <c r="F2220">
        <v>5329000</v>
      </c>
      <c r="G2220">
        <v>56.1</v>
      </c>
      <c r="H2220" t="s">
        <v>5</v>
      </c>
      <c r="I2220" s="22">
        <f t="shared" si="69"/>
        <v>-2.4924349737588014E-3</v>
      </c>
      <c r="J2220" s="22" t="str">
        <f t="shared" si="70"/>
        <v>lost money</v>
      </c>
    </row>
    <row r="2221" spans="1:10">
      <c r="A2221" s="1">
        <v>41341</v>
      </c>
      <c r="B2221">
        <v>57.97</v>
      </c>
      <c r="C2221">
        <v>58.49</v>
      </c>
      <c r="D2221">
        <v>57.83</v>
      </c>
      <c r="E2221">
        <v>58.39</v>
      </c>
      <c r="F2221">
        <v>4797900</v>
      </c>
      <c r="G2221">
        <v>56.62</v>
      </c>
      <c r="H2221" t="s">
        <v>5</v>
      </c>
      <c r="I2221" s="22">
        <f t="shared" si="69"/>
        <v>9.2264671551029187E-3</v>
      </c>
      <c r="J2221" s="22" t="str">
        <f t="shared" si="70"/>
        <v/>
      </c>
    </row>
    <row r="2222" spans="1:10">
      <c r="A2222" s="1">
        <v>41344</v>
      </c>
      <c r="B2222">
        <v>58.41</v>
      </c>
      <c r="C2222">
        <v>58.6</v>
      </c>
      <c r="D2222">
        <v>58.08</v>
      </c>
      <c r="E2222">
        <v>58.44</v>
      </c>
      <c r="F2222">
        <v>4726000</v>
      </c>
      <c r="G2222">
        <v>56.67</v>
      </c>
      <c r="H2222" t="s">
        <v>5</v>
      </c>
      <c r="I2222" s="22">
        <f t="shared" si="69"/>
        <v>8.8269049777442822E-4</v>
      </c>
      <c r="J2222" s="22" t="str">
        <f t="shared" si="70"/>
        <v/>
      </c>
    </row>
    <row r="2223" spans="1:10">
      <c r="A2223" s="1">
        <v>41345</v>
      </c>
      <c r="B2223">
        <v>58.56</v>
      </c>
      <c r="C2223">
        <v>58.92</v>
      </c>
      <c r="D2223">
        <v>58.45</v>
      </c>
      <c r="E2223">
        <v>58.73</v>
      </c>
      <c r="F2223">
        <v>4664700</v>
      </c>
      <c r="G2223">
        <v>56.95</v>
      </c>
      <c r="H2223" t="s">
        <v>5</v>
      </c>
      <c r="I2223" s="22">
        <f t="shared" si="69"/>
        <v>4.928719711663314E-3</v>
      </c>
      <c r="J2223" s="22" t="str">
        <f t="shared" si="70"/>
        <v/>
      </c>
    </row>
    <row r="2224" spans="1:10">
      <c r="A2224" s="1">
        <v>41346</v>
      </c>
      <c r="B2224">
        <v>58.76</v>
      </c>
      <c r="C2224">
        <v>58.94</v>
      </c>
      <c r="D2224">
        <v>58.56</v>
      </c>
      <c r="E2224">
        <v>58.78</v>
      </c>
      <c r="F2224">
        <v>4485100</v>
      </c>
      <c r="G2224">
        <v>57</v>
      </c>
      <c r="H2224" t="s">
        <v>5</v>
      </c>
      <c r="I2224" s="22">
        <f t="shared" si="69"/>
        <v>8.7757794135894223E-4</v>
      </c>
      <c r="J2224" s="22" t="str">
        <f t="shared" si="70"/>
        <v/>
      </c>
    </row>
    <row r="2225" spans="1:10">
      <c r="A2225" s="1">
        <v>41347</v>
      </c>
      <c r="B2225">
        <v>59</v>
      </c>
      <c r="C2225">
        <v>59.56</v>
      </c>
      <c r="D2225">
        <v>58.87</v>
      </c>
      <c r="E2225">
        <v>59.52</v>
      </c>
      <c r="F2225">
        <v>5129700</v>
      </c>
      <c r="G2225">
        <v>57.71</v>
      </c>
      <c r="H2225" t="s">
        <v>5</v>
      </c>
      <c r="I2225" s="22">
        <f t="shared" si="69"/>
        <v>1.2379200888324875E-2</v>
      </c>
      <c r="J2225" s="22" t="str">
        <f t="shared" si="70"/>
        <v/>
      </c>
    </row>
    <row r="2226" spans="1:10">
      <c r="A2226" s="1">
        <v>41348</v>
      </c>
      <c r="B2226">
        <v>59.1</v>
      </c>
      <c r="C2226">
        <v>59.39</v>
      </c>
      <c r="D2226">
        <v>58.81</v>
      </c>
      <c r="E2226">
        <v>59.07</v>
      </c>
      <c r="F2226">
        <v>10303400</v>
      </c>
      <c r="G2226">
        <v>57.28</v>
      </c>
      <c r="H2226" t="s">
        <v>5</v>
      </c>
      <c r="I2226" s="22">
        <f t="shared" si="69"/>
        <v>-7.4789460704849159E-3</v>
      </c>
      <c r="J2226" s="22" t="str">
        <f t="shared" si="70"/>
        <v>lost money</v>
      </c>
    </row>
    <row r="2227" spans="1:10">
      <c r="A2227" s="1">
        <v>41351</v>
      </c>
      <c r="B2227">
        <v>58.67</v>
      </c>
      <c r="C2227">
        <v>59.65</v>
      </c>
      <c r="D2227">
        <v>58.55</v>
      </c>
      <c r="E2227">
        <v>59.15</v>
      </c>
      <c r="F2227">
        <v>5002900</v>
      </c>
      <c r="G2227">
        <v>57.35</v>
      </c>
      <c r="H2227" t="s">
        <v>5</v>
      </c>
      <c r="I2227" s="22">
        <f t="shared" si="69"/>
        <v>1.2213209229894771E-3</v>
      </c>
      <c r="J2227" s="22" t="str">
        <f t="shared" si="70"/>
        <v/>
      </c>
    </row>
    <row r="2228" spans="1:10">
      <c r="A2228" s="1">
        <v>41352</v>
      </c>
      <c r="B2228">
        <v>59.21</v>
      </c>
      <c r="C2228">
        <v>59.48</v>
      </c>
      <c r="D2228">
        <v>58.71</v>
      </c>
      <c r="E2228">
        <v>59.31</v>
      </c>
      <c r="F2228">
        <v>6748900</v>
      </c>
      <c r="G2228">
        <v>57.51</v>
      </c>
      <c r="H2228" t="s">
        <v>5</v>
      </c>
      <c r="I2228" s="22">
        <f t="shared" si="69"/>
        <v>2.7860021502831649E-3</v>
      </c>
      <c r="J2228" s="22" t="str">
        <f t="shared" si="70"/>
        <v/>
      </c>
    </row>
    <row r="2229" spans="1:10">
      <c r="A2229" s="1">
        <v>41353</v>
      </c>
      <c r="B2229">
        <v>60</v>
      </c>
      <c r="C2229">
        <v>60.54</v>
      </c>
      <c r="D2229">
        <v>59.63</v>
      </c>
      <c r="E2229">
        <v>60.44</v>
      </c>
      <c r="F2229">
        <v>8178800</v>
      </c>
      <c r="G2229">
        <v>58.6</v>
      </c>
      <c r="H2229" t="s">
        <v>5</v>
      </c>
      <c r="I2229" s="22">
        <f t="shared" si="69"/>
        <v>1.8775850857304065E-2</v>
      </c>
      <c r="J2229" s="22" t="str">
        <f t="shared" si="70"/>
        <v/>
      </c>
    </row>
    <row r="2230" spans="1:10">
      <c r="A2230" s="1">
        <v>41354</v>
      </c>
      <c r="B2230">
        <v>60.17</v>
      </c>
      <c r="C2230">
        <v>61.03</v>
      </c>
      <c r="D2230">
        <v>60.01</v>
      </c>
      <c r="E2230">
        <v>60.94</v>
      </c>
      <c r="F2230">
        <v>8993500</v>
      </c>
      <c r="G2230">
        <v>59.09</v>
      </c>
      <c r="H2230" t="s">
        <v>5</v>
      </c>
      <c r="I2230" s="22">
        <f t="shared" si="69"/>
        <v>8.3270087746164286E-3</v>
      </c>
      <c r="J2230" s="22" t="str">
        <f t="shared" si="70"/>
        <v/>
      </c>
    </row>
    <row r="2231" spans="1:10">
      <c r="A2231" s="1">
        <v>41355</v>
      </c>
      <c r="B2231">
        <v>61.11</v>
      </c>
      <c r="C2231">
        <v>61.11</v>
      </c>
      <c r="D2231">
        <v>60.68</v>
      </c>
      <c r="E2231">
        <v>60.91</v>
      </c>
      <c r="F2231">
        <v>6440800</v>
      </c>
      <c r="G2231">
        <v>59.06</v>
      </c>
      <c r="H2231" t="s">
        <v>5</v>
      </c>
      <c r="I2231" s="22">
        <f t="shared" si="69"/>
        <v>-5.0782904180660506E-4</v>
      </c>
      <c r="J2231" s="22" t="str">
        <f t="shared" si="70"/>
        <v>lost money</v>
      </c>
    </row>
    <row r="2232" spans="1:10">
      <c r="A2232" s="1">
        <v>41358</v>
      </c>
      <c r="B2232">
        <v>61</v>
      </c>
      <c r="C2232">
        <v>61.19</v>
      </c>
      <c r="D2232">
        <v>60.06</v>
      </c>
      <c r="E2232">
        <v>60.21</v>
      </c>
      <c r="F2232">
        <v>5776900</v>
      </c>
      <c r="G2232">
        <v>58.38</v>
      </c>
      <c r="H2232" t="s">
        <v>5</v>
      </c>
      <c r="I2232" s="22">
        <f t="shared" si="69"/>
        <v>-1.1580510889807948E-2</v>
      </c>
      <c r="J2232" s="22" t="str">
        <f t="shared" si="70"/>
        <v>lost money</v>
      </c>
    </row>
    <row r="2233" spans="1:10">
      <c r="A2233" s="1">
        <v>41359</v>
      </c>
      <c r="B2233">
        <v>60.5</v>
      </c>
      <c r="C2233">
        <v>60.62</v>
      </c>
      <c r="D2233">
        <v>60.08</v>
      </c>
      <c r="E2233">
        <v>60.44</v>
      </c>
      <c r="F2233">
        <v>4516300</v>
      </c>
      <c r="G2233">
        <v>58.6</v>
      </c>
      <c r="H2233" t="s">
        <v>5</v>
      </c>
      <c r="I2233" s="22">
        <f t="shared" si="69"/>
        <v>3.7613311569981499E-3</v>
      </c>
      <c r="J2233" s="22" t="str">
        <f t="shared" si="70"/>
        <v>lost money</v>
      </c>
    </row>
    <row r="2234" spans="1:10">
      <c r="A2234" s="1">
        <v>41360</v>
      </c>
      <c r="B2234">
        <v>60.2</v>
      </c>
      <c r="C2234">
        <v>60.71</v>
      </c>
      <c r="D2234">
        <v>60.03</v>
      </c>
      <c r="E2234">
        <v>60.38</v>
      </c>
      <c r="F2234">
        <v>4103200</v>
      </c>
      <c r="G2234">
        <v>58.55</v>
      </c>
      <c r="H2234" t="s">
        <v>5</v>
      </c>
      <c r="I2234" s="22">
        <f t="shared" si="69"/>
        <v>-8.5360653924065118E-4</v>
      </c>
      <c r="J2234" s="22" t="str">
        <f t="shared" si="70"/>
        <v/>
      </c>
    </row>
    <row r="2235" spans="1:10">
      <c r="A2235" s="1">
        <v>41361</v>
      </c>
      <c r="B2235">
        <v>60.4</v>
      </c>
      <c r="C2235">
        <v>60.59</v>
      </c>
      <c r="D2235">
        <v>60.06</v>
      </c>
      <c r="E2235">
        <v>60.1</v>
      </c>
      <c r="F2235">
        <v>5293000</v>
      </c>
      <c r="G2235">
        <v>58.28</v>
      </c>
      <c r="H2235" t="s">
        <v>5</v>
      </c>
      <c r="I2235" s="22">
        <f t="shared" si="69"/>
        <v>-4.6221087167222022E-3</v>
      </c>
      <c r="J2235" s="22" t="str">
        <f t="shared" si="70"/>
        <v>lost money</v>
      </c>
    </row>
    <row r="2236" spans="1:10">
      <c r="A2236" s="1">
        <v>41365</v>
      </c>
      <c r="B2236">
        <v>60.2</v>
      </c>
      <c r="C2236">
        <v>60.7</v>
      </c>
      <c r="D2236">
        <v>60.02</v>
      </c>
      <c r="E2236">
        <v>60.48</v>
      </c>
      <c r="F2236">
        <v>4118900</v>
      </c>
      <c r="G2236">
        <v>58.64</v>
      </c>
      <c r="H2236" t="s">
        <v>5</v>
      </c>
      <c r="I2236" s="22">
        <f t="shared" si="69"/>
        <v>6.1580762513920671E-3</v>
      </c>
      <c r="J2236" s="22" t="str">
        <f t="shared" si="70"/>
        <v/>
      </c>
    </row>
    <row r="2237" spans="1:10">
      <c r="A2237" s="1">
        <v>41366</v>
      </c>
      <c r="B2237">
        <v>60.58</v>
      </c>
      <c r="C2237">
        <v>60.65</v>
      </c>
      <c r="D2237">
        <v>59.85</v>
      </c>
      <c r="E2237">
        <v>60.04</v>
      </c>
      <c r="F2237">
        <v>4769900</v>
      </c>
      <c r="G2237">
        <v>58.22</v>
      </c>
      <c r="H2237" t="s">
        <v>5</v>
      </c>
      <c r="I2237" s="22">
        <f t="shared" si="69"/>
        <v>-7.1881192609189121E-3</v>
      </c>
      <c r="J2237" s="22" t="str">
        <f t="shared" si="70"/>
        <v>lost money</v>
      </c>
    </row>
    <row r="2238" spans="1:10">
      <c r="A2238" s="1">
        <v>41367</v>
      </c>
      <c r="B2238">
        <v>60.14</v>
      </c>
      <c r="C2238">
        <v>60.35</v>
      </c>
      <c r="D2238">
        <v>59.13</v>
      </c>
      <c r="E2238">
        <v>59.28</v>
      </c>
      <c r="F2238">
        <v>5535500</v>
      </c>
      <c r="G2238">
        <v>57.48</v>
      </c>
      <c r="H2238" t="s">
        <v>5</v>
      </c>
      <c r="I2238" s="22">
        <f t="shared" si="69"/>
        <v>-1.2791877106653003E-2</v>
      </c>
      <c r="J2238" s="22" t="str">
        <f t="shared" si="70"/>
        <v>lost money</v>
      </c>
    </row>
    <row r="2239" spans="1:10">
      <c r="A2239" s="1">
        <v>41368</v>
      </c>
      <c r="B2239">
        <v>59.22</v>
      </c>
      <c r="C2239">
        <v>59.41</v>
      </c>
      <c r="D2239">
        <v>58.7</v>
      </c>
      <c r="E2239">
        <v>58.88</v>
      </c>
      <c r="F2239">
        <v>4965200</v>
      </c>
      <c r="G2239">
        <v>57.09</v>
      </c>
      <c r="H2239" t="s">
        <v>5</v>
      </c>
      <c r="I2239" s="22">
        <f t="shared" si="69"/>
        <v>-6.8080912346561969E-3</v>
      </c>
      <c r="J2239" s="22" t="str">
        <f t="shared" si="70"/>
        <v>lost money</v>
      </c>
    </row>
    <row r="2240" spans="1:10">
      <c r="A2240" s="1">
        <v>41369</v>
      </c>
      <c r="B2240">
        <v>58.38</v>
      </c>
      <c r="C2240">
        <v>58.69</v>
      </c>
      <c r="D2240">
        <v>58.06</v>
      </c>
      <c r="E2240">
        <v>58.54</v>
      </c>
      <c r="F2240">
        <v>6736500</v>
      </c>
      <c r="G2240">
        <v>56.76</v>
      </c>
      <c r="H2240" t="s">
        <v>5</v>
      </c>
      <c r="I2240" s="22">
        <f t="shared" si="69"/>
        <v>-5.7971176843259579E-3</v>
      </c>
      <c r="J2240" s="22" t="str">
        <f t="shared" si="70"/>
        <v/>
      </c>
    </row>
    <row r="2241" spans="1:10">
      <c r="A2241" s="1">
        <v>41372</v>
      </c>
      <c r="B2241">
        <v>58.6</v>
      </c>
      <c r="C2241">
        <v>59.34</v>
      </c>
      <c r="D2241">
        <v>58.51</v>
      </c>
      <c r="E2241">
        <v>59.31</v>
      </c>
      <c r="F2241">
        <v>4744100</v>
      </c>
      <c r="G2241">
        <v>57.51</v>
      </c>
      <c r="H2241" t="s">
        <v>5</v>
      </c>
      <c r="I2241" s="22">
        <f t="shared" si="69"/>
        <v>1.3126993433820892E-2</v>
      </c>
      <c r="J2241" s="22" t="str">
        <f t="shared" si="70"/>
        <v/>
      </c>
    </row>
    <row r="2242" spans="1:10">
      <c r="A2242" s="1">
        <v>41373</v>
      </c>
      <c r="B2242">
        <v>59.51</v>
      </c>
      <c r="C2242">
        <v>60.06</v>
      </c>
      <c r="D2242">
        <v>59</v>
      </c>
      <c r="E2242">
        <v>59.78</v>
      </c>
      <c r="F2242">
        <v>4618100</v>
      </c>
      <c r="G2242">
        <v>57.96</v>
      </c>
      <c r="H2242" t="s">
        <v>5</v>
      </c>
      <c r="I2242" s="22">
        <f t="shared" si="69"/>
        <v>7.7942717268189229E-3</v>
      </c>
      <c r="J2242" s="22" t="str">
        <f t="shared" si="70"/>
        <v/>
      </c>
    </row>
    <row r="2243" spans="1:10">
      <c r="A2243" s="1">
        <v>41374</v>
      </c>
      <c r="B2243">
        <v>59.98</v>
      </c>
      <c r="C2243">
        <v>60.6</v>
      </c>
      <c r="D2243">
        <v>59.89</v>
      </c>
      <c r="E2243">
        <v>60.25</v>
      </c>
      <c r="F2243">
        <v>5449400</v>
      </c>
      <c r="G2243">
        <v>58.42</v>
      </c>
      <c r="H2243" t="s">
        <v>5</v>
      </c>
      <c r="I2243" s="22">
        <f t="shared" ref="I2243:I2306" si="71">IF(A2243=$A$2,"",LN(G2243/G2242))</f>
        <v>7.9051795071132473E-3</v>
      </c>
      <c r="J2243" s="22" t="str">
        <f t="shared" ref="J2243:J2306" si="72">IF(B2243&gt;E2243,"lost money","")</f>
        <v/>
      </c>
    </row>
    <row r="2244" spans="1:10">
      <c r="A2244" s="1">
        <v>41375</v>
      </c>
      <c r="B2244">
        <v>60.4</v>
      </c>
      <c r="C2244">
        <v>60.63</v>
      </c>
      <c r="D2244">
        <v>59.83</v>
      </c>
      <c r="E2244">
        <v>60.16</v>
      </c>
      <c r="F2244">
        <v>6837200</v>
      </c>
      <c r="G2244">
        <v>58.33</v>
      </c>
      <c r="H2244" t="s">
        <v>5</v>
      </c>
      <c r="I2244" s="22">
        <f t="shared" si="71"/>
        <v>-1.5417561940487584E-3</v>
      </c>
      <c r="J2244" s="22" t="str">
        <f t="shared" si="72"/>
        <v>lost money</v>
      </c>
    </row>
    <row r="2245" spans="1:10">
      <c r="A2245" s="1">
        <v>41376</v>
      </c>
      <c r="B2245">
        <v>59.63</v>
      </c>
      <c r="C2245">
        <v>59.86</v>
      </c>
      <c r="D2245">
        <v>59.08</v>
      </c>
      <c r="E2245">
        <v>59.36</v>
      </c>
      <c r="F2245">
        <v>5148200</v>
      </c>
      <c r="G2245">
        <v>57.56</v>
      </c>
      <c r="H2245" t="s">
        <v>5</v>
      </c>
      <c r="I2245" s="22">
        <f t="shared" si="71"/>
        <v>-1.3288658746379118E-2</v>
      </c>
      <c r="J2245" s="22" t="str">
        <f t="shared" si="72"/>
        <v>lost money</v>
      </c>
    </row>
    <row r="2246" spans="1:10">
      <c r="A2246" s="1">
        <v>41379</v>
      </c>
      <c r="B2246">
        <v>58.72</v>
      </c>
      <c r="C2246">
        <v>58.72</v>
      </c>
      <c r="D2246">
        <v>57.2</v>
      </c>
      <c r="E2246">
        <v>57.24</v>
      </c>
      <c r="F2246">
        <v>9785400</v>
      </c>
      <c r="G2246">
        <v>55.5</v>
      </c>
      <c r="H2246" t="s">
        <v>5</v>
      </c>
      <c r="I2246" s="22">
        <f t="shared" si="71"/>
        <v>-3.6444861266778317E-2</v>
      </c>
      <c r="J2246" s="22" t="str">
        <f t="shared" si="72"/>
        <v>lost money</v>
      </c>
    </row>
    <row r="2247" spans="1:10">
      <c r="A2247" s="1">
        <v>41380</v>
      </c>
      <c r="B2247">
        <v>58.01</v>
      </c>
      <c r="C2247">
        <v>58.01</v>
      </c>
      <c r="D2247">
        <v>56.88</v>
      </c>
      <c r="E2247">
        <v>57.44</v>
      </c>
      <c r="F2247">
        <v>9318800</v>
      </c>
      <c r="G2247">
        <v>55.7</v>
      </c>
      <c r="H2247" t="s">
        <v>5</v>
      </c>
      <c r="I2247" s="22">
        <f t="shared" si="71"/>
        <v>3.5971261808494747E-3</v>
      </c>
      <c r="J2247" s="22" t="str">
        <f t="shared" si="72"/>
        <v>lost money</v>
      </c>
    </row>
    <row r="2248" spans="1:10">
      <c r="A2248" s="1">
        <v>41381</v>
      </c>
      <c r="B2248">
        <v>57.17</v>
      </c>
      <c r="C2248">
        <v>57.2</v>
      </c>
      <c r="D2248">
        <v>56.38</v>
      </c>
      <c r="E2248">
        <v>56.81</v>
      </c>
      <c r="F2248">
        <v>7038700</v>
      </c>
      <c r="G2248">
        <v>55.08</v>
      </c>
      <c r="H2248" t="s">
        <v>5</v>
      </c>
      <c r="I2248" s="22">
        <f t="shared" si="71"/>
        <v>-1.1193473072784323E-2</v>
      </c>
      <c r="J2248" s="22" t="str">
        <f t="shared" si="72"/>
        <v>lost money</v>
      </c>
    </row>
    <row r="2249" spans="1:10">
      <c r="A2249" s="1">
        <v>41382</v>
      </c>
      <c r="B2249">
        <v>56.96</v>
      </c>
      <c r="C2249">
        <v>57.57</v>
      </c>
      <c r="D2249">
        <v>56.47</v>
      </c>
      <c r="E2249">
        <v>57.32</v>
      </c>
      <c r="F2249">
        <v>6182100</v>
      </c>
      <c r="G2249">
        <v>55.58</v>
      </c>
      <c r="H2249" t="s">
        <v>5</v>
      </c>
      <c r="I2249" s="22">
        <f t="shared" si="71"/>
        <v>9.0367504539036296E-3</v>
      </c>
      <c r="J2249" s="22" t="str">
        <f t="shared" si="72"/>
        <v/>
      </c>
    </row>
    <row r="2250" spans="1:10">
      <c r="A2250" s="1">
        <v>41383</v>
      </c>
      <c r="B2250">
        <v>57.64</v>
      </c>
      <c r="C2250">
        <v>57.99</v>
      </c>
      <c r="D2250">
        <v>57.04</v>
      </c>
      <c r="E2250">
        <v>57.49</v>
      </c>
      <c r="F2250">
        <v>6411900</v>
      </c>
      <c r="G2250">
        <v>55.74</v>
      </c>
      <c r="H2250" t="s">
        <v>5</v>
      </c>
      <c r="I2250" s="22">
        <f t="shared" si="71"/>
        <v>2.8745977394445169E-3</v>
      </c>
      <c r="J2250" s="22" t="str">
        <f t="shared" si="72"/>
        <v>lost money</v>
      </c>
    </row>
    <row r="2251" spans="1:10">
      <c r="A2251" s="1">
        <v>41386</v>
      </c>
      <c r="B2251">
        <v>57.58</v>
      </c>
      <c r="C2251">
        <v>57.79</v>
      </c>
      <c r="D2251">
        <v>56.92</v>
      </c>
      <c r="E2251">
        <v>57.39</v>
      </c>
      <c r="F2251">
        <v>5465400</v>
      </c>
      <c r="G2251">
        <v>55.65</v>
      </c>
      <c r="H2251" t="s">
        <v>5</v>
      </c>
      <c r="I2251" s="22">
        <f t="shared" si="71"/>
        <v>-1.6159443322483218E-3</v>
      </c>
      <c r="J2251" s="22" t="str">
        <f t="shared" si="72"/>
        <v>lost money</v>
      </c>
    </row>
    <row r="2252" spans="1:10">
      <c r="A2252" s="1">
        <v>41387</v>
      </c>
      <c r="B2252">
        <v>57.61</v>
      </c>
      <c r="C2252">
        <v>57.8</v>
      </c>
      <c r="D2252">
        <v>57</v>
      </c>
      <c r="E2252">
        <v>57.78</v>
      </c>
      <c r="F2252">
        <v>7522300</v>
      </c>
      <c r="G2252">
        <v>56.03</v>
      </c>
      <c r="H2252" t="s">
        <v>5</v>
      </c>
      <c r="I2252" s="22">
        <f t="shared" si="71"/>
        <v>6.8051838556393487E-3</v>
      </c>
      <c r="J2252" s="22" t="str">
        <f t="shared" si="72"/>
        <v/>
      </c>
    </row>
    <row r="2253" spans="1:10">
      <c r="A2253" s="1">
        <v>41388</v>
      </c>
      <c r="B2253">
        <v>57.89</v>
      </c>
      <c r="C2253">
        <v>58.55</v>
      </c>
      <c r="D2253">
        <v>57.89</v>
      </c>
      <c r="E2253">
        <v>58.26</v>
      </c>
      <c r="F2253">
        <v>7812100</v>
      </c>
      <c r="G2253">
        <v>56.49</v>
      </c>
      <c r="H2253" t="s">
        <v>5</v>
      </c>
      <c r="I2253" s="22">
        <f t="shared" si="71"/>
        <v>8.176369759977653E-3</v>
      </c>
      <c r="J2253" s="22" t="str">
        <f t="shared" si="72"/>
        <v/>
      </c>
    </row>
    <row r="2254" spans="1:10">
      <c r="A2254" s="1">
        <v>41389</v>
      </c>
      <c r="B2254">
        <v>58.37</v>
      </c>
      <c r="C2254">
        <v>58.77</v>
      </c>
      <c r="D2254">
        <v>57.72</v>
      </c>
      <c r="E2254">
        <v>58.37</v>
      </c>
      <c r="F2254">
        <v>6285700</v>
      </c>
      <c r="G2254">
        <v>56.6</v>
      </c>
      <c r="H2254" t="s">
        <v>5</v>
      </c>
      <c r="I2254" s="22">
        <f t="shared" si="71"/>
        <v>1.9453538719665479E-3</v>
      </c>
      <c r="J2254" s="22" t="str">
        <f t="shared" si="72"/>
        <v/>
      </c>
    </row>
    <row r="2255" spans="1:10">
      <c r="A2255" s="1">
        <v>41390</v>
      </c>
      <c r="B2255">
        <v>58.42</v>
      </c>
      <c r="C2255">
        <v>59</v>
      </c>
      <c r="D2255">
        <v>58.36</v>
      </c>
      <c r="E2255">
        <v>58.91</v>
      </c>
      <c r="F2255">
        <v>6303600</v>
      </c>
      <c r="G2255">
        <v>57.12</v>
      </c>
      <c r="H2255" t="s">
        <v>5</v>
      </c>
      <c r="I2255" s="22">
        <f t="shared" si="71"/>
        <v>9.1453328221916298E-3</v>
      </c>
      <c r="J2255" s="22" t="str">
        <f t="shared" si="72"/>
        <v/>
      </c>
    </row>
    <row r="2256" spans="1:10">
      <c r="A2256" s="1">
        <v>41393</v>
      </c>
      <c r="B2256">
        <v>59.29</v>
      </c>
      <c r="C2256">
        <v>60.05</v>
      </c>
      <c r="D2256">
        <v>59.02</v>
      </c>
      <c r="E2256">
        <v>59.9</v>
      </c>
      <c r="F2256">
        <v>5645200</v>
      </c>
      <c r="G2256">
        <v>58.08</v>
      </c>
      <c r="H2256" t="s">
        <v>5</v>
      </c>
      <c r="I2256" s="22">
        <f t="shared" si="71"/>
        <v>1.6667052485211643E-2</v>
      </c>
      <c r="J2256" s="22" t="str">
        <f t="shared" si="72"/>
        <v/>
      </c>
    </row>
    <row r="2257" spans="1:10">
      <c r="A2257" s="1">
        <v>41394</v>
      </c>
      <c r="B2257">
        <v>59.84</v>
      </c>
      <c r="C2257">
        <v>60.45</v>
      </c>
      <c r="D2257">
        <v>59.51</v>
      </c>
      <c r="E2257">
        <v>60.45</v>
      </c>
      <c r="F2257">
        <v>6207700</v>
      </c>
      <c r="G2257">
        <v>58.61</v>
      </c>
      <c r="H2257" t="s">
        <v>5</v>
      </c>
      <c r="I2257" s="22">
        <f t="shared" si="71"/>
        <v>9.0839599717972685E-3</v>
      </c>
      <c r="J2257" s="22" t="str">
        <f t="shared" si="72"/>
        <v/>
      </c>
    </row>
    <row r="2258" spans="1:10">
      <c r="A2258" s="1">
        <v>41395</v>
      </c>
      <c r="B2258">
        <v>60.15</v>
      </c>
      <c r="C2258">
        <v>60.72</v>
      </c>
      <c r="D2258">
        <v>59.9</v>
      </c>
      <c r="E2258">
        <v>60.01</v>
      </c>
      <c r="F2258">
        <v>7150200</v>
      </c>
      <c r="G2258">
        <v>58.19</v>
      </c>
      <c r="H2258" t="s">
        <v>5</v>
      </c>
      <c r="I2258" s="22">
        <f t="shared" si="71"/>
        <v>-7.1918118197593639E-3</v>
      </c>
      <c r="J2258" s="22" t="str">
        <f t="shared" si="72"/>
        <v>lost money</v>
      </c>
    </row>
    <row r="2259" spans="1:10">
      <c r="A2259" s="1">
        <v>41396</v>
      </c>
      <c r="B2259">
        <v>60.1</v>
      </c>
      <c r="C2259">
        <v>61.23</v>
      </c>
      <c r="D2259">
        <v>59.95</v>
      </c>
      <c r="E2259">
        <v>60.96</v>
      </c>
      <c r="F2259">
        <v>8343100</v>
      </c>
      <c r="G2259">
        <v>59.11</v>
      </c>
      <c r="H2259" t="s">
        <v>5</v>
      </c>
      <c r="I2259" s="22">
        <f t="shared" si="71"/>
        <v>1.5686596167699692E-2</v>
      </c>
      <c r="J2259" s="22" t="str">
        <f t="shared" si="72"/>
        <v/>
      </c>
    </row>
    <row r="2260" spans="1:10">
      <c r="A2260" s="1">
        <v>41397</v>
      </c>
      <c r="B2260">
        <v>61.41</v>
      </c>
      <c r="C2260">
        <v>61.97</v>
      </c>
      <c r="D2260">
        <v>61.25</v>
      </c>
      <c r="E2260">
        <v>61.92</v>
      </c>
      <c r="F2260">
        <v>6456400</v>
      </c>
      <c r="G2260">
        <v>60.04</v>
      </c>
      <c r="H2260" t="s">
        <v>5</v>
      </c>
      <c r="I2260" s="22">
        <f t="shared" si="71"/>
        <v>1.5610891928983114E-2</v>
      </c>
      <c r="J2260" s="22" t="str">
        <f t="shared" si="72"/>
        <v/>
      </c>
    </row>
    <row r="2261" spans="1:10">
      <c r="A2261" s="1">
        <v>41400</v>
      </c>
      <c r="B2261">
        <v>61.96</v>
      </c>
      <c r="C2261">
        <v>62.42</v>
      </c>
      <c r="D2261">
        <v>61.71</v>
      </c>
      <c r="E2261">
        <v>62.22</v>
      </c>
      <c r="F2261">
        <v>5802500</v>
      </c>
      <c r="G2261">
        <v>60.33</v>
      </c>
      <c r="H2261" t="s">
        <v>5</v>
      </c>
      <c r="I2261" s="22">
        <f t="shared" si="71"/>
        <v>4.8184856874091677E-3</v>
      </c>
      <c r="J2261" s="22" t="str">
        <f t="shared" si="72"/>
        <v/>
      </c>
    </row>
    <row r="2262" spans="1:10">
      <c r="A2262" s="1">
        <v>41401</v>
      </c>
      <c r="B2262">
        <v>62.38</v>
      </c>
      <c r="C2262">
        <v>62.99</v>
      </c>
      <c r="D2262">
        <v>62.26</v>
      </c>
      <c r="E2262">
        <v>62.84</v>
      </c>
      <c r="F2262">
        <v>5933700</v>
      </c>
      <c r="G2262">
        <v>60.93</v>
      </c>
      <c r="H2262" t="s">
        <v>5</v>
      </c>
      <c r="I2262" s="22">
        <f t="shared" si="71"/>
        <v>9.8961718077325688E-3</v>
      </c>
      <c r="J2262" s="22" t="str">
        <f t="shared" si="72"/>
        <v/>
      </c>
    </row>
    <row r="2263" spans="1:10">
      <c r="A2263" s="1">
        <v>41402</v>
      </c>
      <c r="B2263">
        <v>62.8</v>
      </c>
      <c r="C2263">
        <v>62.94</v>
      </c>
      <c r="D2263">
        <v>62.33</v>
      </c>
      <c r="E2263">
        <v>62.59</v>
      </c>
      <c r="F2263">
        <v>6497100</v>
      </c>
      <c r="G2263">
        <v>60.69</v>
      </c>
      <c r="H2263" t="s">
        <v>5</v>
      </c>
      <c r="I2263" s="22">
        <f t="shared" si="71"/>
        <v>-3.9467244126391984E-3</v>
      </c>
      <c r="J2263" s="22" t="str">
        <f t="shared" si="72"/>
        <v>lost money</v>
      </c>
    </row>
    <row r="2264" spans="1:10">
      <c r="A2264" s="1">
        <v>41403</v>
      </c>
      <c r="B2264">
        <v>62.56</v>
      </c>
      <c r="C2264">
        <v>62.89</v>
      </c>
      <c r="D2264">
        <v>62.33</v>
      </c>
      <c r="E2264">
        <v>62.58</v>
      </c>
      <c r="F2264">
        <v>11026300</v>
      </c>
      <c r="G2264">
        <v>60.68</v>
      </c>
      <c r="H2264" t="s">
        <v>5</v>
      </c>
      <c r="I2264" s="22">
        <f t="shared" si="71"/>
        <v>-1.6478536743225016E-4</v>
      </c>
      <c r="J2264" s="22" t="str">
        <f t="shared" si="72"/>
        <v/>
      </c>
    </row>
    <row r="2265" spans="1:10">
      <c r="A2265" s="1">
        <v>41404</v>
      </c>
      <c r="B2265">
        <v>62.44</v>
      </c>
      <c r="C2265">
        <v>62.58</v>
      </c>
      <c r="D2265">
        <v>61.82</v>
      </c>
      <c r="E2265">
        <v>62.23</v>
      </c>
      <c r="F2265">
        <v>12466000</v>
      </c>
      <c r="G2265">
        <v>60.34</v>
      </c>
      <c r="H2265" t="s">
        <v>5</v>
      </c>
      <c r="I2265" s="22">
        <f t="shared" si="71"/>
        <v>-5.6189207494164424E-3</v>
      </c>
      <c r="J2265" s="22" t="str">
        <f t="shared" si="72"/>
        <v>lost money</v>
      </c>
    </row>
    <row r="2266" spans="1:10">
      <c r="A2266" s="1">
        <v>41407</v>
      </c>
      <c r="B2266">
        <v>62.11</v>
      </c>
      <c r="C2266">
        <v>62.33</v>
      </c>
      <c r="D2266">
        <v>61.75</v>
      </c>
      <c r="E2266">
        <v>62</v>
      </c>
      <c r="F2266">
        <v>12518500</v>
      </c>
      <c r="G2266">
        <v>60.12</v>
      </c>
      <c r="H2266" t="s">
        <v>5</v>
      </c>
      <c r="I2266" s="22">
        <f t="shared" si="71"/>
        <v>-3.6526688461414026E-3</v>
      </c>
      <c r="J2266" s="22" t="str">
        <f t="shared" si="72"/>
        <v>lost money</v>
      </c>
    </row>
    <row r="2267" spans="1:10">
      <c r="A2267" s="1">
        <v>41408</v>
      </c>
      <c r="B2267">
        <v>62.02</v>
      </c>
      <c r="C2267">
        <v>63.14</v>
      </c>
      <c r="D2267">
        <v>61.84</v>
      </c>
      <c r="E2267">
        <v>63.06</v>
      </c>
      <c r="F2267">
        <v>6927600</v>
      </c>
      <c r="G2267">
        <v>61.15</v>
      </c>
      <c r="H2267" t="s">
        <v>5</v>
      </c>
      <c r="I2267" s="22">
        <f t="shared" si="71"/>
        <v>1.6987297248407685E-2</v>
      </c>
      <c r="J2267" s="22" t="str">
        <f t="shared" si="72"/>
        <v/>
      </c>
    </row>
    <row r="2268" spans="1:10">
      <c r="A2268" s="1">
        <v>41409</v>
      </c>
      <c r="B2268">
        <v>62.84</v>
      </c>
      <c r="C2268">
        <v>62.84</v>
      </c>
      <c r="D2268">
        <v>61.86</v>
      </c>
      <c r="E2268">
        <v>62.42</v>
      </c>
      <c r="F2268">
        <v>8092100</v>
      </c>
      <c r="G2268">
        <v>60.52</v>
      </c>
      <c r="H2268" t="s">
        <v>5</v>
      </c>
      <c r="I2268" s="22">
        <f t="shared" si="71"/>
        <v>-1.0355973213026103E-2</v>
      </c>
      <c r="J2268" s="22" t="str">
        <f t="shared" si="72"/>
        <v>lost money</v>
      </c>
    </row>
    <row r="2269" spans="1:10">
      <c r="A2269" s="1">
        <v>41410</v>
      </c>
      <c r="B2269">
        <v>62.37</v>
      </c>
      <c r="C2269">
        <v>62.87</v>
      </c>
      <c r="D2269">
        <v>62.24</v>
      </c>
      <c r="E2269">
        <v>62.43</v>
      </c>
      <c r="F2269">
        <v>5214000</v>
      </c>
      <c r="G2269">
        <v>60.53</v>
      </c>
      <c r="H2269" t="s">
        <v>5</v>
      </c>
      <c r="I2269" s="22">
        <f t="shared" si="71"/>
        <v>1.6522098344066356E-4</v>
      </c>
      <c r="J2269" s="22" t="str">
        <f t="shared" si="72"/>
        <v/>
      </c>
    </row>
    <row r="2270" spans="1:10">
      <c r="A2270" s="1">
        <v>41411</v>
      </c>
      <c r="B2270">
        <v>62.39</v>
      </c>
      <c r="C2270">
        <v>63.31</v>
      </c>
      <c r="D2270">
        <v>62.37</v>
      </c>
      <c r="E2270">
        <v>63.31</v>
      </c>
      <c r="F2270">
        <v>7076800</v>
      </c>
      <c r="G2270">
        <v>61.39</v>
      </c>
      <c r="H2270" t="s">
        <v>5</v>
      </c>
      <c r="I2270" s="22">
        <f t="shared" si="71"/>
        <v>1.4107845535809087E-2</v>
      </c>
      <c r="J2270" s="22" t="str">
        <f t="shared" si="72"/>
        <v/>
      </c>
    </row>
    <row r="2271" spans="1:10">
      <c r="A2271" s="1">
        <v>41414</v>
      </c>
      <c r="B2271">
        <v>63.3</v>
      </c>
      <c r="C2271">
        <v>64.459999999999994</v>
      </c>
      <c r="D2271">
        <v>63.25</v>
      </c>
      <c r="E2271">
        <v>64.03</v>
      </c>
      <c r="F2271">
        <v>6215900</v>
      </c>
      <c r="G2271">
        <v>62.09</v>
      </c>
      <c r="H2271" t="s">
        <v>5</v>
      </c>
      <c r="I2271" s="22">
        <f t="shared" si="71"/>
        <v>1.1337989937396443E-2</v>
      </c>
      <c r="J2271" s="22" t="str">
        <f t="shared" si="72"/>
        <v/>
      </c>
    </row>
    <row r="2272" spans="1:10">
      <c r="A2272" s="1">
        <v>41415</v>
      </c>
      <c r="B2272">
        <v>64.25</v>
      </c>
      <c r="C2272">
        <v>64.77</v>
      </c>
      <c r="D2272">
        <v>63.8</v>
      </c>
      <c r="E2272">
        <v>64.31</v>
      </c>
      <c r="F2272">
        <v>6543700</v>
      </c>
      <c r="G2272">
        <v>62.36</v>
      </c>
      <c r="H2272" t="s">
        <v>5</v>
      </c>
      <c r="I2272" s="22">
        <f t="shared" si="71"/>
        <v>4.3390988127742919E-3</v>
      </c>
      <c r="J2272" s="22" t="str">
        <f t="shared" si="72"/>
        <v/>
      </c>
    </row>
    <row r="2273" spans="1:10">
      <c r="A2273" s="1">
        <v>41416</v>
      </c>
      <c r="B2273">
        <v>63.54</v>
      </c>
      <c r="C2273">
        <v>63.97</v>
      </c>
      <c r="D2273">
        <v>62.57</v>
      </c>
      <c r="E2273">
        <v>62.74</v>
      </c>
      <c r="F2273">
        <v>9364600</v>
      </c>
      <c r="G2273">
        <v>61.47</v>
      </c>
      <c r="H2273" t="s">
        <v>5</v>
      </c>
      <c r="I2273" s="22">
        <f t="shared" si="71"/>
        <v>-1.4374793270657665E-2</v>
      </c>
      <c r="J2273" s="22" t="str">
        <f t="shared" si="72"/>
        <v>lost money</v>
      </c>
    </row>
    <row r="2274" spans="1:10">
      <c r="A2274" s="1">
        <v>41417</v>
      </c>
      <c r="B2274">
        <v>62.03</v>
      </c>
      <c r="C2274">
        <v>62.93</v>
      </c>
      <c r="D2274">
        <v>61.9</v>
      </c>
      <c r="E2274">
        <v>62.79</v>
      </c>
      <c r="F2274">
        <v>5274700</v>
      </c>
      <c r="G2274">
        <v>61.51</v>
      </c>
      <c r="H2274" t="s">
        <v>5</v>
      </c>
      <c r="I2274" s="22">
        <f t="shared" si="71"/>
        <v>6.5051230135886235E-4</v>
      </c>
      <c r="J2274" s="22" t="str">
        <f t="shared" si="72"/>
        <v/>
      </c>
    </row>
    <row r="2275" spans="1:10">
      <c r="A2275" s="1">
        <v>41418</v>
      </c>
      <c r="B2275">
        <v>62.54</v>
      </c>
      <c r="C2275">
        <v>62.62</v>
      </c>
      <c r="D2275">
        <v>62.18</v>
      </c>
      <c r="E2275">
        <v>62.53</v>
      </c>
      <c r="F2275">
        <v>4623700</v>
      </c>
      <c r="G2275">
        <v>61.26</v>
      </c>
      <c r="H2275" t="s">
        <v>5</v>
      </c>
      <c r="I2275" s="22">
        <f t="shared" si="71"/>
        <v>-4.0726618156476995E-3</v>
      </c>
      <c r="J2275" s="22" t="str">
        <f t="shared" si="72"/>
        <v>lost money</v>
      </c>
    </row>
    <row r="2276" spans="1:10">
      <c r="A2276" s="1">
        <v>41422</v>
      </c>
      <c r="B2276">
        <v>63.24</v>
      </c>
      <c r="C2276">
        <v>63.61</v>
      </c>
      <c r="D2276">
        <v>62.72</v>
      </c>
      <c r="E2276">
        <v>62.84</v>
      </c>
      <c r="F2276">
        <v>5906600</v>
      </c>
      <c r="G2276">
        <v>61.56</v>
      </c>
      <c r="H2276" t="s">
        <v>5</v>
      </c>
      <c r="I2276" s="22">
        <f t="shared" si="71"/>
        <v>4.885207566049341E-3</v>
      </c>
      <c r="J2276" s="22" t="str">
        <f t="shared" si="72"/>
        <v>lost money</v>
      </c>
    </row>
    <row r="2277" spans="1:10">
      <c r="A2277" s="1">
        <v>41423</v>
      </c>
      <c r="B2277">
        <v>62.49</v>
      </c>
      <c r="C2277">
        <v>63.01</v>
      </c>
      <c r="D2277">
        <v>62.2</v>
      </c>
      <c r="E2277">
        <v>62.78</v>
      </c>
      <c r="F2277">
        <v>6431700</v>
      </c>
      <c r="G2277">
        <v>61.5</v>
      </c>
      <c r="H2277" t="s">
        <v>5</v>
      </c>
      <c r="I2277" s="22">
        <f t="shared" si="71"/>
        <v>-9.7513415820631828E-4</v>
      </c>
      <c r="J2277" s="22" t="str">
        <f t="shared" si="72"/>
        <v/>
      </c>
    </row>
    <row r="2278" spans="1:10">
      <c r="A2278" s="1">
        <v>41424</v>
      </c>
      <c r="B2278">
        <v>62.58</v>
      </c>
      <c r="C2278">
        <v>62.61</v>
      </c>
      <c r="D2278">
        <v>62.05</v>
      </c>
      <c r="E2278">
        <v>62.28</v>
      </c>
      <c r="F2278">
        <v>5658200</v>
      </c>
      <c r="G2278">
        <v>61.02</v>
      </c>
      <c r="H2278" t="s">
        <v>5</v>
      </c>
      <c r="I2278" s="22">
        <f t="shared" si="71"/>
        <v>-7.835495523948497E-3</v>
      </c>
      <c r="J2278" s="22" t="str">
        <f t="shared" si="72"/>
        <v>lost money</v>
      </c>
    </row>
    <row r="2279" spans="1:10">
      <c r="A2279" s="1">
        <v>41425</v>
      </c>
      <c r="B2279">
        <v>62.12</v>
      </c>
      <c r="C2279">
        <v>62.65</v>
      </c>
      <c r="D2279">
        <v>61.34</v>
      </c>
      <c r="E2279">
        <v>61.34</v>
      </c>
      <c r="F2279">
        <v>8032400</v>
      </c>
      <c r="G2279">
        <v>60.09</v>
      </c>
      <c r="H2279" t="s">
        <v>5</v>
      </c>
      <c r="I2279" s="22">
        <f t="shared" si="71"/>
        <v>-1.5358240942686981E-2</v>
      </c>
      <c r="J2279" s="22" t="str">
        <f t="shared" si="72"/>
        <v>lost money</v>
      </c>
    </row>
    <row r="2280" spans="1:10">
      <c r="A2280" s="1">
        <v>41428</v>
      </c>
      <c r="B2280">
        <v>61.58</v>
      </c>
      <c r="C2280">
        <v>62.1</v>
      </c>
      <c r="D2280">
        <v>61.28</v>
      </c>
      <c r="E2280">
        <v>62.09</v>
      </c>
      <c r="F2280">
        <v>6813400</v>
      </c>
      <c r="G2280">
        <v>60.83</v>
      </c>
      <c r="H2280" t="s">
        <v>5</v>
      </c>
      <c r="I2280" s="22">
        <f t="shared" si="71"/>
        <v>1.223964998677721E-2</v>
      </c>
      <c r="J2280" s="22" t="str">
        <f t="shared" si="72"/>
        <v/>
      </c>
    </row>
    <row r="2281" spans="1:10">
      <c r="A2281" s="1">
        <v>41429</v>
      </c>
      <c r="B2281">
        <v>61.89</v>
      </c>
      <c r="C2281">
        <v>62.08</v>
      </c>
      <c r="D2281">
        <v>61.32</v>
      </c>
      <c r="E2281">
        <v>61.68</v>
      </c>
      <c r="F2281">
        <v>5171300</v>
      </c>
      <c r="G2281">
        <v>60.43</v>
      </c>
      <c r="H2281" t="s">
        <v>5</v>
      </c>
      <c r="I2281" s="22">
        <f t="shared" si="71"/>
        <v>-6.5974179591467789E-3</v>
      </c>
      <c r="J2281" s="22" t="str">
        <f t="shared" si="72"/>
        <v>lost money</v>
      </c>
    </row>
    <row r="2282" spans="1:10">
      <c r="A2282" s="1">
        <v>41430</v>
      </c>
      <c r="B2282">
        <v>61.96</v>
      </c>
      <c r="C2282">
        <v>62.11</v>
      </c>
      <c r="D2282">
        <v>61.44</v>
      </c>
      <c r="E2282">
        <v>61.62</v>
      </c>
      <c r="F2282">
        <v>7571900</v>
      </c>
      <c r="G2282">
        <v>60.37</v>
      </c>
      <c r="H2282" t="s">
        <v>5</v>
      </c>
      <c r="I2282" s="22">
        <f t="shared" si="71"/>
        <v>-9.9337756513239806E-4</v>
      </c>
      <c r="J2282" s="22" t="str">
        <f t="shared" si="72"/>
        <v>lost money</v>
      </c>
    </row>
    <row r="2283" spans="1:10">
      <c r="A2283" s="1">
        <v>41431</v>
      </c>
      <c r="B2283">
        <v>61.51</v>
      </c>
      <c r="C2283">
        <v>61.92</v>
      </c>
      <c r="D2283">
        <v>60.96</v>
      </c>
      <c r="E2283">
        <v>61.91</v>
      </c>
      <c r="F2283">
        <v>6616200</v>
      </c>
      <c r="G2283">
        <v>60.65</v>
      </c>
      <c r="H2283" t="s">
        <v>5</v>
      </c>
      <c r="I2283" s="22">
        <f t="shared" si="71"/>
        <v>4.6273425817244555E-3</v>
      </c>
      <c r="J2283" s="22" t="str">
        <f t="shared" si="72"/>
        <v/>
      </c>
    </row>
    <row r="2284" spans="1:10">
      <c r="A2284" s="1">
        <v>41432</v>
      </c>
      <c r="B2284">
        <v>62.17</v>
      </c>
      <c r="C2284">
        <v>62.38</v>
      </c>
      <c r="D2284">
        <v>61.76</v>
      </c>
      <c r="E2284">
        <v>62.32</v>
      </c>
      <c r="F2284">
        <v>5081700</v>
      </c>
      <c r="G2284">
        <v>61.05</v>
      </c>
      <c r="H2284" t="s">
        <v>5</v>
      </c>
      <c r="I2284" s="22">
        <f t="shared" si="71"/>
        <v>6.5735651666544402E-3</v>
      </c>
      <c r="J2284" s="22" t="str">
        <f t="shared" si="72"/>
        <v/>
      </c>
    </row>
    <row r="2285" spans="1:10">
      <c r="A2285" s="1">
        <v>41435</v>
      </c>
      <c r="B2285">
        <v>62.36</v>
      </c>
      <c r="C2285">
        <v>62.44</v>
      </c>
      <c r="D2285">
        <v>61.95</v>
      </c>
      <c r="E2285">
        <v>62.2</v>
      </c>
      <c r="F2285">
        <v>4148100</v>
      </c>
      <c r="G2285">
        <v>60.94</v>
      </c>
      <c r="H2285" t="s">
        <v>5</v>
      </c>
      <c r="I2285" s="22">
        <f t="shared" si="71"/>
        <v>-1.8034269991506827E-3</v>
      </c>
      <c r="J2285" s="22" t="str">
        <f t="shared" si="72"/>
        <v>lost money</v>
      </c>
    </row>
    <row r="2286" spans="1:10">
      <c r="A2286" s="1">
        <v>41436</v>
      </c>
      <c r="B2286">
        <v>61.72</v>
      </c>
      <c r="C2286">
        <v>62.18</v>
      </c>
      <c r="D2286">
        <v>61.36</v>
      </c>
      <c r="E2286">
        <v>61.91</v>
      </c>
      <c r="F2286">
        <v>4698000</v>
      </c>
      <c r="G2286">
        <v>60.65</v>
      </c>
      <c r="H2286" t="s">
        <v>5</v>
      </c>
      <c r="I2286" s="22">
        <f t="shared" si="71"/>
        <v>-4.7701381675038452E-3</v>
      </c>
      <c r="J2286" s="22" t="str">
        <f t="shared" si="72"/>
        <v/>
      </c>
    </row>
    <row r="2287" spans="1:10">
      <c r="A2287" s="1">
        <v>41437</v>
      </c>
      <c r="B2287">
        <v>62.27</v>
      </c>
      <c r="C2287">
        <v>62.27</v>
      </c>
      <c r="D2287">
        <v>60.79</v>
      </c>
      <c r="E2287">
        <v>60.88</v>
      </c>
      <c r="F2287">
        <v>5031600</v>
      </c>
      <c r="G2287">
        <v>59.64</v>
      </c>
      <c r="H2287" t="s">
        <v>5</v>
      </c>
      <c r="I2287" s="22">
        <f t="shared" si="71"/>
        <v>-1.6793145493521417E-2</v>
      </c>
      <c r="J2287" s="22" t="str">
        <f t="shared" si="72"/>
        <v>lost money</v>
      </c>
    </row>
    <row r="2288" spans="1:10">
      <c r="A2288" s="1">
        <v>41438</v>
      </c>
      <c r="B2288">
        <v>60.67</v>
      </c>
      <c r="C2288">
        <v>61.72</v>
      </c>
      <c r="D2288">
        <v>60.38</v>
      </c>
      <c r="E2288">
        <v>61.65</v>
      </c>
      <c r="F2288">
        <v>5346900</v>
      </c>
      <c r="G2288">
        <v>60.4</v>
      </c>
      <c r="H2288" t="s">
        <v>5</v>
      </c>
      <c r="I2288" s="22">
        <f t="shared" si="71"/>
        <v>1.2662615044231496E-2</v>
      </c>
      <c r="J2288" s="22" t="str">
        <f t="shared" si="72"/>
        <v/>
      </c>
    </row>
    <row r="2289" spans="1:10">
      <c r="A2289" s="1">
        <v>41439</v>
      </c>
      <c r="B2289">
        <v>61.67</v>
      </c>
      <c r="C2289">
        <v>61.71</v>
      </c>
      <c r="D2289">
        <v>60.87</v>
      </c>
      <c r="E2289">
        <v>61.03</v>
      </c>
      <c r="F2289">
        <v>3327800</v>
      </c>
      <c r="G2289">
        <v>59.79</v>
      </c>
      <c r="H2289" t="s">
        <v>5</v>
      </c>
      <c r="I2289" s="22">
        <f t="shared" si="71"/>
        <v>-1.0150682047956223E-2</v>
      </c>
      <c r="J2289" s="22" t="str">
        <f t="shared" si="72"/>
        <v>lost money</v>
      </c>
    </row>
    <row r="2290" spans="1:10">
      <c r="A2290" s="1">
        <v>41442</v>
      </c>
      <c r="B2290">
        <v>61.45</v>
      </c>
      <c r="C2290">
        <v>62.05</v>
      </c>
      <c r="D2290">
        <v>61.44</v>
      </c>
      <c r="E2290">
        <v>61.94</v>
      </c>
      <c r="F2290">
        <v>3664000</v>
      </c>
      <c r="G2290">
        <v>60.68</v>
      </c>
      <c r="H2290" t="s">
        <v>5</v>
      </c>
      <c r="I2290" s="22">
        <f t="shared" si="71"/>
        <v>1.4775731587518369E-2</v>
      </c>
      <c r="J2290" s="22" t="str">
        <f t="shared" si="72"/>
        <v/>
      </c>
    </row>
    <row r="2291" spans="1:10">
      <c r="A2291" s="1">
        <v>41443</v>
      </c>
      <c r="B2291">
        <v>61.94</v>
      </c>
      <c r="C2291">
        <v>62.23</v>
      </c>
      <c r="D2291">
        <v>61.75</v>
      </c>
      <c r="E2291">
        <v>62.1</v>
      </c>
      <c r="F2291">
        <v>3437300</v>
      </c>
      <c r="G2291">
        <v>60.84</v>
      </c>
      <c r="H2291" t="s">
        <v>5</v>
      </c>
      <c r="I2291" s="22">
        <f t="shared" si="71"/>
        <v>2.6333129107607525E-3</v>
      </c>
      <c r="J2291" s="22" t="str">
        <f t="shared" si="72"/>
        <v/>
      </c>
    </row>
    <row r="2292" spans="1:10">
      <c r="A2292" s="1">
        <v>41444</v>
      </c>
      <c r="B2292">
        <v>62.15</v>
      </c>
      <c r="C2292">
        <v>62.57</v>
      </c>
      <c r="D2292">
        <v>61.71</v>
      </c>
      <c r="E2292">
        <v>61.71</v>
      </c>
      <c r="F2292">
        <v>5932600</v>
      </c>
      <c r="G2292">
        <v>60.46</v>
      </c>
      <c r="H2292" t="s">
        <v>5</v>
      </c>
      <c r="I2292" s="22">
        <f t="shared" si="71"/>
        <v>-6.2654780397801068E-3</v>
      </c>
      <c r="J2292" s="22" t="str">
        <f t="shared" si="72"/>
        <v>lost money</v>
      </c>
    </row>
    <row r="2293" spans="1:10">
      <c r="A2293" s="1">
        <v>41445</v>
      </c>
      <c r="B2293">
        <v>61.13</v>
      </c>
      <c r="C2293">
        <v>61.21</v>
      </c>
      <c r="D2293">
        <v>60.12</v>
      </c>
      <c r="E2293">
        <v>60.28</v>
      </c>
      <c r="F2293">
        <v>7998200</v>
      </c>
      <c r="G2293">
        <v>59.06</v>
      </c>
      <c r="H2293" t="s">
        <v>5</v>
      </c>
      <c r="I2293" s="22">
        <f t="shared" si="71"/>
        <v>-2.342811303553537E-2</v>
      </c>
      <c r="J2293" s="22" t="str">
        <f t="shared" si="72"/>
        <v>lost money</v>
      </c>
    </row>
    <row r="2294" spans="1:10">
      <c r="A2294" s="1">
        <v>41446</v>
      </c>
      <c r="B2294">
        <v>60.77</v>
      </c>
      <c r="C2294">
        <v>60.8</v>
      </c>
      <c r="D2294">
        <v>59.55</v>
      </c>
      <c r="E2294">
        <v>60.36</v>
      </c>
      <c r="F2294">
        <v>8780900</v>
      </c>
      <c r="G2294">
        <v>59.13</v>
      </c>
      <c r="H2294" t="s">
        <v>5</v>
      </c>
      <c r="I2294" s="22">
        <f t="shared" si="71"/>
        <v>1.1845335169619932E-3</v>
      </c>
      <c r="J2294" s="22" t="str">
        <f t="shared" si="72"/>
        <v>lost money</v>
      </c>
    </row>
    <row r="2295" spans="1:10">
      <c r="A2295" s="1">
        <v>41449</v>
      </c>
      <c r="B2295">
        <v>59.78</v>
      </c>
      <c r="C2295">
        <v>59.9</v>
      </c>
      <c r="D2295">
        <v>58.71</v>
      </c>
      <c r="E2295">
        <v>59.35</v>
      </c>
      <c r="F2295">
        <v>7389700</v>
      </c>
      <c r="G2295">
        <v>58.14</v>
      </c>
      <c r="H2295" t="s">
        <v>5</v>
      </c>
      <c r="I2295" s="22">
        <f t="shared" si="71"/>
        <v>-1.6884514702008718E-2</v>
      </c>
      <c r="J2295" s="22" t="str">
        <f t="shared" si="72"/>
        <v>lost money</v>
      </c>
    </row>
    <row r="2296" spans="1:10">
      <c r="A2296" s="1">
        <v>41450</v>
      </c>
      <c r="B2296">
        <v>59.81</v>
      </c>
      <c r="C2296">
        <v>60.02</v>
      </c>
      <c r="D2296">
        <v>59.37</v>
      </c>
      <c r="E2296">
        <v>59.83</v>
      </c>
      <c r="F2296">
        <v>6078400</v>
      </c>
      <c r="G2296">
        <v>58.61</v>
      </c>
      <c r="H2296" t="s">
        <v>5</v>
      </c>
      <c r="I2296" s="22">
        <f t="shared" si="71"/>
        <v>8.051435357607991E-3</v>
      </c>
      <c r="J2296" s="22" t="str">
        <f t="shared" si="72"/>
        <v/>
      </c>
    </row>
    <row r="2297" spans="1:10">
      <c r="A2297" s="1">
        <v>41451</v>
      </c>
      <c r="B2297">
        <v>60.37</v>
      </c>
      <c r="C2297">
        <v>60.45</v>
      </c>
      <c r="D2297">
        <v>59.76</v>
      </c>
      <c r="E2297">
        <v>60.33</v>
      </c>
      <c r="F2297">
        <v>4009600</v>
      </c>
      <c r="G2297">
        <v>59.1</v>
      </c>
      <c r="H2297" t="s">
        <v>5</v>
      </c>
      <c r="I2297" s="22">
        <f t="shared" si="71"/>
        <v>8.3255939237146699E-3</v>
      </c>
      <c r="J2297" s="22" t="str">
        <f t="shared" si="72"/>
        <v>lost money</v>
      </c>
    </row>
    <row r="2298" spans="1:10">
      <c r="A2298" s="1">
        <v>41452</v>
      </c>
      <c r="B2298">
        <v>60.62</v>
      </c>
      <c r="C2298">
        <v>61.1</v>
      </c>
      <c r="D2298">
        <v>60.31</v>
      </c>
      <c r="E2298">
        <v>60.34</v>
      </c>
      <c r="F2298">
        <v>3704500</v>
      </c>
      <c r="G2298">
        <v>59.11</v>
      </c>
      <c r="H2298" t="s">
        <v>5</v>
      </c>
      <c r="I2298" s="22">
        <f t="shared" si="71"/>
        <v>1.6919042422558158E-4</v>
      </c>
      <c r="J2298" s="22" t="str">
        <f t="shared" si="72"/>
        <v>lost money</v>
      </c>
    </row>
    <row r="2299" spans="1:10">
      <c r="A2299" s="1">
        <v>41453</v>
      </c>
      <c r="B2299">
        <v>60.3</v>
      </c>
      <c r="C2299">
        <v>60.77</v>
      </c>
      <c r="D2299">
        <v>60.04</v>
      </c>
      <c r="E2299">
        <v>60.5</v>
      </c>
      <c r="F2299">
        <v>6160900</v>
      </c>
      <c r="G2299">
        <v>59.27</v>
      </c>
      <c r="H2299" t="s">
        <v>5</v>
      </c>
      <c r="I2299" s="22">
        <f t="shared" si="71"/>
        <v>2.7031609634687206E-3</v>
      </c>
      <c r="J2299" s="22" t="str">
        <f t="shared" si="72"/>
        <v/>
      </c>
    </row>
    <row r="2300" spans="1:10">
      <c r="A2300" s="1">
        <v>41456</v>
      </c>
      <c r="B2300">
        <v>60.73</v>
      </c>
      <c r="C2300">
        <v>61.63</v>
      </c>
      <c r="D2300">
        <v>60.73</v>
      </c>
      <c r="E2300">
        <v>61.23</v>
      </c>
      <c r="F2300">
        <v>5100100</v>
      </c>
      <c r="G2300">
        <v>59.99</v>
      </c>
      <c r="H2300" t="s">
        <v>5</v>
      </c>
      <c r="I2300" s="22">
        <f t="shared" si="71"/>
        <v>1.2074605865254861E-2</v>
      </c>
      <c r="J2300" s="22" t="str">
        <f t="shared" si="72"/>
        <v/>
      </c>
    </row>
    <row r="2301" spans="1:10">
      <c r="A2301" s="1">
        <v>41457</v>
      </c>
      <c r="B2301">
        <v>61.21</v>
      </c>
      <c r="C2301">
        <v>62.19</v>
      </c>
      <c r="D2301">
        <v>61.05</v>
      </c>
      <c r="E2301">
        <v>61.79</v>
      </c>
      <c r="F2301">
        <v>6708000</v>
      </c>
      <c r="G2301">
        <v>60.54</v>
      </c>
      <c r="H2301" t="s">
        <v>5</v>
      </c>
      <c r="I2301" s="22">
        <f t="shared" si="71"/>
        <v>9.1264219285707941E-3</v>
      </c>
      <c r="J2301" s="22" t="str">
        <f t="shared" si="72"/>
        <v/>
      </c>
    </row>
    <row r="2302" spans="1:10">
      <c r="A2302" s="1">
        <v>41458</v>
      </c>
      <c r="B2302">
        <v>61.47</v>
      </c>
      <c r="C2302">
        <v>62.01</v>
      </c>
      <c r="D2302">
        <v>61.06</v>
      </c>
      <c r="E2302">
        <v>61.84</v>
      </c>
      <c r="F2302">
        <v>3780700</v>
      </c>
      <c r="G2302">
        <v>60.58</v>
      </c>
      <c r="H2302" t="s">
        <v>5</v>
      </c>
      <c r="I2302" s="22">
        <f t="shared" si="71"/>
        <v>6.6050200551874127E-4</v>
      </c>
      <c r="J2302" s="22" t="str">
        <f t="shared" si="72"/>
        <v/>
      </c>
    </row>
    <row r="2303" spans="1:10">
      <c r="A2303" s="1">
        <v>41460</v>
      </c>
      <c r="B2303">
        <v>62.11</v>
      </c>
      <c r="C2303">
        <v>62.42</v>
      </c>
      <c r="D2303">
        <v>61.52</v>
      </c>
      <c r="E2303">
        <v>62.31</v>
      </c>
      <c r="F2303">
        <v>4281700</v>
      </c>
      <c r="G2303">
        <v>61.04</v>
      </c>
      <c r="H2303" t="s">
        <v>5</v>
      </c>
      <c r="I2303" s="22">
        <f t="shared" si="71"/>
        <v>7.5645813771103229E-3</v>
      </c>
      <c r="J2303" s="22" t="str">
        <f t="shared" si="72"/>
        <v/>
      </c>
    </row>
    <row r="2304" spans="1:10">
      <c r="A2304" s="1">
        <v>41463</v>
      </c>
      <c r="B2304">
        <v>62.51</v>
      </c>
      <c r="C2304">
        <v>63.21</v>
      </c>
      <c r="D2304">
        <v>62.31</v>
      </c>
      <c r="E2304">
        <v>63.04</v>
      </c>
      <c r="F2304">
        <v>5872800</v>
      </c>
      <c r="G2304">
        <v>61.76</v>
      </c>
      <c r="H2304" t="s">
        <v>5</v>
      </c>
      <c r="I2304" s="22">
        <f t="shared" si="71"/>
        <v>1.1726518740319158E-2</v>
      </c>
      <c r="J2304" s="22" t="str">
        <f t="shared" si="72"/>
        <v/>
      </c>
    </row>
    <row r="2305" spans="1:10">
      <c r="A2305" s="1">
        <v>41464</v>
      </c>
      <c r="B2305">
        <v>63.31</v>
      </c>
      <c r="C2305">
        <v>63.68</v>
      </c>
      <c r="D2305">
        <v>63.21</v>
      </c>
      <c r="E2305">
        <v>63.5</v>
      </c>
      <c r="F2305">
        <v>4831500</v>
      </c>
      <c r="G2305">
        <v>62.21</v>
      </c>
      <c r="H2305" t="s">
        <v>5</v>
      </c>
      <c r="I2305" s="22">
        <f t="shared" si="71"/>
        <v>7.2598528104078136E-3</v>
      </c>
      <c r="J2305" s="22" t="str">
        <f t="shared" si="72"/>
        <v/>
      </c>
    </row>
    <row r="2306" spans="1:10">
      <c r="A2306" s="1">
        <v>41465</v>
      </c>
      <c r="B2306">
        <v>63.62</v>
      </c>
      <c r="C2306">
        <v>63.88</v>
      </c>
      <c r="D2306">
        <v>63.31</v>
      </c>
      <c r="E2306">
        <v>63.53</v>
      </c>
      <c r="F2306">
        <v>4849600</v>
      </c>
      <c r="G2306">
        <v>62.24</v>
      </c>
      <c r="H2306" t="s">
        <v>5</v>
      </c>
      <c r="I2306" s="22">
        <f t="shared" si="71"/>
        <v>4.8212134320780551E-4</v>
      </c>
      <c r="J2306" s="22" t="str">
        <f t="shared" si="72"/>
        <v>lost money</v>
      </c>
    </row>
    <row r="2307" spans="1:10">
      <c r="A2307" s="1">
        <v>41466</v>
      </c>
      <c r="B2307">
        <v>64.11</v>
      </c>
      <c r="C2307">
        <v>64.44</v>
      </c>
      <c r="D2307">
        <v>63.88</v>
      </c>
      <c r="E2307">
        <v>64.319999999999993</v>
      </c>
      <c r="F2307">
        <v>6187500</v>
      </c>
      <c r="G2307">
        <v>63.01</v>
      </c>
      <c r="H2307" t="s">
        <v>5</v>
      </c>
      <c r="I2307" s="22">
        <f t="shared" ref="I2307:I2370" si="73">IF(A2307=$A$2,"",LN(G2307/G2306))</f>
        <v>1.2295564083827858E-2</v>
      </c>
      <c r="J2307" s="22" t="str">
        <f t="shared" ref="J2307:J2370" si="74">IF(B2307&gt;E2307,"lost money","")</f>
        <v/>
      </c>
    </row>
    <row r="2308" spans="1:10">
      <c r="A2308" s="1">
        <v>41467</v>
      </c>
      <c r="B2308">
        <v>64.260000000000005</v>
      </c>
      <c r="C2308">
        <v>64.849999999999994</v>
      </c>
      <c r="D2308">
        <v>64.25</v>
      </c>
      <c r="E2308">
        <v>64.84</v>
      </c>
      <c r="F2308">
        <v>16577100</v>
      </c>
      <c r="G2308">
        <v>63.52</v>
      </c>
      <c r="H2308" t="s">
        <v>5</v>
      </c>
      <c r="I2308" s="22">
        <f t="shared" si="73"/>
        <v>8.0613729849161823E-3</v>
      </c>
      <c r="J2308" s="22" t="str">
        <f t="shared" si="74"/>
        <v/>
      </c>
    </row>
    <row r="2309" spans="1:10">
      <c r="A2309" s="1">
        <v>41470</v>
      </c>
      <c r="B2309">
        <v>64.790000000000006</v>
      </c>
      <c r="C2309">
        <v>65.319999999999993</v>
      </c>
      <c r="D2309">
        <v>64.67</v>
      </c>
      <c r="E2309">
        <v>65.260000000000005</v>
      </c>
      <c r="F2309">
        <v>15601600</v>
      </c>
      <c r="G2309">
        <v>63.93</v>
      </c>
      <c r="H2309" t="s">
        <v>5</v>
      </c>
      <c r="I2309" s="22">
        <f t="shared" si="73"/>
        <v>6.4339178397550354E-3</v>
      </c>
      <c r="J2309" s="22" t="str">
        <f t="shared" si="74"/>
        <v/>
      </c>
    </row>
    <row r="2310" spans="1:10">
      <c r="A2310" s="1">
        <v>41471</v>
      </c>
      <c r="B2310">
        <v>65.239999999999995</v>
      </c>
      <c r="C2310">
        <v>65.400000000000006</v>
      </c>
      <c r="D2310">
        <v>64.709999999999994</v>
      </c>
      <c r="E2310">
        <v>64.95</v>
      </c>
      <c r="F2310">
        <v>16526800</v>
      </c>
      <c r="G2310">
        <v>63.63</v>
      </c>
      <c r="H2310" t="s">
        <v>5</v>
      </c>
      <c r="I2310" s="22">
        <f t="shared" si="73"/>
        <v>-4.7036775339345908E-3</v>
      </c>
      <c r="J2310" s="22" t="str">
        <f t="shared" si="74"/>
        <v>lost money</v>
      </c>
    </row>
    <row r="2311" spans="1:10">
      <c r="A2311" s="1">
        <v>41472</v>
      </c>
      <c r="B2311">
        <v>65.239999999999995</v>
      </c>
      <c r="C2311">
        <v>65.64</v>
      </c>
      <c r="D2311">
        <v>65.13</v>
      </c>
      <c r="E2311">
        <v>65.56</v>
      </c>
      <c r="F2311">
        <v>4853300</v>
      </c>
      <c r="G2311">
        <v>64.23</v>
      </c>
      <c r="H2311" t="s">
        <v>5</v>
      </c>
      <c r="I2311" s="22">
        <f t="shared" si="73"/>
        <v>9.3853340250003043E-3</v>
      </c>
      <c r="J2311" s="22" t="str">
        <f t="shared" si="74"/>
        <v/>
      </c>
    </row>
    <row r="2312" spans="1:10">
      <c r="A2312" s="1">
        <v>41473</v>
      </c>
      <c r="B2312">
        <v>65.37</v>
      </c>
      <c r="C2312">
        <v>65.78</v>
      </c>
      <c r="D2312">
        <v>65.150000000000006</v>
      </c>
      <c r="E2312">
        <v>65.3</v>
      </c>
      <c r="F2312">
        <v>5061400</v>
      </c>
      <c r="G2312">
        <v>64.650000000000006</v>
      </c>
      <c r="H2312" t="s">
        <v>5</v>
      </c>
      <c r="I2312" s="22">
        <f t="shared" si="73"/>
        <v>6.5177139481654685E-3</v>
      </c>
      <c r="J2312" s="22" t="str">
        <f t="shared" si="74"/>
        <v>lost money</v>
      </c>
    </row>
    <row r="2313" spans="1:10">
      <c r="A2313" s="1">
        <v>41474</v>
      </c>
      <c r="B2313">
        <v>65.59</v>
      </c>
      <c r="C2313">
        <v>66</v>
      </c>
      <c r="D2313">
        <v>65.28</v>
      </c>
      <c r="E2313">
        <v>66</v>
      </c>
      <c r="F2313">
        <v>6958100</v>
      </c>
      <c r="G2313">
        <v>65.349999999999994</v>
      </c>
      <c r="H2313" t="s">
        <v>5</v>
      </c>
      <c r="I2313" s="22">
        <f t="shared" si="73"/>
        <v>1.0769334852364202E-2</v>
      </c>
      <c r="J2313" s="22" t="str">
        <f t="shared" si="74"/>
        <v/>
      </c>
    </row>
    <row r="2314" spans="1:10">
      <c r="A2314" s="1">
        <v>41477</v>
      </c>
      <c r="B2314">
        <v>66.08</v>
      </c>
      <c r="C2314">
        <v>66.17</v>
      </c>
      <c r="D2314">
        <v>65.72</v>
      </c>
      <c r="E2314">
        <v>65.83</v>
      </c>
      <c r="F2314">
        <v>3984000</v>
      </c>
      <c r="G2314">
        <v>65.180000000000007</v>
      </c>
      <c r="H2314" t="s">
        <v>5</v>
      </c>
      <c r="I2314" s="22">
        <f t="shared" si="73"/>
        <v>-2.6047666608152919E-3</v>
      </c>
      <c r="J2314" s="22" t="str">
        <f t="shared" si="74"/>
        <v>lost money</v>
      </c>
    </row>
    <row r="2315" spans="1:10">
      <c r="A2315" s="1">
        <v>41478</v>
      </c>
      <c r="B2315">
        <v>65.97</v>
      </c>
      <c r="C2315">
        <v>66.239999999999995</v>
      </c>
      <c r="D2315">
        <v>65.92</v>
      </c>
      <c r="E2315">
        <v>66.12</v>
      </c>
      <c r="F2315">
        <v>4089800</v>
      </c>
      <c r="G2315">
        <v>65.47</v>
      </c>
      <c r="H2315" t="s">
        <v>5</v>
      </c>
      <c r="I2315" s="22">
        <f t="shared" si="73"/>
        <v>4.439349043584318E-3</v>
      </c>
      <c r="J2315" s="22" t="str">
        <f t="shared" si="74"/>
        <v/>
      </c>
    </row>
    <row r="2316" spans="1:10">
      <c r="A2316" s="1">
        <v>41479</v>
      </c>
      <c r="B2316">
        <v>66.25</v>
      </c>
      <c r="C2316">
        <v>66.25</v>
      </c>
      <c r="D2316">
        <v>65.13</v>
      </c>
      <c r="E2316">
        <v>65.59</v>
      </c>
      <c r="F2316">
        <v>5025400</v>
      </c>
      <c r="G2316">
        <v>64.94</v>
      </c>
      <c r="H2316" t="s">
        <v>5</v>
      </c>
      <c r="I2316" s="22">
        <f t="shared" si="73"/>
        <v>-8.1282557783001249E-3</v>
      </c>
      <c r="J2316" s="22" t="str">
        <f t="shared" si="74"/>
        <v>lost money</v>
      </c>
    </row>
    <row r="2317" spans="1:10">
      <c r="A2317" s="1">
        <v>41480</v>
      </c>
      <c r="B2317">
        <v>65.41</v>
      </c>
      <c r="C2317">
        <v>65.930000000000007</v>
      </c>
      <c r="D2317">
        <v>65.3</v>
      </c>
      <c r="E2317">
        <v>65.709999999999994</v>
      </c>
      <c r="F2317">
        <v>4094800</v>
      </c>
      <c r="G2317">
        <v>65.06</v>
      </c>
      <c r="H2317" t="s">
        <v>5</v>
      </c>
      <c r="I2317" s="22">
        <f t="shared" si="73"/>
        <v>1.8461543705056804E-3</v>
      </c>
      <c r="J2317" s="22" t="str">
        <f t="shared" si="74"/>
        <v/>
      </c>
    </row>
    <row r="2318" spans="1:10">
      <c r="A2318" s="1">
        <v>41481</v>
      </c>
      <c r="B2318">
        <v>65.41</v>
      </c>
      <c r="C2318">
        <v>65.73</v>
      </c>
      <c r="D2318">
        <v>65.33</v>
      </c>
      <c r="E2318">
        <v>65.72</v>
      </c>
      <c r="F2318">
        <v>3118000</v>
      </c>
      <c r="G2318">
        <v>65.069999999999993</v>
      </c>
      <c r="H2318" t="s">
        <v>5</v>
      </c>
      <c r="I2318" s="22">
        <f t="shared" si="73"/>
        <v>1.5369246168718781E-4</v>
      </c>
      <c r="J2318" s="22" t="str">
        <f t="shared" si="74"/>
        <v/>
      </c>
    </row>
    <row r="2319" spans="1:10">
      <c r="A2319" s="1">
        <v>41484</v>
      </c>
      <c r="B2319">
        <v>65.540000000000006</v>
      </c>
      <c r="C2319">
        <v>65.58</v>
      </c>
      <c r="D2319">
        <v>64.900000000000006</v>
      </c>
      <c r="E2319">
        <v>65.180000000000007</v>
      </c>
      <c r="F2319">
        <v>4255200</v>
      </c>
      <c r="G2319">
        <v>64.540000000000006</v>
      </c>
      <c r="H2319" t="s">
        <v>5</v>
      </c>
      <c r="I2319" s="22">
        <f t="shared" si="73"/>
        <v>-8.1784268830767202E-3</v>
      </c>
      <c r="J2319" s="22" t="str">
        <f t="shared" si="74"/>
        <v>lost money</v>
      </c>
    </row>
    <row r="2320" spans="1:10">
      <c r="A2320" s="1">
        <v>41485</v>
      </c>
      <c r="B2320">
        <v>65.45</v>
      </c>
      <c r="C2320">
        <v>65.459999999999994</v>
      </c>
      <c r="D2320">
        <v>64.510000000000005</v>
      </c>
      <c r="E2320">
        <v>64.83</v>
      </c>
      <c r="F2320">
        <v>5285100</v>
      </c>
      <c r="G2320">
        <v>64.19</v>
      </c>
      <c r="H2320" t="s">
        <v>5</v>
      </c>
      <c r="I2320" s="22">
        <f t="shared" si="73"/>
        <v>-5.4377513001291049E-3</v>
      </c>
      <c r="J2320" s="22" t="str">
        <f t="shared" si="74"/>
        <v>lost money</v>
      </c>
    </row>
    <row r="2321" spans="1:10">
      <c r="A2321" s="1">
        <v>41486</v>
      </c>
      <c r="B2321">
        <v>64.92</v>
      </c>
      <c r="C2321">
        <v>65.64</v>
      </c>
      <c r="D2321">
        <v>64.86</v>
      </c>
      <c r="E2321">
        <v>64.86</v>
      </c>
      <c r="F2321">
        <v>5529900</v>
      </c>
      <c r="G2321">
        <v>64.22</v>
      </c>
      <c r="H2321" t="s">
        <v>5</v>
      </c>
      <c r="I2321" s="22">
        <f t="shared" si="73"/>
        <v>4.6725333768120797E-4</v>
      </c>
      <c r="J2321" s="22" t="str">
        <f t="shared" si="74"/>
        <v>lost money</v>
      </c>
    </row>
    <row r="2322" spans="1:10">
      <c r="A2322" s="1">
        <v>41487</v>
      </c>
      <c r="B2322">
        <v>65.72</v>
      </c>
      <c r="C2322">
        <v>66.290000000000006</v>
      </c>
      <c r="D2322">
        <v>65.52</v>
      </c>
      <c r="E2322">
        <v>66.09</v>
      </c>
      <c r="F2322">
        <v>7272900</v>
      </c>
      <c r="G2322">
        <v>65.44</v>
      </c>
      <c r="H2322" t="s">
        <v>5</v>
      </c>
      <c r="I2322" s="22">
        <f t="shared" si="73"/>
        <v>1.8819003633123825E-2</v>
      </c>
      <c r="J2322" s="22" t="str">
        <f t="shared" si="74"/>
        <v/>
      </c>
    </row>
    <row r="2323" spans="1:10">
      <c r="A2323" s="1">
        <v>41488</v>
      </c>
      <c r="B2323">
        <v>65.959999999999994</v>
      </c>
      <c r="C2323">
        <v>67.23</v>
      </c>
      <c r="D2323">
        <v>65.790000000000006</v>
      </c>
      <c r="E2323">
        <v>67.23</v>
      </c>
      <c r="F2323">
        <v>7520800</v>
      </c>
      <c r="G2323">
        <v>66.569999999999993</v>
      </c>
      <c r="H2323" t="s">
        <v>5</v>
      </c>
      <c r="I2323" s="22">
        <f t="shared" si="73"/>
        <v>1.7120333318120615E-2</v>
      </c>
      <c r="J2323" s="22" t="str">
        <f t="shared" si="74"/>
        <v/>
      </c>
    </row>
    <row r="2324" spans="1:10">
      <c r="A2324" s="1">
        <v>41491</v>
      </c>
      <c r="B2324">
        <v>67</v>
      </c>
      <c r="C2324">
        <v>67.42</v>
      </c>
      <c r="D2324">
        <v>66.569999999999993</v>
      </c>
      <c r="E2324">
        <v>67.19</v>
      </c>
      <c r="F2324">
        <v>4002600</v>
      </c>
      <c r="G2324">
        <v>66.53</v>
      </c>
      <c r="H2324" t="s">
        <v>5</v>
      </c>
      <c r="I2324" s="22">
        <f t="shared" si="73"/>
        <v>-6.0105185881601181E-4</v>
      </c>
      <c r="J2324" s="22" t="str">
        <f t="shared" si="74"/>
        <v/>
      </c>
    </row>
    <row r="2325" spans="1:10">
      <c r="A2325" s="1">
        <v>41492</v>
      </c>
      <c r="B2325">
        <v>67.12</v>
      </c>
      <c r="C2325">
        <v>67.47</v>
      </c>
      <c r="D2325">
        <v>66.63</v>
      </c>
      <c r="E2325">
        <v>67.09</v>
      </c>
      <c r="F2325">
        <v>6248000</v>
      </c>
      <c r="G2325">
        <v>66.430000000000007</v>
      </c>
      <c r="H2325" t="s">
        <v>5</v>
      </c>
      <c r="I2325" s="22">
        <f t="shared" si="73"/>
        <v>-1.5042120766462961E-3</v>
      </c>
      <c r="J2325" s="22" t="str">
        <f t="shared" si="74"/>
        <v>lost money</v>
      </c>
    </row>
    <row r="2326" spans="1:10">
      <c r="A2326" s="1">
        <v>41493</v>
      </c>
      <c r="B2326">
        <v>66.930000000000007</v>
      </c>
      <c r="C2326">
        <v>66.97</v>
      </c>
      <c r="D2326">
        <v>66.28</v>
      </c>
      <c r="E2326">
        <v>66.52</v>
      </c>
      <c r="F2326">
        <v>4168400</v>
      </c>
      <c r="G2326">
        <v>65.86</v>
      </c>
      <c r="H2326" t="s">
        <v>5</v>
      </c>
      <c r="I2326" s="22">
        <f t="shared" si="73"/>
        <v>-8.6174847289317291E-3</v>
      </c>
      <c r="J2326" s="22" t="str">
        <f t="shared" si="74"/>
        <v>lost money</v>
      </c>
    </row>
    <row r="2327" spans="1:10">
      <c r="A2327" s="1">
        <v>41494</v>
      </c>
      <c r="B2327">
        <v>67.040000000000006</v>
      </c>
      <c r="C2327">
        <v>67.290000000000006</v>
      </c>
      <c r="D2327">
        <v>66.37</v>
      </c>
      <c r="E2327">
        <v>67.09</v>
      </c>
      <c r="F2327">
        <v>4646200</v>
      </c>
      <c r="G2327">
        <v>66.430000000000007</v>
      </c>
      <c r="H2327" t="s">
        <v>5</v>
      </c>
      <c r="I2327" s="22">
        <f t="shared" si="73"/>
        <v>8.6174847289317031E-3</v>
      </c>
      <c r="J2327" s="22" t="str">
        <f t="shared" si="74"/>
        <v/>
      </c>
    </row>
    <row r="2328" spans="1:10">
      <c r="A2328" s="1">
        <v>41495</v>
      </c>
      <c r="B2328">
        <v>67.010000000000005</v>
      </c>
      <c r="C2328">
        <v>67.02</v>
      </c>
      <c r="D2328">
        <v>66.17</v>
      </c>
      <c r="E2328">
        <v>66.83</v>
      </c>
      <c r="F2328">
        <v>3668600</v>
      </c>
      <c r="G2328">
        <v>66.17</v>
      </c>
      <c r="H2328" t="s">
        <v>5</v>
      </c>
      <c r="I2328" s="22">
        <f t="shared" si="73"/>
        <v>-3.9215736531818023E-3</v>
      </c>
      <c r="J2328" s="22" t="str">
        <f t="shared" si="74"/>
        <v>lost money</v>
      </c>
    </row>
    <row r="2329" spans="1:10">
      <c r="A2329" s="1">
        <v>41498</v>
      </c>
      <c r="B2329">
        <v>66.319999999999993</v>
      </c>
      <c r="C2329">
        <v>66.52</v>
      </c>
      <c r="D2329">
        <v>66.06</v>
      </c>
      <c r="E2329">
        <v>66.099999999999994</v>
      </c>
      <c r="F2329">
        <v>4489200</v>
      </c>
      <c r="G2329">
        <v>65.45</v>
      </c>
      <c r="H2329" t="s">
        <v>5</v>
      </c>
      <c r="I2329" s="22">
        <f t="shared" si="73"/>
        <v>-1.0940695668059153E-2</v>
      </c>
      <c r="J2329" s="22" t="str">
        <f t="shared" si="74"/>
        <v>lost money</v>
      </c>
    </row>
    <row r="2330" spans="1:10">
      <c r="A2330" s="1">
        <v>41499</v>
      </c>
      <c r="B2330">
        <v>66.430000000000007</v>
      </c>
      <c r="C2330">
        <v>67.3</v>
      </c>
      <c r="D2330">
        <v>66.3</v>
      </c>
      <c r="E2330">
        <v>66.900000000000006</v>
      </c>
      <c r="F2330">
        <v>4963300</v>
      </c>
      <c r="G2330">
        <v>66.239999999999995</v>
      </c>
      <c r="H2330" t="s">
        <v>5</v>
      </c>
      <c r="I2330" s="22">
        <f t="shared" si="73"/>
        <v>1.1998017721095095E-2</v>
      </c>
      <c r="J2330" s="22" t="str">
        <f t="shared" si="74"/>
        <v/>
      </c>
    </row>
    <row r="2331" spans="1:10">
      <c r="A2331" s="1">
        <v>41500</v>
      </c>
      <c r="B2331">
        <v>67.150000000000006</v>
      </c>
      <c r="C2331">
        <v>67.5</v>
      </c>
      <c r="D2331">
        <v>66.72</v>
      </c>
      <c r="E2331">
        <v>67.16</v>
      </c>
      <c r="F2331">
        <v>6488600</v>
      </c>
      <c r="G2331">
        <v>66.5</v>
      </c>
      <c r="H2331" t="s">
        <v>5</v>
      </c>
      <c r="I2331" s="22">
        <f t="shared" si="73"/>
        <v>3.9174375848042755E-3</v>
      </c>
      <c r="J2331" s="22" t="str">
        <f t="shared" si="74"/>
        <v/>
      </c>
    </row>
    <row r="2332" spans="1:10">
      <c r="A2332" s="1">
        <v>41501</v>
      </c>
      <c r="B2332">
        <v>66.760000000000005</v>
      </c>
      <c r="C2332">
        <v>67.7</v>
      </c>
      <c r="D2332">
        <v>66.62</v>
      </c>
      <c r="E2332">
        <v>67.62</v>
      </c>
      <c r="F2332">
        <v>6475900</v>
      </c>
      <c r="G2332">
        <v>66.95</v>
      </c>
      <c r="H2332" t="s">
        <v>5</v>
      </c>
      <c r="I2332" s="22">
        <f t="shared" si="73"/>
        <v>6.7441244753731729E-3</v>
      </c>
      <c r="J2332" s="22" t="str">
        <f t="shared" si="74"/>
        <v/>
      </c>
    </row>
    <row r="2333" spans="1:10">
      <c r="A2333" s="1">
        <v>41502</v>
      </c>
      <c r="B2333">
        <v>67.37</v>
      </c>
      <c r="C2333">
        <v>67.91</v>
      </c>
      <c r="D2333">
        <v>66.97</v>
      </c>
      <c r="E2333">
        <v>67.38</v>
      </c>
      <c r="F2333">
        <v>6536000</v>
      </c>
      <c r="G2333">
        <v>66.709999999999994</v>
      </c>
      <c r="H2333" t="s">
        <v>5</v>
      </c>
      <c r="I2333" s="22">
        <f t="shared" si="73"/>
        <v>-3.5912054157575669E-3</v>
      </c>
      <c r="J2333" s="22" t="str">
        <f t="shared" si="74"/>
        <v/>
      </c>
    </row>
    <row r="2334" spans="1:10">
      <c r="A2334" s="1">
        <v>41505</v>
      </c>
      <c r="B2334">
        <v>67.41</v>
      </c>
      <c r="C2334">
        <v>67.41</v>
      </c>
      <c r="D2334">
        <v>65.790000000000006</v>
      </c>
      <c r="E2334">
        <v>65.83</v>
      </c>
      <c r="F2334">
        <v>6449400</v>
      </c>
      <c r="G2334">
        <v>65.180000000000007</v>
      </c>
      <c r="H2334" t="s">
        <v>5</v>
      </c>
      <c r="I2334" s="22">
        <f t="shared" si="73"/>
        <v>-2.3202193312008391E-2</v>
      </c>
      <c r="J2334" s="22" t="str">
        <f t="shared" si="74"/>
        <v>lost money</v>
      </c>
    </row>
    <row r="2335" spans="1:10">
      <c r="A2335" s="1">
        <v>41506</v>
      </c>
      <c r="B2335">
        <v>65.819999999999993</v>
      </c>
      <c r="C2335">
        <v>66.400000000000006</v>
      </c>
      <c r="D2335">
        <v>65.56</v>
      </c>
      <c r="E2335">
        <v>65.98</v>
      </c>
      <c r="F2335">
        <v>5589600</v>
      </c>
      <c r="G2335">
        <v>65.33</v>
      </c>
      <c r="H2335" t="s">
        <v>5</v>
      </c>
      <c r="I2335" s="22">
        <f t="shared" si="73"/>
        <v>2.2986754432433895E-3</v>
      </c>
      <c r="J2335" s="22" t="str">
        <f t="shared" si="74"/>
        <v/>
      </c>
    </row>
    <row r="2336" spans="1:10">
      <c r="A2336" s="1">
        <v>41507</v>
      </c>
      <c r="B2336">
        <v>65.97</v>
      </c>
      <c r="C2336">
        <v>66.02</v>
      </c>
      <c r="D2336">
        <v>65.290000000000006</v>
      </c>
      <c r="E2336">
        <v>65.52</v>
      </c>
      <c r="F2336">
        <v>4414200</v>
      </c>
      <c r="G2336">
        <v>64.87</v>
      </c>
      <c r="H2336" t="s">
        <v>5</v>
      </c>
      <c r="I2336" s="22">
        <f t="shared" si="73"/>
        <v>-7.0660816276948129E-3</v>
      </c>
      <c r="J2336" s="22" t="str">
        <f t="shared" si="74"/>
        <v>lost money</v>
      </c>
    </row>
    <row r="2337" spans="1:10">
      <c r="A2337" s="1">
        <v>41508</v>
      </c>
      <c r="B2337">
        <v>65.58</v>
      </c>
      <c r="C2337">
        <v>66.430000000000007</v>
      </c>
      <c r="D2337">
        <v>65.45</v>
      </c>
      <c r="E2337">
        <v>66.150000000000006</v>
      </c>
      <c r="F2337">
        <v>4100800</v>
      </c>
      <c r="G2337">
        <v>65.5</v>
      </c>
      <c r="H2337" t="s">
        <v>5</v>
      </c>
      <c r="I2337" s="22">
        <f t="shared" si="73"/>
        <v>9.6648754162421517E-3</v>
      </c>
      <c r="J2337" s="22" t="str">
        <f t="shared" si="74"/>
        <v/>
      </c>
    </row>
    <row r="2338" spans="1:10">
      <c r="A2338" s="1">
        <v>41509</v>
      </c>
      <c r="B2338">
        <v>66.260000000000005</v>
      </c>
      <c r="C2338">
        <v>66.650000000000006</v>
      </c>
      <c r="D2338">
        <v>66.040000000000006</v>
      </c>
      <c r="E2338">
        <v>66.55</v>
      </c>
      <c r="F2338">
        <v>4396400</v>
      </c>
      <c r="G2338">
        <v>65.89</v>
      </c>
      <c r="H2338" t="s">
        <v>5</v>
      </c>
      <c r="I2338" s="22">
        <f t="shared" si="73"/>
        <v>5.9365422845223375E-3</v>
      </c>
      <c r="J2338" s="22" t="str">
        <f t="shared" si="74"/>
        <v/>
      </c>
    </row>
    <row r="2339" spans="1:10">
      <c r="A2339" s="1">
        <v>41512</v>
      </c>
      <c r="B2339">
        <v>66.59</v>
      </c>
      <c r="C2339">
        <v>66.94</v>
      </c>
      <c r="D2339">
        <v>66.209999999999994</v>
      </c>
      <c r="E2339">
        <v>66.31</v>
      </c>
      <c r="F2339">
        <v>3214400</v>
      </c>
      <c r="G2339">
        <v>65.650000000000006</v>
      </c>
      <c r="H2339" t="s">
        <v>5</v>
      </c>
      <c r="I2339" s="22">
        <f t="shared" si="73"/>
        <v>-3.6490841769232962E-3</v>
      </c>
      <c r="J2339" s="22" t="str">
        <f t="shared" si="74"/>
        <v>lost money</v>
      </c>
    </row>
    <row r="2340" spans="1:10">
      <c r="A2340" s="1">
        <v>41513</v>
      </c>
      <c r="B2340">
        <v>65.95</v>
      </c>
      <c r="C2340">
        <v>66.56</v>
      </c>
      <c r="D2340">
        <v>65.94</v>
      </c>
      <c r="E2340">
        <v>66.02</v>
      </c>
      <c r="F2340">
        <v>5352100</v>
      </c>
      <c r="G2340">
        <v>65.37</v>
      </c>
      <c r="H2340" t="s">
        <v>5</v>
      </c>
      <c r="I2340" s="22">
        <f t="shared" si="73"/>
        <v>-4.2741631241670075E-3</v>
      </c>
      <c r="J2340" s="22" t="str">
        <f t="shared" si="74"/>
        <v/>
      </c>
    </row>
    <row r="2341" spans="1:10">
      <c r="A2341" s="1">
        <v>41514</v>
      </c>
      <c r="B2341">
        <v>66.180000000000007</v>
      </c>
      <c r="C2341">
        <v>67.33</v>
      </c>
      <c r="D2341">
        <v>66.180000000000007</v>
      </c>
      <c r="E2341">
        <v>66.77</v>
      </c>
      <c r="F2341">
        <v>6656000</v>
      </c>
      <c r="G2341">
        <v>66.11</v>
      </c>
      <c r="H2341" t="s">
        <v>5</v>
      </c>
      <c r="I2341" s="22">
        <f t="shared" si="73"/>
        <v>1.1256583720848451E-2</v>
      </c>
      <c r="J2341" s="22" t="str">
        <f t="shared" si="74"/>
        <v/>
      </c>
    </row>
    <row r="2342" spans="1:10">
      <c r="A2342" s="1">
        <v>41515</v>
      </c>
      <c r="B2342">
        <v>66.510000000000005</v>
      </c>
      <c r="C2342">
        <v>66.55</v>
      </c>
      <c r="D2342">
        <v>65.98</v>
      </c>
      <c r="E2342">
        <v>66.16</v>
      </c>
      <c r="F2342">
        <v>4382800</v>
      </c>
      <c r="G2342">
        <v>65.510000000000005</v>
      </c>
      <c r="H2342" t="s">
        <v>5</v>
      </c>
      <c r="I2342" s="22">
        <f t="shared" si="73"/>
        <v>-9.1172186017016519E-3</v>
      </c>
      <c r="J2342" s="22" t="str">
        <f t="shared" si="74"/>
        <v>lost money</v>
      </c>
    </row>
    <row r="2343" spans="1:10">
      <c r="A2343" s="1">
        <v>41516</v>
      </c>
      <c r="B2343">
        <v>66.28</v>
      </c>
      <c r="C2343">
        <v>66.540000000000006</v>
      </c>
      <c r="D2343">
        <v>66.12</v>
      </c>
      <c r="E2343">
        <v>66.3</v>
      </c>
      <c r="F2343">
        <v>4963300</v>
      </c>
      <c r="G2343">
        <v>65.64</v>
      </c>
      <c r="H2343" t="s">
        <v>5</v>
      </c>
      <c r="I2343" s="22">
        <f t="shared" si="73"/>
        <v>1.9824634781051525E-3</v>
      </c>
      <c r="J2343" s="22" t="str">
        <f t="shared" si="74"/>
        <v/>
      </c>
    </row>
    <row r="2344" spans="1:10">
      <c r="A2344" s="1">
        <v>41520</v>
      </c>
      <c r="B2344">
        <v>66.959999999999994</v>
      </c>
      <c r="C2344">
        <v>66.989999999999995</v>
      </c>
      <c r="D2344">
        <v>66.510000000000005</v>
      </c>
      <c r="E2344">
        <v>66.790000000000006</v>
      </c>
      <c r="F2344">
        <v>5541900</v>
      </c>
      <c r="G2344">
        <v>66.13</v>
      </c>
      <c r="H2344" t="s">
        <v>5</v>
      </c>
      <c r="I2344" s="22">
        <f t="shared" si="73"/>
        <v>7.4372354646808671E-3</v>
      </c>
      <c r="J2344" s="22" t="str">
        <f t="shared" si="74"/>
        <v>lost money</v>
      </c>
    </row>
    <row r="2345" spans="1:10">
      <c r="A2345" s="1">
        <v>41521</v>
      </c>
      <c r="B2345">
        <v>66.87</v>
      </c>
      <c r="C2345">
        <v>68.099999999999994</v>
      </c>
      <c r="D2345">
        <v>66.709999999999994</v>
      </c>
      <c r="E2345">
        <v>67.66</v>
      </c>
      <c r="F2345">
        <v>6529100</v>
      </c>
      <c r="G2345">
        <v>66.989999999999995</v>
      </c>
      <c r="H2345" t="s">
        <v>5</v>
      </c>
      <c r="I2345" s="22">
        <f t="shared" si="73"/>
        <v>1.2920852833605218E-2</v>
      </c>
      <c r="J2345" s="22" t="str">
        <f t="shared" si="74"/>
        <v/>
      </c>
    </row>
    <row r="2346" spans="1:10">
      <c r="A2346" s="1">
        <v>41522</v>
      </c>
      <c r="B2346">
        <v>67.66</v>
      </c>
      <c r="C2346">
        <v>68.11</v>
      </c>
      <c r="D2346">
        <v>67.459999999999994</v>
      </c>
      <c r="E2346">
        <v>67.77</v>
      </c>
      <c r="F2346">
        <v>4285000</v>
      </c>
      <c r="G2346">
        <v>67.099999999999994</v>
      </c>
      <c r="H2346" t="s">
        <v>5</v>
      </c>
      <c r="I2346" s="22">
        <f t="shared" si="73"/>
        <v>1.6406894574597963E-3</v>
      </c>
      <c r="J2346" s="22" t="str">
        <f t="shared" si="74"/>
        <v/>
      </c>
    </row>
    <row r="2347" spans="1:10">
      <c r="A2347" s="1">
        <v>41523</v>
      </c>
      <c r="B2347">
        <v>67.88</v>
      </c>
      <c r="C2347">
        <v>68.77</v>
      </c>
      <c r="D2347">
        <v>67.45</v>
      </c>
      <c r="E2347">
        <v>68.2</v>
      </c>
      <c r="F2347">
        <v>5990100</v>
      </c>
      <c r="G2347">
        <v>67.53</v>
      </c>
      <c r="H2347" t="s">
        <v>5</v>
      </c>
      <c r="I2347" s="22">
        <f t="shared" si="73"/>
        <v>6.3878996091144783E-3</v>
      </c>
      <c r="J2347" s="22" t="str">
        <f t="shared" si="74"/>
        <v/>
      </c>
    </row>
    <row r="2348" spans="1:10">
      <c r="A2348" s="1">
        <v>41526</v>
      </c>
      <c r="B2348">
        <v>68.25</v>
      </c>
      <c r="C2348">
        <v>68.92</v>
      </c>
      <c r="D2348">
        <v>68.05</v>
      </c>
      <c r="E2348">
        <v>68.87</v>
      </c>
      <c r="F2348">
        <v>5166400</v>
      </c>
      <c r="G2348">
        <v>68.19</v>
      </c>
      <c r="H2348" t="s">
        <v>5</v>
      </c>
      <c r="I2348" s="22">
        <f t="shared" si="73"/>
        <v>9.7259829458109549E-3</v>
      </c>
      <c r="J2348" s="22" t="str">
        <f t="shared" si="74"/>
        <v/>
      </c>
    </row>
    <row r="2349" spans="1:10">
      <c r="A2349" s="1">
        <v>41527</v>
      </c>
      <c r="B2349">
        <v>68.900000000000006</v>
      </c>
      <c r="C2349">
        <v>68.97</v>
      </c>
      <c r="D2349">
        <v>68.31</v>
      </c>
      <c r="E2349">
        <v>68.66</v>
      </c>
      <c r="F2349">
        <v>4464700</v>
      </c>
      <c r="G2349">
        <v>67.98</v>
      </c>
      <c r="H2349" t="s">
        <v>5</v>
      </c>
      <c r="I2349" s="22">
        <f t="shared" si="73"/>
        <v>-3.0843822645914617E-3</v>
      </c>
      <c r="J2349" s="22" t="str">
        <f t="shared" si="74"/>
        <v>lost money</v>
      </c>
    </row>
    <row r="2350" spans="1:10">
      <c r="A2350" s="1">
        <v>41528</v>
      </c>
      <c r="B2350">
        <v>68.73</v>
      </c>
      <c r="C2350">
        <v>69.38</v>
      </c>
      <c r="D2350">
        <v>68.58</v>
      </c>
      <c r="E2350">
        <v>69.16</v>
      </c>
      <c r="F2350">
        <v>3782500</v>
      </c>
      <c r="G2350">
        <v>68.48</v>
      </c>
      <c r="H2350" t="s">
        <v>5</v>
      </c>
      <c r="I2350" s="22">
        <f t="shared" si="73"/>
        <v>7.3281875655167375E-3</v>
      </c>
      <c r="J2350" s="22" t="str">
        <f t="shared" si="74"/>
        <v/>
      </c>
    </row>
    <row r="2351" spans="1:10">
      <c r="A2351" s="1">
        <v>41529</v>
      </c>
      <c r="B2351">
        <v>69.19</v>
      </c>
      <c r="C2351">
        <v>69.209999999999994</v>
      </c>
      <c r="D2351">
        <v>68.72</v>
      </c>
      <c r="E2351">
        <v>68.78</v>
      </c>
      <c r="F2351">
        <v>3616300</v>
      </c>
      <c r="G2351">
        <v>68.099999999999994</v>
      </c>
      <c r="H2351" t="s">
        <v>5</v>
      </c>
      <c r="I2351" s="22">
        <f t="shared" si="73"/>
        <v>-5.5645186780201158E-3</v>
      </c>
      <c r="J2351" s="22" t="str">
        <f t="shared" si="74"/>
        <v>lost money</v>
      </c>
    </row>
    <row r="2352" spans="1:10">
      <c r="A2352" s="1">
        <v>41530</v>
      </c>
      <c r="B2352">
        <v>69.14</v>
      </c>
      <c r="C2352">
        <v>69.42</v>
      </c>
      <c r="D2352">
        <v>68.88</v>
      </c>
      <c r="E2352">
        <v>69.19</v>
      </c>
      <c r="F2352">
        <v>3996100</v>
      </c>
      <c r="G2352">
        <v>68.510000000000005</v>
      </c>
      <c r="H2352" t="s">
        <v>5</v>
      </c>
      <c r="I2352" s="22">
        <f t="shared" si="73"/>
        <v>6.0025068593412573E-3</v>
      </c>
      <c r="J2352" s="22" t="str">
        <f t="shared" si="74"/>
        <v/>
      </c>
    </row>
    <row r="2353" spans="1:10">
      <c r="A2353" s="1">
        <v>41533</v>
      </c>
      <c r="B2353">
        <v>69.77</v>
      </c>
      <c r="C2353">
        <v>69.81</v>
      </c>
      <c r="D2353">
        <v>69.14</v>
      </c>
      <c r="E2353">
        <v>69.34</v>
      </c>
      <c r="F2353">
        <v>4780300</v>
      </c>
      <c r="G2353">
        <v>68.650000000000006</v>
      </c>
      <c r="H2353" t="s">
        <v>5</v>
      </c>
      <c r="I2353" s="22">
        <f t="shared" si="73"/>
        <v>2.0414121991724331E-3</v>
      </c>
      <c r="J2353" s="22" t="str">
        <f t="shared" si="74"/>
        <v>lost money</v>
      </c>
    </row>
    <row r="2354" spans="1:10">
      <c r="A2354" s="1">
        <v>41534</v>
      </c>
      <c r="B2354">
        <v>69.31</v>
      </c>
      <c r="C2354">
        <v>69.92</v>
      </c>
      <c r="D2354">
        <v>69.260000000000005</v>
      </c>
      <c r="E2354">
        <v>69.7</v>
      </c>
      <c r="F2354">
        <v>3737500</v>
      </c>
      <c r="G2354">
        <v>69.010000000000005</v>
      </c>
      <c r="H2354" t="s">
        <v>5</v>
      </c>
      <c r="I2354" s="22">
        <f t="shared" si="73"/>
        <v>5.2302894185304637E-3</v>
      </c>
      <c r="J2354" s="22" t="str">
        <f t="shared" si="74"/>
        <v/>
      </c>
    </row>
    <row r="2355" spans="1:10">
      <c r="A2355" s="1">
        <v>41535</v>
      </c>
      <c r="B2355">
        <v>69.59</v>
      </c>
      <c r="C2355">
        <v>70.94</v>
      </c>
      <c r="D2355">
        <v>69.42</v>
      </c>
      <c r="E2355">
        <v>70.56</v>
      </c>
      <c r="F2355">
        <v>5209400</v>
      </c>
      <c r="G2355">
        <v>69.86</v>
      </c>
      <c r="H2355" t="s">
        <v>5</v>
      </c>
      <c r="I2355" s="22">
        <f t="shared" si="73"/>
        <v>1.224181774617536E-2</v>
      </c>
      <c r="J2355" s="22" t="str">
        <f t="shared" si="74"/>
        <v/>
      </c>
    </row>
    <row r="2356" spans="1:10">
      <c r="A2356" s="1">
        <v>41536</v>
      </c>
      <c r="B2356">
        <v>70.599999999999994</v>
      </c>
      <c r="C2356">
        <v>70.91</v>
      </c>
      <c r="D2356">
        <v>70.06</v>
      </c>
      <c r="E2356">
        <v>70.84</v>
      </c>
      <c r="F2356">
        <v>4741300</v>
      </c>
      <c r="G2356">
        <v>70.14</v>
      </c>
      <c r="H2356" t="s">
        <v>5</v>
      </c>
      <c r="I2356" s="22">
        <f t="shared" si="73"/>
        <v>4.0000053333461372E-3</v>
      </c>
      <c r="J2356" s="22" t="str">
        <f t="shared" si="74"/>
        <v/>
      </c>
    </row>
    <row r="2357" spans="1:10">
      <c r="A2357" s="1">
        <v>41537</v>
      </c>
      <c r="B2357">
        <v>70.849999999999994</v>
      </c>
      <c r="C2357">
        <v>71.09</v>
      </c>
      <c r="D2357">
        <v>70.27</v>
      </c>
      <c r="E2357">
        <v>71</v>
      </c>
      <c r="F2357">
        <v>10130600</v>
      </c>
      <c r="G2357">
        <v>70.3</v>
      </c>
      <c r="H2357" t="s">
        <v>5</v>
      </c>
      <c r="I2357" s="22">
        <f t="shared" si="73"/>
        <v>2.2785541045871088E-3</v>
      </c>
      <c r="J2357" s="22" t="str">
        <f t="shared" si="74"/>
        <v/>
      </c>
    </row>
    <row r="2358" spans="1:10">
      <c r="A2358" s="1">
        <v>41540</v>
      </c>
      <c r="B2358">
        <v>70.66</v>
      </c>
      <c r="C2358">
        <v>70.73</v>
      </c>
      <c r="D2358">
        <v>69.8</v>
      </c>
      <c r="E2358">
        <v>70.58</v>
      </c>
      <c r="F2358">
        <v>4680500</v>
      </c>
      <c r="G2358">
        <v>69.88</v>
      </c>
      <c r="H2358" t="s">
        <v>5</v>
      </c>
      <c r="I2358" s="22">
        <f t="shared" si="73"/>
        <v>-5.9923135507633967E-3</v>
      </c>
      <c r="J2358" s="22" t="str">
        <f t="shared" si="74"/>
        <v>lost money</v>
      </c>
    </row>
    <row r="2359" spans="1:10">
      <c r="A2359" s="1">
        <v>41541</v>
      </c>
      <c r="B2359">
        <v>70.63</v>
      </c>
      <c r="C2359">
        <v>71.040000000000006</v>
      </c>
      <c r="D2359">
        <v>70.34</v>
      </c>
      <c r="E2359">
        <v>70.400000000000006</v>
      </c>
      <c r="F2359">
        <v>5739700</v>
      </c>
      <c r="G2359">
        <v>69.7</v>
      </c>
      <c r="H2359" t="s">
        <v>5</v>
      </c>
      <c r="I2359" s="22">
        <f t="shared" si="73"/>
        <v>-2.5791674993775344E-3</v>
      </c>
      <c r="J2359" s="22" t="str">
        <f t="shared" si="74"/>
        <v>lost money</v>
      </c>
    </row>
    <row r="2360" spans="1:10">
      <c r="A2360" s="1">
        <v>41542</v>
      </c>
      <c r="B2360">
        <v>70.489999999999995</v>
      </c>
      <c r="C2360">
        <v>70.69</v>
      </c>
      <c r="D2360">
        <v>70.03</v>
      </c>
      <c r="E2360">
        <v>70.319999999999993</v>
      </c>
      <c r="F2360">
        <v>3970000</v>
      </c>
      <c r="G2360">
        <v>69.62</v>
      </c>
      <c r="H2360" t="s">
        <v>5</v>
      </c>
      <c r="I2360" s="22">
        <f t="shared" si="73"/>
        <v>-1.1484353831853126E-3</v>
      </c>
      <c r="J2360" s="22" t="str">
        <f t="shared" si="74"/>
        <v>lost money</v>
      </c>
    </row>
    <row r="2361" spans="1:10">
      <c r="A2361" s="1">
        <v>41543</v>
      </c>
      <c r="B2361">
        <v>70.34</v>
      </c>
      <c r="C2361">
        <v>70.44</v>
      </c>
      <c r="D2361">
        <v>69.89</v>
      </c>
      <c r="E2361">
        <v>70.23</v>
      </c>
      <c r="F2361">
        <v>3836600</v>
      </c>
      <c r="G2361">
        <v>69.540000000000006</v>
      </c>
      <c r="H2361" t="s">
        <v>5</v>
      </c>
      <c r="I2361" s="22">
        <f t="shared" si="73"/>
        <v>-1.149755803577513E-3</v>
      </c>
      <c r="J2361" s="22" t="str">
        <f t="shared" si="74"/>
        <v>lost money</v>
      </c>
    </row>
    <row r="2362" spans="1:10">
      <c r="A2362" s="1">
        <v>41544</v>
      </c>
      <c r="B2362">
        <v>70.16</v>
      </c>
      <c r="C2362">
        <v>70.38</v>
      </c>
      <c r="D2362">
        <v>69.92</v>
      </c>
      <c r="E2362">
        <v>70.31</v>
      </c>
      <c r="F2362">
        <v>3423000</v>
      </c>
      <c r="G2362">
        <v>69.61</v>
      </c>
      <c r="H2362" t="s">
        <v>5</v>
      </c>
      <c r="I2362" s="22">
        <f t="shared" si="73"/>
        <v>1.0061086008597102E-3</v>
      </c>
      <c r="J2362" s="22" t="str">
        <f t="shared" si="74"/>
        <v/>
      </c>
    </row>
    <row r="2363" spans="1:10">
      <c r="A2363" s="1">
        <v>41547</v>
      </c>
      <c r="B2363">
        <v>69.69</v>
      </c>
      <c r="C2363">
        <v>69.92</v>
      </c>
      <c r="D2363">
        <v>69.3</v>
      </c>
      <c r="E2363">
        <v>69.510000000000005</v>
      </c>
      <c r="F2363">
        <v>4802100</v>
      </c>
      <c r="G2363">
        <v>68.819999999999993</v>
      </c>
      <c r="H2363" t="s">
        <v>5</v>
      </c>
      <c r="I2363" s="22">
        <f t="shared" si="73"/>
        <v>-1.1413834811240892E-2</v>
      </c>
      <c r="J2363" s="22" t="str">
        <f t="shared" si="74"/>
        <v>lost money</v>
      </c>
    </row>
    <row r="2364" spans="1:10">
      <c r="A2364" s="1">
        <v>41548</v>
      </c>
      <c r="B2364">
        <v>69.459999999999994</v>
      </c>
      <c r="C2364">
        <v>70.45</v>
      </c>
      <c r="D2364">
        <v>69.319999999999993</v>
      </c>
      <c r="E2364">
        <v>70.040000000000006</v>
      </c>
      <c r="F2364">
        <v>4141300</v>
      </c>
      <c r="G2364">
        <v>69.349999999999994</v>
      </c>
      <c r="H2364" t="s">
        <v>5</v>
      </c>
      <c r="I2364" s="22">
        <f t="shared" si="73"/>
        <v>7.6717463915062303E-3</v>
      </c>
      <c r="J2364" s="22" t="str">
        <f t="shared" si="74"/>
        <v/>
      </c>
    </row>
    <row r="2365" spans="1:10">
      <c r="A2365" s="1">
        <v>41549</v>
      </c>
      <c r="B2365">
        <v>70.02</v>
      </c>
      <c r="C2365">
        <v>70.569999999999993</v>
      </c>
      <c r="D2365">
        <v>69.75</v>
      </c>
      <c r="E2365">
        <v>70.36</v>
      </c>
      <c r="F2365">
        <v>5022400</v>
      </c>
      <c r="G2365">
        <v>69.66</v>
      </c>
      <c r="H2365" t="s">
        <v>5</v>
      </c>
      <c r="I2365" s="22">
        <f t="shared" si="73"/>
        <v>4.4601181770145453E-3</v>
      </c>
      <c r="J2365" s="22" t="str">
        <f t="shared" si="74"/>
        <v/>
      </c>
    </row>
    <row r="2366" spans="1:10">
      <c r="A2366" s="1">
        <v>41550</v>
      </c>
      <c r="B2366">
        <v>70.19</v>
      </c>
      <c r="C2366">
        <v>70.319999999999993</v>
      </c>
      <c r="D2366">
        <v>69.569999999999993</v>
      </c>
      <c r="E2366">
        <v>70.17</v>
      </c>
      <c r="F2366">
        <v>6550800</v>
      </c>
      <c r="G2366">
        <v>69.48</v>
      </c>
      <c r="H2366" t="s">
        <v>5</v>
      </c>
      <c r="I2366" s="22">
        <f t="shared" si="73"/>
        <v>-2.5873235649508013E-3</v>
      </c>
      <c r="J2366" s="22" t="str">
        <f t="shared" si="74"/>
        <v>lost money</v>
      </c>
    </row>
    <row r="2367" spans="1:10">
      <c r="A2367" s="1">
        <v>41551</v>
      </c>
      <c r="B2367">
        <v>70.180000000000007</v>
      </c>
      <c r="C2367">
        <v>70.989999999999995</v>
      </c>
      <c r="D2367">
        <v>70.03</v>
      </c>
      <c r="E2367">
        <v>70.97</v>
      </c>
      <c r="F2367">
        <v>4996700</v>
      </c>
      <c r="G2367">
        <v>70.27</v>
      </c>
      <c r="H2367" t="s">
        <v>5</v>
      </c>
      <c r="I2367" s="22">
        <f t="shared" si="73"/>
        <v>1.130602383120208E-2</v>
      </c>
      <c r="J2367" s="22" t="str">
        <f t="shared" si="74"/>
        <v/>
      </c>
    </row>
    <row r="2368" spans="1:10">
      <c r="A2368" s="1">
        <v>41554</v>
      </c>
      <c r="B2368">
        <v>70.400000000000006</v>
      </c>
      <c r="C2368">
        <v>71.180000000000007</v>
      </c>
      <c r="D2368">
        <v>70.150000000000006</v>
      </c>
      <c r="E2368">
        <v>70.88</v>
      </c>
      <c r="F2368">
        <v>4621600</v>
      </c>
      <c r="G2368">
        <v>70.180000000000007</v>
      </c>
      <c r="H2368" t="s">
        <v>5</v>
      </c>
      <c r="I2368" s="22">
        <f t="shared" si="73"/>
        <v>-1.2815950490370927E-3</v>
      </c>
      <c r="J2368" s="22" t="str">
        <f t="shared" si="74"/>
        <v/>
      </c>
    </row>
    <row r="2369" spans="1:10">
      <c r="A2369" s="1">
        <v>41555</v>
      </c>
      <c r="B2369">
        <v>70.77</v>
      </c>
      <c r="C2369">
        <v>71.13</v>
      </c>
      <c r="D2369">
        <v>70.150000000000006</v>
      </c>
      <c r="E2369">
        <v>70.17</v>
      </c>
      <c r="F2369">
        <v>5142800</v>
      </c>
      <c r="G2369">
        <v>69.48</v>
      </c>
      <c r="H2369" t="s">
        <v>5</v>
      </c>
      <c r="I2369" s="22">
        <f t="shared" si="73"/>
        <v>-1.0024428782164904E-2</v>
      </c>
      <c r="J2369" s="22" t="str">
        <f t="shared" si="74"/>
        <v>lost money</v>
      </c>
    </row>
    <row r="2370" spans="1:10">
      <c r="A2370" s="1">
        <v>41556</v>
      </c>
      <c r="B2370">
        <v>70.239999999999995</v>
      </c>
      <c r="C2370">
        <v>70.39</v>
      </c>
      <c r="D2370">
        <v>69.62</v>
      </c>
      <c r="E2370">
        <v>69.77</v>
      </c>
      <c r="F2370">
        <v>5768400</v>
      </c>
      <c r="G2370">
        <v>69.08</v>
      </c>
      <c r="H2370" t="s">
        <v>5</v>
      </c>
      <c r="I2370" s="22">
        <f t="shared" si="73"/>
        <v>-5.773688094426379E-3</v>
      </c>
      <c r="J2370" s="22" t="str">
        <f t="shared" si="74"/>
        <v>lost money</v>
      </c>
    </row>
    <row r="2371" spans="1:10">
      <c r="A2371" s="1">
        <v>41557</v>
      </c>
      <c r="B2371">
        <v>69.8</v>
      </c>
      <c r="C2371">
        <v>71.11</v>
      </c>
      <c r="D2371">
        <v>69.69</v>
      </c>
      <c r="E2371">
        <v>71.08</v>
      </c>
      <c r="F2371">
        <v>4454400</v>
      </c>
      <c r="G2371">
        <v>71.08</v>
      </c>
      <c r="H2371" t="s">
        <v>5</v>
      </c>
      <c r="I2371" s="22">
        <f t="shared" ref="I2371:I2434" si="75">IF(A2371=$A$2,"",LN(G2371/G2370))</f>
        <v>2.8540750007972824E-2</v>
      </c>
      <c r="J2371" s="22" t="str">
        <f t="shared" ref="J2371:J2434" si="76">IF(B2371&gt;E2371,"lost money","")</f>
        <v/>
      </c>
    </row>
    <row r="2372" spans="1:10">
      <c r="A2372" s="1">
        <v>41558</v>
      </c>
      <c r="B2372">
        <v>70.819999999999993</v>
      </c>
      <c r="C2372">
        <v>71.849999999999994</v>
      </c>
      <c r="D2372">
        <v>70.760000000000005</v>
      </c>
      <c r="E2372">
        <v>71.709999999999994</v>
      </c>
      <c r="F2372">
        <v>4592100</v>
      </c>
      <c r="G2372">
        <v>71.709999999999994</v>
      </c>
      <c r="H2372" t="s">
        <v>5</v>
      </c>
      <c r="I2372" s="22">
        <f t="shared" si="75"/>
        <v>8.8242046080327947E-3</v>
      </c>
      <c r="J2372" s="22" t="str">
        <f t="shared" si="76"/>
        <v/>
      </c>
    </row>
    <row r="2373" spans="1:10">
      <c r="A2373" s="1">
        <v>41561</v>
      </c>
      <c r="B2373">
        <v>71.3</v>
      </c>
      <c r="C2373">
        <v>72.03</v>
      </c>
      <c r="D2373">
        <v>71.25</v>
      </c>
      <c r="E2373">
        <v>71.959999999999994</v>
      </c>
      <c r="F2373">
        <v>4223800</v>
      </c>
      <c r="G2373">
        <v>71.959999999999994</v>
      </c>
      <c r="H2373" t="s">
        <v>5</v>
      </c>
      <c r="I2373" s="22">
        <f t="shared" si="75"/>
        <v>3.4802011878487535E-3</v>
      </c>
      <c r="J2373" s="22" t="str">
        <f t="shared" si="76"/>
        <v/>
      </c>
    </row>
    <row r="2374" spans="1:10">
      <c r="A2374" s="1">
        <v>41562</v>
      </c>
      <c r="B2374">
        <v>71.900000000000006</v>
      </c>
      <c r="C2374">
        <v>72.25</v>
      </c>
      <c r="D2374">
        <v>71.47</v>
      </c>
      <c r="E2374">
        <v>71.89</v>
      </c>
      <c r="F2374">
        <v>6252200</v>
      </c>
      <c r="G2374">
        <v>71.89</v>
      </c>
      <c r="H2374" t="s">
        <v>5</v>
      </c>
      <c r="I2374" s="22">
        <f t="shared" si="75"/>
        <v>-9.7323608655207241E-4</v>
      </c>
      <c r="J2374" s="22" t="str">
        <f t="shared" si="76"/>
        <v>lost money</v>
      </c>
    </row>
    <row r="2375" spans="1:10">
      <c r="A2375" s="1">
        <v>41563</v>
      </c>
      <c r="B2375">
        <v>72.319999999999993</v>
      </c>
      <c r="C2375">
        <v>73.09</v>
      </c>
      <c r="D2375">
        <v>72.2</v>
      </c>
      <c r="E2375">
        <v>72.959999999999994</v>
      </c>
      <c r="F2375">
        <v>5534800</v>
      </c>
      <c r="G2375">
        <v>72.959999999999994</v>
      </c>
      <c r="H2375" t="s">
        <v>5</v>
      </c>
      <c r="I2375" s="22">
        <f t="shared" si="75"/>
        <v>1.4774172770295697E-2</v>
      </c>
      <c r="J2375" s="22" t="str">
        <f t="shared" si="76"/>
        <v/>
      </c>
    </row>
    <row r="2376" spans="1:10">
      <c r="A2376" s="1">
        <v>41564</v>
      </c>
      <c r="B2376">
        <v>72.680000000000007</v>
      </c>
      <c r="C2376">
        <v>73.47</v>
      </c>
      <c r="D2376">
        <v>72.540000000000006</v>
      </c>
      <c r="E2376">
        <v>73.41</v>
      </c>
      <c r="F2376">
        <v>4494300</v>
      </c>
      <c r="G2376">
        <v>73.41</v>
      </c>
      <c r="H2376" t="s">
        <v>5</v>
      </c>
      <c r="I2376" s="22">
        <f t="shared" si="75"/>
        <v>6.1488203566139902E-3</v>
      </c>
      <c r="J2376" s="22" t="str">
        <f t="shared" si="76"/>
        <v/>
      </c>
    </row>
    <row r="2377" spans="1:10">
      <c r="A2377" s="1">
        <v>41565</v>
      </c>
      <c r="B2377">
        <v>73.58</v>
      </c>
      <c r="C2377">
        <v>73.59</v>
      </c>
      <c r="D2377">
        <v>72.73</v>
      </c>
      <c r="E2377">
        <v>73.430000000000007</v>
      </c>
      <c r="F2377">
        <v>5223700</v>
      </c>
      <c r="G2377">
        <v>73.430000000000007</v>
      </c>
      <c r="H2377" t="s">
        <v>5</v>
      </c>
      <c r="I2377" s="22">
        <f t="shared" si="75"/>
        <v>2.7240534082919503E-4</v>
      </c>
      <c r="J2377" s="22" t="str">
        <f t="shared" si="76"/>
        <v>lost money</v>
      </c>
    </row>
    <row r="2378" spans="1:10">
      <c r="A2378" s="1">
        <v>41568</v>
      </c>
      <c r="B2378">
        <v>73.53</v>
      </c>
      <c r="C2378">
        <v>73.58</v>
      </c>
      <c r="D2378">
        <v>72.900000000000006</v>
      </c>
      <c r="E2378">
        <v>73.05</v>
      </c>
      <c r="F2378">
        <v>3407000</v>
      </c>
      <c r="G2378">
        <v>73.05</v>
      </c>
      <c r="H2378" t="s">
        <v>5</v>
      </c>
      <c r="I2378" s="22">
        <f t="shared" si="75"/>
        <v>-5.188433266810755E-3</v>
      </c>
      <c r="J2378" s="22" t="str">
        <f t="shared" si="76"/>
        <v>lost money</v>
      </c>
    </row>
    <row r="2379" spans="1:10">
      <c r="A2379" s="1">
        <v>41569</v>
      </c>
      <c r="B2379">
        <v>73.260000000000005</v>
      </c>
      <c r="C2379">
        <v>73.53</v>
      </c>
      <c r="D2379">
        <v>72.88</v>
      </c>
      <c r="E2379">
        <v>73.260000000000005</v>
      </c>
      <c r="F2379">
        <v>3597300</v>
      </c>
      <c r="G2379">
        <v>73.260000000000005</v>
      </c>
      <c r="H2379" t="s">
        <v>5</v>
      </c>
      <c r="I2379" s="22">
        <f t="shared" si="75"/>
        <v>2.8706191539599659E-3</v>
      </c>
      <c r="J2379" s="22" t="str">
        <f t="shared" si="76"/>
        <v/>
      </c>
    </row>
    <row r="2380" spans="1:10">
      <c r="A2380" s="1">
        <v>41570</v>
      </c>
      <c r="B2380">
        <v>72.92</v>
      </c>
      <c r="C2380">
        <v>72.92</v>
      </c>
      <c r="D2380">
        <v>71.95</v>
      </c>
      <c r="E2380">
        <v>72.39</v>
      </c>
      <c r="F2380">
        <v>4442600</v>
      </c>
      <c r="G2380">
        <v>72.39</v>
      </c>
      <c r="H2380" t="s">
        <v>5</v>
      </c>
      <c r="I2380" s="22">
        <f t="shared" si="75"/>
        <v>-1.1946589045618327E-2</v>
      </c>
      <c r="J2380" s="22" t="str">
        <f t="shared" si="76"/>
        <v>lost money</v>
      </c>
    </row>
    <row r="2381" spans="1:10">
      <c r="A2381" s="1">
        <v>41571</v>
      </c>
      <c r="B2381">
        <v>72.67</v>
      </c>
      <c r="C2381">
        <v>73.489999999999995</v>
      </c>
      <c r="D2381">
        <v>72.44</v>
      </c>
      <c r="E2381">
        <v>73.39</v>
      </c>
      <c r="F2381">
        <v>3707900</v>
      </c>
      <c r="G2381">
        <v>73.39</v>
      </c>
      <c r="H2381" t="s">
        <v>5</v>
      </c>
      <c r="I2381" s="22">
        <f t="shared" si="75"/>
        <v>1.3719518251921378E-2</v>
      </c>
      <c r="J2381" s="22" t="str">
        <f t="shared" si="76"/>
        <v/>
      </c>
    </row>
    <row r="2382" spans="1:10">
      <c r="A2382" s="1">
        <v>41572</v>
      </c>
      <c r="B2382">
        <v>73.53</v>
      </c>
      <c r="C2382">
        <v>74.099999999999994</v>
      </c>
      <c r="D2382">
        <v>73.010000000000005</v>
      </c>
      <c r="E2382">
        <v>74.06</v>
      </c>
      <c r="F2382">
        <v>4218700</v>
      </c>
      <c r="G2382">
        <v>74.06</v>
      </c>
      <c r="H2382" t="s">
        <v>5</v>
      </c>
      <c r="I2382" s="22">
        <f t="shared" si="75"/>
        <v>9.08788892849525E-3</v>
      </c>
      <c r="J2382" s="22" t="str">
        <f t="shared" si="76"/>
        <v/>
      </c>
    </row>
    <row r="2383" spans="1:10">
      <c r="A2383" s="1">
        <v>41575</v>
      </c>
      <c r="B2383">
        <v>73.91</v>
      </c>
      <c r="C2383">
        <v>74.06</v>
      </c>
      <c r="D2383">
        <v>73.599999999999994</v>
      </c>
      <c r="E2383">
        <v>73.89</v>
      </c>
      <c r="F2383">
        <v>3480100</v>
      </c>
      <c r="G2383">
        <v>73.89</v>
      </c>
      <c r="H2383" t="s">
        <v>5</v>
      </c>
      <c r="I2383" s="22">
        <f t="shared" si="75"/>
        <v>-2.2980746849104615E-3</v>
      </c>
      <c r="J2383" s="22" t="str">
        <f t="shared" si="76"/>
        <v>lost money</v>
      </c>
    </row>
    <row r="2384" spans="1:10">
      <c r="A2384" s="1">
        <v>41576</v>
      </c>
      <c r="B2384">
        <v>74.2</v>
      </c>
      <c r="C2384">
        <v>74.59</v>
      </c>
      <c r="D2384">
        <v>74</v>
      </c>
      <c r="E2384">
        <v>74.34</v>
      </c>
      <c r="F2384">
        <v>3389900</v>
      </c>
      <c r="G2384">
        <v>74.34</v>
      </c>
      <c r="H2384" t="s">
        <v>5</v>
      </c>
      <c r="I2384" s="22">
        <f t="shared" si="75"/>
        <v>6.0716640685497736E-3</v>
      </c>
      <c r="J2384" s="22" t="str">
        <f t="shared" si="76"/>
        <v/>
      </c>
    </row>
    <row r="2385" spans="1:10">
      <c r="A2385" s="1">
        <v>41577</v>
      </c>
      <c r="B2385">
        <v>74.400000000000006</v>
      </c>
      <c r="C2385">
        <v>74.48</v>
      </c>
      <c r="D2385">
        <v>72.87</v>
      </c>
      <c r="E2385">
        <v>73.25</v>
      </c>
      <c r="F2385">
        <v>5278500</v>
      </c>
      <c r="G2385">
        <v>73.25</v>
      </c>
      <c r="H2385" t="s">
        <v>5</v>
      </c>
      <c r="I2385" s="22">
        <f t="shared" si="75"/>
        <v>-1.4770916971929435E-2</v>
      </c>
      <c r="J2385" s="22" t="str">
        <f t="shared" si="76"/>
        <v>lost money</v>
      </c>
    </row>
    <row r="2386" spans="1:10">
      <c r="A2386" s="1">
        <v>41578</v>
      </c>
      <c r="B2386">
        <v>73.66</v>
      </c>
      <c r="C2386">
        <v>74.48</v>
      </c>
      <c r="D2386">
        <v>73.28</v>
      </c>
      <c r="E2386">
        <v>73.33</v>
      </c>
      <c r="F2386">
        <v>5556600</v>
      </c>
      <c r="G2386">
        <v>73.33</v>
      </c>
      <c r="H2386" t="s">
        <v>5</v>
      </c>
      <c r="I2386" s="22">
        <f t="shared" si="75"/>
        <v>1.091554208531446E-3</v>
      </c>
      <c r="J2386" s="22" t="str">
        <f t="shared" si="76"/>
        <v>lost money</v>
      </c>
    </row>
    <row r="2387" spans="1:10">
      <c r="A2387" s="1">
        <v>41579</v>
      </c>
      <c r="B2387">
        <v>73.56</v>
      </c>
      <c r="C2387">
        <v>73.56</v>
      </c>
      <c r="D2387">
        <v>72.209999999999994</v>
      </c>
      <c r="E2387">
        <v>73.09</v>
      </c>
      <c r="F2387">
        <v>4921000</v>
      </c>
      <c r="G2387">
        <v>73.09</v>
      </c>
      <c r="H2387" t="s">
        <v>5</v>
      </c>
      <c r="I2387" s="22">
        <f t="shared" si="75"/>
        <v>-3.2782436134077722E-3</v>
      </c>
      <c r="J2387" s="22" t="str">
        <f t="shared" si="76"/>
        <v>lost money</v>
      </c>
    </row>
    <row r="2388" spans="1:10">
      <c r="A2388" s="1">
        <v>41582</v>
      </c>
      <c r="B2388">
        <v>73.37</v>
      </c>
      <c r="C2388">
        <v>73.510000000000005</v>
      </c>
      <c r="D2388">
        <v>72.84</v>
      </c>
      <c r="E2388">
        <v>73.33</v>
      </c>
      <c r="F2388">
        <v>3604300</v>
      </c>
      <c r="G2388">
        <v>73.33</v>
      </c>
      <c r="H2388" t="s">
        <v>5</v>
      </c>
      <c r="I2388" s="22">
        <f t="shared" si="75"/>
        <v>3.278243613407783E-3</v>
      </c>
      <c r="J2388" s="22" t="str">
        <f t="shared" si="76"/>
        <v>lost money</v>
      </c>
    </row>
    <row r="2389" spans="1:10">
      <c r="A2389" s="1">
        <v>41583</v>
      </c>
      <c r="B2389">
        <v>73.03</v>
      </c>
      <c r="C2389">
        <v>73.28</v>
      </c>
      <c r="D2389">
        <v>72.5</v>
      </c>
      <c r="E2389">
        <v>72.569999999999993</v>
      </c>
      <c r="F2389">
        <v>4592500</v>
      </c>
      <c r="G2389">
        <v>72.569999999999993</v>
      </c>
      <c r="H2389" t="s">
        <v>5</v>
      </c>
      <c r="I2389" s="22">
        <f t="shared" si="75"/>
        <v>-1.0418188815662654E-2</v>
      </c>
      <c r="J2389" s="22" t="str">
        <f t="shared" si="76"/>
        <v>lost money</v>
      </c>
    </row>
    <row r="2390" spans="1:10">
      <c r="A2390" s="1">
        <v>41584</v>
      </c>
      <c r="B2390">
        <v>73.19</v>
      </c>
      <c r="C2390">
        <v>73.97</v>
      </c>
      <c r="D2390">
        <v>73.11</v>
      </c>
      <c r="E2390">
        <v>73.900000000000006</v>
      </c>
      <c r="F2390">
        <v>5588000</v>
      </c>
      <c r="G2390">
        <v>73.900000000000006</v>
      </c>
      <c r="H2390" t="s">
        <v>5</v>
      </c>
      <c r="I2390" s="22">
        <f t="shared" si="75"/>
        <v>1.8161214664110643E-2</v>
      </c>
      <c r="J2390" s="22" t="str">
        <f t="shared" si="76"/>
        <v/>
      </c>
    </row>
    <row r="2391" spans="1:10">
      <c r="A2391" s="1">
        <v>41585</v>
      </c>
      <c r="B2391">
        <v>73.849999999999994</v>
      </c>
      <c r="C2391">
        <v>73.930000000000007</v>
      </c>
      <c r="D2391">
        <v>72.27</v>
      </c>
      <c r="E2391">
        <v>72.510000000000005</v>
      </c>
      <c r="F2391">
        <v>5836600</v>
      </c>
      <c r="G2391">
        <v>72.510000000000005</v>
      </c>
      <c r="H2391" t="s">
        <v>5</v>
      </c>
      <c r="I2391" s="22">
        <f t="shared" si="75"/>
        <v>-1.8988344570654729E-2</v>
      </c>
      <c r="J2391" s="22" t="str">
        <f t="shared" si="76"/>
        <v>lost money</v>
      </c>
    </row>
    <row r="2392" spans="1:10">
      <c r="A2392" s="1">
        <v>41586</v>
      </c>
      <c r="B2392">
        <v>72.489999999999995</v>
      </c>
      <c r="C2392">
        <v>73.72</v>
      </c>
      <c r="D2392">
        <v>72.37</v>
      </c>
      <c r="E2392">
        <v>73.69</v>
      </c>
      <c r="F2392">
        <v>4819600</v>
      </c>
      <c r="G2392">
        <v>73.69</v>
      </c>
      <c r="H2392" t="s">
        <v>5</v>
      </c>
      <c r="I2392" s="22">
        <f t="shared" si="75"/>
        <v>1.6142621395406599E-2</v>
      </c>
      <c r="J2392" s="22" t="str">
        <f t="shared" si="76"/>
        <v/>
      </c>
    </row>
    <row r="2393" spans="1:10">
      <c r="A2393" s="1">
        <v>41589</v>
      </c>
      <c r="B2393">
        <v>73.459999999999994</v>
      </c>
      <c r="C2393">
        <v>73.83</v>
      </c>
      <c r="D2393">
        <v>73.33</v>
      </c>
      <c r="E2393">
        <v>73.56</v>
      </c>
      <c r="F2393">
        <v>2786700</v>
      </c>
      <c r="G2393">
        <v>73.56</v>
      </c>
      <c r="H2393" t="s">
        <v>5</v>
      </c>
      <c r="I2393" s="22">
        <f t="shared" si="75"/>
        <v>-1.7657050427874917E-3</v>
      </c>
      <c r="J2393" s="22" t="str">
        <f t="shared" si="76"/>
        <v/>
      </c>
    </row>
    <row r="2394" spans="1:10">
      <c r="A2394" s="1">
        <v>41590</v>
      </c>
      <c r="B2394">
        <v>73.25</v>
      </c>
      <c r="C2394">
        <v>73.47</v>
      </c>
      <c r="D2394">
        <v>72.61</v>
      </c>
      <c r="E2394">
        <v>72.819999999999993</v>
      </c>
      <c r="F2394">
        <v>3125000</v>
      </c>
      <c r="G2394">
        <v>72.819999999999993</v>
      </c>
      <c r="H2394" t="s">
        <v>5</v>
      </c>
      <c r="I2394" s="22">
        <f t="shared" si="75"/>
        <v>-1.0110756988833043E-2</v>
      </c>
      <c r="J2394" s="22" t="str">
        <f t="shared" si="76"/>
        <v>lost money</v>
      </c>
    </row>
    <row r="2395" spans="1:10">
      <c r="A2395" s="1">
        <v>41591</v>
      </c>
      <c r="B2395">
        <v>72.739999999999995</v>
      </c>
      <c r="C2395">
        <v>73.36</v>
      </c>
      <c r="D2395">
        <v>72.569999999999993</v>
      </c>
      <c r="E2395">
        <v>73.34</v>
      </c>
      <c r="F2395">
        <v>3463600</v>
      </c>
      <c r="G2395">
        <v>73.34</v>
      </c>
      <c r="H2395" t="s">
        <v>5</v>
      </c>
      <c r="I2395" s="22">
        <f t="shared" si="75"/>
        <v>7.1155198958927687E-3</v>
      </c>
      <c r="J2395" s="22" t="str">
        <f t="shared" si="76"/>
        <v/>
      </c>
    </row>
    <row r="2396" spans="1:10">
      <c r="A2396" s="1">
        <v>41592</v>
      </c>
      <c r="B2396">
        <v>73.58</v>
      </c>
      <c r="C2396">
        <v>73.8</v>
      </c>
      <c r="D2396">
        <v>73.2</v>
      </c>
      <c r="E2396">
        <v>73.680000000000007</v>
      </c>
      <c r="F2396">
        <v>3833000</v>
      </c>
      <c r="G2396">
        <v>73.680000000000007</v>
      </c>
      <c r="H2396" t="s">
        <v>5</v>
      </c>
      <c r="I2396" s="22">
        <f t="shared" si="75"/>
        <v>4.6252293038714105E-3</v>
      </c>
      <c r="J2396" s="22" t="str">
        <f t="shared" si="76"/>
        <v/>
      </c>
    </row>
    <row r="2397" spans="1:10">
      <c r="A2397" s="1">
        <v>41593</v>
      </c>
      <c r="B2397">
        <v>73.55</v>
      </c>
      <c r="C2397">
        <v>73.569999999999993</v>
      </c>
      <c r="D2397">
        <v>72.75</v>
      </c>
      <c r="E2397">
        <v>73.3</v>
      </c>
      <c r="F2397">
        <v>5341200</v>
      </c>
      <c r="G2397">
        <v>73.3</v>
      </c>
      <c r="H2397" t="s">
        <v>5</v>
      </c>
      <c r="I2397" s="22">
        <f t="shared" si="75"/>
        <v>-5.1707830544457109E-3</v>
      </c>
      <c r="J2397" s="22" t="str">
        <f t="shared" si="76"/>
        <v>lost money</v>
      </c>
    </row>
    <row r="2398" spans="1:10">
      <c r="A2398" s="1">
        <v>41596</v>
      </c>
      <c r="B2398">
        <v>73.47</v>
      </c>
      <c r="C2398">
        <v>73.63</v>
      </c>
      <c r="D2398">
        <v>72.2</v>
      </c>
      <c r="E2398">
        <v>72.31</v>
      </c>
      <c r="F2398">
        <v>4686500</v>
      </c>
      <c r="G2398">
        <v>72.31</v>
      </c>
      <c r="H2398" t="s">
        <v>5</v>
      </c>
      <c r="I2398" s="22">
        <f t="shared" si="75"/>
        <v>-1.3598176705745219E-2</v>
      </c>
      <c r="J2398" s="22" t="str">
        <f t="shared" si="76"/>
        <v>lost money</v>
      </c>
    </row>
    <row r="2399" spans="1:10">
      <c r="A2399" s="1">
        <v>41597</v>
      </c>
      <c r="B2399">
        <v>72.12</v>
      </c>
      <c r="C2399">
        <v>72.69</v>
      </c>
      <c r="D2399">
        <v>71.760000000000005</v>
      </c>
      <c r="E2399">
        <v>72.260000000000005</v>
      </c>
      <c r="F2399">
        <v>7036400</v>
      </c>
      <c r="G2399">
        <v>72.260000000000005</v>
      </c>
      <c r="H2399" t="s">
        <v>5</v>
      </c>
      <c r="I2399" s="22">
        <f t="shared" si="75"/>
        <v>-6.9170646736623094E-4</v>
      </c>
      <c r="J2399" s="22" t="str">
        <f t="shared" si="76"/>
        <v/>
      </c>
    </row>
    <row r="2400" spans="1:10">
      <c r="A2400" s="1">
        <v>41598</v>
      </c>
      <c r="B2400">
        <v>72.489999999999995</v>
      </c>
      <c r="C2400">
        <v>72.930000000000007</v>
      </c>
      <c r="D2400">
        <v>72.09</v>
      </c>
      <c r="E2400">
        <v>72.25</v>
      </c>
      <c r="F2400">
        <v>4139300</v>
      </c>
      <c r="G2400">
        <v>72.25</v>
      </c>
      <c r="H2400" t="s">
        <v>5</v>
      </c>
      <c r="I2400" s="22">
        <f t="shared" si="75"/>
        <v>-1.3839872695274754E-4</v>
      </c>
      <c r="J2400" s="22" t="str">
        <f t="shared" si="76"/>
        <v>lost money</v>
      </c>
    </row>
    <row r="2401" spans="1:10">
      <c r="A2401" s="1">
        <v>41599</v>
      </c>
      <c r="B2401">
        <v>72.47</v>
      </c>
      <c r="C2401">
        <v>73.599999999999994</v>
      </c>
      <c r="D2401">
        <v>72.400000000000006</v>
      </c>
      <c r="E2401">
        <v>73.34</v>
      </c>
      <c r="F2401">
        <v>3988900</v>
      </c>
      <c r="G2401">
        <v>73.34</v>
      </c>
      <c r="H2401" t="s">
        <v>5</v>
      </c>
      <c r="I2401" s="22">
        <f t="shared" si="75"/>
        <v>1.4973835650638508E-2</v>
      </c>
      <c r="J2401" s="22" t="str">
        <f t="shared" si="76"/>
        <v/>
      </c>
    </row>
    <row r="2402" spans="1:10">
      <c r="A2402" s="1">
        <v>41600</v>
      </c>
      <c r="B2402">
        <v>73.489999999999995</v>
      </c>
      <c r="C2402">
        <v>74.069999999999993</v>
      </c>
      <c r="D2402">
        <v>73.239999999999995</v>
      </c>
      <c r="E2402">
        <v>74.02</v>
      </c>
      <c r="F2402">
        <v>3622000</v>
      </c>
      <c r="G2402">
        <v>74.02</v>
      </c>
      <c r="H2402" t="s">
        <v>5</v>
      </c>
      <c r="I2402" s="22">
        <f t="shared" si="75"/>
        <v>9.2291643148298807E-3</v>
      </c>
      <c r="J2402" s="22" t="str">
        <f t="shared" si="76"/>
        <v/>
      </c>
    </row>
    <row r="2403" spans="1:10">
      <c r="A2403" s="1">
        <v>41603</v>
      </c>
      <c r="B2403">
        <v>73.760000000000005</v>
      </c>
      <c r="C2403">
        <v>73.92</v>
      </c>
      <c r="D2403">
        <v>72.75</v>
      </c>
      <c r="E2403">
        <v>72.81</v>
      </c>
      <c r="F2403">
        <v>5294800</v>
      </c>
      <c r="G2403">
        <v>72.81</v>
      </c>
      <c r="H2403" t="s">
        <v>5</v>
      </c>
      <c r="I2403" s="22">
        <f t="shared" si="75"/>
        <v>-1.648201855139015E-2</v>
      </c>
      <c r="J2403" s="22" t="str">
        <f t="shared" si="76"/>
        <v>lost money</v>
      </c>
    </row>
    <row r="2404" spans="1:10">
      <c r="A2404" s="1">
        <v>41604</v>
      </c>
      <c r="B2404">
        <v>72.819999999999993</v>
      </c>
      <c r="C2404">
        <v>73.510000000000005</v>
      </c>
      <c r="D2404">
        <v>72.489999999999995</v>
      </c>
      <c r="E2404">
        <v>72.930000000000007</v>
      </c>
      <c r="F2404">
        <v>4089800</v>
      </c>
      <c r="G2404">
        <v>72.930000000000007</v>
      </c>
      <c r="H2404" t="s">
        <v>5</v>
      </c>
      <c r="I2404" s="22">
        <f t="shared" si="75"/>
        <v>1.6467685895219695E-3</v>
      </c>
      <c r="J2404" s="22" t="str">
        <f t="shared" si="76"/>
        <v/>
      </c>
    </row>
    <row r="2405" spans="1:10">
      <c r="A2405" s="1">
        <v>41605</v>
      </c>
      <c r="B2405">
        <v>72.94</v>
      </c>
      <c r="C2405">
        <v>73.400000000000006</v>
      </c>
      <c r="D2405">
        <v>72.38</v>
      </c>
      <c r="E2405">
        <v>72.62</v>
      </c>
      <c r="F2405">
        <v>3294000</v>
      </c>
      <c r="G2405">
        <v>72.62</v>
      </c>
      <c r="H2405" t="s">
        <v>5</v>
      </c>
      <c r="I2405" s="22">
        <f t="shared" si="75"/>
        <v>-4.259711009952003E-3</v>
      </c>
      <c r="J2405" s="22" t="str">
        <f t="shared" si="76"/>
        <v>lost money</v>
      </c>
    </row>
    <row r="2406" spans="1:10">
      <c r="A2406" s="1">
        <v>41607</v>
      </c>
      <c r="B2406">
        <v>72.64</v>
      </c>
      <c r="C2406">
        <v>73.540000000000006</v>
      </c>
      <c r="D2406">
        <v>72.5</v>
      </c>
      <c r="E2406">
        <v>72.8</v>
      </c>
      <c r="F2406">
        <v>2434300</v>
      </c>
      <c r="G2406">
        <v>72.8</v>
      </c>
      <c r="H2406" t="s">
        <v>5</v>
      </c>
      <c r="I2406" s="22">
        <f t="shared" si="75"/>
        <v>2.4755892164505405E-3</v>
      </c>
      <c r="J2406" s="22" t="str">
        <f t="shared" si="76"/>
        <v/>
      </c>
    </row>
    <row r="2407" spans="1:10">
      <c r="A2407" s="1">
        <v>40911</v>
      </c>
      <c r="B2407">
        <v>108.74</v>
      </c>
      <c r="C2407">
        <v>110.99</v>
      </c>
      <c r="D2407">
        <v>108.73</v>
      </c>
      <c r="E2407">
        <v>110.37</v>
      </c>
      <c r="F2407">
        <v>11518700</v>
      </c>
      <c r="G2407">
        <v>103.37</v>
      </c>
      <c r="H2407" t="s">
        <v>4</v>
      </c>
      <c r="I2407" s="22" t="str">
        <f t="shared" si="75"/>
        <v/>
      </c>
      <c r="J2407" s="22" t="str">
        <f t="shared" si="76"/>
        <v/>
      </c>
    </row>
    <row r="2408" spans="1:10">
      <c r="A2408" s="1">
        <v>40912</v>
      </c>
      <c r="B2408">
        <v>109.83</v>
      </c>
      <c r="C2408">
        <v>110.37</v>
      </c>
      <c r="D2408">
        <v>109.2</v>
      </c>
      <c r="E2408">
        <v>110.18</v>
      </c>
      <c r="F2408">
        <v>8019100</v>
      </c>
      <c r="G2408">
        <v>103.19</v>
      </c>
      <c r="H2408" t="s">
        <v>4</v>
      </c>
      <c r="I2408" s="22">
        <f t="shared" si="75"/>
        <v>-1.7428354527705208E-3</v>
      </c>
      <c r="J2408" s="22" t="str">
        <f t="shared" si="76"/>
        <v/>
      </c>
    </row>
    <row r="2409" spans="1:10">
      <c r="A2409" s="1">
        <v>40913</v>
      </c>
      <c r="B2409">
        <v>109.39</v>
      </c>
      <c r="C2409">
        <v>109.54</v>
      </c>
      <c r="D2409">
        <v>107.97</v>
      </c>
      <c r="E2409">
        <v>109.1</v>
      </c>
      <c r="F2409">
        <v>7184900</v>
      </c>
      <c r="G2409">
        <v>102.18</v>
      </c>
      <c r="H2409" t="s">
        <v>4</v>
      </c>
      <c r="I2409" s="22">
        <f t="shared" si="75"/>
        <v>-9.8359852249709188E-3</v>
      </c>
      <c r="J2409" s="22" t="str">
        <f t="shared" si="76"/>
        <v>lost money</v>
      </c>
    </row>
    <row r="2410" spans="1:10">
      <c r="A2410" s="1">
        <v>40914</v>
      </c>
      <c r="B2410">
        <v>109.41</v>
      </c>
      <c r="C2410">
        <v>109.61</v>
      </c>
      <c r="D2410">
        <v>108.09</v>
      </c>
      <c r="E2410">
        <v>108.31</v>
      </c>
      <c r="F2410">
        <v>8214900</v>
      </c>
      <c r="G2410">
        <v>101.44</v>
      </c>
      <c r="H2410" t="s">
        <v>4</v>
      </c>
      <c r="I2410" s="22">
        <f t="shared" si="75"/>
        <v>-7.2684732137362146E-3</v>
      </c>
      <c r="J2410" s="22" t="str">
        <f t="shared" si="76"/>
        <v>lost money</v>
      </c>
    </row>
    <row r="2411" spans="1:10">
      <c r="A2411" s="1">
        <v>40917</v>
      </c>
      <c r="B2411">
        <v>108.24</v>
      </c>
      <c r="C2411">
        <v>109.67</v>
      </c>
      <c r="D2411">
        <v>108.03</v>
      </c>
      <c r="E2411">
        <v>109.49</v>
      </c>
      <c r="F2411">
        <v>7118800</v>
      </c>
      <c r="G2411">
        <v>102.55</v>
      </c>
      <c r="H2411" t="s">
        <v>4</v>
      </c>
      <c r="I2411" s="22">
        <f t="shared" si="75"/>
        <v>1.0882993829473895E-2</v>
      </c>
      <c r="J2411" s="22" t="str">
        <f t="shared" si="76"/>
        <v/>
      </c>
    </row>
    <row r="2412" spans="1:10">
      <c r="A2412" s="1">
        <v>40918</v>
      </c>
      <c r="B2412">
        <v>110.12</v>
      </c>
      <c r="C2412">
        <v>110.66</v>
      </c>
      <c r="D2412">
        <v>108.9</v>
      </c>
      <c r="E2412">
        <v>109.06</v>
      </c>
      <c r="F2412">
        <v>7641800</v>
      </c>
      <c r="G2412">
        <v>102.14</v>
      </c>
      <c r="H2412" t="s">
        <v>4</v>
      </c>
      <c r="I2412" s="22">
        <f t="shared" si="75"/>
        <v>-4.0060632988917879E-3</v>
      </c>
      <c r="J2412" s="22" t="str">
        <f t="shared" si="76"/>
        <v>lost money</v>
      </c>
    </row>
    <row r="2413" spans="1:10">
      <c r="A2413" s="1">
        <v>40919</v>
      </c>
      <c r="B2413">
        <v>108.51</v>
      </c>
      <c r="C2413">
        <v>108.65</v>
      </c>
      <c r="D2413">
        <v>107.13</v>
      </c>
      <c r="E2413">
        <v>107.77</v>
      </c>
      <c r="F2413">
        <v>7802500</v>
      </c>
      <c r="G2413">
        <v>100.93</v>
      </c>
      <c r="H2413" t="s">
        <v>4</v>
      </c>
      <c r="I2413" s="22">
        <f t="shared" si="75"/>
        <v>-1.1917213968729693E-2</v>
      </c>
      <c r="J2413" s="22" t="str">
        <f t="shared" si="76"/>
        <v>lost money</v>
      </c>
    </row>
    <row r="2414" spans="1:10">
      <c r="A2414" s="1">
        <v>40920</v>
      </c>
      <c r="B2414">
        <v>104.52</v>
      </c>
      <c r="C2414">
        <v>106.04</v>
      </c>
      <c r="D2414">
        <v>104.52</v>
      </c>
      <c r="E2414">
        <v>104.97</v>
      </c>
      <c r="F2414">
        <v>11897200</v>
      </c>
      <c r="G2414">
        <v>98.31</v>
      </c>
      <c r="H2414" t="s">
        <v>4</v>
      </c>
      <c r="I2414" s="22">
        <f t="shared" si="75"/>
        <v>-2.6301455871935296E-2</v>
      </c>
      <c r="J2414" s="22" t="str">
        <f t="shared" si="76"/>
        <v/>
      </c>
    </row>
    <row r="2415" spans="1:10">
      <c r="A2415" s="1">
        <v>40921</v>
      </c>
      <c r="B2415">
        <v>104.62</v>
      </c>
      <c r="C2415">
        <v>106.15</v>
      </c>
      <c r="D2415">
        <v>103.51</v>
      </c>
      <c r="E2415">
        <v>106.09</v>
      </c>
      <c r="F2415">
        <v>8266900</v>
      </c>
      <c r="G2415">
        <v>99.36</v>
      </c>
      <c r="H2415" t="s">
        <v>4</v>
      </c>
      <c r="I2415" s="22">
        <f t="shared" si="75"/>
        <v>1.0623866806335702E-2</v>
      </c>
      <c r="J2415" s="22" t="str">
        <f t="shared" si="76"/>
        <v/>
      </c>
    </row>
    <row r="2416" spans="1:10">
      <c r="A2416" s="1">
        <v>40925</v>
      </c>
      <c r="B2416">
        <v>107.27</v>
      </c>
      <c r="C2416">
        <v>107.98</v>
      </c>
      <c r="D2416">
        <v>106.03</v>
      </c>
      <c r="E2416">
        <v>106.72</v>
      </c>
      <c r="F2416">
        <v>6925300</v>
      </c>
      <c r="G2416">
        <v>99.95</v>
      </c>
      <c r="H2416" t="s">
        <v>4</v>
      </c>
      <c r="I2416" s="22">
        <f t="shared" si="75"/>
        <v>5.9204427612405165E-3</v>
      </c>
      <c r="J2416" s="22" t="str">
        <f t="shared" si="76"/>
        <v>lost money</v>
      </c>
    </row>
    <row r="2417" spans="1:10">
      <c r="A2417" s="1">
        <v>40926</v>
      </c>
      <c r="B2417">
        <v>106</v>
      </c>
      <c r="C2417">
        <v>106.94</v>
      </c>
      <c r="D2417">
        <v>105.2</v>
      </c>
      <c r="E2417">
        <v>106.83</v>
      </c>
      <c r="F2417">
        <v>6581400</v>
      </c>
      <c r="G2417">
        <v>100.05</v>
      </c>
      <c r="H2417" t="s">
        <v>4</v>
      </c>
      <c r="I2417" s="22">
        <f t="shared" si="75"/>
        <v>1.000000083333275E-3</v>
      </c>
      <c r="J2417" s="22" t="str">
        <f t="shared" si="76"/>
        <v/>
      </c>
    </row>
    <row r="2418" spans="1:10">
      <c r="A2418" s="1">
        <v>40927</v>
      </c>
      <c r="B2418">
        <v>107.21</v>
      </c>
      <c r="C2418">
        <v>107.5</v>
      </c>
      <c r="D2418">
        <v>105.82</v>
      </c>
      <c r="E2418">
        <v>106.93</v>
      </c>
      <c r="F2418">
        <v>5666100</v>
      </c>
      <c r="G2418">
        <v>100.15</v>
      </c>
      <c r="H2418" t="s">
        <v>4</v>
      </c>
      <c r="I2418" s="22">
        <f t="shared" si="75"/>
        <v>9.9900108208483308E-4</v>
      </c>
      <c r="J2418" s="22" t="str">
        <f t="shared" si="76"/>
        <v>lost money</v>
      </c>
    </row>
    <row r="2419" spans="1:10">
      <c r="A2419" s="1">
        <v>40928</v>
      </c>
      <c r="B2419">
        <v>106.95</v>
      </c>
      <c r="C2419">
        <v>107.2</v>
      </c>
      <c r="D2419">
        <v>106.25</v>
      </c>
      <c r="E2419">
        <v>106.89</v>
      </c>
      <c r="F2419">
        <v>7284600</v>
      </c>
      <c r="G2419">
        <v>100.11</v>
      </c>
      <c r="H2419" t="s">
        <v>4</v>
      </c>
      <c r="I2419" s="22">
        <f t="shared" si="75"/>
        <v>-3.9948068043499781E-4</v>
      </c>
      <c r="J2419" s="22" t="str">
        <f t="shared" si="76"/>
        <v>lost money</v>
      </c>
    </row>
    <row r="2420" spans="1:10">
      <c r="A2420" s="1">
        <v>40931</v>
      </c>
      <c r="B2420">
        <v>106.99</v>
      </c>
      <c r="C2420">
        <v>107.5</v>
      </c>
      <c r="D2420">
        <v>106.56</v>
      </c>
      <c r="E2420">
        <v>107.01</v>
      </c>
      <c r="F2420">
        <v>6506700</v>
      </c>
      <c r="G2420">
        <v>100.22</v>
      </c>
      <c r="H2420" t="s">
        <v>4</v>
      </c>
      <c r="I2420" s="22">
        <f t="shared" si="75"/>
        <v>1.0981881001862457E-3</v>
      </c>
      <c r="J2420" s="22" t="str">
        <f t="shared" si="76"/>
        <v/>
      </c>
    </row>
    <row r="2421" spans="1:10">
      <c r="A2421" s="1">
        <v>40932</v>
      </c>
      <c r="B2421">
        <v>106.45</v>
      </c>
      <c r="C2421">
        <v>107.09</v>
      </c>
      <c r="D2421">
        <v>106.18</v>
      </c>
      <c r="E2421">
        <v>106.72</v>
      </c>
      <c r="F2421">
        <v>5041400</v>
      </c>
      <c r="G2421">
        <v>99.95</v>
      </c>
      <c r="H2421" t="s">
        <v>4</v>
      </c>
      <c r="I2421" s="22">
        <f t="shared" si="75"/>
        <v>-2.6977085851694698E-3</v>
      </c>
      <c r="J2421" s="22" t="str">
        <f t="shared" si="76"/>
        <v/>
      </c>
    </row>
    <row r="2422" spans="1:10">
      <c r="A2422" s="1">
        <v>40933</v>
      </c>
      <c r="B2422">
        <v>106.37</v>
      </c>
      <c r="C2422">
        <v>108</v>
      </c>
      <c r="D2422">
        <v>105.09</v>
      </c>
      <c r="E2422">
        <v>107.73</v>
      </c>
      <c r="F2422">
        <v>8020700</v>
      </c>
      <c r="G2422">
        <v>100.9</v>
      </c>
      <c r="H2422" t="s">
        <v>4</v>
      </c>
      <c r="I2422" s="22">
        <f t="shared" si="75"/>
        <v>9.459866413154305E-3</v>
      </c>
      <c r="J2422" s="22" t="str">
        <f t="shared" si="76"/>
        <v/>
      </c>
    </row>
    <row r="2423" spans="1:10">
      <c r="A2423" s="1">
        <v>40934</v>
      </c>
      <c r="B2423">
        <v>108.03</v>
      </c>
      <c r="C2423">
        <v>108.57</v>
      </c>
      <c r="D2423">
        <v>106.35</v>
      </c>
      <c r="E2423">
        <v>106.59</v>
      </c>
      <c r="F2423">
        <v>7000400</v>
      </c>
      <c r="G2423">
        <v>99.83</v>
      </c>
      <c r="H2423" t="s">
        <v>4</v>
      </c>
      <c r="I2423" s="22">
        <f t="shared" si="75"/>
        <v>-1.0661188011229519E-2</v>
      </c>
      <c r="J2423" s="22" t="str">
        <f t="shared" si="76"/>
        <v>lost money</v>
      </c>
    </row>
    <row r="2424" spans="1:10">
      <c r="A2424" s="1">
        <v>40935</v>
      </c>
      <c r="B2424">
        <v>104.39</v>
      </c>
      <c r="C2424">
        <v>104.67</v>
      </c>
      <c r="D2424">
        <v>103.12</v>
      </c>
      <c r="E2424">
        <v>103.96</v>
      </c>
      <c r="F2424">
        <v>10581500</v>
      </c>
      <c r="G2424">
        <v>97.37</v>
      </c>
      <c r="H2424" t="s">
        <v>4</v>
      </c>
      <c r="I2424" s="22">
        <f t="shared" si="75"/>
        <v>-2.495058435766892E-2</v>
      </c>
      <c r="J2424" s="22" t="str">
        <f t="shared" si="76"/>
        <v>lost money</v>
      </c>
    </row>
    <row r="2425" spans="1:10">
      <c r="A2425" s="1">
        <v>40938</v>
      </c>
      <c r="B2425">
        <v>103.4</v>
      </c>
      <c r="C2425">
        <v>103.5</v>
      </c>
      <c r="D2425">
        <v>102.08</v>
      </c>
      <c r="E2425">
        <v>103.41</v>
      </c>
      <c r="F2425">
        <v>7615700</v>
      </c>
      <c r="G2425">
        <v>96.85</v>
      </c>
      <c r="H2425" t="s">
        <v>4</v>
      </c>
      <c r="I2425" s="22">
        <f t="shared" si="75"/>
        <v>-5.3547651376600275E-3</v>
      </c>
      <c r="J2425" s="22" t="str">
        <f t="shared" si="76"/>
        <v/>
      </c>
    </row>
    <row r="2426" spans="1:10">
      <c r="A2426" s="1">
        <v>40939</v>
      </c>
      <c r="B2426">
        <v>104.61</v>
      </c>
      <c r="C2426">
        <v>104.78</v>
      </c>
      <c r="D2426">
        <v>102.4</v>
      </c>
      <c r="E2426">
        <v>103.12</v>
      </c>
      <c r="F2426">
        <v>8320100</v>
      </c>
      <c r="G2426">
        <v>96.58</v>
      </c>
      <c r="H2426" t="s">
        <v>4</v>
      </c>
      <c r="I2426" s="22">
        <f t="shared" si="75"/>
        <v>-2.7917094076089981E-3</v>
      </c>
      <c r="J2426" s="22" t="str">
        <f t="shared" si="76"/>
        <v>lost money</v>
      </c>
    </row>
    <row r="2427" spans="1:10">
      <c r="A2427" s="1">
        <v>40940</v>
      </c>
      <c r="B2427">
        <v>104.42</v>
      </c>
      <c r="C2427">
        <v>104.42</v>
      </c>
      <c r="D2427">
        <v>102.68</v>
      </c>
      <c r="E2427">
        <v>102.79</v>
      </c>
      <c r="F2427">
        <v>7824500</v>
      </c>
      <c r="G2427">
        <v>96.27</v>
      </c>
      <c r="H2427" t="s">
        <v>4</v>
      </c>
      <c r="I2427" s="22">
        <f t="shared" si="75"/>
        <v>-3.2149366555207044E-3</v>
      </c>
      <c r="J2427" s="22" t="str">
        <f t="shared" si="76"/>
        <v>lost money</v>
      </c>
    </row>
    <row r="2428" spans="1:10">
      <c r="A2428" s="1">
        <v>40941</v>
      </c>
      <c r="B2428">
        <v>103.03</v>
      </c>
      <c r="C2428">
        <v>103.96</v>
      </c>
      <c r="D2428">
        <v>102.88</v>
      </c>
      <c r="E2428">
        <v>103.69</v>
      </c>
      <c r="F2428">
        <v>5897200</v>
      </c>
      <c r="G2428">
        <v>97.11</v>
      </c>
      <c r="H2428" t="s">
        <v>4</v>
      </c>
      <c r="I2428" s="22">
        <f t="shared" si="75"/>
        <v>8.6876128163875816E-3</v>
      </c>
      <c r="J2428" s="22" t="str">
        <f t="shared" si="76"/>
        <v/>
      </c>
    </row>
    <row r="2429" spans="1:10">
      <c r="A2429" s="1">
        <v>40942</v>
      </c>
      <c r="B2429">
        <v>104.91</v>
      </c>
      <c r="C2429">
        <v>105.6</v>
      </c>
      <c r="D2429">
        <v>104.48</v>
      </c>
      <c r="E2429">
        <v>105.5</v>
      </c>
      <c r="F2429">
        <v>6818600</v>
      </c>
      <c r="G2429">
        <v>98.81</v>
      </c>
      <c r="H2429" t="s">
        <v>4</v>
      </c>
      <c r="I2429" s="22">
        <f t="shared" si="75"/>
        <v>1.7354457600608768E-2</v>
      </c>
      <c r="J2429" s="22" t="str">
        <f t="shared" si="76"/>
        <v/>
      </c>
    </row>
    <row r="2430" spans="1:10">
      <c r="A2430" s="1">
        <v>40945</v>
      </c>
      <c r="B2430">
        <v>104.62</v>
      </c>
      <c r="C2430">
        <v>106.76</v>
      </c>
      <c r="D2430">
        <v>104.37</v>
      </c>
      <c r="E2430">
        <v>106.67</v>
      </c>
      <c r="F2430">
        <v>6443600</v>
      </c>
      <c r="G2430">
        <v>99.9</v>
      </c>
      <c r="H2430" t="s">
        <v>4</v>
      </c>
      <c r="I2430" s="22">
        <f t="shared" si="75"/>
        <v>1.0970871447636445E-2</v>
      </c>
      <c r="J2430" s="22" t="str">
        <f t="shared" si="76"/>
        <v/>
      </c>
    </row>
    <row r="2431" spans="1:10">
      <c r="A2431" s="1">
        <v>40946</v>
      </c>
      <c r="B2431">
        <v>106.02</v>
      </c>
      <c r="C2431">
        <v>107.06</v>
      </c>
      <c r="D2431">
        <v>105.44</v>
      </c>
      <c r="E2431">
        <v>106.83</v>
      </c>
      <c r="F2431">
        <v>6034700</v>
      </c>
      <c r="G2431">
        <v>100.05</v>
      </c>
      <c r="H2431" t="s">
        <v>4</v>
      </c>
      <c r="I2431" s="22">
        <f t="shared" si="75"/>
        <v>1.5003753752344921E-3</v>
      </c>
      <c r="J2431" s="22" t="str">
        <f t="shared" si="76"/>
        <v/>
      </c>
    </row>
    <row r="2432" spans="1:10">
      <c r="A2432" s="1">
        <v>40947</v>
      </c>
      <c r="B2432">
        <v>107.27</v>
      </c>
      <c r="C2432">
        <v>107.5</v>
      </c>
      <c r="D2432">
        <v>106.09</v>
      </c>
      <c r="E2432">
        <v>106.76</v>
      </c>
      <c r="F2432">
        <v>5383700</v>
      </c>
      <c r="G2432">
        <v>99.99</v>
      </c>
      <c r="H2432" t="s">
        <v>4</v>
      </c>
      <c r="I2432" s="22">
        <f t="shared" si="75"/>
        <v>-5.9988004198442192E-4</v>
      </c>
      <c r="J2432" s="22" t="str">
        <f t="shared" si="76"/>
        <v>lost money</v>
      </c>
    </row>
    <row r="2433" spans="1:10">
      <c r="A2433" s="1">
        <v>40948</v>
      </c>
      <c r="B2433">
        <v>107.18</v>
      </c>
      <c r="C2433">
        <v>107.41</v>
      </c>
      <c r="D2433">
        <v>106.07</v>
      </c>
      <c r="E2433">
        <v>106.37</v>
      </c>
      <c r="F2433">
        <v>4751400</v>
      </c>
      <c r="G2433">
        <v>99.62</v>
      </c>
      <c r="H2433" t="s">
        <v>4</v>
      </c>
      <c r="I2433" s="22">
        <f t="shared" si="75"/>
        <v>-3.7072333426206123E-3</v>
      </c>
      <c r="J2433" s="22" t="str">
        <f t="shared" si="76"/>
        <v>lost money</v>
      </c>
    </row>
    <row r="2434" spans="1:10">
      <c r="A2434" s="1">
        <v>40949</v>
      </c>
      <c r="B2434">
        <v>105.19</v>
      </c>
      <c r="C2434">
        <v>105.52</v>
      </c>
      <c r="D2434">
        <v>104.58</v>
      </c>
      <c r="E2434">
        <v>105.28</v>
      </c>
      <c r="F2434">
        <v>6136800</v>
      </c>
      <c r="G2434">
        <v>98.6</v>
      </c>
      <c r="H2434" t="s">
        <v>4</v>
      </c>
      <c r="I2434" s="22">
        <f t="shared" si="75"/>
        <v>-1.0291686036547749E-2</v>
      </c>
      <c r="J2434" s="22" t="str">
        <f t="shared" si="76"/>
        <v/>
      </c>
    </row>
    <row r="2435" spans="1:10">
      <c r="A2435" s="1">
        <v>40952</v>
      </c>
      <c r="B2435">
        <v>106.16</v>
      </c>
      <c r="C2435">
        <v>106.53</v>
      </c>
      <c r="D2435">
        <v>105.45</v>
      </c>
      <c r="E2435">
        <v>106.38</v>
      </c>
      <c r="F2435">
        <v>4695500</v>
      </c>
      <c r="G2435">
        <v>99.63</v>
      </c>
      <c r="H2435" t="s">
        <v>4</v>
      </c>
      <c r="I2435" s="22">
        <f t="shared" ref="I2435:I2498" si="77">IF(A2435=$A$2,"",LN(G2435/G2434))</f>
        <v>1.0392062448175183E-2</v>
      </c>
      <c r="J2435" s="22" t="str">
        <f t="shared" ref="J2435:J2498" si="78">IF(B2435&gt;E2435,"lost money","")</f>
        <v/>
      </c>
    </row>
    <row r="2436" spans="1:10">
      <c r="A2436" s="1">
        <v>40953</v>
      </c>
      <c r="B2436">
        <v>106.25</v>
      </c>
      <c r="C2436">
        <v>106.53</v>
      </c>
      <c r="D2436">
        <v>105.57</v>
      </c>
      <c r="E2436">
        <v>106.49</v>
      </c>
      <c r="F2436">
        <v>5974800</v>
      </c>
      <c r="G2436">
        <v>99.74</v>
      </c>
      <c r="H2436" t="s">
        <v>4</v>
      </c>
      <c r="I2436" s="22">
        <f t="shared" si="77"/>
        <v>1.1034760612116947E-3</v>
      </c>
      <c r="J2436" s="22" t="str">
        <f t="shared" si="78"/>
        <v/>
      </c>
    </row>
    <row r="2437" spans="1:10">
      <c r="A2437" s="1">
        <v>40954</v>
      </c>
      <c r="B2437">
        <v>106.24</v>
      </c>
      <c r="C2437">
        <v>106.24</v>
      </c>
      <c r="D2437">
        <v>104.59</v>
      </c>
      <c r="E2437">
        <v>105</v>
      </c>
      <c r="F2437">
        <v>6553800</v>
      </c>
      <c r="G2437">
        <v>99.09</v>
      </c>
      <c r="H2437" t="s">
        <v>4</v>
      </c>
      <c r="I2437" s="22">
        <f t="shared" si="77"/>
        <v>-6.5382720471684292E-3</v>
      </c>
      <c r="J2437" s="22" t="str">
        <f t="shared" si="78"/>
        <v>lost money</v>
      </c>
    </row>
    <row r="2438" spans="1:10">
      <c r="A2438" s="1">
        <v>40955</v>
      </c>
      <c r="B2438">
        <v>105.52</v>
      </c>
      <c r="C2438">
        <v>106.57</v>
      </c>
      <c r="D2438">
        <v>104.8</v>
      </c>
      <c r="E2438">
        <v>106.52</v>
      </c>
      <c r="F2438">
        <v>5733900</v>
      </c>
      <c r="G2438">
        <v>100.53</v>
      </c>
      <c r="H2438" t="s">
        <v>4</v>
      </c>
      <c r="I2438" s="22">
        <f t="shared" si="77"/>
        <v>1.4427662346520738E-2</v>
      </c>
      <c r="J2438" s="22" t="str">
        <f t="shared" si="78"/>
        <v/>
      </c>
    </row>
    <row r="2439" spans="1:10">
      <c r="A2439" s="1">
        <v>40956</v>
      </c>
      <c r="B2439">
        <v>107.02</v>
      </c>
      <c r="C2439">
        <v>107.24</v>
      </c>
      <c r="D2439">
        <v>106.04</v>
      </c>
      <c r="E2439">
        <v>106.66</v>
      </c>
      <c r="F2439">
        <v>5666500</v>
      </c>
      <c r="G2439">
        <v>100.66</v>
      </c>
      <c r="H2439" t="s">
        <v>4</v>
      </c>
      <c r="I2439" s="22">
        <f t="shared" si="77"/>
        <v>1.2923109308852557E-3</v>
      </c>
      <c r="J2439" s="22" t="str">
        <f t="shared" si="78"/>
        <v>lost money</v>
      </c>
    </row>
    <row r="2440" spans="1:10">
      <c r="A2440" s="1">
        <v>40960</v>
      </c>
      <c r="B2440">
        <v>107.51</v>
      </c>
      <c r="C2440">
        <v>108.5</v>
      </c>
      <c r="D2440">
        <v>107.44</v>
      </c>
      <c r="E2440">
        <v>108.41</v>
      </c>
      <c r="F2440">
        <v>7149000</v>
      </c>
      <c r="G2440">
        <v>102.31</v>
      </c>
      <c r="H2440" t="s">
        <v>4</v>
      </c>
      <c r="I2440" s="22">
        <f t="shared" si="77"/>
        <v>1.6258918542634698E-2</v>
      </c>
      <c r="J2440" s="22" t="str">
        <f t="shared" si="78"/>
        <v/>
      </c>
    </row>
    <row r="2441" spans="1:10">
      <c r="A2441" s="1">
        <v>40961</v>
      </c>
      <c r="B2441">
        <v>108.16</v>
      </c>
      <c r="C2441">
        <v>108.56</v>
      </c>
      <c r="D2441">
        <v>107.2</v>
      </c>
      <c r="E2441">
        <v>107.5</v>
      </c>
      <c r="F2441">
        <v>7150000</v>
      </c>
      <c r="G2441">
        <v>101.45</v>
      </c>
      <c r="H2441" t="s">
        <v>4</v>
      </c>
      <c r="I2441" s="22">
        <f t="shared" si="77"/>
        <v>-8.441353619024811E-3</v>
      </c>
      <c r="J2441" s="22" t="str">
        <f t="shared" si="78"/>
        <v>lost money</v>
      </c>
    </row>
    <row r="2442" spans="1:10">
      <c r="A2442" s="1">
        <v>40962</v>
      </c>
      <c r="B2442">
        <v>107.54</v>
      </c>
      <c r="C2442">
        <v>108.5</v>
      </c>
      <c r="D2442">
        <v>107.32</v>
      </c>
      <c r="E2442">
        <v>108.35</v>
      </c>
      <c r="F2442">
        <v>5504800</v>
      </c>
      <c r="G2442">
        <v>102.26</v>
      </c>
      <c r="H2442" t="s">
        <v>4</v>
      </c>
      <c r="I2442" s="22">
        <f t="shared" si="77"/>
        <v>7.952523380029379E-3</v>
      </c>
      <c r="J2442" s="22" t="str">
        <f t="shared" si="78"/>
        <v/>
      </c>
    </row>
    <row r="2443" spans="1:10">
      <c r="A2443" s="1">
        <v>40963</v>
      </c>
      <c r="B2443">
        <v>108.8</v>
      </c>
      <c r="C2443">
        <v>109.4</v>
      </c>
      <c r="D2443">
        <v>108.5</v>
      </c>
      <c r="E2443">
        <v>109.08</v>
      </c>
      <c r="F2443">
        <v>5833300</v>
      </c>
      <c r="G2443">
        <v>102.94</v>
      </c>
      <c r="H2443" t="s">
        <v>4</v>
      </c>
      <c r="I2443" s="22">
        <f t="shared" si="77"/>
        <v>6.6277045727551635E-3</v>
      </c>
      <c r="J2443" s="22" t="str">
        <f t="shared" si="78"/>
        <v/>
      </c>
    </row>
    <row r="2444" spans="1:10">
      <c r="A2444" s="1">
        <v>40966</v>
      </c>
      <c r="B2444">
        <v>108.29</v>
      </c>
      <c r="C2444">
        <v>110.22</v>
      </c>
      <c r="D2444">
        <v>108.28</v>
      </c>
      <c r="E2444">
        <v>109.63</v>
      </c>
      <c r="F2444">
        <v>7723400</v>
      </c>
      <c r="G2444">
        <v>103.46</v>
      </c>
      <c r="H2444" t="s">
        <v>4</v>
      </c>
      <c r="I2444" s="22">
        <f t="shared" si="77"/>
        <v>5.0387703507604222E-3</v>
      </c>
      <c r="J2444" s="22" t="str">
        <f t="shared" si="78"/>
        <v/>
      </c>
    </row>
    <row r="2445" spans="1:10">
      <c r="A2445" s="1">
        <v>40967</v>
      </c>
      <c r="B2445">
        <v>109.68</v>
      </c>
      <c r="C2445">
        <v>110.4</v>
      </c>
      <c r="D2445">
        <v>109.18</v>
      </c>
      <c r="E2445">
        <v>109.61</v>
      </c>
      <c r="F2445">
        <v>9132500</v>
      </c>
      <c r="G2445">
        <v>103.44</v>
      </c>
      <c r="H2445" t="s">
        <v>4</v>
      </c>
      <c r="I2445" s="22">
        <f t="shared" si="77"/>
        <v>-1.93330111766915E-4</v>
      </c>
      <c r="J2445" s="22" t="str">
        <f t="shared" si="78"/>
        <v>lost money</v>
      </c>
    </row>
    <row r="2446" spans="1:10">
      <c r="A2446" s="1">
        <v>40968</v>
      </c>
      <c r="B2446">
        <v>110.4</v>
      </c>
      <c r="C2446">
        <v>110.92</v>
      </c>
      <c r="D2446">
        <v>108.92</v>
      </c>
      <c r="E2446">
        <v>109.12</v>
      </c>
      <c r="F2446">
        <v>10572800</v>
      </c>
      <c r="G2446">
        <v>102.98</v>
      </c>
      <c r="H2446" t="s">
        <v>4</v>
      </c>
      <c r="I2446" s="22">
        <f t="shared" si="77"/>
        <v>-4.4569398456066386E-3</v>
      </c>
      <c r="J2446" s="22" t="str">
        <f t="shared" si="78"/>
        <v>lost money</v>
      </c>
    </row>
    <row r="2447" spans="1:10">
      <c r="A2447" s="1">
        <v>40969</v>
      </c>
      <c r="B2447">
        <v>109.17</v>
      </c>
      <c r="C2447">
        <v>110.14</v>
      </c>
      <c r="D2447">
        <v>109.1</v>
      </c>
      <c r="E2447">
        <v>109.76</v>
      </c>
      <c r="F2447">
        <v>5980100</v>
      </c>
      <c r="G2447">
        <v>103.59</v>
      </c>
      <c r="H2447" t="s">
        <v>4</v>
      </c>
      <c r="I2447" s="22">
        <f t="shared" si="77"/>
        <v>5.9060054520152947E-3</v>
      </c>
      <c r="J2447" s="22" t="str">
        <f t="shared" si="78"/>
        <v/>
      </c>
    </row>
    <row r="2448" spans="1:10">
      <c r="A2448" s="1">
        <v>40970</v>
      </c>
      <c r="B2448">
        <v>109.5</v>
      </c>
      <c r="C2448">
        <v>109.87</v>
      </c>
      <c r="D2448">
        <v>109</v>
      </c>
      <c r="E2448">
        <v>109.61</v>
      </c>
      <c r="F2448">
        <v>5377100</v>
      </c>
      <c r="G2448">
        <v>103.44</v>
      </c>
      <c r="H2448" t="s">
        <v>4</v>
      </c>
      <c r="I2448" s="22">
        <f t="shared" si="77"/>
        <v>-1.4490656064086581E-3</v>
      </c>
      <c r="J2448" s="22" t="str">
        <f t="shared" si="78"/>
        <v/>
      </c>
    </row>
    <row r="2449" spans="1:10">
      <c r="A2449" s="1">
        <v>40973</v>
      </c>
      <c r="B2449">
        <v>109.14</v>
      </c>
      <c r="C2449">
        <v>109.45</v>
      </c>
      <c r="D2449">
        <v>108.14</v>
      </c>
      <c r="E2449">
        <v>109.32</v>
      </c>
      <c r="F2449">
        <v>5941500</v>
      </c>
      <c r="G2449">
        <v>103.17</v>
      </c>
      <c r="H2449" t="s">
        <v>4</v>
      </c>
      <c r="I2449" s="22">
        <f t="shared" si="77"/>
        <v>-2.6136213513174343E-3</v>
      </c>
      <c r="J2449" s="22" t="str">
        <f t="shared" si="78"/>
        <v/>
      </c>
    </row>
    <row r="2450" spans="1:10">
      <c r="A2450" s="1">
        <v>40974</v>
      </c>
      <c r="B2450">
        <v>108.14</v>
      </c>
      <c r="C2450">
        <v>109.03</v>
      </c>
      <c r="D2450">
        <v>108</v>
      </c>
      <c r="E2450">
        <v>108.85</v>
      </c>
      <c r="F2450">
        <v>7480800</v>
      </c>
      <c r="G2450">
        <v>102.73</v>
      </c>
      <c r="H2450" t="s">
        <v>4</v>
      </c>
      <c r="I2450" s="22">
        <f t="shared" si="77"/>
        <v>-4.2739258841121798E-3</v>
      </c>
      <c r="J2450" s="22" t="str">
        <f t="shared" si="78"/>
        <v/>
      </c>
    </row>
    <row r="2451" spans="1:10">
      <c r="A2451" s="1">
        <v>40975</v>
      </c>
      <c r="B2451">
        <v>109</v>
      </c>
      <c r="C2451">
        <v>109.95</v>
      </c>
      <c r="D2451">
        <v>108.19</v>
      </c>
      <c r="E2451">
        <v>109.46</v>
      </c>
      <c r="F2451">
        <v>6867900</v>
      </c>
      <c r="G2451">
        <v>103.3</v>
      </c>
      <c r="H2451" t="s">
        <v>4</v>
      </c>
      <c r="I2451" s="22">
        <f t="shared" si="77"/>
        <v>5.5331888974205264E-3</v>
      </c>
      <c r="J2451" s="22" t="str">
        <f t="shared" si="78"/>
        <v/>
      </c>
    </row>
    <row r="2452" spans="1:10">
      <c r="A2452" s="1">
        <v>40976</v>
      </c>
      <c r="B2452">
        <v>109.8</v>
      </c>
      <c r="C2452">
        <v>110.57</v>
      </c>
      <c r="D2452">
        <v>109.56</v>
      </c>
      <c r="E2452">
        <v>110.03</v>
      </c>
      <c r="F2452">
        <v>5505400</v>
      </c>
      <c r="G2452">
        <v>103.84</v>
      </c>
      <c r="H2452" t="s">
        <v>4</v>
      </c>
      <c r="I2452" s="22">
        <f t="shared" si="77"/>
        <v>5.2138768301870269E-3</v>
      </c>
      <c r="J2452" s="22" t="str">
        <f t="shared" si="78"/>
        <v/>
      </c>
    </row>
    <row r="2453" spans="1:10">
      <c r="A2453" s="1">
        <v>40977</v>
      </c>
      <c r="B2453">
        <v>109.89</v>
      </c>
      <c r="C2453">
        <v>110.41</v>
      </c>
      <c r="D2453">
        <v>109.37</v>
      </c>
      <c r="E2453">
        <v>109.57</v>
      </c>
      <c r="F2453">
        <v>5704200</v>
      </c>
      <c r="G2453">
        <v>103.41</v>
      </c>
      <c r="H2453" t="s">
        <v>4</v>
      </c>
      <c r="I2453" s="22">
        <f t="shared" si="77"/>
        <v>-4.1495837588961821E-3</v>
      </c>
      <c r="J2453" s="22" t="str">
        <f t="shared" si="78"/>
        <v>lost money</v>
      </c>
    </row>
    <row r="2454" spans="1:10">
      <c r="A2454" s="1">
        <v>40980</v>
      </c>
      <c r="B2454">
        <v>109.65</v>
      </c>
      <c r="C2454">
        <v>110</v>
      </c>
      <c r="D2454">
        <v>109.16</v>
      </c>
      <c r="E2454">
        <v>110</v>
      </c>
      <c r="F2454">
        <v>5324700</v>
      </c>
      <c r="G2454">
        <v>103.81</v>
      </c>
      <c r="H2454" t="s">
        <v>4</v>
      </c>
      <c r="I2454" s="22">
        <f t="shared" si="77"/>
        <v>3.8606360082704128E-3</v>
      </c>
      <c r="J2454" s="22" t="str">
        <f t="shared" si="78"/>
        <v/>
      </c>
    </row>
    <row r="2455" spans="1:10">
      <c r="A2455" s="1">
        <v>40981</v>
      </c>
      <c r="B2455">
        <v>110.22</v>
      </c>
      <c r="C2455">
        <v>111.31</v>
      </c>
      <c r="D2455">
        <v>109.43</v>
      </c>
      <c r="E2455">
        <v>111.19</v>
      </c>
      <c r="F2455">
        <v>7331000</v>
      </c>
      <c r="G2455">
        <v>104.94</v>
      </c>
      <c r="H2455" t="s">
        <v>4</v>
      </c>
      <c r="I2455" s="22">
        <f t="shared" si="77"/>
        <v>1.0826453053411607E-2</v>
      </c>
      <c r="J2455" s="22" t="str">
        <f t="shared" si="78"/>
        <v/>
      </c>
    </row>
    <row r="2456" spans="1:10">
      <c r="A2456" s="1">
        <v>40982</v>
      </c>
      <c r="B2456">
        <v>111.05</v>
      </c>
      <c r="C2456">
        <v>112.28</v>
      </c>
      <c r="D2456">
        <v>110.54</v>
      </c>
      <c r="E2456">
        <v>110.69</v>
      </c>
      <c r="F2456">
        <v>8819400</v>
      </c>
      <c r="G2456">
        <v>104.46</v>
      </c>
      <c r="H2456" t="s">
        <v>4</v>
      </c>
      <c r="I2456" s="22">
        <f t="shared" si="77"/>
        <v>-4.5845352504131076E-3</v>
      </c>
      <c r="J2456" s="22" t="str">
        <f t="shared" si="78"/>
        <v>lost money</v>
      </c>
    </row>
    <row r="2457" spans="1:10">
      <c r="A2457" s="1">
        <v>40983</v>
      </c>
      <c r="B2457">
        <v>110.51</v>
      </c>
      <c r="C2457">
        <v>110.93</v>
      </c>
      <c r="D2457">
        <v>109.46</v>
      </c>
      <c r="E2457">
        <v>110.03</v>
      </c>
      <c r="F2457">
        <v>8899400</v>
      </c>
      <c r="G2457">
        <v>103.84</v>
      </c>
      <c r="H2457" t="s">
        <v>4</v>
      </c>
      <c r="I2457" s="22">
        <f t="shared" si="77"/>
        <v>-5.9529700523727651E-3</v>
      </c>
      <c r="J2457" s="22" t="str">
        <f t="shared" si="78"/>
        <v>lost money</v>
      </c>
    </row>
    <row r="2458" spans="1:10">
      <c r="A2458" s="1">
        <v>40984</v>
      </c>
      <c r="B2458">
        <v>110.43</v>
      </c>
      <c r="C2458">
        <v>110.83</v>
      </c>
      <c r="D2458">
        <v>110.1</v>
      </c>
      <c r="E2458">
        <v>110.28</v>
      </c>
      <c r="F2458">
        <v>11092500</v>
      </c>
      <c r="G2458">
        <v>104.08</v>
      </c>
      <c r="H2458" t="s">
        <v>4</v>
      </c>
      <c r="I2458" s="22">
        <f t="shared" si="77"/>
        <v>2.308581248470025E-3</v>
      </c>
      <c r="J2458" s="22" t="str">
        <f t="shared" si="78"/>
        <v>lost money</v>
      </c>
    </row>
    <row r="2459" spans="1:10">
      <c r="A2459" s="1">
        <v>40987</v>
      </c>
      <c r="B2459">
        <v>110.52</v>
      </c>
      <c r="C2459">
        <v>111.06</v>
      </c>
      <c r="D2459">
        <v>110.3</v>
      </c>
      <c r="E2459">
        <v>110.7</v>
      </c>
      <c r="F2459">
        <v>5695000</v>
      </c>
      <c r="G2459">
        <v>104.47</v>
      </c>
      <c r="H2459" t="s">
        <v>4</v>
      </c>
      <c r="I2459" s="22">
        <f t="shared" si="77"/>
        <v>3.7401146451666845E-3</v>
      </c>
      <c r="J2459" s="22" t="str">
        <f t="shared" si="78"/>
        <v/>
      </c>
    </row>
    <row r="2460" spans="1:10">
      <c r="A2460" s="1">
        <v>40988</v>
      </c>
      <c r="B2460">
        <v>109.93</v>
      </c>
      <c r="C2460">
        <v>109.93</v>
      </c>
      <c r="D2460">
        <v>108.93</v>
      </c>
      <c r="E2460">
        <v>109.08</v>
      </c>
      <c r="F2460">
        <v>6158300</v>
      </c>
      <c r="G2460">
        <v>102.94</v>
      </c>
      <c r="H2460" t="s">
        <v>4</v>
      </c>
      <c r="I2460" s="22">
        <f t="shared" si="77"/>
        <v>-1.4753654624808125E-2</v>
      </c>
      <c r="J2460" s="22" t="str">
        <f t="shared" si="78"/>
        <v>lost money</v>
      </c>
    </row>
    <row r="2461" spans="1:10">
      <c r="A2461" s="1">
        <v>40989</v>
      </c>
      <c r="B2461">
        <v>108.95</v>
      </c>
      <c r="C2461">
        <v>109.02</v>
      </c>
      <c r="D2461">
        <v>107.35</v>
      </c>
      <c r="E2461">
        <v>107.91</v>
      </c>
      <c r="F2461">
        <v>7549900</v>
      </c>
      <c r="G2461">
        <v>101.84</v>
      </c>
      <c r="H2461" t="s">
        <v>4</v>
      </c>
      <c r="I2461" s="22">
        <f t="shared" si="77"/>
        <v>-1.074333997545731E-2</v>
      </c>
      <c r="J2461" s="22" t="str">
        <f t="shared" si="78"/>
        <v>lost money</v>
      </c>
    </row>
    <row r="2462" spans="1:10">
      <c r="A2462" s="1">
        <v>40990</v>
      </c>
      <c r="B2462">
        <v>106.85</v>
      </c>
      <c r="C2462">
        <v>106.99</v>
      </c>
      <c r="D2462">
        <v>105.03</v>
      </c>
      <c r="E2462">
        <v>105.35</v>
      </c>
      <c r="F2462">
        <v>8282100</v>
      </c>
      <c r="G2462">
        <v>99.42</v>
      </c>
      <c r="H2462" t="s">
        <v>4</v>
      </c>
      <c r="I2462" s="22">
        <f t="shared" si="77"/>
        <v>-2.4049653582624592E-2</v>
      </c>
      <c r="J2462" s="22" t="str">
        <f t="shared" si="78"/>
        <v>lost money</v>
      </c>
    </row>
    <row r="2463" spans="1:10">
      <c r="A2463" s="1">
        <v>40991</v>
      </c>
      <c r="B2463">
        <v>105.68</v>
      </c>
      <c r="C2463">
        <v>106.9</v>
      </c>
      <c r="D2463">
        <v>104.85</v>
      </c>
      <c r="E2463">
        <v>106.36</v>
      </c>
      <c r="F2463">
        <v>6600300</v>
      </c>
      <c r="G2463">
        <v>100.38</v>
      </c>
      <c r="H2463" t="s">
        <v>4</v>
      </c>
      <c r="I2463" s="22">
        <f t="shared" si="77"/>
        <v>9.6096835602609756E-3</v>
      </c>
      <c r="J2463" s="22" t="str">
        <f t="shared" si="78"/>
        <v/>
      </c>
    </row>
    <row r="2464" spans="1:10">
      <c r="A2464" s="1">
        <v>40994</v>
      </c>
      <c r="B2464">
        <v>107.23</v>
      </c>
      <c r="C2464">
        <v>107.97</v>
      </c>
      <c r="D2464">
        <v>106.83</v>
      </c>
      <c r="E2464">
        <v>107.84</v>
      </c>
      <c r="F2464">
        <v>5311100</v>
      </c>
      <c r="G2464">
        <v>101.77</v>
      </c>
      <c r="H2464" t="s">
        <v>4</v>
      </c>
      <c r="I2464" s="22">
        <f t="shared" si="77"/>
        <v>1.3752380977052486E-2</v>
      </c>
      <c r="J2464" s="22" t="str">
        <f t="shared" si="78"/>
        <v/>
      </c>
    </row>
    <row r="2465" spans="1:10">
      <c r="A2465" s="1">
        <v>40995</v>
      </c>
      <c r="B2465">
        <v>107.88</v>
      </c>
      <c r="C2465">
        <v>108</v>
      </c>
      <c r="D2465">
        <v>107.01</v>
      </c>
      <c r="E2465">
        <v>107.04</v>
      </c>
      <c r="F2465">
        <v>4327700</v>
      </c>
      <c r="G2465">
        <v>101.02</v>
      </c>
      <c r="H2465" t="s">
        <v>4</v>
      </c>
      <c r="I2465" s="22">
        <f t="shared" si="77"/>
        <v>-7.3968481639336732E-3</v>
      </c>
      <c r="J2465" s="22" t="str">
        <f t="shared" si="78"/>
        <v>lost money</v>
      </c>
    </row>
    <row r="2466" spans="1:10">
      <c r="A2466" s="1">
        <v>40996</v>
      </c>
      <c r="B2466">
        <v>106.57</v>
      </c>
      <c r="C2466">
        <v>106.96</v>
      </c>
      <c r="D2466">
        <v>105.2</v>
      </c>
      <c r="E2466">
        <v>105.89</v>
      </c>
      <c r="F2466">
        <v>6816400</v>
      </c>
      <c r="G2466">
        <v>99.93</v>
      </c>
      <c r="H2466" t="s">
        <v>4</v>
      </c>
      <c r="I2466" s="22">
        <f t="shared" si="77"/>
        <v>-1.0848576166208419E-2</v>
      </c>
      <c r="J2466" s="22" t="str">
        <f t="shared" si="78"/>
        <v>lost money</v>
      </c>
    </row>
    <row r="2467" spans="1:10">
      <c r="A2467" s="1">
        <v>40997</v>
      </c>
      <c r="B2467">
        <v>105.08</v>
      </c>
      <c r="C2467">
        <v>107.02</v>
      </c>
      <c r="D2467">
        <v>104.92</v>
      </c>
      <c r="E2467">
        <v>106.85</v>
      </c>
      <c r="F2467">
        <v>5793900</v>
      </c>
      <c r="G2467">
        <v>100.84</v>
      </c>
      <c r="H2467" t="s">
        <v>4</v>
      </c>
      <c r="I2467" s="22">
        <f t="shared" si="77"/>
        <v>9.0651614460209827E-3</v>
      </c>
      <c r="J2467" s="22" t="str">
        <f t="shared" si="78"/>
        <v/>
      </c>
    </row>
    <row r="2468" spans="1:10">
      <c r="A2468" s="1">
        <v>40998</v>
      </c>
      <c r="B2468">
        <v>107.04</v>
      </c>
      <c r="C2468">
        <v>107.25</v>
      </c>
      <c r="D2468">
        <v>106.41</v>
      </c>
      <c r="E2468">
        <v>107.21</v>
      </c>
      <c r="F2468">
        <v>6121000</v>
      </c>
      <c r="G2468">
        <v>101.18</v>
      </c>
      <c r="H2468" t="s">
        <v>4</v>
      </c>
      <c r="I2468" s="22">
        <f t="shared" si="77"/>
        <v>3.3660065440709475E-3</v>
      </c>
      <c r="J2468" s="22" t="str">
        <f t="shared" si="78"/>
        <v/>
      </c>
    </row>
    <row r="2469" spans="1:10">
      <c r="A2469" s="1">
        <v>41001</v>
      </c>
      <c r="B2469">
        <v>106.85</v>
      </c>
      <c r="C2469">
        <v>108.79</v>
      </c>
      <c r="D2469">
        <v>106.6</v>
      </c>
      <c r="E2469">
        <v>108.3</v>
      </c>
      <c r="F2469">
        <v>5188400</v>
      </c>
      <c r="G2469">
        <v>102.21</v>
      </c>
      <c r="H2469" t="s">
        <v>4</v>
      </c>
      <c r="I2469" s="22">
        <f t="shared" si="77"/>
        <v>1.0128411477194722E-2</v>
      </c>
      <c r="J2469" s="22" t="str">
        <f t="shared" si="78"/>
        <v/>
      </c>
    </row>
    <row r="2470" spans="1:10">
      <c r="A2470" s="1">
        <v>41002</v>
      </c>
      <c r="B2470">
        <v>107.93</v>
      </c>
      <c r="C2470">
        <v>108.23</v>
      </c>
      <c r="D2470">
        <v>106.23</v>
      </c>
      <c r="E2470">
        <v>107.14</v>
      </c>
      <c r="F2470">
        <v>4690300</v>
      </c>
      <c r="G2470">
        <v>101.11</v>
      </c>
      <c r="H2470" t="s">
        <v>4</v>
      </c>
      <c r="I2470" s="22">
        <f t="shared" si="77"/>
        <v>-1.0820487237677109E-2</v>
      </c>
      <c r="J2470" s="22" t="str">
        <f t="shared" si="78"/>
        <v>lost money</v>
      </c>
    </row>
    <row r="2471" spans="1:10">
      <c r="A2471" s="1">
        <v>41003</v>
      </c>
      <c r="B2471">
        <v>106.25</v>
      </c>
      <c r="C2471">
        <v>106.26</v>
      </c>
      <c r="D2471">
        <v>105.03</v>
      </c>
      <c r="E2471">
        <v>105.6</v>
      </c>
      <c r="F2471">
        <v>5430600</v>
      </c>
      <c r="G2471">
        <v>99.66</v>
      </c>
      <c r="H2471" t="s">
        <v>4</v>
      </c>
      <c r="I2471" s="22">
        <f t="shared" si="77"/>
        <v>-1.444464025004925E-2</v>
      </c>
      <c r="J2471" s="22" t="str">
        <f t="shared" si="78"/>
        <v>lost money</v>
      </c>
    </row>
    <row r="2472" spans="1:10">
      <c r="A2472" s="1">
        <v>41004</v>
      </c>
      <c r="B2472">
        <v>105.17</v>
      </c>
      <c r="C2472">
        <v>105.9</v>
      </c>
      <c r="D2472">
        <v>104.33</v>
      </c>
      <c r="E2472">
        <v>104.75</v>
      </c>
      <c r="F2472">
        <v>5982700</v>
      </c>
      <c r="G2472">
        <v>98.86</v>
      </c>
      <c r="H2472" t="s">
        <v>4</v>
      </c>
      <c r="I2472" s="22">
        <f t="shared" si="77"/>
        <v>-8.0596849744452893E-3</v>
      </c>
      <c r="J2472" s="22" t="str">
        <f t="shared" si="78"/>
        <v>lost money</v>
      </c>
    </row>
    <row r="2473" spans="1:10">
      <c r="A2473" s="1">
        <v>41008</v>
      </c>
      <c r="B2473">
        <v>103.3</v>
      </c>
      <c r="C2473">
        <v>104.08</v>
      </c>
      <c r="D2473">
        <v>102.85</v>
      </c>
      <c r="E2473">
        <v>103.49</v>
      </c>
      <c r="F2473">
        <v>4983400</v>
      </c>
      <c r="G2473">
        <v>97.67</v>
      </c>
      <c r="H2473" t="s">
        <v>4</v>
      </c>
      <c r="I2473" s="22">
        <f t="shared" si="77"/>
        <v>-1.2110258419427561E-2</v>
      </c>
      <c r="J2473" s="22" t="str">
        <f t="shared" si="78"/>
        <v/>
      </c>
    </row>
    <row r="2474" spans="1:10">
      <c r="A2474" s="1">
        <v>41009</v>
      </c>
      <c r="B2474">
        <v>103.25</v>
      </c>
      <c r="C2474">
        <v>103.38</v>
      </c>
      <c r="D2474">
        <v>101.4</v>
      </c>
      <c r="E2474">
        <v>101.45</v>
      </c>
      <c r="F2474">
        <v>8907500</v>
      </c>
      <c r="G2474">
        <v>95.74</v>
      </c>
      <c r="H2474" t="s">
        <v>4</v>
      </c>
      <c r="I2474" s="22">
        <f t="shared" si="77"/>
        <v>-1.9958265495022796E-2</v>
      </c>
      <c r="J2474" s="22" t="str">
        <f t="shared" si="78"/>
        <v>lost money</v>
      </c>
    </row>
    <row r="2475" spans="1:10">
      <c r="A2475" s="1">
        <v>41010</v>
      </c>
      <c r="B2475">
        <v>102.31</v>
      </c>
      <c r="C2475">
        <v>102.45</v>
      </c>
      <c r="D2475">
        <v>100.78</v>
      </c>
      <c r="E2475">
        <v>100.95</v>
      </c>
      <c r="F2475">
        <v>8570100</v>
      </c>
      <c r="G2475">
        <v>95.27</v>
      </c>
      <c r="H2475" t="s">
        <v>4</v>
      </c>
      <c r="I2475" s="22">
        <f t="shared" si="77"/>
        <v>-4.9212182456749862E-3</v>
      </c>
      <c r="J2475" s="22" t="str">
        <f t="shared" si="78"/>
        <v>lost money</v>
      </c>
    </row>
    <row r="2476" spans="1:10">
      <c r="A2476" s="1">
        <v>41011</v>
      </c>
      <c r="B2476">
        <v>100.89</v>
      </c>
      <c r="C2476">
        <v>102.86</v>
      </c>
      <c r="D2476">
        <v>100.51</v>
      </c>
      <c r="E2476">
        <v>102.59</v>
      </c>
      <c r="F2476">
        <v>6451900</v>
      </c>
      <c r="G2476">
        <v>96.82</v>
      </c>
      <c r="H2476" t="s">
        <v>4</v>
      </c>
      <c r="I2476" s="22">
        <f t="shared" si="77"/>
        <v>1.6138618792860337E-2</v>
      </c>
      <c r="J2476" s="22" t="str">
        <f t="shared" si="78"/>
        <v/>
      </c>
    </row>
    <row r="2477" spans="1:10">
      <c r="A2477" s="1">
        <v>41012</v>
      </c>
      <c r="B2477">
        <v>102.29</v>
      </c>
      <c r="C2477">
        <v>102.36</v>
      </c>
      <c r="D2477">
        <v>100.72</v>
      </c>
      <c r="E2477">
        <v>100.78</v>
      </c>
      <c r="F2477">
        <v>6847100</v>
      </c>
      <c r="G2477">
        <v>95.11</v>
      </c>
      <c r="H2477" t="s">
        <v>4</v>
      </c>
      <c r="I2477" s="22">
        <f t="shared" si="77"/>
        <v>-1.7819468017254151E-2</v>
      </c>
      <c r="J2477" s="22" t="str">
        <f t="shared" si="78"/>
        <v>lost money</v>
      </c>
    </row>
    <row r="2478" spans="1:10">
      <c r="A2478" s="1">
        <v>41015</v>
      </c>
      <c r="B2478">
        <v>101.62</v>
      </c>
      <c r="C2478">
        <v>102.24</v>
      </c>
      <c r="D2478">
        <v>101.17</v>
      </c>
      <c r="E2478">
        <v>101.51</v>
      </c>
      <c r="F2478">
        <v>6065100</v>
      </c>
      <c r="G2478">
        <v>95.8</v>
      </c>
      <c r="H2478" t="s">
        <v>4</v>
      </c>
      <c r="I2478" s="22">
        <f t="shared" si="77"/>
        <v>7.2285684825205967E-3</v>
      </c>
      <c r="J2478" s="22" t="str">
        <f t="shared" si="78"/>
        <v>lost money</v>
      </c>
    </row>
    <row r="2479" spans="1:10">
      <c r="A2479" s="1">
        <v>41016</v>
      </c>
      <c r="B2479">
        <v>102.46</v>
      </c>
      <c r="C2479">
        <v>104.09</v>
      </c>
      <c r="D2479">
        <v>102.34</v>
      </c>
      <c r="E2479">
        <v>103.62</v>
      </c>
      <c r="F2479">
        <v>5500900</v>
      </c>
      <c r="G2479">
        <v>97.79</v>
      </c>
      <c r="H2479" t="s">
        <v>4</v>
      </c>
      <c r="I2479" s="22">
        <f t="shared" si="77"/>
        <v>2.0559637347368948E-2</v>
      </c>
      <c r="J2479" s="22" t="str">
        <f t="shared" si="78"/>
        <v/>
      </c>
    </row>
    <row r="2480" spans="1:10">
      <c r="A2480" s="1">
        <v>41017</v>
      </c>
      <c r="B2480">
        <v>103.42</v>
      </c>
      <c r="C2480">
        <v>103.97</v>
      </c>
      <c r="D2480">
        <v>102.85</v>
      </c>
      <c r="E2480">
        <v>103.39</v>
      </c>
      <c r="F2480">
        <v>4836200</v>
      </c>
      <c r="G2480">
        <v>97.57</v>
      </c>
      <c r="H2480" t="s">
        <v>4</v>
      </c>
      <c r="I2480" s="22">
        <f t="shared" si="77"/>
        <v>-2.2522532043252426E-3</v>
      </c>
      <c r="J2480" s="22" t="str">
        <f t="shared" si="78"/>
        <v>lost money</v>
      </c>
    </row>
    <row r="2481" spans="1:10">
      <c r="A2481" s="1">
        <v>41018</v>
      </c>
      <c r="B2481">
        <v>103.27</v>
      </c>
      <c r="C2481">
        <v>103.64</v>
      </c>
      <c r="D2481">
        <v>102.18</v>
      </c>
      <c r="E2481">
        <v>102.51</v>
      </c>
      <c r="F2481">
        <v>6768400</v>
      </c>
      <c r="G2481">
        <v>96.74</v>
      </c>
      <c r="H2481" t="s">
        <v>4</v>
      </c>
      <c r="I2481" s="22">
        <f t="shared" si="77"/>
        <v>-8.5431017250214621E-3</v>
      </c>
      <c r="J2481" s="22" t="str">
        <f t="shared" si="78"/>
        <v>lost money</v>
      </c>
    </row>
    <row r="2482" spans="1:10">
      <c r="A2482" s="1">
        <v>41019</v>
      </c>
      <c r="B2482">
        <v>103.11</v>
      </c>
      <c r="C2482">
        <v>103.84</v>
      </c>
      <c r="D2482">
        <v>102.42</v>
      </c>
      <c r="E2482">
        <v>102.52</v>
      </c>
      <c r="F2482">
        <v>5814700</v>
      </c>
      <c r="G2482">
        <v>96.75</v>
      </c>
      <c r="H2482" t="s">
        <v>4</v>
      </c>
      <c r="I2482" s="22">
        <f t="shared" si="77"/>
        <v>1.033645150540475E-4</v>
      </c>
      <c r="J2482" s="22" t="str">
        <f t="shared" si="78"/>
        <v>lost money</v>
      </c>
    </row>
    <row r="2483" spans="1:10">
      <c r="A2483" s="1">
        <v>41022</v>
      </c>
      <c r="B2483">
        <v>101.19</v>
      </c>
      <c r="C2483">
        <v>102.72</v>
      </c>
      <c r="D2483">
        <v>100.89</v>
      </c>
      <c r="E2483">
        <v>102.44</v>
      </c>
      <c r="F2483">
        <v>5590600</v>
      </c>
      <c r="G2483">
        <v>96.68</v>
      </c>
      <c r="H2483" t="s">
        <v>4</v>
      </c>
      <c r="I2483" s="22">
        <f t="shared" si="77"/>
        <v>-7.2377607460883146E-4</v>
      </c>
      <c r="J2483" s="22" t="str">
        <f t="shared" si="78"/>
        <v/>
      </c>
    </row>
    <row r="2484" spans="1:10">
      <c r="A2484" s="1">
        <v>41023</v>
      </c>
      <c r="B2484">
        <v>102.77</v>
      </c>
      <c r="C2484">
        <v>103.17</v>
      </c>
      <c r="D2484">
        <v>102.14</v>
      </c>
      <c r="E2484">
        <v>103.03</v>
      </c>
      <c r="F2484">
        <v>4104400</v>
      </c>
      <c r="G2484">
        <v>97.23</v>
      </c>
      <c r="H2484" t="s">
        <v>4</v>
      </c>
      <c r="I2484" s="22">
        <f t="shared" si="77"/>
        <v>5.6727499862834494E-3</v>
      </c>
      <c r="J2484" s="22" t="str">
        <f t="shared" si="78"/>
        <v/>
      </c>
    </row>
    <row r="2485" spans="1:10">
      <c r="A2485" s="1">
        <v>41024</v>
      </c>
      <c r="B2485">
        <v>103.56</v>
      </c>
      <c r="C2485">
        <v>103.89</v>
      </c>
      <c r="D2485">
        <v>102.62</v>
      </c>
      <c r="E2485">
        <v>103.85</v>
      </c>
      <c r="F2485">
        <v>5308500</v>
      </c>
      <c r="G2485">
        <v>98.01</v>
      </c>
      <c r="H2485" t="s">
        <v>4</v>
      </c>
      <c r="I2485" s="22">
        <f t="shared" si="77"/>
        <v>7.9902084595228611E-3</v>
      </c>
      <c r="J2485" s="22" t="str">
        <f t="shared" si="78"/>
        <v/>
      </c>
    </row>
    <row r="2486" spans="1:10">
      <c r="A2486" s="1">
        <v>41025</v>
      </c>
      <c r="B2486">
        <v>104</v>
      </c>
      <c r="C2486">
        <v>106.7</v>
      </c>
      <c r="D2486">
        <v>103.99</v>
      </c>
      <c r="E2486">
        <v>106.22</v>
      </c>
      <c r="F2486">
        <v>8535300</v>
      </c>
      <c r="G2486">
        <v>100.24</v>
      </c>
      <c r="H2486" t="s">
        <v>4</v>
      </c>
      <c r="I2486" s="22">
        <f t="shared" si="77"/>
        <v>2.2497796306724362E-2</v>
      </c>
      <c r="J2486" s="22" t="str">
        <f t="shared" si="78"/>
        <v/>
      </c>
    </row>
    <row r="2487" spans="1:10">
      <c r="A2487" s="1">
        <v>41026</v>
      </c>
      <c r="B2487">
        <v>106.78</v>
      </c>
      <c r="C2487">
        <v>106.8</v>
      </c>
      <c r="D2487">
        <v>105.67</v>
      </c>
      <c r="E2487">
        <v>106.2</v>
      </c>
      <c r="F2487">
        <v>5433500</v>
      </c>
      <c r="G2487">
        <v>100.23</v>
      </c>
      <c r="H2487" t="s">
        <v>4</v>
      </c>
      <c r="I2487" s="22">
        <f t="shared" si="77"/>
        <v>-9.9765551037893583E-5</v>
      </c>
      <c r="J2487" s="22" t="str">
        <f t="shared" si="78"/>
        <v>lost money</v>
      </c>
    </row>
    <row r="2488" spans="1:10">
      <c r="A2488" s="1">
        <v>41029</v>
      </c>
      <c r="B2488">
        <v>106.16</v>
      </c>
      <c r="C2488">
        <v>106.61</v>
      </c>
      <c r="D2488">
        <v>105.81</v>
      </c>
      <c r="E2488">
        <v>106.56</v>
      </c>
      <c r="F2488">
        <v>4727100</v>
      </c>
      <c r="G2488">
        <v>100.57</v>
      </c>
      <c r="H2488" t="s">
        <v>4</v>
      </c>
      <c r="I2488" s="22">
        <f t="shared" si="77"/>
        <v>3.3864574196141692E-3</v>
      </c>
      <c r="J2488" s="22" t="str">
        <f t="shared" si="78"/>
        <v/>
      </c>
    </row>
    <row r="2489" spans="1:10">
      <c r="A2489" s="1">
        <v>41030</v>
      </c>
      <c r="B2489">
        <v>106.74</v>
      </c>
      <c r="C2489">
        <v>108.79</v>
      </c>
      <c r="D2489">
        <v>106.39</v>
      </c>
      <c r="E2489">
        <v>108.27</v>
      </c>
      <c r="F2489">
        <v>6179900</v>
      </c>
      <c r="G2489">
        <v>102.18</v>
      </c>
      <c r="H2489" t="s">
        <v>4</v>
      </c>
      <c r="I2489" s="22">
        <f t="shared" si="77"/>
        <v>1.5881961446262929E-2</v>
      </c>
      <c r="J2489" s="22" t="str">
        <f t="shared" si="78"/>
        <v/>
      </c>
    </row>
    <row r="2490" spans="1:10">
      <c r="A2490" s="1">
        <v>41031</v>
      </c>
      <c r="B2490">
        <v>107.51</v>
      </c>
      <c r="C2490">
        <v>107.65</v>
      </c>
      <c r="D2490">
        <v>106.59</v>
      </c>
      <c r="E2490">
        <v>107.03</v>
      </c>
      <c r="F2490">
        <v>4834400</v>
      </c>
      <c r="G2490">
        <v>101.01</v>
      </c>
      <c r="H2490" t="s">
        <v>4</v>
      </c>
      <c r="I2490" s="22">
        <f t="shared" si="77"/>
        <v>-1.1516442061559067E-2</v>
      </c>
      <c r="J2490" s="22" t="str">
        <f t="shared" si="78"/>
        <v>lost money</v>
      </c>
    </row>
    <row r="2491" spans="1:10">
      <c r="A2491" s="1">
        <v>41032</v>
      </c>
      <c r="B2491">
        <v>107.04</v>
      </c>
      <c r="C2491">
        <v>107.06</v>
      </c>
      <c r="D2491">
        <v>105.41</v>
      </c>
      <c r="E2491">
        <v>105.99</v>
      </c>
      <c r="F2491">
        <v>4882800</v>
      </c>
      <c r="G2491">
        <v>100.03</v>
      </c>
      <c r="H2491" t="s">
        <v>4</v>
      </c>
      <c r="I2491" s="22">
        <f t="shared" si="77"/>
        <v>-9.7493808440035027E-3</v>
      </c>
      <c r="J2491" s="22" t="str">
        <f t="shared" si="78"/>
        <v>lost money</v>
      </c>
    </row>
    <row r="2492" spans="1:10">
      <c r="A2492" s="1">
        <v>41033</v>
      </c>
      <c r="B2492">
        <v>105.27</v>
      </c>
      <c r="C2492">
        <v>105.49</v>
      </c>
      <c r="D2492">
        <v>103.25</v>
      </c>
      <c r="E2492">
        <v>103.72</v>
      </c>
      <c r="F2492">
        <v>6241300</v>
      </c>
      <c r="G2492">
        <v>97.89</v>
      </c>
      <c r="H2492" t="s">
        <v>4</v>
      </c>
      <c r="I2492" s="22">
        <f t="shared" si="77"/>
        <v>-2.1625741723750425E-2</v>
      </c>
      <c r="J2492" s="22" t="str">
        <f t="shared" si="78"/>
        <v>lost money</v>
      </c>
    </row>
    <row r="2493" spans="1:10">
      <c r="A2493" s="1">
        <v>41036</v>
      </c>
      <c r="B2493">
        <v>103.08</v>
      </c>
      <c r="C2493">
        <v>103.82</v>
      </c>
      <c r="D2493">
        <v>102.59</v>
      </c>
      <c r="E2493">
        <v>103.31</v>
      </c>
      <c r="F2493">
        <v>6126900</v>
      </c>
      <c r="G2493">
        <v>97.5</v>
      </c>
      <c r="H2493" t="s">
        <v>4</v>
      </c>
      <c r="I2493" s="22">
        <f t="shared" si="77"/>
        <v>-3.9920212695374498E-3</v>
      </c>
      <c r="J2493" s="22" t="str">
        <f t="shared" si="78"/>
        <v/>
      </c>
    </row>
    <row r="2494" spans="1:10">
      <c r="A2494" s="1">
        <v>41037</v>
      </c>
      <c r="B2494">
        <v>102.75</v>
      </c>
      <c r="C2494">
        <v>103.21</v>
      </c>
      <c r="D2494">
        <v>101.55</v>
      </c>
      <c r="E2494">
        <v>102.84</v>
      </c>
      <c r="F2494">
        <v>8167200</v>
      </c>
      <c r="G2494">
        <v>97.06</v>
      </c>
      <c r="H2494" t="s">
        <v>4</v>
      </c>
      <c r="I2494" s="22">
        <f t="shared" si="77"/>
        <v>-4.5230340267313884E-3</v>
      </c>
      <c r="J2494" s="22" t="str">
        <f t="shared" si="78"/>
        <v/>
      </c>
    </row>
    <row r="2495" spans="1:10">
      <c r="A2495" s="1">
        <v>41038</v>
      </c>
      <c r="B2495">
        <v>101.61</v>
      </c>
      <c r="C2495">
        <v>102.5</v>
      </c>
      <c r="D2495">
        <v>101.37</v>
      </c>
      <c r="E2495">
        <v>101.78</v>
      </c>
      <c r="F2495">
        <v>6115600</v>
      </c>
      <c r="G2495">
        <v>96.05</v>
      </c>
      <c r="H2495" t="s">
        <v>4</v>
      </c>
      <c r="I2495" s="22">
        <f t="shared" si="77"/>
        <v>-1.0460454762504501E-2</v>
      </c>
      <c r="J2495" s="22" t="str">
        <f t="shared" si="78"/>
        <v/>
      </c>
    </row>
    <row r="2496" spans="1:10">
      <c r="A2496" s="1">
        <v>41039</v>
      </c>
      <c r="B2496">
        <v>102.83</v>
      </c>
      <c r="C2496">
        <v>104.24</v>
      </c>
      <c r="D2496">
        <v>102.65</v>
      </c>
      <c r="E2496">
        <v>103.36</v>
      </c>
      <c r="F2496">
        <v>21105400</v>
      </c>
      <c r="G2496">
        <v>97.55</v>
      </c>
      <c r="H2496" t="s">
        <v>4</v>
      </c>
      <c r="I2496" s="22">
        <f t="shared" si="77"/>
        <v>1.5496177854554535E-2</v>
      </c>
      <c r="J2496" s="22" t="str">
        <f t="shared" si="78"/>
        <v/>
      </c>
    </row>
    <row r="2497" spans="1:10">
      <c r="A2497" s="1">
        <v>41040</v>
      </c>
      <c r="B2497">
        <v>102.95</v>
      </c>
      <c r="C2497">
        <v>103.95</v>
      </c>
      <c r="D2497">
        <v>102.47</v>
      </c>
      <c r="E2497">
        <v>102.69</v>
      </c>
      <c r="F2497">
        <v>4944700</v>
      </c>
      <c r="G2497">
        <v>96.91</v>
      </c>
      <c r="H2497" t="s">
        <v>4</v>
      </c>
      <c r="I2497" s="22">
        <f t="shared" si="77"/>
        <v>-6.5823543226615593E-3</v>
      </c>
      <c r="J2497" s="22" t="str">
        <f t="shared" si="78"/>
        <v>lost money</v>
      </c>
    </row>
    <row r="2498" spans="1:10">
      <c r="A2498" s="1">
        <v>41043</v>
      </c>
      <c r="B2498">
        <v>101.74</v>
      </c>
      <c r="C2498">
        <v>102.3</v>
      </c>
      <c r="D2498">
        <v>101.27</v>
      </c>
      <c r="E2498">
        <v>101.94</v>
      </c>
      <c r="F2498">
        <v>7021400</v>
      </c>
      <c r="G2498">
        <v>96.21</v>
      </c>
      <c r="H2498" t="s">
        <v>4</v>
      </c>
      <c r="I2498" s="22">
        <f t="shared" si="77"/>
        <v>-7.2494103732855201E-3</v>
      </c>
      <c r="J2498" s="22" t="str">
        <f t="shared" si="78"/>
        <v/>
      </c>
    </row>
    <row r="2499" spans="1:10">
      <c r="A2499" s="1">
        <v>41044</v>
      </c>
      <c r="B2499">
        <v>102.04</v>
      </c>
      <c r="C2499">
        <v>102.66</v>
      </c>
      <c r="D2499">
        <v>100.71</v>
      </c>
      <c r="E2499">
        <v>100.9</v>
      </c>
      <c r="F2499">
        <v>8421000</v>
      </c>
      <c r="G2499">
        <v>95.22</v>
      </c>
      <c r="H2499" t="s">
        <v>4</v>
      </c>
      <c r="I2499" s="22">
        <f t="shared" ref="I2499:I2562" si="79">IF(A2499=$A$2,"",LN(G2499/G2498))</f>
        <v>-1.0343298606800472E-2</v>
      </c>
      <c r="J2499" s="22" t="str">
        <f t="shared" ref="J2499:J2562" si="80">IF(B2499&gt;E2499,"lost money","")</f>
        <v>lost money</v>
      </c>
    </row>
    <row r="2500" spans="1:10">
      <c r="A2500" s="1">
        <v>41045</v>
      </c>
      <c r="B2500">
        <v>100.77</v>
      </c>
      <c r="C2500">
        <v>101.78</v>
      </c>
      <c r="D2500">
        <v>100.01</v>
      </c>
      <c r="E2500">
        <v>100.1</v>
      </c>
      <c r="F2500">
        <v>6423800</v>
      </c>
      <c r="G2500">
        <v>95.32</v>
      </c>
      <c r="H2500" t="s">
        <v>4</v>
      </c>
      <c r="I2500" s="22">
        <f t="shared" si="79"/>
        <v>1.0496484641686532E-3</v>
      </c>
      <c r="J2500" s="22" t="str">
        <f t="shared" si="80"/>
        <v>lost money</v>
      </c>
    </row>
    <row r="2501" spans="1:10">
      <c r="A2501" s="1">
        <v>41046</v>
      </c>
      <c r="B2501">
        <v>100.2</v>
      </c>
      <c r="C2501">
        <v>101.41</v>
      </c>
      <c r="D2501">
        <v>99.89</v>
      </c>
      <c r="E2501">
        <v>100.14</v>
      </c>
      <c r="F2501">
        <v>6527500</v>
      </c>
      <c r="G2501">
        <v>95.36</v>
      </c>
      <c r="H2501" t="s">
        <v>4</v>
      </c>
      <c r="I2501" s="22">
        <f t="shared" si="79"/>
        <v>4.195510864984139E-4</v>
      </c>
      <c r="J2501" s="22" t="str">
        <f t="shared" si="80"/>
        <v>lost money</v>
      </c>
    </row>
    <row r="2502" spans="1:10">
      <c r="A2502" s="1">
        <v>41047</v>
      </c>
      <c r="B2502">
        <v>100.48</v>
      </c>
      <c r="C2502">
        <v>100.75</v>
      </c>
      <c r="D2502">
        <v>98.24</v>
      </c>
      <c r="E2502">
        <v>98.46</v>
      </c>
      <c r="F2502">
        <v>11137700</v>
      </c>
      <c r="G2502">
        <v>93.76</v>
      </c>
      <c r="H2502" t="s">
        <v>4</v>
      </c>
      <c r="I2502" s="22">
        <f t="shared" si="79"/>
        <v>-1.6920877488337063E-2</v>
      </c>
      <c r="J2502" s="22" t="str">
        <f t="shared" si="80"/>
        <v>lost money</v>
      </c>
    </row>
    <row r="2503" spans="1:10">
      <c r="A2503" s="1">
        <v>41050</v>
      </c>
      <c r="B2503">
        <v>98.81</v>
      </c>
      <c r="C2503">
        <v>99.74</v>
      </c>
      <c r="D2503">
        <v>98.35</v>
      </c>
      <c r="E2503">
        <v>99.69</v>
      </c>
      <c r="F2503">
        <v>6169400</v>
      </c>
      <c r="G2503">
        <v>94.93</v>
      </c>
      <c r="H2503" t="s">
        <v>4</v>
      </c>
      <c r="I2503" s="22">
        <f t="shared" si="79"/>
        <v>1.2401452065004689E-2</v>
      </c>
      <c r="J2503" s="22" t="str">
        <f t="shared" si="80"/>
        <v/>
      </c>
    </row>
    <row r="2504" spans="1:10">
      <c r="A2504" s="1">
        <v>41051</v>
      </c>
      <c r="B2504">
        <v>99.93</v>
      </c>
      <c r="C2504">
        <v>100.68</v>
      </c>
      <c r="D2504">
        <v>98.73</v>
      </c>
      <c r="E2504">
        <v>99.32</v>
      </c>
      <c r="F2504">
        <v>6089700</v>
      </c>
      <c r="G2504">
        <v>94.58</v>
      </c>
      <c r="H2504" t="s">
        <v>4</v>
      </c>
      <c r="I2504" s="22">
        <f t="shared" si="79"/>
        <v>-3.6937406779774997E-3</v>
      </c>
      <c r="J2504" s="22" t="str">
        <f t="shared" si="80"/>
        <v>lost money</v>
      </c>
    </row>
    <row r="2505" spans="1:10">
      <c r="A2505" s="1">
        <v>41052</v>
      </c>
      <c r="B2505">
        <v>98.33</v>
      </c>
      <c r="C2505">
        <v>99</v>
      </c>
      <c r="D2505">
        <v>96.7</v>
      </c>
      <c r="E2505">
        <v>99</v>
      </c>
      <c r="F2505">
        <v>8013000</v>
      </c>
      <c r="G2505">
        <v>94.27</v>
      </c>
      <c r="H2505" t="s">
        <v>4</v>
      </c>
      <c r="I2505" s="22">
        <f t="shared" si="79"/>
        <v>-3.2830318076707736E-3</v>
      </c>
      <c r="J2505" s="22" t="str">
        <f t="shared" si="80"/>
        <v/>
      </c>
    </row>
    <row r="2506" spans="1:10">
      <c r="A2506" s="1">
        <v>41053</v>
      </c>
      <c r="B2506">
        <v>99.26</v>
      </c>
      <c r="C2506">
        <v>100.12</v>
      </c>
      <c r="D2506">
        <v>98.55</v>
      </c>
      <c r="E2506">
        <v>100.06</v>
      </c>
      <c r="F2506">
        <v>6322300</v>
      </c>
      <c r="G2506">
        <v>95.28</v>
      </c>
      <c r="H2506" t="s">
        <v>4</v>
      </c>
      <c r="I2506" s="22">
        <f t="shared" si="79"/>
        <v>1.0656919638985731E-2</v>
      </c>
      <c r="J2506" s="22" t="str">
        <f t="shared" si="80"/>
        <v/>
      </c>
    </row>
    <row r="2507" spans="1:10">
      <c r="A2507" s="1">
        <v>41054</v>
      </c>
      <c r="B2507">
        <v>100.04</v>
      </c>
      <c r="C2507">
        <v>100.24</v>
      </c>
      <c r="D2507">
        <v>98.42</v>
      </c>
      <c r="E2507">
        <v>98.86</v>
      </c>
      <c r="F2507">
        <v>5561500</v>
      </c>
      <c r="G2507">
        <v>94.14</v>
      </c>
      <c r="H2507" t="s">
        <v>4</v>
      </c>
      <c r="I2507" s="22">
        <f t="shared" si="79"/>
        <v>-1.2036889074048426E-2</v>
      </c>
      <c r="J2507" s="22" t="str">
        <f t="shared" si="80"/>
        <v>lost money</v>
      </c>
    </row>
    <row r="2508" spans="1:10">
      <c r="A2508" s="1">
        <v>41058</v>
      </c>
      <c r="B2508">
        <v>99.81</v>
      </c>
      <c r="C2508">
        <v>100.85</v>
      </c>
      <c r="D2508">
        <v>99.5</v>
      </c>
      <c r="E2508">
        <v>100.24</v>
      </c>
      <c r="F2508">
        <v>5223200</v>
      </c>
      <c r="G2508">
        <v>95.45</v>
      </c>
      <c r="H2508" t="s">
        <v>4</v>
      </c>
      <c r="I2508" s="22">
        <f t="shared" si="79"/>
        <v>1.3819514198760419E-2</v>
      </c>
      <c r="J2508" s="22" t="str">
        <f t="shared" si="80"/>
        <v/>
      </c>
    </row>
    <row r="2509" spans="1:10">
      <c r="A2509" s="1">
        <v>41059</v>
      </c>
      <c r="B2509">
        <v>99.11</v>
      </c>
      <c r="C2509">
        <v>99.11</v>
      </c>
      <c r="D2509">
        <v>97.5</v>
      </c>
      <c r="E2509">
        <v>97.63</v>
      </c>
      <c r="F2509">
        <v>7284800</v>
      </c>
      <c r="G2509">
        <v>92.97</v>
      </c>
      <c r="H2509" t="s">
        <v>4</v>
      </c>
      <c r="I2509" s="22">
        <f t="shared" si="79"/>
        <v>-2.6325689703990057E-2</v>
      </c>
      <c r="J2509" s="22" t="str">
        <f t="shared" si="80"/>
        <v>lost money</v>
      </c>
    </row>
    <row r="2510" spans="1:10">
      <c r="A2510" s="1">
        <v>41060</v>
      </c>
      <c r="B2510">
        <v>98.06</v>
      </c>
      <c r="C2510">
        <v>99.16</v>
      </c>
      <c r="D2510">
        <v>96.68</v>
      </c>
      <c r="E2510">
        <v>98.31</v>
      </c>
      <c r="F2510">
        <v>9371100</v>
      </c>
      <c r="G2510">
        <v>93.61</v>
      </c>
      <c r="H2510" t="s">
        <v>4</v>
      </c>
      <c r="I2510" s="22">
        <f t="shared" si="79"/>
        <v>6.8603549158867162E-3</v>
      </c>
      <c r="J2510" s="22" t="str">
        <f t="shared" si="80"/>
        <v/>
      </c>
    </row>
    <row r="2511" spans="1:10">
      <c r="A2511" s="1">
        <v>41061</v>
      </c>
      <c r="B2511">
        <v>96.65</v>
      </c>
      <c r="C2511">
        <v>97.29</v>
      </c>
      <c r="D2511">
        <v>96.02</v>
      </c>
      <c r="E2511">
        <v>96.41</v>
      </c>
      <c r="F2511">
        <v>9243000</v>
      </c>
      <c r="G2511">
        <v>91.81</v>
      </c>
      <c r="H2511" t="s">
        <v>4</v>
      </c>
      <c r="I2511" s="22">
        <f t="shared" si="79"/>
        <v>-1.9415991228044615E-2</v>
      </c>
      <c r="J2511" s="22" t="str">
        <f t="shared" si="80"/>
        <v>lost money</v>
      </c>
    </row>
    <row r="2512" spans="1:10">
      <c r="A2512" s="1">
        <v>41064</v>
      </c>
      <c r="B2512">
        <v>96.48</v>
      </c>
      <c r="C2512">
        <v>97.14</v>
      </c>
      <c r="D2512">
        <v>95.73</v>
      </c>
      <c r="E2512">
        <v>96.58</v>
      </c>
      <c r="F2512">
        <v>6794500</v>
      </c>
      <c r="G2512">
        <v>91.97</v>
      </c>
      <c r="H2512" t="s">
        <v>4</v>
      </c>
      <c r="I2512" s="22">
        <f t="shared" si="79"/>
        <v>1.7412127589976395E-3</v>
      </c>
      <c r="J2512" s="22" t="str">
        <f t="shared" si="80"/>
        <v/>
      </c>
    </row>
    <row r="2513" spans="1:10">
      <c r="A2513" s="1">
        <v>41065</v>
      </c>
      <c r="B2513">
        <v>96.39</v>
      </c>
      <c r="C2513">
        <v>96.87</v>
      </c>
      <c r="D2513">
        <v>95.78</v>
      </c>
      <c r="E2513">
        <v>96.49</v>
      </c>
      <c r="F2513">
        <v>5891600</v>
      </c>
      <c r="G2513">
        <v>91.88</v>
      </c>
      <c r="H2513" t="s">
        <v>4</v>
      </c>
      <c r="I2513" s="22">
        <f t="shared" si="79"/>
        <v>-9.7905909370871831E-4</v>
      </c>
      <c r="J2513" s="22" t="str">
        <f t="shared" si="80"/>
        <v/>
      </c>
    </row>
    <row r="2514" spans="1:10">
      <c r="A2514" s="1">
        <v>41066</v>
      </c>
      <c r="B2514">
        <v>97.89</v>
      </c>
      <c r="C2514">
        <v>99.8</v>
      </c>
      <c r="D2514">
        <v>97.58</v>
      </c>
      <c r="E2514">
        <v>99.8</v>
      </c>
      <c r="F2514">
        <v>7145800</v>
      </c>
      <c r="G2514">
        <v>95.03</v>
      </c>
      <c r="H2514" t="s">
        <v>4</v>
      </c>
      <c r="I2514" s="22">
        <f t="shared" si="79"/>
        <v>3.3709253402326445E-2</v>
      </c>
      <c r="J2514" s="22" t="str">
        <f t="shared" si="80"/>
        <v/>
      </c>
    </row>
    <row r="2515" spans="1:10">
      <c r="A2515" s="1">
        <v>41067</v>
      </c>
      <c r="B2515">
        <v>100.98</v>
      </c>
      <c r="C2515">
        <v>102</v>
      </c>
      <c r="D2515">
        <v>100.18</v>
      </c>
      <c r="E2515">
        <v>100.39</v>
      </c>
      <c r="F2515">
        <v>7971600</v>
      </c>
      <c r="G2515">
        <v>95.6</v>
      </c>
      <c r="H2515" t="s">
        <v>4</v>
      </c>
      <c r="I2515" s="22">
        <f t="shared" si="79"/>
        <v>5.9801888341315546E-3</v>
      </c>
      <c r="J2515" s="22" t="str">
        <f t="shared" si="80"/>
        <v>lost money</v>
      </c>
    </row>
    <row r="2516" spans="1:10">
      <c r="A2516" s="1">
        <v>41068</v>
      </c>
      <c r="B2516">
        <v>99.89</v>
      </c>
      <c r="C2516">
        <v>101</v>
      </c>
      <c r="D2516">
        <v>99.69</v>
      </c>
      <c r="E2516">
        <v>100.84</v>
      </c>
      <c r="F2516">
        <v>5769900</v>
      </c>
      <c r="G2516">
        <v>96.02</v>
      </c>
      <c r="H2516" t="s">
        <v>4</v>
      </c>
      <c r="I2516" s="22">
        <f t="shared" si="79"/>
        <v>4.3836830454387337E-3</v>
      </c>
      <c r="J2516" s="22" t="str">
        <f t="shared" si="80"/>
        <v/>
      </c>
    </row>
    <row r="2517" spans="1:10">
      <c r="A2517" s="1">
        <v>41071</v>
      </c>
      <c r="B2517">
        <v>101.99</v>
      </c>
      <c r="C2517">
        <v>102.33</v>
      </c>
      <c r="D2517">
        <v>99.57</v>
      </c>
      <c r="E2517">
        <v>99.91</v>
      </c>
      <c r="F2517">
        <v>7037100</v>
      </c>
      <c r="G2517">
        <v>95.14</v>
      </c>
      <c r="H2517" t="s">
        <v>4</v>
      </c>
      <c r="I2517" s="22">
        <f t="shared" si="79"/>
        <v>-9.2070120986588316E-3</v>
      </c>
      <c r="J2517" s="22" t="str">
        <f t="shared" si="80"/>
        <v>lost money</v>
      </c>
    </row>
    <row r="2518" spans="1:10">
      <c r="A2518" s="1">
        <v>41072</v>
      </c>
      <c r="B2518">
        <v>100.2</v>
      </c>
      <c r="C2518">
        <v>100.9</v>
      </c>
      <c r="D2518">
        <v>99.56</v>
      </c>
      <c r="E2518">
        <v>100.74</v>
      </c>
      <c r="F2518">
        <v>5933400</v>
      </c>
      <c r="G2518">
        <v>95.93</v>
      </c>
      <c r="H2518" t="s">
        <v>4</v>
      </c>
      <c r="I2518" s="22">
        <f t="shared" si="79"/>
        <v>8.2692678257207629E-3</v>
      </c>
      <c r="J2518" s="22" t="str">
        <f t="shared" si="80"/>
        <v/>
      </c>
    </row>
    <row r="2519" spans="1:10">
      <c r="A2519" s="1">
        <v>41073</v>
      </c>
      <c r="B2519">
        <v>100.68</v>
      </c>
      <c r="C2519">
        <v>101.4</v>
      </c>
      <c r="D2519">
        <v>99.71</v>
      </c>
      <c r="E2519">
        <v>100.13</v>
      </c>
      <c r="F2519">
        <v>7253400</v>
      </c>
      <c r="G2519">
        <v>95.35</v>
      </c>
      <c r="H2519" t="s">
        <v>4</v>
      </c>
      <c r="I2519" s="22">
        <f t="shared" si="79"/>
        <v>-6.0644267834282619E-3</v>
      </c>
      <c r="J2519" s="22" t="str">
        <f t="shared" si="80"/>
        <v>lost money</v>
      </c>
    </row>
    <row r="2520" spans="1:10">
      <c r="A2520" s="1">
        <v>41074</v>
      </c>
      <c r="B2520">
        <v>100.17</v>
      </c>
      <c r="C2520">
        <v>102.17</v>
      </c>
      <c r="D2520">
        <v>99.9</v>
      </c>
      <c r="E2520">
        <v>101.92</v>
      </c>
      <c r="F2520">
        <v>6540000</v>
      </c>
      <c r="G2520">
        <v>97.05</v>
      </c>
      <c r="H2520" t="s">
        <v>4</v>
      </c>
      <c r="I2520" s="22">
        <f t="shared" si="79"/>
        <v>1.7671977568591291E-2</v>
      </c>
      <c r="J2520" s="22" t="str">
        <f t="shared" si="80"/>
        <v/>
      </c>
    </row>
    <row r="2521" spans="1:10">
      <c r="A2521" s="1">
        <v>41075</v>
      </c>
      <c r="B2521">
        <v>103</v>
      </c>
      <c r="C2521">
        <v>104.5</v>
      </c>
      <c r="D2521">
        <v>102.64</v>
      </c>
      <c r="E2521">
        <v>104.33</v>
      </c>
      <c r="F2521">
        <v>11091100</v>
      </c>
      <c r="G2521">
        <v>99.35</v>
      </c>
      <c r="H2521" t="s">
        <v>4</v>
      </c>
      <c r="I2521" s="22">
        <f t="shared" si="79"/>
        <v>2.3422659382806535E-2</v>
      </c>
      <c r="J2521" s="22" t="str">
        <f t="shared" si="80"/>
        <v/>
      </c>
    </row>
    <row r="2522" spans="1:10">
      <c r="A2522" s="1">
        <v>41078</v>
      </c>
      <c r="B2522">
        <v>103.14</v>
      </c>
      <c r="C2522">
        <v>103.97</v>
      </c>
      <c r="D2522">
        <v>103</v>
      </c>
      <c r="E2522">
        <v>103.46</v>
      </c>
      <c r="F2522">
        <v>6630300</v>
      </c>
      <c r="G2522">
        <v>98.52</v>
      </c>
      <c r="H2522" t="s">
        <v>4</v>
      </c>
      <c r="I2522" s="22">
        <f t="shared" si="79"/>
        <v>-8.3893957454886352E-3</v>
      </c>
      <c r="J2522" s="22" t="str">
        <f t="shared" si="80"/>
        <v/>
      </c>
    </row>
    <row r="2523" spans="1:10">
      <c r="A2523" s="1">
        <v>41079</v>
      </c>
      <c r="B2523">
        <v>103.99</v>
      </c>
      <c r="C2523">
        <v>104.65</v>
      </c>
      <c r="D2523">
        <v>103.77</v>
      </c>
      <c r="E2523">
        <v>104.06</v>
      </c>
      <c r="F2523">
        <v>6115500</v>
      </c>
      <c r="G2523">
        <v>99.09</v>
      </c>
      <c r="H2523" t="s">
        <v>4</v>
      </c>
      <c r="I2523" s="22">
        <f t="shared" si="79"/>
        <v>5.7689548184709574E-3</v>
      </c>
      <c r="J2523" s="22" t="str">
        <f t="shared" si="80"/>
        <v/>
      </c>
    </row>
    <row r="2524" spans="1:10">
      <c r="A2524" s="1">
        <v>41080</v>
      </c>
      <c r="B2524">
        <v>104.04</v>
      </c>
      <c r="C2524">
        <v>104.55</v>
      </c>
      <c r="D2524">
        <v>102.59</v>
      </c>
      <c r="E2524">
        <v>103.63</v>
      </c>
      <c r="F2524">
        <v>7609200</v>
      </c>
      <c r="G2524">
        <v>98.68</v>
      </c>
      <c r="H2524" t="s">
        <v>4</v>
      </c>
      <c r="I2524" s="22">
        <f t="shared" si="79"/>
        <v>-4.1462364096519905E-3</v>
      </c>
      <c r="J2524" s="22" t="str">
        <f t="shared" si="80"/>
        <v>lost money</v>
      </c>
    </row>
    <row r="2525" spans="1:10">
      <c r="A2525" s="1">
        <v>41081</v>
      </c>
      <c r="B2525">
        <v>103.46</v>
      </c>
      <c r="C2525">
        <v>103.75</v>
      </c>
      <c r="D2525">
        <v>99.87</v>
      </c>
      <c r="E2525">
        <v>100.02</v>
      </c>
      <c r="F2525">
        <v>8492000</v>
      </c>
      <c r="G2525">
        <v>95.24</v>
      </c>
      <c r="H2525" t="s">
        <v>4</v>
      </c>
      <c r="I2525" s="22">
        <f t="shared" si="79"/>
        <v>-3.5482270042494005E-2</v>
      </c>
      <c r="J2525" s="22" t="str">
        <f t="shared" si="80"/>
        <v>lost money</v>
      </c>
    </row>
    <row r="2526" spans="1:10">
      <c r="A2526" s="1">
        <v>41082</v>
      </c>
      <c r="B2526">
        <v>100.65</v>
      </c>
      <c r="C2526">
        <v>101.12</v>
      </c>
      <c r="D2526">
        <v>99.58</v>
      </c>
      <c r="E2526">
        <v>100.44</v>
      </c>
      <c r="F2526">
        <v>11708600</v>
      </c>
      <c r="G2526">
        <v>95.64</v>
      </c>
      <c r="H2526" t="s">
        <v>4</v>
      </c>
      <c r="I2526" s="22">
        <f t="shared" si="79"/>
        <v>4.1911209714621091E-3</v>
      </c>
      <c r="J2526" s="22" t="str">
        <f t="shared" si="80"/>
        <v>lost money</v>
      </c>
    </row>
    <row r="2527" spans="1:10">
      <c r="A2527" s="1">
        <v>41085</v>
      </c>
      <c r="B2527">
        <v>99.34</v>
      </c>
      <c r="C2527">
        <v>99.56</v>
      </c>
      <c r="D2527">
        <v>98.17</v>
      </c>
      <c r="E2527">
        <v>99.08</v>
      </c>
      <c r="F2527">
        <v>7091000</v>
      </c>
      <c r="G2527">
        <v>94.35</v>
      </c>
      <c r="H2527" t="s">
        <v>4</v>
      </c>
      <c r="I2527" s="22">
        <f t="shared" si="79"/>
        <v>-1.3579870775564771E-2</v>
      </c>
      <c r="J2527" s="22" t="str">
        <f t="shared" si="80"/>
        <v>lost money</v>
      </c>
    </row>
    <row r="2528" spans="1:10">
      <c r="A2528" s="1">
        <v>41086</v>
      </c>
      <c r="B2528">
        <v>98.97</v>
      </c>
      <c r="C2528">
        <v>101.29</v>
      </c>
      <c r="D2528">
        <v>98.83</v>
      </c>
      <c r="E2528">
        <v>100.95</v>
      </c>
      <c r="F2528">
        <v>7616000</v>
      </c>
      <c r="G2528">
        <v>96.13</v>
      </c>
      <c r="H2528" t="s">
        <v>4</v>
      </c>
      <c r="I2528" s="22">
        <f t="shared" si="79"/>
        <v>1.8690170263165523E-2</v>
      </c>
      <c r="J2528" s="22" t="str">
        <f t="shared" si="80"/>
        <v/>
      </c>
    </row>
    <row r="2529" spans="1:10">
      <c r="A2529" s="1">
        <v>41087</v>
      </c>
      <c r="B2529">
        <v>101.46</v>
      </c>
      <c r="C2529">
        <v>102.9</v>
      </c>
      <c r="D2529">
        <v>101.25</v>
      </c>
      <c r="E2529">
        <v>102.57</v>
      </c>
      <c r="F2529">
        <v>5740300</v>
      </c>
      <c r="G2529">
        <v>97.67</v>
      </c>
      <c r="H2529" t="s">
        <v>4</v>
      </c>
      <c r="I2529" s="22">
        <f t="shared" si="79"/>
        <v>1.5893007381660836E-2</v>
      </c>
      <c r="J2529" s="22" t="str">
        <f t="shared" si="80"/>
        <v/>
      </c>
    </row>
    <row r="2530" spans="1:10">
      <c r="A2530" s="1">
        <v>41088</v>
      </c>
      <c r="B2530">
        <v>101.85</v>
      </c>
      <c r="C2530">
        <v>103.65</v>
      </c>
      <c r="D2530">
        <v>101.43</v>
      </c>
      <c r="E2530">
        <v>103.46</v>
      </c>
      <c r="F2530">
        <v>7010200</v>
      </c>
      <c r="G2530">
        <v>98.52</v>
      </c>
      <c r="H2530" t="s">
        <v>4</v>
      </c>
      <c r="I2530" s="22">
        <f t="shared" si="79"/>
        <v>8.6651237929514617E-3</v>
      </c>
      <c r="J2530" s="22" t="str">
        <f t="shared" si="80"/>
        <v/>
      </c>
    </row>
    <row r="2531" spans="1:10">
      <c r="A2531" s="1">
        <v>41089</v>
      </c>
      <c r="B2531">
        <v>105.32</v>
      </c>
      <c r="C2531">
        <v>105.51</v>
      </c>
      <c r="D2531">
        <v>104.35</v>
      </c>
      <c r="E2531">
        <v>105.5</v>
      </c>
      <c r="F2531">
        <v>10651500</v>
      </c>
      <c r="G2531">
        <v>100.46</v>
      </c>
      <c r="H2531" t="s">
        <v>4</v>
      </c>
      <c r="I2531" s="22">
        <f t="shared" si="79"/>
        <v>1.9500065069561392E-2</v>
      </c>
      <c r="J2531" s="22" t="str">
        <f t="shared" si="80"/>
        <v/>
      </c>
    </row>
    <row r="2532" spans="1:10">
      <c r="A2532" s="1">
        <v>41092</v>
      </c>
      <c r="B2532">
        <v>105.59</v>
      </c>
      <c r="C2532">
        <v>106.09</v>
      </c>
      <c r="D2532">
        <v>104.69</v>
      </c>
      <c r="E2532">
        <v>105.86</v>
      </c>
      <c r="F2532">
        <v>5695600</v>
      </c>
      <c r="G2532">
        <v>100.8</v>
      </c>
      <c r="H2532" t="s">
        <v>4</v>
      </c>
      <c r="I2532" s="22">
        <f t="shared" si="79"/>
        <v>3.3787173153696473E-3</v>
      </c>
      <c r="J2532" s="22" t="str">
        <f t="shared" si="80"/>
        <v/>
      </c>
    </row>
    <row r="2533" spans="1:10">
      <c r="A2533" s="1">
        <v>41093</v>
      </c>
      <c r="B2533">
        <v>106.29</v>
      </c>
      <c r="C2533">
        <v>107.42</v>
      </c>
      <c r="D2533">
        <v>106.22</v>
      </c>
      <c r="E2533">
        <v>107.37</v>
      </c>
      <c r="F2533">
        <v>4079900</v>
      </c>
      <c r="G2533">
        <v>102.24</v>
      </c>
      <c r="H2533" t="s">
        <v>4</v>
      </c>
      <c r="I2533" s="22">
        <f t="shared" si="79"/>
        <v>1.4184634991956381E-2</v>
      </c>
      <c r="J2533" s="22" t="str">
        <f t="shared" si="80"/>
        <v/>
      </c>
    </row>
    <row r="2534" spans="1:10">
      <c r="A2534" s="1">
        <v>41095</v>
      </c>
      <c r="B2534">
        <v>106.27</v>
      </c>
      <c r="C2534">
        <v>107.05</v>
      </c>
      <c r="D2534">
        <v>105.73</v>
      </c>
      <c r="E2534">
        <v>106.03</v>
      </c>
      <c r="F2534">
        <v>5045600</v>
      </c>
      <c r="G2534">
        <v>100.97</v>
      </c>
      <c r="H2534" t="s">
        <v>4</v>
      </c>
      <c r="I2534" s="22">
        <f t="shared" si="79"/>
        <v>-1.2499547612994944E-2</v>
      </c>
      <c r="J2534" s="22" t="str">
        <f t="shared" si="80"/>
        <v>lost money</v>
      </c>
    </row>
    <row r="2535" spans="1:10">
      <c r="A2535" s="1">
        <v>41096</v>
      </c>
      <c r="B2535">
        <v>104.99</v>
      </c>
      <c r="C2535">
        <v>105.35</v>
      </c>
      <c r="D2535">
        <v>104.39</v>
      </c>
      <c r="E2535">
        <v>105.07</v>
      </c>
      <c r="F2535">
        <v>4609000</v>
      </c>
      <c r="G2535">
        <v>100.05</v>
      </c>
      <c r="H2535" t="s">
        <v>4</v>
      </c>
      <c r="I2535" s="22">
        <f t="shared" si="79"/>
        <v>-9.1533819864872482E-3</v>
      </c>
      <c r="J2535" s="22" t="str">
        <f t="shared" si="80"/>
        <v/>
      </c>
    </row>
    <row r="2536" spans="1:10">
      <c r="A2536" s="1">
        <v>41099</v>
      </c>
      <c r="B2536">
        <v>104.97</v>
      </c>
      <c r="C2536">
        <v>105.04</v>
      </c>
      <c r="D2536">
        <v>103.55</v>
      </c>
      <c r="E2536">
        <v>104.46</v>
      </c>
      <c r="F2536">
        <v>5233300</v>
      </c>
      <c r="G2536">
        <v>99.47</v>
      </c>
      <c r="H2536" t="s">
        <v>4</v>
      </c>
      <c r="I2536" s="22">
        <f t="shared" si="79"/>
        <v>-5.8139698654198447E-3</v>
      </c>
      <c r="J2536" s="22" t="str">
        <f t="shared" si="80"/>
        <v>lost money</v>
      </c>
    </row>
    <row r="2537" spans="1:10">
      <c r="A2537" s="1">
        <v>41100</v>
      </c>
      <c r="B2537">
        <v>104.87</v>
      </c>
      <c r="C2537">
        <v>105.39</v>
      </c>
      <c r="D2537">
        <v>103.29</v>
      </c>
      <c r="E2537">
        <v>103.88</v>
      </c>
      <c r="F2537">
        <v>6424200</v>
      </c>
      <c r="G2537">
        <v>98.92</v>
      </c>
      <c r="H2537" t="s">
        <v>4</v>
      </c>
      <c r="I2537" s="22">
        <f t="shared" si="79"/>
        <v>-5.5446485111071368E-3</v>
      </c>
      <c r="J2537" s="22" t="str">
        <f t="shared" si="80"/>
        <v>lost money</v>
      </c>
    </row>
    <row r="2538" spans="1:10">
      <c r="A2538" s="1">
        <v>41101</v>
      </c>
      <c r="B2538">
        <v>104.31</v>
      </c>
      <c r="C2538">
        <v>105.63</v>
      </c>
      <c r="D2538">
        <v>104.02</v>
      </c>
      <c r="E2538">
        <v>104.85</v>
      </c>
      <c r="F2538">
        <v>5931000</v>
      </c>
      <c r="G2538">
        <v>99.84</v>
      </c>
      <c r="H2538" t="s">
        <v>4</v>
      </c>
      <c r="I2538" s="22">
        <f t="shared" si="79"/>
        <v>9.2574619679021888E-3</v>
      </c>
      <c r="J2538" s="22" t="str">
        <f t="shared" si="80"/>
        <v/>
      </c>
    </row>
    <row r="2539" spans="1:10">
      <c r="A2539" s="1">
        <v>41102</v>
      </c>
      <c r="B2539">
        <v>104.31</v>
      </c>
      <c r="C2539">
        <v>106.08</v>
      </c>
      <c r="D2539">
        <v>104.27</v>
      </c>
      <c r="E2539">
        <v>105.03</v>
      </c>
      <c r="F2539">
        <v>7871500</v>
      </c>
      <c r="G2539">
        <v>100.01</v>
      </c>
      <c r="H2539" t="s">
        <v>4</v>
      </c>
      <c r="I2539" s="22">
        <f t="shared" si="79"/>
        <v>1.7012763673072326E-3</v>
      </c>
      <c r="J2539" s="22" t="str">
        <f t="shared" si="80"/>
        <v/>
      </c>
    </row>
    <row r="2540" spans="1:10">
      <c r="A2540" s="1">
        <v>41103</v>
      </c>
      <c r="B2540">
        <v>105.34</v>
      </c>
      <c r="C2540">
        <v>106.19</v>
      </c>
      <c r="D2540">
        <v>104.87</v>
      </c>
      <c r="E2540">
        <v>106.01</v>
      </c>
      <c r="F2540">
        <v>6771800</v>
      </c>
      <c r="G2540">
        <v>100.95</v>
      </c>
      <c r="H2540" t="s">
        <v>4</v>
      </c>
      <c r="I2540" s="22">
        <f t="shared" si="79"/>
        <v>9.3551637704218336E-3</v>
      </c>
      <c r="J2540" s="22" t="str">
        <f t="shared" si="80"/>
        <v/>
      </c>
    </row>
    <row r="2541" spans="1:10">
      <c r="A2541" s="1">
        <v>41106</v>
      </c>
      <c r="B2541">
        <v>105.71</v>
      </c>
      <c r="C2541">
        <v>107.25</v>
      </c>
      <c r="D2541">
        <v>105.5</v>
      </c>
      <c r="E2541">
        <v>106.78</v>
      </c>
      <c r="F2541">
        <v>5185100</v>
      </c>
      <c r="G2541">
        <v>101.68</v>
      </c>
      <c r="H2541" t="s">
        <v>4</v>
      </c>
      <c r="I2541" s="22">
        <f t="shared" si="79"/>
        <v>7.2052821223520819E-3</v>
      </c>
      <c r="J2541" s="22" t="str">
        <f t="shared" si="80"/>
        <v/>
      </c>
    </row>
    <row r="2542" spans="1:10">
      <c r="A2542" s="1">
        <v>41107</v>
      </c>
      <c r="B2542">
        <v>106.99</v>
      </c>
      <c r="C2542">
        <v>107.5</v>
      </c>
      <c r="D2542">
        <v>105.58</v>
      </c>
      <c r="E2542">
        <v>107.43</v>
      </c>
      <c r="F2542">
        <v>6668200</v>
      </c>
      <c r="G2542">
        <v>102.3</v>
      </c>
      <c r="H2542" t="s">
        <v>4</v>
      </c>
      <c r="I2542" s="22">
        <f t="shared" si="79"/>
        <v>6.0790460763821925E-3</v>
      </c>
      <c r="J2542" s="22" t="str">
        <f t="shared" si="80"/>
        <v/>
      </c>
    </row>
    <row r="2543" spans="1:10">
      <c r="A2543" s="1">
        <v>41108</v>
      </c>
      <c r="B2543">
        <v>106.79</v>
      </c>
      <c r="C2543">
        <v>107.98</v>
      </c>
      <c r="D2543">
        <v>106.66</v>
      </c>
      <c r="E2543">
        <v>107.88</v>
      </c>
      <c r="F2543">
        <v>5519300</v>
      </c>
      <c r="G2543">
        <v>102.73</v>
      </c>
      <c r="H2543" t="s">
        <v>4</v>
      </c>
      <c r="I2543" s="22">
        <f t="shared" si="79"/>
        <v>4.1945142705916861E-3</v>
      </c>
      <c r="J2543" s="22" t="str">
        <f t="shared" si="80"/>
        <v/>
      </c>
    </row>
    <row r="2544" spans="1:10">
      <c r="A2544" s="1">
        <v>41109</v>
      </c>
      <c r="B2544">
        <v>107.92</v>
      </c>
      <c r="C2544">
        <v>108.98</v>
      </c>
      <c r="D2544">
        <v>107.12</v>
      </c>
      <c r="E2544">
        <v>108.84</v>
      </c>
      <c r="F2544">
        <v>6829400</v>
      </c>
      <c r="G2544">
        <v>103.64</v>
      </c>
      <c r="H2544" t="s">
        <v>4</v>
      </c>
      <c r="I2544" s="22">
        <f t="shared" si="79"/>
        <v>8.8191684657368818E-3</v>
      </c>
      <c r="J2544" s="22" t="str">
        <f t="shared" si="80"/>
        <v/>
      </c>
    </row>
    <row r="2545" spans="1:10">
      <c r="A2545" s="1">
        <v>41110</v>
      </c>
      <c r="B2545">
        <v>108.16</v>
      </c>
      <c r="C2545">
        <v>109.25</v>
      </c>
      <c r="D2545">
        <v>107.5</v>
      </c>
      <c r="E2545">
        <v>109.19</v>
      </c>
      <c r="F2545">
        <v>9368100</v>
      </c>
      <c r="G2545">
        <v>103.98</v>
      </c>
      <c r="H2545" t="s">
        <v>4</v>
      </c>
      <c r="I2545" s="22">
        <f t="shared" si="79"/>
        <v>3.2752172616604472E-3</v>
      </c>
      <c r="J2545" s="22" t="str">
        <f t="shared" si="80"/>
        <v/>
      </c>
    </row>
    <row r="2546" spans="1:10">
      <c r="A2546" s="1">
        <v>41113</v>
      </c>
      <c r="B2546">
        <v>107.25</v>
      </c>
      <c r="C2546">
        <v>108.28</v>
      </c>
      <c r="D2546">
        <v>106.03</v>
      </c>
      <c r="E2546">
        <v>107.95</v>
      </c>
      <c r="F2546">
        <v>5953200</v>
      </c>
      <c r="G2546">
        <v>102.79</v>
      </c>
      <c r="H2546" t="s">
        <v>4</v>
      </c>
      <c r="I2546" s="22">
        <f t="shared" si="79"/>
        <v>-1.1510500930739083E-2</v>
      </c>
      <c r="J2546" s="22" t="str">
        <f t="shared" si="80"/>
        <v/>
      </c>
    </row>
    <row r="2547" spans="1:10">
      <c r="A2547" s="1">
        <v>41114</v>
      </c>
      <c r="B2547">
        <v>108.16</v>
      </c>
      <c r="C2547">
        <v>108.16</v>
      </c>
      <c r="D2547">
        <v>104.61</v>
      </c>
      <c r="E2547">
        <v>106.3</v>
      </c>
      <c r="F2547">
        <v>6654900</v>
      </c>
      <c r="G2547">
        <v>101.22</v>
      </c>
      <c r="H2547" t="s">
        <v>4</v>
      </c>
      <c r="I2547" s="22">
        <f t="shared" si="79"/>
        <v>-1.5391706238898793E-2</v>
      </c>
      <c r="J2547" s="22" t="str">
        <f t="shared" si="80"/>
        <v>lost money</v>
      </c>
    </row>
    <row r="2548" spans="1:10">
      <c r="A2548" s="1">
        <v>41115</v>
      </c>
      <c r="B2548">
        <v>106.52</v>
      </c>
      <c r="C2548">
        <v>106.77</v>
      </c>
      <c r="D2548">
        <v>105.28</v>
      </c>
      <c r="E2548">
        <v>106.06</v>
      </c>
      <c r="F2548">
        <v>5476400</v>
      </c>
      <c r="G2548">
        <v>100.99</v>
      </c>
      <c r="H2548" t="s">
        <v>4</v>
      </c>
      <c r="I2548" s="22">
        <f t="shared" si="79"/>
        <v>-2.2748637474663746E-3</v>
      </c>
      <c r="J2548" s="22" t="str">
        <f t="shared" si="80"/>
        <v>lost money</v>
      </c>
    </row>
    <row r="2549" spans="1:10">
      <c r="A2549" s="1">
        <v>41116</v>
      </c>
      <c r="B2549">
        <v>107.59</v>
      </c>
      <c r="C2549">
        <v>108.63</v>
      </c>
      <c r="D2549">
        <v>107.26</v>
      </c>
      <c r="E2549">
        <v>108.27</v>
      </c>
      <c r="F2549">
        <v>6808200</v>
      </c>
      <c r="G2549">
        <v>103.1</v>
      </c>
      <c r="H2549" t="s">
        <v>4</v>
      </c>
      <c r="I2549" s="22">
        <f t="shared" si="79"/>
        <v>2.0677888984448705E-2</v>
      </c>
      <c r="J2549" s="22" t="str">
        <f t="shared" si="80"/>
        <v/>
      </c>
    </row>
    <row r="2550" spans="1:10">
      <c r="A2550" s="1">
        <v>41117</v>
      </c>
      <c r="B2550">
        <v>109.38</v>
      </c>
      <c r="C2550">
        <v>109.5</v>
      </c>
      <c r="D2550">
        <v>107.13</v>
      </c>
      <c r="E2550">
        <v>109.26</v>
      </c>
      <c r="F2550">
        <v>8338800</v>
      </c>
      <c r="G2550">
        <v>104.04</v>
      </c>
      <c r="H2550" t="s">
        <v>4</v>
      </c>
      <c r="I2550" s="22">
        <f t="shared" si="79"/>
        <v>9.0760495575366272E-3</v>
      </c>
      <c r="J2550" s="22" t="str">
        <f t="shared" si="80"/>
        <v>lost money</v>
      </c>
    </row>
    <row r="2551" spans="1:10">
      <c r="A2551" s="1">
        <v>41120</v>
      </c>
      <c r="B2551">
        <v>108.87</v>
      </c>
      <c r="C2551">
        <v>109.93</v>
      </c>
      <c r="D2551">
        <v>108.76</v>
      </c>
      <c r="E2551">
        <v>109.82</v>
      </c>
      <c r="F2551">
        <v>5789900</v>
      </c>
      <c r="G2551">
        <v>104.58</v>
      </c>
      <c r="H2551" t="s">
        <v>4</v>
      </c>
      <c r="I2551" s="22">
        <f t="shared" si="79"/>
        <v>5.1768881795337274E-3</v>
      </c>
      <c r="J2551" s="22" t="str">
        <f t="shared" si="80"/>
        <v/>
      </c>
    </row>
    <row r="2552" spans="1:10">
      <c r="A2552" s="1">
        <v>41121</v>
      </c>
      <c r="B2552">
        <v>109.55</v>
      </c>
      <c r="C2552">
        <v>110.82</v>
      </c>
      <c r="D2552">
        <v>109.53</v>
      </c>
      <c r="E2552">
        <v>109.58</v>
      </c>
      <c r="F2552">
        <v>10012500</v>
      </c>
      <c r="G2552">
        <v>104.35</v>
      </c>
      <c r="H2552" t="s">
        <v>4</v>
      </c>
      <c r="I2552" s="22">
        <f t="shared" si="79"/>
        <v>-2.2016952367748567E-3</v>
      </c>
      <c r="J2552" s="22" t="str">
        <f t="shared" si="80"/>
        <v/>
      </c>
    </row>
    <row r="2553" spans="1:10">
      <c r="A2553" s="1">
        <v>41122</v>
      </c>
      <c r="B2553">
        <v>109.72</v>
      </c>
      <c r="C2553">
        <v>111.23</v>
      </c>
      <c r="D2553">
        <v>109.14</v>
      </c>
      <c r="E2553">
        <v>110.5</v>
      </c>
      <c r="F2553">
        <v>8363800</v>
      </c>
      <c r="G2553">
        <v>105.22</v>
      </c>
      <c r="H2553" t="s">
        <v>4</v>
      </c>
      <c r="I2553" s="22">
        <f t="shared" si="79"/>
        <v>8.3027627794514999E-3</v>
      </c>
      <c r="J2553" s="22" t="str">
        <f t="shared" si="80"/>
        <v/>
      </c>
    </row>
    <row r="2554" spans="1:10">
      <c r="A2554" s="1">
        <v>41123</v>
      </c>
      <c r="B2554">
        <v>109.46</v>
      </c>
      <c r="C2554">
        <v>109.93</v>
      </c>
      <c r="D2554">
        <v>108.47</v>
      </c>
      <c r="E2554">
        <v>109.25</v>
      </c>
      <c r="F2554">
        <v>6662200</v>
      </c>
      <c r="G2554">
        <v>104.03</v>
      </c>
      <c r="H2554" t="s">
        <v>4</v>
      </c>
      <c r="I2554" s="22">
        <f t="shared" si="79"/>
        <v>-1.1374077219857292E-2</v>
      </c>
      <c r="J2554" s="22" t="str">
        <f t="shared" si="80"/>
        <v>lost money</v>
      </c>
    </row>
    <row r="2555" spans="1:10">
      <c r="A2555" s="1">
        <v>41124</v>
      </c>
      <c r="B2555">
        <v>111.14</v>
      </c>
      <c r="C2555">
        <v>111.88</v>
      </c>
      <c r="D2555">
        <v>110.9</v>
      </c>
      <c r="E2555">
        <v>111.12</v>
      </c>
      <c r="F2555">
        <v>5967600</v>
      </c>
      <c r="G2555">
        <v>105.81</v>
      </c>
      <c r="H2555" t="s">
        <v>4</v>
      </c>
      <c r="I2555" s="22">
        <f t="shared" si="79"/>
        <v>1.6965713833266519E-2</v>
      </c>
      <c r="J2555" s="22" t="str">
        <f t="shared" si="80"/>
        <v>lost money</v>
      </c>
    </row>
    <row r="2556" spans="1:10">
      <c r="A2556" s="1">
        <v>41127</v>
      </c>
      <c r="B2556">
        <v>110.75</v>
      </c>
      <c r="C2556">
        <v>112.1</v>
      </c>
      <c r="D2556">
        <v>110.7</v>
      </c>
      <c r="E2556">
        <v>111.31</v>
      </c>
      <c r="F2556">
        <v>5201900</v>
      </c>
      <c r="G2556">
        <v>105.99</v>
      </c>
      <c r="H2556" t="s">
        <v>4</v>
      </c>
      <c r="I2556" s="22">
        <f t="shared" si="79"/>
        <v>1.6997171230932345E-3</v>
      </c>
      <c r="J2556" s="22" t="str">
        <f t="shared" si="80"/>
        <v/>
      </c>
    </row>
    <row r="2557" spans="1:10">
      <c r="A2557" s="1">
        <v>41128</v>
      </c>
      <c r="B2557">
        <v>111.6</v>
      </c>
      <c r="C2557">
        <v>112.39</v>
      </c>
      <c r="D2557">
        <v>111.51</v>
      </c>
      <c r="E2557">
        <v>111.95</v>
      </c>
      <c r="F2557">
        <v>5453300</v>
      </c>
      <c r="G2557">
        <v>106.6</v>
      </c>
      <c r="H2557" t="s">
        <v>4</v>
      </c>
      <c r="I2557" s="22">
        <f t="shared" si="79"/>
        <v>5.7387616925805313E-3</v>
      </c>
      <c r="J2557" s="22" t="str">
        <f t="shared" si="80"/>
        <v/>
      </c>
    </row>
    <row r="2558" spans="1:10">
      <c r="A2558" s="1">
        <v>41129</v>
      </c>
      <c r="B2558">
        <v>111.5</v>
      </c>
      <c r="C2558">
        <v>112.64</v>
      </c>
      <c r="D2558">
        <v>111.36</v>
      </c>
      <c r="E2558">
        <v>112.14</v>
      </c>
      <c r="F2558">
        <v>5443400</v>
      </c>
      <c r="G2558">
        <v>106.78</v>
      </c>
      <c r="H2558" t="s">
        <v>4</v>
      </c>
      <c r="I2558" s="22">
        <f t="shared" si="79"/>
        <v>1.687131340296071E-3</v>
      </c>
      <c r="J2558" s="22" t="str">
        <f t="shared" si="80"/>
        <v/>
      </c>
    </row>
    <row r="2559" spans="1:10">
      <c r="A2559" s="1">
        <v>41130</v>
      </c>
      <c r="B2559">
        <v>112.26</v>
      </c>
      <c r="C2559">
        <v>113.28</v>
      </c>
      <c r="D2559">
        <v>111.73</v>
      </c>
      <c r="E2559">
        <v>112.63</v>
      </c>
      <c r="F2559">
        <v>4846700</v>
      </c>
      <c r="G2559">
        <v>107.25</v>
      </c>
      <c r="H2559" t="s">
        <v>4</v>
      </c>
      <c r="I2559" s="22">
        <f t="shared" si="79"/>
        <v>4.3919147360862269E-3</v>
      </c>
      <c r="J2559" s="22" t="str">
        <f t="shared" si="80"/>
        <v/>
      </c>
    </row>
    <row r="2560" spans="1:10">
      <c r="A2560" s="1">
        <v>41131</v>
      </c>
      <c r="B2560">
        <v>111.96</v>
      </c>
      <c r="C2560">
        <v>113.64</v>
      </c>
      <c r="D2560">
        <v>111.28</v>
      </c>
      <c r="E2560">
        <v>113.55</v>
      </c>
      <c r="F2560">
        <v>5107600</v>
      </c>
      <c r="G2560">
        <v>108.13</v>
      </c>
      <c r="H2560" t="s">
        <v>4</v>
      </c>
      <c r="I2560" s="22">
        <f t="shared" si="79"/>
        <v>8.1716491493192579E-3</v>
      </c>
      <c r="J2560" s="22" t="str">
        <f t="shared" si="80"/>
        <v/>
      </c>
    </row>
    <row r="2561" spans="1:10">
      <c r="A2561" s="1">
        <v>41134</v>
      </c>
      <c r="B2561">
        <v>113.32</v>
      </c>
      <c r="C2561">
        <v>113.59</v>
      </c>
      <c r="D2561">
        <v>112.71</v>
      </c>
      <c r="E2561">
        <v>113.28</v>
      </c>
      <c r="F2561">
        <v>4336100</v>
      </c>
      <c r="G2561">
        <v>107.87</v>
      </c>
      <c r="H2561" t="s">
        <v>4</v>
      </c>
      <c r="I2561" s="22">
        <f t="shared" si="79"/>
        <v>-2.4074085701079888E-3</v>
      </c>
      <c r="J2561" s="22" t="str">
        <f t="shared" si="80"/>
        <v>lost money</v>
      </c>
    </row>
    <row r="2562" spans="1:10">
      <c r="A2562" s="1">
        <v>41135</v>
      </c>
      <c r="B2562">
        <v>113.7</v>
      </c>
      <c r="C2562">
        <v>113.87</v>
      </c>
      <c r="D2562">
        <v>112.96</v>
      </c>
      <c r="E2562">
        <v>113.32</v>
      </c>
      <c r="F2562">
        <v>6286100</v>
      </c>
      <c r="G2562">
        <v>107.91</v>
      </c>
      <c r="H2562" t="s">
        <v>4</v>
      </c>
      <c r="I2562" s="22">
        <f t="shared" si="79"/>
        <v>3.7074798830442657E-4</v>
      </c>
      <c r="J2562" s="22" t="str">
        <f t="shared" si="80"/>
        <v>lost money</v>
      </c>
    </row>
    <row r="2563" spans="1:10">
      <c r="A2563" s="1">
        <v>41136</v>
      </c>
      <c r="B2563">
        <v>112.13</v>
      </c>
      <c r="C2563">
        <v>113</v>
      </c>
      <c r="D2563">
        <v>112</v>
      </c>
      <c r="E2563">
        <v>112.57</v>
      </c>
      <c r="F2563">
        <v>4539900</v>
      </c>
      <c r="G2563">
        <v>108.05</v>
      </c>
      <c r="H2563" t="s">
        <v>4</v>
      </c>
      <c r="I2563" s="22">
        <f t="shared" ref="I2563:I2626" si="81">IF(A2563=$A$2,"",LN(G2563/G2562))</f>
        <v>1.2965365772527567E-3</v>
      </c>
      <c r="J2563" s="22" t="str">
        <f t="shared" ref="J2563:J2626" si="82">IF(B2563&gt;E2563,"lost money","")</f>
        <v/>
      </c>
    </row>
    <row r="2564" spans="1:10">
      <c r="A2564" s="1">
        <v>41137</v>
      </c>
      <c r="B2564">
        <v>112.72</v>
      </c>
      <c r="C2564">
        <v>113.59</v>
      </c>
      <c r="D2564">
        <v>112.1</v>
      </c>
      <c r="E2564">
        <v>113.32</v>
      </c>
      <c r="F2564">
        <v>5394600</v>
      </c>
      <c r="G2564">
        <v>108.77</v>
      </c>
      <c r="H2564" t="s">
        <v>4</v>
      </c>
      <c r="I2564" s="22">
        <f t="shared" si="81"/>
        <v>6.6414781528638823E-3</v>
      </c>
      <c r="J2564" s="22" t="str">
        <f t="shared" si="82"/>
        <v/>
      </c>
    </row>
    <row r="2565" spans="1:10">
      <c r="A2565" s="1">
        <v>41138</v>
      </c>
      <c r="B2565">
        <v>113.31</v>
      </c>
      <c r="C2565">
        <v>113.57</v>
      </c>
      <c r="D2565">
        <v>112.51</v>
      </c>
      <c r="E2565">
        <v>112.66</v>
      </c>
      <c r="F2565">
        <v>5642600</v>
      </c>
      <c r="G2565">
        <v>108.14</v>
      </c>
      <c r="H2565" t="s">
        <v>4</v>
      </c>
      <c r="I2565" s="22">
        <f t="shared" si="81"/>
        <v>-5.8088771519001128E-3</v>
      </c>
      <c r="J2565" s="22" t="str">
        <f t="shared" si="82"/>
        <v>lost money</v>
      </c>
    </row>
    <row r="2566" spans="1:10">
      <c r="A2566" s="1">
        <v>41141</v>
      </c>
      <c r="B2566">
        <v>112.69</v>
      </c>
      <c r="C2566">
        <v>112.89</v>
      </c>
      <c r="D2566">
        <v>112.14</v>
      </c>
      <c r="E2566">
        <v>112.52</v>
      </c>
      <c r="F2566">
        <v>3908100</v>
      </c>
      <c r="G2566">
        <v>108</v>
      </c>
      <c r="H2566" t="s">
        <v>4</v>
      </c>
      <c r="I2566" s="22">
        <f t="shared" si="81"/>
        <v>-1.2954568296391388E-3</v>
      </c>
      <c r="J2566" s="22" t="str">
        <f t="shared" si="82"/>
        <v>lost money</v>
      </c>
    </row>
    <row r="2567" spans="1:10">
      <c r="A2567" s="1">
        <v>41142</v>
      </c>
      <c r="B2567">
        <v>112.81</v>
      </c>
      <c r="C2567">
        <v>113.45</v>
      </c>
      <c r="D2567">
        <v>111.78</v>
      </c>
      <c r="E2567">
        <v>111.98</v>
      </c>
      <c r="F2567">
        <v>4647100</v>
      </c>
      <c r="G2567">
        <v>107.49</v>
      </c>
      <c r="H2567" t="s">
        <v>4</v>
      </c>
      <c r="I2567" s="22">
        <f t="shared" si="81"/>
        <v>-4.7334071392476302E-3</v>
      </c>
      <c r="J2567" s="22" t="str">
        <f t="shared" si="82"/>
        <v>lost money</v>
      </c>
    </row>
    <row r="2568" spans="1:10">
      <c r="A2568" s="1">
        <v>41143</v>
      </c>
      <c r="B2568">
        <v>111.9</v>
      </c>
      <c r="C2568">
        <v>112.35</v>
      </c>
      <c r="D2568">
        <v>111.28</v>
      </c>
      <c r="E2568">
        <v>112.15</v>
      </c>
      <c r="F2568">
        <v>4445400</v>
      </c>
      <c r="G2568">
        <v>107.65</v>
      </c>
      <c r="H2568" t="s">
        <v>4</v>
      </c>
      <c r="I2568" s="22">
        <f t="shared" si="81"/>
        <v>1.4874038253999259E-3</v>
      </c>
      <c r="J2568" s="22" t="str">
        <f t="shared" si="82"/>
        <v/>
      </c>
    </row>
    <row r="2569" spans="1:10">
      <c r="A2569" s="1">
        <v>41144</v>
      </c>
      <c r="B2569">
        <v>112.08</v>
      </c>
      <c r="C2569">
        <v>112.17</v>
      </c>
      <c r="D2569">
        <v>110.95</v>
      </c>
      <c r="E2569">
        <v>111.29</v>
      </c>
      <c r="F2569">
        <v>4191500</v>
      </c>
      <c r="G2569">
        <v>106.82</v>
      </c>
      <c r="H2569" t="s">
        <v>4</v>
      </c>
      <c r="I2569" s="22">
        <f t="shared" si="81"/>
        <v>-7.7400488987479305E-3</v>
      </c>
      <c r="J2569" s="22" t="str">
        <f t="shared" si="82"/>
        <v>lost money</v>
      </c>
    </row>
    <row r="2570" spans="1:10">
      <c r="A2570" s="1">
        <v>41145</v>
      </c>
      <c r="B2570">
        <v>110.77</v>
      </c>
      <c r="C2570">
        <v>112.2</v>
      </c>
      <c r="D2570">
        <v>110.76</v>
      </c>
      <c r="E2570">
        <v>112.01</v>
      </c>
      <c r="F2570">
        <v>3453300</v>
      </c>
      <c r="G2570">
        <v>107.51</v>
      </c>
      <c r="H2570" t="s">
        <v>4</v>
      </c>
      <c r="I2570" s="22">
        <f t="shared" si="81"/>
        <v>6.4386915855124526E-3</v>
      </c>
      <c r="J2570" s="22" t="str">
        <f t="shared" si="82"/>
        <v/>
      </c>
    </row>
    <row r="2571" spans="1:10">
      <c r="A2571" s="1">
        <v>41148</v>
      </c>
      <c r="B2571">
        <v>112.18</v>
      </c>
      <c r="C2571">
        <v>112.39</v>
      </c>
      <c r="D2571">
        <v>111.46</v>
      </c>
      <c r="E2571">
        <v>111.73</v>
      </c>
      <c r="F2571">
        <v>3388800</v>
      </c>
      <c r="G2571">
        <v>107.25</v>
      </c>
      <c r="H2571" t="s">
        <v>4</v>
      </c>
      <c r="I2571" s="22">
        <f t="shared" si="81"/>
        <v>-2.4213086890103389E-3</v>
      </c>
      <c r="J2571" s="22" t="str">
        <f t="shared" si="82"/>
        <v>lost money</v>
      </c>
    </row>
    <row r="2572" spans="1:10">
      <c r="A2572" s="1">
        <v>41149</v>
      </c>
      <c r="B2572">
        <v>111.84</v>
      </c>
      <c r="C2572">
        <v>112.81</v>
      </c>
      <c r="D2572">
        <v>111.77</v>
      </c>
      <c r="E2572">
        <v>112.35</v>
      </c>
      <c r="F2572">
        <v>3340900</v>
      </c>
      <c r="G2572">
        <v>107.84</v>
      </c>
      <c r="H2572" t="s">
        <v>4</v>
      </c>
      <c r="I2572" s="22">
        <f t="shared" si="81"/>
        <v>5.4860893558706884E-3</v>
      </c>
      <c r="J2572" s="22" t="str">
        <f t="shared" si="82"/>
        <v/>
      </c>
    </row>
    <row r="2573" spans="1:10">
      <c r="A2573" s="1">
        <v>41150</v>
      </c>
      <c r="B2573">
        <v>112.33</v>
      </c>
      <c r="C2573">
        <v>112.44</v>
      </c>
      <c r="D2573">
        <v>111.6</v>
      </c>
      <c r="E2573">
        <v>111.8</v>
      </c>
      <c r="F2573">
        <v>3296300</v>
      </c>
      <c r="G2573">
        <v>107.31</v>
      </c>
      <c r="H2573" t="s">
        <v>4</v>
      </c>
      <c r="I2573" s="22">
        <f t="shared" si="81"/>
        <v>-4.9268052249608332E-3</v>
      </c>
      <c r="J2573" s="22" t="str">
        <f t="shared" si="82"/>
        <v>lost money</v>
      </c>
    </row>
    <row r="2574" spans="1:10">
      <c r="A2574" s="1">
        <v>41151</v>
      </c>
      <c r="B2574">
        <v>111.49</v>
      </c>
      <c r="C2574">
        <v>111.69</v>
      </c>
      <c r="D2574">
        <v>110.92</v>
      </c>
      <c r="E2574">
        <v>110.93</v>
      </c>
      <c r="F2574">
        <v>3523200</v>
      </c>
      <c r="G2574">
        <v>106.48</v>
      </c>
      <c r="H2574" t="s">
        <v>4</v>
      </c>
      <c r="I2574" s="22">
        <f t="shared" si="81"/>
        <v>-7.7646678521798296E-3</v>
      </c>
      <c r="J2574" s="22" t="str">
        <f t="shared" si="82"/>
        <v>lost money</v>
      </c>
    </row>
    <row r="2575" spans="1:10">
      <c r="A2575" s="1">
        <v>41152</v>
      </c>
      <c r="B2575">
        <v>111.67</v>
      </c>
      <c r="C2575">
        <v>112.95</v>
      </c>
      <c r="D2575">
        <v>111.67</v>
      </c>
      <c r="E2575">
        <v>112.16</v>
      </c>
      <c r="F2575">
        <v>5557000</v>
      </c>
      <c r="G2575">
        <v>107.66</v>
      </c>
      <c r="H2575" t="s">
        <v>4</v>
      </c>
      <c r="I2575" s="22">
        <f t="shared" si="81"/>
        <v>1.1020939045954877E-2</v>
      </c>
      <c r="J2575" s="22" t="str">
        <f t="shared" si="82"/>
        <v/>
      </c>
    </row>
    <row r="2576" spans="1:10">
      <c r="A2576" s="1">
        <v>41156</v>
      </c>
      <c r="B2576">
        <v>112.03</v>
      </c>
      <c r="C2576">
        <v>112.27</v>
      </c>
      <c r="D2576">
        <v>110.88</v>
      </c>
      <c r="E2576">
        <v>111.22</v>
      </c>
      <c r="F2576">
        <v>4632400</v>
      </c>
      <c r="G2576">
        <v>106.76</v>
      </c>
      <c r="H2576" t="s">
        <v>4</v>
      </c>
      <c r="I2576" s="22">
        <f t="shared" si="81"/>
        <v>-8.394788596487705E-3</v>
      </c>
      <c r="J2576" s="22" t="str">
        <f t="shared" si="82"/>
        <v>lost money</v>
      </c>
    </row>
    <row r="2577" spans="1:10">
      <c r="A2577" s="1">
        <v>41157</v>
      </c>
      <c r="B2577">
        <v>111.6</v>
      </c>
      <c r="C2577">
        <v>111.73</v>
      </c>
      <c r="D2577">
        <v>110.59</v>
      </c>
      <c r="E2577">
        <v>110.77</v>
      </c>
      <c r="F2577">
        <v>4441200</v>
      </c>
      <c r="G2577">
        <v>106.32</v>
      </c>
      <c r="H2577" t="s">
        <v>4</v>
      </c>
      <c r="I2577" s="22">
        <f t="shared" si="81"/>
        <v>-4.1299101313335704E-3</v>
      </c>
      <c r="J2577" s="22" t="str">
        <f t="shared" si="82"/>
        <v>lost money</v>
      </c>
    </row>
    <row r="2578" spans="1:10">
      <c r="A2578" s="1">
        <v>41158</v>
      </c>
      <c r="B2578">
        <v>111.57</v>
      </c>
      <c r="C2578">
        <v>113.44</v>
      </c>
      <c r="D2578">
        <v>111.57</v>
      </c>
      <c r="E2578">
        <v>113.03</v>
      </c>
      <c r="F2578">
        <v>5531500</v>
      </c>
      <c r="G2578">
        <v>108.49</v>
      </c>
      <c r="H2578" t="s">
        <v>4</v>
      </c>
      <c r="I2578" s="22">
        <f t="shared" si="81"/>
        <v>2.0204588429369421E-2</v>
      </c>
      <c r="J2578" s="22" t="str">
        <f t="shared" si="82"/>
        <v/>
      </c>
    </row>
    <row r="2579" spans="1:10">
      <c r="A2579" s="1">
        <v>41159</v>
      </c>
      <c r="B2579">
        <v>112.97</v>
      </c>
      <c r="C2579">
        <v>114</v>
      </c>
      <c r="D2579">
        <v>112.74</v>
      </c>
      <c r="E2579">
        <v>114</v>
      </c>
      <c r="F2579">
        <v>5057300</v>
      </c>
      <c r="G2579">
        <v>109.42</v>
      </c>
      <c r="H2579" t="s">
        <v>4</v>
      </c>
      <c r="I2579" s="22">
        <f t="shared" si="81"/>
        <v>8.5356858013205424E-3</v>
      </c>
      <c r="J2579" s="22" t="str">
        <f t="shared" si="82"/>
        <v/>
      </c>
    </row>
    <row r="2580" spans="1:10">
      <c r="A2580" s="1">
        <v>41162</v>
      </c>
      <c r="B2580">
        <v>114.2</v>
      </c>
      <c r="C2580">
        <v>114.54</v>
      </c>
      <c r="D2580">
        <v>113.6</v>
      </c>
      <c r="E2580">
        <v>113.96</v>
      </c>
      <c r="F2580">
        <v>5212400</v>
      </c>
      <c r="G2580">
        <v>109.39</v>
      </c>
      <c r="H2580" t="s">
        <v>4</v>
      </c>
      <c r="I2580" s="22">
        <f t="shared" si="81"/>
        <v>-2.7421050398048955E-4</v>
      </c>
      <c r="J2580" s="22" t="str">
        <f t="shared" si="82"/>
        <v>lost money</v>
      </c>
    </row>
    <row r="2581" spans="1:10">
      <c r="A2581" s="1">
        <v>41163</v>
      </c>
      <c r="B2581">
        <v>114.07</v>
      </c>
      <c r="C2581">
        <v>114.75</v>
      </c>
      <c r="D2581">
        <v>114</v>
      </c>
      <c r="E2581">
        <v>114.18</v>
      </c>
      <c r="F2581">
        <v>4758800</v>
      </c>
      <c r="G2581">
        <v>109.6</v>
      </c>
      <c r="H2581" t="s">
        <v>4</v>
      </c>
      <c r="I2581" s="22">
        <f t="shared" si="81"/>
        <v>1.9178963822156E-3</v>
      </c>
      <c r="J2581" s="22" t="str">
        <f t="shared" si="82"/>
        <v/>
      </c>
    </row>
    <row r="2582" spans="1:10">
      <c r="A2582" s="1">
        <v>41164</v>
      </c>
      <c r="B2582">
        <v>114.23</v>
      </c>
      <c r="C2582">
        <v>114.74</v>
      </c>
      <c r="D2582">
        <v>114.03</v>
      </c>
      <c r="E2582">
        <v>114.48</v>
      </c>
      <c r="F2582">
        <v>4420700</v>
      </c>
      <c r="G2582">
        <v>109.89</v>
      </c>
      <c r="H2582" t="s">
        <v>4</v>
      </c>
      <c r="I2582" s="22">
        <f t="shared" si="81"/>
        <v>2.6424909449176744E-3</v>
      </c>
      <c r="J2582" s="22" t="str">
        <f t="shared" si="82"/>
        <v/>
      </c>
    </row>
    <row r="2583" spans="1:10">
      <c r="A2583" s="1">
        <v>41165</v>
      </c>
      <c r="B2583">
        <v>114.73</v>
      </c>
      <c r="C2583">
        <v>116.97</v>
      </c>
      <c r="D2583">
        <v>114.12</v>
      </c>
      <c r="E2583">
        <v>116.56</v>
      </c>
      <c r="F2583">
        <v>7737700</v>
      </c>
      <c r="G2583">
        <v>111.88</v>
      </c>
      <c r="H2583" t="s">
        <v>4</v>
      </c>
      <c r="I2583" s="22">
        <f t="shared" si="81"/>
        <v>1.794700287492617E-2</v>
      </c>
      <c r="J2583" s="22" t="str">
        <f t="shared" si="82"/>
        <v/>
      </c>
    </row>
    <row r="2584" spans="1:10">
      <c r="A2584" s="1">
        <v>41166</v>
      </c>
      <c r="B2584">
        <v>116.93</v>
      </c>
      <c r="C2584">
        <v>118.22</v>
      </c>
      <c r="D2584">
        <v>116.48</v>
      </c>
      <c r="E2584">
        <v>117.25</v>
      </c>
      <c r="F2584">
        <v>8978300</v>
      </c>
      <c r="G2584">
        <v>112.54</v>
      </c>
      <c r="H2584" t="s">
        <v>4</v>
      </c>
      <c r="I2584" s="22">
        <f t="shared" si="81"/>
        <v>5.8818456713741205E-3</v>
      </c>
      <c r="J2584" s="22" t="str">
        <f t="shared" si="82"/>
        <v/>
      </c>
    </row>
    <row r="2585" spans="1:10">
      <c r="A2585" s="1">
        <v>41169</v>
      </c>
      <c r="B2585">
        <v>117.17</v>
      </c>
      <c r="C2585">
        <v>118.5</v>
      </c>
      <c r="D2585">
        <v>116.89</v>
      </c>
      <c r="E2585">
        <v>117.14</v>
      </c>
      <c r="F2585">
        <v>7409700</v>
      </c>
      <c r="G2585">
        <v>112.44</v>
      </c>
      <c r="H2585" t="s">
        <v>4</v>
      </c>
      <c r="I2585" s="22">
        <f t="shared" si="81"/>
        <v>-8.8896796680186345E-4</v>
      </c>
      <c r="J2585" s="22" t="str">
        <f t="shared" si="82"/>
        <v>lost money</v>
      </c>
    </row>
    <row r="2586" spans="1:10">
      <c r="A2586" s="1">
        <v>41170</v>
      </c>
      <c r="B2586">
        <v>116.99</v>
      </c>
      <c r="C2586">
        <v>117.65</v>
      </c>
      <c r="D2586">
        <v>116.59</v>
      </c>
      <c r="E2586">
        <v>116.97</v>
      </c>
      <c r="F2586">
        <v>5100100</v>
      </c>
      <c r="G2586">
        <v>112.28</v>
      </c>
      <c r="H2586" t="s">
        <v>4</v>
      </c>
      <c r="I2586" s="22">
        <f t="shared" si="81"/>
        <v>-1.4239945446493348E-3</v>
      </c>
      <c r="J2586" s="22" t="str">
        <f t="shared" si="82"/>
        <v>lost money</v>
      </c>
    </row>
    <row r="2587" spans="1:10">
      <c r="A2587" s="1">
        <v>41171</v>
      </c>
      <c r="B2587">
        <v>117.09</v>
      </c>
      <c r="C2587">
        <v>117.18</v>
      </c>
      <c r="D2587">
        <v>115.83</v>
      </c>
      <c r="E2587">
        <v>116.6</v>
      </c>
      <c r="F2587">
        <v>5978000</v>
      </c>
      <c r="G2587">
        <v>111.92</v>
      </c>
      <c r="H2587" t="s">
        <v>4</v>
      </c>
      <c r="I2587" s="22">
        <f t="shared" si="81"/>
        <v>-3.211421136455981E-3</v>
      </c>
      <c r="J2587" s="22" t="str">
        <f t="shared" si="82"/>
        <v>lost money</v>
      </c>
    </row>
    <row r="2588" spans="1:10">
      <c r="A2588" s="1">
        <v>41172</v>
      </c>
      <c r="B2588">
        <v>116.14</v>
      </c>
      <c r="C2588">
        <v>118.17</v>
      </c>
      <c r="D2588">
        <v>115.5</v>
      </c>
      <c r="E2588">
        <v>117.85</v>
      </c>
      <c r="F2588">
        <v>7286200</v>
      </c>
      <c r="G2588">
        <v>113.12</v>
      </c>
      <c r="H2588" t="s">
        <v>4</v>
      </c>
      <c r="I2588" s="22">
        <f t="shared" si="81"/>
        <v>1.0664871791036871E-2</v>
      </c>
      <c r="J2588" s="22" t="str">
        <f t="shared" si="82"/>
        <v/>
      </c>
    </row>
    <row r="2589" spans="1:10">
      <c r="A2589" s="1">
        <v>41173</v>
      </c>
      <c r="B2589">
        <v>118.53</v>
      </c>
      <c r="C2589">
        <v>118.53</v>
      </c>
      <c r="D2589">
        <v>117.47</v>
      </c>
      <c r="E2589">
        <v>117.8</v>
      </c>
      <c r="F2589">
        <v>10280700</v>
      </c>
      <c r="G2589">
        <v>113.07</v>
      </c>
      <c r="H2589" t="s">
        <v>4</v>
      </c>
      <c r="I2589" s="22">
        <f t="shared" si="81"/>
        <v>-4.4210620110899144E-4</v>
      </c>
      <c r="J2589" s="22" t="str">
        <f t="shared" si="82"/>
        <v>lost money</v>
      </c>
    </row>
    <row r="2590" spans="1:10">
      <c r="A2590" s="1">
        <v>41176</v>
      </c>
      <c r="B2590">
        <v>117.55</v>
      </c>
      <c r="C2590">
        <v>118.49</v>
      </c>
      <c r="D2590">
        <v>117.46</v>
      </c>
      <c r="E2590">
        <v>117.78</v>
      </c>
      <c r="F2590">
        <v>6808800</v>
      </c>
      <c r="G2590">
        <v>113.05</v>
      </c>
      <c r="H2590" t="s">
        <v>4</v>
      </c>
      <c r="I2590" s="22">
        <f t="shared" si="81"/>
        <v>-1.7689722317484413E-4</v>
      </c>
      <c r="J2590" s="22" t="str">
        <f t="shared" si="82"/>
        <v/>
      </c>
    </row>
    <row r="2591" spans="1:10">
      <c r="A2591" s="1">
        <v>41177</v>
      </c>
      <c r="B2591">
        <v>118.18</v>
      </c>
      <c r="C2591">
        <v>118.5</v>
      </c>
      <c r="D2591">
        <v>116.53</v>
      </c>
      <c r="E2591">
        <v>116.93</v>
      </c>
      <c r="F2591">
        <v>7565400</v>
      </c>
      <c r="G2591">
        <v>112.24</v>
      </c>
      <c r="H2591" t="s">
        <v>4</v>
      </c>
      <c r="I2591" s="22">
        <f t="shared" si="81"/>
        <v>-7.190762929773397E-3</v>
      </c>
      <c r="J2591" s="22" t="str">
        <f t="shared" si="82"/>
        <v>lost money</v>
      </c>
    </row>
    <row r="2592" spans="1:10">
      <c r="A2592" s="1">
        <v>41178</v>
      </c>
      <c r="B2592">
        <v>116.82</v>
      </c>
      <c r="C2592">
        <v>117</v>
      </c>
      <c r="D2592">
        <v>116.15</v>
      </c>
      <c r="E2592">
        <v>116.3</v>
      </c>
      <c r="F2592">
        <v>5586700</v>
      </c>
      <c r="G2592">
        <v>111.63</v>
      </c>
      <c r="H2592" t="s">
        <v>4</v>
      </c>
      <c r="I2592" s="22">
        <f t="shared" si="81"/>
        <v>-5.449604767564703E-3</v>
      </c>
      <c r="J2592" s="22" t="str">
        <f t="shared" si="82"/>
        <v>lost money</v>
      </c>
    </row>
    <row r="2593" spans="1:10">
      <c r="A2593" s="1">
        <v>41179</v>
      </c>
      <c r="B2593">
        <v>116.78</v>
      </c>
      <c r="C2593">
        <v>117.4</v>
      </c>
      <c r="D2593">
        <v>116.52</v>
      </c>
      <c r="E2593">
        <v>117.2</v>
      </c>
      <c r="F2593">
        <v>5482200</v>
      </c>
      <c r="G2593">
        <v>112.5</v>
      </c>
      <c r="H2593" t="s">
        <v>4</v>
      </c>
      <c r="I2593" s="22">
        <f t="shared" si="81"/>
        <v>7.7633906178341183E-3</v>
      </c>
      <c r="J2593" s="22" t="str">
        <f t="shared" si="82"/>
        <v/>
      </c>
    </row>
    <row r="2594" spans="1:10">
      <c r="A2594" s="1">
        <v>41180</v>
      </c>
      <c r="B2594">
        <v>116.88</v>
      </c>
      <c r="C2594">
        <v>116.89</v>
      </c>
      <c r="D2594">
        <v>116.15</v>
      </c>
      <c r="E2594">
        <v>116.56</v>
      </c>
      <c r="F2594">
        <v>5626800</v>
      </c>
      <c r="G2594">
        <v>111.88</v>
      </c>
      <c r="H2594" t="s">
        <v>4</v>
      </c>
      <c r="I2594" s="22">
        <f t="shared" si="81"/>
        <v>-5.5263533107158683E-3</v>
      </c>
      <c r="J2594" s="22" t="str">
        <f t="shared" si="82"/>
        <v>lost money</v>
      </c>
    </row>
    <row r="2595" spans="1:10">
      <c r="A2595" s="1">
        <v>41183</v>
      </c>
      <c r="B2595">
        <v>116.92</v>
      </c>
      <c r="C2595">
        <v>118.25</v>
      </c>
      <c r="D2595">
        <v>116.87</v>
      </c>
      <c r="E2595">
        <v>117.25</v>
      </c>
      <c r="F2595">
        <v>4914900</v>
      </c>
      <c r="G2595">
        <v>112.54</v>
      </c>
      <c r="H2595" t="s">
        <v>4</v>
      </c>
      <c r="I2595" s="22">
        <f t="shared" si="81"/>
        <v>5.8818456713741205E-3</v>
      </c>
      <c r="J2595" s="22" t="str">
        <f t="shared" si="82"/>
        <v/>
      </c>
    </row>
    <row r="2596" spans="1:10">
      <c r="A2596" s="1">
        <v>41184</v>
      </c>
      <c r="B2596">
        <v>117.65</v>
      </c>
      <c r="C2596">
        <v>118.08</v>
      </c>
      <c r="D2596">
        <v>116.92</v>
      </c>
      <c r="E2596">
        <v>117.96</v>
      </c>
      <c r="F2596">
        <v>6012400</v>
      </c>
      <c r="G2596">
        <v>113.23</v>
      </c>
      <c r="H2596" t="s">
        <v>4</v>
      </c>
      <c r="I2596" s="22">
        <f t="shared" si="81"/>
        <v>6.1124343208152979E-3</v>
      </c>
      <c r="J2596" s="22" t="str">
        <f t="shared" si="82"/>
        <v/>
      </c>
    </row>
    <row r="2597" spans="1:10">
      <c r="A2597" s="1">
        <v>41185</v>
      </c>
      <c r="B2597">
        <v>117.65</v>
      </c>
      <c r="C2597">
        <v>117.74</v>
      </c>
      <c r="D2597">
        <v>116.05</v>
      </c>
      <c r="E2597">
        <v>116.14</v>
      </c>
      <c r="F2597">
        <v>7362500</v>
      </c>
      <c r="G2597">
        <v>111.48</v>
      </c>
      <c r="H2597" t="s">
        <v>4</v>
      </c>
      <c r="I2597" s="22">
        <f t="shared" si="81"/>
        <v>-1.557594571220073E-2</v>
      </c>
      <c r="J2597" s="22" t="str">
        <f t="shared" si="82"/>
        <v>lost money</v>
      </c>
    </row>
    <row r="2598" spans="1:10">
      <c r="A2598" s="1">
        <v>41186</v>
      </c>
      <c r="B2598">
        <v>116.64</v>
      </c>
      <c r="C2598">
        <v>117.47</v>
      </c>
      <c r="D2598">
        <v>116.47</v>
      </c>
      <c r="E2598">
        <v>117.15</v>
      </c>
      <c r="F2598">
        <v>5425700</v>
      </c>
      <c r="G2598">
        <v>112.45</v>
      </c>
      <c r="H2598" t="s">
        <v>4</v>
      </c>
      <c r="I2598" s="22">
        <f t="shared" si="81"/>
        <v>8.6634757915772589E-3</v>
      </c>
      <c r="J2598" s="22" t="str">
        <f t="shared" si="82"/>
        <v/>
      </c>
    </row>
    <row r="2599" spans="1:10">
      <c r="A2599" s="1">
        <v>41187</v>
      </c>
      <c r="B2599">
        <v>117.42</v>
      </c>
      <c r="C2599">
        <v>118.25</v>
      </c>
      <c r="D2599">
        <v>117.12</v>
      </c>
      <c r="E2599">
        <v>117.5</v>
      </c>
      <c r="F2599">
        <v>4507900</v>
      </c>
      <c r="G2599">
        <v>112.78</v>
      </c>
      <c r="H2599" t="s">
        <v>4</v>
      </c>
      <c r="I2599" s="22">
        <f t="shared" si="81"/>
        <v>2.9303399737113578E-3</v>
      </c>
      <c r="J2599" s="22" t="str">
        <f t="shared" si="82"/>
        <v/>
      </c>
    </row>
    <row r="2600" spans="1:10">
      <c r="A2600" s="1">
        <v>41190</v>
      </c>
      <c r="B2600">
        <v>117.19</v>
      </c>
      <c r="C2600">
        <v>117.87</v>
      </c>
      <c r="D2600">
        <v>116.95</v>
      </c>
      <c r="E2600">
        <v>117.62</v>
      </c>
      <c r="F2600">
        <v>3434900</v>
      </c>
      <c r="G2600">
        <v>112.9</v>
      </c>
      <c r="H2600" t="s">
        <v>4</v>
      </c>
      <c r="I2600" s="22">
        <f t="shared" si="81"/>
        <v>1.0634527765803518E-3</v>
      </c>
      <c r="J2600" s="22" t="str">
        <f t="shared" si="82"/>
        <v/>
      </c>
    </row>
    <row r="2601" spans="1:10">
      <c r="A2601" s="1">
        <v>41191</v>
      </c>
      <c r="B2601">
        <v>117.52</v>
      </c>
      <c r="C2601">
        <v>118.38</v>
      </c>
      <c r="D2601">
        <v>117.35</v>
      </c>
      <c r="E2601">
        <v>117.36</v>
      </c>
      <c r="F2601">
        <v>5983500</v>
      </c>
      <c r="G2601">
        <v>112.65</v>
      </c>
      <c r="H2601" t="s">
        <v>4</v>
      </c>
      <c r="I2601" s="22">
        <f t="shared" si="81"/>
        <v>-2.2168042773629167E-3</v>
      </c>
      <c r="J2601" s="22" t="str">
        <f t="shared" si="82"/>
        <v>lost money</v>
      </c>
    </row>
    <row r="2602" spans="1:10">
      <c r="A2602" s="1">
        <v>41192</v>
      </c>
      <c r="B2602">
        <v>114.64</v>
      </c>
      <c r="C2602">
        <v>115.05</v>
      </c>
      <c r="D2602">
        <v>112.01</v>
      </c>
      <c r="E2602">
        <v>112.45</v>
      </c>
      <c r="F2602">
        <v>15959000</v>
      </c>
      <c r="G2602">
        <v>107.94</v>
      </c>
      <c r="H2602" t="s">
        <v>4</v>
      </c>
      <c r="I2602" s="22">
        <f t="shared" si="81"/>
        <v>-4.2710149687756785E-2</v>
      </c>
      <c r="J2602" s="22" t="str">
        <f t="shared" si="82"/>
        <v>lost money</v>
      </c>
    </row>
    <row r="2603" spans="1:10">
      <c r="A2603" s="1">
        <v>41193</v>
      </c>
      <c r="B2603">
        <v>113.37</v>
      </c>
      <c r="C2603">
        <v>114.22</v>
      </c>
      <c r="D2603">
        <v>113.06</v>
      </c>
      <c r="E2603">
        <v>113.06</v>
      </c>
      <c r="F2603">
        <v>7279900</v>
      </c>
      <c r="G2603">
        <v>108.52</v>
      </c>
      <c r="H2603" t="s">
        <v>4</v>
      </c>
      <c r="I2603" s="22">
        <f t="shared" si="81"/>
        <v>5.3589706002342401E-3</v>
      </c>
      <c r="J2603" s="22" t="str">
        <f t="shared" si="82"/>
        <v>lost money</v>
      </c>
    </row>
    <row r="2604" spans="1:10">
      <c r="A2604" s="1">
        <v>41194</v>
      </c>
      <c r="B2604">
        <v>113.08</v>
      </c>
      <c r="C2604">
        <v>113.29</v>
      </c>
      <c r="D2604">
        <v>111.61</v>
      </c>
      <c r="E2604">
        <v>112.07</v>
      </c>
      <c r="F2604">
        <v>5915800</v>
      </c>
      <c r="G2604">
        <v>107.57</v>
      </c>
      <c r="H2604" t="s">
        <v>4</v>
      </c>
      <c r="I2604" s="22">
        <f t="shared" si="81"/>
        <v>-8.7926893468169964E-3</v>
      </c>
      <c r="J2604" s="22" t="str">
        <f t="shared" si="82"/>
        <v>lost money</v>
      </c>
    </row>
    <row r="2605" spans="1:10">
      <c r="A2605" s="1">
        <v>41197</v>
      </c>
      <c r="B2605">
        <v>112.16</v>
      </c>
      <c r="C2605">
        <v>113.04</v>
      </c>
      <c r="D2605">
        <v>111.1</v>
      </c>
      <c r="E2605">
        <v>112.82</v>
      </c>
      <c r="F2605">
        <v>5775100</v>
      </c>
      <c r="G2605">
        <v>108.29</v>
      </c>
      <c r="H2605" t="s">
        <v>4</v>
      </c>
      <c r="I2605" s="22">
        <f t="shared" si="81"/>
        <v>6.6710151963740765E-3</v>
      </c>
      <c r="J2605" s="22" t="str">
        <f t="shared" si="82"/>
        <v/>
      </c>
    </row>
    <row r="2606" spans="1:10">
      <c r="A2606" s="1">
        <v>41198</v>
      </c>
      <c r="B2606">
        <v>113.48</v>
      </c>
      <c r="C2606">
        <v>114.41</v>
      </c>
      <c r="D2606">
        <v>113.32</v>
      </c>
      <c r="E2606">
        <v>114.09</v>
      </c>
      <c r="F2606">
        <v>4793300</v>
      </c>
      <c r="G2606">
        <v>109.51</v>
      </c>
      <c r="H2606" t="s">
        <v>4</v>
      </c>
      <c r="I2606" s="22">
        <f t="shared" si="81"/>
        <v>1.1203055647379811E-2</v>
      </c>
      <c r="J2606" s="22" t="str">
        <f t="shared" si="82"/>
        <v/>
      </c>
    </row>
    <row r="2607" spans="1:10">
      <c r="A2607" s="1">
        <v>41199</v>
      </c>
      <c r="B2607">
        <v>114.36</v>
      </c>
      <c r="C2607">
        <v>115.36</v>
      </c>
      <c r="D2607">
        <v>114.36</v>
      </c>
      <c r="E2607">
        <v>115.18</v>
      </c>
      <c r="F2607">
        <v>5218200</v>
      </c>
      <c r="G2607">
        <v>110.56</v>
      </c>
      <c r="H2607" t="s">
        <v>4</v>
      </c>
      <c r="I2607" s="22">
        <f t="shared" si="81"/>
        <v>9.5424907316918745E-3</v>
      </c>
      <c r="J2607" s="22" t="str">
        <f t="shared" si="82"/>
        <v/>
      </c>
    </row>
    <row r="2608" spans="1:10">
      <c r="A2608" s="1">
        <v>41200</v>
      </c>
      <c r="B2608">
        <v>114.55</v>
      </c>
      <c r="C2608">
        <v>115.03</v>
      </c>
      <c r="D2608">
        <v>114.37</v>
      </c>
      <c r="E2608">
        <v>114.65</v>
      </c>
      <c r="F2608">
        <v>6166900</v>
      </c>
      <c r="G2608">
        <v>110.05</v>
      </c>
      <c r="H2608" t="s">
        <v>4</v>
      </c>
      <c r="I2608" s="22">
        <f t="shared" si="81"/>
        <v>-4.6235520468890954E-3</v>
      </c>
      <c r="J2608" s="22" t="str">
        <f t="shared" si="82"/>
        <v/>
      </c>
    </row>
    <row r="2609" spans="1:10">
      <c r="A2609" s="1">
        <v>41201</v>
      </c>
      <c r="B2609">
        <v>114.9</v>
      </c>
      <c r="C2609">
        <v>114.99</v>
      </c>
      <c r="D2609">
        <v>113.11</v>
      </c>
      <c r="E2609">
        <v>113.38</v>
      </c>
      <c r="F2609">
        <v>7160000</v>
      </c>
      <c r="G2609">
        <v>108.83</v>
      </c>
      <c r="H2609" t="s">
        <v>4</v>
      </c>
      <c r="I2609" s="22">
        <f t="shared" si="81"/>
        <v>-1.114777626450035E-2</v>
      </c>
      <c r="J2609" s="22" t="str">
        <f t="shared" si="82"/>
        <v>lost money</v>
      </c>
    </row>
    <row r="2610" spans="1:10">
      <c r="A2610" s="1">
        <v>41204</v>
      </c>
      <c r="B2610">
        <v>113.61</v>
      </c>
      <c r="C2610">
        <v>113.7</v>
      </c>
      <c r="D2610">
        <v>111.73</v>
      </c>
      <c r="E2610">
        <v>112.74</v>
      </c>
      <c r="F2610">
        <v>4811900</v>
      </c>
      <c r="G2610">
        <v>108.22</v>
      </c>
      <c r="H2610" t="s">
        <v>4</v>
      </c>
      <c r="I2610" s="22">
        <f t="shared" si="81"/>
        <v>-5.6208394933810754E-3</v>
      </c>
      <c r="J2610" s="22" t="str">
        <f t="shared" si="82"/>
        <v>lost money</v>
      </c>
    </row>
    <row r="2611" spans="1:10">
      <c r="A2611" s="1">
        <v>41205</v>
      </c>
      <c r="B2611">
        <v>111.58</v>
      </c>
      <c r="C2611">
        <v>111.58</v>
      </c>
      <c r="D2611">
        <v>109.1</v>
      </c>
      <c r="E2611">
        <v>109.38</v>
      </c>
      <c r="F2611">
        <v>8011000</v>
      </c>
      <c r="G2611">
        <v>104.99</v>
      </c>
      <c r="H2611" t="s">
        <v>4</v>
      </c>
      <c r="I2611" s="22">
        <f t="shared" si="81"/>
        <v>-3.0301084687739326E-2</v>
      </c>
      <c r="J2611" s="22" t="str">
        <f t="shared" si="82"/>
        <v>lost money</v>
      </c>
    </row>
    <row r="2612" spans="1:10">
      <c r="A2612" s="1">
        <v>41206</v>
      </c>
      <c r="B2612">
        <v>109.42</v>
      </c>
      <c r="C2612">
        <v>110.49</v>
      </c>
      <c r="D2612">
        <v>109.03</v>
      </c>
      <c r="E2612">
        <v>109.71</v>
      </c>
      <c r="F2612">
        <v>5087900</v>
      </c>
      <c r="G2612">
        <v>105.31</v>
      </c>
      <c r="H2612" t="s">
        <v>4</v>
      </c>
      <c r="I2612" s="22">
        <f t="shared" si="81"/>
        <v>3.0432738656558642E-3</v>
      </c>
      <c r="J2612" s="22" t="str">
        <f t="shared" si="82"/>
        <v/>
      </c>
    </row>
    <row r="2613" spans="1:10">
      <c r="A2613" s="1">
        <v>41207</v>
      </c>
      <c r="B2613">
        <v>110.63</v>
      </c>
      <c r="C2613">
        <v>110.97</v>
      </c>
      <c r="D2613">
        <v>109.65</v>
      </c>
      <c r="E2613">
        <v>110.96</v>
      </c>
      <c r="F2613">
        <v>4888600</v>
      </c>
      <c r="G2613">
        <v>106.51</v>
      </c>
      <c r="H2613" t="s">
        <v>4</v>
      </c>
      <c r="I2613" s="22">
        <f t="shared" si="81"/>
        <v>1.1330496062568666E-2</v>
      </c>
      <c r="J2613" s="22" t="str">
        <f t="shared" si="82"/>
        <v/>
      </c>
    </row>
    <row r="2614" spans="1:10">
      <c r="A2614" s="1">
        <v>41208</v>
      </c>
      <c r="B2614">
        <v>110.67</v>
      </c>
      <c r="C2614">
        <v>111.69</v>
      </c>
      <c r="D2614">
        <v>110.58</v>
      </c>
      <c r="E2614">
        <v>111.18</v>
      </c>
      <c r="F2614">
        <v>4777600</v>
      </c>
      <c r="G2614">
        <v>106.72</v>
      </c>
      <c r="H2614" t="s">
        <v>4</v>
      </c>
      <c r="I2614" s="22">
        <f t="shared" si="81"/>
        <v>1.969704712239259E-3</v>
      </c>
      <c r="J2614" s="22" t="str">
        <f t="shared" si="82"/>
        <v/>
      </c>
    </row>
    <row r="2615" spans="1:10">
      <c r="A2615" s="1">
        <v>41213</v>
      </c>
      <c r="B2615">
        <v>111.93</v>
      </c>
      <c r="C2615">
        <v>111.94</v>
      </c>
      <c r="D2615">
        <v>109.25</v>
      </c>
      <c r="E2615">
        <v>110.24</v>
      </c>
      <c r="F2615">
        <v>5958500</v>
      </c>
      <c r="G2615">
        <v>105.82</v>
      </c>
      <c r="H2615" t="s">
        <v>4</v>
      </c>
      <c r="I2615" s="22">
        <f t="shared" si="81"/>
        <v>-8.4690446913280246E-3</v>
      </c>
      <c r="J2615" s="22" t="str">
        <f t="shared" si="82"/>
        <v>lost money</v>
      </c>
    </row>
    <row r="2616" spans="1:10">
      <c r="A2616" s="1">
        <v>41214</v>
      </c>
      <c r="B2616">
        <v>110.02</v>
      </c>
      <c r="C2616">
        <v>111.69</v>
      </c>
      <c r="D2616">
        <v>109.89</v>
      </c>
      <c r="E2616">
        <v>111.46</v>
      </c>
      <c r="F2616">
        <v>6480500</v>
      </c>
      <c r="G2616">
        <v>106.99</v>
      </c>
      <c r="H2616" t="s">
        <v>4</v>
      </c>
      <c r="I2616" s="22">
        <f t="shared" si="81"/>
        <v>1.0995834674529522E-2</v>
      </c>
      <c r="J2616" s="22" t="str">
        <f t="shared" si="82"/>
        <v/>
      </c>
    </row>
    <row r="2617" spans="1:10">
      <c r="A2617" s="1">
        <v>41215</v>
      </c>
      <c r="B2617">
        <v>110.7</v>
      </c>
      <c r="C2617">
        <v>111.21</v>
      </c>
      <c r="D2617">
        <v>107.57</v>
      </c>
      <c r="E2617">
        <v>108.37</v>
      </c>
      <c r="F2617">
        <v>8375300</v>
      </c>
      <c r="G2617">
        <v>104.02</v>
      </c>
      <c r="H2617" t="s">
        <v>4</v>
      </c>
      <c r="I2617" s="22">
        <f t="shared" si="81"/>
        <v>-2.8152183805588774E-2</v>
      </c>
      <c r="J2617" s="22" t="str">
        <f t="shared" si="82"/>
        <v>lost money</v>
      </c>
    </row>
    <row r="2618" spans="1:10">
      <c r="A2618" s="1">
        <v>41218</v>
      </c>
      <c r="B2618">
        <v>107.74</v>
      </c>
      <c r="C2618">
        <v>109.34</v>
      </c>
      <c r="D2618">
        <v>107.74</v>
      </c>
      <c r="E2618">
        <v>109.19</v>
      </c>
      <c r="F2618">
        <v>4058300</v>
      </c>
      <c r="G2618">
        <v>104.81</v>
      </c>
      <c r="H2618" t="s">
        <v>4</v>
      </c>
      <c r="I2618" s="22">
        <f t="shared" si="81"/>
        <v>7.5659988371597322E-3</v>
      </c>
      <c r="J2618" s="22" t="str">
        <f t="shared" si="82"/>
        <v/>
      </c>
    </row>
    <row r="2619" spans="1:10">
      <c r="A2619" s="1">
        <v>41219</v>
      </c>
      <c r="B2619">
        <v>109.65</v>
      </c>
      <c r="C2619">
        <v>110.69</v>
      </c>
      <c r="D2619">
        <v>109.25</v>
      </c>
      <c r="E2619">
        <v>110.36</v>
      </c>
      <c r="F2619">
        <v>5379400</v>
      </c>
      <c r="G2619">
        <v>105.93</v>
      </c>
      <c r="H2619" t="s">
        <v>4</v>
      </c>
      <c r="I2619" s="22">
        <f t="shared" si="81"/>
        <v>1.0629311426318776E-2</v>
      </c>
      <c r="J2619" s="22" t="str">
        <f t="shared" si="82"/>
        <v/>
      </c>
    </row>
    <row r="2620" spans="1:10">
      <c r="A2620" s="1">
        <v>41220</v>
      </c>
      <c r="B2620">
        <v>109.24</v>
      </c>
      <c r="C2620">
        <v>109.3</v>
      </c>
      <c r="D2620">
        <v>106.78</v>
      </c>
      <c r="E2620">
        <v>107.51</v>
      </c>
      <c r="F2620">
        <v>7627300</v>
      </c>
      <c r="G2620">
        <v>103.2</v>
      </c>
      <c r="H2620" t="s">
        <v>4</v>
      </c>
      <c r="I2620" s="22">
        <f t="shared" si="81"/>
        <v>-2.6109645560942408E-2</v>
      </c>
      <c r="J2620" s="22" t="str">
        <f t="shared" si="82"/>
        <v>lost money</v>
      </c>
    </row>
    <row r="2621" spans="1:10">
      <c r="A2621" s="1">
        <v>41221</v>
      </c>
      <c r="B2621">
        <v>107.23</v>
      </c>
      <c r="C2621">
        <v>107.67</v>
      </c>
      <c r="D2621">
        <v>105.87</v>
      </c>
      <c r="E2621">
        <v>105.87</v>
      </c>
      <c r="F2621">
        <v>6208900</v>
      </c>
      <c r="G2621">
        <v>101.62</v>
      </c>
      <c r="H2621" t="s">
        <v>4</v>
      </c>
      <c r="I2621" s="22">
        <f t="shared" si="81"/>
        <v>-1.5428486881876528E-2</v>
      </c>
      <c r="J2621" s="22" t="str">
        <f t="shared" si="82"/>
        <v>lost money</v>
      </c>
    </row>
    <row r="2622" spans="1:10">
      <c r="A2622" s="1">
        <v>41222</v>
      </c>
      <c r="B2622">
        <v>105.26</v>
      </c>
      <c r="C2622">
        <v>106.69</v>
      </c>
      <c r="D2622">
        <v>105.08</v>
      </c>
      <c r="E2622">
        <v>105.84</v>
      </c>
      <c r="F2622">
        <v>5835100</v>
      </c>
      <c r="G2622">
        <v>101.59</v>
      </c>
      <c r="H2622" t="s">
        <v>4</v>
      </c>
      <c r="I2622" s="22">
        <f t="shared" si="81"/>
        <v>-2.9526106213228885E-4</v>
      </c>
      <c r="J2622" s="22" t="str">
        <f t="shared" si="82"/>
        <v/>
      </c>
    </row>
    <row r="2623" spans="1:10">
      <c r="A2623" s="1">
        <v>41225</v>
      </c>
      <c r="B2623">
        <v>106.45</v>
      </c>
      <c r="C2623">
        <v>106.52</v>
      </c>
      <c r="D2623">
        <v>105.49</v>
      </c>
      <c r="E2623">
        <v>105.93</v>
      </c>
      <c r="F2623">
        <v>4001800</v>
      </c>
      <c r="G2623">
        <v>101.68</v>
      </c>
      <c r="H2623" t="s">
        <v>4</v>
      </c>
      <c r="I2623" s="22">
        <f t="shared" si="81"/>
        <v>8.8552177774506985E-4</v>
      </c>
      <c r="J2623" s="22" t="str">
        <f t="shared" si="82"/>
        <v>lost money</v>
      </c>
    </row>
    <row r="2624" spans="1:10">
      <c r="A2624" s="1">
        <v>41226</v>
      </c>
      <c r="B2624">
        <v>105.37</v>
      </c>
      <c r="C2624">
        <v>106.45</v>
      </c>
      <c r="D2624">
        <v>105.2</v>
      </c>
      <c r="E2624">
        <v>105.28</v>
      </c>
      <c r="F2624">
        <v>4834200</v>
      </c>
      <c r="G2624">
        <v>101.05</v>
      </c>
      <c r="H2624" t="s">
        <v>4</v>
      </c>
      <c r="I2624" s="22">
        <f t="shared" si="81"/>
        <v>-6.215183031568732E-3</v>
      </c>
      <c r="J2624" s="22" t="str">
        <f t="shared" si="82"/>
        <v>lost money</v>
      </c>
    </row>
    <row r="2625" spans="1:10">
      <c r="A2625" s="1">
        <v>41227</v>
      </c>
      <c r="B2625">
        <v>104.99</v>
      </c>
      <c r="C2625">
        <v>105.01</v>
      </c>
      <c r="D2625">
        <v>102.22</v>
      </c>
      <c r="E2625">
        <v>102.5</v>
      </c>
      <c r="F2625">
        <v>8609400</v>
      </c>
      <c r="G2625">
        <v>99.23</v>
      </c>
      <c r="H2625" t="s">
        <v>4</v>
      </c>
      <c r="I2625" s="22">
        <f t="shared" si="81"/>
        <v>-1.8175055923479851E-2</v>
      </c>
      <c r="J2625" s="22" t="str">
        <f t="shared" si="82"/>
        <v>lost money</v>
      </c>
    </row>
    <row r="2626" spans="1:10">
      <c r="A2626" s="1">
        <v>41228</v>
      </c>
      <c r="B2626">
        <v>101.99</v>
      </c>
      <c r="C2626">
        <v>103.47</v>
      </c>
      <c r="D2626">
        <v>100.66</v>
      </c>
      <c r="E2626">
        <v>101.62</v>
      </c>
      <c r="F2626">
        <v>9774300</v>
      </c>
      <c r="G2626">
        <v>98.38</v>
      </c>
      <c r="H2626" t="s">
        <v>4</v>
      </c>
      <c r="I2626" s="22">
        <f t="shared" si="81"/>
        <v>-8.6028565589564582E-3</v>
      </c>
      <c r="J2626" s="22" t="str">
        <f t="shared" si="82"/>
        <v>lost money</v>
      </c>
    </row>
    <row r="2627" spans="1:10">
      <c r="A2627" s="1">
        <v>41229</v>
      </c>
      <c r="B2627">
        <v>101.56</v>
      </c>
      <c r="C2627">
        <v>102.49</v>
      </c>
      <c r="D2627">
        <v>101</v>
      </c>
      <c r="E2627">
        <v>102.4</v>
      </c>
      <c r="F2627">
        <v>8242400</v>
      </c>
      <c r="G2627">
        <v>99.14</v>
      </c>
      <c r="H2627" t="s">
        <v>4</v>
      </c>
      <c r="I2627" s="22">
        <f t="shared" ref="I2627:I2690" si="83">IF(A2627=$A$2,"",LN(G2627/G2626))</f>
        <v>7.6954612252341445E-3</v>
      </c>
      <c r="J2627" s="22" t="str">
        <f t="shared" ref="J2627:J2690" si="84">IF(B2627&gt;E2627,"lost money","")</f>
        <v/>
      </c>
    </row>
    <row r="2628" spans="1:10">
      <c r="A2628" s="1">
        <v>41232</v>
      </c>
      <c r="B2628">
        <v>103.67</v>
      </c>
      <c r="C2628">
        <v>104.35</v>
      </c>
      <c r="D2628">
        <v>103.14</v>
      </c>
      <c r="E2628">
        <v>104.35</v>
      </c>
      <c r="F2628">
        <v>6850900</v>
      </c>
      <c r="G2628">
        <v>101.03</v>
      </c>
      <c r="H2628" t="s">
        <v>4</v>
      </c>
      <c r="I2628" s="22">
        <f t="shared" si="83"/>
        <v>1.8884509847213109E-2</v>
      </c>
      <c r="J2628" s="22" t="str">
        <f t="shared" si="84"/>
        <v/>
      </c>
    </row>
    <row r="2629" spans="1:10">
      <c r="A2629" s="1">
        <v>41233</v>
      </c>
      <c r="B2629">
        <v>104.01</v>
      </c>
      <c r="C2629">
        <v>104.12</v>
      </c>
      <c r="D2629">
        <v>102.92</v>
      </c>
      <c r="E2629">
        <v>103.56</v>
      </c>
      <c r="F2629">
        <v>5283800</v>
      </c>
      <c r="G2629">
        <v>100.26</v>
      </c>
      <c r="H2629" t="s">
        <v>4</v>
      </c>
      <c r="I2629" s="22">
        <f t="shared" si="83"/>
        <v>-7.6506906042834756E-3</v>
      </c>
      <c r="J2629" s="22" t="str">
        <f t="shared" si="84"/>
        <v>lost money</v>
      </c>
    </row>
    <row r="2630" spans="1:10">
      <c r="A2630" s="1">
        <v>41234</v>
      </c>
      <c r="B2630">
        <v>103.95</v>
      </c>
      <c r="C2630">
        <v>104.12</v>
      </c>
      <c r="D2630">
        <v>103.41</v>
      </c>
      <c r="E2630">
        <v>104.1</v>
      </c>
      <c r="F2630">
        <v>3656400</v>
      </c>
      <c r="G2630">
        <v>100.78</v>
      </c>
      <c r="H2630" t="s">
        <v>4</v>
      </c>
      <c r="I2630" s="22">
        <f t="shared" si="83"/>
        <v>5.173111417094544E-3</v>
      </c>
      <c r="J2630" s="22" t="str">
        <f t="shared" si="84"/>
        <v/>
      </c>
    </row>
    <row r="2631" spans="1:10">
      <c r="A2631" s="1">
        <v>41236</v>
      </c>
      <c r="B2631">
        <v>104.87</v>
      </c>
      <c r="C2631">
        <v>105.47</v>
      </c>
      <c r="D2631">
        <v>104.46</v>
      </c>
      <c r="E2631">
        <v>105.47</v>
      </c>
      <c r="F2631">
        <v>2776400</v>
      </c>
      <c r="G2631">
        <v>102.11</v>
      </c>
      <c r="H2631" t="s">
        <v>4</v>
      </c>
      <c r="I2631" s="22">
        <f t="shared" si="83"/>
        <v>1.3110740314994611E-2</v>
      </c>
      <c r="J2631" s="22" t="str">
        <f t="shared" si="84"/>
        <v/>
      </c>
    </row>
    <row r="2632" spans="1:10">
      <c r="A2632" s="1">
        <v>41239</v>
      </c>
      <c r="B2632">
        <v>104.75</v>
      </c>
      <c r="C2632">
        <v>104.99</v>
      </c>
      <c r="D2632">
        <v>104.25</v>
      </c>
      <c r="E2632">
        <v>104.99</v>
      </c>
      <c r="F2632">
        <v>4354100</v>
      </c>
      <c r="G2632">
        <v>101.65</v>
      </c>
      <c r="H2632" t="s">
        <v>4</v>
      </c>
      <c r="I2632" s="22">
        <f t="shared" si="83"/>
        <v>-4.5151234930908592E-3</v>
      </c>
      <c r="J2632" s="22" t="str">
        <f t="shared" si="84"/>
        <v/>
      </c>
    </row>
    <row r="2633" spans="1:10">
      <c r="A2633" s="1">
        <v>41240</v>
      </c>
      <c r="B2633">
        <v>105</v>
      </c>
      <c r="C2633">
        <v>105.16</v>
      </c>
      <c r="D2633">
        <v>103.2</v>
      </c>
      <c r="E2633">
        <v>103.38</v>
      </c>
      <c r="F2633">
        <v>6612400</v>
      </c>
      <c r="G2633">
        <v>100.09</v>
      </c>
      <c r="H2633" t="s">
        <v>4</v>
      </c>
      <c r="I2633" s="22">
        <f t="shared" si="83"/>
        <v>-1.5465758843428146E-2</v>
      </c>
      <c r="J2633" s="22" t="str">
        <f t="shared" si="84"/>
        <v>lost money</v>
      </c>
    </row>
    <row r="2634" spans="1:10">
      <c r="A2634" s="1">
        <v>41241</v>
      </c>
      <c r="B2634">
        <v>102.98</v>
      </c>
      <c r="C2634">
        <v>105.62</v>
      </c>
      <c r="D2634">
        <v>102.76</v>
      </c>
      <c r="E2634">
        <v>105.58</v>
      </c>
      <c r="F2634">
        <v>7024200</v>
      </c>
      <c r="G2634">
        <v>102.22</v>
      </c>
      <c r="H2634" t="s">
        <v>4</v>
      </c>
      <c r="I2634" s="22">
        <f t="shared" si="83"/>
        <v>2.1057572109205919E-2</v>
      </c>
      <c r="J2634" s="22" t="str">
        <f t="shared" si="84"/>
        <v/>
      </c>
    </row>
    <row r="2635" spans="1:10">
      <c r="A2635" s="1">
        <v>41242</v>
      </c>
      <c r="B2635">
        <v>105.89</v>
      </c>
      <c r="C2635">
        <v>106.69</v>
      </c>
      <c r="D2635">
        <v>105.38</v>
      </c>
      <c r="E2635">
        <v>105.79</v>
      </c>
      <c r="F2635">
        <v>5756200</v>
      </c>
      <c r="G2635">
        <v>102.42</v>
      </c>
      <c r="H2635" t="s">
        <v>4</v>
      </c>
      <c r="I2635" s="22">
        <f t="shared" si="83"/>
        <v>1.954652694270872E-3</v>
      </c>
      <c r="J2635" s="22" t="str">
        <f t="shared" si="84"/>
        <v>lost money</v>
      </c>
    </row>
    <row r="2636" spans="1:10">
      <c r="A2636" s="1">
        <v>41243</v>
      </c>
      <c r="B2636">
        <v>106.1</v>
      </c>
      <c r="C2636">
        <v>106.37</v>
      </c>
      <c r="D2636">
        <v>105.27</v>
      </c>
      <c r="E2636">
        <v>105.69</v>
      </c>
      <c r="F2636">
        <v>6676400</v>
      </c>
      <c r="G2636">
        <v>102.32</v>
      </c>
      <c r="H2636" t="s">
        <v>4</v>
      </c>
      <c r="I2636" s="22">
        <f t="shared" si="83"/>
        <v>-9.768487638170619E-4</v>
      </c>
      <c r="J2636" s="22" t="str">
        <f t="shared" si="84"/>
        <v>lost money</v>
      </c>
    </row>
    <row r="2637" spans="1:10">
      <c r="A2637" s="1">
        <v>41246</v>
      </c>
      <c r="B2637">
        <v>106</v>
      </c>
      <c r="C2637">
        <v>106.07</v>
      </c>
      <c r="D2637">
        <v>104.38</v>
      </c>
      <c r="E2637">
        <v>104.66</v>
      </c>
      <c r="F2637">
        <v>5736400</v>
      </c>
      <c r="G2637">
        <v>101.33</v>
      </c>
      <c r="H2637" t="s">
        <v>4</v>
      </c>
      <c r="I2637" s="22">
        <f t="shared" si="83"/>
        <v>-9.7226398103610473E-3</v>
      </c>
      <c r="J2637" s="22" t="str">
        <f t="shared" si="84"/>
        <v>lost money</v>
      </c>
    </row>
    <row r="2638" spans="1:10">
      <c r="A2638" s="1">
        <v>41247</v>
      </c>
      <c r="B2638">
        <v>104.4</v>
      </c>
      <c r="C2638">
        <v>105.09</v>
      </c>
      <c r="D2638">
        <v>103.94</v>
      </c>
      <c r="E2638">
        <v>103.96</v>
      </c>
      <c r="F2638">
        <v>6665100</v>
      </c>
      <c r="G2638">
        <v>100.65</v>
      </c>
      <c r="H2638" t="s">
        <v>4</v>
      </c>
      <c r="I2638" s="22">
        <f t="shared" si="83"/>
        <v>-6.7333653744255911E-3</v>
      </c>
      <c r="J2638" s="22" t="str">
        <f t="shared" si="84"/>
        <v>lost money</v>
      </c>
    </row>
    <row r="2639" spans="1:10">
      <c r="A2639" s="1">
        <v>41248</v>
      </c>
      <c r="B2639">
        <v>104.38</v>
      </c>
      <c r="C2639">
        <v>105.81</v>
      </c>
      <c r="D2639">
        <v>104</v>
      </c>
      <c r="E2639">
        <v>105.17</v>
      </c>
      <c r="F2639">
        <v>6430800</v>
      </c>
      <c r="G2639">
        <v>101.82</v>
      </c>
      <c r="H2639" t="s">
        <v>4</v>
      </c>
      <c r="I2639" s="22">
        <f t="shared" si="83"/>
        <v>1.1557396388389434E-2</v>
      </c>
      <c r="J2639" s="22" t="str">
        <f t="shared" si="84"/>
        <v/>
      </c>
    </row>
    <row r="2640" spans="1:10">
      <c r="A2640" s="1">
        <v>41249</v>
      </c>
      <c r="B2640">
        <v>105.49</v>
      </c>
      <c r="C2640">
        <v>106.5</v>
      </c>
      <c r="D2640">
        <v>105.29</v>
      </c>
      <c r="E2640">
        <v>106.45</v>
      </c>
      <c r="F2640">
        <v>7392300</v>
      </c>
      <c r="G2640">
        <v>103.06</v>
      </c>
      <c r="H2640" t="s">
        <v>4</v>
      </c>
      <c r="I2640" s="22">
        <f t="shared" si="83"/>
        <v>1.2104794425888408E-2</v>
      </c>
      <c r="J2640" s="22" t="str">
        <f t="shared" si="84"/>
        <v/>
      </c>
    </row>
    <row r="2641" spans="1:10">
      <c r="A2641" s="1">
        <v>41250</v>
      </c>
      <c r="B2641">
        <v>106.73</v>
      </c>
      <c r="C2641">
        <v>107</v>
      </c>
      <c r="D2641">
        <v>106.14</v>
      </c>
      <c r="E2641">
        <v>106.99</v>
      </c>
      <c r="F2641">
        <v>4947300</v>
      </c>
      <c r="G2641">
        <v>103.58</v>
      </c>
      <c r="H2641" t="s">
        <v>4</v>
      </c>
      <c r="I2641" s="22">
        <f t="shared" si="83"/>
        <v>5.0329180956670523E-3</v>
      </c>
      <c r="J2641" s="22" t="str">
        <f t="shared" si="84"/>
        <v/>
      </c>
    </row>
    <row r="2642" spans="1:10">
      <c r="A2642" s="1">
        <v>41253</v>
      </c>
      <c r="B2642">
        <v>107.1</v>
      </c>
      <c r="C2642">
        <v>107.69</v>
      </c>
      <c r="D2642">
        <v>106.47</v>
      </c>
      <c r="E2642">
        <v>106.96</v>
      </c>
      <c r="F2642">
        <v>5512100</v>
      </c>
      <c r="G2642">
        <v>103.55</v>
      </c>
      <c r="H2642" t="s">
        <v>4</v>
      </c>
      <c r="I2642" s="22">
        <f t="shared" si="83"/>
        <v>-2.8967315415221015E-4</v>
      </c>
      <c r="J2642" s="22" t="str">
        <f t="shared" si="84"/>
        <v>lost money</v>
      </c>
    </row>
    <row r="2643" spans="1:10">
      <c r="A2643" s="1">
        <v>41254</v>
      </c>
      <c r="B2643">
        <v>107.29</v>
      </c>
      <c r="C2643">
        <v>108.23</v>
      </c>
      <c r="D2643">
        <v>107.15</v>
      </c>
      <c r="E2643">
        <v>107.74</v>
      </c>
      <c r="F2643">
        <v>5922700</v>
      </c>
      <c r="G2643">
        <v>104.31</v>
      </c>
      <c r="H2643" t="s">
        <v>4</v>
      </c>
      <c r="I2643" s="22">
        <f t="shared" si="83"/>
        <v>7.3126468462865572E-3</v>
      </c>
      <c r="J2643" s="22" t="str">
        <f t="shared" si="84"/>
        <v/>
      </c>
    </row>
    <row r="2644" spans="1:10">
      <c r="A2644" s="1">
        <v>41255</v>
      </c>
      <c r="B2644">
        <v>108.17</v>
      </c>
      <c r="C2644">
        <v>109.18</v>
      </c>
      <c r="D2644">
        <v>107.93</v>
      </c>
      <c r="E2644">
        <v>108.08</v>
      </c>
      <c r="F2644">
        <v>5968200</v>
      </c>
      <c r="G2644">
        <v>104.64</v>
      </c>
      <c r="H2644" t="s">
        <v>4</v>
      </c>
      <c r="I2644" s="22">
        <f t="shared" si="83"/>
        <v>3.1586530210087811E-3</v>
      </c>
      <c r="J2644" s="22" t="str">
        <f t="shared" si="84"/>
        <v>lost money</v>
      </c>
    </row>
    <row r="2645" spans="1:10">
      <c r="A2645" s="1">
        <v>41256</v>
      </c>
      <c r="B2645">
        <v>108.54</v>
      </c>
      <c r="C2645">
        <v>108.54</v>
      </c>
      <c r="D2645">
        <v>107.46</v>
      </c>
      <c r="E2645">
        <v>107.91</v>
      </c>
      <c r="F2645">
        <v>4909800</v>
      </c>
      <c r="G2645">
        <v>104.47</v>
      </c>
      <c r="H2645" t="s">
        <v>4</v>
      </c>
      <c r="I2645" s="22">
        <f t="shared" si="83"/>
        <v>-1.6259388594719749E-3</v>
      </c>
      <c r="J2645" s="22" t="str">
        <f t="shared" si="84"/>
        <v>lost money</v>
      </c>
    </row>
    <row r="2646" spans="1:10">
      <c r="A2646" s="1">
        <v>41257</v>
      </c>
      <c r="B2646">
        <v>107.61</v>
      </c>
      <c r="C2646">
        <v>108.39</v>
      </c>
      <c r="D2646">
        <v>107.4</v>
      </c>
      <c r="E2646">
        <v>107.82</v>
      </c>
      <c r="F2646">
        <v>5889300</v>
      </c>
      <c r="G2646">
        <v>104.39</v>
      </c>
      <c r="H2646" t="s">
        <v>4</v>
      </c>
      <c r="I2646" s="22">
        <f t="shared" si="83"/>
        <v>-7.6606342920954105E-4</v>
      </c>
      <c r="J2646" s="22" t="str">
        <f t="shared" si="84"/>
        <v/>
      </c>
    </row>
    <row r="2647" spans="1:10">
      <c r="A2647" s="1">
        <v>41260</v>
      </c>
      <c r="B2647">
        <v>107.97</v>
      </c>
      <c r="C2647">
        <v>108.84</v>
      </c>
      <c r="D2647">
        <v>107.94</v>
      </c>
      <c r="E2647">
        <v>108.68</v>
      </c>
      <c r="F2647">
        <v>6097100</v>
      </c>
      <c r="G2647">
        <v>105.22</v>
      </c>
      <c r="H2647" t="s">
        <v>4</v>
      </c>
      <c r="I2647" s="22">
        <f t="shared" si="83"/>
        <v>7.9195108824540901E-3</v>
      </c>
      <c r="J2647" s="22" t="str">
        <f t="shared" si="84"/>
        <v/>
      </c>
    </row>
    <row r="2648" spans="1:10">
      <c r="A2648" s="1">
        <v>41261</v>
      </c>
      <c r="B2648">
        <v>108.54</v>
      </c>
      <c r="C2648">
        <v>110.4</v>
      </c>
      <c r="D2648">
        <v>108.32</v>
      </c>
      <c r="E2648">
        <v>110.1</v>
      </c>
      <c r="F2648">
        <v>7102700</v>
      </c>
      <c r="G2648">
        <v>106.59</v>
      </c>
      <c r="H2648" t="s">
        <v>4</v>
      </c>
      <c r="I2648" s="22">
        <f t="shared" si="83"/>
        <v>1.2936302398384216E-2</v>
      </c>
      <c r="J2648" s="22" t="str">
        <f t="shared" si="84"/>
        <v/>
      </c>
    </row>
    <row r="2649" spans="1:10">
      <c r="A2649" s="1">
        <v>41262</v>
      </c>
      <c r="B2649">
        <v>110.47</v>
      </c>
      <c r="C2649">
        <v>111.11</v>
      </c>
      <c r="D2649">
        <v>109.89</v>
      </c>
      <c r="E2649">
        <v>109.91</v>
      </c>
      <c r="F2649">
        <v>7623200</v>
      </c>
      <c r="G2649">
        <v>106.41</v>
      </c>
      <c r="H2649" t="s">
        <v>4</v>
      </c>
      <c r="I2649" s="22">
        <f t="shared" si="83"/>
        <v>-1.6901412474053541E-3</v>
      </c>
      <c r="J2649" s="22" t="str">
        <f t="shared" si="84"/>
        <v>lost money</v>
      </c>
    </row>
    <row r="2650" spans="1:10">
      <c r="A2650" s="1">
        <v>41263</v>
      </c>
      <c r="B2650">
        <v>110</v>
      </c>
      <c r="C2650">
        <v>110.67</v>
      </c>
      <c r="D2650">
        <v>109.65</v>
      </c>
      <c r="E2650">
        <v>110.38</v>
      </c>
      <c r="F2650">
        <v>5873900</v>
      </c>
      <c r="G2650">
        <v>106.86</v>
      </c>
      <c r="H2650" t="s">
        <v>4</v>
      </c>
      <c r="I2650" s="22">
        <f t="shared" si="83"/>
        <v>4.2200090759851594E-3</v>
      </c>
      <c r="J2650" s="22" t="str">
        <f t="shared" si="84"/>
        <v/>
      </c>
    </row>
    <row r="2651" spans="1:10">
      <c r="A2651" s="1">
        <v>41264</v>
      </c>
      <c r="B2651">
        <v>109.57</v>
      </c>
      <c r="C2651">
        <v>110.3</v>
      </c>
      <c r="D2651">
        <v>108.56</v>
      </c>
      <c r="E2651">
        <v>109.71</v>
      </c>
      <c r="F2651">
        <v>15611700</v>
      </c>
      <c r="G2651">
        <v>106.21</v>
      </c>
      <c r="H2651" t="s">
        <v>4</v>
      </c>
      <c r="I2651" s="22">
        <f t="shared" si="83"/>
        <v>-6.1013001961770811E-3</v>
      </c>
      <c r="J2651" s="22" t="str">
        <f t="shared" si="84"/>
        <v/>
      </c>
    </row>
    <row r="2652" spans="1:10">
      <c r="A2652" s="1">
        <v>41267</v>
      </c>
      <c r="B2652">
        <v>109.3</v>
      </c>
      <c r="C2652">
        <v>109.39</v>
      </c>
      <c r="D2652">
        <v>108.48</v>
      </c>
      <c r="E2652">
        <v>108.63</v>
      </c>
      <c r="F2652">
        <v>2284400</v>
      </c>
      <c r="G2652">
        <v>105.17</v>
      </c>
      <c r="H2652" t="s">
        <v>4</v>
      </c>
      <c r="I2652" s="22">
        <f t="shared" si="83"/>
        <v>-9.8401778015111234E-3</v>
      </c>
      <c r="J2652" s="22" t="str">
        <f t="shared" si="84"/>
        <v>lost money</v>
      </c>
    </row>
    <row r="2653" spans="1:10">
      <c r="A2653" s="1">
        <v>41269</v>
      </c>
      <c r="B2653">
        <v>109.1</v>
      </c>
      <c r="C2653">
        <v>109.27</v>
      </c>
      <c r="D2653">
        <v>108.21</v>
      </c>
      <c r="E2653">
        <v>108.46</v>
      </c>
      <c r="F2653">
        <v>4094300</v>
      </c>
      <c r="G2653">
        <v>105</v>
      </c>
      <c r="H2653" t="s">
        <v>4</v>
      </c>
      <c r="I2653" s="22">
        <f t="shared" si="83"/>
        <v>-1.6177383744136551E-3</v>
      </c>
      <c r="J2653" s="22" t="str">
        <f t="shared" si="84"/>
        <v>lost money</v>
      </c>
    </row>
    <row r="2654" spans="1:10">
      <c r="A2654" s="1">
        <v>41270</v>
      </c>
      <c r="B2654">
        <v>108.46</v>
      </c>
      <c r="C2654">
        <v>108.86</v>
      </c>
      <c r="D2654">
        <v>107.27</v>
      </c>
      <c r="E2654">
        <v>108.52</v>
      </c>
      <c r="F2654">
        <v>5525700</v>
      </c>
      <c r="G2654">
        <v>105.06</v>
      </c>
      <c r="H2654" t="s">
        <v>4</v>
      </c>
      <c r="I2654" s="22">
        <f t="shared" si="83"/>
        <v>5.7126536829220831E-4</v>
      </c>
      <c r="J2654" s="22" t="str">
        <f t="shared" si="84"/>
        <v/>
      </c>
    </row>
    <row r="2655" spans="1:10">
      <c r="A2655" s="1">
        <v>41271</v>
      </c>
      <c r="B2655">
        <v>107.68</v>
      </c>
      <c r="C2655">
        <v>107.78</v>
      </c>
      <c r="D2655">
        <v>106.3</v>
      </c>
      <c r="E2655">
        <v>106.45</v>
      </c>
      <c r="F2655">
        <v>5277100</v>
      </c>
      <c r="G2655">
        <v>103.06</v>
      </c>
      <c r="H2655" t="s">
        <v>4</v>
      </c>
      <c r="I2655" s="22">
        <f t="shared" si="83"/>
        <v>-1.9220272625737275E-2</v>
      </c>
      <c r="J2655" s="22" t="str">
        <f t="shared" si="84"/>
        <v>lost money</v>
      </c>
    </row>
    <row r="2656" spans="1:10">
      <c r="A2656" s="1">
        <v>41274</v>
      </c>
      <c r="B2656">
        <v>105.75</v>
      </c>
      <c r="C2656">
        <v>108.23</v>
      </c>
      <c r="D2656">
        <v>105.75</v>
      </c>
      <c r="E2656">
        <v>108.14</v>
      </c>
      <c r="F2656">
        <v>6554000</v>
      </c>
      <c r="G2656">
        <v>104.69</v>
      </c>
      <c r="H2656" t="s">
        <v>4</v>
      </c>
      <c r="I2656" s="22">
        <f t="shared" si="83"/>
        <v>1.5692259431185344E-2</v>
      </c>
      <c r="J2656" s="22" t="str">
        <f t="shared" si="84"/>
        <v/>
      </c>
    </row>
    <row r="2657" spans="1:10">
      <c r="A2657" s="1">
        <v>41276</v>
      </c>
      <c r="B2657">
        <v>110.27</v>
      </c>
      <c r="C2657">
        <v>110.42</v>
      </c>
      <c r="D2657">
        <v>108.74</v>
      </c>
      <c r="E2657">
        <v>110.39</v>
      </c>
      <c r="F2657">
        <v>6144100</v>
      </c>
      <c r="G2657">
        <v>106.87</v>
      </c>
      <c r="H2657" t="s">
        <v>4</v>
      </c>
      <c r="I2657" s="22">
        <f t="shared" si="83"/>
        <v>2.0609540205541801E-2</v>
      </c>
      <c r="J2657" s="22" t="str">
        <f t="shared" si="84"/>
        <v/>
      </c>
    </row>
    <row r="2658" spans="1:10">
      <c r="A2658" s="1">
        <v>41277</v>
      </c>
      <c r="B2658">
        <v>110.14</v>
      </c>
      <c r="C2658">
        <v>110.92</v>
      </c>
      <c r="D2658">
        <v>109.51</v>
      </c>
      <c r="E2658">
        <v>109.92</v>
      </c>
      <c r="F2658">
        <v>6817000</v>
      </c>
      <c r="G2658">
        <v>106.42</v>
      </c>
      <c r="H2658" t="s">
        <v>4</v>
      </c>
      <c r="I2658" s="22">
        <f t="shared" si="83"/>
        <v>-4.2196133685821775E-3</v>
      </c>
      <c r="J2658" s="22" t="str">
        <f t="shared" si="84"/>
        <v>lost money</v>
      </c>
    </row>
    <row r="2659" spans="1:10">
      <c r="A2659" s="1">
        <v>41278</v>
      </c>
      <c r="B2659">
        <v>109.99</v>
      </c>
      <c r="C2659">
        <v>110.62</v>
      </c>
      <c r="D2659">
        <v>109.9</v>
      </c>
      <c r="E2659">
        <v>110.5</v>
      </c>
      <c r="F2659">
        <v>4414500</v>
      </c>
      <c r="G2659">
        <v>106.98</v>
      </c>
      <c r="H2659" t="s">
        <v>4</v>
      </c>
      <c r="I2659" s="22">
        <f t="shared" si="83"/>
        <v>5.2483719348807535E-3</v>
      </c>
      <c r="J2659" s="22" t="str">
        <f t="shared" si="84"/>
        <v/>
      </c>
    </row>
    <row r="2660" spans="1:10">
      <c r="A2660" s="1">
        <v>41281</v>
      </c>
      <c r="B2660">
        <v>110.02</v>
      </c>
      <c r="C2660">
        <v>110.09</v>
      </c>
      <c r="D2660">
        <v>109.19</v>
      </c>
      <c r="E2660">
        <v>109.75</v>
      </c>
      <c r="F2660">
        <v>4861000</v>
      </c>
      <c r="G2660">
        <v>106.25</v>
      </c>
      <c r="H2660" t="s">
        <v>4</v>
      </c>
      <c r="I2660" s="22">
        <f t="shared" si="83"/>
        <v>-6.847093298577884E-3</v>
      </c>
      <c r="J2660" s="22" t="str">
        <f t="shared" si="84"/>
        <v>lost money</v>
      </c>
    </row>
    <row r="2661" spans="1:10">
      <c r="A2661" s="1">
        <v>41282</v>
      </c>
      <c r="B2661">
        <v>109.48</v>
      </c>
      <c r="C2661">
        <v>109.69</v>
      </c>
      <c r="D2661">
        <v>109.1</v>
      </c>
      <c r="E2661">
        <v>109.26</v>
      </c>
      <c r="F2661">
        <v>6325400</v>
      </c>
      <c r="G2661">
        <v>105.78</v>
      </c>
      <c r="H2661" t="s">
        <v>4</v>
      </c>
      <c r="I2661" s="22">
        <f t="shared" si="83"/>
        <v>-4.4333421666923594E-3</v>
      </c>
      <c r="J2661" s="22" t="str">
        <f t="shared" si="84"/>
        <v>lost money</v>
      </c>
    </row>
    <row r="2662" spans="1:10">
      <c r="A2662" s="1">
        <v>41283</v>
      </c>
      <c r="B2662">
        <v>109.72</v>
      </c>
      <c r="C2662">
        <v>110.08</v>
      </c>
      <c r="D2662">
        <v>109.2</v>
      </c>
      <c r="E2662">
        <v>109.54</v>
      </c>
      <c r="F2662">
        <v>4558600</v>
      </c>
      <c r="G2662">
        <v>106.05</v>
      </c>
      <c r="H2662" t="s">
        <v>4</v>
      </c>
      <c r="I2662" s="22">
        <f t="shared" si="83"/>
        <v>2.5492153728575496E-3</v>
      </c>
      <c r="J2662" s="22" t="str">
        <f t="shared" si="84"/>
        <v>lost money</v>
      </c>
    </row>
    <row r="2663" spans="1:10">
      <c r="A2663" s="1">
        <v>41284</v>
      </c>
      <c r="B2663">
        <v>110.19</v>
      </c>
      <c r="C2663">
        <v>110.76</v>
      </c>
      <c r="D2663">
        <v>110.09</v>
      </c>
      <c r="E2663">
        <v>110.47</v>
      </c>
      <c r="F2663">
        <v>5276400</v>
      </c>
      <c r="G2663">
        <v>106.95</v>
      </c>
      <c r="H2663" t="s">
        <v>4</v>
      </c>
      <c r="I2663" s="22">
        <f t="shared" si="83"/>
        <v>8.450754517723251E-3</v>
      </c>
      <c r="J2663" s="22" t="str">
        <f t="shared" si="84"/>
        <v/>
      </c>
    </row>
    <row r="2664" spans="1:10">
      <c r="A2664" s="1">
        <v>41285</v>
      </c>
      <c r="B2664">
        <v>111.2</v>
      </c>
      <c r="C2664">
        <v>112.08</v>
      </c>
      <c r="D2664">
        <v>110.8</v>
      </c>
      <c r="E2664">
        <v>111.73</v>
      </c>
      <c r="F2664">
        <v>5456300</v>
      </c>
      <c r="G2664">
        <v>108.17</v>
      </c>
      <c r="H2664" t="s">
        <v>4</v>
      </c>
      <c r="I2664" s="22">
        <f t="shared" si="83"/>
        <v>1.134262811378357E-2</v>
      </c>
      <c r="J2664" s="22" t="str">
        <f t="shared" si="84"/>
        <v/>
      </c>
    </row>
    <row r="2665" spans="1:10">
      <c r="A2665" s="1">
        <v>41288</v>
      </c>
      <c r="B2665">
        <v>111.38</v>
      </c>
      <c r="C2665">
        <v>112.95</v>
      </c>
      <c r="D2665">
        <v>111.35</v>
      </c>
      <c r="E2665">
        <v>112.85</v>
      </c>
      <c r="F2665">
        <v>6373900</v>
      </c>
      <c r="G2665">
        <v>109.25</v>
      </c>
      <c r="H2665" t="s">
        <v>4</v>
      </c>
      <c r="I2665" s="22">
        <f t="shared" si="83"/>
        <v>9.93477033350121E-3</v>
      </c>
      <c r="J2665" s="22" t="str">
        <f t="shared" si="84"/>
        <v/>
      </c>
    </row>
    <row r="2666" spans="1:10">
      <c r="A2666" s="1">
        <v>41289</v>
      </c>
      <c r="B2666">
        <v>112.26</v>
      </c>
      <c r="C2666">
        <v>113.47</v>
      </c>
      <c r="D2666">
        <v>112.15</v>
      </c>
      <c r="E2666">
        <v>113.44</v>
      </c>
      <c r="F2666">
        <v>5637600</v>
      </c>
      <c r="G2666">
        <v>109.83</v>
      </c>
      <c r="H2666" t="s">
        <v>4</v>
      </c>
      <c r="I2666" s="22">
        <f t="shared" si="83"/>
        <v>5.2948818245550158E-3</v>
      </c>
      <c r="J2666" s="22" t="str">
        <f t="shared" si="84"/>
        <v/>
      </c>
    </row>
    <row r="2667" spans="1:10">
      <c r="A2667" s="1">
        <v>41290</v>
      </c>
      <c r="B2667">
        <v>113.31</v>
      </c>
      <c r="C2667">
        <v>114.33</v>
      </c>
      <c r="D2667">
        <v>113.17</v>
      </c>
      <c r="E2667">
        <v>113.97</v>
      </c>
      <c r="F2667">
        <v>6148500</v>
      </c>
      <c r="G2667">
        <v>110.34</v>
      </c>
      <c r="H2667" t="s">
        <v>4</v>
      </c>
      <c r="I2667" s="22">
        <f t="shared" si="83"/>
        <v>4.6327920440303429E-3</v>
      </c>
      <c r="J2667" s="22" t="str">
        <f t="shared" si="84"/>
        <v/>
      </c>
    </row>
    <row r="2668" spans="1:10">
      <c r="A2668" s="1">
        <v>41291</v>
      </c>
      <c r="B2668">
        <v>114.73</v>
      </c>
      <c r="C2668">
        <v>115.86</v>
      </c>
      <c r="D2668">
        <v>114.59</v>
      </c>
      <c r="E2668">
        <v>114.74</v>
      </c>
      <c r="F2668">
        <v>6966000</v>
      </c>
      <c r="G2668">
        <v>111.08</v>
      </c>
      <c r="H2668" t="s">
        <v>4</v>
      </c>
      <c r="I2668" s="22">
        <f t="shared" si="83"/>
        <v>6.6841545943141329E-3</v>
      </c>
      <c r="J2668" s="22" t="str">
        <f t="shared" si="84"/>
        <v/>
      </c>
    </row>
    <row r="2669" spans="1:10">
      <c r="A2669" s="1">
        <v>41292</v>
      </c>
      <c r="B2669">
        <v>115.23</v>
      </c>
      <c r="C2669">
        <v>115.24</v>
      </c>
      <c r="D2669">
        <v>114.06</v>
      </c>
      <c r="E2669">
        <v>115.24</v>
      </c>
      <c r="F2669">
        <v>8538000</v>
      </c>
      <c r="G2669">
        <v>111.57</v>
      </c>
      <c r="H2669" t="s">
        <v>4</v>
      </c>
      <c r="I2669" s="22">
        <f t="shared" si="83"/>
        <v>4.4015341664894745E-3</v>
      </c>
      <c r="J2669" s="22" t="str">
        <f t="shared" si="84"/>
        <v/>
      </c>
    </row>
    <row r="2670" spans="1:10">
      <c r="A2670" s="1">
        <v>41296</v>
      </c>
      <c r="B2670">
        <v>115.11</v>
      </c>
      <c r="C2670">
        <v>115.94</v>
      </c>
      <c r="D2670">
        <v>114.53</v>
      </c>
      <c r="E2670">
        <v>115.91</v>
      </c>
      <c r="F2670">
        <v>5398000</v>
      </c>
      <c r="G2670">
        <v>112.22</v>
      </c>
      <c r="H2670" t="s">
        <v>4</v>
      </c>
      <c r="I2670" s="22">
        <f t="shared" si="83"/>
        <v>5.8090337177376722E-3</v>
      </c>
      <c r="J2670" s="22" t="str">
        <f t="shared" si="84"/>
        <v/>
      </c>
    </row>
    <row r="2671" spans="1:10">
      <c r="A2671" s="1">
        <v>41297</v>
      </c>
      <c r="B2671">
        <v>115.35</v>
      </c>
      <c r="C2671">
        <v>115.9</v>
      </c>
      <c r="D2671">
        <v>114.93</v>
      </c>
      <c r="E2671">
        <v>115.01</v>
      </c>
      <c r="F2671">
        <v>5031800</v>
      </c>
      <c r="G2671">
        <v>111.35</v>
      </c>
      <c r="H2671" t="s">
        <v>4</v>
      </c>
      <c r="I2671" s="22">
        <f t="shared" si="83"/>
        <v>-7.7828366194493716E-3</v>
      </c>
      <c r="J2671" s="22" t="str">
        <f t="shared" si="84"/>
        <v>lost money</v>
      </c>
    </row>
    <row r="2672" spans="1:10">
      <c r="A2672" s="1">
        <v>41298</v>
      </c>
      <c r="B2672">
        <v>115.49</v>
      </c>
      <c r="C2672">
        <v>116.37</v>
      </c>
      <c r="D2672">
        <v>115.28</v>
      </c>
      <c r="E2672">
        <v>115.5</v>
      </c>
      <c r="F2672">
        <v>4895800</v>
      </c>
      <c r="G2672">
        <v>111.82</v>
      </c>
      <c r="H2672" t="s">
        <v>4</v>
      </c>
      <c r="I2672" s="22">
        <f t="shared" si="83"/>
        <v>4.2120418951227057E-3</v>
      </c>
      <c r="J2672" s="22" t="str">
        <f t="shared" si="84"/>
        <v/>
      </c>
    </row>
    <row r="2673" spans="1:10">
      <c r="A2673" s="1">
        <v>41299</v>
      </c>
      <c r="B2673">
        <v>115.52</v>
      </c>
      <c r="C2673">
        <v>116.38</v>
      </c>
      <c r="D2673">
        <v>115.15</v>
      </c>
      <c r="E2673">
        <v>116.2</v>
      </c>
      <c r="F2673">
        <v>4745400</v>
      </c>
      <c r="G2673">
        <v>112.5</v>
      </c>
      <c r="H2673" t="s">
        <v>4</v>
      </c>
      <c r="I2673" s="22">
        <f t="shared" si="83"/>
        <v>6.0627860459757143E-3</v>
      </c>
      <c r="J2673" s="22" t="str">
        <f t="shared" si="84"/>
        <v/>
      </c>
    </row>
    <row r="2674" spans="1:10">
      <c r="A2674" s="1">
        <v>41302</v>
      </c>
      <c r="B2674">
        <v>116.56</v>
      </c>
      <c r="C2674">
        <v>116.58</v>
      </c>
      <c r="D2674">
        <v>115.41</v>
      </c>
      <c r="E2674">
        <v>116.04</v>
      </c>
      <c r="F2674">
        <v>4520500</v>
      </c>
      <c r="G2674">
        <v>112.34</v>
      </c>
      <c r="H2674" t="s">
        <v>4</v>
      </c>
      <c r="I2674" s="22">
        <f t="shared" si="83"/>
        <v>-1.4232345401881533E-3</v>
      </c>
      <c r="J2674" s="22" t="str">
        <f t="shared" si="84"/>
        <v>lost money</v>
      </c>
    </row>
    <row r="2675" spans="1:10">
      <c r="A2675" s="1">
        <v>41303</v>
      </c>
      <c r="B2675">
        <v>116.28</v>
      </c>
      <c r="C2675">
        <v>117.4</v>
      </c>
      <c r="D2675">
        <v>116.25</v>
      </c>
      <c r="E2675">
        <v>117.21</v>
      </c>
      <c r="F2675">
        <v>4370100</v>
      </c>
      <c r="G2675">
        <v>113.48</v>
      </c>
      <c r="H2675" t="s">
        <v>4</v>
      </c>
      <c r="I2675" s="22">
        <f t="shared" si="83"/>
        <v>1.0096622836363844E-2</v>
      </c>
      <c r="J2675" s="22" t="str">
        <f t="shared" si="84"/>
        <v/>
      </c>
    </row>
    <row r="2676" spans="1:10">
      <c r="A2676" s="1">
        <v>41304</v>
      </c>
      <c r="B2676">
        <v>117.07</v>
      </c>
      <c r="C2676">
        <v>117.5</v>
      </c>
      <c r="D2676">
        <v>116.26</v>
      </c>
      <c r="E2676">
        <v>116.45</v>
      </c>
      <c r="F2676">
        <v>5168200</v>
      </c>
      <c r="G2676">
        <v>112.74</v>
      </c>
      <c r="H2676" t="s">
        <v>4</v>
      </c>
      <c r="I2676" s="22">
        <f t="shared" si="83"/>
        <v>-6.5423272872217513E-3</v>
      </c>
      <c r="J2676" s="22" t="str">
        <f t="shared" si="84"/>
        <v>lost money</v>
      </c>
    </row>
    <row r="2677" spans="1:10">
      <c r="A2677" s="1">
        <v>41305</v>
      </c>
      <c r="B2677">
        <v>116.22</v>
      </c>
      <c r="C2677">
        <v>116.9</v>
      </c>
      <c r="D2677">
        <v>115.15</v>
      </c>
      <c r="E2677">
        <v>115.15</v>
      </c>
      <c r="F2677">
        <v>7777900</v>
      </c>
      <c r="G2677">
        <v>111.48</v>
      </c>
      <c r="H2677" t="s">
        <v>4</v>
      </c>
      <c r="I2677" s="22">
        <f t="shared" si="83"/>
        <v>-1.1239080039681409E-2</v>
      </c>
      <c r="J2677" s="22" t="str">
        <f t="shared" si="84"/>
        <v>lost money</v>
      </c>
    </row>
    <row r="2678" spans="1:10">
      <c r="A2678" s="1">
        <v>41306</v>
      </c>
      <c r="B2678">
        <v>115.84</v>
      </c>
      <c r="C2678">
        <v>116.69</v>
      </c>
      <c r="D2678">
        <v>115.05</v>
      </c>
      <c r="E2678">
        <v>116.5</v>
      </c>
      <c r="F2678">
        <v>6415900</v>
      </c>
      <c r="G2678">
        <v>112.79</v>
      </c>
      <c r="H2678" t="s">
        <v>4</v>
      </c>
      <c r="I2678" s="22">
        <f t="shared" si="83"/>
        <v>1.1682480038078072E-2</v>
      </c>
      <c r="J2678" s="22" t="str">
        <f t="shared" si="84"/>
        <v/>
      </c>
    </row>
    <row r="2679" spans="1:10">
      <c r="A2679" s="1">
        <v>41309</v>
      </c>
      <c r="B2679">
        <v>115.02</v>
      </c>
      <c r="C2679">
        <v>115.89</v>
      </c>
      <c r="D2679">
        <v>114.29</v>
      </c>
      <c r="E2679">
        <v>115.2</v>
      </c>
      <c r="F2679">
        <v>6397600</v>
      </c>
      <c r="G2679">
        <v>111.53</v>
      </c>
      <c r="H2679" t="s">
        <v>4</v>
      </c>
      <c r="I2679" s="22">
        <f t="shared" si="83"/>
        <v>-1.1234069645379938E-2</v>
      </c>
      <c r="J2679" s="22" t="str">
        <f t="shared" si="84"/>
        <v/>
      </c>
    </row>
    <row r="2680" spans="1:10">
      <c r="A2680" s="1">
        <v>41310</v>
      </c>
      <c r="B2680">
        <v>115.74</v>
      </c>
      <c r="C2680">
        <v>116.38</v>
      </c>
      <c r="D2680">
        <v>115.51</v>
      </c>
      <c r="E2680">
        <v>115.81</v>
      </c>
      <c r="F2680">
        <v>5067800</v>
      </c>
      <c r="G2680">
        <v>112.12</v>
      </c>
      <c r="H2680" t="s">
        <v>4</v>
      </c>
      <c r="I2680" s="22">
        <f t="shared" si="83"/>
        <v>5.2761132901420925E-3</v>
      </c>
      <c r="J2680" s="22" t="str">
        <f t="shared" si="84"/>
        <v/>
      </c>
    </row>
    <row r="2681" spans="1:10">
      <c r="A2681" s="1">
        <v>41311</v>
      </c>
      <c r="B2681">
        <v>115.43</v>
      </c>
      <c r="C2681">
        <v>115.92</v>
      </c>
      <c r="D2681">
        <v>114.85</v>
      </c>
      <c r="E2681">
        <v>115.91</v>
      </c>
      <c r="F2681">
        <v>4459800</v>
      </c>
      <c r="G2681">
        <v>112.22</v>
      </c>
      <c r="H2681" t="s">
        <v>4</v>
      </c>
      <c r="I2681" s="22">
        <f t="shared" si="83"/>
        <v>8.9150402623824866E-4</v>
      </c>
      <c r="J2681" s="22" t="str">
        <f t="shared" si="84"/>
        <v/>
      </c>
    </row>
    <row r="2682" spans="1:10">
      <c r="A2682" s="1">
        <v>41312</v>
      </c>
      <c r="B2682">
        <v>115.99</v>
      </c>
      <c r="C2682">
        <v>116</v>
      </c>
      <c r="D2682">
        <v>114.33</v>
      </c>
      <c r="E2682">
        <v>115.02</v>
      </c>
      <c r="F2682">
        <v>5423900</v>
      </c>
      <c r="G2682">
        <v>111.36</v>
      </c>
      <c r="H2682" t="s">
        <v>4</v>
      </c>
      <c r="I2682" s="22">
        <f t="shared" si="83"/>
        <v>-7.6930337367163799E-3</v>
      </c>
      <c r="J2682" s="22" t="str">
        <f t="shared" si="84"/>
        <v>lost money</v>
      </c>
    </row>
    <row r="2683" spans="1:10">
      <c r="A2683" s="1">
        <v>41313</v>
      </c>
      <c r="B2683">
        <v>114.93</v>
      </c>
      <c r="C2683">
        <v>115.78</v>
      </c>
      <c r="D2683">
        <v>114.9</v>
      </c>
      <c r="E2683">
        <v>115.64</v>
      </c>
      <c r="F2683">
        <v>4457200</v>
      </c>
      <c r="G2683">
        <v>111.96</v>
      </c>
      <c r="H2683" t="s">
        <v>4</v>
      </c>
      <c r="I2683" s="22">
        <f t="shared" si="83"/>
        <v>5.3734680611431445E-3</v>
      </c>
      <c r="J2683" s="22" t="str">
        <f t="shared" si="84"/>
        <v/>
      </c>
    </row>
    <row r="2684" spans="1:10">
      <c r="A2684" s="1">
        <v>41316</v>
      </c>
      <c r="B2684">
        <v>115.68</v>
      </c>
      <c r="C2684">
        <v>115.84</v>
      </c>
      <c r="D2684">
        <v>115.01</v>
      </c>
      <c r="E2684">
        <v>115.64</v>
      </c>
      <c r="F2684">
        <v>3766300</v>
      </c>
      <c r="G2684">
        <v>111.96</v>
      </c>
      <c r="H2684" t="s">
        <v>4</v>
      </c>
      <c r="I2684" s="22">
        <f t="shared" si="83"/>
        <v>0</v>
      </c>
      <c r="J2684" s="22" t="str">
        <f t="shared" si="84"/>
        <v>lost money</v>
      </c>
    </row>
    <row r="2685" spans="1:10">
      <c r="A2685" s="1">
        <v>41317</v>
      </c>
      <c r="B2685">
        <v>115.72</v>
      </c>
      <c r="C2685">
        <v>116.84</v>
      </c>
      <c r="D2685">
        <v>115.51</v>
      </c>
      <c r="E2685">
        <v>116.5</v>
      </c>
      <c r="F2685">
        <v>4530600</v>
      </c>
      <c r="G2685">
        <v>112.79</v>
      </c>
      <c r="H2685" t="s">
        <v>4</v>
      </c>
      <c r="I2685" s="22">
        <f t="shared" si="83"/>
        <v>7.3860180045727123E-3</v>
      </c>
      <c r="J2685" s="22" t="str">
        <f t="shared" si="84"/>
        <v/>
      </c>
    </row>
    <row r="2686" spans="1:10">
      <c r="A2686" s="1">
        <v>41318</v>
      </c>
      <c r="B2686">
        <v>115.43</v>
      </c>
      <c r="C2686">
        <v>115.84</v>
      </c>
      <c r="D2686">
        <v>114.91</v>
      </c>
      <c r="E2686">
        <v>115.53</v>
      </c>
      <c r="F2686">
        <v>4111000</v>
      </c>
      <c r="G2686">
        <v>112.72</v>
      </c>
      <c r="H2686" t="s">
        <v>4</v>
      </c>
      <c r="I2686" s="22">
        <f t="shared" si="83"/>
        <v>-6.2081506140079117E-4</v>
      </c>
      <c r="J2686" s="22" t="str">
        <f t="shared" si="84"/>
        <v/>
      </c>
    </row>
    <row r="2687" spans="1:10">
      <c r="A2687" s="1">
        <v>41319</v>
      </c>
      <c r="B2687">
        <v>115.16</v>
      </c>
      <c r="C2687">
        <v>116.26</v>
      </c>
      <c r="D2687">
        <v>115.07</v>
      </c>
      <c r="E2687">
        <v>115.71</v>
      </c>
      <c r="F2687">
        <v>5226400</v>
      </c>
      <c r="G2687">
        <v>112.9</v>
      </c>
      <c r="H2687" t="s">
        <v>4</v>
      </c>
      <c r="I2687" s="22">
        <f t="shared" si="83"/>
        <v>1.595603565191682E-3</v>
      </c>
      <c r="J2687" s="22" t="str">
        <f t="shared" si="84"/>
        <v/>
      </c>
    </row>
    <row r="2688" spans="1:10">
      <c r="A2688" s="1">
        <v>41320</v>
      </c>
      <c r="B2688">
        <v>115.5</v>
      </c>
      <c r="C2688">
        <v>115.7</v>
      </c>
      <c r="D2688">
        <v>114.03</v>
      </c>
      <c r="E2688">
        <v>114.96</v>
      </c>
      <c r="F2688">
        <v>6353200</v>
      </c>
      <c r="G2688">
        <v>112.16</v>
      </c>
      <c r="H2688" t="s">
        <v>4</v>
      </c>
      <c r="I2688" s="22">
        <f t="shared" si="83"/>
        <v>-6.5760478693364412E-3</v>
      </c>
      <c r="J2688" s="22" t="str">
        <f t="shared" si="84"/>
        <v>lost money</v>
      </c>
    </row>
    <row r="2689" spans="1:10">
      <c r="A2689" s="1">
        <v>41324</v>
      </c>
      <c r="B2689">
        <v>115.19</v>
      </c>
      <c r="C2689">
        <v>116.26</v>
      </c>
      <c r="D2689">
        <v>115.19</v>
      </c>
      <c r="E2689">
        <v>115.92</v>
      </c>
      <c r="F2689">
        <v>5023300</v>
      </c>
      <c r="G2689">
        <v>113.1</v>
      </c>
      <c r="H2689" t="s">
        <v>4</v>
      </c>
      <c r="I2689" s="22">
        <f t="shared" si="83"/>
        <v>8.3459598357948812E-3</v>
      </c>
      <c r="J2689" s="22" t="str">
        <f t="shared" si="84"/>
        <v/>
      </c>
    </row>
    <row r="2690" spans="1:10">
      <c r="A2690" s="1">
        <v>41325</v>
      </c>
      <c r="B2690">
        <v>115.93</v>
      </c>
      <c r="C2690">
        <v>116.1</v>
      </c>
      <c r="D2690">
        <v>114.84</v>
      </c>
      <c r="E2690">
        <v>114.99</v>
      </c>
      <c r="F2690">
        <v>5447000</v>
      </c>
      <c r="G2690">
        <v>112.19</v>
      </c>
      <c r="H2690" t="s">
        <v>4</v>
      </c>
      <c r="I2690" s="22">
        <f t="shared" si="83"/>
        <v>-8.0785205652014365E-3</v>
      </c>
      <c r="J2690" s="22" t="str">
        <f t="shared" si="84"/>
        <v>lost money</v>
      </c>
    </row>
    <row r="2691" spans="1:10">
      <c r="A2691" s="1">
        <v>41326</v>
      </c>
      <c r="B2691">
        <v>114.79</v>
      </c>
      <c r="C2691">
        <v>115.3</v>
      </c>
      <c r="D2691">
        <v>114.09</v>
      </c>
      <c r="E2691">
        <v>114.99</v>
      </c>
      <c r="F2691">
        <v>4795100</v>
      </c>
      <c r="G2691">
        <v>112.19</v>
      </c>
      <c r="H2691" t="s">
        <v>4</v>
      </c>
      <c r="I2691" s="22">
        <f t="shared" ref="I2691:I2754" si="85">IF(A2691=$A$2,"",LN(G2691/G2690))</f>
        <v>0</v>
      </c>
      <c r="J2691" s="22" t="str">
        <f t="shared" ref="J2691:J2754" si="86">IF(B2691&gt;E2691,"lost money","")</f>
        <v/>
      </c>
    </row>
    <row r="2692" spans="1:10">
      <c r="A2692" s="1">
        <v>41327</v>
      </c>
      <c r="B2692">
        <v>115.51</v>
      </c>
      <c r="C2692">
        <v>116.23</v>
      </c>
      <c r="D2692">
        <v>114.82</v>
      </c>
      <c r="E2692">
        <v>115.96</v>
      </c>
      <c r="F2692">
        <v>5207200</v>
      </c>
      <c r="G2692">
        <v>113.14</v>
      </c>
      <c r="H2692" t="s">
        <v>4</v>
      </c>
      <c r="I2692" s="22">
        <f t="shared" si="85"/>
        <v>8.4321273581362856E-3</v>
      </c>
      <c r="J2692" s="22" t="str">
        <f t="shared" si="86"/>
        <v/>
      </c>
    </row>
    <row r="2693" spans="1:10">
      <c r="A2693" s="1">
        <v>41330</v>
      </c>
      <c r="B2693">
        <v>116.5</v>
      </c>
      <c r="C2693">
        <v>117.34</v>
      </c>
      <c r="D2693">
        <v>113.5</v>
      </c>
      <c r="E2693">
        <v>113.54</v>
      </c>
      <c r="F2693">
        <v>7522800</v>
      </c>
      <c r="G2693">
        <v>110.78</v>
      </c>
      <c r="H2693" t="s">
        <v>4</v>
      </c>
      <c r="I2693" s="22">
        <f t="shared" si="85"/>
        <v>-2.1079737310051815E-2</v>
      </c>
      <c r="J2693" s="22" t="str">
        <f t="shared" si="86"/>
        <v>lost money</v>
      </c>
    </row>
    <row r="2694" spans="1:10">
      <c r="A2694" s="1">
        <v>41331</v>
      </c>
      <c r="B2694">
        <v>114.47</v>
      </c>
      <c r="C2694">
        <v>115.17</v>
      </c>
      <c r="D2694">
        <v>113.75</v>
      </c>
      <c r="E2694">
        <v>114.96</v>
      </c>
      <c r="F2694">
        <v>6113100</v>
      </c>
      <c r="G2694">
        <v>112.16</v>
      </c>
      <c r="H2694" t="s">
        <v>4</v>
      </c>
      <c r="I2694" s="22">
        <f t="shared" si="85"/>
        <v>1.2380170681322153E-2</v>
      </c>
      <c r="J2694" s="22" t="str">
        <f t="shared" si="86"/>
        <v/>
      </c>
    </row>
    <row r="2695" spans="1:10">
      <c r="A2695" s="1">
        <v>41332</v>
      </c>
      <c r="B2695">
        <v>114.71</v>
      </c>
      <c r="C2695">
        <v>116.95</v>
      </c>
      <c r="D2695">
        <v>114.71</v>
      </c>
      <c r="E2695">
        <v>116.65</v>
      </c>
      <c r="F2695">
        <v>4540600</v>
      </c>
      <c r="G2695">
        <v>113.81</v>
      </c>
      <c r="H2695" t="s">
        <v>4</v>
      </c>
      <c r="I2695" s="22">
        <f t="shared" si="85"/>
        <v>1.4603968007518574E-2</v>
      </c>
      <c r="J2695" s="22" t="str">
        <f t="shared" si="86"/>
        <v/>
      </c>
    </row>
    <row r="2696" spans="1:10">
      <c r="A2696" s="1">
        <v>41333</v>
      </c>
      <c r="B2696">
        <v>116.57</v>
      </c>
      <c r="C2696">
        <v>117.89</v>
      </c>
      <c r="D2696">
        <v>116.35</v>
      </c>
      <c r="E2696">
        <v>117.15</v>
      </c>
      <c r="F2696">
        <v>5953600</v>
      </c>
      <c r="G2696">
        <v>114.3</v>
      </c>
      <c r="H2696" t="s">
        <v>4</v>
      </c>
      <c r="I2696" s="22">
        <f t="shared" si="85"/>
        <v>4.2961795069665258E-3</v>
      </c>
      <c r="J2696" s="22" t="str">
        <f t="shared" si="86"/>
        <v/>
      </c>
    </row>
    <row r="2697" spans="1:10">
      <c r="A2697" s="1">
        <v>41334</v>
      </c>
      <c r="B2697">
        <v>116.73</v>
      </c>
      <c r="C2697">
        <v>117.24</v>
      </c>
      <c r="D2697">
        <v>115.95</v>
      </c>
      <c r="E2697">
        <v>116.9</v>
      </c>
      <c r="F2697">
        <v>5570300</v>
      </c>
      <c r="G2697">
        <v>114.06</v>
      </c>
      <c r="H2697" t="s">
        <v>4</v>
      </c>
      <c r="I2697" s="22">
        <f t="shared" si="85"/>
        <v>-2.1019450723721218E-3</v>
      </c>
      <c r="J2697" s="22" t="str">
        <f t="shared" si="86"/>
        <v/>
      </c>
    </row>
    <row r="2698" spans="1:10">
      <c r="A2698" s="1">
        <v>41337</v>
      </c>
      <c r="B2698">
        <v>116.78</v>
      </c>
      <c r="C2698">
        <v>117.81</v>
      </c>
      <c r="D2698">
        <v>116.08</v>
      </c>
      <c r="E2698">
        <v>117.49</v>
      </c>
      <c r="F2698">
        <v>5046700</v>
      </c>
      <c r="G2698">
        <v>114.63</v>
      </c>
      <c r="H2698" t="s">
        <v>4</v>
      </c>
      <c r="I2698" s="22">
        <f t="shared" si="85"/>
        <v>4.9849243985254635E-3</v>
      </c>
      <c r="J2698" s="22" t="str">
        <f t="shared" si="86"/>
        <v/>
      </c>
    </row>
    <row r="2699" spans="1:10">
      <c r="A2699" s="1">
        <v>41338</v>
      </c>
      <c r="B2699">
        <v>117.97</v>
      </c>
      <c r="C2699">
        <v>118.25</v>
      </c>
      <c r="D2699">
        <v>117.67</v>
      </c>
      <c r="E2699">
        <v>117.93</v>
      </c>
      <c r="F2699">
        <v>6356000</v>
      </c>
      <c r="G2699">
        <v>115.06</v>
      </c>
      <c r="H2699" t="s">
        <v>4</v>
      </c>
      <c r="I2699" s="22">
        <f t="shared" si="85"/>
        <v>3.7441813082292681E-3</v>
      </c>
      <c r="J2699" s="22" t="str">
        <f t="shared" si="86"/>
        <v>lost money</v>
      </c>
    </row>
    <row r="2700" spans="1:10">
      <c r="A2700" s="1">
        <v>41339</v>
      </c>
      <c r="B2700">
        <v>118.3</v>
      </c>
      <c r="C2700">
        <v>118.78</v>
      </c>
      <c r="D2700">
        <v>118.03</v>
      </c>
      <c r="E2700">
        <v>118.47</v>
      </c>
      <c r="F2700">
        <v>5362200</v>
      </c>
      <c r="G2700">
        <v>115.59</v>
      </c>
      <c r="H2700" t="s">
        <v>4</v>
      </c>
      <c r="I2700" s="22">
        <f t="shared" si="85"/>
        <v>4.5957158710285837E-3</v>
      </c>
      <c r="J2700" s="22" t="str">
        <f t="shared" si="86"/>
        <v/>
      </c>
    </row>
    <row r="2701" spans="1:10">
      <c r="A2701" s="1">
        <v>41340</v>
      </c>
      <c r="B2701">
        <v>118.62</v>
      </c>
      <c r="C2701">
        <v>118.89</v>
      </c>
      <c r="D2701">
        <v>118.21</v>
      </c>
      <c r="E2701">
        <v>118.56</v>
      </c>
      <c r="F2701">
        <v>4378700</v>
      </c>
      <c r="G2701">
        <v>115.68</v>
      </c>
      <c r="H2701" t="s">
        <v>4</v>
      </c>
      <c r="I2701" s="22">
        <f t="shared" si="85"/>
        <v>7.783111042786176E-4</v>
      </c>
      <c r="J2701" s="22" t="str">
        <f t="shared" si="86"/>
        <v>lost money</v>
      </c>
    </row>
    <row r="2702" spans="1:10">
      <c r="A2702" s="1">
        <v>41341</v>
      </c>
      <c r="B2702">
        <v>118.95</v>
      </c>
      <c r="C2702">
        <v>119.11</v>
      </c>
      <c r="D2702">
        <v>117.99</v>
      </c>
      <c r="E2702">
        <v>118.57</v>
      </c>
      <c r="F2702">
        <v>4992000</v>
      </c>
      <c r="G2702">
        <v>115.69</v>
      </c>
      <c r="H2702" t="s">
        <v>4</v>
      </c>
      <c r="I2702" s="22">
        <f t="shared" si="85"/>
        <v>8.6441630342972393E-5</v>
      </c>
      <c r="J2702" s="22" t="str">
        <f t="shared" si="86"/>
        <v>lost money</v>
      </c>
    </row>
    <row r="2703" spans="1:10">
      <c r="A2703" s="1">
        <v>41344</v>
      </c>
      <c r="B2703">
        <v>118.63</v>
      </c>
      <c r="C2703">
        <v>118.8</v>
      </c>
      <c r="D2703">
        <v>118.1</v>
      </c>
      <c r="E2703">
        <v>118.73</v>
      </c>
      <c r="F2703">
        <v>4528400</v>
      </c>
      <c r="G2703">
        <v>115.84</v>
      </c>
      <c r="H2703" t="s">
        <v>4</v>
      </c>
      <c r="I2703" s="22">
        <f t="shared" si="85"/>
        <v>1.2957285966087564E-3</v>
      </c>
      <c r="J2703" s="22" t="str">
        <f t="shared" si="86"/>
        <v/>
      </c>
    </row>
    <row r="2704" spans="1:10">
      <c r="A2704" s="1">
        <v>41345</v>
      </c>
      <c r="B2704">
        <v>118.88</v>
      </c>
      <c r="C2704">
        <v>119.3</v>
      </c>
      <c r="D2704">
        <v>118.16</v>
      </c>
      <c r="E2704">
        <v>118.25</v>
      </c>
      <c r="F2704">
        <v>4625000</v>
      </c>
      <c r="G2704">
        <v>115.37</v>
      </c>
      <c r="H2704" t="s">
        <v>4</v>
      </c>
      <c r="I2704" s="22">
        <f t="shared" si="85"/>
        <v>-4.0655736982078928E-3</v>
      </c>
      <c r="J2704" s="22" t="str">
        <f t="shared" si="86"/>
        <v>lost money</v>
      </c>
    </row>
    <row r="2705" spans="1:10">
      <c r="A2705" s="1">
        <v>41346</v>
      </c>
      <c r="B2705">
        <v>118.38</v>
      </c>
      <c r="C2705">
        <v>118.7</v>
      </c>
      <c r="D2705">
        <v>118.06</v>
      </c>
      <c r="E2705">
        <v>118.36</v>
      </c>
      <c r="F2705">
        <v>5393300</v>
      </c>
      <c r="G2705">
        <v>115.48</v>
      </c>
      <c r="H2705" t="s">
        <v>4</v>
      </c>
      <c r="I2705" s="22">
        <f t="shared" si="85"/>
        <v>9.5299985553595941E-4</v>
      </c>
      <c r="J2705" s="22" t="str">
        <f t="shared" si="86"/>
        <v>lost money</v>
      </c>
    </row>
    <row r="2706" spans="1:10">
      <c r="A2706" s="1">
        <v>41347</v>
      </c>
      <c r="B2706">
        <v>118.73</v>
      </c>
      <c r="C2706">
        <v>120.26</v>
      </c>
      <c r="D2706">
        <v>118.6</v>
      </c>
      <c r="E2706">
        <v>120</v>
      </c>
      <c r="F2706">
        <v>7476700</v>
      </c>
      <c r="G2706">
        <v>117.08</v>
      </c>
      <c r="H2706" t="s">
        <v>4</v>
      </c>
      <c r="I2706" s="22">
        <f t="shared" si="85"/>
        <v>1.3760107028950761E-2</v>
      </c>
      <c r="J2706" s="22" t="str">
        <f t="shared" si="86"/>
        <v/>
      </c>
    </row>
    <row r="2707" spans="1:10">
      <c r="A2707" s="1">
        <v>41348</v>
      </c>
      <c r="B2707">
        <v>119.59</v>
      </c>
      <c r="C2707">
        <v>119.92</v>
      </c>
      <c r="D2707">
        <v>118.91</v>
      </c>
      <c r="E2707">
        <v>119.68</v>
      </c>
      <c r="F2707">
        <v>10215600</v>
      </c>
      <c r="G2707">
        <v>116.77</v>
      </c>
      <c r="H2707" t="s">
        <v>4</v>
      </c>
      <c r="I2707" s="22">
        <f t="shared" si="85"/>
        <v>-2.651273736061581E-3</v>
      </c>
      <c r="J2707" s="22" t="str">
        <f t="shared" si="86"/>
        <v/>
      </c>
    </row>
    <row r="2708" spans="1:10">
      <c r="A2708" s="1">
        <v>41351</v>
      </c>
      <c r="B2708">
        <v>118.78</v>
      </c>
      <c r="C2708">
        <v>119.9</v>
      </c>
      <c r="D2708">
        <v>118.7</v>
      </c>
      <c r="E2708">
        <v>119.13</v>
      </c>
      <c r="F2708">
        <v>4828700</v>
      </c>
      <c r="G2708">
        <v>116.23</v>
      </c>
      <c r="H2708" t="s">
        <v>4</v>
      </c>
      <c r="I2708" s="22">
        <f t="shared" si="85"/>
        <v>-4.635201432006868E-3</v>
      </c>
      <c r="J2708" s="22" t="str">
        <f t="shared" si="86"/>
        <v/>
      </c>
    </row>
    <row r="2709" spans="1:10">
      <c r="A2709" s="1">
        <v>41352</v>
      </c>
      <c r="B2709">
        <v>119.39</v>
      </c>
      <c r="C2709">
        <v>119.81</v>
      </c>
      <c r="D2709">
        <v>118.65</v>
      </c>
      <c r="E2709">
        <v>119.46</v>
      </c>
      <c r="F2709">
        <v>5244200</v>
      </c>
      <c r="G2709">
        <v>116.55</v>
      </c>
      <c r="H2709" t="s">
        <v>4</v>
      </c>
      <c r="I2709" s="22">
        <f t="shared" si="85"/>
        <v>2.749378826149449E-3</v>
      </c>
      <c r="J2709" s="22" t="str">
        <f t="shared" si="86"/>
        <v/>
      </c>
    </row>
    <row r="2710" spans="1:10">
      <c r="A2710" s="1">
        <v>41353</v>
      </c>
      <c r="B2710">
        <v>119.98</v>
      </c>
      <c r="C2710">
        <v>120.88</v>
      </c>
      <c r="D2710">
        <v>119.86</v>
      </c>
      <c r="E2710">
        <v>120.35</v>
      </c>
      <c r="F2710">
        <v>5945300</v>
      </c>
      <c r="G2710">
        <v>117.42</v>
      </c>
      <c r="H2710" t="s">
        <v>4</v>
      </c>
      <c r="I2710" s="22">
        <f t="shared" si="85"/>
        <v>7.4368851542736805E-3</v>
      </c>
      <c r="J2710" s="22" t="str">
        <f t="shared" si="86"/>
        <v/>
      </c>
    </row>
    <row r="2711" spans="1:10">
      <c r="A2711" s="1">
        <v>41354</v>
      </c>
      <c r="B2711">
        <v>120</v>
      </c>
      <c r="C2711">
        <v>120.99</v>
      </c>
      <c r="D2711">
        <v>119.81</v>
      </c>
      <c r="E2711">
        <v>120.34</v>
      </c>
      <c r="F2711">
        <v>6168500</v>
      </c>
      <c r="G2711">
        <v>117.41</v>
      </c>
      <c r="H2711" t="s">
        <v>4</v>
      </c>
      <c r="I2711" s="22">
        <f t="shared" si="85"/>
        <v>-8.5167993919463449E-5</v>
      </c>
      <c r="J2711" s="22" t="str">
        <f t="shared" si="86"/>
        <v/>
      </c>
    </row>
    <row r="2712" spans="1:10">
      <c r="A2712" s="1">
        <v>41355</v>
      </c>
      <c r="B2712">
        <v>120.66</v>
      </c>
      <c r="C2712">
        <v>121.4</v>
      </c>
      <c r="D2712">
        <v>120.48</v>
      </c>
      <c r="E2712">
        <v>121.18</v>
      </c>
      <c r="F2712">
        <v>5190700</v>
      </c>
      <c r="G2712">
        <v>118.23</v>
      </c>
      <c r="H2712" t="s">
        <v>4</v>
      </c>
      <c r="I2712" s="22">
        <f t="shared" si="85"/>
        <v>6.9597972329016149E-3</v>
      </c>
      <c r="J2712" s="22" t="str">
        <f t="shared" si="86"/>
        <v/>
      </c>
    </row>
    <row r="2713" spans="1:10">
      <c r="A2713" s="1">
        <v>41358</v>
      </c>
      <c r="B2713">
        <v>121.5</v>
      </c>
      <c r="C2713">
        <v>121.56</v>
      </c>
      <c r="D2713">
        <v>119.56</v>
      </c>
      <c r="E2713">
        <v>120.18</v>
      </c>
      <c r="F2713">
        <v>6345300</v>
      </c>
      <c r="G2713">
        <v>117.26</v>
      </c>
      <c r="H2713" t="s">
        <v>4</v>
      </c>
      <c r="I2713" s="22">
        <f t="shared" si="85"/>
        <v>-8.2381883389529426E-3</v>
      </c>
      <c r="J2713" s="22" t="str">
        <f t="shared" si="86"/>
        <v>lost money</v>
      </c>
    </row>
    <row r="2714" spans="1:10">
      <c r="A2714" s="1">
        <v>41359</v>
      </c>
      <c r="B2714">
        <v>120.74</v>
      </c>
      <c r="C2714">
        <v>121.13</v>
      </c>
      <c r="D2714">
        <v>120.32</v>
      </c>
      <c r="E2714">
        <v>120.98</v>
      </c>
      <c r="F2714">
        <v>4256400</v>
      </c>
      <c r="G2714">
        <v>118.04</v>
      </c>
      <c r="H2714" t="s">
        <v>4</v>
      </c>
      <c r="I2714" s="22">
        <f t="shared" si="85"/>
        <v>6.6298585386695818E-3</v>
      </c>
      <c r="J2714" s="22" t="str">
        <f t="shared" si="86"/>
        <v/>
      </c>
    </row>
    <row r="2715" spans="1:10">
      <c r="A2715" s="1">
        <v>41360</v>
      </c>
      <c r="B2715">
        <v>120.5</v>
      </c>
      <c r="C2715">
        <v>120.71</v>
      </c>
      <c r="D2715">
        <v>119.7</v>
      </c>
      <c r="E2715">
        <v>120.19</v>
      </c>
      <c r="F2715">
        <v>4329600</v>
      </c>
      <c r="G2715">
        <v>117.27</v>
      </c>
      <c r="H2715" t="s">
        <v>4</v>
      </c>
      <c r="I2715" s="22">
        <f t="shared" si="85"/>
        <v>-6.544581601765645E-3</v>
      </c>
      <c r="J2715" s="22" t="str">
        <f t="shared" si="86"/>
        <v>lost money</v>
      </c>
    </row>
    <row r="2716" spans="1:10">
      <c r="A2716" s="1">
        <v>41361</v>
      </c>
      <c r="B2716">
        <v>120.44</v>
      </c>
      <c r="C2716">
        <v>120.73</v>
      </c>
      <c r="D2716">
        <v>118.76</v>
      </c>
      <c r="E2716">
        <v>118.82</v>
      </c>
      <c r="F2716">
        <v>8280100</v>
      </c>
      <c r="G2716">
        <v>115.93</v>
      </c>
      <c r="H2716" t="s">
        <v>4</v>
      </c>
      <c r="I2716" s="22">
        <f t="shared" si="85"/>
        <v>-1.1492407790662936E-2</v>
      </c>
      <c r="J2716" s="22" t="str">
        <f t="shared" si="86"/>
        <v>lost money</v>
      </c>
    </row>
    <row r="2717" spans="1:10">
      <c r="A2717" s="1">
        <v>41365</v>
      </c>
      <c r="B2717">
        <v>118.99</v>
      </c>
      <c r="C2717">
        <v>119.86</v>
      </c>
      <c r="D2717">
        <v>118.76</v>
      </c>
      <c r="E2717">
        <v>119.61</v>
      </c>
      <c r="F2717">
        <v>4322200</v>
      </c>
      <c r="G2717">
        <v>116.7</v>
      </c>
      <c r="H2717" t="s">
        <v>4</v>
      </c>
      <c r="I2717" s="22">
        <f t="shared" si="85"/>
        <v>6.6199786102000956E-3</v>
      </c>
      <c r="J2717" s="22" t="str">
        <f t="shared" si="86"/>
        <v/>
      </c>
    </row>
    <row r="2718" spans="1:10">
      <c r="A2718" s="1">
        <v>41366</v>
      </c>
      <c r="B2718">
        <v>119.84</v>
      </c>
      <c r="C2718">
        <v>119.95</v>
      </c>
      <c r="D2718">
        <v>118.66</v>
      </c>
      <c r="E2718">
        <v>119</v>
      </c>
      <c r="F2718">
        <v>4813900</v>
      </c>
      <c r="G2718">
        <v>116.11</v>
      </c>
      <c r="H2718" t="s">
        <v>4</v>
      </c>
      <c r="I2718" s="22">
        <f t="shared" si="85"/>
        <v>-5.0685216535955712E-3</v>
      </c>
      <c r="J2718" s="22" t="str">
        <f t="shared" si="86"/>
        <v>lost money</v>
      </c>
    </row>
    <row r="2719" spans="1:10">
      <c r="A2719" s="1">
        <v>41367</v>
      </c>
      <c r="B2719">
        <v>119.18</v>
      </c>
      <c r="C2719">
        <v>119.25</v>
      </c>
      <c r="D2719">
        <v>117.35</v>
      </c>
      <c r="E2719">
        <v>117.78</v>
      </c>
      <c r="F2719">
        <v>7175000</v>
      </c>
      <c r="G2719">
        <v>114.92</v>
      </c>
      <c r="H2719" t="s">
        <v>4</v>
      </c>
      <c r="I2719" s="22">
        <f t="shared" si="85"/>
        <v>-1.0301783527825945E-2</v>
      </c>
      <c r="J2719" s="22" t="str">
        <f t="shared" si="86"/>
        <v>lost money</v>
      </c>
    </row>
    <row r="2720" spans="1:10">
      <c r="A2720" s="1">
        <v>41368</v>
      </c>
      <c r="B2720">
        <v>117.93</v>
      </c>
      <c r="C2720">
        <v>118.68</v>
      </c>
      <c r="D2720">
        <v>117.17</v>
      </c>
      <c r="E2720">
        <v>118.07</v>
      </c>
      <c r="F2720">
        <v>5409700</v>
      </c>
      <c r="G2720">
        <v>115.2</v>
      </c>
      <c r="H2720" t="s">
        <v>4</v>
      </c>
      <c r="I2720" s="22">
        <f t="shared" si="85"/>
        <v>2.433514150702087E-3</v>
      </c>
      <c r="J2720" s="22" t="str">
        <f t="shared" si="86"/>
        <v/>
      </c>
    </row>
    <row r="2721" spans="1:10">
      <c r="A2721" s="1">
        <v>41369</v>
      </c>
      <c r="B2721">
        <v>116.64</v>
      </c>
      <c r="C2721">
        <v>117.64</v>
      </c>
      <c r="D2721">
        <v>116.17</v>
      </c>
      <c r="E2721">
        <v>117.52</v>
      </c>
      <c r="F2721">
        <v>5029900</v>
      </c>
      <c r="G2721">
        <v>114.66</v>
      </c>
      <c r="H2721" t="s">
        <v>4</v>
      </c>
      <c r="I2721" s="22">
        <f t="shared" si="85"/>
        <v>-4.6985207815542608E-3</v>
      </c>
      <c r="J2721" s="22" t="str">
        <f t="shared" si="86"/>
        <v/>
      </c>
    </row>
    <row r="2722" spans="1:10">
      <c r="A2722" s="1">
        <v>41372</v>
      </c>
      <c r="B2722">
        <v>117.45</v>
      </c>
      <c r="C2722">
        <v>117.87</v>
      </c>
      <c r="D2722">
        <v>116.65</v>
      </c>
      <c r="E2722">
        <v>117.81</v>
      </c>
      <c r="F2722">
        <v>4117400</v>
      </c>
      <c r="G2722">
        <v>114.94</v>
      </c>
      <c r="H2722" t="s">
        <v>4</v>
      </c>
      <c r="I2722" s="22">
        <f t="shared" si="85"/>
        <v>2.4390255993587892E-3</v>
      </c>
      <c r="J2722" s="22" t="str">
        <f t="shared" si="86"/>
        <v/>
      </c>
    </row>
    <row r="2723" spans="1:10">
      <c r="A2723" s="1">
        <v>41373</v>
      </c>
      <c r="B2723">
        <v>117.99</v>
      </c>
      <c r="C2723">
        <v>118.87</v>
      </c>
      <c r="D2723">
        <v>117.63</v>
      </c>
      <c r="E2723">
        <v>118.64</v>
      </c>
      <c r="F2723">
        <v>4849700</v>
      </c>
      <c r="G2723">
        <v>115.75</v>
      </c>
      <c r="H2723" t="s">
        <v>4</v>
      </c>
      <c r="I2723" s="22">
        <f t="shared" si="85"/>
        <v>7.0224398867480978E-3</v>
      </c>
      <c r="J2723" s="22" t="str">
        <f t="shared" si="86"/>
        <v/>
      </c>
    </row>
    <row r="2724" spans="1:10">
      <c r="A2724" s="1">
        <v>41374</v>
      </c>
      <c r="B2724">
        <v>118.89</v>
      </c>
      <c r="C2724">
        <v>119.83</v>
      </c>
      <c r="D2724">
        <v>118.51</v>
      </c>
      <c r="E2724">
        <v>119.64</v>
      </c>
      <c r="F2724">
        <v>5452000</v>
      </c>
      <c r="G2724">
        <v>116.73</v>
      </c>
      <c r="H2724" t="s">
        <v>4</v>
      </c>
      <c r="I2724" s="22">
        <f t="shared" si="85"/>
        <v>8.4308826982284028E-3</v>
      </c>
      <c r="J2724" s="22" t="str">
        <f t="shared" si="86"/>
        <v/>
      </c>
    </row>
    <row r="2725" spans="1:10">
      <c r="A2725" s="1">
        <v>41375</v>
      </c>
      <c r="B2725">
        <v>119.96</v>
      </c>
      <c r="C2725">
        <v>121.15</v>
      </c>
      <c r="D2725">
        <v>119.52</v>
      </c>
      <c r="E2725">
        <v>120.95</v>
      </c>
      <c r="F2725">
        <v>6092300</v>
      </c>
      <c r="G2725">
        <v>118.01</v>
      </c>
      <c r="H2725" t="s">
        <v>4</v>
      </c>
      <c r="I2725" s="22">
        <f t="shared" si="85"/>
        <v>1.0905790973085513E-2</v>
      </c>
      <c r="J2725" s="22" t="str">
        <f t="shared" si="86"/>
        <v/>
      </c>
    </row>
    <row r="2726" spans="1:10">
      <c r="A2726" s="1">
        <v>41376</v>
      </c>
      <c r="B2726">
        <v>120.46</v>
      </c>
      <c r="C2726">
        <v>120.9</v>
      </c>
      <c r="D2726">
        <v>119.5</v>
      </c>
      <c r="E2726">
        <v>119.94</v>
      </c>
      <c r="F2726">
        <v>6391700</v>
      </c>
      <c r="G2726">
        <v>117.02</v>
      </c>
      <c r="H2726" t="s">
        <v>4</v>
      </c>
      <c r="I2726" s="22">
        <f t="shared" si="85"/>
        <v>-8.424506277567358E-3</v>
      </c>
      <c r="J2726" s="22" t="str">
        <f t="shared" si="86"/>
        <v>lost money</v>
      </c>
    </row>
    <row r="2727" spans="1:10">
      <c r="A2727" s="1">
        <v>41379</v>
      </c>
      <c r="B2727">
        <v>118.81</v>
      </c>
      <c r="C2727">
        <v>118.9</v>
      </c>
      <c r="D2727">
        <v>116.5</v>
      </c>
      <c r="E2727">
        <v>116.57</v>
      </c>
      <c r="F2727">
        <v>9766800</v>
      </c>
      <c r="G2727">
        <v>113.73</v>
      </c>
      <c r="H2727" t="s">
        <v>4</v>
      </c>
      <c r="I2727" s="22">
        <f t="shared" si="85"/>
        <v>-2.8517642163736766E-2</v>
      </c>
      <c r="J2727" s="22" t="str">
        <f t="shared" si="86"/>
        <v>lost money</v>
      </c>
    </row>
    <row r="2728" spans="1:10">
      <c r="A2728" s="1">
        <v>41380</v>
      </c>
      <c r="B2728">
        <v>117.34</v>
      </c>
      <c r="C2728">
        <v>117.5</v>
      </c>
      <c r="D2728">
        <v>116.21</v>
      </c>
      <c r="E2728">
        <v>117.01</v>
      </c>
      <c r="F2728">
        <v>6511400</v>
      </c>
      <c r="G2728">
        <v>114.16</v>
      </c>
      <c r="H2728" t="s">
        <v>4</v>
      </c>
      <c r="I2728" s="22">
        <f t="shared" si="85"/>
        <v>3.7737549722277391E-3</v>
      </c>
      <c r="J2728" s="22" t="str">
        <f t="shared" si="86"/>
        <v>lost money</v>
      </c>
    </row>
    <row r="2729" spans="1:10">
      <c r="A2729" s="1">
        <v>41381</v>
      </c>
      <c r="B2729">
        <v>116.4</v>
      </c>
      <c r="C2729">
        <v>116.4</v>
      </c>
      <c r="D2729">
        <v>114.12</v>
      </c>
      <c r="E2729">
        <v>114.81</v>
      </c>
      <c r="F2729">
        <v>8291200</v>
      </c>
      <c r="G2729">
        <v>112.02</v>
      </c>
      <c r="H2729" t="s">
        <v>4</v>
      </c>
      <c r="I2729" s="22">
        <f t="shared" si="85"/>
        <v>-1.8923546386894693E-2</v>
      </c>
      <c r="J2729" s="22" t="str">
        <f t="shared" si="86"/>
        <v>lost money</v>
      </c>
    </row>
    <row r="2730" spans="1:10">
      <c r="A2730" s="1">
        <v>41382</v>
      </c>
      <c r="B2730">
        <v>114.88</v>
      </c>
      <c r="C2730">
        <v>116.12</v>
      </c>
      <c r="D2730">
        <v>114.6</v>
      </c>
      <c r="E2730">
        <v>115.59</v>
      </c>
      <c r="F2730">
        <v>6451600</v>
      </c>
      <c r="G2730">
        <v>112.78</v>
      </c>
      <c r="H2730" t="s">
        <v>4</v>
      </c>
      <c r="I2730" s="22">
        <f t="shared" si="85"/>
        <v>6.7615915973498206E-3</v>
      </c>
      <c r="J2730" s="22" t="str">
        <f t="shared" si="86"/>
        <v/>
      </c>
    </row>
    <row r="2731" spans="1:10">
      <c r="A2731" s="1">
        <v>41383</v>
      </c>
      <c r="B2731">
        <v>116.36</v>
      </c>
      <c r="C2731">
        <v>116.95</v>
      </c>
      <c r="D2731">
        <v>115.83</v>
      </c>
      <c r="E2731">
        <v>115.9</v>
      </c>
      <c r="F2731">
        <v>7573200</v>
      </c>
      <c r="G2731">
        <v>113.08</v>
      </c>
      <c r="H2731" t="s">
        <v>4</v>
      </c>
      <c r="I2731" s="22">
        <f t="shared" si="85"/>
        <v>2.6565144463533996E-3</v>
      </c>
      <c r="J2731" s="22" t="str">
        <f t="shared" si="86"/>
        <v>lost money</v>
      </c>
    </row>
    <row r="2732" spans="1:10">
      <c r="A2732" s="1">
        <v>41386</v>
      </c>
      <c r="B2732">
        <v>116.39</v>
      </c>
      <c r="C2732">
        <v>117.1</v>
      </c>
      <c r="D2732">
        <v>115.89</v>
      </c>
      <c r="E2732">
        <v>116.57</v>
      </c>
      <c r="F2732">
        <v>5435700</v>
      </c>
      <c r="G2732">
        <v>113.73</v>
      </c>
      <c r="H2732" t="s">
        <v>4</v>
      </c>
      <c r="I2732" s="22">
        <f t="shared" si="85"/>
        <v>5.7316853709635891E-3</v>
      </c>
      <c r="J2732" s="22" t="str">
        <f t="shared" si="86"/>
        <v/>
      </c>
    </row>
    <row r="2733" spans="1:10">
      <c r="A2733" s="1">
        <v>41387</v>
      </c>
      <c r="B2733">
        <v>116.99</v>
      </c>
      <c r="C2733">
        <v>118.09</v>
      </c>
      <c r="D2733">
        <v>115.9</v>
      </c>
      <c r="E2733">
        <v>117.48</v>
      </c>
      <c r="F2733">
        <v>6745200</v>
      </c>
      <c r="G2733">
        <v>114.62</v>
      </c>
      <c r="H2733" t="s">
        <v>4</v>
      </c>
      <c r="I2733" s="22">
        <f t="shared" si="85"/>
        <v>7.7950909272382334E-3</v>
      </c>
      <c r="J2733" s="22" t="str">
        <f t="shared" si="86"/>
        <v/>
      </c>
    </row>
    <row r="2734" spans="1:10">
      <c r="A2734" s="1">
        <v>41388</v>
      </c>
      <c r="B2734">
        <v>118.04</v>
      </c>
      <c r="C2734">
        <v>118.68</v>
      </c>
      <c r="D2734">
        <v>117.98</v>
      </c>
      <c r="E2734">
        <v>118.28</v>
      </c>
      <c r="F2734">
        <v>4559000</v>
      </c>
      <c r="G2734">
        <v>115.4</v>
      </c>
      <c r="H2734" t="s">
        <v>4</v>
      </c>
      <c r="I2734" s="22">
        <f t="shared" si="85"/>
        <v>6.78204495040773E-3</v>
      </c>
      <c r="J2734" s="22" t="str">
        <f t="shared" si="86"/>
        <v/>
      </c>
    </row>
    <row r="2735" spans="1:10">
      <c r="A2735" s="1">
        <v>41389</v>
      </c>
      <c r="B2735">
        <v>119.07</v>
      </c>
      <c r="C2735">
        <v>120</v>
      </c>
      <c r="D2735">
        <v>118.3</v>
      </c>
      <c r="E2735">
        <v>118.51</v>
      </c>
      <c r="F2735">
        <v>5602800</v>
      </c>
      <c r="G2735">
        <v>115.63</v>
      </c>
      <c r="H2735" t="s">
        <v>4</v>
      </c>
      <c r="I2735" s="22">
        <f t="shared" si="85"/>
        <v>1.9910840668711932E-3</v>
      </c>
      <c r="J2735" s="22" t="str">
        <f t="shared" si="86"/>
        <v>lost money</v>
      </c>
    </row>
    <row r="2736" spans="1:10">
      <c r="A2736" s="1">
        <v>41390</v>
      </c>
      <c r="B2736">
        <v>119</v>
      </c>
      <c r="C2736">
        <v>120.41</v>
      </c>
      <c r="D2736">
        <v>118.68</v>
      </c>
      <c r="E2736">
        <v>120.04</v>
      </c>
      <c r="F2736">
        <v>6012200</v>
      </c>
      <c r="G2736">
        <v>117.12</v>
      </c>
      <c r="H2736" t="s">
        <v>4</v>
      </c>
      <c r="I2736" s="22">
        <f t="shared" si="85"/>
        <v>1.2803612072131095E-2</v>
      </c>
      <c r="J2736" s="22" t="str">
        <f t="shared" si="86"/>
        <v/>
      </c>
    </row>
    <row r="2737" spans="1:10">
      <c r="A2737" s="1">
        <v>41393</v>
      </c>
      <c r="B2737">
        <v>120.44</v>
      </c>
      <c r="C2737">
        <v>121.6</v>
      </c>
      <c r="D2737">
        <v>120.04</v>
      </c>
      <c r="E2737">
        <v>121.32</v>
      </c>
      <c r="F2737">
        <v>5158500</v>
      </c>
      <c r="G2737">
        <v>118.37</v>
      </c>
      <c r="H2737" t="s">
        <v>4</v>
      </c>
      <c r="I2737" s="22">
        <f t="shared" si="85"/>
        <v>1.061626175280074E-2</v>
      </c>
      <c r="J2737" s="22" t="str">
        <f t="shared" si="86"/>
        <v/>
      </c>
    </row>
    <row r="2738" spans="1:10">
      <c r="A2738" s="1">
        <v>41394</v>
      </c>
      <c r="B2738">
        <v>121.05</v>
      </c>
      <c r="C2738">
        <v>122.01</v>
      </c>
      <c r="D2738">
        <v>120.12</v>
      </c>
      <c r="E2738">
        <v>122.01</v>
      </c>
      <c r="F2738">
        <v>6907400</v>
      </c>
      <c r="G2738">
        <v>119.04</v>
      </c>
      <c r="H2738" t="s">
        <v>4</v>
      </c>
      <c r="I2738" s="22">
        <f t="shared" si="85"/>
        <v>5.6442591189795679E-3</v>
      </c>
      <c r="J2738" s="22" t="str">
        <f t="shared" si="86"/>
        <v/>
      </c>
    </row>
    <row r="2739" spans="1:10">
      <c r="A2739" s="1">
        <v>41395</v>
      </c>
      <c r="B2739">
        <v>121.25</v>
      </c>
      <c r="C2739">
        <v>121.57</v>
      </c>
      <c r="D2739">
        <v>120.05</v>
      </c>
      <c r="E2739">
        <v>120.27</v>
      </c>
      <c r="F2739">
        <v>6082100</v>
      </c>
      <c r="G2739">
        <v>117.34</v>
      </c>
      <c r="H2739" t="s">
        <v>4</v>
      </c>
      <c r="I2739" s="22">
        <f t="shared" si="85"/>
        <v>-1.4383867587067908E-2</v>
      </c>
      <c r="J2739" s="22" t="str">
        <f t="shared" si="86"/>
        <v>lost money</v>
      </c>
    </row>
    <row r="2740" spans="1:10">
      <c r="A2740" s="1">
        <v>41396</v>
      </c>
      <c r="B2740">
        <v>121</v>
      </c>
      <c r="C2740">
        <v>122.33</v>
      </c>
      <c r="D2740">
        <v>120.63</v>
      </c>
      <c r="E2740">
        <v>122.04</v>
      </c>
      <c r="F2740">
        <v>5066100</v>
      </c>
      <c r="G2740">
        <v>119.07</v>
      </c>
      <c r="H2740" t="s">
        <v>4</v>
      </c>
      <c r="I2740" s="22">
        <f t="shared" si="85"/>
        <v>1.4635851965369841E-2</v>
      </c>
      <c r="J2740" s="22" t="str">
        <f t="shared" si="86"/>
        <v/>
      </c>
    </row>
    <row r="2741" spans="1:10">
      <c r="A2741" s="1">
        <v>41397</v>
      </c>
      <c r="B2741">
        <v>122.69</v>
      </c>
      <c r="C2741">
        <v>123.91</v>
      </c>
      <c r="D2741">
        <v>122.46</v>
      </c>
      <c r="E2741">
        <v>123.49</v>
      </c>
      <c r="F2741">
        <v>6384300</v>
      </c>
      <c r="G2741">
        <v>120.49</v>
      </c>
      <c r="H2741" t="s">
        <v>4</v>
      </c>
      <c r="I2741" s="22">
        <f t="shared" si="85"/>
        <v>1.1855206472101429E-2</v>
      </c>
      <c r="J2741" s="22" t="str">
        <f t="shared" si="86"/>
        <v/>
      </c>
    </row>
    <row r="2742" spans="1:10">
      <c r="A2742" s="1">
        <v>41400</v>
      </c>
      <c r="B2742">
        <v>123.32</v>
      </c>
      <c r="C2742">
        <v>123.78</v>
      </c>
      <c r="D2742">
        <v>122.71</v>
      </c>
      <c r="E2742">
        <v>123.25</v>
      </c>
      <c r="F2742">
        <v>4668700</v>
      </c>
      <c r="G2742">
        <v>120.25</v>
      </c>
      <c r="H2742" t="s">
        <v>4</v>
      </c>
      <c r="I2742" s="22">
        <f t="shared" si="85"/>
        <v>-1.9938529493144456E-3</v>
      </c>
      <c r="J2742" s="22" t="str">
        <f t="shared" si="86"/>
        <v>lost money</v>
      </c>
    </row>
    <row r="2743" spans="1:10">
      <c r="A2743" s="1">
        <v>41401</v>
      </c>
      <c r="B2743">
        <v>123.35</v>
      </c>
      <c r="C2743">
        <v>123.72</v>
      </c>
      <c r="D2743">
        <v>122.54</v>
      </c>
      <c r="E2743">
        <v>123.04</v>
      </c>
      <c r="F2743">
        <v>4412600</v>
      </c>
      <c r="G2743">
        <v>120.05</v>
      </c>
      <c r="H2743" t="s">
        <v>4</v>
      </c>
      <c r="I2743" s="22">
        <f t="shared" si="85"/>
        <v>-1.6645863186083346E-3</v>
      </c>
      <c r="J2743" s="22" t="str">
        <f t="shared" si="86"/>
        <v>lost money</v>
      </c>
    </row>
    <row r="2744" spans="1:10">
      <c r="A2744" s="1">
        <v>41402</v>
      </c>
      <c r="B2744">
        <v>122.98</v>
      </c>
      <c r="C2744">
        <v>123.6</v>
      </c>
      <c r="D2744">
        <v>122.85</v>
      </c>
      <c r="E2744">
        <v>123.36</v>
      </c>
      <c r="F2744">
        <v>4479800</v>
      </c>
      <c r="G2744">
        <v>120.36</v>
      </c>
      <c r="H2744" t="s">
        <v>4</v>
      </c>
      <c r="I2744" s="22">
        <f t="shared" si="85"/>
        <v>2.5789290945821999E-3</v>
      </c>
      <c r="J2744" s="22" t="str">
        <f t="shared" si="86"/>
        <v/>
      </c>
    </row>
    <row r="2745" spans="1:10">
      <c r="A2745" s="1">
        <v>41403</v>
      </c>
      <c r="B2745">
        <v>123.46</v>
      </c>
      <c r="C2745">
        <v>123.95</v>
      </c>
      <c r="D2745">
        <v>122.96</v>
      </c>
      <c r="E2745">
        <v>123.64</v>
      </c>
      <c r="F2745">
        <v>9237500</v>
      </c>
      <c r="G2745">
        <v>120.63</v>
      </c>
      <c r="H2745" t="s">
        <v>4</v>
      </c>
      <c r="I2745" s="22">
        <f t="shared" si="85"/>
        <v>2.2407578154478784E-3</v>
      </c>
      <c r="J2745" s="22" t="str">
        <f t="shared" si="86"/>
        <v/>
      </c>
    </row>
    <row r="2746" spans="1:10">
      <c r="A2746" s="1">
        <v>41404</v>
      </c>
      <c r="B2746">
        <v>123.38</v>
      </c>
      <c r="C2746">
        <v>123.71</v>
      </c>
      <c r="D2746">
        <v>122.11</v>
      </c>
      <c r="E2746">
        <v>123.23</v>
      </c>
      <c r="F2746">
        <v>10581700</v>
      </c>
      <c r="G2746">
        <v>120.23</v>
      </c>
      <c r="H2746" t="s">
        <v>4</v>
      </c>
      <c r="I2746" s="22">
        <f t="shared" si="85"/>
        <v>-3.3214345904745571E-3</v>
      </c>
      <c r="J2746" s="22" t="str">
        <f t="shared" si="86"/>
        <v>lost money</v>
      </c>
    </row>
    <row r="2747" spans="1:10">
      <c r="A2747" s="1">
        <v>41407</v>
      </c>
      <c r="B2747">
        <v>122.9</v>
      </c>
      <c r="C2747">
        <v>123.1</v>
      </c>
      <c r="D2747">
        <v>122.17</v>
      </c>
      <c r="E2747">
        <v>122.85</v>
      </c>
      <c r="F2747">
        <v>16870100</v>
      </c>
      <c r="G2747">
        <v>119.86</v>
      </c>
      <c r="H2747" t="s">
        <v>4</v>
      </c>
      <c r="I2747" s="22">
        <f t="shared" si="85"/>
        <v>-3.0821799567785427E-3</v>
      </c>
      <c r="J2747" s="22" t="str">
        <f t="shared" si="86"/>
        <v>lost money</v>
      </c>
    </row>
    <row r="2748" spans="1:10">
      <c r="A2748" s="1">
        <v>41408</v>
      </c>
      <c r="B2748">
        <v>122.92</v>
      </c>
      <c r="C2748">
        <v>125</v>
      </c>
      <c r="D2748">
        <v>122.91</v>
      </c>
      <c r="E2748">
        <v>125</v>
      </c>
      <c r="F2748">
        <v>6965800</v>
      </c>
      <c r="G2748">
        <v>121.96</v>
      </c>
      <c r="H2748" t="s">
        <v>4</v>
      </c>
      <c r="I2748" s="22">
        <f t="shared" si="85"/>
        <v>1.7368727090014781E-2</v>
      </c>
      <c r="J2748" s="22" t="str">
        <f t="shared" si="86"/>
        <v/>
      </c>
    </row>
    <row r="2749" spans="1:10">
      <c r="A2749" s="1">
        <v>41409</v>
      </c>
      <c r="B2749">
        <v>123.73</v>
      </c>
      <c r="C2749">
        <v>123.73</v>
      </c>
      <c r="D2749">
        <v>122.6</v>
      </c>
      <c r="E2749">
        <v>123.01</v>
      </c>
      <c r="F2749">
        <v>7950400</v>
      </c>
      <c r="G2749">
        <v>120.99</v>
      </c>
      <c r="H2749" t="s">
        <v>4</v>
      </c>
      <c r="I2749" s="22">
        <f t="shared" si="85"/>
        <v>-7.9852245666675661E-3</v>
      </c>
      <c r="J2749" s="22" t="str">
        <f t="shared" si="86"/>
        <v>lost money</v>
      </c>
    </row>
    <row r="2750" spans="1:10">
      <c r="A2750" s="1">
        <v>41410</v>
      </c>
      <c r="B2750">
        <v>122.74</v>
      </c>
      <c r="C2750">
        <v>123.37</v>
      </c>
      <c r="D2750">
        <v>122.5</v>
      </c>
      <c r="E2750">
        <v>122.76</v>
      </c>
      <c r="F2750">
        <v>5549800</v>
      </c>
      <c r="G2750">
        <v>120.74</v>
      </c>
      <c r="H2750" t="s">
        <v>4</v>
      </c>
      <c r="I2750" s="22">
        <f t="shared" si="85"/>
        <v>-2.0684241851063882E-3</v>
      </c>
      <c r="J2750" s="22" t="str">
        <f t="shared" si="86"/>
        <v/>
      </c>
    </row>
    <row r="2751" spans="1:10">
      <c r="A2751" s="1">
        <v>41411</v>
      </c>
      <c r="B2751">
        <v>122.74</v>
      </c>
      <c r="C2751">
        <v>123.42</v>
      </c>
      <c r="D2751">
        <v>122.27</v>
      </c>
      <c r="E2751">
        <v>123.42</v>
      </c>
      <c r="F2751">
        <v>6850200</v>
      </c>
      <c r="G2751">
        <v>121.39</v>
      </c>
      <c r="H2751" t="s">
        <v>4</v>
      </c>
      <c r="I2751" s="22">
        <f t="shared" si="85"/>
        <v>5.3690295414322783E-3</v>
      </c>
      <c r="J2751" s="22" t="str">
        <f t="shared" si="86"/>
        <v/>
      </c>
    </row>
    <row r="2752" spans="1:10">
      <c r="A2752" s="1">
        <v>41414</v>
      </c>
      <c r="B2752">
        <v>123.43</v>
      </c>
      <c r="C2752">
        <v>124.84</v>
      </c>
      <c r="D2752">
        <v>123.18</v>
      </c>
      <c r="E2752">
        <v>124.78</v>
      </c>
      <c r="F2752">
        <v>5298200</v>
      </c>
      <c r="G2752">
        <v>122.73</v>
      </c>
      <c r="H2752" t="s">
        <v>4</v>
      </c>
      <c r="I2752" s="22">
        <f t="shared" si="85"/>
        <v>1.0978317699704703E-2</v>
      </c>
      <c r="J2752" s="22" t="str">
        <f t="shared" si="86"/>
        <v/>
      </c>
    </row>
    <row r="2753" spans="1:10">
      <c r="A2753" s="1">
        <v>41415</v>
      </c>
      <c r="B2753">
        <v>124.84</v>
      </c>
      <c r="C2753">
        <v>126.2</v>
      </c>
      <c r="D2753">
        <v>124.75</v>
      </c>
      <c r="E2753">
        <v>125.94</v>
      </c>
      <c r="F2753">
        <v>6699300</v>
      </c>
      <c r="G2753">
        <v>123.87</v>
      </c>
      <c r="H2753" t="s">
        <v>4</v>
      </c>
      <c r="I2753" s="22">
        <f t="shared" si="85"/>
        <v>9.2458079566916946E-3</v>
      </c>
      <c r="J2753" s="22" t="str">
        <f t="shared" si="86"/>
        <v/>
      </c>
    </row>
    <row r="2754" spans="1:10">
      <c r="A2754" s="1">
        <v>41416</v>
      </c>
      <c r="B2754">
        <v>125.91</v>
      </c>
      <c r="C2754">
        <v>126.98</v>
      </c>
      <c r="D2754">
        <v>124.6</v>
      </c>
      <c r="E2754">
        <v>124.93</v>
      </c>
      <c r="F2754">
        <v>9350100</v>
      </c>
      <c r="G2754">
        <v>122.87</v>
      </c>
      <c r="H2754" t="s">
        <v>4</v>
      </c>
      <c r="I2754" s="22">
        <f t="shared" si="85"/>
        <v>-8.1057426866286749E-3</v>
      </c>
      <c r="J2754" s="22" t="str">
        <f t="shared" si="86"/>
        <v>lost money</v>
      </c>
    </row>
    <row r="2755" spans="1:10">
      <c r="A2755" s="1">
        <v>41417</v>
      </c>
      <c r="B2755">
        <v>124.21</v>
      </c>
      <c r="C2755">
        <v>125.83</v>
      </c>
      <c r="D2755">
        <v>124.21</v>
      </c>
      <c r="E2755">
        <v>125.4</v>
      </c>
      <c r="F2755">
        <v>8096100</v>
      </c>
      <c r="G2755">
        <v>123.34</v>
      </c>
      <c r="H2755" t="s">
        <v>4</v>
      </c>
      <c r="I2755" s="22">
        <f t="shared" ref="I2755:I2818" si="87">IF(A2755=$A$2,"",LN(G2755/G2754))</f>
        <v>3.8178836838669386E-3</v>
      </c>
      <c r="J2755" s="22" t="str">
        <f t="shared" ref="J2755:J2818" si="88">IF(B2755&gt;E2755,"lost money","")</f>
        <v/>
      </c>
    </row>
    <row r="2756" spans="1:10">
      <c r="A2756" s="1">
        <v>41418</v>
      </c>
      <c r="B2756">
        <v>124.5</v>
      </c>
      <c r="C2756">
        <v>125.56</v>
      </c>
      <c r="D2756">
        <v>124.33</v>
      </c>
      <c r="E2756">
        <v>125.45</v>
      </c>
      <c r="F2756">
        <v>5593200</v>
      </c>
      <c r="G2756">
        <v>123.39</v>
      </c>
      <c r="H2756" t="s">
        <v>4</v>
      </c>
      <c r="I2756" s="22">
        <f t="shared" si="87"/>
        <v>4.0530134709566037E-4</v>
      </c>
      <c r="J2756" s="22" t="str">
        <f t="shared" si="88"/>
        <v/>
      </c>
    </row>
    <row r="2757" spans="1:10">
      <c r="A2757" s="1">
        <v>41422</v>
      </c>
      <c r="B2757">
        <v>126.39</v>
      </c>
      <c r="C2757">
        <v>127.4</v>
      </c>
      <c r="D2757">
        <v>125.86</v>
      </c>
      <c r="E2757">
        <v>126.43</v>
      </c>
      <c r="F2757">
        <v>6598500</v>
      </c>
      <c r="G2757">
        <v>124.35</v>
      </c>
      <c r="H2757" t="s">
        <v>4</v>
      </c>
      <c r="I2757" s="22">
        <f t="shared" si="87"/>
        <v>7.7500993389712728E-3</v>
      </c>
      <c r="J2757" s="22" t="str">
        <f t="shared" si="88"/>
        <v/>
      </c>
    </row>
    <row r="2758" spans="1:10">
      <c r="A2758" s="1">
        <v>41423</v>
      </c>
      <c r="B2758">
        <v>126.07</v>
      </c>
      <c r="C2758">
        <v>126.73</v>
      </c>
      <c r="D2758">
        <v>124.81</v>
      </c>
      <c r="E2758">
        <v>125.49</v>
      </c>
      <c r="F2758">
        <v>6422400</v>
      </c>
      <c r="G2758">
        <v>123.43</v>
      </c>
      <c r="H2758" t="s">
        <v>4</v>
      </c>
      <c r="I2758" s="22">
        <f t="shared" si="87"/>
        <v>-7.4259764935762475E-3</v>
      </c>
      <c r="J2758" s="22" t="str">
        <f t="shared" si="88"/>
        <v>lost money</v>
      </c>
    </row>
    <row r="2759" spans="1:10">
      <c r="A2759" s="1">
        <v>41424</v>
      </c>
      <c r="B2759">
        <v>125.23</v>
      </c>
      <c r="C2759">
        <v>125.97</v>
      </c>
      <c r="D2759">
        <v>124.51</v>
      </c>
      <c r="E2759">
        <v>125.11</v>
      </c>
      <c r="F2759">
        <v>4353400</v>
      </c>
      <c r="G2759">
        <v>123.05</v>
      </c>
      <c r="H2759" t="s">
        <v>4</v>
      </c>
      <c r="I2759" s="22">
        <f t="shared" si="87"/>
        <v>-3.083416918772498E-3</v>
      </c>
      <c r="J2759" s="22" t="str">
        <f t="shared" si="88"/>
        <v>lost money</v>
      </c>
    </row>
    <row r="2760" spans="1:10">
      <c r="A2760" s="1">
        <v>41425</v>
      </c>
      <c r="B2760">
        <v>124.64</v>
      </c>
      <c r="C2760">
        <v>125.3</v>
      </c>
      <c r="D2760">
        <v>122.75</v>
      </c>
      <c r="E2760">
        <v>122.75</v>
      </c>
      <c r="F2760">
        <v>7905000</v>
      </c>
      <c r="G2760">
        <v>120.73</v>
      </c>
      <c r="H2760" t="s">
        <v>4</v>
      </c>
      <c r="I2760" s="22">
        <f t="shared" si="87"/>
        <v>-1.9034129492768774E-2</v>
      </c>
      <c r="J2760" s="22" t="str">
        <f t="shared" si="88"/>
        <v>lost money</v>
      </c>
    </row>
    <row r="2761" spans="1:10">
      <c r="A2761" s="1">
        <v>41428</v>
      </c>
      <c r="B2761">
        <v>122.35</v>
      </c>
      <c r="C2761">
        <v>124.12</v>
      </c>
      <c r="D2761">
        <v>122.35</v>
      </c>
      <c r="E2761">
        <v>124.09</v>
      </c>
      <c r="F2761">
        <v>7256900</v>
      </c>
      <c r="G2761">
        <v>122.05</v>
      </c>
      <c r="H2761" t="s">
        <v>4</v>
      </c>
      <c r="I2761" s="22">
        <f t="shared" si="87"/>
        <v>1.0874149494672908E-2</v>
      </c>
      <c r="J2761" s="22" t="str">
        <f t="shared" si="88"/>
        <v/>
      </c>
    </row>
    <row r="2762" spans="1:10">
      <c r="A2762" s="1">
        <v>41429</v>
      </c>
      <c r="B2762">
        <v>122.82</v>
      </c>
      <c r="C2762">
        <v>123.65</v>
      </c>
      <c r="D2762">
        <v>122.14</v>
      </c>
      <c r="E2762">
        <v>122.96</v>
      </c>
      <c r="F2762">
        <v>7675500</v>
      </c>
      <c r="G2762">
        <v>120.94</v>
      </c>
      <c r="H2762" t="s">
        <v>4</v>
      </c>
      <c r="I2762" s="22">
        <f t="shared" si="87"/>
        <v>-9.1362419939021999E-3</v>
      </c>
      <c r="J2762" s="22" t="str">
        <f t="shared" si="88"/>
        <v/>
      </c>
    </row>
    <row r="2763" spans="1:10">
      <c r="A2763" s="1">
        <v>41430</v>
      </c>
      <c r="B2763">
        <v>122.34</v>
      </c>
      <c r="C2763">
        <v>123.1</v>
      </c>
      <c r="D2763">
        <v>121.31</v>
      </c>
      <c r="E2763">
        <v>121.57</v>
      </c>
      <c r="F2763">
        <v>7745600</v>
      </c>
      <c r="G2763">
        <v>119.57</v>
      </c>
      <c r="H2763" t="s">
        <v>4</v>
      </c>
      <c r="I2763" s="22">
        <f t="shared" si="87"/>
        <v>-1.1392580913578273E-2</v>
      </c>
      <c r="J2763" s="22" t="str">
        <f t="shared" si="88"/>
        <v>lost money</v>
      </c>
    </row>
    <row r="2764" spans="1:10">
      <c r="A2764" s="1">
        <v>41431</v>
      </c>
      <c r="B2764">
        <v>121.27</v>
      </c>
      <c r="C2764">
        <v>121.49</v>
      </c>
      <c r="D2764">
        <v>118.66</v>
      </c>
      <c r="E2764">
        <v>120.59</v>
      </c>
      <c r="F2764">
        <v>10141500</v>
      </c>
      <c r="G2764">
        <v>118.61</v>
      </c>
      <c r="H2764" t="s">
        <v>4</v>
      </c>
      <c r="I2764" s="22">
        <f t="shared" si="87"/>
        <v>-8.0611738903042171E-3</v>
      </c>
      <c r="J2764" s="22" t="str">
        <f t="shared" si="88"/>
        <v>lost money</v>
      </c>
    </row>
    <row r="2765" spans="1:10">
      <c r="A2765" s="1">
        <v>41432</v>
      </c>
      <c r="B2765">
        <v>121.22</v>
      </c>
      <c r="C2765">
        <v>121.97</v>
      </c>
      <c r="D2765">
        <v>120.14</v>
      </c>
      <c r="E2765">
        <v>121.7</v>
      </c>
      <c r="F2765">
        <v>6089800</v>
      </c>
      <c r="G2765">
        <v>119.7</v>
      </c>
      <c r="H2765" t="s">
        <v>4</v>
      </c>
      <c r="I2765" s="22">
        <f t="shared" si="87"/>
        <v>9.1478125227431248E-3</v>
      </c>
      <c r="J2765" s="22" t="str">
        <f t="shared" si="88"/>
        <v/>
      </c>
    </row>
    <row r="2766" spans="1:10">
      <c r="A2766" s="1">
        <v>41435</v>
      </c>
      <c r="B2766">
        <v>122.94</v>
      </c>
      <c r="C2766">
        <v>122.98</v>
      </c>
      <c r="D2766">
        <v>121.8</v>
      </c>
      <c r="E2766">
        <v>122.69</v>
      </c>
      <c r="F2766">
        <v>5585600</v>
      </c>
      <c r="G2766">
        <v>120.67</v>
      </c>
      <c r="H2766" t="s">
        <v>4</v>
      </c>
      <c r="I2766" s="22">
        <f t="shared" si="87"/>
        <v>8.0709345215819409E-3</v>
      </c>
      <c r="J2766" s="22" t="str">
        <f t="shared" si="88"/>
        <v>lost money</v>
      </c>
    </row>
    <row r="2767" spans="1:10">
      <c r="A2767" s="1">
        <v>41436</v>
      </c>
      <c r="B2767">
        <v>121.87</v>
      </c>
      <c r="C2767">
        <v>122.76</v>
      </c>
      <c r="D2767">
        <v>121.26</v>
      </c>
      <c r="E2767">
        <v>121.45</v>
      </c>
      <c r="F2767">
        <v>4548000</v>
      </c>
      <c r="G2767">
        <v>119.45</v>
      </c>
      <c r="H2767" t="s">
        <v>4</v>
      </c>
      <c r="I2767" s="22">
        <f t="shared" si="87"/>
        <v>-1.0161673313690887E-2</v>
      </c>
      <c r="J2767" s="22" t="str">
        <f t="shared" si="88"/>
        <v>lost money</v>
      </c>
    </row>
    <row r="2768" spans="1:10">
      <c r="A2768" s="1">
        <v>41437</v>
      </c>
      <c r="B2768">
        <v>122.32</v>
      </c>
      <c r="C2768">
        <v>122.73</v>
      </c>
      <c r="D2768">
        <v>119.61</v>
      </c>
      <c r="E2768">
        <v>119.97</v>
      </c>
      <c r="F2768">
        <v>5489200</v>
      </c>
      <c r="G2768">
        <v>118</v>
      </c>
      <c r="H2768" t="s">
        <v>4</v>
      </c>
      <c r="I2768" s="22">
        <f t="shared" si="87"/>
        <v>-1.2213249306153785E-2</v>
      </c>
      <c r="J2768" s="22" t="str">
        <f t="shared" si="88"/>
        <v>lost money</v>
      </c>
    </row>
    <row r="2769" spans="1:10">
      <c r="A2769" s="1">
        <v>41438</v>
      </c>
      <c r="B2769">
        <v>119.9</v>
      </c>
      <c r="C2769">
        <v>121.83</v>
      </c>
      <c r="D2769">
        <v>119.81</v>
      </c>
      <c r="E2769">
        <v>121.66</v>
      </c>
      <c r="F2769">
        <v>4656700</v>
      </c>
      <c r="G2769">
        <v>119.66</v>
      </c>
      <c r="H2769" t="s">
        <v>4</v>
      </c>
      <c r="I2769" s="22">
        <f t="shared" si="87"/>
        <v>1.3969763496220925E-2</v>
      </c>
      <c r="J2769" s="22" t="str">
        <f t="shared" si="88"/>
        <v/>
      </c>
    </row>
    <row r="2770" spans="1:10">
      <c r="A2770" s="1">
        <v>41439</v>
      </c>
      <c r="B2770">
        <v>121.13</v>
      </c>
      <c r="C2770">
        <v>121.68</v>
      </c>
      <c r="D2770">
        <v>120.1</v>
      </c>
      <c r="E2770">
        <v>120.28</v>
      </c>
      <c r="F2770">
        <v>4415300</v>
      </c>
      <c r="G2770">
        <v>118.3</v>
      </c>
      <c r="H2770" t="s">
        <v>4</v>
      </c>
      <c r="I2770" s="22">
        <f t="shared" si="87"/>
        <v>-1.1430616977544611E-2</v>
      </c>
      <c r="J2770" s="22" t="str">
        <f t="shared" si="88"/>
        <v>lost money</v>
      </c>
    </row>
    <row r="2771" spans="1:10">
      <c r="A2771" s="1">
        <v>41442</v>
      </c>
      <c r="B2771">
        <v>120.45</v>
      </c>
      <c r="C2771">
        <v>121.78</v>
      </c>
      <c r="D2771">
        <v>120.28</v>
      </c>
      <c r="E2771">
        <v>121.22</v>
      </c>
      <c r="F2771">
        <v>4046900</v>
      </c>
      <c r="G2771">
        <v>119.23</v>
      </c>
      <c r="H2771" t="s">
        <v>4</v>
      </c>
      <c r="I2771" s="22">
        <f t="shared" si="87"/>
        <v>7.8306298336996306E-3</v>
      </c>
      <c r="J2771" s="22" t="str">
        <f t="shared" si="88"/>
        <v/>
      </c>
    </row>
    <row r="2772" spans="1:10">
      <c r="A2772" s="1">
        <v>41443</v>
      </c>
      <c r="B2772">
        <v>121.03</v>
      </c>
      <c r="C2772">
        <v>121.72</v>
      </c>
      <c r="D2772">
        <v>120.86</v>
      </c>
      <c r="E2772">
        <v>121.52</v>
      </c>
      <c r="F2772">
        <v>4544800</v>
      </c>
      <c r="G2772">
        <v>119.52</v>
      </c>
      <c r="H2772" t="s">
        <v>4</v>
      </c>
      <c r="I2772" s="22">
        <f t="shared" si="87"/>
        <v>2.4293205664664046E-3</v>
      </c>
      <c r="J2772" s="22" t="str">
        <f t="shared" si="88"/>
        <v/>
      </c>
    </row>
    <row r="2773" spans="1:10">
      <c r="A2773" s="1">
        <v>41444</v>
      </c>
      <c r="B2773">
        <v>121.8</v>
      </c>
      <c r="C2773">
        <v>122.38</v>
      </c>
      <c r="D2773">
        <v>120.41</v>
      </c>
      <c r="E2773">
        <v>120.5</v>
      </c>
      <c r="F2773">
        <v>4634300</v>
      </c>
      <c r="G2773">
        <v>118.52</v>
      </c>
      <c r="H2773" t="s">
        <v>4</v>
      </c>
      <c r="I2773" s="22">
        <f t="shared" si="87"/>
        <v>-8.4019986791426769E-3</v>
      </c>
      <c r="J2773" s="22" t="str">
        <f t="shared" si="88"/>
        <v>lost money</v>
      </c>
    </row>
    <row r="2774" spans="1:10">
      <c r="A2774" s="1">
        <v>41445</v>
      </c>
      <c r="B2774">
        <v>119.54</v>
      </c>
      <c r="C2774">
        <v>119.66</v>
      </c>
      <c r="D2774">
        <v>117.57</v>
      </c>
      <c r="E2774">
        <v>117.95</v>
      </c>
      <c r="F2774">
        <v>7624100</v>
      </c>
      <c r="G2774">
        <v>116.01</v>
      </c>
      <c r="H2774" t="s">
        <v>4</v>
      </c>
      <c r="I2774" s="22">
        <f t="shared" si="87"/>
        <v>-2.1405328418049055E-2</v>
      </c>
      <c r="J2774" s="22" t="str">
        <f t="shared" si="88"/>
        <v>lost money</v>
      </c>
    </row>
    <row r="2775" spans="1:10">
      <c r="A2775" s="1">
        <v>41446</v>
      </c>
      <c r="B2775">
        <v>119.24</v>
      </c>
      <c r="C2775">
        <v>119.54</v>
      </c>
      <c r="D2775">
        <v>117.26</v>
      </c>
      <c r="E2775">
        <v>118.93</v>
      </c>
      <c r="F2775">
        <v>10692100</v>
      </c>
      <c r="G2775">
        <v>116.97</v>
      </c>
      <c r="H2775" t="s">
        <v>4</v>
      </c>
      <c r="I2775" s="22">
        <f t="shared" si="87"/>
        <v>8.2410973753001236E-3</v>
      </c>
      <c r="J2775" s="22" t="str">
        <f t="shared" si="88"/>
        <v>lost money</v>
      </c>
    </row>
    <row r="2776" spans="1:10">
      <c r="A2776" s="1">
        <v>41449</v>
      </c>
      <c r="B2776">
        <v>117.71</v>
      </c>
      <c r="C2776">
        <v>118.03</v>
      </c>
      <c r="D2776">
        <v>116.02</v>
      </c>
      <c r="E2776">
        <v>116.82</v>
      </c>
      <c r="F2776">
        <v>6785700</v>
      </c>
      <c r="G2776">
        <v>114.9</v>
      </c>
      <c r="H2776" t="s">
        <v>4</v>
      </c>
      <c r="I2776" s="22">
        <f t="shared" si="87"/>
        <v>-1.7855306807905594E-2</v>
      </c>
      <c r="J2776" s="22" t="str">
        <f t="shared" si="88"/>
        <v>lost money</v>
      </c>
    </row>
    <row r="2777" spans="1:10">
      <c r="A2777" s="1">
        <v>41450</v>
      </c>
      <c r="B2777">
        <v>117.75</v>
      </c>
      <c r="C2777">
        <v>117.87</v>
      </c>
      <c r="D2777">
        <v>116.92</v>
      </c>
      <c r="E2777">
        <v>117.45</v>
      </c>
      <c r="F2777">
        <v>5983100</v>
      </c>
      <c r="G2777">
        <v>115.52</v>
      </c>
      <c r="H2777" t="s">
        <v>4</v>
      </c>
      <c r="I2777" s="22">
        <f t="shared" si="87"/>
        <v>5.3814902898059883E-3</v>
      </c>
      <c r="J2777" s="22" t="str">
        <f t="shared" si="88"/>
        <v>lost money</v>
      </c>
    </row>
    <row r="2778" spans="1:10">
      <c r="A2778" s="1">
        <v>41451</v>
      </c>
      <c r="B2778">
        <v>118.34</v>
      </c>
      <c r="C2778">
        <v>118.54</v>
      </c>
      <c r="D2778">
        <v>117</v>
      </c>
      <c r="E2778">
        <v>118.15</v>
      </c>
      <c r="F2778">
        <v>4820700</v>
      </c>
      <c r="G2778">
        <v>116.21</v>
      </c>
      <c r="H2778" t="s">
        <v>4</v>
      </c>
      <c r="I2778" s="22">
        <f t="shared" si="87"/>
        <v>5.9552240902661742E-3</v>
      </c>
      <c r="J2778" s="22" t="str">
        <f t="shared" si="88"/>
        <v>lost money</v>
      </c>
    </row>
    <row r="2779" spans="1:10">
      <c r="A2779" s="1">
        <v>41452</v>
      </c>
      <c r="B2779">
        <v>118.52</v>
      </c>
      <c r="C2779">
        <v>119.54</v>
      </c>
      <c r="D2779">
        <v>118.49</v>
      </c>
      <c r="E2779">
        <v>118.71</v>
      </c>
      <c r="F2779">
        <v>4459400</v>
      </c>
      <c r="G2779">
        <v>116.76</v>
      </c>
      <c r="H2779" t="s">
        <v>4</v>
      </c>
      <c r="I2779" s="22">
        <f t="shared" si="87"/>
        <v>4.7216467511317873E-3</v>
      </c>
      <c r="J2779" s="22" t="str">
        <f t="shared" si="88"/>
        <v/>
      </c>
    </row>
    <row r="2780" spans="1:10">
      <c r="A2780" s="1">
        <v>41453</v>
      </c>
      <c r="B2780">
        <v>118.79</v>
      </c>
      <c r="C2780">
        <v>119.56</v>
      </c>
      <c r="D2780">
        <v>118.14</v>
      </c>
      <c r="E2780">
        <v>118.34</v>
      </c>
      <c r="F2780">
        <v>6504400</v>
      </c>
      <c r="G2780">
        <v>116.39</v>
      </c>
      <c r="H2780" t="s">
        <v>4</v>
      </c>
      <c r="I2780" s="22">
        <f t="shared" si="87"/>
        <v>-3.173925032029061E-3</v>
      </c>
      <c r="J2780" s="22" t="str">
        <f t="shared" si="88"/>
        <v>lost money</v>
      </c>
    </row>
    <row r="2781" spans="1:10">
      <c r="A2781" s="1">
        <v>41456</v>
      </c>
      <c r="B2781">
        <v>118.35</v>
      </c>
      <c r="C2781">
        <v>120.01</v>
      </c>
      <c r="D2781">
        <v>118</v>
      </c>
      <c r="E2781">
        <v>119.08</v>
      </c>
      <c r="F2781">
        <v>5053000</v>
      </c>
      <c r="G2781">
        <v>117.12</v>
      </c>
      <c r="H2781" t="s">
        <v>4</v>
      </c>
      <c r="I2781" s="22">
        <f t="shared" si="87"/>
        <v>6.2524292591165246E-3</v>
      </c>
      <c r="J2781" s="22" t="str">
        <f t="shared" si="88"/>
        <v/>
      </c>
    </row>
    <row r="2782" spans="1:10">
      <c r="A2782" s="1">
        <v>41457</v>
      </c>
      <c r="B2782">
        <v>119.09</v>
      </c>
      <c r="C2782">
        <v>120.33</v>
      </c>
      <c r="D2782">
        <v>118.59</v>
      </c>
      <c r="E2782">
        <v>119.15</v>
      </c>
      <c r="F2782">
        <v>4912000</v>
      </c>
      <c r="G2782">
        <v>117.19</v>
      </c>
      <c r="H2782" t="s">
        <v>4</v>
      </c>
      <c r="I2782" s="22">
        <f t="shared" si="87"/>
        <v>5.9749905750957634E-4</v>
      </c>
      <c r="J2782" s="22" t="str">
        <f t="shared" si="88"/>
        <v/>
      </c>
    </row>
    <row r="2783" spans="1:10">
      <c r="A2783" s="1">
        <v>41458</v>
      </c>
      <c r="B2783">
        <v>119.24</v>
      </c>
      <c r="C2783">
        <v>119.3</v>
      </c>
      <c r="D2783">
        <v>118.61</v>
      </c>
      <c r="E2783">
        <v>119.08</v>
      </c>
      <c r="F2783">
        <v>3034800</v>
      </c>
      <c r="G2783">
        <v>117.12</v>
      </c>
      <c r="H2783" t="s">
        <v>4</v>
      </c>
      <c r="I2783" s="22">
        <f t="shared" si="87"/>
        <v>-5.9749905750946738E-4</v>
      </c>
      <c r="J2783" s="22" t="str">
        <f t="shared" si="88"/>
        <v>lost money</v>
      </c>
    </row>
    <row r="2784" spans="1:10">
      <c r="A2784" s="1">
        <v>41460</v>
      </c>
      <c r="B2784">
        <v>119.69</v>
      </c>
      <c r="C2784">
        <v>120.86</v>
      </c>
      <c r="D2784">
        <v>119.1</v>
      </c>
      <c r="E2784">
        <v>120.51</v>
      </c>
      <c r="F2784">
        <v>4386200</v>
      </c>
      <c r="G2784">
        <v>118.53</v>
      </c>
      <c r="H2784" t="s">
        <v>4</v>
      </c>
      <c r="I2784" s="22">
        <f t="shared" si="87"/>
        <v>1.1967042878407616E-2</v>
      </c>
      <c r="J2784" s="22" t="str">
        <f t="shared" si="88"/>
        <v/>
      </c>
    </row>
    <row r="2785" spans="1:10">
      <c r="A2785" s="1">
        <v>41463</v>
      </c>
      <c r="B2785">
        <v>121.29</v>
      </c>
      <c r="C2785">
        <v>122.31</v>
      </c>
      <c r="D2785">
        <v>120.98</v>
      </c>
      <c r="E2785">
        <v>121.24</v>
      </c>
      <c r="F2785">
        <v>4964400</v>
      </c>
      <c r="G2785">
        <v>119.25</v>
      </c>
      <c r="H2785" t="s">
        <v>4</v>
      </c>
      <c r="I2785" s="22">
        <f t="shared" si="87"/>
        <v>6.0560366770416093E-3</v>
      </c>
      <c r="J2785" s="22" t="str">
        <f t="shared" si="88"/>
        <v>lost money</v>
      </c>
    </row>
    <row r="2786" spans="1:10">
      <c r="A2786" s="1">
        <v>41464</v>
      </c>
      <c r="B2786">
        <v>122.39</v>
      </c>
      <c r="C2786">
        <v>123.74</v>
      </c>
      <c r="D2786">
        <v>122.05</v>
      </c>
      <c r="E2786">
        <v>123.27</v>
      </c>
      <c r="F2786">
        <v>6252900</v>
      </c>
      <c r="G2786">
        <v>121.24</v>
      </c>
      <c r="H2786" t="s">
        <v>4</v>
      </c>
      <c r="I2786" s="22">
        <f t="shared" si="87"/>
        <v>1.6549922421151816E-2</v>
      </c>
      <c r="J2786" s="22" t="str">
        <f t="shared" si="88"/>
        <v/>
      </c>
    </row>
    <row r="2787" spans="1:10">
      <c r="A2787" s="1">
        <v>41465</v>
      </c>
      <c r="B2787">
        <v>123.45</v>
      </c>
      <c r="C2787">
        <v>124.54</v>
      </c>
      <c r="D2787">
        <v>122.71</v>
      </c>
      <c r="E2787">
        <v>122.9</v>
      </c>
      <c r="F2787">
        <v>5549600</v>
      </c>
      <c r="G2787">
        <v>120.88</v>
      </c>
      <c r="H2787" t="s">
        <v>4</v>
      </c>
      <c r="I2787" s="22">
        <f t="shared" si="87"/>
        <v>-2.9737342251182153E-3</v>
      </c>
      <c r="J2787" s="22" t="str">
        <f t="shared" si="88"/>
        <v>lost money</v>
      </c>
    </row>
    <row r="2788" spans="1:10">
      <c r="A2788" s="1">
        <v>41466</v>
      </c>
      <c r="B2788">
        <v>123.95</v>
      </c>
      <c r="C2788">
        <v>124.11</v>
      </c>
      <c r="D2788">
        <v>122.51</v>
      </c>
      <c r="E2788">
        <v>123.77</v>
      </c>
      <c r="F2788">
        <v>7235100</v>
      </c>
      <c r="G2788">
        <v>121.73</v>
      </c>
      <c r="H2788" t="s">
        <v>4</v>
      </c>
      <c r="I2788" s="22">
        <f t="shared" si="87"/>
        <v>7.0071594570209877E-3</v>
      </c>
      <c r="J2788" s="22" t="str">
        <f t="shared" si="88"/>
        <v>lost money</v>
      </c>
    </row>
    <row r="2789" spans="1:10">
      <c r="A2789" s="1">
        <v>41467</v>
      </c>
      <c r="B2789">
        <v>123.52</v>
      </c>
      <c r="C2789">
        <v>124.15</v>
      </c>
      <c r="D2789">
        <v>123.04</v>
      </c>
      <c r="E2789">
        <v>124.06</v>
      </c>
      <c r="F2789">
        <v>5615000</v>
      </c>
      <c r="G2789">
        <v>122.02</v>
      </c>
      <c r="H2789" t="s">
        <v>4</v>
      </c>
      <c r="I2789" s="22">
        <f t="shared" si="87"/>
        <v>2.3794883022014413E-3</v>
      </c>
      <c r="J2789" s="22" t="str">
        <f t="shared" si="88"/>
        <v/>
      </c>
    </row>
    <row r="2790" spans="1:10">
      <c r="A2790" s="1">
        <v>41470</v>
      </c>
      <c r="B2790">
        <v>124.11</v>
      </c>
      <c r="C2790">
        <v>125.14</v>
      </c>
      <c r="D2790">
        <v>124.06</v>
      </c>
      <c r="E2790">
        <v>124.68</v>
      </c>
      <c r="F2790">
        <v>4062000</v>
      </c>
      <c r="G2790">
        <v>122.63</v>
      </c>
      <c r="H2790" t="s">
        <v>4</v>
      </c>
      <c r="I2790" s="22">
        <f t="shared" si="87"/>
        <v>4.9867260502283427E-3</v>
      </c>
      <c r="J2790" s="22" t="str">
        <f t="shared" si="88"/>
        <v/>
      </c>
    </row>
    <row r="2791" spans="1:10">
      <c r="A2791" s="1">
        <v>41471</v>
      </c>
      <c r="B2791">
        <v>124.71</v>
      </c>
      <c r="C2791">
        <v>125.24</v>
      </c>
      <c r="D2791">
        <v>123.55</v>
      </c>
      <c r="E2791">
        <v>124.12</v>
      </c>
      <c r="F2791">
        <v>4002900</v>
      </c>
      <c r="G2791">
        <v>122.08</v>
      </c>
      <c r="H2791" t="s">
        <v>4</v>
      </c>
      <c r="I2791" s="22">
        <f t="shared" si="87"/>
        <v>-4.495124237787803E-3</v>
      </c>
      <c r="J2791" s="22" t="str">
        <f t="shared" si="88"/>
        <v>lost money</v>
      </c>
    </row>
    <row r="2792" spans="1:10">
      <c r="A2792" s="1">
        <v>41472</v>
      </c>
      <c r="B2792">
        <v>124.65</v>
      </c>
      <c r="C2792">
        <v>125</v>
      </c>
      <c r="D2792">
        <v>124.29</v>
      </c>
      <c r="E2792">
        <v>124.35</v>
      </c>
      <c r="F2792">
        <v>3634600</v>
      </c>
      <c r="G2792">
        <v>122.3</v>
      </c>
      <c r="H2792" t="s">
        <v>4</v>
      </c>
      <c r="I2792" s="22">
        <f t="shared" si="87"/>
        <v>1.8004751569797735E-3</v>
      </c>
      <c r="J2792" s="22" t="str">
        <f t="shared" si="88"/>
        <v>lost money</v>
      </c>
    </row>
    <row r="2793" spans="1:10">
      <c r="A2793" s="1">
        <v>41473</v>
      </c>
      <c r="B2793">
        <v>124.68</v>
      </c>
      <c r="C2793">
        <v>125.65</v>
      </c>
      <c r="D2793">
        <v>124.64</v>
      </c>
      <c r="E2793">
        <v>125.47</v>
      </c>
      <c r="F2793">
        <v>4324100</v>
      </c>
      <c r="G2793">
        <v>123.41</v>
      </c>
      <c r="H2793" t="s">
        <v>4</v>
      </c>
      <c r="I2793" s="22">
        <f t="shared" si="87"/>
        <v>9.0351027719654409E-3</v>
      </c>
      <c r="J2793" s="22" t="str">
        <f t="shared" si="88"/>
        <v/>
      </c>
    </row>
    <row r="2794" spans="1:10">
      <c r="A2794" s="1">
        <v>41474</v>
      </c>
      <c r="B2794">
        <v>125.79</v>
      </c>
      <c r="C2794">
        <v>126.91</v>
      </c>
      <c r="D2794">
        <v>125.17</v>
      </c>
      <c r="E2794">
        <v>126.91</v>
      </c>
      <c r="F2794">
        <v>5929900</v>
      </c>
      <c r="G2794">
        <v>124.82</v>
      </c>
      <c r="H2794" t="s">
        <v>4</v>
      </c>
      <c r="I2794" s="22">
        <f t="shared" si="87"/>
        <v>1.136055404080482E-2</v>
      </c>
      <c r="J2794" s="22" t="str">
        <f t="shared" si="88"/>
        <v/>
      </c>
    </row>
    <row r="2795" spans="1:10">
      <c r="A2795" s="1">
        <v>41477</v>
      </c>
      <c r="B2795">
        <v>126.71</v>
      </c>
      <c r="C2795">
        <v>127.61</v>
      </c>
      <c r="D2795">
        <v>126.65</v>
      </c>
      <c r="E2795">
        <v>127.03</v>
      </c>
      <c r="F2795">
        <v>4056100</v>
      </c>
      <c r="G2795">
        <v>124.94</v>
      </c>
      <c r="H2795" t="s">
        <v>4</v>
      </c>
      <c r="I2795" s="22">
        <f t="shared" si="87"/>
        <v>9.6092255952701577E-4</v>
      </c>
      <c r="J2795" s="22" t="str">
        <f t="shared" si="88"/>
        <v/>
      </c>
    </row>
    <row r="2796" spans="1:10">
      <c r="A2796" s="1">
        <v>41478</v>
      </c>
      <c r="B2796">
        <v>127.07</v>
      </c>
      <c r="C2796">
        <v>127.65</v>
      </c>
      <c r="D2796">
        <v>126.7</v>
      </c>
      <c r="E2796">
        <v>127.26</v>
      </c>
      <c r="F2796">
        <v>3763300</v>
      </c>
      <c r="G2796">
        <v>125.17</v>
      </c>
      <c r="H2796" t="s">
        <v>4</v>
      </c>
      <c r="I2796" s="22">
        <f t="shared" si="87"/>
        <v>1.8391912745083965E-3</v>
      </c>
      <c r="J2796" s="22" t="str">
        <f t="shared" si="88"/>
        <v/>
      </c>
    </row>
    <row r="2797" spans="1:10">
      <c r="A2797" s="1">
        <v>41479</v>
      </c>
      <c r="B2797">
        <v>127.25</v>
      </c>
      <c r="C2797">
        <v>127.63</v>
      </c>
      <c r="D2797">
        <v>125.9</v>
      </c>
      <c r="E2797">
        <v>126.37</v>
      </c>
      <c r="F2797">
        <v>4527800</v>
      </c>
      <c r="G2797">
        <v>124.29</v>
      </c>
      <c r="H2797" t="s">
        <v>4</v>
      </c>
      <c r="I2797" s="22">
        <f t="shared" si="87"/>
        <v>-7.0552685825119241E-3</v>
      </c>
      <c r="J2797" s="22" t="str">
        <f t="shared" si="88"/>
        <v>lost money</v>
      </c>
    </row>
    <row r="2798" spans="1:10">
      <c r="A2798" s="1">
        <v>41480</v>
      </c>
      <c r="B2798">
        <v>126.14</v>
      </c>
      <c r="C2798">
        <v>127.83</v>
      </c>
      <c r="D2798">
        <v>125.79</v>
      </c>
      <c r="E2798">
        <v>127.76</v>
      </c>
      <c r="F2798">
        <v>4466400</v>
      </c>
      <c r="G2798">
        <v>125.66</v>
      </c>
      <c r="H2798" t="s">
        <v>4</v>
      </c>
      <c r="I2798" s="22">
        <f t="shared" si="87"/>
        <v>1.096230221738068E-2</v>
      </c>
      <c r="J2798" s="22" t="str">
        <f t="shared" si="88"/>
        <v/>
      </c>
    </row>
    <row r="2799" spans="1:10">
      <c r="A2799" s="1">
        <v>41481</v>
      </c>
      <c r="B2799">
        <v>127.03</v>
      </c>
      <c r="C2799">
        <v>127.62</v>
      </c>
      <c r="D2799">
        <v>126.09</v>
      </c>
      <c r="E2799">
        <v>127.56</v>
      </c>
      <c r="F2799">
        <v>4829900</v>
      </c>
      <c r="G2799">
        <v>125.46</v>
      </c>
      <c r="H2799" t="s">
        <v>4</v>
      </c>
      <c r="I2799" s="22">
        <f t="shared" si="87"/>
        <v>-1.5928643062037208E-3</v>
      </c>
      <c r="J2799" s="22" t="str">
        <f t="shared" si="88"/>
        <v/>
      </c>
    </row>
    <row r="2800" spans="1:10">
      <c r="A2800" s="1">
        <v>41484</v>
      </c>
      <c r="B2800">
        <v>127.37</v>
      </c>
      <c r="C2800">
        <v>127.37</v>
      </c>
      <c r="D2800">
        <v>125.89</v>
      </c>
      <c r="E2800">
        <v>126.17</v>
      </c>
      <c r="F2800">
        <v>4028900</v>
      </c>
      <c r="G2800">
        <v>124.09</v>
      </c>
      <c r="H2800" t="s">
        <v>4</v>
      </c>
      <c r="I2800" s="22">
        <f t="shared" si="87"/>
        <v>-1.0979873882068886E-2</v>
      </c>
      <c r="J2800" s="22" t="str">
        <f t="shared" si="88"/>
        <v>lost money</v>
      </c>
    </row>
    <row r="2801" spans="1:10">
      <c r="A2801" s="1">
        <v>41485</v>
      </c>
      <c r="B2801">
        <v>126.2</v>
      </c>
      <c r="C2801">
        <v>126.96</v>
      </c>
      <c r="D2801">
        <v>125.19</v>
      </c>
      <c r="E2801">
        <v>125.78</v>
      </c>
      <c r="F2801">
        <v>4589500</v>
      </c>
      <c r="G2801">
        <v>123.71</v>
      </c>
      <c r="H2801" t="s">
        <v>4</v>
      </c>
      <c r="I2801" s="22">
        <f t="shared" si="87"/>
        <v>-3.0669919117881183E-3</v>
      </c>
      <c r="J2801" s="22" t="str">
        <f t="shared" si="88"/>
        <v>lost money</v>
      </c>
    </row>
    <row r="2802" spans="1:10">
      <c r="A2802" s="1">
        <v>41486</v>
      </c>
      <c r="B2802">
        <v>126.02</v>
      </c>
      <c r="C2802">
        <v>126.91</v>
      </c>
      <c r="D2802">
        <v>125.46</v>
      </c>
      <c r="E2802">
        <v>125.89</v>
      </c>
      <c r="F2802">
        <v>5394300</v>
      </c>
      <c r="G2802">
        <v>123.82</v>
      </c>
      <c r="H2802" t="s">
        <v>4</v>
      </c>
      <c r="I2802" s="22">
        <f t="shared" si="87"/>
        <v>8.8878121634581361E-4</v>
      </c>
      <c r="J2802" s="22" t="str">
        <f t="shared" si="88"/>
        <v>lost money</v>
      </c>
    </row>
    <row r="2803" spans="1:10">
      <c r="A2803" s="1">
        <v>41487</v>
      </c>
      <c r="B2803">
        <v>126.49</v>
      </c>
      <c r="C2803">
        <v>126.66</v>
      </c>
      <c r="D2803">
        <v>125.64</v>
      </c>
      <c r="E2803">
        <v>126.44</v>
      </c>
      <c r="F2803">
        <v>5757100</v>
      </c>
      <c r="G2803">
        <v>124.36</v>
      </c>
      <c r="H2803" t="s">
        <v>4</v>
      </c>
      <c r="I2803" s="22">
        <f t="shared" si="87"/>
        <v>4.3516870994669511E-3</v>
      </c>
      <c r="J2803" s="22" t="str">
        <f t="shared" si="88"/>
        <v>lost money</v>
      </c>
    </row>
    <row r="2804" spans="1:10">
      <c r="A2804" s="1">
        <v>41488</v>
      </c>
      <c r="B2804">
        <v>124.87</v>
      </c>
      <c r="C2804">
        <v>125.1</v>
      </c>
      <c r="D2804">
        <v>123.3</v>
      </c>
      <c r="E2804">
        <v>124.95</v>
      </c>
      <c r="F2804">
        <v>7472700</v>
      </c>
      <c r="G2804">
        <v>122.89</v>
      </c>
      <c r="H2804" t="s">
        <v>4</v>
      </c>
      <c r="I2804" s="22">
        <f t="shared" si="87"/>
        <v>-1.1890938894047185E-2</v>
      </c>
      <c r="J2804" s="22" t="str">
        <f t="shared" si="88"/>
        <v/>
      </c>
    </row>
    <row r="2805" spans="1:10">
      <c r="A2805" s="1">
        <v>41491</v>
      </c>
      <c r="B2805">
        <v>124.72</v>
      </c>
      <c r="C2805">
        <v>124.75</v>
      </c>
      <c r="D2805">
        <v>123.76</v>
      </c>
      <c r="E2805">
        <v>123.99</v>
      </c>
      <c r="F2805">
        <v>3733700</v>
      </c>
      <c r="G2805">
        <v>121.95</v>
      </c>
      <c r="H2805" t="s">
        <v>4</v>
      </c>
      <c r="I2805" s="22">
        <f t="shared" si="87"/>
        <v>-7.6785216345765621E-3</v>
      </c>
      <c r="J2805" s="22" t="str">
        <f t="shared" si="88"/>
        <v>lost money</v>
      </c>
    </row>
    <row r="2806" spans="1:10">
      <c r="A2806" s="1">
        <v>41492</v>
      </c>
      <c r="B2806">
        <v>123.97</v>
      </c>
      <c r="C2806">
        <v>124.16</v>
      </c>
      <c r="D2806">
        <v>123.01</v>
      </c>
      <c r="E2806">
        <v>123.14</v>
      </c>
      <c r="F2806">
        <v>4677700</v>
      </c>
      <c r="G2806">
        <v>121.11</v>
      </c>
      <c r="H2806" t="s">
        <v>4</v>
      </c>
      <c r="I2806" s="22">
        <f t="shared" si="87"/>
        <v>-6.9119011289701686E-3</v>
      </c>
      <c r="J2806" s="22" t="str">
        <f t="shared" si="88"/>
        <v>lost money</v>
      </c>
    </row>
    <row r="2807" spans="1:10">
      <c r="A2807" s="1">
        <v>41493</v>
      </c>
      <c r="B2807">
        <v>123.03</v>
      </c>
      <c r="C2807">
        <v>123.92</v>
      </c>
      <c r="D2807">
        <v>122.8</v>
      </c>
      <c r="E2807">
        <v>123.33</v>
      </c>
      <c r="F2807">
        <v>3898500</v>
      </c>
      <c r="G2807">
        <v>121.3</v>
      </c>
      <c r="H2807" t="s">
        <v>4</v>
      </c>
      <c r="I2807" s="22">
        <f t="shared" si="87"/>
        <v>1.5675924170453811E-3</v>
      </c>
      <c r="J2807" s="22" t="str">
        <f t="shared" si="88"/>
        <v/>
      </c>
    </row>
    <row r="2808" spans="1:10">
      <c r="A2808" s="1">
        <v>41494</v>
      </c>
      <c r="B2808">
        <v>123.88</v>
      </c>
      <c r="C2808">
        <v>124.21</v>
      </c>
      <c r="D2808">
        <v>121.91</v>
      </c>
      <c r="E2808">
        <v>123.07</v>
      </c>
      <c r="F2808">
        <v>5639200</v>
      </c>
      <c r="G2808">
        <v>121.05</v>
      </c>
      <c r="H2808" t="s">
        <v>4</v>
      </c>
      <c r="I2808" s="22">
        <f t="shared" si="87"/>
        <v>-2.0631325659369306E-3</v>
      </c>
      <c r="J2808" s="22" t="str">
        <f t="shared" si="88"/>
        <v>lost money</v>
      </c>
    </row>
    <row r="2809" spans="1:10">
      <c r="A2809" s="1">
        <v>41495</v>
      </c>
      <c r="B2809">
        <v>123.12</v>
      </c>
      <c r="C2809">
        <v>123.12</v>
      </c>
      <c r="D2809">
        <v>121.68</v>
      </c>
      <c r="E2809">
        <v>122.5</v>
      </c>
      <c r="F2809">
        <v>5739400</v>
      </c>
      <c r="G2809">
        <v>120.48</v>
      </c>
      <c r="H2809" t="s">
        <v>4</v>
      </c>
      <c r="I2809" s="22">
        <f t="shared" si="87"/>
        <v>-4.7199193324839817E-3</v>
      </c>
      <c r="J2809" s="22" t="str">
        <f t="shared" si="88"/>
        <v>lost money</v>
      </c>
    </row>
    <row r="2810" spans="1:10">
      <c r="A2810" s="1">
        <v>41498</v>
      </c>
      <c r="B2810">
        <v>122</v>
      </c>
      <c r="C2810">
        <v>122.07</v>
      </c>
      <c r="D2810">
        <v>120.91</v>
      </c>
      <c r="E2810">
        <v>121.8</v>
      </c>
      <c r="F2810">
        <v>6014800</v>
      </c>
      <c r="G2810">
        <v>119.8</v>
      </c>
      <c r="H2810" t="s">
        <v>4</v>
      </c>
      <c r="I2810" s="22">
        <f t="shared" si="87"/>
        <v>-5.6600783702345798E-3</v>
      </c>
      <c r="J2810" s="22" t="str">
        <f t="shared" si="88"/>
        <v>lost money</v>
      </c>
    </row>
    <row r="2811" spans="1:10">
      <c r="A2811" s="1">
        <v>41499</v>
      </c>
      <c r="B2811">
        <v>121.93</v>
      </c>
      <c r="C2811">
        <v>123.23</v>
      </c>
      <c r="D2811">
        <v>121.4</v>
      </c>
      <c r="E2811">
        <v>122.5</v>
      </c>
      <c r="F2811">
        <v>4461000</v>
      </c>
      <c r="G2811">
        <v>120.48</v>
      </c>
      <c r="H2811" t="s">
        <v>4</v>
      </c>
      <c r="I2811" s="22">
        <f t="shared" si="87"/>
        <v>5.6600783702344948E-3</v>
      </c>
      <c r="J2811" s="22" t="str">
        <f t="shared" si="88"/>
        <v/>
      </c>
    </row>
    <row r="2812" spans="1:10">
      <c r="A2812" s="1">
        <v>41500</v>
      </c>
      <c r="B2812">
        <v>122.76</v>
      </c>
      <c r="C2812">
        <v>122.96</v>
      </c>
      <c r="D2812">
        <v>121.54</v>
      </c>
      <c r="E2812">
        <v>122.05</v>
      </c>
      <c r="F2812">
        <v>6884900</v>
      </c>
      <c r="G2812">
        <v>120.04</v>
      </c>
      <c r="H2812" t="s">
        <v>4</v>
      </c>
      <c r="I2812" s="22">
        <f t="shared" si="87"/>
        <v>-3.6587434794170784E-3</v>
      </c>
      <c r="J2812" s="22" t="str">
        <f t="shared" si="88"/>
        <v>lost money</v>
      </c>
    </row>
    <row r="2813" spans="1:10">
      <c r="A2813" s="1">
        <v>41501</v>
      </c>
      <c r="B2813">
        <v>120.68</v>
      </c>
      <c r="C2813">
        <v>121</v>
      </c>
      <c r="D2813">
        <v>120</v>
      </c>
      <c r="E2813">
        <v>120.25</v>
      </c>
      <c r="F2813">
        <v>4247800</v>
      </c>
      <c r="G2813">
        <v>119.25</v>
      </c>
      <c r="H2813" t="s">
        <v>4</v>
      </c>
      <c r="I2813" s="22">
        <f t="shared" si="87"/>
        <v>-6.6028908037157729E-3</v>
      </c>
      <c r="J2813" s="22" t="str">
        <f t="shared" si="88"/>
        <v>lost money</v>
      </c>
    </row>
    <row r="2814" spans="1:10">
      <c r="A2814" s="1">
        <v>41502</v>
      </c>
      <c r="B2814">
        <v>119.89</v>
      </c>
      <c r="C2814">
        <v>120.19</v>
      </c>
      <c r="D2814">
        <v>119.05</v>
      </c>
      <c r="E2814">
        <v>119.88</v>
      </c>
      <c r="F2814">
        <v>5652500</v>
      </c>
      <c r="G2814">
        <v>118.88</v>
      </c>
      <c r="H2814" t="s">
        <v>4</v>
      </c>
      <c r="I2814" s="22">
        <f t="shared" si="87"/>
        <v>-3.1075487990016447E-3</v>
      </c>
      <c r="J2814" s="22" t="str">
        <f t="shared" si="88"/>
        <v>lost money</v>
      </c>
    </row>
    <row r="2815" spans="1:10">
      <c r="A2815" s="1">
        <v>41505</v>
      </c>
      <c r="B2815">
        <v>119.69</v>
      </c>
      <c r="C2815">
        <v>120</v>
      </c>
      <c r="D2815">
        <v>118.52</v>
      </c>
      <c r="E2815">
        <v>118.66</v>
      </c>
      <c r="F2815">
        <v>4308900</v>
      </c>
      <c r="G2815">
        <v>117.67</v>
      </c>
      <c r="H2815" t="s">
        <v>4</v>
      </c>
      <c r="I2815" s="22">
        <f t="shared" si="87"/>
        <v>-1.0230484493611487E-2</v>
      </c>
      <c r="J2815" s="22" t="str">
        <f t="shared" si="88"/>
        <v>lost money</v>
      </c>
    </row>
    <row r="2816" spans="1:10">
      <c r="A2816" s="1">
        <v>41506</v>
      </c>
      <c r="B2816">
        <v>118.59</v>
      </c>
      <c r="C2816">
        <v>119.3</v>
      </c>
      <c r="D2816">
        <v>118.29</v>
      </c>
      <c r="E2816">
        <v>118.29</v>
      </c>
      <c r="F2816">
        <v>4490700</v>
      </c>
      <c r="G2816">
        <v>117.3</v>
      </c>
      <c r="H2816" t="s">
        <v>4</v>
      </c>
      <c r="I2816" s="22">
        <f t="shared" si="87"/>
        <v>-3.1493408164077622E-3</v>
      </c>
      <c r="J2816" s="22" t="str">
        <f t="shared" si="88"/>
        <v>lost money</v>
      </c>
    </row>
    <row r="2817" spans="1:10">
      <c r="A2817" s="1">
        <v>41507</v>
      </c>
      <c r="B2817">
        <v>118.38</v>
      </c>
      <c r="C2817">
        <v>118.5</v>
      </c>
      <c r="D2817">
        <v>117.22</v>
      </c>
      <c r="E2817">
        <v>117.7</v>
      </c>
      <c r="F2817">
        <v>5648600</v>
      </c>
      <c r="G2817">
        <v>116.72</v>
      </c>
      <c r="H2817" t="s">
        <v>4</v>
      </c>
      <c r="I2817" s="22">
        <f t="shared" si="87"/>
        <v>-4.956851444899598E-3</v>
      </c>
      <c r="J2817" s="22" t="str">
        <f t="shared" si="88"/>
        <v>lost money</v>
      </c>
    </row>
    <row r="2818" spans="1:10">
      <c r="A2818" s="1">
        <v>41508</v>
      </c>
      <c r="B2818">
        <v>117.94</v>
      </c>
      <c r="C2818">
        <v>119.19</v>
      </c>
      <c r="D2818">
        <v>117.43</v>
      </c>
      <c r="E2818">
        <v>118.29</v>
      </c>
      <c r="F2818">
        <v>4028600</v>
      </c>
      <c r="G2818">
        <v>117.3</v>
      </c>
      <c r="H2818" t="s">
        <v>4</v>
      </c>
      <c r="I2818" s="22">
        <f t="shared" si="87"/>
        <v>4.9568514448995972E-3</v>
      </c>
      <c r="J2818" s="22" t="str">
        <f t="shared" si="88"/>
        <v/>
      </c>
    </row>
    <row r="2819" spans="1:10">
      <c r="A2819" s="1">
        <v>41509</v>
      </c>
      <c r="B2819">
        <v>118.69</v>
      </c>
      <c r="C2819">
        <v>119.73</v>
      </c>
      <c r="D2819">
        <v>118.12</v>
      </c>
      <c r="E2819">
        <v>119.53</v>
      </c>
      <c r="F2819">
        <v>4675900</v>
      </c>
      <c r="G2819">
        <v>118.53</v>
      </c>
      <c r="H2819" t="s">
        <v>4</v>
      </c>
      <c r="I2819" s="22">
        <f t="shared" ref="I2819:I2882" si="89">IF(A2819=$A$2,"",LN(G2819/G2818))</f>
        <v>1.0431337431979269E-2</v>
      </c>
      <c r="J2819" s="22" t="str">
        <f t="shared" ref="J2819:J2882" si="90">IF(B2819&gt;E2819,"lost money","")</f>
        <v/>
      </c>
    </row>
    <row r="2820" spans="1:10">
      <c r="A2820" s="1">
        <v>41512</v>
      </c>
      <c r="B2820">
        <v>119.74</v>
      </c>
      <c r="C2820">
        <v>119.92</v>
      </c>
      <c r="D2820">
        <v>118.52</v>
      </c>
      <c r="E2820">
        <v>118.84</v>
      </c>
      <c r="F2820">
        <v>3783400</v>
      </c>
      <c r="G2820">
        <v>117.85</v>
      </c>
      <c r="H2820" t="s">
        <v>4</v>
      </c>
      <c r="I2820" s="22">
        <f t="shared" si="89"/>
        <v>-5.7534637092689998E-3</v>
      </c>
      <c r="J2820" s="22" t="str">
        <f t="shared" si="90"/>
        <v>lost money</v>
      </c>
    </row>
    <row r="2821" spans="1:10">
      <c r="A2821" s="1">
        <v>41513</v>
      </c>
      <c r="B2821">
        <v>118.24</v>
      </c>
      <c r="C2821">
        <v>119.67</v>
      </c>
      <c r="D2821">
        <v>118.07</v>
      </c>
      <c r="E2821">
        <v>118.81</v>
      </c>
      <c r="F2821">
        <v>5185600</v>
      </c>
      <c r="G2821">
        <v>117.82</v>
      </c>
      <c r="H2821" t="s">
        <v>4</v>
      </c>
      <c r="I2821" s="22">
        <f t="shared" si="89"/>
        <v>-2.5459328859888677E-4</v>
      </c>
      <c r="J2821" s="22" t="str">
        <f t="shared" si="90"/>
        <v/>
      </c>
    </row>
    <row r="2822" spans="1:10">
      <c r="A2822" s="1">
        <v>41514</v>
      </c>
      <c r="B2822">
        <v>119.46</v>
      </c>
      <c r="C2822">
        <v>122.36</v>
      </c>
      <c r="D2822">
        <v>119.46</v>
      </c>
      <c r="E2822">
        <v>121.81</v>
      </c>
      <c r="F2822">
        <v>7615400</v>
      </c>
      <c r="G2822">
        <v>120.8</v>
      </c>
      <c r="H2822" t="s">
        <v>4</v>
      </c>
      <c r="I2822" s="22">
        <f t="shared" si="89"/>
        <v>2.4978249407173272E-2</v>
      </c>
      <c r="J2822" s="22" t="str">
        <f t="shared" si="90"/>
        <v/>
      </c>
    </row>
    <row r="2823" spans="1:10">
      <c r="A2823" s="1">
        <v>41515</v>
      </c>
      <c r="B2823">
        <v>121.15</v>
      </c>
      <c r="C2823">
        <v>121.56</v>
      </c>
      <c r="D2823">
        <v>120.06</v>
      </c>
      <c r="E2823">
        <v>120.37</v>
      </c>
      <c r="F2823">
        <v>5488800</v>
      </c>
      <c r="G2823">
        <v>119.37</v>
      </c>
      <c r="H2823" t="s">
        <v>4</v>
      </c>
      <c r="I2823" s="22">
        <f t="shared" si="89"/>
        <v>-1.1908372393767542E-2</v>
      </c>
      <c r="J2823" s="22" t="str">
        <f t="shared" si="90"/>
        <v>lost money</v>
      </c>
    </row>
    <row r="2824" spans="1:10">
      <c r="A2824" s="1">
        <v>41516</v>
      </c>
      <c r="B2824">
        <v>120.52</v>
      </c>
      <c r="C2824">
        <v>120.88</v>
      </c>
      <c r="D2824">
        <v>120.07</v>
      </c>
      <c r="E2824">
        <v>120.43</v>
      </c>
      <c r="F2824">
        <v>4696100</v>
      </c>
      <c r="G2824">
        <v>119.43</v>
      </c>
      <c r="H2824" t="s">
        <v>4</v>
      </c>
      <c r="I2824" s="22">
        <f t="shared" si="89"/>
        <v>5.0251257338864482E-4</v>
      </c>
      <c r="J2824" s="22" t="str">
        <f t="shared" si="90"/>
        <v>lost money</v>
      </c>
    </row>
    <row r="2825" spans="1:10">
      <c r="A2825" s="1">
        <v>41520</v>
      </c>
      <c r="B2825">
        <v>121.34</v>
      </c>
      <c r="C2825">
        <v>121.48</v>
      </c>
      <c r="D2825">
        <v>120</v>
      </c>
      <c r="E2825">
        <v>120.55</v>
      </c>
      <c r="F2825">
        <v>4154300</v>
      </c>
      <c r="G2825">
        <v>119.55</v>
      </c>
      <c r="H2825" t="s">
        <v>4</v>
      </c>
      <c r="I2825" s="22">
        <f t="shared" si="89"/>
        <v>1.0042682239982379E-3</v>
      </c>
      <c r="J2825" s="22" t="str">
        <f t="shared" si="90"/>
        <v>lost money</v>
      </c>
    </row>
    <row r="2826" spans="1:10">
      <c r="A2826" s="1">
        <v>41521</v>
      </c>
      <c r="B2826">
        <v>120.35</v>
      </c>
      <c r="C2826">
        <v>121.27</v>
      </c>
      <c r="D2826">
        <v>119.94</v>
      </c>
      <c r="E2826">
        <v>120.86</v>
      </c>
      <c r="F2826">
        <v>3671200</v>
      </c>
      <c r="G2826">
        <v>119.85</v>
      </c>
      <c r="H2826" t="s">
        <v>4</v>
      </c>
      <c r="I2826" s="22">
        <f t="shared" si="89"/>
        <v>2.5062669760595371E-3</v>
      </c>
      <c r="J2826" s="22" t="str">
        <f t="shared" si="90"/>
        <v/>
      </c>
    </row>
    <row r="2827" spans="1:10">
      <c r="A2827" s="1">
        <v>41522</v>
      </c>
      <c r="B2827">
        <v>121.08</v>
      </c>
      <c r="C2827">
        <v>121.67</v>
      </c>
      <c r="D2827">
        <v>120.91</v>
      </c>
      <c r="E2827">
        <v>121.37</v>
      </c>
      <c r="F2827">
        <v>3337300</v>
      </c>
      <c r="G2827">
        <v>120.36</v>
      </c>
      <c r="H2827" t="s">
        <v>4</v>
      </c>
      <c r="I2827" s="22">
        <f t="shared" si="89"/>
        <v>4.2462908814512243E-3</v>
      </c>
      <c r="J2827" s="22" t="str">
        <f t="shared" si="90"/>
        <v/>
      </c>
    </row>
    <row r="2828" spans="1:10">
      <c r="A2828" s="1">
        <v>41523</v>
      </c>
      <c r="B2828">
        <v>121.53</v>
      </c>
      <c r="C2828">
        <v>122.75</v>
      </c>
      <c r="D2828">
        <v>119.01</v>
      </c>
      <c r="E2828">
        <v>121.21</v>
      </c>
      <c r="F2828">
        <v>5690200</v>
      </c>
      <c r="G2828">
        <v>120.2</v>
      </c>
      <c r="H2828" t="s">
        <v>4</v>
      </c>
      <c r="I2828" s="22">
        <f t="shared" si="89"/>
        <v>-1.3302296607372562E-3</v>
      </c>
      <c r="J2828" s="22" t="str">
        <f t="shared" si="90"/>
        <v>lost money</v>
      </c>
    </row>
    <row r="2829" spans="1:10">
      <c r="A2829" s="1">
        <v>41526</v>
      </c>
      <c r="B2829">
        <v>121.21</v>
      </c>
      <c r="C2829">
        <v>122.47</v>
      </c>
      <c r="D2829">
        <v>121.21</v>
      </c>
      <c r="E2829">
        <v>122.22</v>
      </c>
      <c r="F2829">
        <v>4482000</v>
      </c>
      <c r="G2829">
        <v>121.2</v>
      </c>
      <c r="H2829" t="s">
        <v>4</v>
      </c>
      <c r="I2829" s="22">
        <f t="shared" si="89"/>
        <v>8.2850515341068645E-3</v>
      </c>
      <c r="J2829" s="22" t="str">
        <f t="shared" si="90"/>
        <v/>
      </c>
    </row>
    <row r="2830" spans="1:10">
      <c r="A2830" s="1">
        <v>41527</v>
      </c>
      <c r="B2830">
        <v>122.82</v>
      </c>
      <c r="C2830">
        <v>123.01</v>
      </c>
      <c r="D2830">
        <v>121.21</v>
      </c>
      <c r="E2830">
        <v>123.01</v>
      </c>
      <c r="F2830">
        <v>6000800</v>
      </c>
      <c r="G2830">
        <v>121.99</v>
      </c>
      <c r="H2830" t="s">
        <v>4</v>
      </c>
      <c r="I2830" s="22">
        <f t="shared" si="89"/>
        <v>6.4970005254321762E-3</v>
      </c>
      <c r="J2830" s="22" t="str">
        <f t="shared" si="90"/>
        <v/>
      </c>
    </row>
    <row r="2831" spans="1:10">
      <c r="A2831" s="1">
        <v>41528</v>
      </c>
      <c r="B2831">
        <v>123.05</v>
      </c>
      <c r="C2831">
        <v>124</v>
      </c>
      <c r="D2831">
        <v>122.79</v>
      </c>
      <c r="E2831">
        <v>123.92</v>
      </c>
      <c r="F2831">
        <v>4995800</v>
      </c>
      <c r="G2831">
        <v>122.89</v>
      </c>
      <c r="H2831" t="s">
        <v>4</v>
      </c>
      <c r="I2831" s="22">
        <f t="shared" si="89"/>
        <v>7.3505721358597077E-3</v>
      </c>
      <c r="J2831" s="22" t="str">
        <f t="shared" si="90"/>
        <v/>
      </c>
    </row>
    <row r="2832" spans="1:10">
      <c r="A2832" s="1">
        <v>41529</v>
      </c>
      <c r="B2832">
        <v>124.05</v>
      </c>
      <c r="C2832">
        <v>124.62</v>
      </c>
      <c r="D2832">
        <v>123.64</v>
      </c>
      <c r="E2832">
        <v>123.89</v>
      </c>
      <c r="F2832">
        <v>4529700</v>
      </c>
      <c r="G2832">
        <v>122.86</v>
      </c>
      <c r="H2832" t="s">
        <v>4</v>
      </c>
      <c r="I2832" s="22">
        <f t="shared" si="89"/>
        <v>-2.4415056072453944E-4</v>
      </c>
      <c r="J2832" s="22" t="str">
        <f t="shared" si="90"/>
        <v>lost money</v>
      </c>
    </row>
    <row r="2833" spans="1:10">
      <c r="A2833" s="1">
        <v>41530</v>
      </c>
      <c r="B2833">
        <v>123.98</v>
      </c>
      <c r="C2833">
        <v>124.83</v>
      </c>
      <c r="D2833">
        <v>123.81</v>
      </c>
      <c r="E2833">
        <v>124.14</v>
      </c>
      <c r="F2833">
        <v>3094000</v>
      </c>
      <c r="G2833">
        <v>123.11</v>
      </c>
      <c r="H2833" t="s">
        <v>4</v>
      </c>
      <c r="I2833" s="22">
        <f t="shared" si="89"/>
        <v>2.032768923742336E-3</v>
      </c>
      <c r="J2833" s="22" t="str">
        <f t="shared" si="90"/>
        <v/>
      </c>
    </row>
    <row r="2834" spans="1:10">
      <c r="A2834" s="1">
        <v>41533</v>
      </c>
      <c r="B2834">
        <v>124.98</v>
      </c>
      <c r="C2834">
        <v>125.19</v>
      </c>
      <c r="D2834">
        <v>123.98</v>
      </c>
      <c r="E2834">
        <v>124.08</v>
      </c>
      <c r="F2834">
        <v>4277800</v>
      </c>
      <c r="G2834">
        <v>123.05</v>
      </c>
      <c r="H2834" t="s">
        <v>4</v>
      </c>
      <c r="I2834" s="22">
        <f t="shared" si="89"/>
        <v>-4.8748782245877512E-4</v>
      </c>
      <c r="J2834" s="22" t="str">
        <f t="shared" si="90"/>
        <v>lost money</v>
      </c>
    </row>
    <row r="2835" spans="1:10">
      <c r="A2835" s="1">
        <v>41534</v>
      </c>
      <c r="B2835">
        <v>124.1</v>
      </c>
      <c r="C2835">
        <v>125.19</v>
      </c>
      <c r="D2835">
        <v>124.08</v>
      </c>
      <c r="E2835">
        <v>124.34</v>
      </c>
      <c r="F2835">
        <v>5458200</v>
      </c>
      <c r="G2835">
        <v>123.3</v>
      </c>
      <c r="H2835" t="s">
        <v>4</v>
      </c>
      <c r="I2835" s="22">
        <f t="shared" si="89"/>
        <v>2.0296333332338063E-3</v>
      </c>
      <c r="J2835" s="22" t="str">
        <f t="shared" si="90"/>
        <v/>
      </c>
    </row>
    <row r="2836" spans="1:10">
      <c r="A2836" s="1">
        <v>41535</v>
      </c>
      <c r="B2836">
        <v>124.36</v>
      </c>
      <c r="C2836">
        <v>126.43</v>
      </c>
      <c r="D2836">
        <v>123.82</v>
      </c>
      <c r="E2836">
        <v>125.82</v>
      </c>
      <c r="F2836">
        <v>6296900</v>
      </c>
      <c r="G2836">
        <v>124.77</v>
      </c>
      <c r="H2836" t="s">
        <v>4</v>
      </c>
      <c r="I2836" s="22">
        <f t="shared" si="89"/>
        <v>1.1851632252631377E-2</v>
      </c>
      <c r="J2836" s="22" t="str">
        <f t="shared" si="90"/>
        <v/>
      </c>
    </row>
    <row r="2837" spans="1:10">
      <c r="A2837" s="1">
        <v>41536</v>
      </c>
      <c r="B2837">
        <v>125.86</v>
      </c>
      <c r="C2837">
        <v>126.12</v>
      </c>
      <c r="D2837">
        <v>125.25</v>
      </c>
      <c r="E2837">
        <v>125.44</v>
      </c>
      <c r="F2837">
        <v>4440800</v>
      </c>
      <c r="G2837">
        <v>124.4</v>
      </c>
      <c r="H2837" t="s">
        <v>4</v>
      </c>
      <c r="I2837" s="22">
        <f t="shared" si="89"/>
        <v>-2.9698621178508478E-3</v>
      </c>
      <c r="J2837" s="22" t="str">
        <f t="shared" si="90"/>
        <v>lost money</v>
      </c>
    </row>
    <row r="2838" spans="1:10">
      <c r="A2838" s="1">
        <v>41537</v>
      </c>
      <c r="B2838">
        <v>125.66</v>
      </c>
      <c r="C2838">
        <v>126.23</v>
      </c>
      <c r="D2838">
        <v>124.74</v>
      </c>
      <c r="E2838">
        <v>124.92</v>
      </c>
      <c r="F2838">
        <v>10264700</v>
      </c>
      <c r="G2838">
        <v>123.88</v>
      </c>
      <c r="H2838" t="s">
        <v>4</v>
      </c>
      <c r="I2838" s="22">
        <f t="shared" si="89"/>
        <v>-4.1888252000771382E-3</v>
      </c>
      <c r="J2838" s="22" t="str">
        <f t="shared" si="90"/>
        <v>lost money</v>
      </c>
    </row>
    <row r="2839" spans="1:10">
      <c r="A2839" s="1">
        <v>41540</v>
      </c>
      <c r="B2839">
        <v>124.62</v>
      </c>
      <c r="C2839">
        <v>125.62</v>
      </c>
      <c r="D2839">
        <v>124.57</v>
      </c>
      <c r="E2839">
        <v>125.52</v>
      </c>
      <c r="F2839">
        <v>5450600</v>
      </c>
      <c r="G2839">
        <v>124.47</v>
      </c>
      <c r="H2839" t="s">
        <v>4</v>
      </c>
      <c r="I2839" s="22">
        <f t="shared" si="89"/>
        <v>4.7513679078841232E-3</v>
      </c>
      <c r="J2839" s="22" t="str">
        <f t="shared" si="90"/>
        <v/>
      </c>
    </row>
    <row r="2840" spans="1:10">
      <c r="A2840" s="1">
        <v>41541</v>
      </c>
      <c r="B2840">
        <v>125.34</v>
      </c>
      <c r="C2840">
        <v>125.84</v>
      </c>
      <c r="D2840">
        <v>124.41</v>
      </c>
      <c r="E2840">
        <v>124.49</v>
      </c>
      <c r="F2840">
        <v>6097900</v>
      </c>
      <c r="G2840">
        <v>123.45</v>
      </c>
      <c r="H2840" t="s">
        <v>4</v>
      </c>
      <c r="I2840" s="22">
        <f t="shared" si="89"/>
        <v>-8.2285072216976545E-3</v>
      </c>
      <c r="J2840" s="22" t="str">
        <f t="shared" si="90"/>
        <v>lost money</v>
      </c>
    </row>
    <row r="2841" spans="1:10">
      <c r="A2841" s="1">
        <v>41542</v>
      </c>
      <c r="B2841">
        <v>124.77</v>
      </c>
      <c r="C2841">
        <v>125.03</v>
      </c>
      <c r="D2841">
        <v>124.07</v>
      </c>
      <c r="E2841">
        <v>124.07</v>
      </c>
      <c r="F2841">
        <v>4498900</v>
      </c>
      <c r="G2841">
        <v>123.04</v>
      </c>
      <c r="H2841" t="s">
        <v>4</v>
      </c>
      <c r="I2841" s="22">
        <f t="shared" si="89"/>
        <v>-3.3267100338546397E-3</v>
      </c>
      <c r="J2841" s="22" t="str">
        <f t="shared" si="90"/>
        <v>lost money</v>
      </c>
    </row>
    <row r="2842" spans="1:10">
      <c r="A2842" s="1">
        <v>41543</v>
      </c>
      <c r="B2842">
        <v>124.1</v>
      </c>
      <c r="C2842">
        <v>124.44</v>
      </c>
      <c r="D2842">
        <v>123.02</v>
      </c>
      <c r="E2842">
        <v>123.49</v>
      </c>
      <c r="F2842">
        <v>5022600</v>
      </c>
      <c r="G2842">
        <v>122.46</v>
      </c>
      <c r="H2842" t="s">
        <v>4</v>
      </c>
      <c r="I2842" s="22">
        <f t="shared" si="89"/>
        <v>-4.7250597075255184E-3</v>
      </c>
      <c r="J2842" s="22" t="str">
        <f t="shared" si="90"/>
        <v>lost money</v>
      </c>
    </row>
    <row r="2843" spans="1:10">
      <c r="A2843" s="1">
        <v>41544</v>
      </c>
      <c r="B2843">
        <v>123.23</v>
      </c>
      <c r="C2843">
        <v>123.26</v>
      </c>
      <c r="D2843">
        <v>122.51</v>
      </c>
      <c r="E2843">
        <v>122.64</v>
      </c>
      <c r="F2843">
        <v>4518800</v>
      </c>
      <c r="G2843">
        <v>121.62</v>
      </c>
      <c r="H2843" t="s">
        <v>4</v>
      </c>
      <c r="I2843" s="22">
        <f t="shared" si="89"/>
        <v>-6.8830163578447214E-3</v>
      </c>
      <c r="J2843" s="22" t="str">
        <f t="shared" si="90"/>
        <v>lost money</v>
      </c>
    </row>
    <row r="2844" spans="1:10">
      <c r="A2844" s="1">
        <v>41547</v>
      </c>
      <c r="B2844">
        <v>121.6</v>
      </c>
      <c r="C2844">
        <v>122.02</v>
      </c>
      <c r="D2844">
        <v>120.5</v>
      </c>
      <c r="E2844">
        <v>121.5</v>
      </c>
      <c r="F2844">
        <v>6421800</v>
      </c>
      <c r="G2844">
        <v>120.49</v>
      </c>
      <c r="H2844" t="s">
        <v>4</v>
      </c>
      <c r="I2844" s="22">
        <f t="shared" si="89"/>
        <v>-9.3346677567786862E-3</v>
      </c>
      <c r="J2844" s="22" t="str">
        <f t="shared" si="90"/>
        <v>lost money</v>
      </c>
    </row>
    <row r="2845" spans="1:10">
      <c r="A2845" s="1">
        <v>41548</v>
      </c>
      <c r="B2845">
        <v>121.27</v>
      </c>
      <c r="C2845">
        <v>121.74</v>
      </c>
      <c r="D2845">
        <v>120.84</v>
      </c>
      <c r="E2845">
        <v>121.32</v>
      </c>
      <c r="F2845">
        <v>4702300</v>
      </c>
      <c r="G2845">
        <v>120.31</v>
      </c>
      <c r="H2845" t="s">
        <v>4</v>
      </c>
      <c r="I2845" s="22">
        <f t="shared" si="89"/>
        <v>-1.4950168897518796E-3</v>
      </c>
      <c r="J2845" s="22" t="str">
        <f t="shared" si="90"/>
        <v/>
      </c>
    </row>
    <row r="2846" spans="1:10">
      <c r="A2846" s="1">
        <v>41549</v>
      </c>
      <c r="B2846">
        <v>121.04</v>
      </c>
      <c r="C2846">
        <v>121.18</v>
      </c>
      <c r="D2846">
        <v>119.76</v>
      </c>
      <c r="E2846">
        <v>120.83</v>
      </c>
      <c r="F2846">
        <v>5899800</v>
      </c>
      <c r="G2846">
        <v>119.82</v>
      </c>
      <c r="H2846" t="s">
        <v>4</v>
      </c>
      <c r="I2846" s="22">
        <f t="shared" si="89"/>
        <v>-4.0811283896543199E-3</v>
      </c>
      <c r="J2846" s="22" t="str">
        <f t="shared" si="90"/>
        <v>lost money</v>
      </c>
    </row>
    <row r="2847" spans="1:10">
      <c r="A2847" s="1">
        <v>41550</v>
      </c>
      <c r="B2847">
        <v>120.62</v>
      </c>
      <c r="C2847">
        <v>120.66</v>
      </c>
      <c r="D2847">
        <v>117.93</v>
      </c>
      <c r="E2847">
        <v>118.25</v>
      </c>
      <c r="F2847">
        <v>10203700</v>
      </c>
      <c r="G2847">
        <v>117.27</v>
      </c>
      <c r="H2847" t="s">
        <v>4</v>
      </c>
      <c r="I2847" s="22">
        <f t="shared" si="89"/>
        <v>-2.1511648182805737E-2</v>
      </c>
      <c r="J2847" s="22" t="str">
        <f t="shared" si="90"/>
        <v>lost money</v>
      </c>
    </row>
    <row r="2848" spans="1:10">
      <c r="A2848" s="1">
        <v>41551</v>
      </c>
      <c r="B2848">
        <v>118.5</v>
      </c>
      <c r="C2848">
        <v>118.54</v>
      </c>
      <c r="D2848">
        <v>117.52</v>
      </c>
      <c r="E2848">
        <v>118.13</v>
      </c>
      <c r="F2848">
        <v>6538500</v>
      </c>
      <c r="G2848">
        <v>117.15</v>
      </c>
      <c r="H2848" t="s">
        <v>4</v>
      </c>
      <c r="I2848" s="22">
        <f t="shared" si="89"/>
        <v>-1.0238035191683927E-3</v>
      </c>
      <c r="J2848" s="22" t="str">
        <f t="shared" si="90"/>
        <v>lost money</v>
      </c>
    </row>
    <row r="2849" spans="1:10">
      <c r="A2849" s="1">
        <v>41554</v>
      </c>
      <c r="B2849">
        <v>117.43</v>
      </c>
      <c r="C2849">
        <v>118.5</v>
      </c>
      <c r="D2849">
        <v>117.21</v>
      </c>
      <c r="E2849">
        <v>117.87</v>
      </c>
      <c r="F2849">
        <v>5677400</v>
      </c>
      <c r="G2849">
        <v>116.89</v>
      </c>
      <c r="H2849" t="s">
        <v>4</v>
      </c>
      <c r="I2849" s="22">
        <f t="shared" si="89"/>
        <v>-2.2218433341257998E-3</v>
      </c>
      <c r="J2849" s="22" t="str">
        <f t="shared" si="90"/>
        <v/>
      </c>
    </row>
    <row r="2850" spans="1:10">
      <c r="A2850" s="1">
        <v>41555</v>
      </c>
      <c r="B2850">
        <v>117.89</v>
      </c>
      <c r="C2850">
        <v>118.09</v>
      </c>
      <c r="D2850">
        <v>116.71</v>
      </c>
      <c r="E2850">
        <v>116.73</v>
      </c>
      <c r="F2850">
        <v>6744200</v>
      </c>
      <c r="G2850">
        <v>115.76</v>
      </c>
      <c r="H2850" t="s">
        <v>4</v>
      </c>
      <c r="I2850" s="22">
        <f t="shared" si="89"/>
        <v>-9.7142392964504522E-3</v>
      </c>
      <c r="J2850" s="22" t="str">
        <f t="shared" si="90"/>
        <v>lost money</v>
      </c>
    </row>
    <row r="2851" spans="1:10">
      <c r="A2851" s="1">
        <v>41556</v>
      </c>
      <c r="B2851">
        <v>116.55</v>
      </c>
      <c r="C2851">
        <v>116.8</v>
      </c>
      <c r="D2851">
        <v>115.32</v>
      </c>
      <c r="E2851">
        <v>116.13</v>
      </c>
      <c r="F2851">
        <v>8861700</v>
      </c>
      <c r="G2851">
        <v>115.16</v>
      </c>
      <c r="H2851" t="s">
        <v>4</v>
      </c>
      <c r="I2851" s="22">
        <f t="shared" si="89"/>
        <v>-5.1966165792534267E-3</v>
      </c>
      <c r="J2851" s="22" t="str">
        <f t="shared" si="90"/>
        <v>lost money</v>
      </c>
    </row>
    <row r="2852" spans="1:10">
      <c r="A2852" s="1">
        <v>41557</v>
      </c>
      <c r="B2852">
        <v>115.24</v>
      </c>
      <c r="C2852">
        <v>116.38</v>
      </c>
      <c r="D2852">
        <v>114.44</v>
      </c>
      <c r="E2852">
        <v>116.38</v>
      </c>
      <c r="F2852">
        <v>11133000</v>
      </c>
      <c r="G2852">
        <v>115.41</v>
      </c>
      <c r="H2852" t="s">
        <v>4</v>
      </c>
      <c r="I2852" s="22">
        <f t="shared" si="89"/>
        <v>2.1685396883383847E-3</v>
      </c>
      <c r="J2852" s="22" t="str">
        <f t="shared" si="90"/>
        <v/>
      </c>
    </row>
    <row r="2853" spans="1:10">
      <c r="A2853" s="1">
        <v>41558</v>
      </c>
      <c r="B2853">
        <v>116.57</v>
      </c>
      <c r="C2853">
        <v>117.71</v>
      </c>
      <c r="D2853">
        <v>115.93</v>
      </c>
      <c r="E2853">
        <v>117.67</v>
      </c>
      <c r="F2853">
        <v>6535800</v>
      </c>
      <c r="G2853">
        <v>116.69</v>
      </c>
      <c r="H2853" t="s">
        <v>4</v>
      </c>
      <c r="I2853" s="22">
        <f t="shared" si="89"/>
        <v>1.1029840385702502E-2</v>
      </c>
      <c r="J2853" s="22" t="str">
        <f t="shared" si="90"/>
        <v/>
      </c>
    </row>
    <row r="2854" spans="1:10">
      <c r="A2854" s="1">
        <v>41561</v>
      </c>
      <c r="B2854">
        <v>117.33</v>
      </c>
      <c r="C2854">
        <v>118.75</v>
      </c>
      <c r="D2854">
        <v>116.32</v>
      </c>
      <c r="E2854">
        <v>118.58</v>
      </c>
      <c r="F2854">
        <v>4789800</v>
      </c>
      <c r="G2854">
        <v>117.59</v>
      </c>
      <c r="H2854" t="s">
        <v>4</v>
      </c>
      <c r="I2854" s="22">
        <f t="shared" si="89"/>
        <v>7.6831520173086133E-3</v>
      </c>
      <c r="J2854" s="22" t="str">
        <f t="shared" si="90"/>
        <v/>
      </c>
    </row>
    <row r="2855" spans="1:10">
      <c r="A2855" s="1">
        <v>41562</v>
      </c>
      <c r="B2855">
        <v>118.56</v>
      </c>
      <c r="C2855">
        <v>119.07</v>
      </c>
      <c r="D2855">
        <v>117.77</v>
      </c>
      <c r="E2855">
        <v>118.15</v>
      </c>
      <c r="F2855">
        <v>6414700</v>
      </c>
      <c r="G2855">
        <v>117.17</v>
      </c>
      <c r="H2855" t="s">
        <v>4</v>
      </c>
      <c r="I2855" s="22">
        <f t="shared" si="89"/>
        <v>-3.5781261552601906E-3</v>
      </c>
      <c r="J2855" s="22" t="str">
        <f t="shared" si="90"/>
        <v>lost money</v>
      </c>
    </row>
    <row r="2856" spans="1:10">
      <c r="A2856" s="1">
        <v>41563</v>
      </c>
      <c r="B2856">
        <v>119.42</v>
      </c>
      <c r="C2856">
        <v>119.72</v>
      </c>
      <c r="D2856">
        <v>118.34</v>
      </c>
      <c r="E2856">
        <v>119.16</v>
      </c>
      <c r="F2856">
        <v>5614200</v>
      </c>
      <c r="G2856">
        <v>118.17</v>
      </c>
      <c r="H2856" t="s">
        <v>4</v>
      </c>
      <c r="I2856" s="22">
        <f t="shared" si="89"/>
        <v>8.4983939708598959E-3</v>
      </c>
      <c r="J2856" s="22" t="str">
        <f t="shared" si="90"/>
        <v>lost money</v>
      </c>
    </row>
    <row r="2857" spans="1:10">
      <c r="A2857" s="1">
        <v>41564</v>
      </c>
      <c r="B2857">
        <v>119.1</v>
      </c>
      <c r="C2857">
        <v>119.61</v>
      </c>
      <c r="D2857">
        <v>118.67</v>
      </c>
      <c r="E2857">
        <v>119.52</v>
      </c>
      <c r="F2857">
        <v>5254800</v>
      </c>
      <c r="G2857">
        <v>118.52</v>
      </c>
      <c r="H2857" t="s">
        <v>4</v>
      </c>
      <c r="I2857" s="22">
        <f t="shared" si="89"/>
        <v>2.9574570544402099E-3</v>
      </c>
      <c r="J2857" s="22" t="str">
        <f t="shared" si="90"/>
        <v/>
      </c>
    </row>
    <row r="2858" spans="1:10">
      <c r="A2858" s="1">
        <v>41565</v>
      </c>
      <c r="B2858">
        <v>119.61</v>
      </c>
      <c r="C2858">
        <v>119.85</v>
      </c>
      <c r="D2858">
        <v>119.13</v>
      </c>
      <c r="E2858">
        <v>119.65</v>
      </c>
      <c r="F2858">
        <v>6231100</v>
      </c>
      <c r="G2858">
        <v>118.65</v>
      </c>
      <c r="H2858" t="s">
        <v>4</v>
      </c>
      <c r="I2858" s="22">
        <f t="shared" si="89"/>
        <v>1.0962601764081142E-3</v>
      </c>
      <c r="J2858" s="22" t="str">
        <f t="shared" si="90"/>
        <v/>
      </c>
    </row>
    <row r="2859" spans="1:10">
      <c r="A2859" s="1">
        <v>41568</v>
      </c>
      <c r="B2859">
        <v>119.63</v>
      </c>
      <c r="C2859">
        <v>120.19</v>
      </c>
      <c r="D2859">
        <v>119.31</v>
      </c>
      <c r="E2859">
        <v>119.82</v>
      </c>
      <c r="F2859">
        <v>4360700</v>
      </c>
      <c r="G2859">
        <v>118.82</v>
      </c>
      <c r="H2859" t="s">
        <v>4</v>
      </c>
      <c r="I2859" s="22">
        <f t="shared" si="89"/>
        <v>1.4317600458226762E-3</v>
      </c>
      <c r="J2859" s="22" t="str">
        <f t="shared" si="90"/>
        <v/>
      </c>
    </row>
    <row r="2860" spans="1:10">
      <c r="A2860" s="1">
        <v>41569</v>
      </c>
      <c r="B2860">
        <v>120.14</v>
      </c>
      <c r="C2860">
        <v>120.79</v>
      </c>
      <c r="D2860">
        <v>119.71</v>
      </c>
      <c r="E2860">
        <v>120.64</v>
      </c>
      <c r="F2860">
        <v>6444900</v>
      </c>
      <c r="G2860">
        <v>119.64</v>
      </c>
      <c r="H2860" t="s">
        <v>4</v>
      </c>
      <c r="I2860" s="22">
        <f t="shared" si="89"/>
        <v>6.8774908341520131E-3</v>
      </c>
      <c r="J2860" s="22" t="str">
        <f t="shared" si="90"/>
        <v/>
      </c>
    </row>
    <row r="2861" spans="1:10">
      <c r="A2861" s="1">
        <v>41570</v>
      </c>
      <c r="B2861">
        <v>120.29</v>
      </c>
      <c r="C2861">
        <v>120.64</v>
      </c>
      <c r="D2861">
        <v>119.84</v>
      </c>
      <c r="E2861">
        <v>120.13</v>
      </c>
      <c r="F2861">
        <v>4961900</v>
      </c>
      <c r="G2861">
        <v>119.13</v>
      </c>
      <c r="H2861" t="s">
        <v>4</v>
      </c>
      <c r="I2861" s="22">
        <f t="shared" si="89"/>
        <v>-4.271899950477504E-3</v>
      </c>
      <c r="J2861" s="22" t="str">
        <f t="shared" si="90"/>
        <v>lost money</v>
      </c>
    </row>
    <row r="2862" spans="1:10">
      <c r="A2862" s="1">
        <v>41571</v>
      </c>
      <c r="B2862">
        <v>120.67</v>
      </c>
      <c r="C2862">
        <v>121</v>
      </c>
      <c r="D2862">
        <v>119.91</v>
      </c>
      <c r="E2862">
        <v>120.56</v>
      </c>
      <c r="F2862">
        <v>4188100</v>
      </c>
      <c r="G2862">
        <v>119.56</v>
      </c>
      <c r="H2862" t="s">
        <v>4</v>
      </c>
      <c r="I2862" s="22">
        <f t="shared" si="89"/>
        <v>3.6030036044673083E-3</v>
      </c>
      <c r="J2862" s="22" t="str">
        <f t="shared" si="90"/>
        <v>lost money</v>
      </c>
    </row>
    <row r="2863" spans="1:10">
      <c r="A2863" s="1">
        <v>41572</v>
      </c>
      <c r="B2863">
        <v>120.59</v>
      </c>
      <c r="C2863">
        <v>121.22</v>
      </c>
      <c r="D2863">
        <v>120.27</v>
      </c>
      <c r="E2863">
        <v>120.59</v>
      </c>
      <c r="F2863">
        <v>4273300</v>
      </c>
      <c r="G2863">
        <v>119.59</v>
      </c>
      <c r="H2863" t="s">
        <v>4</v>
      </c>
      <c r="I2863" s="22">
        <f t="shared" si="89"/>
        <v>2.5088856497904537E-4</v>
      </c>
      <c r="J2863" s="22" t="str">
        <f t="shared" si="90"/>
        <v/>
      </c>
    </row>
    <row r="2864" spans="1:10">
      <c r="A2864" s="1">
        <v>41575</v>
      </c>
      <c r="B2864">
        <v>120.56</v>
      </c>
      <c r="C2864">
        <v>121.15</v>
      </c>
      <c r="D2864">
        <v>120.09</v>
      </c>
      <c r="E2864">
        <v>120.91</v>
      </c>
      <c r="F2864">
        <v>5497700</v>
      </c>
      <c r="G2864">
        <v>119.9</v>
      </c>
      <c r="H2864" t="s">
        <v>4</v>
      </c>
      <c r="I2864" s="22">
        <f t="shared" si="89"/>
        <v>2.5888360527523877E-3</v>
      </c>
      <c r="J2864" s="22" t="str">
        <f t="shared" si="90"/>
        <v/>
      </c>
    </row>
    <row r="2865" spans="1:10">
      <c r="A2865" s="1">
        <v>41576</v>
      </c>
      <c r="B2865">
        <v>121.33</v>
      </c>
      <c r="C2865">
        <v>122.01</v>
      </c>
      <c r="D2865">
        <v>121.16</v>
      </c>
      <c r="E2865">
        <v>121.5</v>
      </c>
      <c r="F2865">
        <v>4241700</v>
      </c>
      <c r="G2865">
        <v>120.49</v>
      </c>
      <c r="H2865" t="s">
        <v>4</v>
      </c>
      <c r="I2865" s="22">
        <f t="shared" si="89"/>
        <v>4.9086999017163534E-3</v>
      </c>
      <c r="J2865" s="22" t="str">
        <f t="shared" si="90"/>
        <v/>
      </c>
    </row>
    <row r="2866" spans="1:10">
      <c r="A2866" s="1">
        <v>41577</v>
      </c>
      <c r="B2866">
        <v>121.54</v>
      </c>
      <c r="C2866">
        <v>121.96</v>
      </c>
      <c r="D2866">
        <v>119.91</v>
      </c>
      <c r="E2866">
        <v>120.3</v>
      </c>
      <c r="F2866">
        <v>4999100</v>
      </c>
      <c r="G2866">
        <v>119.3</v>
      </c>
      <c r="H2866" t="s">
        <v>4</v>
      </c>
      <c r="I2866" s="22">
        <f t="shared" si="89"/>
        <v>-9.9254328313146019E-3</v>
      </c>
      <c r="J2866" s="22" t="str">
        <f t="shared" si="90"/>
        <v>lost money</v>
      </c>
    </row>
    <row r="2867" spans="1:10">
      <c r="A2867" s="1">
        <v>41578</v>
      </c>
      <c r="B2867">
        <v>120.15</v>
      </c>
      <c r="C2867">
        <v>121.33</v>
      </c>
      <c r="D2867">
        <v>119.83</v>
      </c>
      <c r="E2867">
        <v>119.96</v>
      </c>
      <c r="F2867">
        <v>7752500</v>
      </c>
      <c r="G2867">
        <v>118.96</v>
      </c>
      <c r="H2867" t="s">
        <v>4</v>
      </c>
      <c r="I2867" s="22">
        <f t="shared" si="89"/>
        <v>-2.8540269519708506E-3</v>
      </c>
      <c r="J2867" s="22" t="str">
        <f t="shared" si="90"/>
        <v>lost money</v>
      </c>
    </row>
    <row r="2868" spans="1:10">
      <c r="A2868" s="1">
        <v>41579</v>
      </c>
      <c r="B2868">
        <v>119.04</v>
      </c>
      <c r="C2868">
        <v>119.44</v>
      </c>
      <c r="D2868">
        <v>117</v>
      </c>
      <c r="E2868">
        <v>118.01</v>
      </c>
      <c r="F2868">
        <v>9344200</v>
      </c>
      <c r="G2868">
        <v>117.03</v>
      </c>
      <c r="H2868" t="s">
        <v>4</v>
      </c>
      <c r="I2868" s="22">
        <f t="shared" si="89"/>
        <v>-1.6356989965224712E-2</v>
      </c>
      <c r="J2868" s="22" t="str">
        <f t="shared" si="90"/>
        <v>lost money</v>
      </c>
    </row>
    <row r="2869" spans="1:10">
      <c r="A2869" s="1">
        <v>41582</v>
      </c>
      <c r="B2869">
        <v>118.59</v>
      </c>
      <c r="C2869">
        <v>118.6</v>
      </c>
      <c r="D2869">
        <v>117.32</v>
      </c>
      <c r="E2869">
        <v>118.1</v>
      </c>
      <c r="F2869">
        <v>6670300</v>
      </c>
      <c r="G2869">
        <v>117.12</v>
      </c>
      <c r="H2869" t="s">
        <v>4</v>
      </c>
      <c r="I2869" s="22">
        <f t="shared" si="89"/>
        <v>7.6873802632655729E-4</v>
      </c>
      <c r="J2869" s="22" t="str">
        <f t="shared" si="90"/>
        <v>lost money</v>
      </c>
    </row>
    <row r="2870" spans="1:10">
      <c r="A2870" s="1">
        <v>41583</v>
      </c>
      <c r="B2870">
        <v>117.6</v>
      </c>
      <c r="C2870">
        <v>118.9</v>
      </c>
      <c r="D2870">
        <v>117.07</v>
      </c>
      <c r="E2870">
        <v>118.45</v>
      </c>
      <c r="F2870">
        <v>6623300</v>
      </c>
      <c r="G2870">
        <v>117.46</v>
      </c>
      <c r="H2870" t="s">
        <v>4</v>
      </c>
      <c r="I2870" s="22">
        <f t="shared" si="89"/>
        <v>2.8987998813718666E-3</v>
      </c>
      <c r="J2870" s="22" t="str">
        <f t="shared" si="90"/>
        <v/>
      </c>
    </row>
    <row r="2871" spans="1:10">
      <c r="A2871" s="1">
        <v>41584</v>
      </c>
      <c r="B2871">
        <v>119.3</v>
      </c>
      <c r="C2871">
        <v>121.41</v>
      </c>
      <c r="D2871">
        <v>118.82</v>
      </c>
      <c r="E2871">
        <v>121.14</v>
      </c>
      <c r="F2871">
        <v>8373200</v>
      </c>
      <c r="G2871">
        <v>120.13</v>
      </c>
      <c r="H2871" t="s">
        <v>4</v>
      </c>
      <c r="I2871" s="22">
        <f t="shared" si="89"/>
        <v>2.2476639638910386E-2</v>
      </c>
      <c r="J2871" s="22" t="str">
        <f t="shared" si="90"/>
        <v/>
      </c>
    </row>
    <row r="2872" spans="1:10">
      <c r="A2872" s="1">
        <v>41585</v>
      </c>
      <c r="B2872">
        <v>121.6</v>
      </c>
      <c r="C2872">
        <v>121.88</v>
      </c>
      <c r="D2872">
        <v>119.42</v>
      </c>
      <c r="E2872">
        <v>119.91</v>
      </c>
      <c r="F2872">
        <v>10131200</v>
      </c>
      <c r="G2872">
        <v>118.91</v>
      </c>
      <c r="H2872" t="s">
        <v>4</v>
      </c>
      <c r="I2872" s="22">
        <f t="shared" si="89"/>
        <v>-1.0207585283796275E-2</v>
      </c>
      <c r="J2872" s="22" t="str">
        <f t="shared" si="90"/>
        <v>lost money</v>
      </c>
    </row>
    <row r="2873" spans="1:10">
      <c r="A2873" s="1">
        <v>41586</v>
      </c>
      <c r="B2873">
        <v>119.67</v>
      </c>
      <c r="C2873">
        <v>121.21</v>
      </c>
      <c r="D2873">
        <v>119.58</v>
      </c>
      <c r="E2873">
        <v>121.19</v>
      </c>
      <c r="F2873">
        <v>11331000</v>
      </c>
      <c r="G2873">
        <v>120.18</v>
      </c>
      <c r="H2873" t="s">
        <v>4</v>
      </c>
      <c r="I2873" s="22">
        <f t="shared" si="89"/>
        <v>1.0623714456294559E-2</v>
      </c>
      <c r="J2873" s="22" t="str">
        <f t="shared" si="90"/>
        <v/>
      </c>
    </row>
    <row r="2874" spans="1:10">
      <c r="A2874" s="1">
        <v>41589</v>
      </c>
      <c r="B2874">
        <v>121.18</v>
      </c>
      <c r="C2874">
        <v>121.5</v>
      </c>
      <c r="D2874">
        <v>120.71</v>
      </c>
      <c r="E2874">
        <v>121.08</v>
      </c>
      <c r="F2874">
        <v>3427600</v>
      </c>
      <c r="G2874">
        <v>120.07</v>
      </c>
      <c r="H2874" t="s">
        <v>4</v>
      </c>
      <c r="I2874" s="22">
        <f t="shared" si="89"/>
        <v>-9.1571286315538913E-4</v>
      </c>
      <c r="J2874" s="22" t="str">
        <f t="shared" si="90"/>
        <v>lost money</v>
      </c>
    </row>
    <row r="2875" spans="1:10">
      <c r="A2875" s="1">
        <v>41590</v>
      </c>
      <c r="B2875">
        <v>121.03</v>
      </c>
      <c r="C2875">
        <v>121.25</v>
      </c>
      <c r="D2875">
        <v>119.63</v>
      </c>
      <c r="E2875">
        <v>120</v>
      </c>
      <c r="F2875">
        <v>6914200</v>
      </c>
      <c r="G2875">
        <v>119</v>
      </c>
      <c r="H2875" t="s">
        <v>4</v>
      </c>
      <c r="I2875" s="22">
        <f t="shared" si="89"/>
        <v>-8.9514129310971566E-3</v>
      </c>
      <c r="J2875" s="22" t="str">
        <f t="shared" si="90"/>
        <v>lost money</v>
      </c>
    </row>
    <row r="2876" spans="1:10">
      <c r="A2876" s="1">
        <v>41591</v>
      </c>
      <c r="B2876">
        <v>119.58</v>
      </c>
      <c r="C2876">
        <v>120.15</v>
      </c>
      <c r="D2876">
        <v>119.19</v>
      </c>
      <c r="E2876">
        <v>120.09</v>
      </c>
      <c r="F2876">
        <v>6212000</v>
      </c>
      <c r="G2876">
        <v>119.09</v>
      </c>
      <c r="H2876" t="s">
        <v>4</v>
      </c>
      <c r="I2876" s="22">
        <f t="shared" si="89"/>
        <v>7.5601666837510134E-4</v>
      </c>
      <c r="J2876" s="22" t="str">
        <f t="shared" si="90"/>
        <v/>
      </c>
    </row>
    <row r="2877" spans="1:10">
      <c r="A2877" s="1">
        <v>41592</v>
      </c>
      <c r="B2877">
        <v>119.58</v>
      </c>
      <c r="C2877">
        <v>119.93</v>
      </c>
      <c r="D2877">
        <v>119.32</v>
      </c>
      <c r="E2877">
        <v>119.56</v>
      </c>
      <c r="F2877">
        <v>5470900</v>
      </c>
      <c r="G2877">
        <v>119.56</v>
      </c>
      <c r="H2877" t="s">
        <v>4</v>
      </c>
      <c r="I2877" s="22">
        <f t="shared" si="89"/>
        <v>3.9388276358327569E-3</v>
      </c>
      <c r="J2877" s="22" t="str">
        <f t="shared" si="90"/>
        <v>lost money</v>
      </c>
    </row>
    <row r="2878" spans="1:10">
      <c r="A2878" s="1">
        <v>41593</v>
      </c>
      <c r="B2878">
        <v>119.78</v>
      </c>
      <c r="C2878">
        <v>120.27</v>
      </c>
      <c r="D2878">
        <v>119.13</v>
      </c>
      <c r="E2878">
        <v>120.06</v>
      </c>
      <c r="F2878">
        <v>6008000</v>
      </c>
      <c r="G2878">
        <v>120.06</v>
      </c>
      <c r="H2878" t="s">
        <v>4</v>
      </c>
      <c r="I2878" s="22">
        <f t="shared" si="89"/>
        <v>4.1732804079598262E-3</v>
      </c>
      <c r="J2878" s="22" t="str">
        <f t="shared" si="90"/>
        <v/>
      </c>
    </row>
    <row r="2879" spans="1:10">
      <c r="A2879" s="1">
        <v>41596</v>
      </c>
      <c r="B2879">
        <v>120.71</v>
      </c>
      <c r="C2879">
        <v>120.89</v>
      </c>
      <c r="D2879">
        <v>120.07</v>
      </c>
      <c r="E2879">
        <v>120.56</v>
      </c>
      <c r="F2879">
        <v>4788700</v>
      </c>
      <c r="G2879">
        <v>120.56</v>
      </c>
      <c r="H2879" t="s">
        <v>4</v>
      </c>
      <c r="I2879" s="22">
        <f t="shared" si="89"/>
        <v>4.1559364945430799E-3</v>
      </c>
      <c r="J2879" s="22" t="str">
        <f t="shared" si="90"/>
        <v>lost money</v>
      </c>
    </row>
    <row r="2880" spans="1:10">
      <c r="A2880" s="1">
        <v>41597</v>
      </c>
      <c r="B2880">
        <v>120.55</v>
      </c>
      <c r="C2880">
        <v>122.38</v>
      </c>
      <c r="D2880">
        <v>120.27</v>
      </c>
      <c r="E2880">
        <v>122.06</v>
      </c>
      <c r="F2880">
        <v>5891800</v>
      </c>
      <c r="G2880">
        <v>122.06</v>
      </c>
      <c r="H2880" t="s">
        <v>4</v>
      </c>
      <c r="I2880" s="22">
        <f t="shared" si="89"/>
        <v>1.2365172798108863E-2</v>
      </c>
      <c r="J2880" s="22" t="str">
        <f t="shared" si="90"/>
        <v/>
      </c>
    </row>
    <row r="2881" spans="1:10">
      <c r="A2881" s="1">
        <v>41598</v>
      </c>
      <c r="B2881">
        <v>122.16</v>
      </c>
      <c r="C2881">
        <v>122.75</v>
      </c>
      <c r="D2881">
        <v>121.6</v>
      </c>
      <c r="E2881">
        <v>122</v>
      </c>
      <c r="F2881">
        <v>4571300</v>
      </c>
      <c r="G2881">
        <v>122</v>
      </c>
      <c r="H2881" t="s">
        <v>4</v>
      </c>
      <c r="I2881" s="22">
        <f t="shared" si="89"/>
        <v>-4.9168238309234866E-4</v>
      </c>
      <c r="J2881" s="22" t="str">
        <f t="shared" si="90"/>
        <v>lost money</v>
      </c>
    </row>
    <row r="2882" spans="1:10">
      <c r="A2882" s="1">
        <v>41599</v>
      </c>
      <c r="B2882">
        <v>122.36</v>
      </c>
      <c r="C2882">
        <v>123.6</v>
      </c>
      <c r="D2882">
        <v>122.36</v>
      </c>
      <c r="E2882">
        <v>123.46</v>
      </c>
      <c r="F2882">
        <v>4884300</v>
      </c>
      <c r="G2882">
        <v>123.46</v>
      </c>
      <c r="H2882" t="s">
        <v>4</v>
      </c>
      <c r="I2882" s="22">
        <f t="shared" si="89"/>
        <v>1.1896172232493299E-2</v>
      </c>
      <c r="J2882" s="22" t="str">
        <f t="shared" si="90"/>
        <v/>
      </c>
    </row>
    <row r="2883" spans="1:10">
      <c r="A2883" s="1">
        <v>41600</v>
      </c>
      <c r="B2883">
        <v>123.54</v>
      </c>
      <c r="C2883">
        <v>124.19</v>
      </c>
      <c r="D2883">
        <v>122.42</v>
      </c>
      <c r="E2883">
        <v>124.03</v>
      </c>
      <c r="F2883">
        <v>3887400</v>
      </c>
      <c r="G2883">
        <v>124.03</v>
      </c>
      <c r="H2883" t="s">
        <v>4</v>
      </c>
      <c r="I2883" s="22">
        <f t="shared" ref="I2883:I2946" si="91">IF(A2883=$A$2,"",LN(G2883/G2882))</f>
        <v>4.6062548614883778E-3</v>
      </c>
      <c r="J2883" s="22" t="str">
        <f t="shared" ref="J2883:J2946" si="92">IF(B2883&gt;E2883,"lost money","")</f>
        <v/>
      </c>
    </row>
    <row r="2884" spans="1:10">
      <c r="A2884" s="1">
        <v>41603</v>
      </c>
      <c r="B2884">
        <v>123.77</v>
      </c>
      <c r="C2884">
        <v>124.1</v>
      </c>
      <c r="D2884">
        <v>123.22</v>
      </c>
      <c r="E2884">
        <v>123.74</v>
      </c>
      <c r="F2884">
        <v>3925300</v>
      </c>
      <c r="G2884">
        <v>123.74</v>
      </c>
      <c r="H2884" t="s">
        <v>4</v>
      </c>
      <c r="I2884" s="22">
        <f t="shared" si="91"/>
        <v>-2.3408817243955166E-3</v>
      </c>
      <c r="J2884" s="22" t="str">
        <f t="shared" si="92"/>
        <v>lost money</v>
      </c>
    </row>
    <row r="2885" spans="1:10">
      <c r="A2885" s="1">
        <v>41604</v>
      </c>
      <c r="B2885">
        <v>123.41</v>
      </c>
      <c r="C2885">
        <v>123.7</v>
      </c>
      <c r="D2885">
        <v>122.65</v>
      </c>
      <c r="E2885">
        <v>122.78</v>
      </c>
      <c r="F2885">
        <v>4597500</v>
      </c>
      <c r="G2885">
        <v>122.78</v>
      </c>
      <c r="H2885" t="s">
        <v>4</v>
      </c>
      <c r="I2885" s="22">
        <f t="shared" si="91"/>
        <v>-7.7884541034924136E-3</v>
      </c>
      <c r="J2885" s="22" t="str">
        <f t="shared" si="92"/>
        <v>lost money</v>
      </c>
    </row>
    <row r="2886" spans="1:10">
      <c r="A2886" s="1">
        <v>41605</v>
      </c>
      <c r="B2886">
        <v>122.62</v>
      </c>
      <c r="C2886">
        <v>122.74</v>
      </c>
      <c r="D2886">
        <v>121.64</v>
      </c>
      <c r="E2886">
        <v>122.42</v>
      </c>
      <c r="F2886">
        <v>3906700</v>
      </c>
      <c r="G2886">
        <v>122.42</v>
      </c>
      <c r="H2886" t="s">
        <v>4</v>
      </c>
      <c r="I2886" s="22">
        <f t="shared" si="91"/>
        <v>-2.9363805764264523E-3</v>
      </c>
      <c r="J2886" s="22" t="str">
        <f t="shared" si="92"/>
        <v>lost money</v>
      </c>
    </row>
    <row r="2887" spans="1:10">
      <c r="A2887" s="1">
        <v>41607</v>
      </c>
      <c r="B2887">
        <v>122.83</v>
      </c>
      <c r="C2887">
        <v>123.3</v>
      </c>
      <c r="D2887">
        <v>122</v>
      </c>
      <c r="E2887">
        <v>122.44</v>
      </c>
      <c r="F2887">
        <v>3721000</v>
      </c>
      <c r="G2887">
        <v>122.44</v>
      </c>
      <c r="H2887" t="s">
        <v>4</v>
      </c>
      <c r="I2887" s="22">
        <f t="shared" si="91"/>
        <v>1.6335865428783537E-4</v>
      </c>
      <c r="J2887" s="22" t="str">
        <f t="shared" si="92"/>
        <v>lost money</v>
      </c>
    </row>
    <row r="2888" spans="1:10">
      <c r="A2888" s="1">
        <v>40911</v>
      </c>
      <c r="B2888">
        <v>37.97</v>
      </c>
      <c r="C2888">
        <v>38.46</v>
      </c>
      <c r="D2888">
        <v>37.94</v>
      </c>
      <c r="E2888">
        <v>38.31</v>
      </c>
      <c r="F2888">
        <v>9704200</v>
      </c>
      <c r="G2888">
        <v>37.270000000000003</v>
      </c>
      <c r="H2888" t="s">
        <v>14</v>
      </c>
      <c r="I2888" s="22" t="str">
        <f t="shared" si="91"/>
        <v/>
      </c>
      <c r="J2888" s="22" t="str">
        <f t="shared" si="92"/>
        <v/>
      </c>
    </row>
    <row r="2889" spans="1:10">
      <c r="A2889" s="1">
        <v>40912</v>
      </c>
      <c r="B2889">
        <v>38.19</v>
      </c>
      <c r="C2889">
        <v>38.99</v>
      </c>
      <c r="D2889">
        <v>38.119999999999997</v>
      </c>
      <c r="E2889">
        <v>38.85</v>
      </c>
      <c r="F2889">
        <v>9889900</v>
      </c>
      <c r="G2889">
        <v>37.799999999999997</v>
      </c>
      <c r="H2889" t="s">
        <v>14</v>
      </c>
      <c r="I2889" s="22">
        <f t="shared" si="91"/>
        <v>1.4120389134374819E-2</v>
      </c>
      <c r="J2889" s="22" t="str">
        <f t="shared" si="92"/>
        <v/>
      </c>
    </row>
    <row r="2890" spans="1:10">
      <c r="A2890" s="1">
        <v>40913</v>
      </c>
      <c r="B2890">
        <v>38.83</v>
      </c>
      <c r="C2890">
        <v>39.58</v>
      </c>
      <c r="D2890">
        <v>38.700000000000003</v>
      </c>
      <c r="E2890">
        <v>39.5</v>
      </c>
      <c r="F2890">
        <v>14327100</v>
      </c>
      <c r="G2890">
        <v>38.43</v>
      </c>
      <c r="H2890" t="s">
        <v>14</v>
      </c>
      <c r="I2890" s="22">
        <f t="shared" si="91"/>
        <v>1.6529301951210724E-2</v>
      </c>
      <c r="J2890" s="22" t="str">
        <f t="shared" si="92"/>
        <v/>
      </c>
    </row>
    <row r="2891" spans="1:10">
      <c r="A2891" s="1">
        <v>40914</v>
      </c>
      <c r="B2891">
        <v>39.549999999999997</v>
      </c>
      <c r="C2891">
        <v>40.15</v>
      </c>
      <c r="D2891">
        <v>39.450000000000003</v>
      </c>
      <c r="E2891">
        <v>39.909999999999997</v>
      </c>
      <c r="F2891">
        <v>14401600</v>
      </c>
      <c r="G2891">
        <v>38.83</v>
      </c>
      <c r="H2891" t="s">
        <v>14</v>
      </c>
      <c r="I2891" s="22">
        <f t="shared" si="91"/>
        <v>1.0354739166823314E-2</v>
      </c>
      <c r="J2891" s="22" t="str">
        <f t="shared" si="92"/>
        <v/>
      </c>
    </row>
    <row r="2892" spans="1:10">
      <c r="A2892" s="1">
        <v>40917</v>
      </c>
      <c r="B2892">
        <v>39.74</v>
      </c>
      <c r="C2892">
        <v>40.25</v>
      </c>
      <c r="D2892">
        <v>39.590000000000003</v>
      </c>
      <c r="E2892">
        <v>39.75</v>
      </c>
      <c r="F2892">
        <v>12145200</v>
      </c>
      <c r="G2892">
        <v>38.67</v>
      </c>
      <c r="H2892" t="s">
        <v>14</v>
      </c>
      <c r="I2892" s="22">
        <f t="shared" si="91"/>
        <v>-4.129038124370093E-3</v>
      </c>
      <c r="J2892" s="22" t="str">
        <f t="shared" si="92"/>
        <v/>
      </c>
    </row>
    <row r="2893" spans="1:10">
      <c r="A2893" s="1">
        <v>40918</v>
      </c>
      <c r="B2893">
        <v>39.479999999999997</v>
      </c>
      <c r="C2893">
        <v>39.909999999999997</v>
      </c>
      <c r="D2893">
        <v>39.159999999999997</v>
      </c>
      <c r="E2893">
        <v>39.630000000000003</v>
      </c>
      <c r="F2893">
        <v>14070900</v>
      </c>
      <c r="G2893">
        <v>38.549999999999997</v>
      </c>
      <c r="H2893" t="s">
        <v>14</v>
      </c>
      <c r="I2893" s="22">
        <f t="shared" si="91"/>
        <v>-3.1080056098673069E-3</v>
      </c>
      <c r="J2893" s="22" t="str">
        <f t="shared" si="92"/>
        <v/>
      </c>
    </row>
    <row r="2894" spans="1:10">
      <c r="A2894" s="1">
        <v>40919</v>
      </c>
      <c r="B2894">
        <v>39.39</v>
      </c>
      <c r="C2894">
        <v>39.53</v>
      </c>
      <c r="D2894">
        <v>38.450000000000003</v>
      </c>
      <c r="E2894">
        <v>38.700000000000003</v>
      </c>
      <c r="F2894">
        <v>16257600</v>
      </c>
      <c r="G2894">
        <v>37.65</v>
      </c>
      <c r="H2894" t="s">
        <v>14</v>
      </c>
      <c r="I2894" s="22">
        <f t="shared" si="91"/>
        <v>-2.3623145763435827E-2</v>
      </c>
      <c r="J2894" s="22" t="str">
        <f t="shared" si="92"/>
        <v>lost money</v>
      </c>
    </row>
    <row r="2895" spans="1:10">
      <c r="A2895" s="1">
        <v>40920</v>
      </c>
      <c r="B2895">
        <v>38.619999999999997</v>
      </c>
      <c r="C2895">
        <v>38.86</v>
      </c>
      <c r="D2895">
        <v>38.409999999999997</v>
      </c>
      <c r="E2895">
        <v>38.729999999999997</v>
      </c>
      <c r="F2895">
        <v>10073400</v>
      </c>
      <c r="G2895">
        <v>37.68</v>
      </c>
      <c r="H2895" t="s">
        <v>14</v>
      </c>
      <c r="I2895" s="22">
        <f t="shared" si="91"/>
        <v>7.9649546225985727E-4</v>
      </c>
      <c r="J2895" s="22" t="str">
        <f t="shared" si="92"/>
        <v/>
      </c>
    </row>
    <row r="2896" spans="1:10">
      <c r="A2896" s="1">
        <v>40921</v>
      </c>
      <c r="B2896">
        <v>38.47</v>
      </c>
      <c r="C2896">
        <v>38.590000000000003</v>
      </c>
      <c r="D2896">
        <v>38.020000000000003</v>
      </c>
      <c r="E2896">
        <v>38.4</v>
      </c>
      <c r="F2896">
        <v>9877700</v>
      </c>
      <c r="G2896">
        <v>37.36</v>
      </c>
      <c r="H2896" t="s">
        <v>14</v>
      </c>
      <c r="I2896" s="22">
        <f t="shared" si="91"/>
        <v>-8.5288363475204357E-3</v>
      </c>
      <c r="J2896" s="22" t="str">
        <f t="shared" si="92"/>
        <v>lost money</v>
      </c>
    </row>
    <row r="2897" spans="1:10">
      <c r="A2897" s="1">
        <v>40925</v>
      </c>
      <c r="B2897">
        <v>38.69</v>
      </c>
      <c r="C2897">
        <v>38.979999999999997</v>
      </c>
      <c r="D2897">
        <v>38.409999999999997</v>
      </c>
      <c r="E2897">
        <v>38.479999999999997</v>
      </c>
      <c r="F2897">
        <v>9142800</v>
      </c>
      <c r="G2897">
        <v>37.44</v>
      </c>
      <c r="H2897" t="s">
        <v>14</v>
      </c>
      <c r="I2897" s="22">
        <f t="shared" si="91"/>
        <v>2.1390382487494423E-3</v>
      </c>
      <c r="J2897" s="22" t="str">
        <f t="shared" si="92"/>
        <v>lost money</v>
      </c>
    </row>
    <row r="2898" spans="1:10">
      <c r="A2898" s="1">
        <v>40926</v>
      </c>
      <c r="B2898">
        <v>38.51</v>
      </c>
      <c r="C2898">
        <v>39.1</v>
      </c>
      <c r="D2898">
        <v>38.4</v>
      </c>
      <c r="E2898">
        <v>39.020000000000003</v>
      </c>
      <c r="F2898">
        <v>9594500</v>
      </c>
      <c r="G2898">
        <v>37.96</v>
      </c>
      <c r="H2898" t="s">
        <v>14</v>
      </c>
      <c r="I2898" s="22">
        <f t="shared" si="91"/>
        <v>1.3793322132335988E-2</v>
      </c>
      <c r="J2898" s="22" t="str">
        <f t="shared" si="92"/>
        <v/>
      </c>
    </row>
    <row r="2899" spans="1:10">
      <c r="A2899" s="1">
        <v>40927</v>
      </c>
      <c r="B2899">
        <v>39.01</v>
      </c>
      <c r="C2899">
        <v>39.47</v>
      </c>
      <c r="D2899">
        <v>39</v>
      </c>
      <c r="E2899">
        <v>39.44</v>
      </c>
      <c r="F2899">
        <v>7731000</v>
      </c>
      <c r="G2899">
        <v>38.369999999999997</v>
      </c>
      <c r="H2899" t="s">
        <v>14</v>
      </c>
      <c r="I2899" s="22">
        <f t="shared" si="91"/>
        <v>1.0742930517133712E-2</v>
      </c>
      <c r="J2899" s="22" t="str">
        <f t="shared" si="92"/>
        <v/>
      </c>
    </row>
    <row r="2900" spans="1:10">
      <c r="A2900" s="1">
        <v>40928</v>
      </c>
      <c r="B2900">
        <v>39.42</v>
      </c>
      <c r="C2900">
        <v>39.44</v>
      </c>
      <c r="D2900">
        <v>39.1</v>
      </c>
      <c r="E2900">
        <v>39.31</v>
      </c>
      <c r="F2900">
        <v>7879900</v>
      </c>
      <c r="G2900">
        <v>38.24</v>
      </c>
      <c r="H2900" t="s">
        <v>14</v>
      </c>
      <c r="I2900" s="22">
        <f t="shared" si="91"/>
        <v>-3.3938160756603153E-3</v>
      </c>
      <c r="J2900" s="22" t="str">
        <f t="shared" si="92"/>
        <v>lost money</v>
      </c>
    </row>
    <row r="2901" spans="1:10">
      <c r="A2901" s="1">
        <v>40931</v>
      </c>
      <c r="B2901">
        <v>39.380000000000003</v>
      </c>
      <c r="C2901">
        <v>39.5</v>
      </c>
      <c r="D2901">
        <v>38.96</v>
      </c>
      <c r="E2901">
        <v>39.25</v>
      </c>
      <c r="F2901">
        <v>7124600</v>
      </c>
      <c r="G2901">
        <v>38.18</v>
      </c>
      <c r="H2901" t="s">
        <v>14</v>
      </c>
      <c r="I2901" s="22">
        <f t="shared" si="91"/>
        <v>-1.5702698855990754E-3</v>
      </c>
      <c r="J2901" s="22" t="str">
        <f t="shared" si="92"/>
        <v>lost money</v>
      </c>
    </row>
    <row r="2902" spans="1:10">
      <c r="A2902" s="1">
        <v>40932</v>
      </c>
      <c r="B2902">
        <v>39.03</v>
      </c>
      <c r="C2902">
        <v>39.270000000000003</v>
      </c>
      <c r="D2902">
        <v>38.57</v>
      </c>
      <c r="E2902">
        <v>39.25</v>
      </c>
      <c r="F2902">
        <v>9407000</v>
      </c>
      <c r="G2902">
        <v>38.18</v>
      </c>
      <c r="H2902" t="s">
        <v>14</v>
      </c>
      <c r="I2902" s="22">
        <f t="shared" si="91"/>
        <v>0</v>
      </c>
      <c r="J2902" s="22" t="str">
        <f t="shared" si="92"/>
        <v/>
      </c>
    </row>
    <row r="2903" spans="1:10">
      <c r="A2903" s="1">
        <v>40933</v>
      </c>
      <c r="B2903">
        <v>39.119999999999997</v>
      </c>
      <c r="C2903">
        <v>39.68</v>
      </c>
      <c r="D2903">
        <v>38.96</v>
      </c>
      <c r="E2903">
        <v>39.56</v>
      </c>
      <c r="F2903">
        <v>10054000</v>
      </c>
      <c r="G2903">
        <v>38.49</v>
      </c>
      <c r="H2903" t="s">
        <v>14</v>
      </c>
      <c r="I2903" s="22">
        <f t="shared" si="91"/>
        <v>8.0866489980532287E-3</v>
      </c>
      <c r="J2903" s="22" t="str">
        <f t="shared" si="92"/>
        <v/>
      </c>
    </row>
    <row r="2904" spans="1:10">
      <c r="A2904" s="1">
        <v>40934</v>
      </c>
      <c r="B2904">
        <v>39.590000000000003</v>
      </c>
      <c r="C2904">
        <v>39.75</v>
      </c>
      <c r="D2904">
        <v>39.06</v>
      </c>
      <c r="E2904">
        <v>39.35</v>
      </c>
      <c r="F2904">
        <v>7162600</v>
      </c>
      <c r="G2904">
        <v>38.28</v>
      </c>
      <c r="H2904" t="s">
        <v>14</v>
      </c>
      <c r="I2904" s="22">
        <f t="shared" si="91"/>
        <v>-5.4709007109012284E-3</v>
      </c>
      <c r="J2904" s="22" t="str">
        <f t="shared" si="92"/>
        <v>lost money</v>
      </c>
    </row>
    <row r="2905" spans="1:10">
      <c r="A2905" s="1">
        <v>40935</v>
      </c>
      <c r="B2905">
        <v>39.270000000000003</v>
      </c>
      <c r="C2905">
        <v>39.5</v>
      </c>
      <c r="D2905">
        <v>38.979999999999997</v>
      </c>
      <c r="E2905">
        <v>39.25</v>
      </c>
      <c r="F2905">
        <v>9588400</v>
      </c>
      <c r="G2905">
        <v>38.18</v>
      </c>
      <c r="H2905" t="s">
        <v>14</v>
      </c>
      <c r="I2905" s="22">
        <f t="shared" si="91"/>
        <v>-2.6157482871519899E-3</v>
      </c>
      <c r="J2905" s="22" t="str">
        <f t="shared" si="92"/>
        <v>lost money</v>
      </c>
    </row>
    <row r="2906" spans="1:10">
      <c r="A2906" s="1">
        <v>40938</v>
      </c>
      <c r="B2906">
        <v>38.74</v>
      </c>
      <c r="C2906">
        <v>39.11</v>
      </c>
      <c r="D2906">
        <v>38.380000000000003</v>
      </c>
      <c r="E2906">
        <v>38.99</v>
      </c>
      <c r="F2906">
        <v>8683200</v>
      </c>
      <c r="G2906">
        <v>37.93</v>
      </c>
      <c r="H2906" t="s">
        <v>14</v>
      </c>
      <c r="I2906" s="22">
        <f t="shared" si="91"/>
        <v>-6.5694625967939952E-3</v>
      </c>
      <c r="J2906" s="22" t="str">
        <f t="shared" si="92"/>
        <v/>
      </c>
    </row>
    <row r="2907" spans="1:10">
      <c r="A2907" s="1">
        <v>40939</v>
      </c>
      <c r="B2907">
        <v>39.08</v>
      </c>
      <c r="C2907">
        <v>39.31</v>
      </c>
      <c r="D2907">
        <v>38.659999999999997</v>
      </c>
      <c r="E2907">
        <v>38.9</v>
      </c>
      <c r="F2907">
        <v>14020100</v>
      </c>
      <c r="G2907">
        <v>37.840000000000003</v>
      </c>
      <c r="H2907" t="s">
        <v>14</v>
      </c>
      <c r="I2907" s="22">
        <f t="shared" si="91"/>
        <v>-2.3756115171299583E-3</v>
      </c>
      <c r="J2907" s="22" t="str">
        <f t="shared" si="92"/>
        <v>lost money</v>
      </c>
    </row>
    <row r="2908" spans="1:10">
      <c r="A2908" s="1">
        <v>40940</v>
      </c>
      <c r="B2908">
        <v>39.25</v>
      </c>
      <c r="C2908">
        <v>39.67</v>
      </c>
      <c r="D2908">
        <v>39.159999999999997</v>
      </c>
      <c r="E2908">
        <v>39.33</v>
      </c>
      <c r="F2908">
        <v>8901000</v>
      </c>
      <c r="G2908">
        <v>38.26</v>
      </c>
      <c r="H2908" t="s">
        <v>14</v>
      </c>
      <c r="I2908" s="22">
        <f t="shared" si="91"/>
        <v>1.1038219828429249E-2</v>
      </c>
      <c r="J2908" s="22" t="str">
        <f t="shared" si="92"/>
        <v/>
      </c>
    </row>
    <row r="2909" spans="1:10">
      <c r="A2909" s="1">
        <v>40941</v>
      </c>
      <c r="B2909">
        <v>39.22</v>
      </c>
      <c r="C2909">
        <v>39.25</v>
      </c>
      <c r="D2909">
        <v>38.56</v>
      </c>
      <c r="E2909">
        <v>38.909999999999997</v>
      </c>
      <c r="F2909">
        <v>9076800</v>
      </c>
      <c r="G2909">
        <v>37.85</v>
      </c>
      <c r="H2909" t="s">
        <v>14</v>
      </c>
      <c r="I2909" s="22">
        <f t="shared" si="91"/>
        <v>-1.077398412864892E-2</v>
      </c>
      <c r="J2909" s="22" t="str">
        <f t="shared" si="92"/>
        <v>lost money</v>
      </c>
    </row>
    <row r="2910" spans="1:10">
      <c r="A2910" s="1">
        <v>40942</v>
      </c>
      <c r="B2910">
        <v>39.43</v>
      </c>
      <c r="C2910">
        <v>40</v>
      </c>
      <c r="D2910">
        <v>39.36</v>
      </c>
      <c r="E2910">
        <v>40</v>
      </c>
      <c r="F2910">
        <v>11605300</v>
      </c>
      <c r="G2910">
        <v>38.909999999999997</v>
      </c>
      <c r="H2910" t="s">
        <v>14</v>
      </c>
      <c r="I2910" s="22">
        <f t="shared" si="91"/>
        <v>2.762030711300438E-2</v>
      </c>
      <c r="J2910" s="22" t="str">
        <f t="shared" si="92"/>
        <v/>
      </c>
    </row>
    <row r="2911" spans="1:10">
      <c r="A2911" s="1">
        <v>40945</v>
      </c>
      <c r="B2911">
        <v>40</v>
      </c>
      <c r="C2911">
        <v>40.590000000000003</v>
      </c>
      <c r="D2911">
        <v>39.96</v>
      </c>
      <c r="E2911">
        <v>40.46</v>
      </c>
      <c r="F2911">
        <v>11536500</v>
      </c>
      <c r="G2911">
        <v>39.36</v>
      </c>
      <c r="H2911" t="s">
        <v>14</v>
      </c>
      <c r="I2911" s="22">
        <f t="shared" si="91"/>
        <v>1.1498785187590448E-2</v>
      </c>
      <c r="J2911" s="22" t="str">
        <f t="shared" si="92"/>
        <v/>
      </c>
    </row>
    <row r="2912" spans="1:10">
      <c r="A2912" s="1">
        <v>40946</v>
      </c>
      <c r="B2912">
        <v>40.729999999999997</v>
      </c>
      <c r="C2912">
        <v>41.15</v>
      </c>
      <c r="D2912">
        <v>40.200000000000003</v>
      </c>
      <c r="E2912">
        <v>40.98</v>
      </c>
      <c r="F2912">
        <v>20107300</v>
      </c>
      <c r="G2912">
        <v>39.869999999999997</v>
      </c>
      <c r="H2912" t="s">
        <v>14</v>
      </c>
      <c r="I2912" s="22">
        <f t="shared" si="91"/>
        <v>1.2874089209210963E-2</v>
      </c>
      <c r="J2912" s="22" t="str">
        <f t="shared" si="92"/>
        <v/>
      </c>
    </row>
    <row r="2913" spans="1:10">
      <c r="A2913" s="1">
        <v>40947</v>
      </c>
      <c r="B2913">
        <v>41.37</v>
      </c>
      <c r="C2913">
        <v>41.91</v>
      </c>
      <c r="D2913">
        <v>40.99</v>
      </c>
      <c r="E2913">
        <v>41.27</v>
      </c>
      <c r="F2913">
        <v>21690200</v>
      </c>
      <c r="G2913">
        <v>40.15</v>
      </c>
      <c r="H2913" t="s">
        <v>14</v>
      </c>
      <c r="I2913" s="22">
        <f t="shared" si="91"/>
        <v>6.9982789995069964E-3</v>
      </c>
      <c r="J2913" s="22" t="str">
        <f t="shared" si="92"/>
        <v>lost money</v>
      </c>
    </row>
    <row r="2914" spans="1:10">
      <c r="A2914" s="1">
        <v>40948</v>
      </c>
      <c r="B2914">
        <v>40.75</v>
      </c>
      <c r="C2914">
        <v>41.64</v>
      </c>
      <c r="D2914">
        <v>40.549999999999997</v>
      </c>
      <c r="E2914">
        <v>41.53</v>
      </c>
      <c r="F2914">
        <v>13581000</v>
      </c>
      <c r="G2914">
        <v>40.4</v>
      </c>
      <c r="H2914" t="s">
        <v>14</v>
      </c>
      <c r="I2914" s="22">
        <f t="shared" si="91"/>
        <v>6.2073445743337308E-3</v>
      </c>
      <c r="J2914" s="22" t="str">
        <f t="shared" si="92"/>
        <v/>
      </c>
    </row>
    <row r="2915" spans="1:10">
      <c r="A2915" s="1">
        <v>40949</v>
      </c>
      <c r="B2915">
        <v>40.94</v>
      </c>
      <c r="C2915">
        <v>41.45</v>
      </c>
      <c r="D2915">
        <v>40.83</v>
      </c>
      <c r="E2915">
        <v>41.45</v>
      </c>
      <c r="F2915">
        <v>10116300</v>
      </c>
      <c r="G2915">
        <v>40.33</v>
      </c>
      <c r="H2915" t="s">
        <v>14</v>
      </c>
      <c r="I2915" s="22">
        <f t="shared" si="91"/>
        <v>-1.7341760818276105E-3</v>
      </c>
      <c r="J2915" s="22" t="str">
        <f t="shared" si="92"/>
        <v/>
      </c>
    </row>
    <row r="2916" spans="1:10">
      <c r="A2916" s="1">
        <v>40952</v>
      </c>
      <c r="B2916">
        <v>41.62</v>
      </c>
      <c r="C2916">
        <v>41.92</v>
      </c>
      <c r="D2916">
        <v>41.59</v>
      </c>
      <c r="E2916">
        <v>41.79</v>
      </c>
      <c r="F2916">
        <v>9065800</v>
      </c>
      <c r="G2916">
        <v>40.659999999999997</v>
      </c>
      <c r="H2916" t="s">
        <v>14</v>
      </c>
      <c r="I2916" s="22">
        <f t="shared" si="91"/>
        <v>8.1491993149237427E-3</v>
      </c>
      <c r="J2916" s="22" t="str">
        <f t="shared" si="92"/>
        <v/>
      </c>
    </row>
    <row r="2917" spans="1:10">
      <c r="A2917" s="1">
        <v>40953</v>
      </c>
      <c r="B2917">
        <v>41.5</v>
      </c>
      <c r="C2917">
        <v>41.62</v>
      </c>
      <c r="D2917">
        <v>41.26</v>
      </c>
      <c r="E2917">
        <v>41.6</v>
      </c>
      <c r="F2917">
        <v>8210300</v>
      </c>
      <c r="G2917">
        <v>40.47</v>
      </c>
      <c r="H2917" t="s">
        <v>14</v>
      </c>
      <c r="I2917" s="22">
        <f t="shared" si="91"/>
        <v>-4.6838493124263143E-3</v>
      </c>
      <c r="J2917" s="22" t="str">
        <f t="shared" si="92"/>
        <v/>
      </c>
    </row>
    <row r="2918" spans="1:10">
      <c r="A2918" s="1">
        <v>40954</v>
      </c>
      <c r="B2918">
        <v>41.48</v>
      </c>
      <c r="C2918">
        <v>41.75</v>
      </c>
      <c r="D2918">
        <v>41.13</v>
      </c>
      <c r="E2918">
        <v>41.25</v>
      </c>
      <c r="F2918">
        <v>7891200</v>
      </c>
      <c r="G2918">
        <v>40.130000000000003</v>
      </c>
      <c r="H2918" t="s">
        <v>14</v>
      </c>
      <c r="I2918" s="22">
        <f t="shared" si="91"/>
        <v>-8.4367746089487865E-3</v>
      </c>
      <c r="J2918" s="22" t="str">
        <f t="shared" si="92"/>
        <v>lost money</v>
      </c>
    </row>
    <row r="2919" spans="1:10">
      <c r="A2919" s="1">
        <v>40955</v>
      </c>
      <c r="B2919">
        <v>41.23</v>
      </c>
      <c r="C2919">
        <v>41.73</v>
      </c>
      <c r="D2919">
        <v>41.08</v>
      </c>
      <c r="E2919">
        <v>41.54</v>
      </c>
      <c r="F2919">
        <v>7464500</v>
      </c>
      <c r="G2919">
        <v>40.409999999999997</v>
      </c>
      <c r="H2919" t="s">
        <v>14</v>
      </c>
      <c r="I2919" s="22">
        <f t="shared" si="91"/>
        <v>6.9530948115567115E-3</v>
      </c>
      <c r="J2919" s="22" t="str">
        <f t="shared" si="92"/>
        <v/>
      </c>
    </row>
    <row r="2920" spans="1:10">
      <c r="A2920" s="1">
        <v>40956</v>
      </c>
      <c r="B2920">
        <v>41.71</v>
      </c>
      <c r="C2920">
        <v>41.86</v>
      </c>
      <c r="D2920">
        <v>41.55</v>
      </c>
      <c r="E2920">
        <v>41.75</v>
      </c>
      <c r="F2920">
        <v>7758700</v>
      </c>
      <c r="G2920">
        <v>40.619999999999997</v>
      </c>
      <c r="H2920" t="s">
        <v>14</v>
      </c>
      <c r="I2920" s="22">
        <f t="shared" si="91"/>
        <v>5.1832770618563733E-3</v>
      </c>
      <c r="J2920" s="22" t="str">
        <f t="shared" si="92"/>
        <v/>
      </c>
    </row>
    <row r="2921" spans="1:10">
      <c r="A2921" s="1">
        <v>40960</v>
      </c>
      <c r="B2921">
        <v>41.8</v>
      </c>
      <c r="C2921">
        <v>41.9</v>
      </c>
      <c r="D2921">
        <v>41.49</v>
      </c>
      <c r="E2921">
        <v>41.57</v>
      </c>
      <c r="F2921">
        <v>5675100</v>
      </c>
      <c r="G2921">
        <v>40.44</v>
      </c>
      <c r="H2921" t="s">
        <v>14</v>
      </c>
      <c r="I2921" s="22">
        <f t="shared" si="91"/>
        <v>-4.4411619999679365E-3</v>
      </c>
      <c r="J2921" s="22" t="str">
        <f t="shared" si="92"/>
        <v>lost money</v>
      </c>
    </row>
    <row r="2922" spans="1:10">
      <c r="A2922" s="1">
        <v>40961</v>
      </c>
      <c r="B2922">
        <v>41.55</v>
      </c>
      <c r="C2922">
        <v>41.71</v>
      </c>
      <c r="D2922">
        <v>41.15</v>
      </c>
      <c r="E2922">
        <v>41.27</v>
      </c>
      <c r="F2922">
        <v>6176200</v>
      </c>
      <c r="G2922">
        <v>40.15</v>
      </c>
      <c r="H2922" t="s">
        <v>14</v>
      </c>
      <c r="I2922" s="22">
        <f t="shared" si="91"/>
        <v>-7.1969537595000218E-3</v>
      </c>
      <c r="J2922" s="22" t="str">
        <f t="shared" si="92"/>
        <v>lost money</v>
      </c>
    </row>
    <row r="2923" spans="1:10">
      <c r="A2923" s="1">
        <v>40962</v>
      </c>
      <c r="B2923">
        <v>41.28</v>
      </c>
      <c r="C2923">
        <v>41.67</v>
      </c>
      <c r="D2923">
        <v>41.09</v>
      </c>
      <c r="E2923">
        <v>41.48</v>
      </c>
      <c r="F2923">
        <v>6271000</v>
      </c>
      <c r="G2923">
        <v>40.35</v>
      </c>
      <c r="H2923" t="s">
        <v>14</v>
      </c>
      <c r="I2923" s="22">
        <f t="shared" si="91"/>
        <v>4.968954323187144E-3</v>
      </c>
      <c r="J2923" s="22" t="str">
        <f t="shared" si="92"/>
        <v/>
      </c>
    </row>
    <row r="2924" spans="1:10">
      <c r="A2924" s="1">
        <v>40963</v>
      </c>
      <c r="B2924">
        <v>41.44</v>
      </c>
      <c r="C2924">
        <v>41.58</v>
      </c>
      <c r="D2924">
        <v>41.23</v>
      </c>
      <c r="E2924">
        <v>41.31</v>
      </c>
      <c r="F2924">
        <v>6150600</v>
      </c>
      <c r="G2924">
        <v>40.19</v>
      </c>
      <c r="H2924" t="s">
        <v>14</v>
      </c>
      <c r="I2924" s="22">
        <f t="shared" si="91"/>
        <v>-3.9731862548481947E-3</v>
      </c>
      <c r="J2924" s="22" t="str">
        <f t="shared" si="92"/>
        <v>lost money</v>
      </c>
    </row>
    <row r="2925" spans="1:10">
      <c r="A2925" s="1">
        <v>40966</v>
      </c>
      <c r="B2925">
        <v>41.7</v>
      </c>
      <c r="C2925">
        <v>41.95</v>
      </c>
      <c r="D2925">
        <v>41.3</v>
      </c>
      <c r="E2925">
        <v>41.64</v>
      </c>
      <c r="F2925">
        <v>9132300</v>
      </c>
      <c r="G2925">
        <v>40.51</v>
      </c>
      <c r="H2925" t="s">
        <v>14</v>
      </c>
      <c r="I2925" s="22">
        <f t="shared" si="91"/>
        <v>7.9306487534893944E-3</v>
      </c>
      <c r="J2925" s="22" t="str">
        <f t="shared" si="92"/>
        <v>lost money</v>
      </c>
    </row>
    <row r="2926" spans="1:10">
      <c r="A2926" s="1">
        <v>40967</v>
      </c>
      <c r="B2926">
        <v>41.75</v>
      </c>
      <c r="C2926">
        <v>41.97</v>
      </c>
      <c r="D2926">
        <v>41.55</v>
      </c>
      <c r="E2926">
        <v>41.93</v>
      </c>
      <c r="F2926">
        <v>6895200</v>
      </c>
      <c r="G2926">
        <v>40.79</v>
      </c>
      <c r="H2926" t="s">
        <v>14</v>
      </c>
      <c r="I2926" s="22">
        <f t="shared" si="91"/>
        <v>6.8880961148678893E-3</v>
      </c>
      <c r="J2926" s="22" t="str">
        <f t="shared" si="92"/>
        <v/>
      </c>
    </row>
    <row r="2927" spans="1:10">
      <c r="A2927" s="1">
        <v>40968</v>
      </c>
      <c r="B2927">
        <v>41.87</v>
      </c>
      <c r="C2927">
        <v>42.37</v>
      </c>
      <c r="D2927">
        <v>41.85</v>
      </c>
      <c r="E2927">
        <v>41.99</v>
      </c>
      <c r="F2927">
        <v>14858700</v>
      </c>
      <c r="G2927">
        <v>40.85</v>
      </c>
      <c r="H2927" t="s">
        <v>14</v>
      </c>
      <c r="I2927" s="22">
        <f t="shared" si="91"/>
        <v>1.4698679765448759E-3</v>
      </c>
      <c r="J2927" s="22" t="str">
        <f t="shared" si="92"/>
        <v/>
      </c>
    </row>
    <row r="2928" spans="1:10">
      <c r="A2928" s="1">
        <v>40969</v>
      </c>
      <c r="B2928">
        <v>42.13</v>
      </c>
      <c r="C2928">
        <v>42.54</v>
      </c>
      <c r="D2928">
        <v>42.13</v>
      </c>
      <c r="E2928">
        <v>42.39</v>
      </c>
      <c r="F2928">
        <v>7995900</v>
      </c>
      <c r="G2928">
        <v>41.24</v>
      </c>
      <c r="H2928" t="s">
        <v>14</v>
      </c>
      <c r="I2928" s="22">
        <f t="shared" si="91"/>
        <v>9.5018378427474022E-3</v>
      </c>
      <c r="J2928" s="22" t="str">
        <f t="shared" si="92"/>
        <v/>
      </c>
    </row>
    <row r="2929" spans="1:10">
      <c r="A2929" s="1">
        <v>40970</v>
      </c>
      <c r="B2929">
        <v>42.26</v>
      </c>
      <c r="C2929">
        <v>42.53</v>
      </c>
      <c r="D2929">
        <v>42.04</v>
      </c>
      <c r="E2929">
        <v>42.36</v>
      </c>
      <c r="F2929">
        <v>5070500</v>
      </c>
      <c r="G2929">
        <v>41.21</v>
      </c>
      <c r="H2929" t="s">
        <v>14</v>
      </c>
      <c r="I2929" s="22">
        <f t="shared" si="91"/>
        <v>-7.2771379803317281E-4</v>
      </c>
      <c r="J2929" s="22" t="str">
        <f t="shared" si="92"/>
        <v/>
      </c>
    </row>
    <row r="2930" spans="1:10">
      <c r="A2930" s="1">
        <v>40973</v>
      </c>
      <c r="B2930">
        <v>42.35</v>
      </c>
      <c r="C2930">
        <v>42.77</v>
      </c>
      <c r="D2930">
        <v>42.11</v>
      </c>
      <c r="E2930">
        <v>42.7</v>
      </c>
      <c r="F2930">
        <v>9288800</v>
      </c>
      <c r="G2930">
        <v>41.54</v>
      </c>
      <c r="H2930" t="s">
        <v>14</v>
      </c>
      <c r="I2930" s="22">
        <f t="shared" si="91"/>
        <v>7.9758730972401479E-3</v>
      </c>
      <c r="J2930" s="22" t="str">
        <f t="shared" si="92"/>
        <v/>
      </c>
    </row>
    <row r="2931" spans="1:10">
      <c r="A2931" s="1">
        <v>40974</v>
      </c>
      <c r="B2931">
        <v>42.24</v>
      </c>
      <c r="C2931">
        <v>42.32</v>
      </c>
      <c r="D2931">
        <v>41.73</v>
      </c>
      <c r="E2931">
        <v>42</v>
      </c>
      <c r="F2931">
        <v>10434500</v>
      </c>
      <c r="G2931">
        <v>40.86</v>
      </c>
      <c r="H2931" t="s">
        <v>14</v>
      </c>
      <c r="I2931" s="22">
        <f t="shared" si="91"/>
        <v>-1.6505229058490268E-2</v>
      </c>
      <c r="J2931" s="22" t="str">
        <f t="shared" si="92"/>
        <v>lost money</v>
      </c>
    </row>
    <row r="2932" spans="1:10">
      <c r="A2932" s="1">
        <v>40975</v>
      </c>
      <c r="B2932">
        <v>42</v>
      </c>
      <c r="C2932">
        <v>42.07</v>
      </c>
      <c r="D2932">
        <v>41.7</v>
      </c>
      <c r="E2932">
        <v>41.75</v>
      </c>
      <c r="F2932">
        <v>7793500</v>
      </c>
      <c r="G2932">
        <v>40.619999999999997</v>
      </c>
      <c r="H2932" t="s">
        <v>14</v>
      </c>
      <c r="I2932" s="22">
        <f t="shared" si="91"/>
        <v>-5.8910332372374193E-3</v>
      </c>
      <c r="J2932" s="22" t="str">
        <f t="shared" si="92"/>
        <v>lost money</v>
      </c>
    </row>
    <row r="2933" spans="1:10">
      <c r="A2933" s="1">
        <v>40976</v>
      </c>
      <c r="B2933">
        <v>41.99</v>
      </c>
      <c r="C2933">
        <v>42.32</v>
      </c>
      <c r="D2933">
        <v>41.95</v>
      </c>
      <c r="E2933">
        <v>42.02</v>
      </c>
      <c r="F2933">
        <v>6163800</v>
      </c>
      <c r="G2933">
        <v>40.880000000000003</v>
      </c>
      <c r="H2933" t="s">
        <v>14</v>
      </c>
      <c r="I2933" s="22">
        <f t="shared" si="91"/>
        <v>6.3803897432104456E-3</v>
      </c>
      <c r="J2933" s="22" t="str">
        <f t="shared" si="92"/>
        <v/>
      </c>
    </row>
    <row r="2934" spans="1:10">
      <c r="A2934" s="1">
        <v>40977</v>
      </c>
      <c r="B2934">
        <v>42.12</v>
      </c>
      <c r="C2934">
        <v>42.57</v>
      </c>
      <c r="D2934">
        <v>42.03</v>
      </c>
      <c r="E2934">
        <v>42.24</v>
      </c>
      <c r="F2934">
        <v>6896400</v>
      </c>
      <c r="G2934">
        <v>41.09</v>
      </c>
      <c r="H2934" t="s">
        <v>14</v>
      </c>
      <c r="I2934" s="22">
        <f t="shared" si="91"/>
        <v>5.1238369998694664E-3</v>
      </c>
      <c r="J2934" s="22" t="str">
        <f t="shared" si="92"/>
        <v/>
      </c>
    </row>
    <row r="2935" spans="1:10">
      <c r="A2935" s="1">
        <v>40980</v>
      </c>
      <c r="B2935">
        <v>42.53</v>
      </c>
      <c r="C2935">
        <v>42.85</v>
      </c>
      <c r="D2935">
        <v>42.15</v>
      </c>
      <c r="E2935">
        <v>42.34</v>
      </c>
      <c r="F2935">
        <v>6834500</v>
      </c>
      <c r="G2935">
        <v>41.19</v>
      </c>
      <c r="H2935" t="s">
        <v>14</v>
      </c>
      <c r="I2935" s="22">
        <f t="shared" si="91"/>
        <v>2.4307255526709575E-3</v>
      </c>
      <c r="J2935" s="22" t="str">
        <f t="shared" si="92"/>
        <v>lost money</v>
      </c>
    </row>
    <row r="2936" spans="1:10">
      <c r="A2936" s="1">
        <v>40981</v>
      </c>
      <c r="B2936">
        <v>42.55</v>
      </c>
      <c r="C2936">
        <v>44.08</v>
      </c>
      <c r="D2936">
        <v>42.43</v>
      </c>
      <c r="E2936">
        <v>44.01</v>
      </c>
      <c r="F2936">
        <v>15051900</v>
      </c>
      <c r="G2936">
        <v>42.82</v>
      </c>
      <c r="H2936" t="s">
        <v>14</v>
      </c>
      <c r="I2936" s="22">
        <f t="shared" si="91"/>
        <v>3.8809774713547351E-2</v>
      </c>
      <c r="J2936" s="22" t="str">
        <f t="shared" si="92"/>
        <v/>
      </c>
    </row>
    <row r="2937" spans="1:10">
      <c r="A2937" s="1">
        <v>40982</v>
      </c>
      <c r="B2937">
        <v>43.59</v>
      </c>
      <c r="C2937">
        <v>43.7</v>
      </c>
      <c r="D2937">
        <v>42.9</v>
      </c>
      <c r="E2937">
        <v>43.48</v>
      </c>
      <c r="F2937">
        <v>10991300</v>
      </c>
      <c r="G2937">
        <v>42.3</v>
      </c>
      <c r="H2937" t="s">
        <v>14</v>
      </c>
      <c r="I2937" s="22">
        <f t="shared" si="91"/>
        <v>-1.2218197109304501E-2</v>
      </c>
      <c r="J2937" s="22" t="str">
        <f t="shared" si="92"/>
        <v>lost money</v>
      </c>
    </row>
    <row r="2938" spans="1:10">
      <c r="A2938" s="1">
        <v>40983</v>
      </c>
      <c r="B2938">
        <v>43.5</v>
      </c>
      <c r="C2938">
        <v>43.5</v>
      </c>
      <c r="D2938">
        <v>43.17</v>
      </c>
      <c r="E2938">
        <v>43.47</v>
      </c>
      <c r="F2938">
        <v>6123600</v>
      </c>
      <c r="G2938">
        <v>42.29</v>
      </c>
      <c r="H2938" t="s">
        <v>14</v>
      </c>
      <c r="I2938" s="22">
        <f t="shared" si="91"/>
        <v>-2.3643456783501801E-4</v>
      </c>
      <c r="J2938" s="22" t="str">
        <f t="shared" si="92"/>
        <v>lost money</v>
      </c>
    </row>
    <row r="2939" spans="1:10">
      <c r="A2939" s="1">
        <v>40984</v>
      </c>
      <c r="B2939">
        <v>43.42</v>
      </c>
      <c r="C2939">
        <v>43.52</v>
      </c>
      <c r="D2939">
        <v>43.18</v>
      </c>
      <c r="E2939">
        <v>43.19</v>
      </c>
      <c r="F2939">
        <v>8952100</v>
      </c>
      <c r="G2939">
        <v>42.02</v>
      </c>
      <c r="H2939" t="s">
        <v>14</v>
      </c>
      <c r="I2939" s="22">
        <f t="shared" si="91"/>
        <v>-6.4049560675427048E-3</v>
      </c>
      <c r="J2939" s="22" t="str">
        <f t="shared" si="92"/>
        <v>lost money</v>
      </c>
    </row>
    <row r="2940" spans="1:10">
      <c r="A2940" s="1">
        <v>40987</v>
      </c>
      <c r="B2940">
        <v>43.07</v>
      </c>
      <c r="C2940">
        <v>43.58</v>
      </c>
      <c r="D2940">
        <v>42.95</v>
      </c>
      <c r="E2940">
        <v>43.44</v>
      </c>
      <c r="F2940">
        <v>6382500</v>
      </c>
      <c r="G2940">
        <v>42.26</v>
      </c>
      <c r="H2940" t="s">
        <v>14</v>
      </c>
      <c r="I2940" s="22">
        <f t="shared" si="91"/>
        <v>5.6953167710561484E-3</v>
      </c>
      <c r="J2940" s="22" t="str">
        <f t="shared" si="92"/>
        <v/>
      </c>
    </row>
    <row r="2941" spans="1:10">
      <c r="A2941" s="1">
        <v>40988</v>
      </c>
      <c r="B2941">
        <v>43</v>
      </c>
      <c r="C2941">
        <v>43.31</v>
      </c>
      <c r="D2941">
        <v>42.93</v>
      </c>
      <c r="E2941">
        <v>43.24</v>
      </c>
      <c r="F2941">
        <v>6853900</v>
      </c>
      <c r="G2941">
        <v>42.07</v>
      </c>
      <c r="H2941" t="s">
        <v>14</v>
      </c>
      <c r="I2941" s="22">
        <f t="shared" si="91"/>
        <v>-4.506114585481091E-3</v>
      </c>
      <c r="J2941" s="22" t="str">
        <f t="shared" si="92"/>
        <v/>
      </c>
    </row>
    <row r="2942" spans="1:10">
      <c r="A2942" s="1">
        <v>40989</v>
      </c>
      <c r="B2942">
        <v>43.42</v>
      </c>
      <c r="C2942">
        <v>43.87</v>
      </c>
      <c r="D2942">
        <v>43.27</v>
      </c>
      <c r="E2942">
        <v>43.27</v>
      </c>
      <c r="F2942">
        <v>9582000</v>
      </c>
      <c r="G2942">
        <v>42.1</v>
      </c>
      <c r="H2942" t="s">
        <v>14</v>
      </c>
      <c r="I2942" s="22">
        <f t="shared" si="91"/>
        <v>7.1284308590624827E-4</v>
      </c>
      <c r="J2942" s="22" t="str">
        <f t="shared" si="92"/>
        <v>lost money</v>
      </c>
    </row>
    <row r="2943" spans="1:10">
      <c r="A2943" s="1">
        <v>40990</v>
      </c>
      <c r="B2943">
        <v>43.08</v>
      </c>
      <c r="C2943">
        <v>43.4</v>
      </c>
      <c r="D2943">
        <v>43.01</v>
      </c>
      <c r="E2943">
        <v>43.29</v>
      </c>
      <c r="F2943">
        <v>8560200</v>
      </c>
      <c r="G2943">
        <v>42.12</v>
      </c>
      <c r="H2943" t="s">
        <v>14</v>
      </c>
      <c r="I2943" s="22">
        <f t="shared" si="91"/>
        <v>4.7494657743897605E-4</v>
      </c>
      <c r="J2943" s="22" t="str">
        <f t="shared" si="92"/>
        <v/>
      </c>
    </row>
    <row r="2944" spans="1:10">
      <c r="A2944" s="1">
        <v>40991</v>
      </c>
      <c r="B2944">
        <v>43.33</v>
      </c>
      <c r="C2944">
        <v>43.71</v>
      </c>
      <c r="D2944">
        <v>42.86</v>
      </c>
      <c r="E2944">
        <v>43.65</v>
      </c>
      <c r="F2944">
        <v>8519000</v>
      </c>
      <c r="G2944">
        <v>42.47</v>
      </c>
      <c r="H2944" t="s">
        <v>14</v>
      </c>
      <c r="I2944" s="22">
        <f t="shared" si="91"/>
        <v>8.2752570594050601E-3</v>
      </c>
      <c r="J2944" s="22" t="str">
        <f t="shared" si="92"/>
        <v/>
      </c>
    </row>
    <row r="2945" spans="1:10">
      <c r="A2945" s="1">
        <v>40994</v>
      </c>
      <c r="B2945">
        <v>43.94</v>
      </c>
      <c r="C2945">
        <v>44.41</v>
      </c>
      <c r="D2945">
        <v>43.92</v>
      </c>
      <c r="E2945">
        <v>44.38</v>
      </c>
      <c r="F2945">
        <v>10850200</v>
      </c>
      <c r="G2945">
        <v>43.18</v>
      </c>
      <c r="H2945" t="s">
        <v>14</v>
      </c>
      <c r="I2945" s="22">
        <f t="shared" si="91"/>
        <v>1.657948076148142E-2</v>
      </c>
      <c r="J2945" s="22" t="str">
        <f t="shared" si="92"/>
        <v/>
      </c>
    </row>
    <row r="2946" spans="1:10">
      <c r="A2946" s="1">
        <v>40995</v>
      </c>
      <c r="B2946">
        <v>44.39</v>
      </c>
      <c r="C2946">
        <v>44.5</v>
      </c>
      <c r="D2946">
        <v>44.09</v>
      </c>
      <c r="E2946">
        <v>44.15</v>
      </c>
      <c r="F2946">
        <v>9343100</v>
      </c>
      <c r="G2946">
        <v>42.95</v>
      </c>
      <c r="H2946" t="s">
        <v>14</v>
      </c>
      <c r="I2946" s="22">
        <f t="shared" si="91"/>
        <v>-5.3407766563968676E-3</v>
      </c>
      <c r="J2946" s="22" t="str">
        <f t="shared" si="92"/>
        <v>lost money</v>
      </c>
    </row>
    <row r="2947" spans="1:10">
      <c r="A2947" s="1">
        <v>40996</v>
      </c>
      <c r="B2947">
        <v>44.04</v>
      </c>
      <c r="C2947">
        <v>44.15</v>
      </c>
      <c r="D2947">
        <v>43.26</v>
      </c>
      <c r="E2947">
        <v>43.51</v>
      </c>
      <c r="F2947">
        <v>9444300</v>
      </c>
      <c r="G2947">
        <v>42.33</v>
      </c>
      <c r="H2947" t="s">
        <v>14</v>
      </c>
      <c r="I2947" s="22">
        <f t="shared" ref="I2947:I3010" si="93">IF(A2947=$A$2,"",LN(G2947/G2946))</f>
        <v>-1.454059389743219E-2</v>
      </c>
      <c r="J2947" s="22" t="str">
        <f t="shared" ref="J2947:J3010" si="94">IF(B2947&gt;E2947,"lost money","")</f>
        <v>lost money</v>
      </c>
    </row>
    <row r="2948" spans="1:10">
      <c r="A2948" s="1">
        <v>40997</v>
      </c>
      <c r="B2948">
        <v>43.2</v>
      </c>
      <c r="C2948">
        <v>43.27</v>
      </c>
      <c r="D2948">
        <v>42.3</v>
      </c>
      <c r="E2948">
        <v>43.01</v>
      </c>
      <c r="F2948">
        <v>10402500</v>
      </c>
      <c r="G2948">
        <v>41.84</v>
      </c>
      <c r="H2948" t="s">
        <v>14</v>
      </c>
      <c r="I2948" s="22">
        <f t="shared" si="93"/>
        <v>-1.1643234776164694E-2</v>
      </c>
      <c r="J2948" s="22" t="str">
        <f t="shared" si="94"/>
        <v>lost money</v>
      </c>
    </row>
    <row r="2949" spans="1:10">
      <c r="A2949" s="1">
        <v>40998</v>
      </c>
      <c r="B2949">
        <v>43.52</v>
      </c>
      <c r="C2949">
        <v>43.85</v>
      </c>
      <c r="D2949">
        <v>43.1</v>
      </c>
      <c r="E2949">
        <v>43.78</v>
      </c>
      <c r="F2949">
        <v>9096000</v>
      </c>
      <c r="G2949">
        <v>42.59</v>
      </c>
      <c r="H2949" t="s">
        <v>14</v>
      </c>
      <c r="I2949" s="22">
        <f t="shared" si="93"/>
        <v>1.7766664178454721E-2</v>
      </c>
      <c r="J2949" s="22" t="str">
        <f t="shared" si="94"/>
        <v/>
      </c>
    </row>
    <row r="2950" spans="1:10">
      <c r="A2950" s="1">
        <v>41001</v>
      </c>
      <c r="B2950">
        <v>43.59</v>
      </c>
      <c r="C2950">
        <v>44</v>
      </c>
      <c r="D2950">
        <v>43.32</v>
      </c>
      <c r="E2950">
        <v>43.84</v>
      </c>
      <c r="F2950">
        <v>7653800</v>
      </c>
      <c r="G2950">
        <v>42.65</v>
      </c>
      <c r="H2950" t="s">
        <v>14</v>
      </c>
      <c r="I2950" s="22">
        <f t="shared" si="93"/>
        <v>1.4077900025658298E-3</v>
      </c>
      <c r="J2950" s="22" t="str">
        <f t="shared" si="94"/>
        <v/>
      </c>
    </row>
    <row r="2951" spans="1:10">
      <c r="A2951" s="1">
        <v>41002</v>
      </c>
      <c r="B2951">
        <v>43.67</v>
      </c>
      <c r="C2951">
        <v>43.75</v>
      </c>
      <c r="D2951">
        <v>42.91</v>
      </c>
      <c r="E2951">
        <v>43.29</v>
      </c>
      <c r="F2951">
        <v>7996400</v>
      </c>
      <c r="G2951">
        <v>42.12</v>
      </c>
      <c r="H2951" t="s">
        <v>14</v>
      </c>
      <c r="I2951" s="22">
        <f t="shared" si="93"/>
        <v>-1.2504586671913438E-2</v>
      </c>
      <c r="J2951" s="22" t="str">
        <f t="shared" si="94"/>
        <v>lost money</v>
      </c>
    </row>
    <row r="2952" spans="1:10">
      <c r="A2952" s="1">
        <v>41003</v>
      </c>
      <c r="B2952">
        <v>42.9</v>
      </c>
      <c r="C2952">
        <v>42.99</v>
      </c>
      <c r="D2952">
        <v>42.48</v>
      </c>
      <c r="E2952">
        <v>42.93</v>
      </c>
      <c r="F2952">
        <v>8560700</v>
      </c>
      <c r="G2952">
        <v>41.77</v>
      </c>
      <c r="H2952" t="s">
        <v>14</v>
      </c>
      <c r="I2952" s="22">
        <f t="shared" si="93"/>
        <v>-8.3443087566906927E-3</v>
      </c>
      <c r="J2952" s="22" t="str">
        <f t="shared" si="94"/>
        <v/>
      </c>
    </row>
    <row r="2953" spans="1:10">
      <c r="A2953" s="1">
        <v>41004</v>
      </c>
      <c r="B2953">
        <v>42.84</v>
      </c>
      <c r="C2953">
        <v>43.18</v>
      </c>
      <c r="D2953">
        <v>42.68</v>
      </c>
      <c r="E2953">
        <v>43.08</v>
      </c>
      <c r="F2953">
        <v>6340800</v>
      </c>
      <c r="G2953">
        <v>41.91</v>
      </c>
      <c r="H2953" t="s">
        <v>14</v>
      </c>
      <c r="I2953" s="22">
        <f t="shared" si="93"/>
        <v>3.3460834278960126E-3</v>
      </c>
      <c r="J2953" s="22" t="str">
        <f t="shared" si="94"/>
        <v/>
      </c>
    </row>
    <row r="2954" spans="1:10">
      <c r="A2954" s="1">
        <v>41008</v>
      </c>
      <c r="B2954">
        <v>42.13</v>
      </c>
      <c r="C2954">
        <v>42.27</v>
      </c>
      <c r="D2954">
        <v>41.96</v>
      </c>
      <c r="E2954">
        <v>42.11</v>
      </c>
      <c r="F2954">
        <v>6813500</v>
      </c>
      <c r="G2954">
        <v>40.97</v>
      </c>
      <c r="H2954" t="s">
        <v>14</v>
      </c>
      <c r="I2954" s="22">
        <f t="shared" si="93"/>
        <v>-2.2684370378200421E-2</v>
      </c>
      <c r="J2954" s="22" t="str">
        <f t="shared" si="94"/>
        <v>lost money</v>
      </c>
    </row>
    <row r="2955" spans="1:10">
      <c r="A2955" s="1">
        <v>41009</v>
      </c>
      <c r="B2955">
        <v>41.87</v>
      </c>
      <c r="C2955">
        <v>42.13</v>
      </c>
      <c r="D2955">
        <v>40.880000000000003</v>
      </c>
      <c r="E2955">
        <v>40.99</v>
      </c>
      <c r="F2955">
        <v>10682100</v>
      </c>
      <c r="G2955">
        <v>39.880000000000003</v>
      </c>
      <c r="H2955" t="s">
        <v>14</v>
      </c>
      <c r="I2955" s="22">
        <f t="shared" si="93"/>
        <v>-2.6965146465142028E-2</v>
      </c>
      <c r="J2955" s="22" t="str">
        <f t="shared" si="94"/>
        <v>lost money</v>
      </c>
    </row>
    <row r="2956" spans="1:10">
      <c r="A2956" s="1">
        <v>41010</v>
      </c>
      <c r="B2956">
        <v>41.51</v>
      </c>
      <c r="C2956">
        <v>41.7</v>
      </c>
      <c r="D2956">
        <v>41.24</v>
      </c>
      <c r="E2956">
        <v>41.37</v>
      </c>
      <c r="F2956">
        <v>6358400</v>
      </c>
      <c r="G2956">
        <v>40.25</v>
      </c>
      <c r="H2956" t="s">
        <v>14</v>
      </c>
      <c r="I2956" s="22">
        <f t="shared" si="93"/>
        <v>9.2350587709347787E-3</v>
      </c>
      <c r="J2956" s="22" t="str">
        <f t="shared" si="94"/>
        <v>lost money</v>
      </c>
    </row>
    <row r="2957" spans="1:10">
      <c r="A2957" s="1">
        <v>41011</v>
      </c>
      <c r="B2957">
        <v>41.43</v>
      </c>
      <c r="C2957">
        <v>42.2</v>
      </c>
      <c r="D2957">
        <v>41.25</v>
      </c>
      <c r="E2957">
        <v>42.15</v>
      </c>
      <c r="F2957">
        <v>5538400</v>
      </c>
      <c r="G2957">
        <v>41.01</v>
      </c>
      <c r="H2957" t="s">
        <v>14</v>
      </c>
      <c r="I2957" s="22">
        <f t="shared" si="93"/>
        <v>1.8705935539395351E-2</v>
      </c>
      <c r="J2957" s="22" t="str">
        <f t="shared" si="94"/>
        <v/>
      </c>
    </row>
    <row r="2958" spans="1:10">
      <c r="A2958" s="1">
        <v>41012</v>
      </c>
      <c r="B2958">
        <v>42.03</v>
      </c>
      <c r="C2958">
        <v>42.22</v>
      </c>
      <c r="D2958">
        <v>41.7</v>
      </c>
      <c r="E2958">
        <v>41.85</v>
      </c>
      <c r="F2958">
        <v>7311700</v>
      </c>
      <c r="G2958">
        <v>40.71</v>
      </c>
      <c r="H2958" t="s">
        <v>14</v>
      </c>
      <c r="I2958" s="22">
        <f t="shared" si="93"/>
        <v>-7.3421768890803846E-3</v>
      </c>
      <c r="J2958" s="22" t="str">
        <f t="shared" si="94"/>
        <v>lost money</v>
      </c>
    </row>
    <row r="2959" spans="1:10">
      <c r="A2959" s="1">
        <v>41015</v>
      </c>
      <c r="B2959">
        <v>42.06</v>
      </c>
      <c r="C2959">
        <v>42.13</v>
      </c>
      <c r="D2959">
        <v>41.54</v>
      </c>
      <c r="E2959">
        <v>41.66</v>
      </c>
      <c r="F2959">
        <v>6109300</v>
      </c>
      <c r="G2959">
        <v>40.53</v>
      </c>
      <c r="H2959" t="s">
        <v>14</v>
      </c>
      <c r="I2959" s="22">
        <f t="shared" si="93"/>
        <v>-4.4313218746702869E-3</v>
      </c>
      <c r="J2959" s="22" t="str">
        <f t="shared" si="94"/>
        <v>lost money</v>
      </c>
    </row>
    <row r="2960" spans="1:10">
      <c r="A2960" s="1">
        <v>41016</v>
      </c>
      <c r="B2960">
        <v>41.88</v>
      </c>
      <c r="C2960">
        <v>42.74</v>
      </c>
      <c r="D2960">
        <v>41.88</v>
      </c>
      <c r="E2960">
        <v>42.68</v>
      </c>
      <c r="F2960">
        <v>6550300</v>
      </c>
      <c r="G2960">
        <v>41.52</v>
      </c>
      <c r="H2960" t="s">
        <v>14</v>
      </c>
      <c r="I2960" s="22">
        <f t="shared" si="93"/>
        <v>2.4132798217416165E-2</v>
      </c>
      <c r="J2960" s="22" t="str">
        <f t="shared" si="94"/>
        <v/>
      </c>
    </row>
    <row r="2961" spans="1:10">
      <c r="A2961" s="1">
        <v>41017</v>
      </c>
      <c r="B2961">
        <v>42.48</v>
      </c>
      <c r="C2961">
        <v>42.61</v>
      </c>
      <c r="D2961">
        <v>42.32</v>
      </c>
      <c r="E2961">
        <v>42.49</v>
      </c>
      <c r="F2961">
        <v>3781900</v>
      </c>
      <c r="G2961">
        <v>41.34</v>
      </c>
      <c r="H2961" t="s">
        <v>14</v>
      </c>
      <c r="I2961" s="22">
        <f t="shared" si="93"/>
        <v>-4.3446846040109798E-3</v>
      </c>
      <c r="J2961" s="22" t="str">
        <f t="shared" si="94"/>
        <v/>
      </c>
    </row>
    <row r="2962" spans="1:10">
      <c r="A2962" s="1">
        <v>41018</v>
      </c>
      <c r="B2962">
        <v>42.43</v>
      </c>
      <c r="C2962">
        <v>42.51</v>
      </c>
      <c r="D2962">
        <v>41.8</v>
      </c>
      <c r="E2962">
        <v>42.08</v>
      </c>
      <c r="F2962">
        <v>7074200</v>
      </c>
      <c r="G2962">
        <v>40.94</v>
      </c>
      <c r="H2962" t="s">
        <v>14</v>
      </c>
      <c r="I2962" s="22">
        <f t="shared" si="93"/>
        <v>-9.7229740204789108E-3</v>
      </c>
      <c r="J2962" s="22" t="str">
        <f t="shared" si="94"/>
        <v>lost money</v>
      </c>
    </row>
    <row r="2963" spans="1:10">
      <c r="A2963" s="1">
        <v>41019</v>
      </c>
      <c r="B2963">
        <v>42.24</v>
      </c>
      <c r="C2963">
        <v>42.84</v>
      </c>
      <c r="D2963">
        <v>42.24</v>
      </c>
      <c r="E2963">
        <v>42.35</v>
      </c>
      <c r="F2963">
        <v>7773100</v>
      </c>
      <c r="G2963">
        <v>41.2</v>
      </c>
      <c r="H2963" t="s">
        <v>14</v>
      </c>
      <c r="I2963" s="22">
        <f t="shared" si="93"/>
        <v>6.3306761223373177E-3</v>
      </c>
      <c r="J2963" s="22" t="str">
        <f t="shared" si="94"/>
        <v/>
      </c>
    </row>
    <row r="2964" spans="1:10">
      <c r="A2964" s="1">
        <v>41022</v>
      </c>
      <c r="B2964">
        <v>42.25</v>
      </c>
      <c r="C2964">
        <v>42.25</v>
      </c>
      <c r="D2964">
        <v>41.73</v>
      </c>
      <c r="E2964">
        <v>42.01</v>
      </c>
      <c r="F2964">
        <v>6592100</v>
      </c>
      <c r="G2964">
        <v>40.869999999999997</v>
      </c>
      <c r="H2964" t="s">
        <v>14</v>
      </c>
      <c r="I2964" s="22">
        <f t="shared" si="93"/>
        <v>-8.0419587792949065E-3</v>
      </c>
      <c r="J2964" s="22" t="str">
        <f t="shared" si="94"/>
        <v>lost money</v>
      </c>
    </row>
    <row r="2965" spans="1:10">
      <c r="A2965" s="1">
        <v>41023</v>
      </c>
      <c r="B2965">
        <v>42.03</v>
      </c>
      <c r="C2965">
        <v>42.43</v>
      </c>
      <c r="D2965">
        <v>41.97</v>
      </c>
      <c r="E2965">
        <v>42.18</v>
      </c>
      <c r="F2965">
        <v>4954600</v>
      </c>
      <c r="G2965">
        <v>41.04</v>
      </c>
      <c r="H2965" t="s">
        <v>14</v>
      </c>
      <c r="I2965" s="22">
        <f t="shared" si="93"/>
        <v>4.1509032863282311E-3</v>
      </c>
      <c r="J2965" s="22" t="str">
        <f t="shared" si="94"/>
        <v/>
      </c>
    </row>
    <row r="2966" spans="1:10">
      <c r="A2966" s="1">
        <v>41024</v>
      </c>
      <c r="B2966">
        <v>42.4</v>
      </c>
      <c r="C2966">
        <v>42.76</v>
      </c>
      <c r="D2966">
        <v>42.38</v>
      </c>
      <c r="E2966">
        <v>42.7</v>
      </c>
      <c r="F2966">
        <v>4926300</v>
      </c>
      <c r="G2966">
        <v>41.54</v>
      </c>
      <c r="H2966" t="s">
        <v>14</v>
      </c>
      <c r="I2966" s="22">
        <f t="shared" si="93"/>
        <v>1.2109617585452056E-2</v>
      </c>
      <c r="J2966" s="22" t="str">
        <f t="shared" si="94"/>
        <v/>
      </c>
    </row>
    <row r="2967" spans="1:10">
      <c r="A2967" s="1">
        <v>41025</v>
      </c>
      <c r="B2967">
        <v>42.74</v>
      </c>
      <c r="C2967">
        <v>43.56</v>
      </c>
      <c r="D2967">
        <v>42.69</v>
      </c>
      <c r="E2967">
        <v>43.36</v>
      </c>
      <c r="F2967">
        <v>7713000</v>
      </c>
      <c r="G2967">
        <v>42.18</v>
      </c>
      <c r="H2967" t="s">
        <v>14</v>
      </c>
      <c r="I2967" s="22">
        <f t="shared" si="93"/>
        <v>1.5289356602662398E-2</v>
      </c>
      <c r="J2967" s="22" t="str">
        <f t="shared" si="94"/>
        <v/>
      </c>
    </row>
    <row r="2968" spans="1:10">
      <c r="A2968" s="1">
        <v>41026</v>
      </c>
      <c r="B2968">
        <v>43.6</v>
      </c>
      <c r="C2968">
        <v>43.65</v>
      </c>
      <c r="D2968">
        <v>43.12</v>
      </c>
      <c r="E2968">
        <v>43.35</v>
      </c>
      <c r="F2968">
        <v>6354200</v>
      </c>
      <c r="G2968">
        <v>42.17</v>
      </c>
      <c r="H2968" t="s">
        <v>14</v>
      </c>
      <c r="I2968" s="22">
        <f t="shared" si="93"/>
        <v>-2.3710729216003655E-4</v>
      </c>
      <c r="J2968" s="22" t="str">
        <f t="shared" si="94"/>
        <v>lost money</v>
      </c>
    </row>
    <row r="2969" spans="1:10">
      <c r="A2969" s="1">
        <v>41029</v>
      </c>
      <c r="B2969">
        <v>43.32</v>
      </c>
      <c r="C2969">
        <v>43.35</v>
      </c>
      <c r="D2969">
        <v>42.84</v>
      </c>
      <c r="E2969">
        <v>43.11</v>
      </c>
      <c r="F2969">
        <v>6987200</v>
      </c>
      <c r="G2969">
        <v>41.94</v>
      </c>
      <c r="H2969" t="s">
        <v>14</v>
      </c>
      <c r="I2969" s="22">
        <f t="shared" si="93"/>
        <v>-5.4690422846947351E-3</v>
      </c>
      <c r="J2969" s="22" t="str">
        <f t="shared" si="94"/>
        <v>lost money</v>
      </c>
    </row>
    <row r="2970" spans="1:10">
      <c r="A2970" s="1">
        <v>41030</v>
      </c>
      <c r="B2970">
        <v>43.18</v>
      </c>
      <c r="C2970">
        <v>44.09</v>
      </c>
      <c r="D2970">
        <v>43.15</v>
      </c>
      <c r="E2970">
        <v>43.79</v>
      </c>
      <c r="F2970">
        <v>9316200</v>
      </c>
      <c r="G2970">
        <v>42.6</v>
      </c>
      <c r="H2970" t="s">
        <v>14</v>
      </c>
      <c r="I2970" s="22">
        <f t="shared" si="93"/>
        <v>1.5614227801551016E-2</v>
      </c>
      <c r="J2970" s="22" t="str">
        <f t="shared" si="94"/>
        <v/>
      </c>
    </row>
    <row r="2971" spans="1:10">
      <c r="A2971" s="1">
        <v>41031</v>
      </c>
      <c r="B2971">
        <v>43.57</v>
      </c>
      <c r="C2971">
        <v>43.81</v>
      </c>
      <c r="D2971">
        <v>43.3</v>
      </c>
      <c r="E2971">
        <v>43.54</v>
      </c>
      <c r="F2971">
        <v>8038200</v>
      </c>
      <c r="G2971">
        <v>42.36</v>
      </c>
      <c r="H2971" t="s">
        <v>14</v>
      </c>
      <c r="I2971" s="22">
        <f t="shared" si="93"/>
        <v>-5.6497325421190209E-3</v>
      </c>
      <c r="J2971" s="22" t="str">
        <f t="shared" si="94"/>
        <v>lost money</v>
      </c>
    </row>
    <row r="2972" spans="1:10">
      <c r="A2972" s="1">
        <v>41032</v>
      </c>
      <c r="B2972">
        <v>43.54</v>
      </c>
      <c r="C2972">
        <v>44.13</v>
      </c>
      <c r="D2972">
        <v>43.49</v>
      </c>
      <c r="E2972">
        <v>43.81</v>
      </c>
      <c r="F2972">
        <v>9353900</v>
      </c>
      <c r="G2972">
        <v>42.62</v>
      </c>
      <c r="H2972" t="s">
        <v>14</v>
      </c>
      <c r="I2972" s="22">
        <f t="shared" si="93"/>
        <v>6.1191059372653492E-3</v>
      </c>
      <c r="J2972" s="22" t="str">
        <f t="shared" si="94"/>
        <v/>
      </c>
    </row>
    <row r="2973" spans="1:10">
      <c r="A2973" s="1">
        <v>41033</v>
      </c>
      <c r="B2973">
        <v>43.6</v>
      </c>
      <c r="C2973">
        <v>43.71</v>
      </c>
      <c r="D2973">
        <v>42.84</v>
      </c>
      <c r="E2973">
        <v>42.93</v>
      </c>
      <c r="F2973">
        <v>7458800</v>
      </c>
      <c r="G2973">
        <v>41.77</v>
      </c>
      <c r="H2973" t="s">
        <v>14</v>
      </c>
      <c r="I2973" s="22">
        <f t="shared" si="93"/>
        <v>-2.0145248161387019E-2</v>
      </c>
      <c r="J2973" s="22" t="str">
        <f t="shared" si="94"/>
        <v>lost money</v>
      </c>
    </row>
    <row r="2974" spans="1:10">
      <c r="A2974" s="1">
        <v>41036</v>
      </c>
      <c r="B2974">
        <v>43.65</v>
      </c>
      <c r="C2974">
        <v>43.95</v>
      </c>
      <c r="D2974">
        <v>43.31</v>
      </c>
      <c r="E2974">
        <v>43.82</v>
      </c>
      <c r="F2974">
        <v>11780500</v>
      </c>
      <c r="G2974">
        <v>42.63</v>
      </c>
      <c r="H2974" t="s">
        <v>14</v>
      </c>
      <c r="I2974" s="22">
        <f t="shared" si="93"/>
        <v>2.0379852268034928E-2</v>
      </c>
      <c r="J2974" s="22" t="str">
        <f t="shared" si="94"/>
        <v/>
      </c>
    </row>
    <row r="2975" spans="1:10">
      <c r="A2975" s="1">
        <v>41037</v>
      </c>
      <c r="B2975">
        <v>43.78</v>
      </c>
      <c r="C2975">
        <v>44.49</v>
      </c>
      <c r="D2975">
        <v>43.09</v>
      </c>
      <c r="E2975">
        <v>44.3</v>
      </c>
      <c r="F2975">
        <v>19680900</v>
      </c>
      <c r="G2975">
        <v>43.1</v>
      </c>
      <c r="H2975" t="s">
        <v>14</v>
      </c>
      <c r="I2975" s="22">
        <f t="shared" si="93"/>
        <v>1.0964766332583208E-2</v>
      </c>
      <c r="J2975" s="22" t="str">
        <f t="shared" si="94"/>
        <v/>
      </c>
    </row>
    <row r="2976" spans="1:10">
      <c r="A2976" s="1">
        <v>41038</v>
      </c>
      <c r="B2976">
        <v>44.46</v>
      </c>
      <c r="C2976">
        <v>45.8</v>
      </c>
      <c r="D2976">
        <v>44.41</v>
      </c>
      <c r="E2976">
        <v>45.02</v>
      </c>
      <c r="F2976">
        <v>21348300</v>
      </c>
      <c r="G2976">
        <v>43.8</v>
      </c>
      <c r="H2976" t="s">
        <v>14</v>
      </c>
      <c r="I2976" s="22">
        <f t="shared" si="93"/>
        <v>1.6110820272698272E-2</v>
      </c>
      <c r="J2976" s="22" t="str">
        <f t="shared" si="94"/>
        <v/>
      </c>
    </row>
    <row r="2977" spans="1:10">
      <c r="A2977" s="1">
        <v>41039</v>
      </c>
      <c r="B2977">
        <v>45.14</v>
      </c>
      <c r="C2977">
        <v>45.59</v>
      </c>
      <c r="D2977">
        <v>45.05</v>
      </c>
      <c r="E2977">
        <v>45.28</v>
      </c>
      <c r="F2977">
        <v>14082900</v>
      </c>
      <c r="G2977">
        <v>44.05</v>
      </c>
      <c r="H2977" t="s">
        <v>14</v>
      </c>
      <c r="I2977" s="22">
        <f t="shared" si="93"/>
        <v>5.6915349997880551E-3</v>
      </c>
      <c r="J2977" s="22" t="str">
        <f t="shared" si="94"/>
        <v/>
      </c>
    </row>
    <row r="2978" spans="1:10">
      <c r="A2978" s="1">
        <v>41040</v>
      </c>
      <c r="B2978">
        <v>45.13</v>
      </c>
      <c r="C2978">
        <v>45.8</v>
      </c>
      <c r="D2978">
        <v>45</v>
      </c>
      <c r="E2978">
        <v>45.56</v>
      </c>
      <c r="F2978">
        <v>9779300</v>
      </c>
      <c r="G2978">
        <v>44.32</v>
      </c>
      <c r="H2978" t="s">
        <v>14</v>
      </c>
      <c r="I2978" s="22">
        <f t="shared" si="93"/>
        <v>6.1106900568399149E-3</v>
      </c>
      <c r="J2978" s="22" t="str">
        <f t="shared" si="94"/>
        <v/>
      </c>
    </row>
    <row r="2979" spans="1:10">
      <c r="A2979" s="1">
        <v>41043</v>
      </c>
      <c r="B2979">
        <v>45.17</v>
      </c>
      <c r="C2979">
        <v>45.5</v>
      </c>
      <c r="D2979">
        <v>44.98</v>
      </c>
      <c r="E2979">
        <v>45.17</v>
      </c>
      <c r="F2979">
        <v>8059400</v>
      </c>
      <c r="G2979">
        <v>43.94</v>
      </c>
      <c r="H2979" t="s">
        <v>14</v>
      </c>
      <c r="I2979" s="22">
        <f t="shared" si="93"/>
        <v>-8.6109754825642315E-3</v>
      </c>
      <c r="J2979" s="22" t="str">
        <f t="shared" si="94"/>
        <v/>
      </c>
    </row>
    <row r="2980" spans="1:10">
      <c r="A2980" s="1">
        <v>41044</v>
      </c>
      <c r="B2980">
        <v>45.23</v>
      </c>
      <c r="C2980">
        <v>45.8</v>
      </c>
      <c r="D2980">
        <v>44.92</v>
      </c>
      <c r="E2980">
        <v>45.01</v>
      </c>
      <c r="F2980">
        <v>10168800</v>
      </c>
      <c r="G2980">
        <v>43.79</v>
      </c>
      <c r="H2980" t="s">
        <v>14</v>
      </c>
      <c r="I2980" s="22">
        <f t="shared" si="93"/>
        <v>-3.419586143157119E-3</v>
      </c>
      <c r="J2980" s="22" t="str">
        <f t="shared" si="94"/>
        <v>lost money</v>
      </c>
    </row>
    <row r="2981" spans="1:10">
      <c r="A2981" s="1">
        <v>41045</v>
      </c>
      <c r="B2981">
        <v>45.15</v>
      </c>
      <c r="C2981">
        <v>45.55</v>
      </c>
      <c r="D2981">
        <v>45.06</v>
      </c>
      <c r="E2981">
        <v>45.08</v>
      </c>
      <c r="F2981">
        <v>8399800</v>
      </c>
      <c r="G2981">
        <v>43.86</v>
      </c>
      <c r="H2981" t="s">
        <v>14</v>
      </c>
      <c r="I2981" s="22">
        <f t="shared" si="93"/>
        <v>1.5972621764351797E-3</v>
      </c>
      <c r="J2981" s="22" t="str">
        <f t="shared" si="94"/>
        <v>lost money</v>
      </c>
    </row>
    <row r="2982" spans="1:10">
      <c r="A2982" s="1">
        <v>41046</v>
      </c>
      <c r="B2982">
        <v>45.15</v>
      </c>
      <c r="C2982">
        <v>45.23</v>
      </c>
      <c r="D2982">
        <v>44.3</v>
      </c>
      <c r="E2982">
        <v>44.33</v>
      </c>
      <c r="F2982">
        <v>8475100</v>
      </c>
      <c r="G2982">
        <v>43.13</v>
      </c>
      <c r="H2982" t="s">
        <v>14</v>
      </c>
      <c r="I2982" s="22">
        <f t="shared" si="93"/>
        <v>-1.6783932329990321E-2</v>
      </c>
      <c r="J2982" s="22" t="str">
        <f t="shared" si="94"/>
        <v>lost money</v>
      </c>
    </row>
    <row r="2983" spans="1:10">
      <c r="A2983" s="1">
        <v>41047</v>
      </c>
      <c r="B2983">
        <v>44.46</v>
      </c>
      <c r="C2983">
        <v>44.49</v>
      </c>
      <c r="D2983">
        <v>43.62</v>
      </c>
      <c r="E2983">
        <v>43.81</v>
      </c>
      <c r="F2983">
        <v>10598200</v>
      </c>
      <c r="G2983">
        <v>42.62</v>
      </c>
      <c r="H2983" t="s">
        <v>14</v>
      </c>
      <c r="I2983" s="22">
        <f t="shared" si="93"/>
        <v>-1.1895183989280749E-2</v>
      </c>
      <c r="J2983" s="22" t="str">
        <f t="shared" si="94"/>
        <v>lost money</v>
      </c>
    </row>
    <row r="2984" spans="1:10">
      <c r="A2984" s="1">
        <v>41050</v>
      </c>
      <c r="B2984">
        <v>43.81</v>
      </c>
      <c r="C2984">
        <v>44.41</v>
      </c>
      <c r="D2984">
        <v>43.51</v>
      </c>
      <c r="E2984">
        <v>44.39</v>
      </c>
      <c r="F2984">
        <v>8309300</v>
      </c>
      <c r="G2984">
        <v>43.19</v>
      </c>
      <c r="H2984" t="s">
        <v>14</v>
      </c>
      <c r="I2984" s="22">
        <f t="shared" si="93"/>
        <v>1.3285360302138675E-2</v>
      </c>
      <c r="J2984" s="22" t="str">
        <f t="shared" si="94"/>
        <v/>
      </c>
    </row>
    <row r="2985" spans="1:10">
      <c r="A2985" s="1">
        <v>41051</v>
      </c>
      <c r="B2985">
        <v>44.49</v>
      </c>
      <c r="C2985">
        <v>44.7</v>
      </c>
      <c r="D2985">
        <v>44.13</v>
      </c>
      <c r="E2985">
        <v>44.39</v>
      </c>
      <c r="F2985">
        <v>6855400</v>
      </c>
      <c r="G2985">
        <v>43.19</v>
      </c>
      <c r="H2985" t="s">
        <v>14</v>
      </c>
      <c r="I2985" s="22">
        <f t="shared" si="93"/>
        <v>0</v>
      </c>
      <c r="J2985" s="22" t="str">
        <f t="shared" si="94"/>
        <v>lost money</v>
      </c>
    </row>
    <row r="2986" spans="1:10">
      <c r="A2986" s="1">
        <v>41052</v>
      </c>
      <c r="B2986">
        <v>44.24</v>
      </c>
      <c r="C2986">
        <v>44.46</v>
      </c>
      <c r="D2986">
        <v>43.81</v>
      </c>
      <c r="E2986">
        <v>44.21</v>
      </c>
      <c r="F2986">
        <v>8875700</v>
      </c>
      <c r="G2986">
        <v>43.01</v>
      </c>
      <c r="H2986" t="s">
        <v>14</v>
      </c>
      <c r="I2986" s="22">
        <f t="shared" si="93"/>
        <v>-4.176340176964788E-3</v>
      </c>
      <c r="J2986" s="22" t="str">
        <f t="shared" si="94"/>
        <v>lost money</v>
      </c>
    </row>
    <row r="2987" spans="1:10">
      <c r="A2987" s="1">
        <v>41053</v>
      </c>
      <c r="B2987">
        <v>44.41</v>
      </c>
      <c r="C2987">
        <v>44.61</v>
      </c>
      <c r="D2987">
        <v>44.01</v>
      </c>
      <c r="E2987">
        <v>44.44</v>
      </c>
      <c r="F2987">
        <v>9813200</v>
      </c>
      <c r="G2987">
        <v>43.23</v>
      </c>
      <c r="H2987" t="s">
        <v>14</v>
      </c>
      <c r="I2987" s="22">
        <f t="shared" si="93"/>
        <v>5.1020518838953309E-3</v>
      </c>
      <c r="J2987" s="22" t="str">
        <f t="shared" si="94"/>
        <v/>
      </c>
    </row>
    <row r="2988" spans="1:10">
      <c r="A2988" s="1">
        <v>41054</v>
      </c>
      <c r="B2988">
        <v>44.49</v>
      </c>
      <c r="C2988">
        <v>44.96</v>
      </c>
      <c r="D2988">
        <v>44.38</v>
      </c>
      <c r="E2988">
        <v>44.5</v>
      </c>
      <c r="F2988">
        <v>8520700</v>
      </c>
      <c r="G2988">
        <v>43.29</v>
      </c>
      <c r="H2988" t="s">
        <v>14</v>
      </c>
      <c r="I2988" s="22">
        <f t="shared" si="93"/>
        <v>1.386962774348806E-3</v>
      </c>
      <c r="J2988" s="22" t="str">
        <f t="shared" si="94"/>
        <v/>
      </c>
    </row>
    <row r="2989" spans="1:10">
      <c r="A2989" s="1">
        <v>41058</v>
      </c>
      <c r="B2989">
        <v>44.7</v>
      </c>
      <c r="C2989">
        <v>45.5</v>
      </c>
      <c r="D2989">
        <v>44.6</v>
      </c>
      <c r="E2989">
        <v>45.48</v>
      </c>
      <c r="F2989">
        <v>10560000</v>
      </c>
      <c r="G2989">
        <v>44.25</v>
      </c>
      <c r="H2989" t="s">
        <v>14</v>
      </c>
      <c r="I2989" s="22">
        <f t="shared" si="93"/>
        <v>2.1933710000049258E-2</v>
      </c>
      <c r="J2989" s="22" t="str">
        <f t="shared" si="94"/>
        <v/>
      </c>
    </row>
    <row r="2990" spans="1:10">
      <c r="A2990" s="1">
        <v>41059</v>
      </c>
      <c r="B2990">
        <v>45.02</v>
      </c>
      <c r="C2990">
        <v>45.48</v>
      </c>
      <c r="D2990">
        <v>44.86</v>
      </c>
      <c r="E2990">
        <v>45.2</v>
      </c>
      <c r="F2990">
        <v>11208700</v>
      </c>
      <c r="G2990">
        <v>43.97</v>
      </c>
      <c r="H2990" t="s">
        <v>14</v>
      </c>
      <c r="I2990" s="22">
        <f t="shared" si="93"/>
        <v>-6.3477882612198201E-3</v>
      </c>
      <c r="J2990" s="22" t="str">
        <f t="shared" si="94"/>
        <v/>
      </c>
    </row>
    <row r="2991" spans="1:10">
      <c r="A2991" s="1">
        <v>41060</v>
      </c>
      <c r="B2991">
        <v>45.13</v>
      </c>
      <c r="C2991">
        <v>46.1</v>
      </c>
      <c r="D2991">
        <v>45.06</v>
      </c>
      <c r="E2991">
        <v>45.71</v>
      </c>
      <c r="F2991">
        <v>14646500</v>
      </c>
      <c r="G2991">
        <v>44.47</v>
      </c>
      <c r="H2991" t="s">
        <v>14</v>
      </c>
      <c r="I2991" s="22">
        <f t="shared" si="93"/>
        <v>1.1307221329886421E-2</v>
      </c>
      <c r="J2991" s="22" t="str">
        <f t="shared" si="94"/>
        <v/>
      </c>
    </row>
    <row r="2992" spans="1:10">
      <c r="A2992" s="1">
        <v>41061</v>
      </c>
      <c r="B2992">
        <v>45.15</v>
      </c>
      <c r="C2992">
        <v>45.35</v>
      </c>
      <c r="D2992">
        <v>44.34</v>
      </c>
      <c r="E2992">
        <v>44.4</v>
      </c>
      <c r="F2992">
        <v>14874500</v>
      </c>
      <c r="G2992">
        <v>43.2</v>
      </c>
      <c r="H2992" t="s">
        <v>14</v>
      </c>
      <c r="I2992" s="22">
        <f t="shared" si="93"/>
        <v>-2.8974309272540376E-2</v>
      </c>
      <c r="J2992" s="22" t="str">
        <f t="shared" si="94"/>
        <v>lost money</v>
      </c>
    </row>
    <row r="2993" spans="1:10">
      <c r="A2993" s="1">
        <v>41064</v>
      </c>
      <c r="B2993">
        <v>44.47</v>
      </c>
      <c r="C2993">
        <v>44.69</v>
      </c>
      <c r="D2993">
        <v>44.14</v>
      </c>
      <c r="E2993">
        <v>44.41</v>
      </c>
      <c r="F2993">
        <v>9480300</v>
      </c>
      <c r="G2993">
        <v>43.2</v>
      </c>
      <c r="H2993" t="s">
        <v>14</v>
      </c>
      <c r="I2993" s="22">
        <f t="shared" si="93"/>
        <v>0</v>
      </c>
      <c r="J2993" s="22" t="str">
        <f t="shared" si="94"/>
        <v>lost money</v>
      </c>
    </row>
    <row r="2994" spans="1:10">
      <c r="A2994" s="1">
        <v>41065</v>
      </c>
      <c r="B2994">
        <v>44.51</v>
      </c>
      <c r="C2994">
        <v>44.92</v>
      </c>
      <c r="D2994">
        <v>44.2</v>
      </c>
      <c r="E2994">
        <v>44.84</v>
      </c>
      <c r="F2994">
        <v>11166600</v>
      </c>
      <c r="G2994">
        <v>43.62</v>
      </c>
      <c r="H2994" t="s">
        <v>14</v>
      </c>
      <c r="I2994" s="22">
        <f t="shared" si="93"/>
        <v>9.6752655234183371E-3</v>
      </c>
      <c r="J2994" s="22" t="str">
        <f t="shared" si="94"/>
        <v/>
      </c>
    </row>
    <row r="2995" spans="1:10">
      <c r="A2995" s="1">
        <v>41066</v>
      </c>
      <c r="B2995">
        <v>45.02</v>
      </c>
      <c r="C2995">
        <v>45.6</v>
      </c>
      <c r="D2995">
        <v>45</v>
      </c>
      <c r="E2995">
        <v>45.53</v>
      </c>
      <c r="F2995">
        <v>9494400</v>
      </c>
      <c r="G2995">
        <v>44.29</v>
      </c>
      <c r="H2995" t="s">
        <v>14</v>
      </c>
      <c r="I2995" s="22">
        <f t="shared" si="93"/>
        <v>1.5243157161623895E-2</v>
      </c>
      <c r="J2995" s="22" t="str">
        <f t="shared" si="94"/>
        <v/>
      </c>
    </row>
    <row r="2996" spans="1:10">
      <c r="A2996" s="1">
        <v>41067</v>
      </c>
      <c r="B2996">
        <v>45.84</v>
      </c>
      <c r="C2996">
        <v>46.22</v>
      </c>
      <c r="D2996">
        <v>45.53</v>
      </c>
      <c r="E2996">
        <v>45.63</v>
      </c>
      <c r="F2996">
        <v>10238900</v>
      </c>
      <c r="G2996">
        <v>44.39</v>
      </c>
      <c r="H2996" t="s">
        <v>14</v>
      </c>
      <c r="I2996" s="22">
        <f t="shared" si="93"/>
        <v>2.2553009108371297E-3</v>
      </c>
      <c r="J2996" s="22" t="str">
        <f t="shared" si="94"/>
        <v>lost money</v>
      </c>
    </row>
    <row r="2997" spans="1:10">
      <c r="A2997" s="1">
        <v>41068</v>
      </c>
      <c r="B2997">
        <v>45.7</v>
      </c>
      <c r="C2997">
        <v>46.25</v>
      </c>
      <c r="D2997">
        <v>45.59</v>
      </c>
      <c r="E2997">
        <v>46.24</v>
      </c>
      <c r="F2997">
        <v>10716400</v>
      </c>
      <c r="G2997">
        <v>44.99</v>
      </c>
      <c r="H2997" t="s">
        <v>14</v>
      </c>
      <c r="I2997" s="22">
        <f t="shared" si="93"/>
        <v>1.3426024007137057E-2</v>
      </c>
      <c r="J2997" s="22" t="str">
        <f t="shared" si="94"/>
        <v/>
      </c>
    </row>
    <row r="2998" spans="1:10">
      <c r="A2998" s="1">
        <v>41071</v>
      </c>
      <c r="B2998">
        <v>46.35</v>
      </c>
      <c r="C2998">
        <v>46.63</v>
      </c>
      <c r="D2998">
        <v>45.73</v>
      </c>
      <c r="E2998">
        <v>45.8</v>
      </c>
      <c r="F2998">
        <v>7907400</v>
      </c>
      <c r="G2998">
        <v>44.56</v>
      </c>
      <c r="H2998" t="s">
        <v>14</v>
      </c>
      <c r="I2998" s="22">
        <f t="shared" si="93"/>
        <v>-9.6036472340523277E-3</v>
      </c>
      <c r="J2998" s="22" t="str">
        <f t="shared" si="94"/>
        <v>lost money</v>
      </c>
    </row>
    <row r="2999" spans="1:10">
      <c r="A2999" s="1">
        <v>41072</v>
      </c>
      <c r="B2999">
        <v>45.75</v>
      </c>
      <c r="C2999">
        <v>46.41</v>
      </c>
      <c r="D2999">
        <v>45.58</v>
      </c>
      <c r="E2999">
        <v>46.38</v>
      </c>
      <c r="F2999">
        <v>7742900</v>
      </c>
      <c r="G2999">
        <v>45.12</v>
      </c>
      <c r="H2999" t="s">
        <v>14</v>
      </c>
      <c r="I2999" s="22">
        <f t="shared" si="93"/>
        <v>1.2489011570774767E-2</v>
      </c>
      <c r="J2999" s="22" t="str">
        <f t="shared" si="94"/>
        <v/>
      </c>
    </row>
    <row r="3000" spans="1:10">
      <c r="A3000" s="1">
        <v>41073</v>
      </c>
      <c r="B3000">
        <v>46.25</v>
      </c>
      <c r="C3000">
        <v>46.65</v>
      </c>
      <c r="D3000">
        <v>45.99</v>
      </c>
      <c r="E3000">
        <v>46.23</v>
      </c>
      <c r="F3000">
        <v>8753300</v>
      </c>
      <c r="G3000">
        <v>44.98</v>
      </c>
      <c r="H3000" t="s">
        <v>14</v>
      </c>
      <c r="I3000" s="22">
        <f t="shared" si="93"/>
        <v>-3.1076606586339E-3</v>
      </c>
      <c r="J3000" s="22" t="str">
        <f t="shared" si="94"/>
        <v>lost money</v>
      </c>
    </row>
    <row r="3001" spans="1:10">
      <c r="A3001" s="1">
        <v>41074</v>
      </c>
      <c r="B3001">
        <v>46.4</v>
      </c>
      <c r="C3001">
        <v>47.45</v>
      </c>
      <c r="D3001">
        <v>46.21</v>
      </c>
      <c r="E3001">
        <v>47.18</v>
      </c>
      <c r="F3001">
        <v>12553900</v>
      </c>
      <c r="G3001">
        <v>45.9</v>
      </c>
      <c r="H3001" t="s">
        <v>14</v>
      </c>
      <c r="I3001" s="22">
        <f t="shared" si="93"/>
        <v>2.0247170535329827E-2</v>
      </c>
      <c r="J3001" s="22" t="str">
        <f t="shared" si="94"/>
        <v/>
      </c>
    </row>
    <row r="3002" spans="1:10">
      <c r="A3002" s="1">
        <v>41075</v>
      </c>
      <c r="B3002">
        <v>47.41</v>
      </c>
      <c r="C3002">
        <v>47.43</v>
      </c>
      <c r="D3002">
        <v>46.92</v>
      </c>
      <c r="E3002">
        <v>47.09</v>
      </c>
      <c r="F3002">
        <v>11198200</v>
      </c>
      <c r="G3002">
        <v>45.81</v>
      </c>
      <c r="H3002" t="s">
        <v>14</v>
      </c>
      <c r="I3002" s="22">
        <f t="shared" si="93"/>
        <v>-1.9627091678485948E-3</v>
      </c>
      <c r="J3002" s="22" t="str">
        <f t="shared" si="94"/>
        <v>lost money</v>
      </c>
    </row>
    <row r="3003" spans="1:10">
      <c r="A3003" s="1">
        <v>41078</v>
      </c>
      <c r="B3003">
        <v>46.96</v>
      </c>
      <c r="C3003">
        <v>47.4</v>
      </c>
      <c r="D3003">
        <v>46.8</v>
      </c>
      <c r="E3003">
        <v>47.1</v>
      </c>
      <c r="F3003">
        <v>8821100</v>
      </c>
      <c r="G3003">
        <v>45.82</v>
      </c>
      <c r="H3003" t="s">
        <v>14</v>
      </c>
      <c r="I3003" s="22">
        <f t="shared" si="93"/>
        <v>2.182691266986285E-4</v>
      </c>
      <c r="J3003" s="22" t="str">
        <f t="shared" si="94"/>
        <v/>
      </c>
    </row>
    <row r="3004" spans="1:10">
      <c r="A3004" s="1">
        <v>41079</v>
      </c>
      <c r="B3004">
        <v>47.43</v>
      </c>
      <c r="C3004">
        <v>48</v>
      </c>
      <c r="D3004">
        <v>47.28</v>
      </c>
      <c r="E3004">
        <v>47.51</v>
      </c>
      <c r="F3004">
        <v>8209000</v>
      </c>
      <c r="G3004">
        <v>46.22</v>
      </c>
      <c r="H3004" t="s">
        <v>14</v>
      </c>
      <c r="I3004" s="22">
        <f t="shared" si="93"/>
        <v>8.6919278208852056E-3</v>
      </c>
      <c r="J3004" s="22" t="str">
        <f t="shared" si="94"/>
        <v/>
      </c>
    </row>
    <row r="3005" spans="1:10">
      <c r="A3005" s="1">
        <v>41080</v>
      </c>
      <c r="B3005">
        <v>47.64</v>
      </c>
      <c r="C3005">
        <v>47.97</v>
      </c>
      <c r="D3005">
        <v>47.43</v>
      </c>
      <c r="E3005">
        <v>47.73</v>
      </c>
      <c r="F3005">
        <v>7264700</v>
      </c>
      <c r="G3005">
        <v>46.43</v>
      </c>
      <c r="H3005" t="s">
        <v>14</v>
      </c>
      <c r="I3005" s="22">
        <f t="shared" si="93"/>
        <v>4.5331971855957671E-3</v>
      </c>
      <c r="J3005" s="22" t="str">
        <f t="shared" si="94"/>
        <v/>
      </c>
    </row>
    <row r="3006" spans="1:10">
      <c r="A3006" s="1">
        <v>41081</v>
      </c>
      <c r="B3006">
        <v>47.8</v>
      </c>
      <c r="C3006">
        <v>47.89</v>
      </c>
      <c r="D3006">
        <v>47.22</v>
      </c>
      <c r="E3006">
        <v>47.4</v>
      </c>
      <c r="F3006">
        <v>10077700</v>
      </c>
      <c r="G3006">
        <v>46.11</v>
      </c>
      <c r="H3006" t="s">
        <v>14</v>
      </c>
      <c r="I3006" s="22">
        <f t="shared" si="93"/>
        <v>-6.9159558132162076E-3</v>
      </c>
      <c r="J3006" s="22" t="str">
        <f t="shared" si="94"/>
        <v>lost money</v>
      </c>
    </row>
    <row r="3007" spans="1:10">
      <c r="A3007" s="1">
        <v>41082</v>
      </c>
      <c r="B3007">
        <v>47.39</v>
      </c>
      <c r="C3007">
        <v>47.52</v>
      </c>
      <c r="D3007">
        <v>46.91</v>
      </c>
      <c r="E3007">
        <v>47.47</v>
      </c>
      <c r="F3007">
        <v>18881600</v>
      </c>
      <c r="G3007">
        <v>46.18</v>
      </c>
      <c r="H3007" t="s">
        <v>14</v>
      </c>
      <c r="I3007" s="22">
        <f t="shared" si="93"/>
        <v>1.5169577077351517E-3</v>
      </c>
      <c r="J3007" s="22" t="str">
        <f t="shared" si="94"/>
        <v/>
      </c>
    </row>
    <row r="3008" spans="1:10">
      <c r="A3008" s="1">
        <v>41085</v>
      </c>
      <c r="B3008">
        <v>47.22</v>
      </c>
      <c r="C3008">
        <v>47.23</v>
      </c>
      <c r="D3008">
        <v>46.55</v>
      </c>
      <c r="E3008">
        <v>46.7</v>
      </c>
      <c r="F3008">
        <v>6740600</v>
      </c>
      <c r="G3008">
        <v>45.43</v>
      </c>
      <c r="H3008" t="s">
        <v>14</v>
      </c>
      <c r="I3008" s="22">
        <f t="shared" si="93"/>
        <v>-1.6374124155037417E-2</v>
      </c>
      <c r="J3008" s="22" t="str">
        <f t="shared" si="94"/>
        <v>lost money</v>
      </c>
    </row>
    <row r="3009" spans="1:10">
      <c r="A3009" s="1">
        <v>41086</v>
      </c>
      <c r="B3009">
        <v>46.88</v>
      </c>
      <c r="C3009">
        <v>47.47</v>
      </c>
      <c r="D3009">
        <v>46.82</v>
      </c>
      <c r="E3009">
        <v>47.3</v>
      </c>
      <c r="F3009">
        <v>7279900</v>
      </c>
      <c r="G3009">
        <v>46.02</v>
      </c>
      <c r="H3009" t="s">
        <v>14</v>
      </c>
      <c r="I3009" s="22">
        <f t="shared" si="93"/>
        <v>1.2903404835908001E-2</v>
      </c>
      <c r="J3009" s="22" t="str">
        <f t="shared" si="94"/>
        <v/>
      </c>
    </row>
    <row r="3010" spans="1:10">
      <c r="A3010" s="1">
        <v>41087</v>
      </c>
      <c r="B3010">
        <v>47.27</v>
      </c>
      <c r="C3010">
        <v>48.08</v>
      </c>
      <c r="D3010">
        <v>47.23</v>
      </c>
      <c r="E3010">
        <v>47.87</v>
      </c>
      <c r="F3010">
        <v>6023500</v>
      </c>
      <c r="G3010">
        <v>46.57</v>
      </c>
      <c r="H3010" t="s">
        <v>14</v>
      </c>
      <c r="I3010" s="22">
        <f t="shared" si="93"/>
        <v>1.188047238706607E-2</v>
      </c>
      <c r="J3010" s="22" t="str">
        <f t="shared" si="94"/>
        <v/>
      </c>
    </row>
    <row r="3011" spans="1:10">
      <c r="A3011" s="1">
        <v>41088</v>
      </c>
      <c r="B3011">
        <v>47.67</v>
      </c>
      <c r="C3011">
        <v>47.84</v>
      </c>
      <c r="D3011">
        <v>46.98</v>
      </c>
      <c r="E3011">
        <v>47.82</v>
      </c>
      <c r="F3011">
        <v>6674200</v>
      </c>
      <c r="G3011">
        <v>46.52</v>
      </c>
      <c r="H3011" t="s">
        <v>14</v>
      </c>
      <c r="I3011" s="22">
        <f t="shared" ref="I3011:I3074" si="95">IF(A3011=$A$2,"",LN(G3011/G3010))</f>
        <v>-1.074229343822071E-3</v>
      </c>
      <c r="J3011" s="22" t="str">
        <f t="shared" ref="J3011:J3074" si="96">IF(B3011&gt;E3011,"lost money","")</f>
        <v/>
      </c>
    </row>
    <row r="3012" spans="1:10">
      <c r="A3012" s="1">
        <v>41089</v>
      </c>
      <c r="B3012">
        <v>48.52</v>
      </c>
      <c r="C3012">
        <v>48.95</v>
      </c>
      <c r="D3012">
        <v>48.22</v>
      </c>
      <c r="E3012">
        <v>48.5</v>
      </c>
      <c r="F3012">
        <v>10300500</v>
      </c>
      <c r="G3012">
        <v>47.18</v>
      </c>
      <c r="H3012" t="s">
        <v>14</v>
      </c>
      <c r="I3012" s="22">
        <f t="shared" si="95"/>
        <v>1.4087746329065202E-2</v>
      </c>
      <c r="J3012" s="22" t="str">
        <f t="shared" si="96"/>
        <v>lost money</v>
      </c>
    </row>
    <row r="3013" spans="1:10">
      <c r="A3013" s="1">
        <v>41092</v>
      </c>
      <c r="B3013">
        <v>48.62</v>
      </c>
      <c r="C3013">
        <v>48.75</v>
      </c>
      <c r="D3013">
        <v>48.24</v>
      </c>
      <c r="E3013">
        <v>48.72</v>
      </c>
      <c r="F3013">
        <v>7275600</v>
      </c>
      <c r="G3013">
        <v>47.4</v>
      </c>
      <c r="H3013" t="s">
        <v>14</v>
      </c>
      <c r="I3013" s="22">
        <f t="shared" si="95"/>
        <v>4.6521547215018898E-3</v>
      </c>
      <c r="J3013" s="22" t="str">
        <f t="shared" si="96"/>
        <v/>
      </c>
    </row>
    <row r="3014" spans="1:10">
      <c r="A3014" s="1">
        <v>41093</v>
      </c>
      <c r="B3014">
        <v>48.67</v>
      </c>
      <c r="C3014">
        <v>48.75</v>
      </c>
      <c r="D3014">
        <v>48.42</v>
      </c>
      <c r="E3014">
        <v>48.59</v>
      </c>
      <c r="F3014">
        <v>3060800</v>
      </c>
      <c r="G3014">
        <v>47.27</v>
      </c>
      <c r="H3014" t="s">
        <v>14</v>
      </c>
      <c r="I3014" s="22">
        <f t="shared" si="95"/>
        <v>-2.746383895885684E-3</v>
      </c>
      <c r="J3014" s="22" t="str">
        <f t="shared" si="96"/>
        <v>lost money</v>
      </c>
    </row>
    <row r="3015" spans="1:10">
      <c r="A3015" s="1">
        <v>41095</v>
      </c>
      <c r="B3015">
        <v>48.28</v>
      </c>
      <c r="C3015">
        <v>48.55</v>
      </c>
      <c r="D3015">
        <v>47.83</v>
      </c>
      <c r="E3015">
        <v>48.11</v>
      </c>
      <c r="F3015">
        <v>7770100</v>
      </c>
      <c r="G3015">
        <v>46.8</v>
      </c>
      <c r="H3015" t="s">
        <v>14</v>
      </c>
      <c r="I3015" s="22">
        <f t="shared" si="95"/>
        <v>-9.9926418815440409E-3</v>
      </c>
      <c r="J3015" s="22" t="str">
        <f t="shared" si="96"/>
        <v>lost money</v>
      </c>
    </row>
    <row r="3016" spans="1:10">
      <c r="A3016" s="1">
        <v>41096</v>
      </c>
      <c r="B3016">
        <v>47.77</v>
      </c>
      <c r="C3016">
        <v>48.18</v>
      </c>
      <c r="D3016">
        <v>47.7</v>
      </c>
      <c r="E3016">
        <v>48.04</v>
      </c>
      <c r="F3016">
        <v>5623100</v>
      </c>
      <c r="G3016">
        <v>46.74</v>
      </c>
      <c r="H3016" t="s">
        <v>14</v>
      </c>
      <c r="I3016" s="22">
        <f t="shared" si="95"/>
        <v>-1.2828738128890414E-3</v>
      </c>
      <c r="J3016" s="22" t="str">
        <f t="shared" si="96"/>
        <v/>
      </c>
    </row>
    <row r="3017" spans="1:10">
      <c r="A3017" s="1">
        <v>41099</v>
      </c>
      <c r="B3017">
        <v>48.06</v>
      </c>
      <c r="C3017">
        <v>48.18</v>
      </c>
      <c r="D3017">
        <v>47.76</v>
      </c>
      <c r="E3017">
        <v>48</v>
      </c>
      <c r="F3017">
        <v>5596200</v>
      </c>
      <c r="G3017">
        <v>46.7</v>
      </c>
      <c r="H3017" t="s">
        <v>14</v>
      </c>
      <c r="I3017" s="22">
        <f t="shared" si="95"/>
        <v>-8.5616443586020944E-4</v>
      </c>
      <c r="J3017" s="22" t="str">
        <f t="shared" si="96"/>
        <v>lost money</v>
      </c>
    </row>
    <row r="3018" spans="1:10">
      <c r="A3018" s="1">
        <v>41100</v>
      </c>
      <c r="B3018">
        <v>48.17</v>
      </c>
      <c r="C3018">
        <v>48.38</v>
      </c>
      <c r="D3018">
        <v>47.18</v>
      </c>
      <c r="E3018">
        <v>47.36</v>
      </c>
      <c r="F3018">
        <v>8787500</v>
      </c>
      <c r="G3018">
        <v>46.07</v>
      </c>
      <c r="H3018" t="s">
        <v>14</v>
      </c>
      <c r="I3018" s="22">
        <f t="shared" si="95"/>
        <v>-1.3582185727026118E-2</v>
      </c>
      <c r="J3018" s="22" t="str">
        <f t="shared" si="96"/>
        <v>lost money</v>
      </c>
    </row>
    <row r="3019" spans="1:10">
      <c r="A3019" s="1">
        <v>41101</v>
      </c>
      <c r="B3019">
        <v>47.45</v>
      </c>
      <c r="C3019">
        <v>47.59</v>
      </c>
      <c r="D3019">
        <v>46.97</v>
      </c>
      <c r="E3019">
        <v>47.27</v>
      </c>
      <c r="F3019">
        <v>6501000</v>
      </c>
      <c r="G3019">
        <v>45.99</v>
      </c>
      <c r="H3019" t="s">
        <v>14</v>
      </c>
      <c r="I3019" s="22">
        <f t="shared" si="95"/>
        <v>-1.7379973959931005E-3</v>
      </c>
      <c r="J3019" s="22" t="str">
        <f t="shared" si="96"/>
        <v>lost money</v>
      </c>
    </row>
    <row r="3020" spans="1:10">
      <c r="A3020" s="1">
        <v>41102</v>
      </c>
      <c r="B3020">
        <v>47.38</v>
      </c>
      <c r="C3020">
        <v>47.8</v>
      </c>
      <c r="D3020">
        <v>46.85</v>
      </c>
      <c r="E3020">
        <v>47.41</v>
      </c>
      <c r="F3020">
        <v>8270700</v>
      </c>
      <c r="G3020">
        <v>46.12</v>
      </c>
      <c r="H3020" t="s">
        <v>14</v>
      </c>
      <c r="I3020" s="22">
        <f t="shared" si="95"/>
        <v>2.8227138490257721E-3</v>
      </c>
      <c r="J3020" s="22" t="str">
        <f t="shared" si="96"/>
        <v/>
      </c>
    </row>
    <row r="3021" spans="1:10">
      <c r="A3021" s="1">
        <v>41103</v>
      </c>
      <c r="B3021">
        <v>47.4</v>
      </c>
      <c r="C3021">
        <v>48.38</v>
      </c>
      <c r="D3021">
        <v>47.38</v>
      </c>
      <c r="E3021">
        <v>48.19</v>
      </c>
      <c r="F3021">
        <v>7187300</v>
      </c>
      <c r="G3021">
        <v>46.88</v>
      </c>
      <c r="H3021" t="s">
        <v>14</v>
      </c>
      <c r="I3021" s="22">
        <f t="shared" si="95"/>
        <v>1.6344449867898975E-2</v>
      </c>
      <c r="J3021" s="22" t="str">
        <f t="shared" si="96"/>
        <v/>
      </c>
    </row>
    <row r="3022" spans="1:10">
      <c r="A3022" s="1">
        <v>41106</v>
      </c>
      <c r="B3022">
        <v>47.96</v>
      </c>
      <c r="C3022">
        <v>48.12</v>
      </c>
      <c r="D3022">
        <v>47.69</v>
      </c>
      <c r="E3022">
        <v>47.86</v>
      </c>
      <c r="F3022">
        <v>5675200</v>
      </c>
      <c r="G3022">
        <v>46.56</v>
      </c>
      <c r="H3022" t="s">
        <v>14</v>
      </c>
      <c r="I3022" s="22">
        <f t="shared" si="95"/>
        <v>-6.849341845574783E-3</v>
      </c>
      <c r="J3022" s="22" t="str">
        <f t="shared" si="96"/>
        <v>lost money</v>
      </c>
    </row>
    <row r="3023" spans="1:10">
      <c r="A3023" s="1">
        <v>41107</v>
      </c>
      <c r="B3023">
        <v>48.44</v>
      </c>
      <c r="C3023">
        <v>49.92</v>
      </c>
      <c r="D3023">
        <v>48.4</v>
      </c>
      <c r="E3023">
        <v>49.35</v>
      </c>
      <c r="F3023">
        <v>15909900</v>
      </c>
      <c r="G3023">
        <v>48.01</v>
      </c>
      <c r="H3023" t="s">
        <v>14</v>
      </c>
      <c r="I3023" s="22">
        <f t="shared" si="95"/>
        <v>3.0667519119666493E-2</v>
      </c>
      <c r="J3023" s="22" t="str">
        <f t="shared" si="96"/>
        <v/>
      </c>
    </row>
    <row r="3024" spans="1:10">
      <c r="A3024" s="1">
        <v>41108</v>
      </c>
      <c r="B3024">
        <v>49.14</v>
      </c>
      <c r="C3024">
        <v>49.67</v>
      </c>
      <c r="D3024">
        <v>48.96</v>
      </c>
      <c r="E3024">
        <v>49.35</v>
      </c>
      <c r="F3024">
        <v>7677500</v>
      </c>
      <c r="G3024">
        <v>48.01</v>
      </c>
      <c r="H3024" t="s">
        <v>14</v>
      </c>
      <c r="I3024" s="22">
        <f t="shared" si="95"/>
        <v>0</v>
      </c>
      <c r="J3024" s="22" t="str">
        <f t="shared" si="96"/>
        <v/>
      </c>
    </row>
    <row r="3025" spans="1:10">
      <c r="A3025" s="1">
        <v>41109</v>
      </c>
      <c r="B3025">
        <v>49.39</v>
      </c>
      <c r="C3025">
        <v>49.62</v>
      </c>
      <c r="D3025">
        <v>48.73</v>
      </c>
      <c r="E3025">
        <v>48.99</v>
      </c>
      <c r="F3025">
        <v>9330800</v>
      </c>
      <c r="G3025">
        <v>47.66</v>
      </c>
      <c r="H3025" t="s">
        <v>14</v>
      </c>
      <c r="I3025" s="22">
        <f t="shared" si="95"/>
        <v>-7.3168508722529415E-3</v>
      </c>
      <c r="J3025" s="22" t="str">
        <f t="shared" si="96"/>
        <v>lost money</v>
      </c>
    </row>
    <row r="3026" spans="1:10">
      <c r="A3026" s="1">
        <v>41110</v>
      </c>
      <c r="B3026">
        <v>48.6</v>
      </c>
      <c r="C3026">
        <v>48.95</v>
      </c>
      <c r="D3026">
        <v>48.5</v>
      </c>
      <c r="E3026">
        <v>48.59</v>
      </c>
      <c r="F3026">
        <v>8482300</v>
      </c>
      <c r="G3026">
        <v>47.27</v>
      </c>
      <c r="H3026" t="s">
        <v>14</v>
      </c>
      <c r="I3026" s="22">
        <f t="shared" si="95"/>
        <v>-8.2166268654509343E-3</v>
      </c>
      <c r="J3026" s="22" t="str">
        <f t="shared" si="96"/>
        <v>lost money</v>
      </c>
    </row>
    <row r="3027" spans="1:10">
      <c r="A3027" s="1">
        <v>41113</v>
      </c>
      <c r="B3027">
        <v>47.77</v>
      </c>
      <c r="C3027">
        <v>48.06</v>
      </c>
      <c r="D3027">
        <v>47.42</v>
      </c>
      <c r="E3027">
        <v>47.98</v>
      </c>
      <c r="F3027">
        <v>8333100</v>
      </c>
      <c r="G3027">
        <v>46.68</v>
      </c>
      <c r="H3027" t="s">
        <v>14</v>
      </c>
      <c r="I3027" s="22">
        <f t="shared" si="95"/>
        <v>-1.2560037386789876E-2</v>
      </c>
      <c r="J3027" s="22" t="str">
        <f t="shared" si="96"/>
        <v/>
      </c>
    </row>
    <row r="3028" spans="1:10">
      <c r="A3028" s="1">
        <v>41114</v>
      </c>
      <c r="B3028">
        <v>48.03</v>
      </c>
      <c r="C3028">
        <v>48.33</v>
      </c>
      <c r="D3028">
        <v>47.69</v>
      </c>
      <c r="E3028">
        <v>48.16</v>
      </c>
      <c r="F3028">
        <v>8955100</v>
      </c>
      <c r="G3028">
        <v>46.85</v>
      </c>
      <c r="H3028" t="s">
        <v>14</v>
      </c>
      <c r="I3028" s="22">
        <f t="shared" si="95"/>
        <v>3.6352012660760967E-3</v>
      </c>
      <c r="J3028" s="22" t="str">
        <f t="shared" si="96"/>
        <v/>
      </c>
    </row>
    <row r="3029" spans="1:10">
      <c r="A3029" s="1">
        <v>41115</v>
      </c>
      <c r="B3029">
        <v>48.33</v>
      </c>
      <c r="C3029">
        <v>48.64</v>
      </c>
      <c r="D3029">
        <v>48.01</v>
      </c>
      <c r="E3029">
        <v>48.3</v>
      </c>
      <c r="F3029">
        <v>7034000</v>
      </c>
      <c r="G3029">
        <v>46.99</v>
      </c>
      <c r="H3029" t="s">
        <v>14</v>
      </c>
      <c r="I3029" s="22">
        <f t="shared" si="95"/>
        <v>2.9838044302930877E-3</v>
      </c>
      <c r="J3029" s="22" t="str">
        <f t="shared" si="96"/>
        <v>lost money</v>
      </c>
    </row>
    <row r="3030" spans="1:10">
      <c r="A3030" s="1">
        <v>41116</v>
      </c>
      <c r="B3030">
        <v>49.06</v>
      </c>
      <c r="C3030">
        <v>49.87</v>
      </c>
      <c r="D3030">
        <v>49.06</v>
      </c>
      <c r="E3030">
        <v>49.71</v>
      </c>
      <c r="F3030">
        <v>10497100</v>
      </c>
      <c r="G3030">
        <v>48.36</v>
      </c>
      <c r="H3030" t="s">
        <v>14</v>
      </c>
      <c r="I3030" s="22">
        <f t="shared" si="95"/>
        <v>2.8738212631867543E-2</v>
      </c>
      <c r="J3030" s="22" t="str">
        <f t="shared" si="96"/>
        <v/>
      </c>
    </row>
    <row r="3031" spans="1:10">
      <c r="A3031" s="1">
        <v>41117</v>
      </c>
      <c r="B3031">
        <v>49.89</v>
      </c>
      <c r="C3031">
        <v>50.54</v>
      </c>
      <c r="D3031">
        <v>49.69</v>
      </c>
      <c r="E3031">
        <v>49.94</v>
      </c>
      <c r="F3031">
        <v>16174800</v>
      </c>
      <c r="G3031">
        <v>48.58</v>
      </c>
      <c r="H3031" t="s">
        <v>14</v>
      </c>
      <c r="I3031" s="22">
        <f t="shared" si="95"/>
        <v>4.5388978274343919E-3</v>
      </c>
      <c r="J3031" s="22" t="str">
        <f t="shared" si="96"/>
        <v/>
      </c>
    </row>
    <row r="3032" spans="1:10">
      <c r="A3032" s="1">
        <v>41120</v>
      </c>
      <c r="B3032">
        <v>49.95</v>
      </c>
      <c r="C3032">
        <v>50.14</v>
      </c>
      <c r="D3032">
        <v>49.65</v>
      </c>
      <c r="E3032">
        <v>49.8</v>
      </c>
      <c r="F3032">
        <v>8890600</v>
      </c>
      <c r="G3032">
        <v>48.45</v>
      </c>
      <c r="H3032" t="s">
        <v>14</v>
      </c>
      <c r="I3032" s="22">
        <f t="shared" si="95"/>
        <v>-2.6795852372511523E-3</v>
      </c>
      <c r="J3032" s="22" t="str">
        <f t="shared" si="96"/>
        <v>lost money</v>
      </c>
    </row>
    <row r="3033" spans="1:10">
      <c r="A3033" s="1">
        <v>41121</v>
      </c>
      <c r="B3033">
        <v>49.78</v>
      </c>
      <c r="C3033">
        <v>49.85</v>
      </c>
      <c r="D3033">
        <v>49.09</v>
      </c>
      <c r="E3033">
        <v>49.14</v>
      </c>
      <c r="F3033">
        <v>10503000</v>
      </c>
      <c r="G3033">
        <v>47.81</v>
      </c>
      <c r="H3033" t="s">
        <v>14</v>
      </c>
      <c r="I3033" s="22">
        <f t="shared" si="95"/>
        <v>-1.329751569876322E-2</v>
      </c>
      <c r="J3033" s="22" t="str">
        <f t="shared" si="96"/>
        <v>lost money</v>
      </c>
    </row>
    <row r="3034" spans="1:10">
      <c r="A3034" s="1">
        <v>41122</v>
      </c>
      <c r="B3034">
        <v>49.33</v>
      </c>
      <c r="C3034">
        <v>49.53</v>
      </c>
      <c r="D3034">
        <v>48.72</v>
      </c>
      <c r="E3034">
        <v>48.82</v>
      </c>
      <c r="F3034">
        <v>6780200</v>
      </c>
      <c r="G3034">
        <v>47.5</v>
      </c>
      <c r="H3034" t="s">
        <v>14</v>
      </c>
      <c r="I3034" s="22">
        <f t="shared" si="95"/>
        <v>-6.505111597416487E-3</v>
      </c>
      <c r="J3034" s="22" t="str">
        <f t="shared" si="96"/>
        <v>lost money</v>
      </c>
    </row>
    <row r="3035" spans="1:10">
      <c r="A3035" s="1">
        <v>41123</v>
      </c>
      <c r="B3035">
        <v>48.6</v>
      </c>
      <c r="C3035">
        <v>48.99</v>
      </c>
      <c r="D3035">
        <v>48.13</v>
      </c>
      <c r="E3035">
        <v>48.98</v>
      </c>
      <c r="F3035">
        <v>9559000</v>
      </c>
      <c r="G3035">
        <v>47.65</v>
      </c>
      <c r="H3035" t="s">
        <v>14</v>
      </c>
      <c r="I3035" s="22">
        <f t="shared" si="95"/>
        <v>3.1529190596155149E-3</v>
      </c>
      <c r="J3035" s="22" t="str">
        <f t="shared" si="96"/>
        <v/>
      </c>
    </row>
    <row r="3036" spans="1:10">
      <c r="A3036" s="1">
        <v>41124</v>
      </c>
      <c r="B3036">
        <v>49.81</v>
      </c>
      <c r="C3036">
        <v>49.87</v>
      </c>
      <c r="D3036">
        <v>49.36</v>
      </c>
      <c r="E3036">
        <v>49.77</v>
      </c>
      <c r="F3036">
        <v>8187800</v>
      </c>
      <c r="G3036">
        <v>48.42</v>
      </c>
      <c r="H3036" t="s">
        <v>14</v>
      </c>
      <c r="I3036" s="22">
        <f t="shared" si="95"/>
        <v>1.6030321409701336E-2</v>
      </c>
      <c r="J3036" s="22" t="str">
        <f t="shared" si="96"/>
        <v>lost money</v>
      </c>
    </row>
    <row r="3037" spans="1:10">
      <c r="A3037" s="1">
        <v>41127</v>
      </c>
      <c r="B3037">
        <v>49.97</v>
      </c>
      <c r="C3037">
        <v>50</v>
      </c>
      <c r="D3037">
        <v>49.65</v>
      </c>
      <c r="E3037">
        <v>49.65</v>
      </c>
      <c r="F3037">
        <v>6353300</v>
      </c>
      <c r="G3037">
        <v>48.3</v>
      </c>
      <c r="H3037" t="s">
        <v>14</v>
      </c>
      <c r="I3037" s="22">
        <f t="shared" si="95"/>
        <v>-2.4813908513855094E-3</v>
      </c>
      <c r="J3037" s="22" t="str">
        <f t="shared" si="96"/>
        <v>lost money</v>
      </c>
    </row>
    <row r="3038" spans="1:10">
      <c r="A3038" s="1">
        <v>41128</v>
      </c>
      <c r="B3038">
        <v>50.01</v>
      </c>
      <c r="C3038">
        <v>50.31</v>
      </c>
      <c r="D3038">
        <v>49.72</v>
      </c>
      <c r="E3038">
        <v>49.81</v>
      </c>
      <c r="F3038">
        <v>13676500</v>
      </c>
      <c r="G3038">
        <v>48.46</v>
      </c>
      <c r="H3038" t="s">
        <v>14</v>
      </c>
      <c r="I3038" s="22">
        <f t="shared" si="95"/>
        <v>3.3071547298527352E-3</v>
      </c>
      <c r="J3038" s="22" t="str">
        <f t="shared" si="96"/>
        <v>lost money</v>
      </c>
    </row>
    <row r="3039" spans="1:10">
      <c r="A3039" s="1">
        <v>41129</v>
      </c>
      <c r="B3039">
        <v>49.36</v>
      </c>
      <c r="C3039">
        <v>50.65</v>
      </c>
      <c r="D3039">
        <v>49.05</v>
      </c>
      <c r="E3039">
        <v>50.49</v>
      </c>
      <c r="F3039">
        <v>14724900</v>
      </c>
      <c r="G3039">
        <v>49.12</v>
      </c>
      <c r="H3039" t="s">
        <v>14</v>
      </c>
      <c r="I3039" s="22">
        <f t="shared" si="95"/>
        <v>1.3527568450507257E-2</v>
      </c>
      <c r="J3039" s="22" t="str">
        <f t="shared" si="96"/>
        <v/>
      </c>
    </row>
    <row r="3040" spans="1:10">
      <c r="A3040" s="1">
        <v>41130</v>
      </c>
      <c r="B3040">
        <v>50.28</v>
      </c>
      <c r="C3040">
        <v>50.47</v>
      </c>
      <c r="D3040">
        <v>49.85</v>
      </c>
      <c r="E3040">
        <v>49.96</v>
      </c>
      <c r="F3040">
        <v>10430300</v>
      </c>
      <c r="G3040">
        <v>48.6</v>
      </c>
      <c r="H3040" t="s">
        <v>14</v>
      </c>
      <c r="I3040" s="22">
        <f t="shared" si="95"/>
        <v>-1.0642752932438833E-2</v>
      </c>
      <c r="J3040" s="22" t="str">
        <f t="shared" si="96"/>
        <v>lost money</v>
      </c>
    </row>
    <row r="3041" spans="1:10">
      <c r="A3041" s="1">
        <v>41131</v>
      </c>
      <c r="B3041">
        <v>49.9</v>
      </c>
      <c r="C3041">
        <v>49.92</v>
      </c>
      <c r="D3041">
        <v>49.32</v>
      </c>
      <c r="E3041">
        <v>49.65</v>
      </c>
      <c r="F3041">
        <v>7449500</v>
      </c>
      <c r="G3041">
        <v>48.3</v>
      </c>
      <c r="H3041" t="s">
        <v>14</v>
      </c>
      <c r="I3041" s="22">
        <f t="shared" si="95"/>
        <v>-6.191970247921218E-3</v>
      </c>
      <c r="J3041" s="22" t="str">
        <f t="shared" si="96"/>
        <v>lost money</v>
      </c>
    </row>
    <row r="3042" spans="1:10">
      <c r="A3042" s="1">
        <v>41134</v>
      </c>
      <c r="B3042">
        <v>49.53</v>
      </c>
      <c r="C3042">
        <v>49.99</v>
      </c>
      <c r="D3042">
        <v>49.46</v>
      </c>
      <c r="E3042">
        <v>49.86</v>
      </c>
      <c r="F3042">
        <v>4875000</v>
      </c>
      <c r="G3042">
        <v>48.51</v>
      </c>
      <c r="H3042" t="s">
        <v>14</v>
      </c>
      <c r="I3042" s="22">
        <f t="shared" si="95"/>
        <v>4.3384015985981411E-3</v>
      </c>
      <c r="J3042" s="22" t="str">
        <f t="shared" si="96"/>
        <v/>
      </c>
    </row>
    <row r="3043" spans="1:10">
      <c r="A3043" s="1">
        <v>41135</v>
      </c>
      <c r="B3043">
        <v>49.93</v>
      </c>
      <c r="C3043">
        <v>50.15</v>
      </c>
      <c r="D3043">
        <v>49.53</v>
      </c>
      <c r="E3043">
        <v>49.69</v>
      </c>
      <c r="F3043">
        <v>6365900</v>
      </c>
      <c r="G3043">
        <v>48.34</v>
      </c>
      <c r="H3043" t="s">
        <v>14</v>
      </c>
      <c r="I3043" s="22">
        <f t="shared" si="95"/>
        <v>-3.5105869817880545E-3</v>
      </c>
      <c r="J3043" s="22" t="str">
        <f t="shared" si="96"/>
        <v>lost money</v>
      </c>
    </row>
    <row r="3044" spans="1:10">
      <c r="A3044" s="1">
        <v>41136</v>
      </c>
      <c r="B3044">
        <v>49.65</v>
      </c>
      <c r="C3044">
        <v>49.97</v>
      </c>
      <c r="D3044">
        <v>49.65</v>
      </c>
      <c r="E3044">
        <v>49.89</v>
      </c>
      <c r="F3044">
        <v>4887100</v>
      </c>
      <c r="G3044">
        <v>48.54</v>
      </c>
      <c r="H3044" t="s">
        <v>14</v>
      </c>
      <c r="I3044" s="22">
        <f t="shared" si="95"/>
        <v>4.1288250231181749E-3</v>
      </c>
      <c r="J3044" s="22" t="str">
        <f t="shared" si="96"/>
        <v/>
      </c>
    </row>
    <row r="3045" spans="1:10">
      <c r="A3045" s="1">
        <v>41137</v>
      </c>
      <c r="B3045">
        <v>49.99</v>
      </c>
      <c r="C3045">
        <v>50.42</v>
      </c>
      <c r="D3045">
        <v>49.8</v>
      </c>
      <c r="E3045">
        <v>50.25</v>
      </c>
      <c r="F3045">
        <v>8285700</v>
      </c>
      <c r="G3045">
        <v>48.89</v>
      </c>
      <c r="H3045" t="s">
        <v>14</v>
      </c>
      <c r="I3045" s="22">
        <f t="shared" si="95"/>
        <v>7.1846762920989597E-3</v>
      </c>
      <c r="J3045" s="22" t="str">
        <f t="shared" si="96"/>
        <v/>
      </c>
    </row>
    <row r="3046" spans="1:10">
      <c r="A3046" s="1">
        <v>41138</v>
      </c>
      <c r="B3046">
        <v>50.37</v>
      </c>
      <c r="C3046">
        <v>50.55</v>
      </c>
      <c r="D3046">
        <v>50.33</v>
      </c>
      <c r="E3046">
        <v>50.46</v>
      </c>
      <c r="F3046">
        <v>6354700</v>
      </c>
      <c r="G3046">
        <v>49.09</v>
      </c>
      <c r="H3046" t="s">
        <v>14</v>
      </c>
      <c r="I3046" s="22">
        <f t="shared" si="95"/>
        <v>4.0824714794069098E-3</v>
      </c>
      <c r="J3046" s="22" t="str">
        <f t="shared" si="96"/>
        <v/>
      </c>
    </row>
    <row r="3047" spans="1:10">
      <c r="A3047" s="1">
        <v>41141</v>
      </c>
      <c r="B3047">
        <v>50.32</v>
      </c>
      <c r="C3047">
        <v>50.59</v>
      </c>
      <c r="D3047">
        <v>50.15</v>
      </c>
      <c r="E3047">
        <v>50.45</v>
      </c>
      <c r="F3047">
        <v>6937100</v>
      </c>
      <c r="G3047">
        <v>49.08</v>
      </c>
      <c r="H3047" t="s">
        <v>14</v>
      </c>
      <c r="I3047" s="22">
        <f t="shared" si="95"/>
        <v>-2.0372822725052767E-4</v>
      </c>
      <c r="J3047" s="22" t="str">
        <f t="shared" si="96"/>
        <v/>
      </c>
    </row>
    <row r="3048" spans="1:10">
      <c r="A3048" s="1">
        <v>41142</v>
      </c>
      <c r="B3048">
        <v>50.41</v>
      </c>
      <c r="C3048">
        <v>50.48</v>
      </c>
      <c r="D3048">
        <v>49.51</v>
      </c>
      <c r="E3048">
        <v>49.64</v>
      </c>
      <c r="F3048">
        <v>7683200</v>
      </c>
      <c r="G3048">
        <v>48.29</v>
      </c>
      <c r="H3048" t="s">
        <v>14</v>
      </c>
      <c r="I3048" s="22">
        <f t="shared" si="95"/>
        <v>-1.6227119957260137E-2</v>
      </c>
      <c r="J3048" s="22" t="str">
        <f t="shared" si="96"/>
        <v>lost money</v>
      </c>
    </row>
    <row r="3049" spans="1:10">
      <c r="A3049" s="1">
        <v>41143</v>
      </c>
      <c r="B3049">
        <v>49.6</v>
      </c>
      <c r="C3049">
        <v>50.15</v>
      </c>
      <c r="D3049">
        <v>49.5</v>
      </c>
      <c r="E3049">
        <v>49.66</v>
      </c>
      <c r="F3049">
        <v>6759400</v>
      </c>
      <c r="G3049">
        <v>48.31</v>
      </c>
      <c r="H3049" t="s">
        <v>14</v>
      </c>
      <c r="I3049" s="22">
        <f t="shared" si="95"/>
        <v>4.1407868086475354E-4</v>
      </c>
      <c r="J3049" s="22" t="str">
        <f t="shared" si="96"/>
        <v/>
      </c>
    </row>
    <row r="3050" spans="1:10">
      <c r="A3050" s="1">
        <v>41144</v>
      </c>
      <c r="B3050">
        <v>49.61</v>
      </c>
      <c r="C3050">
        <v>49.66</v>
      </c>
      <c r="D3050">
        <v>49.03</v>
      </c>
      <c r="E3050">
        <v>49.17</v>
      </c>
      <c r="F3050">
        <v>5428300</v>
      </c>
      <c r="G3050">
        <v>47.84</v>
      </c>
      <c r="H3050" t="s">
        <v>14</v>
      </c>
      <c r="I3050" s="22">
        <f t="shared" si="95"/>
        <v>-9.7764689239389236E-3</v>
      </c>
      <c r="J3050" s="22" t="str">
        <f t="shared" si="96"/>
        <v>lost money</v>
      </c>
    </row>
    <row r="3051" spans="1:10">
      <c r="A3051" s="1">
        <v>41145</v>
      </c>
      <c r="B3051">
        <v>49.08</v>
      </c>
      <c r="C3051">
        <v>49.61</v>
      </c>
      <c r="D3051">
        <v>49.01</v>
      </c>
      <c r="E3051">
        <v>49.56</v>
      </c>
      <c r="F3051">
        <v>5793700</v>
      </c>
      <c r="G3051">
        <v>48.22</v>
      </c>
      <c r="H3051" t="s">
        <v>14</v>
      </c>
      <c r="I3051" s="22">
        <f t="shared" si="95"/>
        <v>7.9117631106485516E-3</v>
      </c>
      <c r="J3051" s="22" t="str">
        <f t="shared" si="96"/>
        <v/>
      </c>
    </row>
    <row r="3052" spans="1:10">
      <c r="A3052" s="1">
        <v>41148</v>
      </c>
      <c r="B3052">
        <v>49.49</v>
      </c>
      <c r="C3052">
        <v>49.85</v>
      </c>
      <c r="D3052">
        <v>49.41</v>
      </c>
      <c r="E3052">
        <v>49.63</v>
      </c>
      <c r="F3052">
        <v>6228800</v>
      </c>
      <c r="G3052">
        <v>48.28</v>
      </c>
      <c r="H3052" t="s">
        <v>14</v>
      </c>
      <c r="I3052" s="22">
        <f t="shared" si="95"/>
        <v>1.2435234763059056E-3</v>
      </c>
      <c r="J3052" s="22" t="str">
        <f t="shared" si="96"/>
        <v/>
      </c>
    </row>
    <row r="3053" spans="1:10">
      <c r="A3053" s="1">
        <v>41149</v>
      </c>
      <c r="B3053">
        <v>49.44</v>
      </c>
      <c r="C3053">
        <v>49.85</v>
      </c>
      <c r="D3053">
        <v>49.29</v>
      </c>
      <c r="E3053">
        <v>49.63</v>
      </c>
      <c r="F3053">
        <v>7962400</v>
      </c>
      <c r="G3053">
        <v>48.28</v>
      </c>
      <c r="H3053" t="s">
        <v>14</v>
      </c>
      <c r="I3053" s="22">
        <f t="shared" si="95"/>
        <v>0</v>
      </c>
      <c r="J3053" s="22" t="str">
        <f t="shared" si="96"/>
        <v/>
      </c>
    </row>
    <row r="3054" spans="1:10">
      <c r="A3054" s="1">
        <v>41150</v>
      </c>
      <c r="B3054">
        <v>49.64</v>
      </c>
      <c r="C3054">
        <v>50.17</v>
      </c>
      <c r="D3054">
        <v>49.59</v>
      </c>
      <c r="E3054">
        <v>50.04</v>
      </c>
      <c r="F3054">
        <v>7685100</v>
      </c>
      <c r="G3054">
        <v>48.68</v>
      </c>
      <c r="H3054" t="s">
        <v>14</v>
      </c>
      <c r="I3054" s="22">
        <f t="shared" si="95"/>
        <v>8.2508718899955962E-3</v>
      </c>
      <c r="J3054" s="22" t="str">
        <f t="shared" si="96"/>
        <v/>
      </c>
    </row>
    <row r="3055" spans="1:10">
      <c r="A3055" s="1">
        <v>41151</v>
      </c>
      <c r="B3055">
        <v>49.72</v>
      </c>
      <c r="C3055">
        <v>49.78</v>
      </c>
      <c r="D3055">
        <v>49.37</v>
      </c>
      <c r="E3055">
        <v>49.42</v>
      </c>
      <c r="F3055">
        <v>6697800</v>
      </c>
      <c r="G3055">
        <v>48.08</v>
      </c>
      <c r="H3055" t="s">
        <v>14</v>
      </c>
      <c r="I3055" s="22">
        <f t="shared" si="95"/>
        <v>-1.2401977892374343E-2</v>
      </c>
      <c r="J3055" s="22" t="str">
        <f t="shared" si="96"/>
        <v>lost money</v>
      </c>
    </row>
    <row r="3056" spans="1:10">
      <c r="A3056" s="1">
        <v>41152</v>
      </c>
      <c r="B3056">
        <v>49.64</v>
      </c>
      <c r="C3056">
        <v>49.9</v>
      </c>
      <c r="D3056">
        <v>49.4</v>
      </c>
      <c r="E3056">
        <v>49.47</v>
      </c>
      <c r="F3056">
        <v>6232500</v>
      </c>
      <c r="G3056">
        <v>48.13</v>
      </c>
      <c r="H3056" t="s">
        <v>14</v>
      </c>
      <c r="I3056" s="22">
        <f t="shared" si="95"/>
        <v>1.0393930880659705E-3</v>
      </c>
      <c r="J3056" s="22" t="str">
        <f t="shared" si="96"/>
        <v>lost money</v>
      </c>
    </row>
    <row r="3057" spans="1:10">
      <c r="A3057" s="1">
        <v>41156</v>
      </c>
      <c r="B3057">
        <v>49.52</v>
      </c>
      <c r="C3057">
        <v>49.83</v>
      </c>
      <c r="D3057">
        <v>49.23</v>
      </c>
      <c r="E3057">
        <v>49.66</v>
      </c>
      <c r="F3057">
        <v>6988700</v>
      </c>
      <c r="G3057">
        <v>48.31</v>
      </c>
      <c r="H3057" t="s">
        <v>14</v>
      </c>
      <c r="I3057" s="22">
        <f t="shared" si="95"/>
        <v>3.7328952512972148E-3</v>
      </c>
      <c r="J3057" s="22" t="str">
        <f t="shared" si="96"/>
        <v/>
      </c>
    </row>
    <row r="3058" spans="1:10">
      <c r="A3058" s="1">
        <v>41157</v>
      </c>
      <c r="B3058">
        <v>50.14</v>
      </c>
      <c r="C3058">
        <v>51.24</v>
      </c>
      <c r="D3058">
        <v>50.09</v>
      </c>
      <c r="E3058">
        <v>50.79</v>
      </c>
      <c r="F3058">
        <v>16689300</v>
      </c>
      <c r="G3058">
        <v>49.41</v>
      </c>
      <c r="H3058" t="s">
        <v>14</v>
      </c>
      <c r="I3058" s="22">
        <f t="shared" si="95"/>
        <v>2.2514254291343128E-2</v>
      </c>
      <c r="J3058" s="22" t="str">
        <f t="shared" si="96"/>
        <v/>
      </c>
    </row>
    <row r="3059" spans="1:10">
      <c r="A3059" s="1">
        <v>41158</v>
      </c>
      <c r="B3059">
        <v>50.7</v>
      </c>
      <c r="C3059">
        <v>51.87</v>
      </c>
      <c r="D3059">
        <v>50.64</v>
      </c>
      <c r="E3059">
        <v>51.86</v>
      </c>
      <c r="F3059">
        <v>10124600</v>
      </c>
      <c r="G3059">
        <v>50.45</v>
      </c>
      <c r="H3059" t="s">
        <v>14</v>
      </c>
      <c r="I3059" s="22">
        <f t="shared" si="95"/>
        <v>2.0829913941959349E-2</v>
      </c>
      <c r="J3059" s="22" t="str">
        <f t="shared" si="96"/>
        <v/>
      </c>
    </row>
    <row r="3060" spans="1:10">
      <c r="A3060" s="1">
        <v>41159</v>
      </c>
      <c r="B3060">
        <v>51.87</v>
      </c>
      <c r="C3060">
        <v>52</v>
      </c>
      <c r="D3060">
        <v>51.66</v>
      </c>
      <c r="E3060">
        <v>51.74</v>
      </c>
      <c r="F3060">
        <v>8923600</v>
      </c>
      <c r="G3060">
        <v>50.34</v>
      </c>
      <c r="H3060" t="s">
        <v>14</v>
      </c>
      <c r="I3060" s="22">
        <f t="shared" si="95"/>
        <v>-2.1827570924481099E-3</v>
      </c>
      <c r="J3060" s="22" t="str">
        <f t="shared" si="96"/>
        <v>lost money</v>
      </c>
    </row>
    <row r="3061" spans="1:10">
      <c r="A3061" s="1">
        <v>41162</v>
      </c>
      <c r="B3061">
        <v>51.61</v>
      </c>
      <c r="C3061">
        <v>51.8</v>
      </c>
      <c r="D3061">
        <v>51.48</v>
      </c>
      <c r="E3061">
        <v>51.52</v>
      </c>
      <c r="F3061">
        <v>7479300</v>
      </c>
      <c r="G3061">
        <v>50.12</v>
      </c>
      <c r="H3061" t="s">
        <v>14</v>
      </c>
      <c r="I3061" s="22">
        <f t="shared" si="95"/>
        <v>-4.3798596793023286E-3</v>
      </c>
      <c r="J3061" s="22" t="str">
        <f t="shared" si="96"/>
        <v>lost money</v>
      </c>
    </row>
    <row r="3062" spans="1:10">
      <c r="A3062" s="1">
        <v>41163</v>
      </c>
      <c r="B3062">
        <v>51.47</v>
      </c>
      <c r="C3062">
        <v>51.67</v>
      </c>
      <c r="D3062">
        <v>51.43</v>
      </c>
      <c r="E3062">
        <v>51.56</v>
      </c>
      <c r="F3062">
        <v>6631700</v>
      </c>
      <c r="G3062">
        <v>50.16</v>
      </c>
      <c r="H3062" t="s">
        <v>14</v>
      </c>
      <c r="I3062" s="22">
        <f t="shared" si="95"/>
        <v>7.9776629679771064E-4</v>
      </c>
      <c r="J3062" s="22" t="str">
        <f t="shared" si="96"/>
        <v/>
      </c>
    </row>
    <row r="3063" spans="1:10">
      <c r="A3063" s="1">
        <v>41164</v>
      </c>
      <c r="B3063">
        <v>51.6</v>
      </c>
      <c r="C3063">
        <v>51.79</v>
      </c>
      <c r="D3063">
        <v>51.27</v>
      </c>
      <c r="E3063">
        <v>51.7</v>
      </c>
      <c r="F3063">
        <v>7100200</v>
      </c>
      <c r="G3063">
        <v>50.3</v>
      </c>
      <c r="H3063" t="s">
        <v>14</v>
      </c>
      <c r="I3063" s="22">
        <f t="shared" si="95"/>
        <v>2.7871807810283459E-3</v>
      </c>
      <c r="J3063" s="22" t="str">
        <f t="shared" si="96"/>
        <v/>
      </c>
    </row>
    <row r="3064" spans="1:10">
      <c r="A3064" s="1">
        <v>41165</v>
      </c>
      <c r="B3064">
        <v>51.73</v>
      </c>
      <c r="C3064">
        <v>52.67</v>
      </c>
      <c r="D3064">
        <v>51.73</v>
      </c>
      <c r="E3064">
        <v>52.6</v>
      </c>
      <c r="F3064">
        <v>11184700</v>
      </c>
      <c r="G3064">
        <v>51.17</v>
      </c>
      <c r="H3064" t="s">
        <v>14</v>
      </c>
      <c r="I3064" s="22">
        <f t="shared" si="95"/>
        <v>1.7148345711307102E-2</v>
      </c>
      <c r="J3064" s="22" t="str">
        <f t="shared" si="96"/>
        <v/>
      </c>
    </row>
    <row r="3065" spans="1:10">
      <c r="A3065" s="1">
        <v>41166</v>
      </c>
      <c r="B3065">
        <v>52.45</v>
      </c>
      <c r="C3065">
        <v>52.75</v>
      </c>
      <c r="D3065">
        <v>52.17</v>
      </c>
      <c r="E3065">
        <v>52.35</v>
      </c>
      <c r="F3065">
        <v>9507000</v>
      </c>
      <c r="G3065">
        <v>50.93</v>
      </c>
      <c r="H3065" t="s">
        <v>14</v>
      </c>
      <c r="I3065" s="22">
        <f t="shared" si="95"/>
        <v>-4.701281920487254E-3</v>
      </c>
      <c r="J3065" s="22" t="str">
        <f t="shared" si="96"/>
        <v>lost money</v>
      </c>
    </row>
    <row r="3066" spans="1:10">
      <c r="A3066" s="1">
        <v>41169</v>
      </c>
      <c r="B3066">
        <v>52.32</v>
      </c>
      <c r="C3066">
        <v>52.43</v>
      </c>
      <c r="D3066">
        <v>51.96</v>
      </c>
      <c r="E3066">
        <v>52.15</v>
      </c>
      <c r="F3066">
        <v>7852900</v>
      </c>
      <c r="G3066">
        <v>50.73</v>
      </c>
      <c r="H3066" t="s">
        <v>14</v>
      </c>
      <c r="I3066" s="22">
        <f t="shared" si="95"/>
        <v>-3.9346893179146615E-3</v>
      </c>
      <c r="J3066" s="22" t="str">
        <f t="shared" si="96"/>
        <v>lost money</v>
      </c>
    </row>
    <row r="3067" spans="1:10">
      <c r="A3067" s="1">
        <v>41170</v>
      </c>
      <c r="B3067">
        <v>52.03</v>
      </c>
      <c r="C3067">
        <v>52.12</v>
      </c>
      <c r="D3067">
        <v>51.77</v>
      </c>
      <c r="E3067">
        <v>51.9</v>
      </c>
      <c r="F3067">
        <v>7100800</v>
      </c>
      <c r="G3067">
        <v>50.49</v>
      </c>
      <c r="H3067" t="s">
        <v>14</v>
      </c>
      <c r="I3067" s="22">
        <f t="shared" si="95"/>
        <v>-4.7421547077741441E-3</v>
      </c>
      <c r="J3067" s="22" t="str">
        <f t="shared" si="96"/>
        <v>lost money</v>
      </c>
    </row>
    <row r="3068" spans="1:10">
      <c r="A3068" s="1">
        <v>41171</v>
      </c>
      <c r="B3068">
        <v>51.78</v>
      </c>
      <c r="C3068">
        <v>52.95</v>
      </c>
      <c r="D3068">
        <v>51.78</v>
      </c>
      <c r="E3068">
        <v>52.7</v>
      </c>
      <c r="F3068">
        <v>7822500</v>
      </c>
      <c r="G3068">
        <v>51.27</v>
      </c>
      <c r="H3068" t="s">
        <v>14</v>
      </c>
      <c r="I3068" s="22">
        <f t="shared" si="95"/>
        <v>1.5330488924784967E-2</v>
      </c>
      <c r="J3068" s="22" t="str">
        <f t="shared" si="96"/>
        <v/>
      </c>
    </row>
    <row r="3069" spans="1:10">
      <c r="A3069" s="1">
        <v>41172</v>
      </c>
      <c r="B3069">
        <v>52.43</v>
      </c>
      <c r="C3069">
        <v>52.91</v>
      </c>
      <c r="D3069">
        <v>52.43</v>
      </c>
      <c r="E3069">
        <v>52.66</v>
      </c>
      <c r="F3069">
        <v>8598300</v>
      </c>
      <c r="G3069">
        <v>51.23</v>
      </c>
      <c r="H3069" t="s">
        <v>14</v>
      </c>
      <c r="I3069" s="22">
        <f t="shared" si="95"/>
        <v>-7.8048784449838524E-4</v>
      </c>
      <c r="J3069" s="22" t="str">
        <f t="shared" si="96"/>
        <v/>
      </c>
    </row>
    <row r="3070" spans="1:10">
      <c r="A3070" s="1">
        <v>41173</v>
      </c>
      <c r="B3070">
        <v>52.94</v>
      </c>
      <c r="C3070">
        <v>53.39</v>
      </c>
      <c r="D3070">
        <v>52.73</v>
      </c>
      <c r="E3070">
        <v>52.74</v>
      </c>
      <c r="F3070">
        <v>13229300</v>
      </c>
      <c r="G3070">
        <v>51.31</v>
      </c>
      <c r="H3070" t="s">
        <v>14</v>
      </c>
      <c r="I3070" s="22">
        <f t="shared" si="95"/>
        <v>1.5603670027625998E-3</v>
      </c>
      <c r="J3070" s="22" t="str">
        <f t="shared" si="96"/>
        <v>lost money</v>
      </c>
    </row>
    <row r="3071" spans="1:10">
      <c r="A3071" s="1">
        <v>41176</v>
      </c>
      <c r="B3071">
        <v>52.67</v>
      </c>
      <c r="C3071">
        <v>53.05</v>
      </c>
      <c r="D3071">
        <v>52.61</v>
      </c>
      <c r="E3071">
        <v>52.92</v>
      </c>
      <c r="F3071">
        <v>6148000</v>
      </c>
      <c r="G3071">
        <v>51.48</v>
      </c>
      <c r="H3071" t="s">
        <v>14</v>
      </c>
      <c r="I3071" s="22">
        <f t="shared" si="95"/>
        <v>3.30771777405232E-3</v>
      </c>
      <c r="J3071" s="22" t="str">
        <f t="shared" si="96"/>
        <v/>
      </c>
    </row>
    <row r="3072" spans="1:10">
      <c r="A3072" s="1">
        <v>41177</v>
      </c>
      <c r="B3072">
        <v>52.89</v>
      </c>
      <c r="C3072">
        <v>53.4</v>
      </c>
      <c r="D3072">
        <v>52.54</v>
      </c>
      <c r="E3072">
        <v>52.54</v>
      </c>
      <c r="F3072">
        <v>7421200</v>
      </c>
      <c r="G3072">
        <v>51.11</v>
      </c>
      <c r="H3072" t="s">
        <v>14</v>
      </c>
      <c r="I3072" s="22">
        <f t="shared" si="95"/>
        <v>-7.2132099477376288E-3</v>
      </c>
      <c r="J3072" s="22" t="str">
        <f t="shared" si="96"/>
        <v>lost money</v>
      </c>
    </row>
    <row r="3073" spans="1:10">
      <c r="A3073" s="1">
        <v>41178</v>
      </c>
      <c r="B3073">
        <v>52.42</v>
      </c>
      <c r="C3073">
        <v>52.6</v>
      </c>
      <c r="D3073">
        <v>51.77</v>
      </c>
      <c r="E3073">
        <v>51.94</v>
      </c>
      <c r="F3073">
        <v>8017900</v>
      </c>
      <c r="G3073">
        <v>50.53</v>
      </c>
      <c r="H3073" t="s">
        <v>14</v>
      </c>
      <c r="I3073" s="22">
        <f t="shared" si="95"/>
        <v>-1.1412953476370946E-2</v>
      </c>
      <c r="J3073" s="22" t="str">
        <f t="shared" si="96"/>
        <v>lost money</v>
      </c>
    </row>
    <row r="3074" spans="1:10">
      <c r="A3074" s="1">
        <v>41179</v>
      </c>
      <c r="B3074">
        <v>52.12</v>
      </c>
      <c r="C3074">
        <v>52.78</v>
      </c>
      <c r="D3074">
        <v>51.97</v>
      </c>
      <c r="E3074">
        <v>52.58</v>
      </c>
      <c r="F3074">
        <v>5309400</v>
      </c>
      <c r="G3074">
        <v>51.15</v>
      </c>
      <c r="H3074" t="s">
        <v>14</v>
      </c>
      <c r="I3074" s="22">
        <f t="shared" si="95"/>
        <v>1.2195273093818206E-2</v>
      </c>
      <c r="J3074" s="22" t="str">
        <f t="shared" si="96"/>
        <v/>
      </c>
    </row>
    <row r="3075" spans="1:10">
      <c r="A3075" s="1">
        <v>41180</v>
      </c>
      <c r="B3075">
        <v>52.41</v>
      </c>
      <c r="C3075">
        <v>52.53</v>
      </c>
      <c r="D3075">
        <v>52.05</v>
      </c>
      <c r="E3075">
        <v>52.28</v>
      </c>
      <c r="F3075">
        <v>6695200</v>
      </c>
      <c r="G3075">
        <v>50.86</v>
      </c>
      <c r="H3075" t="s">
        <v>14</v>
      </c>
      <c r="I3075" s="22">
        <f t="shared" ref="I3075:I3138" si="97">IF(A3075=$A$2,"",LN(G3075/G3074))</f>
        <v>-5.6857324036618606E-3</v>
      </c>
      <c r="J3075" s="22" t="str">
        <f t="shared" ref="J3075:J3138" si="98">IF(B3075&gt;E3075,"lost money","")</f>
        <v>lost money</v>
      </c>
    </row>
    <row r="3076" spans="1:10">
      <c r="A3076" s="1">
        <v>41183</v>
      </c>
      <c r="B3076">
        <v>52.31</v>
      </c>
      <c r="C3076">
        <v>52.86</v>
      </c>
      <c r="D3076">
        <v>51.92</v>
      </c>
      <c r="E3076">
        <v>52.07</v>
      </c>
      <c r="F3076">
        <v>6557200</v>
      </c>
      <c r="G3076">
        <v>50.66</v>
      </c>
      <c r="H3076" t="s">
        <v>14</v>
      </c>
      <c r="I3076" s="22">
        <f t="shared" si="97"/>
        <v>-3.9401154204444537E-3</v>
      </c>
      <c r="J3076" s="22" t="str">
        <f t="shared" si="98"/>
        <v>lost money</v>
      </c>
    </row>
    <row r="3077" spans="1:10">
      <c r="A3077" s="1">
        <v>41184</v>
      </c>
      <c r="B3077">
        <v>52.13</v>
      </c>
      <c r="C3077">
        <v>52.25</v>
      </c>
      <c r="D3077">
        <v>51.47</v>
      </c>
      <c r="E3077">
        <v>51.64</v>
      </c>
      <c r="F3077">
        <v>7243900</v>
      </c>
      <c r="G3077">
        <v>50.24</v>
      </c>
      <c r="H3077" t="s">
        <v>14</v>
      </c>
      <c r="I3077" s="22">
        <f t="shared" si="97"/>
        <v>-8.3251224135858157E-3</v>
      </c>
      <c r="J3077" s="22" t="str">
        <f t="shared" si="98"/>
        <v>lost money</v>
      </c>
    </row>
    <row r="3078" spans="1:10">
      <c r="A3078" s="1">
        <v>41185</v>
      </c>
      <c r="B3078">
        <v>51.72</v>
      </c>
      <c r="C3078">
        <v>52.69</v>
      </c>
      <c r="D3078">
        <v>51.69</v>
      </c>
      <c r="E3078">
        <v>52.47</v>
      </c>
      <c r="F3078">
        <v>6626600</v>
      </c>
      <c r="G3078">
        <v>51.05</v>
      </c>
      <c r="H3078" t="s">
        <v>14</v>
      </c>
      <c r="I3078" s="22">
        <f t="shared" si="97"/>
        <v>1.5994022450731137E-2</v>
      </c>
      <c r="J3078" s="22" t="str">
        <f t="shared" si="98"/>
        <v/>
      </c>
    </row>
    <row r="3079" spans="1:10">
      <c r="A3079" s="1">
        <v>41186</v>
      </c>
      <c r="B3079">
        <v>52.72</v>
      </c>
      <c r="C3079">
        <v>53.08</v>
      </c>
      <c r="D3079">
        <v>52.39</v>
      </c>
      <c r="E3079">
        <v>52.63</v>
      </c>
      <c r="F3079">
        <v>6507800</v>
      </c>
      <c r="G3079">
        <v>51.2</v>
      </c>
      <c r="H3079" t="s">
        <v>14</v>
      </c>
      <c r="I3079" s="22">
        <f t="shared" si="97"/>
        <v>2.9339874347875704E-3</v>
      </c>
      <c r="J3079" s="22" t="str">
        <f t="shared" si="98"/>
        <v>lost money</v>
      </c>
    </row>
    <row r="3080" spans="1:10">
      <c r="A3080" s="1">
        <v>41187</v>
      </c>
      <c r="B3080">
        <v>52.84</v>
      </c>
      <c r="C3080">
        <v>53.15</v>
      </c>
      <c r="D3080">
        <v>52.76</v>
      </c>
      <c r="E3080">
        <v>52.97</v>
      </c>
      <c r="F3080">
        <v>5223200</v>
      </c>
      <c r="G3080">
        <v>51.53</v>
      </c>
      <c r="H3080" t="s">
        <v>14</v>
      </c>
      <c r="I3080" s="22">
        <f t="shared" si="97"/>
        <v>6.4246302946707147E-3</v>
      </c>
      <c r="J3080" s="22" t="str">
        <f t="shared" si="98"/>
        <v/>
      </c>
    </row>
    <row r="3081" spans="1:10">
      <c r="A3081" s="1">
        <v>41190</v>
      </c>
      <c r="B3081">
        <v>52.37</v>
      </c>
      <c r="C3081">
        <v>52.5</v>
      </c>
      <c r="D3081">
        <v>52.11</v>
      </c>
      <c r="E3081">
        <v>52.33</v>
      </c>
      <c r="F3081">
        <v>5827900</v>
      </c>
      <c r="G3081">
        <v>50.91</v>
      </c>
      <c r="H3081" t="s">
        <v>14</v>
      </c>
      <c r="I3081" s="22">
        <f t="shared" si="97"/>
        <v>-1.2104794425888405E-2</v>
      </c>
      <c r="J3081" s="22" t="str">
        <f t="shared" si="98"/>
        <v>lost money</v>
      </c>
    </row>
    <row r="3082" spans="1:10">
      <c r="A3082" s="1">
        <v>41191</v>
      </c>
      <c r="B3082">
        <v>52.32</v>
      </c>
      <c r="C3082">
        <v>52.33</v>
      </c>
      <c r="D3082">
        <v>51.46</v>
      </c>
      <c r="E3082">
        <v>51.51</v>
      </c>
      <c r="F3082">
        <v>8072100</v>
      </c>
      <c r="G3082">
        <v>50.11</v>
      </c>
      <c r="H3082" t="s">
        <v>14</v>
      </c>
      <c r="I3082" s="22">
        <f t="shared" si="97"/>
        <v>-1.5838778942611261E-2</v>
      </c>
      <c r="J3082" s="22" t="str">
        <f t="shared" si="98"/>
        <v>lost money</v>
      </c>
    </row>
    <row r="3083" spans="1:10">
      <c r="A3083" s="1">
        <v>41192</v>
      </c>
      <c r="B3083">
        <v>51.39</v>
      </c>
      <c r="C3083">
        <v>51.63</v>
      </c>
      <c r="D3083">
        <v>51.09</v>
      </c>
      <c r="E3083">
        <v>51.21</v>
      </c>
      <c r="F3083">
        <v>6407900</v>
      </c>
      <c r="G3083">
        <v>49.82</v>
      </c>
      <c r="H3083" t="s">
        <v>14</v>
      </c>
      <c r="I3083" s="22">
        <f t="shared" si="97"/>
        <v>-5.8040791375988474E-3</v>
      </c>
      <c r="J3083" s="22" t="str">
        <f t="shared" si="98"/>
        <v>lost money</v>
      </c>
    </row>
    <row r="3084" spans="1:10">
      <c r="A3084" s="1">
        <v>41193</v>
      </c>
      <c r="B3084">
        <v>51.33</v>
      </c>
      <c r="C3084">
        <v>51.56</v>
      </c>
      <c r="D3084">
        <v>50.2</v>
      </c>
      <c r="E3084">
        <v>50.34</v>
      </c>
      <c r="F3084">
        <v>10118400</v>
      </c>
      <c r="G3084">
        <v>48.97</v>
      </c>
      <c r="H3084" t="s">
        <v>14</v>
      </c>
      <c r="I3084" s="22">
        <f t="shared" si="97"/>
        <v>-1.7208644119808412E-2</v>
      </c>
      <c r="J3084" s="22" t="str">
        <f t="shared" si="98"/>
        <v>lost money</v>
      </c>
    </row>
    <row r="3085" spans="1:10">
      <c r="A3085" s="1">
        <v>41194</v>
      </c>
      <c r="B3085">
        <v>50.55</v>
      </c>
      <c r="C3085">
        <v>50.75</v>
      </c>
      <c r="D3085">
        <v>50.42</v>
      </c>
      <c r="E3085">
        <v>50.59</v>
      </c>
      <c r="F3085">
        <v>6135600</v>
      </c>
      <c r="G3085">
        <v>49.22</v>
      </c>
      <c r="H3085" t="s">
        <v>14</v>
      </c>
      <c r="I3085" s="22">
        <f t="shared" si="97"/>
        <v>5.0921792486838553E-3</v>
      </c>
      <c r="J3085" s="22" t="str">
        <f t="shared" si="98"/>
        <v/>
      </c>
    </row>
    <row r="3086" spans="1:10">
      <c r="A3086" s="1">
        <v>41197</v>
      </c>
      <c r="B3086">
        <v>50.59</v>
      </c>
      <c r="C3086">
        <v>50.81</v>
      </c>
      <c r="D3086">
        <v>50.36</v>
      </c>
      <c r="E3086">
        <v>50.79</v>
      </c>
      <c r="F3086">
        <v>6871200</v>
      </c>
      <c r="G3086">
        <v>49.41</v>
      </c>
      <c r="H3086" t="s">
        <v>14</v>
      </c>
      <c r="I3086" s="22">
        <f t="shared" si="97"/>
        <v>3.8527878947486947E-3</v>
      </c>
      <c r="J3086" s="22" t="str">
        <f t="shared" si="98"/>
        <v/>
      </c>
    </row>
    <row r="3087" spans="1:10">
      <c r="A3087" s="1">
        <v>41198</v>
      </c>
      <c r="B3087">
        <v>51.17</v>
      </c>
      <c r="C3087">
        <v>51.5</v>
      </c>
      <c r="D3087">
        <v>51.08</v>
      </c>
      <c r="E3087">
        <v>51.24</v>
      </c>
      <c r="F3087">
        <v>4997300</v>
      </c>
      <c r="G3087">
        <v>49.85</v>
      </c>
      <c r="H3087" t="s">
        <v>14</v>
      </c>
      <c r="I3087" s="22">
        <f t="shared" si="97"/>
        <v>8.8656635501888313E-3</v>
      </c>
      <c r="J3087" s="22" t="str">
        <f t="shared" si="98"/>
        <v/>
      </c>
    </row>
    <row r="3088" spans="1:10">
      <c r="A3088" s="1">
        <v>41199</v>
      </c>
      <c r="B3088">
        <v>51.4</v>
      </c>
      <c r="C3088">
        <v>52.4</v>
      </c>
      <c r="D3088">
        <v>51.33</v>
      </c>
      <c r="E3088">
        <v>52.29</v>
      </c>
      <c r="F3088">
        <v>7787900</v>
      </c>
      <c r="G3088">
        <v>50.87</v>
      </c>
      <c r="H3088" t="s">
        <v>14</v>
      </c>
      <c r="I3088" s="22">
        <f t="shared" si="97"/>
        <v>2.0254862426826184E-2</v>
      </c>
      <c r="J3088" s="22" t="str">
        <f t="shared" si="98"/>
        <v/>
      </c>
    </row>
    <row r="3089" spans="1:10">
      <c r="A3089" s="1">
        <v>41200</v>
      </c>
      <c r="B3089">
        <v>52.26</v>
      </c>
      <c r="C3089">
        <v>52.74</v>
      </c>
      <c r="D3089">
        <v>52.12</v>
      </c>
      <c r="E3089">
        <v>52.42</v>
      </c>
      <c r="F3089">
        <v>6290600</v>
      </c>
      <c r="G3089">
        <v>51</v>
      </c>
      <c r="H3089" t="s">
        <v>14</v>
      </c>
      <c r="I3089" s="22">
        <f t="shared" si="97"/>
        <v>2.5522738896521812E-3</v>
      </c>
      <c r="J3089" s="22" t="str">
        <f t="shared" si="98"/>
        <v/>
      </c>
    </row>
    <row r="3090" spans="1:10">
      <c r="A3090" s="1">
        <v>41201</v>
      </c>
      <c r="B3090">
        <v>52.5</v>
      </c>
      <c r="C3090">
        <v>52.59</v>
      </c>
      <c r="D3090">
        <v>51.6</v>
      </c>
      <c r="E3090">
        <v>51.9</v>
      </c>
      <c r="F3090">
        <v>8454800</v>
      </c>
      <c r="G3090">
        <v>50.49</v>
      </c>
      <c r="H3090" t="s">
        <v>14</v>
      </c>
      <c r="I3090" s="22">
        <f t="shared" si="97"/>
        <v>-1.0050335853501451E-2</v>
      </c>
      <c r="J3090" s="22" t="str">
        <f t="shared" si="98"/>
        <v>lost money</v>
      </c>
    </row>
    <row r="3091" spans="1:10">
      <c r="A3091" s="1">
        <v>41204</v>
      </c>
      <c r="B3091">
        <v>51.81</v>
      </c>
      <c r="C3091">
        <v>52.05</v>
      </c>
      <c r="D3091">
        <v>51.4</v>
      </c>
      <c r="E3091">
        <v>51.79</v>
      </c>
      <c r="F3091">
        <v>6131800</v>
      </c>
      <c r="G3091">
        <v>50.38</v>
      </c>
      <c r="H3091" t="s">
        <v>14</v>
      </c>
      <c r="I3091" s="22">
        <f t="shared" si="97"/>
        <v>-2.1810259463602259E-3</v>
      </c>
      <c r="J3091" s="22" t="str">
        <f t="shared" si="98"/>
        <v>lost money</v>
      </c>
    </row>
    <row r="3092" spans="1:10">
      <c r="A3092" s="1">
        <v>41205</v>
      </c>
      <c r="B3092">
        <v>51.33</v>
      </c>
      <c r="C3092">
        <v>51.35</v>
      </c>
      <c r="D3092">
        <v>50.75</v>
      </c>
      <c r="E3092">
        <v>50.76</v>
      </c>
      <c r="F3092">
        <v>8531000</v>
      </c>
      <c r="G3092">
        <v>49.38</v>
      </c>
      <c r="H3092" t="s">
        <v>14</v>
      </c>
      <c r="I3092" s="22">
        <f t="shared" si="97"/>
        <v>-2.0048787007430725E-2</v>
      </c>
      <c r="J3092" s="22" t="str">
        <f t="shared" si="98"/>
        <v>lost money</v>
      </c>
    </row>
    <row r="3093" spans="1:10">
      <c r="A3093" s="1">
        <v>41206</v>
      </c>
      <c r="B3093">
        <v>50.95</v>
      </c>
      <c r="C3093">
        <v>51.08</v>
      </c>
      <c r="D3093">
        <v>50.56</v>
      </c>
      <c r="E3093">
        <v>50.65</v>
      </c>
      <c r="F3093">
        <v>6069500</v>
      </c>
      <c r="G3093">
        <v>49.28</v>
      </c>
      <c r="H3093" t="s">
        <v>14</v>
      </c>
      <c r="I3093" s="22">
        <f t="shared" si="97"/>
        <v>-2.0271646917691889E-3</v>
      </c>
      <c r="J3093" s="22" t="str">
        <f t="shared" si="98"/>
        <v>lost money</v>
      </c>
    </row>
    <row r="3094" spans="1:10">
      <c r="A3094" s="1">
        <v>41207</v>
      </c>
      <c r="B3094">
        <v>50.93</v>
      </c>
      <c r="C3094">
        <v>51.03</v>
      </c>
      <c r="D3094">
        <v>49.96</v>
      </c>
      <c r="E3094">
        <v>50.26</v>
      </c>
      <c r="F3094">
        <v>6794100</v>
      </c>
      <c r="G3094">
        <v>48.9</v>
      </c>
      <c r="H3094" t="s">
        <v>14</v>
      </c>
      <c r="I3094" s="22">
        <f t="shared" si="97"/>
        <v>-7.7409227444380094E-3</v>
      </c>
      <c r="J3094" s="22" t="str">
        <f t="shared" si="98"/>
        <v>lost money</v>
      </c>
    </row>
    <row r="3095" spans="1:10">
      <c r="A3095" s="1">
        <v>41208</v>
      </c>
      <c r="B3095">
        <v>50.36</v>
      </c>
      <c r="C3095">
        <v>50.54</v>
      </c>
      <c r="D3095">
        <v>49.52</v>
      </c>
      <c r="E3095">
        <v>50.08</v>
      </c>
      <c r="F3095">
        <v>8359800</v>
      </c>
      <c r="G3095">
        <v>48.72</v>
      </c>
      <c r="H3095" t="s">
        <v>14</v>
      </c>
      <c r="I3095" s="22">
        <f t="shared" si="97"/>
        <v>-3.6877730791847361E-3</v>
      </c>
      <c r="J3095" s="22" t="str">
        <f t="shared" si="98"/>
        <v>lost money</v>
      </c>
    </row>
    <row r="3096" spans="1:10">
      <c r="A3096" s="1">
        <v>41213</v>
      </c>
      <c r="B3096">
        <v>51.15</v>
      </c>
      <c r="C3096">
        <v>51.24</v>
      </c>
      <c r="D3096">
        <v>48.8</v>
      </c>
      <c r="E3096">
        <v>49.12</v>
      </c>
      <c r="F3096">
        <v>20702900</v>
      </c>
      <c r="G3096">
        <v>47.79</v>
      </c>
      <c r="H3096" t="s">
        <v>14</v>
      </c>
      <c r="I3096" s="22">
        <f t="shared" si="97"/>
        <v>-1.9273210811574699E-2</v>
      </c>
      <c r="J3096" s="22" t="str">
        <f t="shared" si="98"/>
        <v>lost money</v>
      </c>
    </row>
    <row r="3097" spans="1:10">
      <c r="A3097" s="1">
        <v>41214</v>
      </c>
      <c r="B3097">
        <v>49.28</v>
      </c>
      <c r="C3097">
        <v>50.31</v>
      </c>
      <c r="D3097">
        <v>49.28</v>
      </c>
      <c r="E3097">
        <v>49.78</v>
      </c>
      <c r="F3097">
        <v>10582900</v>
      </c>
      <c r="G3097">
        <v>48.43</v>
      </c>
      <c r="H3097" t="s">
        <v>14</v>
      </c>
      <c r="I3097" s="22">
        <f t="shared" si="97"/>
        <v>1.330304382507091E-2</v>
      </c>
      <c r="J3097" s="22" t="str">
        <f t="shared" si="98"/>
        <v/>
      </c>
    </row>
    <row r="3098" spans="1:10">
      <c r="A3098" s="1">
        <v>41215</v>
      </c>
      <c r="B3098">
        <v>50.63</v>
      </c>
      <c r="C3098">
        <v>50.99</v>
      </c>
      <c r="D3098">
        <v>49.77</v>
      </c>
      <c r="E3098">
        <v>49.86</v>
      </c>
      <c r="F3098">
        <v>14027500</v>
      </c>
      <c r="G3098">
        <v>48.51</v>
      </c>
      <c r="H3098" t="s">
        <v>14</v>
      </c>
      <c r="I3098" s="22">
        <f t="shared" si="97"/>
        <v>1.650505841987362E-3</v>
      </c>
      <c r="J3098" s="22" t="str">
        <f t="shared" si="98"/>
        <v>lost money</v>
      </c>
    </row>
    <row r="3099" spans="1:10">
      <c r="A3099" s="1">
        <v>41218</v>
      </c>
      <c r="B3099">
        <v>50.81</v>
      </c>
      <c r="C3099">
        <v>50.86</v>
      </c>
      <c r="D3099">
        <v>49.82</v>
      </c>
      <c r="E3099">
        <v>50.32</v>
      </c>
      <c r="F3099">
        <v>9575100</v>
      </c>
      <c r="G3099">
        <v>48.95</v>
      </c>
      <c r="H3099" t="s">
        <v>14</v>
      </c>
      <c r="I3099" s="22">
        <f t="shared" si="97"/>
        <v>9.0294067193943759E-3</v>
      </c>
      <c r="J3099" s="22" t="str">
        <f t="shared" si="98"/>
        <v>lost money</v>
      </c>
    </row>
    <row r="3100" spans="1:10">
      <c r="A3100" s="1">
        <v>41219</v>
      </c>
      <c r="B3100">
        <v>50.57</v>
      </c>
      <c r="C3100">
        <v>50.7</v>
      </c>
      <c r="D3100">
        <v>50.08</v>
      </c>
      <c r="E3100">
        <v>50.47</v>
      </c>
      <c r="F3100">
        <v>7691200</v>
      </c>
      <c r="G3100">
        <v>49.1</v>
      </c>
      <c r="H3100" t="s">
        <v>14</v>
      </c>
      <c r="I3100" s="22">
        <f t="shared" si="97"/>
        <v>3.0596658239554933E-3</v>
      </c>
      <c r="J3100" s="22" t="str">
        <f t="shared" si="98"/>
        <v>lost money</v>
      </c>
    </row>
    <row r="3101" spans="1:10">
      <c r="A3101" s="1">
        <v>41220</v>
      </c>
      <c r="B3101">
        <v>50.65</v>
      </c>
      <c r="C3101">
        <v>50.65</v>
      </c>
      <c r="D3101">
        <v>49.59</v>
      </c>
      <c r="E3101">
        <v>50.08</v>
      </c>
      <c r="F3101">
        <v>8533200</v>
      </c>
      <c r="G3101">
        <v>48.72</v>
      </c>
      <c r="H3101" t="s">
        <v>14</v>
      </c>
      <c r="I3101" s="22">
        <f t="shared" si="97"/>
        <v>-7.7694113988333226E-3</v>
      </c>
      <c r="J3101" s="22" t="str">
        <f t="shared" si="98"/>
        <v>lost money</v>
      </c>
    </row>
    <row r="3102" spans="1:10">
      <c r="A3102" s="1">
        <v>41221</v>
      </c>
      <c r="B3102">
        <v>50.09</v>
      </c>
      <c r="C3102">
        <v>50.84</v>
      </c>
      <c r="D3102">
        <v>49.92</v>
      </c>
      <c r="E3102">
        <v>50.04</v>
      </c>
      <c r="F3102">
        <v>11124200</v>
      </c>
      <c r="G3102">
        <v>48.68</v>
      </c>
      <c r="H3102" t="s">
        <v>14</v>
      </c>
      <c r="I3102" s="22">
        <f t="shared" si="97"/>
        <v>-8.2135528231510376E-4</v>
      </c>
      <c r="J3102" s="22" t="str">
        <f t="shared" si="98"/>
        <v>lost money</v>
      </c>
    </row>
    <row r="3103" spans="1:10">
      <c r="A3103" s="1">
        <v>41222</v>
      </c>
      <c r="B3103">
        <v>46.99</v>
      </c>
      <c r="C3103">
        <v>47.95</v>
      </c>
      <c r="D3103">
        <v>46.53</v>
      </c>
      <c r="E3103">
        <v>47.06</v>
      </c>
      <c r="F3103">
        <v>34216900</v>
      </c>
      <c r="G3103">
        <v>45.78</v>
      </c>
      <c r="H3103" t="s">
        <v>14</v>
      </c>
      <c r="I3103" s="22">
        <f t="shared" si="97"/>
        <v>-6.1420953594905806E-2</v>
      </c>
      <c r="J3103" s="22" t="str">
        <f t="shared" si="98"/>
        <v/>
      </c>
    </row>
    <row r="3104" spans="1:10">
      <c r="A3104" s="1">
        <v>41225</v>
      </c>
      <c r="B3104">
        <v>47.49</v>
      </c>
      <c r="C3104">
        <v>47.63</v>
      </c>
      <c r="D3104">
        <v>46.96</v>
      </c>
      <c r="E3104">
        <v>47.45</v>
      </c>
      <c r="F3104">
        <v>12344500</v>
      </c>
      <c r="G3104">
        <v>46.16</v>
      </c>
      <c r="H3104" t="s">
        <v>14</v>
      </c>
      <c r="I3104" s="22">
        <f t="shared" si="97"/>
        <v>8.2663076754234868E-3</v>
      </c>
      <c r="J3104" s="22" t="str">
        <f t="shared" si="98"/>
        <v>lost money</v>
      </c>
    </row>
    <row r="3105" spans="1:10">
      <c r="A3105" s="1">
        <v>41226</v>
      </c>
      <c r="B3105">
        <v>47.28</v>
      </c>
      <c r="C3105">
        <v>48.42</v>
      </c>
      <c r="D3105">
        <v>47.28</v>
      </c>
      <c r="E3105">
        <v>47.96</v>
      </c>
      <c r="F3105">
        <v>12269300</v>
      </c>
      <c r="G3105">
        <v>46.66</v>
      </c>
      <c r="H3105" t="s">
        <v>14</v>
      </c>
      <c r="I3105" s="22">
        <f t="shared" si="97"/>
        <v>1.0773644393439807E-2</v>
      </c>
      <c r="J3105" s="22" t="str">
        <f t="shared" si="98"/>
        <v/>
      </c>
    </row>
    <row r="3106" spans="1:10">
      <c r="A3106" s="1">
        <v>41227</v>
      </c>
      <c r="B3106">
        <v>48.03</v>
      </c>
      <c r="C3106">
        <v>48.04</v>
      </c>
      <c r="D3106">
        <v>47.05</v>
      </c>
      <c r="E3106">
        <v>47.17</v>
      </c>
      <c r="F3106">
        <v>9776400</v>
      </c>
      <c r="G3106">
        <v>45.89</v>
      </c>
      <c r="H3106" t="s">
        <v>14</v>
      </c>
      <c r="I3106" s="22">
        <f t="shared" si="97"/>
        <v>-1.6640038186541733E-2</v>
      </c>
      <c r="J3106" s="22" t="str">
        <f t="shared" si="98"/>
        <v>lost money</v>
      </c>
    </row>
    <row r="3107" spans="1:10">
      <c r="A3107" s="1">
        <v>41228</v>
      </c>
      <c r="B3107">
        <v>47.24</v>
      </c>
      <c r="C3107">
        <v>47.64</v>
      </c>
      <c r="D3107">
        <v>46.96</v>
      </c>
      <c r="E3107">
        <v>47.47</v>
      </c>
      <c r="F3107">
        <v>11416900</v>
      </c>
      <c r="G3107">
        <v>46.18</v>
      </c>
      <c r="H3107" t="s">
        <v>14</v>
      </c>
      <c r="I3107" s="22">
        <f t="shared" si="97"/>
        <v>6.2995755196072149E-3</v>
      </c>
      <c r="J3107" s="22" t="str">
        <f t="shared" si="98"/>
        <v/>
      </c>
    </row>
    <row r="3108" spans="1:10">
      <c r="A3108" s="1">
        <v>41229</v>
      </c>
      <c r="B3108">
        <v>47.59</v>
      </c>
      <c r="C3108">
        <v>47.76</v>
      </c>
      <c r="D3108">
        <v>47.05</v>
      </c>
      <c r="E3108">
        <v>47.42</v>
      </c>
      <c r="F3108">
        <v>9833400</v>
      </c>
      <c r="G3108">
        <v>46.13</v>
      </c>
      <c r="H3108" t="s">
        <v>14</v>
      </c>
      <c r="I3108" s="22">
        <f t="shared" si="97"/>
        <v>-1.0833063566200566E-3</v>
      </c>
      <c r="J3108" s="22" t="str">
        <f t="shared" si="98"/>
        <v>lost money</v>
      </c>
    </row>
    <row r="3109" spans="1:10">
      <c r="A3109" s="1">
        <v>41232</v>
      </c>
      <c r="B3109">
        <v>47.7</v>
      </c>
      <c r="C3109">
        <v>48.03</v>
      </c>
      <c r="D3109">
        <v>47.45</v>
      </c>
      <c r="E3109">
        <v>47.91</v>
      </c>
      <c r="F3109">
        <v>8512400</v>
      </c>
      <c r="G3109">
        <v>46.61</v>
      </c>
      <c r="H3109" t="s">
        <v>14</v>
      </c>
      <c r="I3109" s="22">
        <f t="shared" si="97"/>
        <v>1.0351612814920315E-2</v>
      </c>
      <c r="J3109" s="22" t="str">
        <f t="shared" si="98"/>
        <v/>
      </c>
    </row>
    <row r="3110" spans="1:10">
      <c r="A3110" s="1">
        <v>41233</v>
      </c>
      <c r="B3110">
        <v>47.78</v>
      </c>
      <c r="C3110">
        <v>48.5</v>
      </c>
      <c r="D3110">
        <v>47.66</v>
      </c>
      <c r="E3110">
        <v>48.44</v>
      </c>
      <c r="F3110">
        <v>7465100</v>
      </c>
      <c r="G3110">
        <v>47.13</v>
      </c>
      <c r="H3110" t="s">
        <v>14</v>
      </c>
      <c r="I3110" s="22">
        <f t="shared" si="97"/>
        <v>1.1094630550989922E-2</v>
      </c>
      <c r="J3110" s="22" t="str">
        <f t="shared" si="98"/>
        <v/>
      </c>
    </row>
    <row r="3111" spans="1:10">
      <c r="A3111" s="1">
        <v>41234</v>
      </c>
      <c r="B3111">
        <v>48.5</v>
      </c>
      <c r="C3111">
        <v>48.95</v>
      </c>
      <c r="D3111">
        <v>48.4</v>
      </c>
      <c r="E3111">
        <v>48.68</v>
      </c>
      <c r="F3111">
        <v>6763300</v>
      </c>
      <c r="G3111">
        <v>47.36</v>
      </c>
      <c r="H3111" t="s">
        <v>14</v>
      </c>
      <c r="I3111" s="22">
        <f t="shared" si="97"/>
        <v>4.868249640110716E-3</v>
      </c>
      <c r="J3111" s="22" t="str">
        <f t="shared" si="98"/>
        <v/>
      </c>
    </row>
    <row r="3112" spans="1:10">
      <c r="A3112" s="1">
        <v>41236</v>
      </c>
      <c r="B3112">
        <v>48.89</v>
      </c>
      <c r="C3112">
        <v>49.28</v>
      </c>
      <c r="D3112">
        <v>48.8</v>
      </c>
      <c r="E3112">
        <v>49.26</v>
      </c>
      <c r="F3112">
        <v>3353600</v>
      </c>
      <c r="G3112">
        <v>47.92</v>
      </c>
      <c r="H3112" t="s">
        <v>14</v>
      </c>
      <c r="I3112" s="22">
        <f t="shared" si="97"/>
        <v>1.1754963231443684E-2</v>
      </c>
      <c r="J3112" s="22" t="str">
        <f t="shared" si="98"/>
        <v/>
      </c>
    </row>
    <row r="3113" spans="1:10">
      <c r="A3113" s="1">
        <v>41239</v>
      </c>
      <c r="B3113">
        <v>48.98</v>
      </c>
      <c r="C3113">
        <v>49.43</v>
      </c>
      <c r="D3113">
        <v>48.91</v>
      </c>
      <c r="E3113">
        <v>49.03</v>
      </c>
      <c r="F3113">
        <v>6935800</v>
      </c>
      <c r="G3113">
        <v>47.7</v>
      </c>
      <c r="H3113" t="s">
        <v>14</v>
      </c>
      <c r="I3113" s="22">
        <f t="shared" si="97"/>
        <v>-4.6015559128983578E-3</v>
      </c>
      <c r="J3113" s="22" t="str">
        <f t="shared" si="98"/>
        <v/>
      </c>
    </row>
    <row r="3114" spans="1:10">
      <c r="A3114" s="1">
        <v>41240</v>
      </c>
      <c r="B3114">
        <v>49.06</v>
      </c>
      <c r="C3114">
        <v>49.2</v>
      </c>
      <c r="D3114">
        <v>48.53</v>
      </c>
      <c r="E3114">
        <v>48.6</v>
      </c>
      <c r="F3114">
        <v>6720400</v>
      </c>
      <c r="G3114">
        <v>47.28</v>
      </c>
      <c r="H3114" t="s">
        <v>14</v>
      </c>
      <c r="I3114" s="22">
        <f t="shared" si="97"/>
        <v>-8.8440247964527725E-3</v>
      </c>
      <c r="J3114" s="22" t="str">
        <f t="shared" si="98"/>
        <v>lost money</v>
      </c>
    </row>
    <row r="3115" spans="1:10">
      <c r="A3115" s="1">
        <v>41241</v>
      </c>
      <c r="B3115">
        <v>48.47</v>
      </c>
      <c r="C3115">
        <v>49.25</v>
      </c>
      <c r="D3115">
        <v>47.84</v>
      </c>
      <c r="E3115">
        <v>49.2</v>
      </c>
      <c r="F3115">
        <v>8148500</v>
      </c>
      <c r="G3115">
        <v>47.86</v>
      </c>
      <c r="H3115" t="s">
        <v>14</v>
      </c>
      <c r="I3115" s="22">
        <f t="shared" si="97"/>
        <v>1.2192709382384441E-2</v>
      </c>
      <c r="J3115" s="22" t="str">
        <f t="shared" si="98"/>
        <v/>
      </c>
    </row>
    <row r="3116" spans="1:10">
      <c r="A3116" s="1">
        <v>41242</v>
      </c>
      <c r="B3116">
        <v>49.51</v>
      </c>
      <c r="C3116">
        <v>49.85</v>
      </c>
      <c r="D3116">
        <v>49.32</v>
      </c>
      <c r="E3116">
        <v>49.72</v>
      </c>
      <c r="F3116">
        <v>7232200</v>
      </c>
      <c r="G3116">
        <v>48.37</v>
      </c>
      <c r="H3116" t="s">
        <v>14</v>
      </c>
      <c r="I3116" s="22">
        <f t="shared" si="97"/>
        <v>1.0599704354664565E-2</v>
      </c>
      <c r="J3116" s="22" t="str">
        <f t="shared" si="98"/>
        <v/>
      </c>
    </row>
    <row r="3117" spans="1:10">
      <c r="A3117" s="1">
        <v>41243</v>
      </c>
      <c r="B3117">
        <v>49.81</v>
      </c>
      <c r="C3117">
        <v>49.94</v>
      </c>
      <c r="D3117">
        <v>49.25</v>
      </c>
      <c r="E3117">
        <v>49.66</v>
      </c>
      <c r="F3117">
        <v>12343900</v>
      </c>
      <c r="G3117">
        <v>48.31</v>
      </c>
      <c r="H3117" t="s">
        <v>14</v>
      </c>
      <c r="I3117" s="22">
        <f t="shared" si="97"/>
        <v>-1.2412082685764605E-3</v>
      </c>
      <c r="J3117" s="22" t="str">
        <f t="shared" si="98"/>
        <v>lost money</v>
      </c>
    </row>
    <row r="3118" spans="1:10">
      <c r="A3118" s="1">
        <v>41246</v>
      </c>
      <c r="B3118">
        <v>49.77</v>
      </c>
      <c r="C3118">
        <v>50</v>
      </c>
      <c r="D3118">
        <v>49.27</v>
      </c>
      <c r="E3118">
        <v>49.29</v>
      </c>
      <c r="F3118">
        <v>8395400</v>
      </c>
      <c r="G3118">
        <v>47.95</v>
      </c>
      <c r="H3118" t="s">
        <v>14</v>
      </c>
      <c r="I3118" s="22">
        <f t="shared" si="97"/>
        <v>-7.4797772368680382E-3</v>
      </c>
      <c r="J3118" s="22" t="str">
        <f t="shared" si="98"/>
        <v>lost money</v>
      </c>
    </row>
    <row r="3119" spans="1:10">
      <c r="A3119" s="1">
        <v>41247</v>
      </c>
      <c r="B3119">
        <v>49.25</v>
      </c>
      <c r="C3119">
        <v>49.45</v>
      </c>
      <c r="D3119">
        <v>48.85</v>
      </c>
      <c r="E3119">
        <v>49.3</v>
      </c>
      <c r="F3119">
        <v>8400900</v>
      </c>
      <c r="G3119">
        <v>47.96</v>
      </c>
      <c r="H3119" t="s">
        <v>14</v>
      </c>
      <c r="I3119" s="22">
        <f t="shared" si="97"/>
        <v>2.0852882986629019E-4</v>
      </c>
      <c r="J3119" s="22" t="str">
        <f t="shared" si="98"/>
        <v/>
      </c>
    </row>
    <row r="3120" spans="1:10">
      <c r="A3120" s="1">
        <v>41248</v>
      </c>
      <c r="B3120">
        <v>49.43</v>
      </c>
      <c r="C3120">
        <v>49.9</v>
      </c>
      <c r="D3120">
        <v>49.14</v>
      </c>
      <c r="E3120">
        <v>49.59</v>
      </c>
      <c r="F3120">
        <v>9182300</v>
      </c>
      <c r="G3120">
        <v>48.24</v>
      </c>
      <c r="H3120" t="s">
        <v>14</v>
      </c>
      <c r="I3120" s="22">
        <f t="shared" si="97"/>
        <v>5.8212222596165531E-3</v>
      </c>
      <c r="J3120" s="22" t="str">
        <f t="shared" si="98"/>
        <v/>
      </c>
    </row>
    <row r="3121" spans="1:10">
      <c r="A3121" s="1">
        <v>41249</v>
      </c>
      <c r="B3121">
        <v>48.78</v>
      </c>
      <c r="C3121">
        <v>49.13</v>
      </c>
      <c r="D3121">
        <v>48.56</v>
      </c>
      <c r="E3121">
        <v>49.06</v>
      </c>
      <c r="F3121">
        <v>4828900</v>
      </c>
      <c r="G3121">
        <v>48.46</v>
      </c>
      <c r="H3121" t="s">
        <v>14</v>
      </c>
      <c r="I3121" s="22">
        <f t="shared" si="97"/>
        <v>4.5501629694496776E-3</v>
      </c>
      <c r="J3121" s="22" t="str">
        <f t="shared" si="98"/>
        <v/>
      </c>
    </row>
    <row r="3122" spans="1:10">
      <c r="A3122" s="1">
        <v>41250</v>
      </c>
      <c r="B3122">
        <v>49.18</v>
      </c>
      <c r="C3122">
        <v>49.38</v>
      </c>
      <c r="D3122">
        <v>49.01</v>
      </c>
      <c r="E3122">
        <v>49.24</v>
      </c>
      <c r="F3122">
        <v>5279200</v>
      </c>
      <c r="G3122">
        <v>48.64</v>
      </c>
      <c r="H3122" t="s">
        <v>14</v>
      </c>
      <c r="I3122" s="22">
        <f t="shared" si="97"/>
        <v>3.7075222695318278E-3</v>
      </c>
      <c r="J3122" s="22" t="str">
        <f t="shared" si="98"/>
        <v/>
      </c>
    </row>
    <row r="3123" spans="1:10">
      <c r="A3123" s="1">
        <v>41253</v>
      </c>
      <c r="B3123">
        <v>49.21</v>
      </c>
      <c r="C3123">
        <v>49.51</v>
      </c>
      <c r="D3123">
        <v>49.19</v>
      </c>
      <c r="E3123">
        <v>49.3</v>
      </c>
      <c r="F3123">
        <v>5264500</v>
      </c>
      <c r="G3123">
        <v>48.7</v>
      </c>
      <c r="H3123" t="s">
        <v>14</v>
      </c>
      <c r="I3123" s="22">
        <f t="shared" si="97"/>
        <v>1.2327924306325744E-3</v>
      </c>
      <c r="J3123" s="22" t="str">
        <f t="shared" si="98"/>
        <v/>
      </c>
    </row>
    <row r="3124" spans="1:10">
      <c r="A3124" s="1">
        <v>41254</v>
      </c>
      <c r="B3124">
        <v>49.37</v>
      </c>
      <c r="C3124">
        <v>49.99</v>
      </c>
      <c r="D3124">
        <v>49.36</v>
      </c>
      <c r="E3124">
        <v>49.48</v>
      </c>
      <c r="F3124">
        <v>9040000</v>
      </c>
      <c r="G3124">
        <v>48.88</v>
      </c>
      <c r="H3124" t="s">
        <v>14</v>
      </c>
      <c r="I3124" s="22">
        <f t="shared" si="97"/>
        <v>3.6892847747958643E-3</v>
      </c>
      <c r="J3124" s="22" t="str">
        <f t="shared" si="98"/>
        <v/>
      </c>
    </row>
    <row r="3125" spans="1:10">
      <c r="A3125" s="1">
        <v>41255</v>
      </c>
      <c r="B3125">
        <v>49.76</v>
      </c>
      <c r="C3125">
        <v>50.07</v>
      </c>
      <c r="D3125">
        <v>49.42</v>
      </c>
      <c r="E3125">
        <v>49.64</v>
      </c>
      <c r="F3125">
        <v>6474300</v>
      </c>
      <c r="G3125">
        <v>49.03</v>
      </c>
      <c r="H3125" t="s">
        <v>14</v>
      </c>
      <c r="I3125" s="22">
        <f t="shared" si="97"/>
        <v>3.0640407998018715E-3</v>
      </c>
      <c r="J3125" s="22" t="str">
        <f t="shared" si="98"/>
        <v>lost money</v>
      </c>
    </row>
    <row r="3126" spans="1:10">
      <c r="A3126" s="1">
        <v>41256</v>
      </c>
      <c r="B3126">
        <v>49.61</v>
      </c>
      <c r="C3126">
        <v>49.69</v>
      </c>
      <c r="D3126">
        <v>48.91</v>
      </c>
      <c r="E3126">
        <v>49.11</v>
      </c>
      <c r="F3126">
        <v>6108000</v>
      </c>
      <c r="G3126">
        <v>48.51</v>
      </c>
      <c r="H3126" t="s">
        <v>14</v>
      </c>
      <c r="I3126" s="22">
        <f t="shared" si="97"/>
        <v>-1.0662393406016829E-2</v>
      </c>
      <c r="J3126" s="22" t="str">
        <f t="shared" si="98"/>
        <v>lost money</v>
      </c>
    </row>
    <row r="3127" spans="1:10">
      <c r="A3127" s="1">
        <v>41257</v>
      </c>
      <c r="B3127">
        <v>49.01</v>
      </c>
      <c r="C3127">
        <v>49.12</v>
      </c>
      <c r="D3127">
        <v>48.55</v>
      </c>
      <c r="E3127">
        <v>48.67</v>
      </c>
      <c r="F3127">
        <v>8086400</v>
      </c>
      <c r="G3127">
        <v>48.08</v>
      </c>
      <c r="H3127" t="s">
        <v>14</v>
      </c>
      <c r="I3127" s="22">
        <f t="shared" si="97"/>
        <v>-8.9036720301730737E-3</v>
      </c>
      <c r="J3127" s="22" t="str">
        <f t="shared" si="98"/>
        <v>lost money</v>
      </c>
    </row>
    <row r="3128" spans="1:10">
      <c r="A3128" s="1">
        <v>41260</v>
      </c>
      <c r="B3128">
        <v>48.72</v>
      </c>
      <c r="C3128">
        <v>49.32</v>
      </c>
      <c r="D3128">
        <v>48.67</v>
      </c>
      <c r="E3128">
        <v>49.28</v>
      </c>
      <c r="F3128">
        <v>10324500</v>
      </c>
      <c r="G3128">
        <v>48.68</v>
      </c>
      <c r="H3128" t="s">
        <v>14</v>
      </c>
      <c r="I3128" s="22">
        <f t="shared" si="97"/>
        <v>1.2401977892374273E-2</v>
      </c>
      <c r="J3128" s="22" t="str">
        <f t="shared" si="98"/>
        <v/>
      </c>
    </row>
    <row r="3129" spans="1:10">
      <c r="A3129" s="1">
        <v>41261</v>
      </c>
      <c r="B3129">
        <v>49.35</v>
      </c>
      <c r="C3129">
        <v>50.32</v>
      </c>
      <c r="D3129">
        <v>49.15</v>
      </c>
      <c r="E3129">
        <v>50.22</v>
      </c>
      <c r="F3129">
        <v>14023800</v>
      </c>
      <c r="G3129">
        <v>49.61</v>
      </c>
      <c r="H3129" t="s">
        <v>14</v>
      </c>
      <c r="I3129" s="22">
        <f t="shared" si="97"/>
        <v>1.8924158193631198E-2</v>
      </c>
      <c r="J3129" s="22" t="str">
        <f t="shared" si="98"/>
        <v/>
      </c>
    </row>
    <row r="3130" spans="1:10">
      <c r="A3130" s="1">
        <v>41262</v>
      </c>
      <c r="B3130">
        <v>50.15</v>
      </c>
      <c r="C3130">
        <v>50.51</v>
      </c>
      <c r="D3130">
        <v>49.94</v>
      </c>
      <c r="E3130">
        <v>49.94</v>
      </c>
      <c r="F3130">
        <v>8382100</v>
      </c>
      <c r="G3130">
        <v>49.33</v>
      </c>
      <c r="H3130" t="s">
        <v>14</v>
      </c>
      <c r="I3130" s="22">
        <f t="shared" si="97"/>
        <v>-5.6600110673106262E-3</v>
      </c>
      <c r="J3130" s="22" t="str">
        <f t="shared" si="98"/>
        <v>lost money</v>
      </c>
    </row>
    <row r="3131" spans="1:10">
      <c r="A3131" s="1">
        <v>41263</v>
      </c>
      <c r="B3131">
        <v>49.83</v>
      </c>
      <c r="C3131">
        <v>51.06</v>
      </c>
      <c r="D3131">
        <v>49.83</v>
      </c>
      <c r="E3131">
        <v>50.93</v>
      </c>
      <c r="F3131">
        <v>8410700</v>
      </c>
      <c r="G3131">
        <v>50.31</v>
      </c>
      <c r="H3131" t="s">
        <v>14</v>
      </c>
      <c r="I3131" s="22">
        <f t="shared" si="97"/>
        <v>1.967144925758035E-2</v>
      </c>
      <c r="J3131" s="22" t="str">
        <f t="shared" si="98"/>
        <v/>
      </c>
    </row>
    <row r="3132" spans="1:10">
      <c r="A3132" s="1">
        <v>41264</v>
      </c>
      <c r="B3132">
        <v>50.41</v>
      </c>
      <c r="C3132">
        <v>50.75</v>
      </c>
      <c r="D3132">
        <v>49.68</v>
      </c>
      <c r="E3132">
        <v>50</v>
      </c>
      <c r="F3132">
        <v>15996900</v>
      </c>
      <c r="G3132">
        <v>49.39</v>
      </c>
      <c r="H3132" t="s">
        <v>14</v>
      </c>
      <c r="I3132" s="22">
        <f t="shared" si="97"/>
        <v>-1.845588995069369E-2</v>
      </c>
      <c r="J3132" s="22" t="str">
        <f t="shared" si="98"/>
        <v>lost money</v>
      </c>
    </row>
    <row r="3133" spans="1:10">
      <c r="A3133" s="1">
        <v>41267</v>
      </c>
      <c r="B3133">
        <v>49.92</v>
      </c>
      <c r="C3133">
        <v>50.2</v>
      </c>
      <c r="D3133">
        <v>49.84</v>
      </c>
      <c r="E3133">
        <v>49.88</v>
      </c>
      <c r="F3133">
        <v>2772000</v>
      </c>
      <c r="G3133">
        <v>49.27</v>
      </c>
      <c r="H3133" t="s">
        <v>14</v>
      </c>
      <c r="I3133" s="22">
        <f t="shared" si="97"/>
        <v>-2.4325979966617205E-3</v>
      </c>
      <c r="J3133" s="22" t="str">
        <f t="shared" si="98"/>
        <v>lost money</v>
      </c>
    </row>
    <row r="3134" spans="1:10">
      <c r="A3134" s="1">
        <v>41269</v>
      </c>
      <c r="B3134">
        <v>49.85</v>
      </c>
      <c r="C3134">
        <v>49.98</v>
      </c>
      <c r="D3134">
        <v>49.45</v>
      </c>
      <c r="E3134">
        <v>49.85</v>
      </c>
      <c r="F3134">
        <v>4200200</v>
      </c>
      <c r="G3134">
        <v>49.24</v>
      </c>
      <c r="H3134" t="s">
        <v>14</v>
      </c>
      <c r="I3134" s="22">
        <f t="shared" si="97"/>
        <v>-6.0907523961898041E-4</v>
      </c>
      <c r="J3134" s="22" t="str">
        <f t="shared" si="98"/>
        <v/>
      </c>
    </row>
    <row r="3135" spans="1:10">
      <c r="A3135" s="1">
        <v>41270</v>
      </c>
      <c r="B3135">
        <v>49.8</v>
      </c>
      <c r="C3135">
        <v>50</v>
      </c>
      <c r="D3135">
        <v>48.9</v>
      </c>
      <c r="E3135">
        <v>49.53</v>
      </c>
      <c r="F3135">
        <v>6948200</v>
      </c>
      <c r="G3135">
        <v>48.93</v>
      </c>
      <c r="H3135" t="s">
        <v>14</v>
      </c>
      <c r="I3135" s="22">
        <f t="shared" si="97"/>
        <v>-6.3155960152205814E-3</v>
      </c>
      <c r="J3135" s="22" t="str">
        <f t="shared" si="98"/>
        <v>lost money</v>
      </c>
    </row>
    <row r="3136" spans="1:10">
      <c r="A3136" s="1">
        <v>41271</v>
      </c>
      <c r="B3136">
        <v>49.35</v>
      </c>
      <c r="C3136">
        <v>49.7</v>
      </c>
      <c r="D3136">
        <v>49.02</v>
      </c>
      <c r="E3136">
        <v>49.15</v>
      </c>
      <c r="F3136">
        <v>6985800</v>
      </c>
      <c r="G3136">
        <v>48.55</v>
      </c>
      <c r="H3136" t="s">
        <v>14</v>
      </c>
      <c r="I3136" s="22">
        <f t="shared" si="97"/>
        <v>-7.7965105636983644E-3</v>
      </c>
      <c r="J3136" s="22" t="str">
        <f t="shared" si="98"/>
        <v>lost money</v>
      </c>
    </row>
    <row r="3137" spans="1:10">
      <c r="A3137" s="1">
        <v>41274</v>
      </c>
      <c r="B3137">
        <v>48.89</v>
      </c>
      <c r="C3137">
        <v>49.8</v>
      </c>
      <c r="D3137">
        <v>48.8</v>
      </c>
      <c r="E3137">
        <v>49.79</v>
      </c>
      <c r="F3137">
        <v>10224500</v>
      </c>
      <c r="G3137">
        <v>49.18</v>
      </c>
      <c r="H3137" t="s">
        <v>14</v>
      </c>
      <c r="I3137" s="22">
        <f t="shared" si="97"/>
        <v>1.2892842050712594E-2</v>
      </c>
      <c r="J3137" s="22" t="str">
        <f t="shared" si="98"/>
        <v/>
      </c>
    </row>
    <row r="3138" spans="1:10">
      <c r="A3138" s="1">
        <v>41276</v>
      </c>
      <c r="B3138">
        <v>50.8</v>
      </c>
      <c r="C3138">
        <v>51.25</v>
      </c>
      <c r="D3138">
        <v>50.64</v>
      </c>
      <c r="E3138">
        <v>51.1</v>
      </c>
      <c r="F3138">
        <v>11674700</v>
      </c>
      <c r="G3138">
        <v>50.48</v>
      </c>
      <c r="H3138" t="s">
        <v>14</v>
      </c>
      <c r="I3138" s="22">
        <f t="shared" si="97"/>
        <v>2.6090181444911129E-2</v>
      </c>
      <c r="J3138" s="22" t="str">
        <f t="shared" si="98"/>
        <v/>
      </c>
    </row>
    <row r="3139" spans="1:10">
      <c r="A3139" s="1">
        <v>41277</v>
      </c>
      <c r="B3139">
        <v>51.05</v>
      </c>
      <c r="C3139">
        <v>51.34</v>
      </c>
      <c r="D3139">
        <v>50.84</v>
      </c>
      <c r="E3139">
        <v>51.21</v>
      </c>
      <c r="F3139">
        <v>7566600</v>
      </c>
      <c r="G3139">
        <v>50.59</v>
      </c>
      <c r="H3139" t="s">
        <v>14</v>
      </c>
      <c r="I3139" s="22">
        <f t="shared" ref="I3139:I3202" si="99">IF(A3139=$A$2,"",LN(G3139/G3138))</f>
        <v>2.1767100708871678E-3</v>
      </c>
      <c r="J3139" s="22" t="str">
        <f t="shared" ref="J3139:J3202" si="100">IF(B3139&gt;E3139,"lost money","")</f>
        <v/>
      </c>
    </row>
    <row r="3140" spans="1:10">
      <c r="A3140" s="1">
        <v>41278</v>
      </c>
      <c r="B3140">
        <v>51.38</v>
      </c>
      <c r="C3140">
        <v>52.34</v>
      </c>
      <c r="D3140">
        <v>51.33</v>
      </c>
      <c r="E3140">
        <v>52.19</v>
      </c>
      <c r="F3140">
        <v>8745900</v>
      </c>
      <c r="G3140">
        <v>51.55</v>
      </c>
      <c r="H3140" t="s">
        <v>14</v>
      </c>
      <c r="I3140" s="22">
        <f t="shared" si="99"/>
        <v>1.8798282159124151E-2</v>
      </c>
      <c r="J3140" s="22" t="str">
        <f t="shared" si="100"/>
        <v/>
      </c>
    </row>
    <row r="3141" spans="1:10">
      <c r="A3141" s="1">
        <v>41281</v>
      </c>
      <c r="B3141">
        <v>51.76</v>
      </c>
      <c r="C3141">
        <v>51.76</v>
      </c>
      <c r="D3141">
        <v>50.66</v>
      </c>
      <c r="E3141">
        <v>50.97</v>
      </c>
      <c r="F3141">
        <v>9472100</v>
      </c>
      <c r="G3141">
        <v>50.35</v>
      </c>
      <c r="H3141" t="s">
        <v>14</v>
      </c>
      <c r="I3141" s="22">
        <f t="shared" si="99"/>
        <v>-2.3553591298397507E-2</v>
      </c>
      <c r="J3141" s="22" t="str">
        <f t="shared" si="100"/>
        <v>lost money</v>
      </c>
    </row>
    <row r="3142" spans="1:10">
      <c r="A3142" s="1">
        <v>41282</v>
      </c>
      <c r="B3142">
        <v>50.88</v>
      </c>
      <c r="C3142">
        <v>51.18</v>
      </c>
      <c r="D3142">
        <v>50.57</v>
      </c>
      <c r="E3142">
        <v>50.76</v>
      </c>
      <c r="F3142">
        <v>8637600</v>
      </c>
      <c r="G3142">
        <v>50.14</v>
      </c>
      <c r="H3142" t="s">
        <v>14</v>
      </c>
      <c r="I3142" s="22">
        <f t="shared" si="99"/>
        <v>-4.1795264344239493E-3</v>
      </c>
      <c r="J3142" s="22" t="str">
        <f t="shared" si="100"/>
        <v>lost money</v>
      </c>
    </row>
    <row r="3143" spans="1:10">
      <c r="A3143" s="1">
        <v>41283</v>
      </c>
      <c r="B3143">
        <v>50.93</v>
      </c>
      <c r="C3143">
        <v>51.5</v>
      </c>
      <c r="D3143">
        <v>50.76</v>
      </c>
      <c r="E3143">
        <v>50.78</v>
      </c>
      <c r="F3143">
        <v>8389000</v>
      </c>
      <c r="G3143">
        <v>50.16</v>
      </c>
      <c r="H3143" t="s">
        <v>14</v>
      </c>
      <c r="I3143" s="22">
        <f t="shared" si="99"/>
        <v>3.9880359451788212E-4</v>
      </c>
      <c r="J3143" s="22" t="str">
        <f t="shared" si="100"/>
        <v>lost money</v>
      </c>
    </row>
    <row r="3144" spans="1:10">
      <c r="A3144" s="1">
        <v>41284</v>
      </c>
      <c r="B3144">
        <v>50.87</v>
      </c>
      <c r="C3144">
        <v>51.24</v>
      </c>
      <c r="D3144">
        <v>50.59</v>
      </c>
      <c r="E3144">
        <v>50.79</v>
      </c>
      <c r="F3144">
        <v>8097400</v>
      </c>
      <c r="G3144">
        <v>50.17</v>
      </c>
      <c r="H3144" t="s">
        <v>14</v>
      </c>
      <c r="I3144" s="22">
        <f t="shared" si="99"/>
        <v>1.9934217149635607E-4</v>
      </c>
      <c r="J3144" s="22" t="str">
        <f t="shared" si="100"/>
        <v>lost money</v>
      </c>
    </row>
    <row r="3145" spans="1:10">
      <c r="A3145" s="1">
        <v>41285</v>
      </c>
      <c r="B3145">
        <v>50.82</v>
      </c>
      <c r="C3145">
        <v>51.02</v>
      </c>
      <c r="D3145">
        <v>50.45</v>
      </c>
      <c r="E3145">
        <v>50.58</v>
      </c>
      <c r="F3145">
        <v>7149000</v>
      </c>
      <c r="G3145">
        <v>49.96</v>
      </c>
      <c r="H3145" t="s">
        <v>14</v>
      </c>
      <c r="I3145" s="22">
        <f t="shared" si="99"/>
        <v>-4.194553238784645E-3</v>
      </c>
      <c r="J3145" s="22" t="str">
        <f t="shared" si="100"/>
        <v>lost money</v>
      </c>
    </row>
    <row r="3146" spans="1:10">
      <c r="A3146" s="1">
        <v>41288</v>
      </c>
      <c r="B3146">
        <v>50.4</v>
      </c>
      <c r="C3146">
        <v>50.83</v>
      </c>
      <c r="D3146">
        <v>50.18</v>
      </c>
      <c r="E3146">
        <v>50.59</v>
      </c>
      <c r="F3146">
        <v>9308800</v>
      </c>
      <c r="G3146">
        <v>49.97</v>
      </c>
      <c r="H3146" t="s">
        <v>14</v>
      </c>
      <c r="I3146" s="22">
        <f t="shared" si="99"/>
        <v>2.0014009873676805E-4</v>
      </c>
      <c r="J3146" s="22" t="str">
        <f t="shared" si="100"/>
        <v/>
      </c>
    </row>
    <row r="3147" spans="1:10">
      <c r="A3147" s="1">
        <v>41289</v>
      </c>
      <c r="B3147">
        <v>50.47</v>
      </c>
      <c r="C3147">
        <v>51.15</v>
      </c>
      <c r="D3147">
        <v>50.43</v>
      </c>
      <c r="E3147">
        <v>51.09</v>
      </c>
      <c r="F3147">
        <v>7299500</v>
      </c>
      <c r="G3147">
        <v>50.47</v>
      </c>
      <c r="H3147" t="s">
        <v>14</v>
      </c>
      <c r="I3147" s="22">
        <f t="shared" si="99"/>
        <v>9.956274996057269E-3</v>
      </c>
      <c r="J3147" s="22" t="str">
        <f t="shared" si="100"/>
        <v/>
      </c>
    </row>
    <row r="3148" spans="1:10">
      <c r="A3148" s="1">
        <v>41290</v>
      </c>
      <c r="B3148">
        <v>50.85</v>
      </c>
      <c r="C3148">
        <v>51.78</v>
      </c>
      <c r="D3148">
        <v>50.8</v>
      </c>
      <c r="E3148">
        <v>51.53</v>
      </c>
      <c r="F3148">
        <v>7371800</v>
      </c>
      <c r="G3148">
        <v>50.9</v>
      </c>
      <c r="H3148" t="s">
        <v>14</v>
      </c>
      <c r="I3148" s="22">
        <f t="shared" si="99"/>
        <v>8.483823204306136E-3</v>
      </c>
      <c r="J3148" s="22" t="str">
        <f t="shared" si="100"/>
        <v/>
      </c>
    </row>
    <row r="3149" spans="1:10">
      <c r="A3149" s="1">
        <v>41291</v>
      </c>
      <c r="B3149">
        <v>51.84</v>
      </c>
      <c r="C3149">
        <v>52.7</v>
      </c>
      <c r="D3149">
        <v>51.84</v>
      </c>
      <c r="E3149">
        <v>52.41</v>
      </c>
      <c r="F3149">
        <v>10132100</v>
      </c>
      <c r="G3149">
        <v>51.77</v>
      </c>
      <c r="H3149" t="s">
        <v>14</v>
      </c>
      <c r="I3149" s="22">
        <f t="shared" si="99"/>
        <v>1.6947907357333092E-2</v>
      </c>
      <c r="J3149" s="22" t="str">
        <f t="shared" si="100"/>
        <v/>
      </c>
    </row>
    <row r="3150" spans="1:10">
      <c r="A3150" s="1">
        <v>41292</v>
      </c>
      <c r="B3150">
        <v>52.24</v>
      </c>
      <c r="C3150">
        <v>52.34</v>
      </c>
      <c r="D3150">
        <v>51.81</v>
      </c>
      <c r="E3150">
        <v>52.34</v>
      </c>
      <c r="F3150">
        <v>8490900</v>
      </c>
      <c r="G3150">
        <v>51.7</v>
      </c>
      <c r="H3150" t="s">
        <v>14</v>
      </c>
      <c r="I3150" s="22">
        <f t="shared" si="99"/>
        <v>-1.3530493994265598E-3</v>
      </c>
      <c r="J3150" s="22" t="str">
        <f t="shared" si="100"/>
        <v/>
      </c>
    </row>
    <row r="3151" spans="1:10">
      <c r="A3151" s="1">
        <v>41296</v>
      </c>
      <c r="B3151">
        <v>52.39</v>
      </c>
      <c r="C3151">
        <v>52.8</v>
      </c>
      <c r="D3151">
        <v>52.18</v>
      </c>
      <c r="E3151">
        <v>52.73</v>
      </c>
      <c r="F3151">
        <v>6635200</v>
      </c>
      <c r="G3151">
        <v>52.09</v>
      </c>
      <c r="H3151" t="s">
        <v>14</v>
      </c>
      <c r="I3151" s="22">
        <f t="shared" si="99"/>
        <v>7.5152102427167708E-3</v>
      </c>
      <c r="J3151" s="22" t="str">
        <f t="shared" si="100"/>
        <v/>
      </c>
    </row>
    <row r="3152" spans="1:10">
      <c r="A3152" s="1">
        <v>41297</v>
      </c>
      <c r="B3152">
        <v>52.86</v>
      </c>
      <c r="C3152">
        <v>54.16</v>
      </c>
      <c r="D3152">
        <v>52.78</v>
      </c>
      <c r="E3152">
        <v>53.95</v>
      </c>
      <c r="F3152">
        <v>13842700</v>
      </c>
      <c r="G3152">
        <v>53.29</v>
      </c>
      <c r="H3152" t="s">
        <v>14</v>
      </c>
      <c r="I3152" s="22">
        <f t="shared" si="99"/>
        <v>2.2775704551590607E-2</v>
      </c>
      <c r="J3152" s="22" t="str">
        <f t="shared" si="100"/>
        <v/>
      </c>
    </row>
    <row r="3153" spans="1:10">
      <c r="A3153" s="1">
        <v>41298</v>
      </c>
      <c r="B3153">
        <v>54.03</v>
      </c>
      <c r="C3153">
        <v>54.87</v>
      </c>
      <c r="D3153">
        <v>53.92</v>
      </c>
      <c r="E3153">
        <v>53.95</v>
      </c>
      <c r="F3153">
        <v>13608000</v>
      </c>
      <c r="G3153">
        <v>53.29</v>
      </c>
      <c r="H3153" t="s">
        <v>14</v>
      </c>
      <c r="I3153" s="22">
        <f t="shared" si="99"/>
        <v>0</v>
      </c>
      <c r="J3153" s="22" t="str">
        <f t="shared" si="100"/>
        <v>lost money</v>
      </c>
    </row>
    <row r="3154" spans="1:10">
      <c r="A3154" s="1">
        <v>41299</v>
      </c>
      <c r="B3154">
        <v>53.8</v>
      </c>
      <c r="C3154">
        <v>54.56</v>
      </c>
      <c r="D3154">
        <v>53.61</v>
      </c>
      <c r="E3154">
        <v>54.38</v>
      </c>
      <c r="F3154">
        <v>7939400</v>
      </c>
      <c r="G3154">
        <v>53.72</v>
      </c>
      <c r="H3154" t="s">
        <v>14</v>
      </c>
      <c r="I3154" s="22">
        <f t="shared" si="99"/>
        <v>8.0366753463459485E-3</v>
      </c>
      <c r="J3154" s="22" t="str">
        <f t="shared" si="100"/>
        <v/>
      </c>
    </row>
    <row r="3155" spans="1:10">
      <c r="A3155" s="1">
        <v>41302</v>
      </c>
      <c r="B3155">
        <v>54.28</v>
      </c>
      <c r="C3155">
        <v>54.56</v>
      </c>
      <c r="D3155">
        <v>54.1</v>
      </c>
      <c r="E3155">
        <v>54.36</v>
      </c>
      <c r="F3155">
        <v>7133500</v>
      </c>
      <c r="G3155">
        <v>53.7</v>
      </c>
      <c r="H3155" t="s">
        <v>14</v>
      </c>
      <c r="I3155" s="22">
        <f t="shared" si="99"/>
        <v>-3.7237014021771912E-4</v>
      </c>
      <c r="J3155" s="22" t="str">
        <f t="shared" si="100"/>
        <v/>
      </c>
    </row>
    <row r="3156" spans="1:10">
      <c r="A3156" s="1">
        <v>41303</v>
      </c>
      <c r="B3156">
        <v>54.15</v>
      </c>
      <c r="C3156">
        <v>54.21</v>
      </c>
      <c r="D3156">
        <v>53.53</v>
      </c>
      <c r="E3156">
        <v>53.99</v>
      </c>
      <c r="F3156">
        <v>7786400</v>
      </c>
      <c r="G3156">
        <v>53.33</v>
      </c>
      <c r="H3156" t="s">
        <v>14</v>
      </c>
      <c r="I3156" s="22">
        <f t="shared" si="99"/>
        <v>-6.9139769023082338E-3</v>
      </c>
      <c r="J3156" s="22" t="str">
        <f t="shared" si="100"/>
        <v>lost money</v>
      </c>
    </row>
    <row r="3157" spans="1:10">
      <c r="A3157" s="1">
        <v>41304</v>
      </c>
      <c r="B3157">
        <v>53.85</v>
      </c>
      <c r="C3157">
        <v>54</v>
      </c>
      <c r="D3157">
        <v>53.55</v>
      </c>
      <c r="E3157">
        <v>53.79</v>
      </c>
      <c r="F3157">
        <v>9821800</v>
      </c>
      <c r="G3157">
        <v>53.13</v>
      </c>
      <c r="H3157" t="s">
        <v>14</v>
      </c>
      <c r="I3157" s="22">
        <f t="shared" si="99"/>
        <v>-3.757284149658906E-3</v>
      </c>
      <c r="J3157" s="22" t="str">
        <f t="shared" si="100"/>
        <v>lost money</v>
      </c>
    </row>
    <row r="3158" spans="1:10">
      <c r="A3158" s="1">
        <v>41305</v>
      </c>
      <c r="B3158">
        <v>53.84</v>
      </c>
      <c r="C3158">
        <v>54.25</v>
      </c>
      <c r="D3158">
        <v>53.65</v>
      </c>
      <c r="E3158">
        <v>53.88</v>
      </c>
      <c r="F3158">
        <v>7333900</v>
      </c>
      <c r="G3158">
        <v>53.22</v>
      </c>
      <c r="H3158" t="s">
        <v>14</v>
      </c>
      <c r="I3158" s="22">
        <f t="shared" si="99"/>
        <v>1.6925250866910917E-3</v>
      </c>
      <c r="J3158" s="22" t="str">
        <f t="shared" si="100"/>
        <v/>
      </c>
    </row>
    <row r="3159" spans="1:10">
      <c r="A3159" s="1">
        <v>41306</v>
      </c>
      <c r="B3159">
        <v>54.18</v>
      </c>
      <c r="C3159">
        <v>54.87</v>
      </c>
      <c r="D3159">
        <v>54.15</v>
      </c>
      <c r="E3159">
        <v>54.59</v>
      </c>
      <c r="F3159">
        <v>9552300</v>
      </c>
      <c r="G3159">
        <v>53.92</v>
      </c>
      <c r="H3159" t="s">
        <v>14</v>
      </c>
      <c r="I3159" s="22">
        <f t="shared" si="99"/>
        <v>1.3067201054508454E-2</v>
      </c>
      <c r="J3159" s="22" t="str">
        <f t="shared" si="100"/>
        <v/>
      </c>
    </row>
    <row r="3160" spans="1:10">
      <c r="A3160" s="1">
        <v>41309</v>
      </c>
      <c r="B3160">
        <v>54.16</v>
      </c>
      <c r="C3160">
        <v>54.5</v>
      </c>
      <c r="D3160">
        <v>53.8</v>
      </c>
      <c r="E3160">
        <v>53.9</v>
      </c>
      <c r="F3160">
        <v>7717400</v>
      </c>
      <c r="G3160">
        <v>53.24</v>
      </c>
      <c r="H3160" t="s">
        <v>14</v>
      </c>
      <c r="I3160" s="22">
        <f t="shared" si="99"/>
        <v>-1.2691473077140731E-2</v>
      </c>
      <c r="J3160" s="22" t="str">
        <f t="shared" si="100"/>
        <v>lost money</v>
      </c>
    </row>
    <row r="3161" spans="1:10">
      <c r="A3161" s="1">
        <v>41310</v>
      </c>
      <c r="B3161">
        <v>54.36</v>
      </c>
      <c r="C3161">
        <v>54.41</v>
      </c>
      <c r="D3161">
        <v>54</v>
      </c>
      <c r="E3161">
        <v>54.29</v>
      </c>
      <c r="F3161">
        <v>10246400</v>
      </c>
      <c r="G3161">
        <v>53.63</v>
      </c>
      <c r="H3161" t="s">
        <v>14</v>
      </c>
      <c r="I3161" s="22">
        <f t="shared" si="99"/>
        <v>7.2986194679228828E-3</v>
      </c>
      <c r="J3161" s="22" t="str">
        <f t="shared" si="100"/>
        <v>lost money</v>
      </c>
    </row>
    <row r="3162" spans="1:10">
      <c r="A3162" s="1">
        <v>41311</v>
      </c>
      <c r="B3162">
        <v>55.4</v>
      </c>
      <c r="C3162">
        <v>55.5</v>
      </c>
      <c r="D3162">
        <v>54.41</v>
      </c>
      <c r="E3162">
        <v>54.52</v>
      </c>
      <c r="F3162">
        <v>26833600</v>
      </c>
      <c r="G3162">
        <v>53.86</v>
      </c>
      <c r="H3162" t="s">
        <v>14</v>
      </c>
      <c r="I3162" s="22">
        <f t="shared" si="99"/>
        <v>4.2794743886189861E-3</v>
      </c>
      <c r="J3162" s="22" t="str">
        <f t="shared" si="100"/>
        <v>lost money</v>
      </c>
    </row>
    <row r="3163" spans="1:10">
      <c r="A3163" s="1">
        <v>41312</v>
      </c>
      <c r="B3163">
        <v>54.07</v>
      </c>
      <c r="C3163">
        <v>54.48</v>
      </c>
      <c r="D3163">
        <v>53.41</v>
      </c>
      <c r="E3163">
        <v>54.36</v>
      </c>
      <c r="F3163">
        <v>11723200</v>
      </c>
      <c r="G3163">
        <v>53.7</v>
      </c>
      <c r="H3163" t="s">
        <v>14</v>
      </c>
      <c r="I3163" s="22">
        <f t="shared" si="99"/>
        <v>-2.9750858686338382E-3</v>
      </c>
      <c r="J3163" s="22" t="str">
        <f t="shared" si="100"/>
        <v/>
      </c>
    </row>
    <row r="3164" spans="1:10">
      <c r="A3164" s="1">
        <v>41313</v>
      </c>
      <c r="B3164">
        <v>54.38</v>
      </c>
      <c r="C3164">
        <v>54.72</v>
      </c>
      <c r="D3164">
        <v>54.31</v>
      </c>
      <c r="E3164">
        <v>54.66</v>
      </c>
      <c r="F3164">
        <v>9584300</v>
      </c>
      <c r="G3164">
        <v>53.99</v>
      </c>
      <c r="H3164" t="s">
        <v>14</v>
      </c>
      <c r="I3164" s="22">
        <f t="shared" si="99"/>
        <v>5.3858427153766859E-3</v>
      </c>
      <c r="J3164" s="22" t="str">
        <f t="shared" si="100"/>
        <v/>
      </c>
    </row>
    <row r="3165" spans="1:10">
      <c r="A3165" s="1">
        <v>41316</v>
      </c>
      <c r="B3165">
        <v>54.65</v>
      </c>
      <c r="C3165">
        <v>54.98</v>
      </c>
      <c r="D3165">
        <v>54.59</v>
      </c>
      <c r="E3165">
        <v>54.75</v>
      </c>
      <c r="F3165">
        <v>6358600</v>
      </c>
      <c r="G3165">
        <v>54.08</v>
      </c>
      <c r="H3165" t="s">
        <v>14</v>
      </c>
      <c r="I3165" s="22">
        <f t="shared" si="99"/>
        <v>1.6655875045130653E-3</v>
      </c>
      <c r="J3165" s="22" t="str">
        <f t="shared" si="100"/>
        <v/>
      </c>
    </row>
    <row r="3166" spans="1:10">
      <c r="A3166" s="1">
        <v>41317</v>
      </c>
      <c r="B3166">
        <v>54.77</v>
      </c>
      <c r="C3166">
        <v>55.05</v>
      </c>
      <c r="D3166">
        <v>54.69</v>
      </c>
      <c r="E3166">
        <v>54.95</v>
      </c>
      <c r="F3166">
        <v>8758100</v>
      </c>
      <c r="G3166">
        <v>54.28</v>
      </c>
      <c r="H3166" t="s">
        <v>14</v>
      </c>
      <c r="I3166" s="22">
        <f t="shared" si="99"/>
        <v>3.6914032319598981E-3</v>
      </c>
      <c r="J3166" s="22" t="str">
        <f t="shared" si="100"/>
        <v/>
      </c>
    </row>
    <row r="3167" spans="1:10">
      <c r="A3167" s="1">
        <v>41318</v>
      </c>
      <c r="B3167">
        <v>55.08</v>
      </c>
      <c r="C3167">
        <v>55.3</v>
      </c>
      <c r="D3167">
        <v>54.67</v>
      </c>
      <c r="E3167">
        <v>54.96</v>
      </c>
      <c r="F3167">
        <v>5701400</v>
      </c>
      <c r="G3167">
        <v>54.29</v>
      </c>
      <c r="H3167" t="s">
        <v>14</v>
      </c>
      <c r="I3167" s="22">
        <f t="shared" si="99"/>
        <v>1.8421295069122979E-4</v>
      </c>
      <c r="J3167" s="22" t="str">
        <f t="shared" si="100"/>
        <v>lost money</v>
      </c>
    </row>
    <row r="3168" spans="1:10">
      <c r="A3168" s="1">
        <v>41319</v>
      </c>
      <c r="B3168">
        <v>54.92</v>
      </c>
      <c r="C3168">
        <v>55.17</v>
      </c>
      <c r="D3168">
        <v>54.71</v>
      </c>
      <c r="E3168">
        <v>54.88</v>
      </c>
      <c r="F3168">
        <v>8564500</v>
      </c>
      <c r="G3168">
        <v>54.21</v>
      </c>
      <c r="H3168" t="s">
        <v>14</v>
      </c>
      <c r="I3168" s="22">
        <f t="shared" si="99"/>
        <v>-1.4746546451128203E-3</v>
      </c>
      <c r="J3168" s="22" t="str">
        <f t="shared" si="100"/>
        <v>lost money</v>
      </c>
    </row>
    <row r="3169" spans="1:10">
      <c r="A3169" s="1">
        <v>41320</v>
      </c>
      <c r="B3169">
        <v>55.05</v>
      </c>
      <c r="C3169">
        <v>55.62</v>
      </c>
      <c r="D3169">
        <v>54.89</v>
      </c>
      <c r="E3169">
        <v>55.61</v>
      </c>
      <c r="F3169">
        <v>17783400</v>
      </c>
      <c r="G3169">
        <v>54.93</v>
      </c>
      <c r="H3169" t="s">
        <v>14</v>
      </c>
      <c r="I3169" s="22">
        <f t="shared" si="99"/>
        <v>1.3194254082282237E-2</v>
      </c>
      <c r="J3169" s="22" t="str">
        <f t="shared" si="100"/>
        <v/>
      </c>
    </row>
    <row r="3170" spans="1:10">
      <c r="A3170" s="1">
        <v>41324</v>
      </c>
      <c r="B3170">
        <v>55.58</v>
      </c>
      <c r="C3170">
        <v>55.95</v>
      </c>
      <c r="D3170">
        <v>55.57</v>
      </c>
      <c r="E3170">
        <v>55.73</v>
      </c>
      <c r="F3170">
        <v>7780500</v>
      </c>
      <c r="G3170">
        <v>55.05</v>
      </c>
      <c r="H3170" t="s">
        <v>14</v>
      </c>
      <c r="I3170" s="22">
        <f t="shared" si="99"/>
        <v>2.1822158141598666E-3</v>
      </c>
      <c r="J3170" s="22" t="str">
        <f t="shared" si="100"/>
        <v/>
      </c>
    </row>
    <row r="3171" spans="1:10">
      <c r="A3171" s="1">
        <v>41325</v>
      </c>
      <c r="B3171">
        <v>55.62</v>
      </c>
      <c r="C3171">
        <v>55.82</v>
      </c>
      <c r="D3171">
        <v>54.56</v>
      </c>
      <c r="E3171">
        <v>54.6</v>
      </c>
      <c r="F3171">
        <v>8460700</v>
      </c>
      <c r="G3171">
        <v>53.93</v>
      </c>
      <c r="H3171" t="s">
        <v>14</v>
      </c>
      <c r="I3171" s="22">
        <f t="shared" si="99"/>
        <v>-2.0554953819553291E-2</v>
      </c>
      <c r="J3171" s="22" t="str">
        <f t="shared" si="100"/>
        <v>lost money</v>
      </c>
    </row>
    <row r="3172" spans="1:10">
      <c r="A3172" s="1">
        <v>41326</v>
      </c>
      <c r="B3172">
        <v>54.58</v>
      </c>
      <c r="C3172">
        <v>54.82</v>
      </c>
      <c r="D3172">
        <v>54.01</v>
      </c>
      <c r="E3172">
        <v>54.17</v>
      </c>
      <c r="F3172">
        <v>6802500</v>
      </c>
      <c r="G3172">
        <v>53.51</v>
      </c>
      <c r="H3172" t="s">
        <v>14</v>
      </c>
      <c r="I3172" s="22">
        <f t="shared" si="99"/>
        <v>-7.8183570259224237E-3</v>
      </c>
      <c r="J3172" s="22" t="str">
        <f t="shared" si="100"/>
        <v>lost money</v>
      </c>
    </row>
    <row r="3173" spans="1:10">
      <c r="A3173" s="1">
        <v>41327</v>
      </c>
      <c r="B3173">
        <v>54.39</v>
      </c>
      <c r="C3173">
        <v>54.58</v>
      </c>
      <c r="D3173">
        <v>53.93</v>
      </c>
      <c r="E3173">
        <v>54.25</v>
      </c>
      <c r="F3173">
        <v>7603600</v>
      </c>
      <c r="G3173">
        <v>53.59</v>
      </c>
      <c r="H3173" t="s">
        <v>14</v>
      </c>
      <c r="I3173" s="22">
        <f t="shared" si="99"/>
        <v>1.4939311835456741E-3</v>
      </c>
      <c r="J3173" s="22" t="str">
        <f t="shared" si="100"/>
        <v>lost money</v>
      </c>
    </row>
    <row r="3174" spans="1:10">
      <c r="A3174" s="1">
        <v>41330</v>
      </c>
      <c r="B3174">
        <v>54.6</v>
      </c>
      <c r="C3174">
        <v>54.79</v>
      </c>
      <c r="D3174">
        <v>53.59</v>
      </c>
      <c r="E3174">
        <v>53.59</v>
      </c>
      <c r="F3174">
        <v>9830200</v>
      </c>
      <c r="G3174">
        <v>52.94</v>
      </c>
      <c r="H3174" t="s">
        <v>14</v>
      </c>
      <c r="I3174" s="22">
        <f t="shared" si="99"/>
        <v>-1.2203286707803764E-2</v>
      </c>
      <c r="J3174" s="22" t="str">
        <f t="shared" si="100"/>
        <v>lost money</v>
      </c>
    </row>
    <row r="3175" spans="1:10">
      <c r="A3175" s="1">
        <v>41331</v>
      </c>
      <c r="B3175">
        <v>53.81</v>
      </c>
      <c r="C3175">
        <v>54.04</v>
      </c>
      <c r="D3175">
        <v>53.6</v>
      </c>
      <c r="E3175">
        <v>53.9</v>
      </c>
      <c r="F3175">
        <v>6238300</v>
      </c>
      <c r="G3175">
        <v>53.24</v>
      </c>
      <c r="H3175" t="s">
        <v>14</v>
      </c>
      <c r="I3175" s="22">
        <f t="shared" si="99"/>
        <v>5.6507967279557101E-3</v>
      </c>
      <c r="J3175" s="22" t="str">
        <f t="shared" si="100"/>
        <v/>
      </c>
    </row>
    <row r="3176" spans="1:10">
      <c r="A3176" s="1">
        <v>41332</v>
      </c>
      <c r="B3176">
        <v>53.9</v>
      </c>
      <c r="C3176">
        <v>54.66</v>
      </c>
      <c r="D3176">
        <v>53.85</v>
      </c>
      <c r="E3176">
        <v>54.48</v>
      </c>
      <c r="F3176">
        <v>7243500</v>
      </c>
      <c r="G3176">
        <v>53.82</v>
      </c>
      <c r="H3176" t="s">
        <v>14</v>
      </c>
      <c r="I3176" s="22">
        <f t="shared" si="99"/>
        <v>1.0835151771848843E-2</v>
      </c>
      <c r="J3176" s="22" t="str">
        <f t="shared" si="100"/>
        <v/>
      </c>
    </row>
    <row r="3177" spans="1:10">
      <c r="A3177" s="1">
        <v>41333</v>
      </c>
      <c r="B3177">
        <v>54.54</v>
      </c>
      <c r="C3177">
        <v>55.04</v>
      </c>
      <c r="D3177">
        <v>54.39</v>
      </c>
      <c r="E3177">
        <v>54.59</v>
      </c>
      <c r="F3177">
        <v>6605000</v>
      </c>
      <c r="G3177">
        <v>53.92</v>
      </c>
      <c r="H3177" t="s">
        <v>14</v>
      </c>
      <c r="I3177" s="22">
        <f t="shared" si="99"/>
        <v>1.8563213052918172E-3</v>
      </c>
      <c r="J3177" s="22" t="str">
        <f t="shared" si="100"/>
        <v/>
      </c>
    </row>
    <row r="3178" spans="1:10">
      <c r="A3178" s="1">
        <v>41334</v>
      </c>
      <c r="B3178">
        <v>54.31</v>
      </c>
      <c r="C3178">
        <v>55.37</v>
      </c>
      <c r="D3178">
        <v>54.3</v>
      </c>
      <c r="E3178">
        <v>55.33</v>
      </c>
      <c r="F3178">
        <v>8311500</v>
      </c>
      <c r="G3178">
        <v>54.66</v>
      </c>
      <c r="H3178" t="s">
        <v>14</v>
      </c>
      <c r="I3178" s="22">
        <f t="shared" si="99"/>
        <v>1.3630713895870348E-2</v>
      </c>
      <c r="J3178" s="22" t="str">
        <f t="shared" si="100"/>
        <v/>
      </c>
    </row>
    <row r="3179" spans="1:10">
      <c r="A3179" s="1">
        <v>41337</v>
      </c>
      <c r="B3179">
        <v>55.16</v>
      </c>
      <c r="C3179">
        <v>55.84</v>
      </c>
      <c r="D3179">
        <v>55</v>
      </c>
      <c r="E3179">
        <v>55.8</v>
      </c>
      <c r="F3179">
        <v>6357400</v>
      </c>
      <c r="G3179">
        <v>55.12</v>
      </c>
      <c r="H3179" t="s">
        <v>14</v>
      </c>
      <c r="I3179" s="22">
        <f t="shared" si="99"/>
        <v>8.3804462054811318E-3</v>
      </c>
      <c r="J3179" s="22" t="str">
        <f t="shared" si="100"/>
        <v/>
      </c>
    </row>
    <row r="3180" spans="1:10">
      <c r="A3180" s="1">
        <v>41338</v>
      </c>
      <c r="B3180">
        <v>55.95</v>
      </c>
      <c r="C3180">
        <v>56.58</v>
      </c>
      <c r="D3180">
        <v>55.9</v>
      </c>
      <c r="E3180">
        <v>56.48</v>
      </c>
      <c r="F3180">
        <v>7067900</v>
      </c>
      <c r="G3180">
        <v>55.79</v>
      </c>
      <c r="H3180" t="s">
        <v>14</v>
      </c>
      <c r="I3180" s="22">
        <f t="shared" si="99"/>
        <v>1.2082015152033807E-2</v>
      </c>
      <c r="J3180" s="22" t="str">
        <f t="shared" si="100"/>
        <v/>
      </c>
    </row>
    <row r="3181" spans="1:10">
      <c r="A3181" s="1">
        <v>41339</v>
      </c>
      <c r="B3181">
        <v>56.53</v>
      </c>
      <c r="C3181">
        <v>56.84</v>
      </c>
      <c r="D3181">
        <v>56.25</v>
      </c>
      <c r="E3181">
        <v>56.36</v>
      </c>
      <c r="F3181">
        <v>5572600</v>
      </c>
      <c r="G3181">
        <v>55.67</v>
      </c>
      <c r="H3181" t="s">
        <v>14</v>
      </c>
      <c r="I3181" s="22">
        <f t="shared" si="99"/>
        <v>-2.1532396620205004E-3</v>
      </c>
      <c r="J3181" s="22" t="str">
        <f t="shared" si="100"/>
        <v>lost money</v>
      </c>
    </row>
    <row r="3182" spans="1:10">
      <c r="A3182" s="1">
        <v>41340</v>
      </c>
      <c r="B3182">
        <v>56.36</v>
      </c>
      <c r="C3182">
        <v>56.47</v>
      </c>
      <c r="D3182">
        <v>56.01</v>
      </c>
      <c r="E3182">
        <v>56.32</v>
      </c>
      <c r="F3182">
        <v>4813700</v>
      </c>
      <c r="G3182">
        <v>55.63</v>
      </c>
      <c r="H3182" t="s">
        <v>14</v>
      </c>
      <c r="I3182" s="22">
        <f t="shared" si="99"/>
        <v>-7.1877810821458724E-4</v>
      </c>
      <c r="J3182" s="22" t="str">
        <f t="shared" si="100"/>
        <v>lost money</v>
      </c>
    </row>
    <row r="3183" spans="1:10">
      <c r="A3183" s="1">
        <v>41341</v>
      </c>
      <c r="B3183">
        <v>56.56</v>
      </c>
      <c r="C3183">
        <v>57.51</v>
      </c>
      <c r="D3183">
        <v>56.52</v>
      </c>
      <c r="E3183">
        <v>57.39</v>
      </c>
      <c r="F3183">
        <v>8157800</v>
      </c>
      <c r="G3183">
        <v>56.69</v>
      </c>
      <c r="H3183" t="s">
        <v>14</v>
      </c>
      <c r="I3183" s="22">
        <f t="shared" si="99"/>
        <v>1.8875204249010506E-2</v>
      </c>
      <c r="J3183" s="22" t="str">
        <f t="shared" si="100"/>
        <v/>
      </c>
    </row>
    <row r="3184" spans="1:10">
      <c r="A3184" s="1">
        <v>41344</v>
      </c>
      <c r="B3184">
        <v>57.39</v>
      </c>
      <c r="C3184">
        <v>57.75</v>
      </c>
      <c r="D3184">
        <v>57.34</v>
      </c>
      <c r="E3184">
        <v>57.66</v>
      </c>
      <c r="F3184">
        <v>7155200</v>
      </c>
      <c r="G3184">
        <v>56.96</v>
      </c>
      <c r="H3184" t="s">
        <v>14</v>
      </c>
      <c r="I3184" s="22">
        <f t="shared" si="99"/>
        <v>4.7514387675081085E-3</v>
      </c>
      <c r="J3184" s="22" t="str">
        <f t="shared" si="100"/>
        <v/>
      </c>
    </row>
    <row r="3185" spans="1:10">
      <c r="A3185" s="1">
        <v>41345</v>
      </c>
      <c r="B3185">
        <v>57.52</v>
      </c>
      <c r="C3185">
        <v>57.63</v>
      </c>
      <c r="D3185">
        <v>56.7</v>
      </c>
      <c r="E3185">
        <v>57.11</v>
      </c>
      <c r="F3185">
        <v>7159100</v>
      </c>
      <c r="G3185">
        <v>56.41</v>
      </c>
      <c r="H3185" t="s">
        <v>14</v>
      </c>
      <c r="I3185" s="22">
        <f t="shared" si="99"/>
        <v>-9.7028193518357148E-3</v>
      </c>
      <c r="J3185" s="22" t="str">
        <f t="shared" si="100"/>
        <v>lost money</v>
      </c>
    </row>
    <row r="3186" spans="1:10">
      <c r="A3186" s="1">
        <v>41346</v>
      </c>
      <c r="B3186">
        <v>57.16</v>
      </c>
      <c r="C3186">
        <v>57.44</v>
      </c>
      <c r="D3186">
        <v>56.94</v>
      </c>
      <c r="E3186">
        <v>57.34</v>
      </c>
      <c r="F3186">
        <v>5209800</v>
      </c>
      <c r="G3186">
        <v>56.64</v>
      </c>
      <c r="H3186" t="s">
        <v>14</v>
      </c>
      <c r="I3186" s="22">
        <f t="shared" si="99"/>
        <v>4.0690016335795552E-3</v>
      </c>
      <c r="J3186" s="22" t="str">
        <f t="shared" si="100"/>
        <v/>
      </c>
    </row>
    <row r="3187" spans="1:10">
      <c r="A3187" s="1">
        <v>41347</v>
      </c>
      <c r="B3187">
        <v>57.35</v>
      </c>
      <c r="C3187">
        <v>57.82</v>
      </c>
      <c r="D3187">
        <v>57.27</v>
      </c>
      <c r="E3187">
        <v>57.75</v>
      </c>
      <c r="F3187">
        <v>5908200</v>
      </c>
      <c r="G3187">
        <v>57.05</v>
      </c>
      <c r="H3187" t="s">
        <v>14</v>
      </c>
      <c r="I3187" s="22">
        <f t="shared" si="99"/>
        <v>7.2126269226202413E-3</v>
      </c>
      <c r="J3187" s="22" t="str">
        <f t="shared" si="100"/>
        <v/>
      </c>
    </row>
    <row r="3188" spans="1:10">
      <c r="A3188" s="1">
        <v>41348</v>
      </c>
      <c r="B3188">
        <v>57.5</v>
      </c>
      <c r="C3188">
        <v>57.78</v>
      </c>
      <c r="D3188">
        <v>57.34</v>
      </c>
      <c r="E3188">
        <v>57.58</v>
      </c>
      <c r="F3188">
        <v>13788100</v>
      </c>
      <c r="G3188">
        <v>56.88</v>
      </c>
      <c r="H3188" t="s">
        <v>14</v>
      </c>
      <c r="I3188" s="22">
        <f t="shared" si="99"/>
        <v>-2.9842908130990639E-3</v>
      </c>
      <c r="J3188" s="22" t="str">
        <f t="shared" si="100"/>
        <v/>
      </c>
    </row>
    <row r="3189" spans="1:10">
      <c r="A3189" s="1">
        <v>41351</v>
      </c>
      <c r="B3189">
        <v>57.08</v>
      </c>
      <c r="C3189">
        <v>57.19</v>
      </c>
      <c r="D3189">
        <v>56.75</v>
      </c>
      <c r="E3189">
        <v>56.83</v>
      </c>
      <c r="F3189">
        <v>5125800</v>
      </c>
      <c r="G3189">
        <v>56.14</v>
      </c>
      <c r="H3189" t="s">
        <v>14</v>
      </c>
      <c r="I3189" s="22">
        <f t="shared" si="99"/>
        <v>-1.3095214561249088E-2</v>
      </c>
      <c r="J3189" s="22" t="str">
        <f t="shared" si="100"/>
        <v>lost money</v>
      </c>
    </row>
    <row r="3190" spans="1:10">
      <c r="A3190" s="1">
        <v>41352</v>
      </c>
      <c r="B3190">
        <v>56.83</v>
      </c>
      <c r="C3190">
        <v>57.05</v>
      </c>
      <c r="D3190">
        <v>55.76</v>
      </c>
      <c r="E3190">
        <v>56.31</v>
      </c>
      <c r="F3190">
        <v>8884200</v>
      </c>
      <c r="G3190">
        <v>55.62</v>
      </c>
      <c r="H3190" t="s">
        <v>14</v>
      </c>
      <c r="I3190" s="22">
        <f t="shared" si="99"/>
        <v>-9.3057221279176719E-3</v>
      </c>
      <c r="J3190" s="22" t="str">
        <f t="shared" si="100"/>
        <v>lost money</v>
      </c>
    </row>
    <row r="3191" spans="1:10">
      <c r="A3191" s="1">
        <v>41353</v>
      </c>
      <c r="B3191">
        <v>56.59</v>
      </c>
      <c r="C3191">
        <v>57.15</v>
      </c>
      <c r="D3191">
        <v>56.54</v>
      </c>
      <c r="E3191">
        <v>56.94</v>
      </c>
      <c r="F3191">
        <v>6018700</v>
      </c>
      <c r="G3191">
        <v>56.25</v>
      </c>
      <c r="H3191" t="s">
        <v>14</v>
      </c>
      <c r="I3191" s="22">
        <f t="shared" si="99"/>
        <v>1.1263192278710869E-2</v>
      </c>
      <c r="J3191" s="22" t="str">
        <f t="shared" si="100"/>
        <v/>
      </c>
    </row>
    <row r="3192" spans="1:10">
      <c r="A3192" s="1">
        <v>41354</v>
      </c>
      <c r="B3192">
        <v>56.74</v>
      </c>
      <c r="C3192">
        <v>56.85</v>
      </c>
      <c r="D3192">
        <v>56.16</v>
      </c>
      <c r="E3192">
        <v>56.31</v>
      </c>
      <c r="F3192">
        <v>5168500</v>
      </c>
      <c r="G3192">
        <v>55.62</v>
      </c>
      <c r="H3192" t="s">
        <v>14</v>
      </c>
      <c r="I3192" s="22">
        <f t="shared" si="99"/>
        <v>-1.1263192278710827E-2</v>
      </c>
      <c r="J3192" s="22" t="str">
        <f t="shared" si="100"/>
        <v>lost money</v>
      </c>
    </row>
    <row r="3193" spans="1:10">
      <c r="A3193" s="1">
        <v>41355</v>
      </c>
      <c r="B3193">
        <v>56.65</v>
      </c>
      <c r="C3193">
        <v>57.1</v>
      </c>
      <c r="D3193">
        <v>56.52</v>
      </c>
      <c r="E3193">
        <v>56.78</v>
      </c>
      <c r="F3193">
        <v>5500200</v>
      </c>
      <c r="G3193">
        <v>56.09</v>
      </c>
      <c r="H3193" t="s">
        <v>14</v>
      </c>
      <c r="I3193" s="22">
        <f t="shared" si="99"/>
        <v>8.4146947144268392E-3</v>
      </c>
      <c r="J3193" s="22" t="str">
        <f t="shared" si="100"/>
        <v/>
      </c>
    </row>
    <row r="3194" spans="1:10">
      <c r="A3194" s="1">
        <v>41358</v>
      </c>
      <c r="B3194">
        <v>57</v>
      </c>
      <c r="C3194">
        <v>57.11</v>
      </c>
      <c r="D3194">
        <v>55.87</v>
      </c>
      <c r="E3194">
        <v>56.21</v>
      </c>
      <c r="F3194">
        <v>7881500</v>
      </c>
      <c r="G3194">
        <v>55.52</v>
      </c>
      <c r="H3194" t="s">
        <v>14</v>
      </c>
      <c r="I3194" s="22">
        <f t="shared" si="99"/>
        <v>-1.0214227321696481E-2</v>
      </c>
      <c r="J3194" s="22" t="str">
        <f t="shared" si="100"/>
        <v>lost money</v>
      </c>
    </row>
    <row r="3195" spans="1:10">
      <c r="A3195" s="1">
        <v>41359</v>
      </c>
      <c r="B3195">
        <v>56.41</v>
      </c>
      <c r="C3195">
        <v>56.73</v>
      </c>
      <c r="D3195">
        <v>56.33</v>
      </c>
      <c r="E3195">
        <v>56.63</v>
      </c>
      <c r="F3195">
        <v>4675600</v>
      </c>
      <c r="G3195">
        <v>55.94</v>
      </c>
      <c r="H3195" t="s">
        <v>14</v>
      </c>
      <c r="I3195" s="22">
        <f t="shared" si="99"/>
        <v>7.5363715752644889E-3</v>
      </c>
      <c r="J3195" s="22" t="str">
        <f t="shared" si="100"/>
        <v/>
      </c>
    </row>
    <row r="3196" spans="1:10">
      <c r="A3196" s="1">
        <v>41360</v>
      </c>
      <c r="B3196">
        <v>56.34</v>
      </c>
      <c r="C3196">
        <v>56.5</v>
      </c>
      <c r="D3196">
        <v>55.99</v>
      </c>
      <c r="E3196">
        <v>56.47</v>
      </c>
      <c r="F3196">
        <v>6392400</v>
      </c>
      <c r="G3196">
        <v>55.78</v>
      </c>
      <c r="H3196" t="s">
        <v>14</v>
      </c>
      <c r="I3196" s="22">
        <f t="shared" si="99"/>
        <v>-2.8643055744707029E-3</v>
      </c>
      <c r="J3196" s="22" t="str">
        <f t="shared" si="100"/>
        <v/>
      </c>
    </row>
    <row r="3197" spans="1:10">
      <c r="A3197" s="1">
        <v>41361</v>
      </c>
      <c r="B3197">
        <v>56.59</v>
      </c>
      <c r="C3197">
        <v>56.94</v>
      </c>
      <c r="D3197">
        <v>56.5</v>
      </c>
      <c r="E3197">
        <v>56.8</v>
      </c>
      <c r="F3197">
        <v>6705600</v>
      </c>
      <c r="G3197">
        <v>56.11</v>
      </c>
      <c r="H3197" t="s">
        <v>14</v>
      </c>
      <c r="I3197" s="22">
        <f t="shared" si="99"/>
        <v>5.8986675635376747E-3</v>
      </c>
      <c r="J3197" s="22" t="str">
        <f t="shared" si="100"/>
        <v/>
      </c>
    </row>
    <row r="3198" spans="1:10">
      <c r="A3198" s="1">
        <v>41365</v>
      </c>
      <c r="B3198">
        <v>56.89</v>
      </c>
      <c r="C3198">
        <v>57.14</v>
      </c>
      <c r="D3198">
        <v>56.15</v>
      </c>
      <c r="E3198">
        <v>56.69</v>
      </c>
      <c r="F3198">
        <v>6722400</v>
      </c>
      <c r="G3198">
        <v>56</v>
      </c>
      <c r="H3198" t="s">
        <v>14</v>
      </c>
      <c r="I3198" s="22">
        <f t="shared" si="99"/>
        <v>-1.9623590277313792E-3</v>
      </c>
      <c r="J3198" s="22" t="str">
        <f t="shared" si="100"/>
        <v>lost money</v>
      </c>
    </row>
    <row r="3199" spans="1:10">
      <c r="A3199" s="1">
        <v>41366</v>
      </c>
      <c r="B3199">
        <v>57.04</v>
      </c>
      <c r="C3199">
        <v>57.46</v>
      </c>
      <c r="D3199">
        <v>56.96</v>
      </c>
      <c r="E3199">
        <v>57.46</v>
      </c>
      <c r="F3199">
        <v>6575300</v>
      </c>
      <c r="G3199">
        <v>56.76</v>
      </c>
      <c r="H3199" t="s">
        <v>14</v>
      </c>
      <c r="I3199" s="22">
        <f t="shared" si="99"/>
        <v>1.3480161556692672E-2</v>
      </c>
      <c r="J3199" s="22" t="str">
        <f t="shared" si="100"/>
        <v/>
      </c>
    </row>
    <row r="3200" spans="1:10">
      <c r="A3200" s="1">
        <v>41367</v>
      </c>
      <c r="B3200">
        <v>57.64</v>
      </c>
      <c r="C3200">
        <v>57.75</v>
      </c>
      <c r="D3200">
        <v>57</v>
      </c>
      <c r="E3200">
        <v>57.25</v>
      </c>
      <c r="F3200">
        <v>8101000</v>
      </c>
      <c r="G3200">
        <v>56.55</v>
      </c>
      <c r="H3200" t="s">
        <v>14</v>
      </c>
      <c r="I3200" s="22">
        <f t="shared" si="99"/>
        <v>-3.7066497297124348E-3</v>
      </c>
      <c r="J3200" s="22" t="str">
        <f t="shared" si="100"/>
        <v>lost money</v>
      </c>
    </row>
    <row r="3201" spans="1:10">
      <c r="A3201" s="1">
        <v>41368</v>
      </c>
      <c r="B3201">
        <v>57.28</v>
      </c>
      <c r="C3201">
        <v>57.72</v>
      </c>
      <c r="D3201">
        <v>57.18</v>
      </c>
      <c r="E3201">
        <v>57.59</v>
      </c>
      <c r="F3201">
        <v>6412400</v>
      </c>
      <c r="G3201">
        <v>56.89</v>
      </c>
      <c r="H3201" t="s">
        <v>14</v>
      </c>
      <c r="I3201" s="22">
        <f t="shared" si="99"/>
        <v>5.9943762004266692E-3</v>
      </c>
      <c r="J3201" s="22" t="str">
        <f t="shared" si="100"/>
        <v/>
      </c>
    </row>
    <row r="3202" spans="1:10">
      <c r="A3202" s="1">
        <v>41369</v>
      </c>
      <c r="B3202">
        <v>56.89</v>
      </c>
      <c r="C3202">
        <v>57.73</v>
      </c>
      <c r="D3202">
        <v>56.37</v>
      </c>
      <c r="E3202">
        <v>57.7</v>
      </c>
      <c r="F3202">
        <v>7034700</v>
      </c>
      <c r="G3202">
        <v>57</v>
      </c>
      <c r="H3202" t="s">
        <v>14</v>
      </c>
      <c r="I3202" s="22">
        <f t="shared" si="99"/>
        <v>1.9316890719941685E-3</v>
      </c>
      <c r="J3202" s="22" t="str">
        <f t="shared" si="100"/>
        <v/>
      </c>
    </row>
    <row r="3203" spans="1:10">
      <c r="A3203" s="1">
        <v>41372</v>
      </c>
      <c r="B3203">
        <v>57.83</v>
      </c>
      <c r="C3203">
        <v>58.82</v>
      </c>
      <c r="D3203">
        <v>57.76</v>
      </c>
      <c r="E3203">
        <v>58.82</v>
      </c>
      <c r="F3203">
        <v>9796200</v>
      </c>
      <c r="G3203">
        <v>58.1</v>
      </c>
      <c r="H3203" t="s">
        <v>14</v>
      </c>
      <c r="I3203" s="22">
        <f t="shared" ref="I3203:I3266" si="101">IF(A3203=$A$2,"",LN(G3203/G3202))</f>
        <v>1.9114396023315453E-2</v>
      </c>
      <c r="J3203" s="22" t="str">
        <f t="shared" ref="J3203:J3266" si="102">IF(B3203&gt;E3203,"lost money","")</f>
        <v/>
      </c>
    </row>
    <row r="3204" spans="1:10">
      <c r="A3204" s="1">
        <v>41373</v>
      </c>
      <c r="B3204">
        <v>58.72</v>
      </c>
      <c r="C3204">
        <v>59.24</v>
      </c>
      <c r="D3204">
        <v>58.52</v>
      </c>
      <c r="E3204">
        <v>59.14</v>
      </c>
      <c r="F3204">
        <v>8864800</v>
      </c>
      <c r="G3204">
        <v>58.42</v>
      </c>
      <c r="H3204" t="s">
        <v>14</v>
      </c>
      <c r="I3204" s="22">
        <f t="shared" si="101"/>
        <v>5.4926331017292771E-3</v>
      </c>
      <c r="J3204" s="22" t="str">
        <f t="shared" si="102"/>
        <v/>
      </c>
    </row>
    <row r="3205" spans="1:10">
      <c r="A3205" s="1">
        <v>41374</v>
      </c>
      <c r="B3205">
        <v>59.37</v>
      </c>
      <c r="C3205">
        <v>60.14</v>
      </c>
      <c r="D3205">
        <v>59.34</v>
      </c>
      <c r="E3205">
        <v>60.11</v>
      </c>
      <c r="F3205">
        <v>8438100</v>
      </c>
      <c r="G3205">
        <v>59.38</v>
      </c>
      <c r="H3205" t="s">
        <v>14</v>
      </c>
      <c r="I3205" s="22">
        <f t="shared" si="101"/>
        <v>1.6299172376018783E-2</v>
      </c>
      <c r="J3205" s="22" t="str">
        <f t="shared" si="102"/>
        <v/>
      </c>
    </row>
    <row r="3206" spans="1:10">
      <c r="A3206" s="1">
        <v>41375</v>
      </c>
      <c r="B3206">
        <v>60.11</v>
      </c>
      <c r="C3206">
        <v>60.67</v>
      </c>
      <c r="D3206">
        <v>60.02</v>
      </c>
      <c r="E3206">
        <v>60.55</v>
      </c>
      <c r="F3206">
        <v>9241800</v>
      </c>
      <c r="G3206">
        <v>59.81</v>
      </c>
      <c r="H3206" t="s">
        <v>14</v>
      </c>
      <c r="I3206" s="22">
        <f t="shared" si="101"/>
        <v>7.2154017208518693E-3</v>
      </c>
      <c r="J3206" s="22" t="str">
        <f t="shared" si="102"/>
        <v/>
      </c>
    </row>
    <row r="3207" spans="1:10">
      <c r="A3207" s="1">
        <v>41376</v>
      </c>
      <c r="B3207">
        <v>60.29</v>
      </c>
      <c r="C3207">
        <v>60.73</v>
      </c>
      <c r="D3207">
        <v>60.27</v>
      </c>
      <c r="E3207">
        <v>60.55</v>
      </c>
      <c r="F3207">
        <v>8533000</v>
      </c>
      <c r="G3207">
        <v>59.81</v>
      </c>
      <c r="H3207" t="s">
        <v>14</v>
      </c>
      <c r="I3207" s="22">
        <f t="shared" si="101"/>
        <v>0</v>
      </c>
      <c r="J3207" s="22" t="str">
        <f t="shared" si="102"/>
        <v/>
      </c>
    </row>
    <row r="3208" spans="1:10">
      <c r="A3208" s="1">
        <v>41379</v>
      </c>
      <c r="B3208">
        <v>60.26</v>
      </c>
      <c r="C3208">
        <v>60.67</v>
      </c>
      <c r="D3208">
        <v>58.84</v>
      </c>
      <c r="E3208">
        <v>58.88</v>
      </c>
      <c r="F3208">
        <v>12027900</v>
      </c>
      <c r="G3208">
        <v>58.16</v>
      </c>
      <c r="H3208" t="s">
        <v>14</v>
      </c>
      <c r="I3208" s="22">
        <f t="shared" si="101"/>
        <v>-2.7975037831201786E-2</v>
      </c>
      <c r="J3208" s="22" t="str">
        <f t="shared" si="102"/>
        <v>lost money</v>
      </c>
    </row>
    <row r="3209" spans="1:10">
      <c r="A3209" s="1">
        <v>41380</v>
      </c>
      <c r="B3209">
        <v>59.26</v>
      </c>
      <c r="C3209">
        <v>60.75</v>
      </c>
      <c r="D3209">
        <v>59.08</v>
      </c>
      <c r="E3209">
        <v>60.75</v>
      </c>
      <c r="F3209">
        <v>10309400</v>
      </c>
      <c r="G3209">
        <v>60.01</v>
      </c>
      <c r="H3209" t="s">
        <v>14</v>
      </c>
      <c r="I3209" s="22">
        <f t="shared" si="101"/>
        <v>3.1313381776157619E-2</v>
      </c>
      <c r="J3209" s="22" t="str">
        <f t="shared" si="102"/>
        <v/>
      </c>
    </row>
    <row r="3210" spans="1:10">
      <c r="A3210" s="1">
        <v>41381</v>
      </c>
      <c r="B3210">
        <v>60.35</v>
      </c>
      <c r="C3210">
        <v>60.69</v>
      </c>
      <c r="D3210">
        <v>60.02</v>
      </c>
      <c r="E3210">
        <v>60.68</v>
      </c>
      <c r="F3210">
        <v>11531200</v>
      </c>
      <c r="G3210">
        <v>59.94</v>
      </c>
      <c r="H3210" t="s">
        <v>14</v>
      </c>
      <c r="I3210" s="22">
        <f t="shared" si="101"/>
        <v>-1.1671531129042836E-3</v>
      </c>
      <c r="J3210" s="22" t="str">
        <f t="shared" si="102"/>
        <v/>
      </c>
    </row>
    <row r="3211" spans="1:10">
      <c r="A3211" s="1">
        <v>41382</v>
      </c>
      <c r="B3211">
        <v>60.64</v>
      </c>
      <c r="C3211">
        <v>60.67</v>
      </c>
      <c r="D3211">
        <v>59.88</v>
      </c>
      <c r="E3211">
        <v>59.99</v>
      </c>
      <c r="F3211">
        <v>9203200</v>
      </c>
      <c r="G3211">
        <v>59.26</v>
      </c>
      <c r="H3211" t="s">
        <v>14</v>
      </c>
      <c r="I3211" s="22">
        <f t="shared" si="101"/>
        <v>-1.1409519743097936E-2</v>
      </c>
      <c r="J3211" s="22" t="str">
        <f t="shared" si="102"/>
        <v>lost money</v>
      </c>
    </row>
    <row r="3212" spans="1:10">
      <c r="A3212" s="1">
        <v>41383</v>
      </c>
      <c r="B3212">
        <v>60.25</v>
      </c>
      <c r="C3212">
        <v>61.56</v>
      </c>
      <c r="D3212">
        <v>60.25</v>
      </c>
      <c r="E3212">
        <v>61.56</v>
      </c>
      <c r="F3212">
        <v>9488300</v>
      </c>
      <c r="G3212">
        <v>60.81</v>
      </c>
      <c r="H3212" t="s">
        <v>14</v>
      </c>
      <c r="I3212" s="22">
        <f t="shared" si="101"/>
        <v>2.5819706986599349E-2</v>
      </c>
      <c r="J3212" s="22" t="str">
        <f t="shared" si="102"/>
        <v/>
      </c>
    </row>
    <row r="3213" spans="1:10">
      <c r="A3213" s="1">
        <v>41386</v>
      </c>
      <c r="B3213">
        <v>61.59</v>
      </c>
      <c r="C3213">
        <v>62.1</v>
      </c>
      <c r="D3213">
        <v>61.15</v>
      </c>
      <c r="E3213">
        <v>62.01</v>
      </c>
      <c r="F3213">
        <v>6306900</v>
      </c>
      <c r="G3213">
        <v>61.25</v>
      </c>
      <c r="H3213" t="s">
        <v>14</v>
      </c>
      <c r="I3213" s="22">
        <f t="shared" si="101"/>
        <v>7.2096002928180676E-3</v>
      </c>
      <c r="J3213" s="22" t="str">
        <f t="shared" si="102"/>
        <v/>
      </c>
    </row>
    <row r="3214" spans="1:10">
      <c r="A3214" s="1">
        <v>41387</v>
      </c>
      <c r="B3214">
        <v>62.4</v>
      </c>
      <c r="C3214">
        <v>62.62</v>
      </c>
      <c r="D3214">
        <v>61.54</v>
      </c>
      <c r="E3214">
        <v>62.59</v>
      </c>
      <c r="F3214">
        <v>6260800</v>
      </c>
      <c r="G3214">
        <v>61.83</v>
      </c>
      <c r="H3214" t="s">
        <v>14</v>
      </c>
      <c r="I3214" s="22">
        <f t="shared" si="101"/>
        <v>9.4248341456409247E-3</v>
      </c>
      <c r="J3214" s="22" t="str">
        <f t="shared" si="102"/>
        <v/>
      </c>
    </row>
    <row r="3215" spans="1:10">
      <c r="A3215" s="1">
        <v>41388</v>
      </c>
      <c r="B3215">
        <v>62.71</v>
      </c>
      <c r="C3215">
        <v>62.9</v>
      </c>
      <c r="D3215">
        <v>61.59</v>
      </c>
      <c r="E3215">
        <v>61.94</v>
      </c>
      <c r="F3215">
        <v>7335400</v>
      </c>
      <c r="G3215">
        <v>61.18</v>
      </c>
      <c r="H3215" t="s">
        <v>14</v>
      </c>
      <c r="I3215" s="22">
        <f t="shared" si="101"/>
        <v>-1.0568344847719928E-2</v>
      </c>
      <c r="J3215" s="22" t="str">
        <f t="shared" si="102"/>
        <v>lost money</v>
      </c>
    </row>
    <row r="3216" spans="1:10">
      <c r="A3216" s="1">
        <v>41389</v>
      </c>
      <c r="B3216">
        <v>62.01</v>
      </c>
      <c r="C3216">
        <v>62.17</v>
      </c>
      <c r="D3216">
        <v>61.55</v>
      </c>
      <c r="E3216">
        <v>62</v>
      </c>
      <c r="F3216">
        <v>6680900</v>
      </c>
      <c r="G3216">
        <v>61.24</v>
      </c>
      <c r="H3216" t="s">
        <v>14</v>
      </c>
      <c r="I3216" s="22">
        <f t="shared" si="101"/>
        <v>9.8023206672555709E-4</v>
      </c>
      <c r="J3216" s="22" t="str">
        <f t="shared" si="102"/>
        <v>lost money</v>
      </c>
    </row>
    <row r="3217" spans="1:10">
      <c r="A3217" s="1">
        <v>41390</v>
      </c>
      <c r="B3217">
        <v>62.06</v>
      </c>
      <c r="C3217">
        <v>62.29</v>
      </c>
      <c r="D3217">
        <v>61.55</v>
      </c>
      <c r="E3217">
        <v>61.87</v>
      </c>
      <c r="F3217">
        <v>7038500</v>
      </c>
      <c r="G3217">
        <v>61.12</v>
      </c>
      <c r="H3217" t="s">
        <v>14</v>
      </c>
      <c r="I3217" s="22">
        <f t="shared" si="101"/>
        <v>-1.961425931218062E-3</v>
      </c>
      <c r="J3217" s="22" t="str">
        <f t="shared" si="102"/>
        <v>lost money</v>
      </c>
    </row>
    <row r="3218" spans="1:10">
      <c r="A3218" s="1">
        <v>41393</v>
      </c>
      <c r="B3218">
        <v>62.82</v>
      </c>
      <c r="C3218">
        <v>63.25</v>
      </c>
      <c r="D3218">
        <v>62.59</v>
      </c>
      <c r="E3218">
        <v>63</v>
      </c>
      <c r="F3218">
        <v>7203900</v>
      </c>
      <c r="G3218">
        <v>62.23</v>
      </c>
      <c r="H3218" t="s">
        <v>14</v>
      </c>
      <c r="I3218" s="22">
        <f t="shared" si="101"/>
        <v>1.7998053722861476E-2</v>
      </c>
      <c r="J3218" s="22" t="str">
        <f t="shared" si="102"/>
        <v/>
      </c>
    </row>
    <row r="3219" spans="1:10">
      <c r="A3219" s="1">
        <v>41394</v>
      </c>
      <c r="B3219">
        <v>62.93</v>
      </c>
      <c r="C3219">
        <v>63.08</v>
      </c>
      <c r="D3219">
        <v>62.44</v>
      </c>
      <c r="E3219">
        <v>62.84</v>
      </c>
      <c r="F3219">
        <v>8528800</v>
      </c>
      <c r="G3219">
        <v>62.07</v>
      </c>
      <c r="H3219" t="s">
        <v>14</v>
      </c>
      <c r="I3219" s="22">
        <f t="shared" si="101"/>
        <v>-2.5744181555651317E-3</v>
      </c>
      <c r="J3219" s="22" t="str">
        <f t="shared" si="102"/>
        <v>lost money</v>
      </c>
    </row>
    <row r="3220" spans="1:10">
      <c r="A3220" s="1">
        <v>41395</v>
      </c>
      <c r="B3220">
        <v>62.88</v>
      </c>
      <c r="C3220">
        <v>63.5</v>
      </c>
      <c r="D3220">
        <v>62.8</v>
      </c>
      <c r="E3220">
        <v>63.21</v>
      </c>
      <c r="F3220">
        <v>7468900</v>
      </c>
      <c r="G3220">
        <v>62.44</v>
      </c>
      <c r="H3220" t="s">
        <v>14</v>
      </c>
      <c r="I3220" s="22">
        <f t="shared" si="101"/>
        <v>5.9433152216698789E-3</v>
      </c>
      <c r="J3220" s="22" t="str">
        <f t="shared" si="102"/>
        <v/>
      </c>
    </row>
    <row r="3221" spans="1:10">
      <c r="A3221" s="1">
        <v>41396</v>
      </c>
      <c r="B3221">
        <v>63.4</v>
      </c>
      <c r="C3221">
        <v>63.93</v>
      </c>
      <c r="D3221">
        <v>63.11</v>
      </c>
      <c r="E3221">
        <v>63.88</v>
      </c>
      <c r="F3221">
        <v>5249600</v>
      </c>
      <c r="G3221">
        <v>63.1</v>
      </c>
      <c r="H3221" t="s">
        <v>14</v>
      </c>
      <c r="I3221" s="22">
        <f t="shared" si="101"/>
        <v>1.0514673899936267E-2</v>
      </c>
      <c r="J3221" s="22" t="str">
        <f t="shared" si="102"/>
        <v/>
      </c>
    </row>
    <row r="3222" spans="1:10">
      <c r="A3222" s="1">
        <v>41397</v>
      </c>
      <c r="B3222">
        <v>64.180000000000007</v>
      </c>
      <c r="C3222">
        <v>64.849999999999994</v>
      </c>
      <c r="D3222">
        <v>63.88</v>
      </c>
      <c r="E3222">
        <v>64.8</v>
      </c>
      <c r="F3222">
        <v>9196000</v>
      </c>
      <c r="G3222">
        <v>64.010000000000005</v>
      </c>
      <c r="H3222" t="s">
        <v>14</v>
      </c>
      <c r="I3222" s="22">
        <f t="shared" si="101"/>
        <v>1.4318551606744627E-2</v>
      </c>
      <c r="J3222" s="22" t="str">
        <f t="shared" si="102"/>
        <v/>
      </c>
    </row>
    <row r="3223" spans="1:10">
      <c r="A3223" s="1">
        <v>41400</v>
      </c>
      <c r="B3223">
        <v>65.09</v>
      </c>
      <c r="C3223">
        <v>65.59</v>
      </c>
      <c r="D3223">
        <v>64.510000000000005</v>
      </c>
      <c r="E3223">
        <v>65.06</v>
      </c>
      <c r="F3223">
        <v>10239600</v>
      </c>
      <c r="G3223">
        <v>64.27</v>
      </c>
      <c r="H3223" t="s">
        <v>14</v>
      </c>
      <c r="I3223" s="22">
        <f t="shared" si="101"/>
        <v>4.053638229282743E-3</v>
      </c>
      <c r="J3223" s="22" t="str">
        <f t="shared" si="102"/>
        <v>lost money</v>
      </c>
    </row>
    <row r="3224" spans="1:10">
      <c r="A3224" s="1">
        <v>41401</v>
      </c>
      <c r="B3224">
        <v>65.44</v>
      </c>
      <c r="C3224">
        <v>66.09</v>
      </c>
      <c r="D3224">
        <v>64.77</v>
      </c>
      <c r="E3224">
        <v>66.069999999999993</v>
      </c>
      <c r="F3224">
        <v>14539100</v>
      </c>
      <c r="G3224">
        <v>65.260000000000005</v>
      </c>
      <c r="H3224" t="s">
        <v>14</v>
      </c>
      <c r="I3224" s="22">
        <f t="shared" si="101"/>
        <v>1.528633178197987E-2</v>
      </c>
      <c r="J3224" s="22" t="str">
        <f t="shared" si="102"/>
        <v/>
      </c>
    </row>
    <row r="3225" spans="1:10">
      <c r="A3225" s="1">
        <v>41402</v>
      </c>
      <c r="B3225">
        <v>66</v>
      </c>
      <c r="C3225">
        <v>66</v>
      </c>
      <c r="D3225">
        <v>64.56</v>
      </c>
      <c r="E3225">
        <v>65.989999999999995</v>
      </c>
      <c r="F3225">
        <v>17803200</v>
      </c>
      <c r="G3225">
        <v>65.19</v>
      </c>
      <c r="H3225" t="s">
        <v>14</v>
      </c>
      <c r="I3225" s="22">
        <f t="shared" si="101"/>
        <v>-1.0732082287267552E-3</v>
      </c>
      <c r="J3225" s="22" t="str">
        <f t="shared" si="102"/>
        <v>lost money</v>
      </c>
    </row>
    <row r="3226" spans="1:10">
      <c r="A3226" s="1">
        <v>41403</v>
      </c>
      <c r="B3226">
        <v>65.73</v>
      </c>
      <c r="C3226">
        <v>67.11</v>
      </c>
      <c r="D3226">
        <v>65.510000000000005</v>
      </c>
      <c r="E3226">
        <v>66.67</v>
      </c>
      <c r="F3226">
        <v>11325000</v>
      </c>
      <c r="G3226">
        <v>65.86</v>
      </c>
      <c r="H3226" t="s">
        <v>14</v>
      </c>
      <c r="I3226" s="22">
        <f t="shared" si="101"/>
        <v>1.0225194011770342E-2</v>
      </c>
      <c r="J3226" s="22" t="str">
        <f t="shared" si="102"/>
        <v/>
      </c>
    </row>
    <row r="3227" spans="1:10">
      <c r="A3227" s="1">
        <v>41404</v>
      </c>
      <c r="B3227">
        <v>66.69</v>
      </c>
      <c r="C3227">
        <v>67.430000000000007</v>
      </c>
      <c r="D3227">
        <v>66.34</v>
      </c>
      <c r="E3227">
        <v>67.2</v>
      </c>
      <c r="F3227">
        <v>8654000</v>
      </c>
      <c r="G3227">
        <v>66.38</v>
      </c>
      <c r="H3227" t="s">
        <v>14</v>
      </c>
      <c r="I3227" s="22">
        <f t="shared" si="101"/>
        <v>7.8645293436102881E-3</v>
      </c>
      <c r="J3227" s="22" t="str">
        <f t="shared" si="102"/>
        <v/>
      </c>
    </row>
    <row r="3228" spans="1:10">
      <c r="A3228" s="1">
        <v>41407</v>
      </c>
      <c r="B3228">
        <v>66.959999999999994</v>
      </c>
      <c r="C3228">
        <v>67.52</v>
      </c>
      <c r="D3228">
        <v>66.92</v>
      </c>
      <c r="E3228">
        <v>67.319999999999993</v>
      </c>
      <c r="F3228">
        <v>5195000</v>
      </c>
      <c r="G3228">
        <v>66.5</v>
      </c>
      <c r="H3228" t="s">
        <v>14</v>
      </c>
      <c r="I3228" s="22">
        <f t="shared" si="101"/>
        <v>1.806141369979946E-3</v>
      </c>
      <c r="J3228" s="22" t="str">
        <f t="shared" si="102"/>
        <v/>
      </c>
    </row>
    <row r="3229" spans="1:10">
      <c r="A3229" s="1">
        <v>41408</v>
      </c>
      <c r="B3229">
        <v>67.430000000000007</v>
      </c>
      <c r="C3229">
        <v>67.489999999999995</v>
      </c>
      <c r="D3229">
        <v>66.98</v>
      </c>
      <c r="E3229">
        <v>67.47</v>
      </c>
      <c r="F3229">
        <v>9675400</v>
      </c>
      <c r="G3229">
        <v>66.650000000000006</v>
      </c>
      <c r="H3229" t="s">
        <v>14</v>
      </c>
      <c r="I3229" s="22">
        <f t="shared" si="101"/>
        <v>2.2530989629092591E-3</v>
      </c>
      <c r="J3229" s="22" t="str">
        <f t="shared" si="102"/>
        <v/>
      </c>
    </row>
    <row r="3230" spans="1:10">
      <c r="A3230" s="1">
        <v>41409</v>
      </c>
      <c r="B3230">
        <v>67.42</v>
      </c>
      <c r="C3230">
        <v>67.790000000000006</v>
      </c>
      <c r="D3230">
        <v>67.180000000000007</v>
      </c>
      <c r="E3230">
        <v>67.67</v>
      </c>
      <c r="F3230">
        <v>7925900</v>
      </c>
      <c r="G3230">
        <v>66.84</v>
      </c>
      <c r="H3230" t="s">
        <v>14</v>
      </c>
      <c r="I3230" s="22">
        <f t="shared" si="101"/>
        <v>2.8466571024753544E-3</v>
      </c>
      <c r="J3230" s="22" t="str">
        <f t="shared" si="102"/>
        <v/>
      </c>
    </row>
    <row r="3231" spans="1:10">
      <c r="A3231" s="1">
        <v>41410</v>
      </c>
      <c r="B3231">
        <v>67.62</v>
      </c>
      <c r="C3231">
        <v>67.89</v>
      </c>
      <c r="D3231">
        <v>66.2</v>
      </c>
      <c r="E3231">
        <v>66.47</v>
      </c>
      <c r="F3231">
        <v>8473100</v>
      </c>
      <c r="G3231">
        <v>65.66</v>
      </c>
      <c r="H3231" t="s">
        <v>14</v>
      </c>
      <c r="I3231" s="22">
        <f t="shared" si="101"/>
        <v>-1.7811791653746498E-2</v>
      </c>
      <c r="J3231" s="22" t="str">
        <f t="shared" si="102"/>
        <v>lost money</v>
      </c>
    </row>
    <row r="3232" spans="1:10">
      <c r="A3232" s="1">
        <v>41411</v>
      </c>
      <c r="B3232">
        <v>66.16</v>
      </c>
      <c r="C3232">
        <v>66.58</v>
      </c>
      <c r="D3232">
        <v>65.680000000000007</v>
      </c>
      <c r="E3232">
        <v>66.58</v>
      </c>
      <c r="F3232">
        <v>9160100</v>
      </c>
      <c r="G3232">
        <v>65.77</v>
      </c>
      <c r="H3232" t="s">
        <v>14</v>
      </c>
      <c r="I3232" s="22">
        <f t="shared" si="101"/>
        <v>1.6738952398129459E-3</v>
      </c>
      <c r="J3232" s="22" t="str">
        <f t="shared" si="102"/>
        <v/>
      </c>
    </row>
    <row r="3233" spans="1:10">
      <c r="A3233" s="1">
        <v>41414</v>
      </c>
      <c r="B3233">
        <v>66.58</v>
      </c>
      <c r="C3233">
        <v>66.599999999999994</v>
      </c>
      <c r="D3233">
        <v>66.05</v>
      </c>
      <c r="E3233">
        <v>66.12</v>
      </c>
      <c r="F3233">
        <v>5893300</v>
      </c>
      <c r="G3233">
        <v>65.31</v>
      </c>
      <c r="H3233" t="s">
        <v>14</v>
      </c>
      <c r="I3233" s="22">
        <f t="shared" si="101"/>
        <v>-7.0186433986938E-3</v>
      </c>
      <c r="J3233" s="22" t="str">
        <f t="shared" si="102"/>
        <v>lost money</v>
      </c>
    </row>
    <row r="3234" spans="1:10">
      <c r="A3234" s="1">
        <v>41415</v>
      </c>
      <c r="B3234">
        <v>66.349999999999994</v>
      </c>
      <c r="C3234">
        <v>66.400000000000006</v>
      </c>
      <c r="D3234">
        <v>65.709999999999994</v>
      </c>
      <c r="E3234">
        <v>65.83</v>
      </c>
      <c r="F3234">
        <v>7359100</v>
      </c>
      <c r="G3234">
        <v>65.03</v>
      </c>
      <c r="H3234" t="s">
        <v>14</v>
      </c>
      <c r="I3234" s="22">
        <f t="shared" si="101"/>
        <v>-4.29646203350534E-3</v>
      </c>
      <c r="J3234" s="22" t="str">
        <f t="shared" si="102"/>
        <v>lost money</v>
      </c>
    </row>
    <row r="3235" spans="1:10">
      <c r="A3235" s="1">
        <v>41416</v>
      </c>
      <c r="B3235">
        <v>65.760000000000005</v>
      </c>
      <c r="C3235">
        <v>66.709999999999994</v>
      </c>
      <c r="D3235">
        <v>65.27</v>
      </c>
      <c r="E3235">
        <v>65.569999999999993</v>
      </c>
      <c r="F3235">
        <v>8142400</v>
      </c>
      <c r="G3235">
        <v>64.77</v>
      </c>
      <c r="H3235" t="s">
        <v>14</v>
      </c>
      <c r="I3235" s="22">
        <f t="shared" si="101"/>
        <v>-4.006168686234832E-3</v>
      </c>
      <c r="J3235" s="22" t="str">
        <f t="shared" si="102"/>
        <v>lost money</v>
      </c>
    </row>
    <row r="3236" spans="1:10">
      <c r="A3236" s="1">
        <v>41417</v>
      </c>
      <c r="B3236">
        <v>64.87</v>
      </c>
      <c r="C3236">
        <v>65.44</v>
      </c>
      <c r="D3236">
        <v>64.239999999999995</v>
      </c>
      <c r="E3236">
        <v>65.23</v>
      </c>
      <c r="F3236">
        <v>7536200</v>
      </c>
      <c r="G3236">
        <v>64.430000000000007</v>
      </c>
      <c r="H3236" t="s">
        <v>14</v>
      </c>
      <c r="I3236" s="22">
        <f t="shared" si="101"/>
        <v>-5.2631700442744211E-3</v>
      </c>
      <c r="J3236" s="22" t="str">
        <f t="shared" si="102"/>
        <v/>
      </c>
    </row>
    <row r="3237" spans="1:10">
      <c r="A3237" s="1">
        <v>41418</v>
      </c>
      <c r="B3237">
        <v>64.75</v>
      </c>
      <c r="C3237">
        <v>65.53</v>
      </c>
      <c r="D3237">
        <v>64.39</v>
      </c>
      <c r="E3237">
        <v>65.489999999999995</v>
      </c>
      <c r="F3237">
        <v>8846100</v>
      </c>
      <c r="G3237">
        <v>64.69</v>
      </c>
      <c r="H3237" t="s">
        <v>14</v>
      </c>
      <c r="I3237" s="22">
        <f t="shared" si="101"/>
        <v>4.0272669053428101E-3</v>
      </c>
      <c r="J3237" s="22" t="str">
        <f t="shared" si="102"/>
        <v/>
      </c>
    </row>
    <row r="3238" spans="1:10">
      <c r="A3238" s="1">
        <v>41422</v>
      </c>
      <c r="B3238">
        <v>65.98</v>
      </c>
      <c r="C3238">
        <v>66.760000000000005</v>
      </c>
      <c r="D3238">
        <v>65.92</v>
      </c>
      <c r="E3238">
        <v>66.69</v>
      </c>
      <c r="F3238">
        <v>8280000</v>
      </c>
      <c r="G3238">
        <v>65.88</v>
      </c>
      <c r="H3238" t="s">
        <v>14</v>
      </c>
      <c r="I3238" s="22">
        <f t="shared" si="101"/>
        <v>1.8228275253545534E-2</v>
      </c>
      <c r="J3238" s="22" t="str">
        <f t="shared" si="102"/>
        <v/>
      </c>
    </row>
    <row r="3239" spans="1:10">
      <c r="A3239" s="1">
        <v>41423</v>
      </c>
      <c r="B3239">
        <v>66.37</v>
      </c>
      <c r="C3239">
        <v>66.48</v>
      </c>
      <c r="D3239">
        <v>65.739999999999995</v>
      </c>
      <c r="E3239">
        <v>66.260000000000005</v>
      </c>
      <c r="F3239">
        <v>6954000</v>
      </c>
      <c r="G3239">
        <v>65.45</v>
      </c>
      <c r="H3239" t="s">
        <v>14</v>
      </c>
      <c r="I3239" s="22">
        <f t="shared" si="101"/>
        <v>-6.5484129535305644E-3</v>
      </c>
      <c r="J3239" s="22" t="str">
        <f t="shared" si="102"/>
        <v>lost money</v>
      </c>
    </row>
    <row r="3240" spans="1:10">
      <c r="A3240" s="1">
        <v>41424</v>
      </c>
      <c r="B3240">
        <v>66.44</v>
      </c>
      <c r="C3240">
        <v>67.11</v>
      </c>
      <c r="D3240">
        <v>64.319999999999993</v>
      </c>
      <c r="E3240">
        <v>64.650000000000006</v>
      </c>
      <c r="F3240">
        <v>13052700</v>
      </c>
      <c r="G3240">
        <v>63.86</v>
      </c>
      <c r="H3240" t="s">
        <v>14</v>
      </c>
      <c r="I3240" s="22">
        <f t="shared" si="101"/>
        <v>-2.4593305069272993E-2</v>
      </c>
      <c r="J3240" s="22" t="str">
        <f t="shared" si="102"/>
        <v>lost money</v>
      </c>
    </row>
    <row r="3241" spans="1:10">
      <c r="A3241" s="1">
        <v>41425</v>
      </c>
      <c r="B3241">
        <v>64.569999999999993</v>
      </c>
      <c r="C3241">
        <v>65.03</v>
      </c>
      <c r="D3241">
        <v>63.07</v>
      </c>
      <c r="E3241">
        <v>63.08</v>
      </c>
      <c r="F3241">
        <v>11280900</v>
      </c>
      <c r="G3241">
        <v>62.31</v>
      </c>
      <c r="H3241" t="s">
        <v>14</v>
      </c>
      <c r="I3241" s="22">
        <f t="shared" si="101"/>
        <v>-2.4571260730505317E-2</v>
      </c>
      <c r="J3241" s="22" t="str">
        <f t="shared" si="102"/>
        <v>lost money</v>
      </c>
    </row>
    <row r="3242" spans="1:10">
      <c r="A3242" s="1">
        <v>41428</v>
      </c>
      <c r="B3242">
        <v>63.06</v>
      </c>
      <c r="C3242">
        <v>63.82</v>
      </c>
      <c r="D3242">
        <v>62.53</v>
      </c>
      <c r="E3242">
        <v>63.8</v>
      </c>
      <c r="F3242">
        <v>8705600</v>
      </c>
      <c r="G3242">
        <v>63.02</v>
      </c>
      <c r="H3242" t="s">
        <v>14</v>
      </c>
      <c r="I3242" s="22">
        <f t="shared" si="101"/>
        <v>1.1330209772997849E-2</v>
      </c>
      <c r="J3242" s="22" t="str">
        <f t="shared" si="102"/>
        <v/>
      </c>
    </row>
    <row r="3243" spans="1:10">
      <c r="A3243" s="1">
        <v>41429</v>
      </c>
      <c r="B3243">
        <v>63.93</v>
      </c>
      <c r="C3243">
        <v>64.930000000000007</v>
      </c>
      <c r="D3243">
        <v>63.86</v>
      </c>
      <c r="E3243">
        <v>64.349999999999994</v>
      </c>
      <c r="F3243">
        <v>8147700</v>
      </c>
      <c r="G3243">
        <v>63.57</v>
      </c>
      <c r="H3243" t="s">
        <v>14</v>
      </c>
      <c r="I3243" s="22">
        <f t="shared" si="101"/>
        <v>8.6895246191888379E-3</v>
      </c>
      <c r="J3243" s="22" t="str">
        <f t="shared" si="102"/>
        <v/>
      </c>
    </row>
    <row r="3244" spans="1:10">
      <c r="A3244" s="1">
        <v>41430</v>
      </c>
      <c r="B3244">
        <v>64.05</v>
      </c>
      <c r="C3244">
        <v>64.12</v>
      </c>
      <c r="D3244">
        <v>62.8</v>
      </c>
      <c r="E3244">
        <v>63.12</v>
      </c>
      <c r="F3244">
        <v>8893600</v>
      </c>
      <c r="G3244">
        <v>62.35</v>
      </c>
      <c r="H3244" t="s">
        <v>14</v>
      </c>
      <c r="I3244" s="22">
        <f t="shared" si="101"/>
        <v>-1.9377988822271913E-2</v>
      </c>
      <c r="J3244" s="22" t="str">
        <f t="shared" si="102"/>
        <v>lost money</v>
      </c>
    </row>
    <row r="3245" spans="1:10">
      <c r="A3245" s="1">
        <v>41431</v>
      </c>
      <c r="B3245">
        <v>63.1</v>
      </c>
      <c r="C3245">
        <v>63.32</v>
      </c>
      <c r="D3245">
        <v>62.04</v>
      </c>
      <c r="E3245">
        <v>63.14</v>
      </c>
      <c r="F3245">
        <v>8661900</v>
      </c>
      <c r="G3245">
        <v>62.37</v>
      </c>
      <c r="H3245" t="s">
        <v>14</v>
      </c>
      <c r="I3245" s="22">
        <f t="shared" si="101"/>
        <v>3.2071841198565073E-4</v>
      </c>
      <c r="J3245" s="22" t="str">
        <f t="shared" si="102"/>
        <v/>
      </c>
    </row>
    <row r="3246" spans="1:10">
      <c r="A3246" s="1">
        <v>41432</v>
      </c>
      <c r="B3246">
        <v>63.63</v>
      </c>
      <c r="C3246">
        <v>64.87</v>
      </c>
      <c r="D3246">
        <v>63.25</v>
      </c>
      <c r="E3246">
        <v>64.849999999999994</v>
      </c>
      <c r="F3246">
        <v>7611300</v>
      </c>
      <c r="G3246">
        <v>64.06</v>
      </c>
      <c r="H3246" t="s">
        <v>14</v>
      </c>
      <c r="I3246" s="22">
        <f t="shared" si="101"/>
        <v>2.6735753642980951E-2</v>
      </c>
      <c r="J3246" s="22" t="str">
        <f t="shared" si="102"/>
        <v/>
      </c>
    </row>
    <row r="3247" spans="1:10">
      <c r="A3247" s="1">
        <v>41435</v>
      </c>
      <c r="B3247">
        <v>64.91</v>
      </c>
      <c r="C3247">
        <v>64.97</v>
      </c>
      <c r="D3247">
        <v>63.7</v>
      </c>
      <c r="E3247">
        <v>63.83</v>
      </c>
      <c r="F3247">
        <v>6729500</v>
      </c>
      <c r="G3247">
        <v>63.05</v>
      </c>
      <c r="H3247" t="s">
        <v>14</v>
      </c>
      <c r="I3247" s="22">
        <f t="shared" si="101"/>
        <v>-1.5892081770083579E-2</v>
      </c>
      <c r="J3247" s="22" t="str">
        <f t="shared" si="102"/>
        <v>lost money</v>
      </c>
    </row>
    <row r="3248" spans="1:10">
      <c r="A3248" s="1">
        <v>41436</v>
      </c>
      <c r="B3248">
        <v>63.32</v>
      </c>
      <c r="C3248">
        <v>64.3</v>
      </c>
      <c r="D3248">
        <v>62.97</v>
      </c>
      <c r="E3248">
        <v>63.8</v>
      </c>
      <c r="F3248">
        <v>6454800</v>
      </c>
      <c r="G3248">
        <v>63.02</v>
      </c>
      <c r="H3248" t="s">
        <v>14</v>
      </c>
      <c r="I3248" s="22">
        <f t="shared" si="101"/>
        <v>-4.7592608179990447E-4</v>
      </c>
      <c r="J3248" s="22" t="str">
        <f t="shared" si="102"/>
        <v/>
      </c>
    </row>
    <row r="3249" spans="1:10">
      <c r="A3249" s="1">
        <v>41437</v>
      </c>
      <c r="B3249">
        <v>64.319999999999993</v>
      </c>
      <c r="C3249">
        <v>64.45</v>
      </c>
      <c r="D3249">
        <v>62.87</v>
      </c>
      <c r="E3249">
        <v>62.99</v>
      </c>
      <c r="F3249">
        <v>7663200</v>
      </c>
      <c r="G3249">
        <v>62.22</v>
      </c>
      <c r="H3249" t="s">
        <v>14</v>
      </c>
      <c r="I3249" s="22">
        <f t="shared" si="101"/>
        <v>-1.2775644859637605E-2</v>
      </c>
      <c r="J3249" s="22" t="str">
        <f t="shared" si="102"/>
        <v>lost money</v>
      </c>
    </row>
    <row r="3250" spans="1:10">
      <c r="A3250" s="1">
        <v>41438</v>
      </c>
      <c r="B3250">
        <v>62.99</v>
      </c>
      <c r="C3250">
        <v>64.400000000000006</v>
      </c>
      <c r="D3250">
        <v>62.52</v>
      </c>
      <c r="E3250">
        <v>64.3</v>
      </c>
      <c r="F3250">
        <v>5584900</v>
      </c>
      <c r="G3250">
        <v>63.52</v>
      </c>
      <c r="H3250" t="s">
        <v>14</v>
      </c>
      <c r="I3250" s="22">
        <f t="shared" si="101"/>
        <v>2.0678325469389306E-2</v>
      </c>
      <c r="J3250" s="22" t="str">
        <f t="shared" si="102"/>
        <v/>
      </c>
    </row>
    <row r="3251" spans="1:10">
      <c r="A3251" s="1">
        <v>41439</v>
      </c>
      <c r="B3251">
        <v>64.010000000000005</v>
      </c>
      <c r="C3251">
        <v>64.430000000000007</v>
      </c>
      <c r="D3251">
        <v>63.63</v>
      </c>
      <c r="E3251">
        <v>63.8</v>
      </c>
      <c r="F3251">
        <v>5311800</v>
      </c>
      <c r="G3251">
        <v>63.02</v>
      </c>
      <c r="H3251" t="s">
        <v>14</v>
      </c>
      <c r="I3251" s="22">
        <f t="shared" si="101"/>
        <v>-7.9026806097517322E-3</v>
      </c>
      <c r="J3251" s="22" t="str">
        <f t="shared" si="102"/>
        <v>lost money</v>
      </c>
    </row>
    <row r="3252" spans="1:10">
      <c r="A3252" s="1">
        <v>41442</v>
      </c>
      <c r="B3252">
        <v>64.3</v>
      </c>
      <c r="C3252">
        <v>65.13</v>
      </c>
      <c r="D3252">
        <v>64.25</v>
      </c>
      <c r="E3252">
        <v>64.489999999999995</v>
      </c>
      <c r="F3252">
        <v>6752000</v>
      </c>
      <c r="G3252">
        <v>63.7</v>
      </c>
      <c r="H3252" t="s">
        <v>14</v>
      </c>
      <c r="I3252" s="22">
        <f t="shared" si="101"/>
        <v>1.0732426248989169E-2</v>
      </c>
      <c r="J3252" s="22" t="str">
        <f t="shared" si="102"/>
        <v/>
      </c>
    </row>
    <row r="3253" spans="1:10">
      <c r="A3253" s="1">
        <v>41443</v>
      </c>
      <c r="B3253">
        <v>64.61</v>
      </c>
      <c r="C3253">
        <v>65.489999999999995</v>
      </c>
      <c r="D3253">
        <v>64.56</v>
      </c>
      <c r="E3253">
        <v>65.290000000000006</v>
      </c>
      <c r="F3253">
        <v>5234400</v>
      </c>
      <c r="G3253">
        <v>64.489999999999995</v>
      </c>
      <c r="H3253" t="s">
        <v>14</v>
      </c>
      <c r="I3253" s="22">
        <f t="shared" si="101"/>
        <v>1.2325610444168245E-2</v>
      </c>
      <c r="J3253" s="22" t="str">
        <f t="shared" si="102"/>
        <v/>
      </c>
    </row>
    <row r="3254" spans="1:10">
      <c r="A3254" s="1">
        <v>41444</v>
      </c>
      <c r="B3254">
        <v>65.19</v>
      </c>
      <c r="C3254">
        <v>65.55</v>
      </c>
      <c r="D3254">
        <v>64.33</v>
      </c>
      <c r="E3254">
        <v>64.33</v>
      </c>
      <c r="F3254">
        <v>6871400</v>
      </c>
      <c r="G3254">
        <v>63.55</v>
      </c>
      <c r="H3254" t="s">
        <v>14</v>
      </c>
      <c r="I3254" s="22">
        <f t="shared" si="101"/>
        <v>-1.4683175386822908E-2</v>
      </c>
      <c r="J3254" s="22" t="str">
        <f t="shared" si="102"/>
        <v>lost money</v>
      </c>
    </row>
    <row r="3255" spans="1:10">
      <c r="A3255" s="1">
        <v>41445</v>
      </c>
      <c r="B3255">
        <v>63.22</v>
      </c>
      <c r="C3255">
        <v>63.52</v>
      </c>
      <c r="D3255">
        <v>61.82</v>
      </c>
      <c r="E3255">
        <v>61.98</v>
      </c>
      <c r="F3255">
        <v>12260800</v>
      </c>
      <c r="G3255">
        <v>61.22</v>
      </c>
      <c r="H3255" t="s">
        <v>14</v>
      </c>
      <c r="I3255" s="22">
        <f t="shared" si="101"/>
        <v>-3.7353064118196569E-2</v>
      </c>
      <c r="J3255" s="22" t="str">
        <f t="shared" si="102"/>
        <v>lost money</v>
      </c>
    </row>
    <row r="3256" spans="1:10">
      <c r="A3256" s="1">
        <v>41446</v>
      </c>
      <c r="B3256">
        <v>62.62</v>
      </c>
      <c r="C3256">
        <v>63.08</v>
      </c>
      <c r="D3256">
        <v>61.82</v>
      </c>
      <c r="E3256">
        <v>62.73</v>
      </c>
      <c r="F3256">
        <v>11892400</v>
      </c>
      <c r="G3256">
        <v>61.97</v>
      </c>
      <c r="H3256" t="s">
        <v>14</v>
      </c>
      <c r="I3256" s="22">
        <f t="shared" si="101"/>
        <v>1.2176463456749729E-2</v>
      </c>
      <c r="J3256" s="22" t="str">
        <f t="shared" si="102"/>
        <v/>
      </c>
    </row>
    <row r="3257" spans="1:10">
      <c r="A3257" s="1">
        <v>41449</v>
      </c>
      <c r="B3257">
        <v>62.25</v>
      </c>
      <c r="C3257">
        <v>62.99</v>
      </c>
      <c r="D3257">
        <v>61.82</v>
      </c>
      <c r="E3257">
        <v>62.44</v>
      </c>
      <c r="F3257">
        <v>6494500</v>
      </c>
      <c r="G3257">
        <v>61.68</v>
      </c>
      <c r="H3257" t="s">
        <v>14</v>
      </c>
      <c r="I3257" s="22">
        <f t="shared" si="101"/>
        <v>-4.6906677189420768E-3</v>
      </c>
      <c r="J3257" s="22" t="str">
        <f t="shared" si="102"/>
        <v/>
      </c>
    </row>
    <row r="3258" spans="1:10">
      <c r="A3258" s="1">
        <v>41450</v>
      </c>
      <c r="B3258">
        <v>62.88</v>
      </c>
      <c r="C3258">
        <v>63.1</v>
      </c>
      <c r="D3258">
        <v>62.5</v>
      </c>
      <c r="E3258">
        <v>62.57</v>
      </c>
      <c r="F3258">
        <v>6776700</v>
      </c>
      <c r="G3258">
        <v>61.81</v>
      </c>
      <c r="H3258" t="s">
        <v>14</v>
      </c>
      <c r="I3258" s="22">
        <f t="shared" si="101"/>
        <v>2.1054344161078931E-3</v>
      </c>
      <c r="J3258" s="22" t="str">
        <f t="shared" si="102"/>
        <v>lost money</v>
      </c>
    </row>
    <row r="3259" spans="1:10">
      <c r="A3259" s="1">
        <v>41451</v>
      </c>
      <c r="B3259">
        <v>62.95</v>
      </c>
      <c r="C3259">
        <v>63.46</v>
      </c>
      <c r="D3259">
        <v>62.75</v>
      </c>
      <c r="E3259">
        <v>63.21</v>
      </c>
      <c r="F3259">
        <v>5720400</v>
      </c>
      <c r="G3259">
        <v>62.44</v>
      </c>
      <c r="H3259" t="s">
        <v>14</v>
      </c>
      <c r="I3259" s="22">
        <f t="shared" si="101"/>
        <v>1.0140931976049214E-2</v>
      </c>
      <c r="J3259" s="22" t="str">
        <f t="shared" si="102"/>
        <v/>
      </c>
    </row>
    <row r="3260" spans="1:10">
      <c r="A3260" s="1">
        <v>41452</v>
      </c>
      <c r="B3260">
        <v>63.65</v>
      </c>
      <c r="C3260">
        <v>63.97</v>
      </c>
      <c r="D3260">
        <v>63.45</v>
      </c>
      <c r="E3260">
        <v>63.72</v>
      </c>
      <c r="F3260">
        <v>4875900</v>
      </c>
      <c r="G3260">
        <v>62.94</v>
      </c>
      <c r="H3260" t="s">
        <v>14</v>
      </c>
      <c r="I3260" s="22">
        <f t="shared" si="101"/>
        <v>7.9757959890294685E-3</v>
      </c>
      <c r="J3260" s="22" t="str">
        <f t="shared" si="102"/>
        <v/>
      </c>
    </row>
    <row r="3261" spans="1:10">
      <c r="A3261" s="1">
        <v>41453</v>
      </c>
      <c r="B3261">
        <v>63.76</v>
      </c>
      <c r="C3261">
        <v>64.52</v>
      </c>
      <c r="D3261">
        <v>63.15</v>
      </c>
      <c r="E3261">
        <v>63.15</v>
      </c>
      <c r="F3261">
        <v>10560300</v>
      </c>
      <c r="G3261">
        <v>62.38</v>
      </c>
      <c r="H3261" t="s">
        <v>14</v>
      </c>
      <c r="I3261" s="22">
        <f t="shared" si="101"/>
        <v>-8.9371804566035825E-3</v>
      </c>
      <c r="J3261" s="22" t="str">
        <f t="shared" si="102"/>
        <v>lost money</v>
      </c>
    </row>
    <row r="3262" spans="1:10">
      <c r="A3262" s="1">
        <v>41456</v>
      </c>
      <c r="B3262">
        <v>63.84</v>
      </c>
      <c r="C3262">
        <v>64.92</v>
      </c>
      <c r="D3262">
        <v>63.63</v>
      </c>
      <c r="E3262">
        <v>63.93</v>
      </c>
      <c r="F3262">
        <v>8221600</v>
      </c>
      <c r="G3262">
        <v>63.15</v>
      </c>
      <c r="H3262" t="s">
        <v>14</v>
      </c>
      <c r="I3262" s="22">
        <f t="shared" si="101"/>
        <v>1.2268137616842931E-2</v>
      </c>
      <c r="J3262" s="22" t="str">
        <f t="shared" si="102"/>
        <v/>
      </c>
    </row>
    <row r="3263" spans="1:10">
      <c r="A3263" s="1">
        <v>41457</v>
      </c>
      <c r="B3263">
        <v>63.83</v>
      </c>
      <c r="C3263">
        <v>64.14</v>
      </c>
      <c r="D3263">
        <v>63.08</v>
      </c>
      <c r="E3263">
        <v>63.26</v>
      </c>
      <c r="F3263">
        <v>7690500</v>
      </c>
      <c r="G3263">
        <v>62.49</v>
      </c>
      <c r="H3263" t="s">
        <v>14</v>
      </c>
      <c r="I3263" s="22">
        <f t="shared" si="101"/>
        <v>-1.0506304855509744E-2</v>
      </c>
      <c r="J3263" s="22" t="str">
        <f t="shared" si="102"/>
        <v>lost money</v>
      </c>
    </row>
    <row r="3264" spans="1:10">
      <c r="A3264" s="1">
        <v>41458</v>
      </c>
      <c r="B3264">
        <v>62.85</v>
      </c>
      <c r="C3264">
        <v>63.83</v>
      </c>
      <c r="D3264">
        <v>62.57</v>
      </c>
      <c r="E3264">
        <v>63.61</v>
      </c>
      <c r="F3264">
        <v>3351800</v>
      </c>
      <c r="G3264">
        <v>62.83</v>
      </c>
      <c r="H3264" t="s">
        <v>14</v>
      </c>
      <c r="I3264" s="22">
        <f t="shared" si="101"/>
        <v>5.4261224738653725E-3</v>
      </c>
      <c r="J3264" s="22" t="str">
        <f t="shared" si="102"/>
        <v/>
      </c>
    </row>
    <row r="3265" spans="1:10">
      <c r="A3265" s="1">
        <v>41460</v>
      </c>
      <c r="B3265">
        <v>63.88</v>
      </c>
      <c r="C3265">
        <v>63.95</v>
      </c>
      <c r="D3265">
        <v>63.11</v>
      </c>
      <c r="E3265">
        <v>63.82</v>
      </c>
      <c r="F3265">
        <v>5645800</v>
      </c>
      <c r="G3265">
        <v>63.04</v>
      </c>
      <c r="H3265" t="s">
        <v>14</v>
      </c>
      <c r="I3265" s="22">
        <f t="shared" si="101"/>
        <v>3.3367791347681561E-3</v>
      </c>
      <c r="J3265" s="22" t="str">
        <f t="shared" si="102"/>
        <v>lost money</v>
      </c>
    </row>
    <row r="3266" spans="1:10">
      <c r="A3266" s="1">
        <v>41463</v>
      </c>
      <c r="B3266">
        <v>64.28</v>
      </c>
      <c r="C3266">
        <v>64.790000000000006</v>
      </c>
      <c r="D3266">
        <v>64.16</v>
      </c>
      <c r="E3266">
        <v>64.709999999999994</v>
      </c>
      <c r="F3266">
        <v>6679700</v>
      </c>
      <c r="G3266">
        <v>63.92</v>
      </c>
      <c r="H3266" t="s">
        <v>14</v>
      </c>
      <c r="I3266" s="22">
        <f t="shared" si="101"/>
        <v>1.3862855908395665E-2</v>
      </c>
      <c r="J3266" s="22" t="str">
        <f t="shared" si="102"/>
        <v/>
      </c>
    </row>
    <row r="3267" spans="1:10">
      <c r="A3267" s="1">
        <v>41464</v>
      </c>
      <c r="B3267">
        <v>65.319999999999993</v>
      </c>
      <c r="C3267">
        <v>65.540000000000006</v>
      </c>
      <c r="D3267">
        <v>64.650000000000006</v>
      </c>
      <c r="E3267">
        <v>64.94</v>
      </c>
      <c r="F3267">
        <v>4556400</v>
      </c>
      <c r="G3267">
        <v>64.150000000000006</v>
      </c>
      <c r="H3267" t="s">
        <v>14</v>
      </c>
      <c r="I3267" s="22">
        <f t="shared" ref="I3267:I3330" si="103">IF(A3267=$A$2,"",LN(G3267/G3266))</f>
        <v>3.5917896036262603E-3</v>
      </c>
      <c r="J3267" s="22" t="str">
        <f t="shared" ref="J3267:J3330" si="104">IF(B3267&gt;E3267,"lost money","")</f>
        <v>lost money</v>
      </c>
    </row>
    <row r="3268" spans="1:10">
      <c r="A3268" s="1">
        <v>41465</v>
      </c>
      <c r="B3268">
        <v>64.86</v>
      </c>
      <c r="C3268">
        <v>65.3</v>
      </c>
      <c r="D3268">
        <v>64.569999999999993</v>
      </c>
      <c r="E3268">
        <v>64.91</v>
      </c>
      <c r="F3268">
        <v>5761700</v>
      </c>
      <c r="G3268">
        <v>64.12</v>
      </c>
      <c r="H3268" t="s">
        <v>14</v>
      </c>
      <c r="I3268" s="22">
        <f t="shared" si="103"/>
        <v>-4.6776332029321019E-4</v>
      </c>
      <c r="J3268" s="22" t="str">
        <f t="shared" si="104"/>
        <v/>
      </c>
    </row>
    <row r="3269" spans="1:10">
      <c r="A3269" s="1">
        <v>41466</v>
      </c>
      <c r="B3269">
        <v>65.650000000000006</v>
      </c>
      <c r="C3269">
        <v>66.83</v>
      </c>
      <c r="D3269">
        <v>65.650000000000006</v>
      </c>
      <c r="E3269">
        <v>66.58</v>
      </c>
      <c r="F3269">
        <v>8329800</v>
      </c>
      <c r="G3269">
        <v>65.77</v>
      </c>
      <c r="H3269" t="s">
        <v>14</v>
      </c>
      <c r="I3269" s="22">
        <f t="shared" si="103"/>
        <v>2.5407479571907237E-2</v>
      </c>
      <c r="J3269" s="22" t="str">
        <f t="shared" si="104"/>
        <v/>
      </c>
    </row>
    <row r="3270" spans="1:10">
      <c r="A3270" s="1">
        <v>41467</v>
      </c>
      <c r="B3270">
        <v>66.39</v>
      </c>
      <c r="C3270">
        <v>67</v>
      </c>
      <c r="D3270">
        <v>65.930000000000007</v>
      </c>
      <c r="E3270">
        <v>66.98</v>
      </c>
      <c r="F3270">
        <v>5889900</v>
      </c>
      <c r="G3270">
        <v>66.16</v>
      </c>
      <c r="H3270" t="s">
        <v>14</v>
      </c>
      <c r="I3270" s="22">
        <f t="shared" si="103"/>
        <v>5.9122434021762578E-3</v>
      </c>
      <c r="J3270" s="22" t="str">
        <f t="shared" si="104"/>
        <v/>
      </c>
    </row>
    <row r="3271" spans="1:10">
      <c r="A3271" s="1">
        <v>41470</v>
      </c>
      <c r="B3271">
        <v>67.02</v>
      </c>
      <c r="C3271">
        <v>67.36</v>
      </c>
      <c r="D3271">
        <v>65.89</v>
      </c>
      <c r="E3271">
        <v>65.930000000000007</v>
      </c>
      <c r="F3271">
        <v>6458000</v>
      </c>
      <c r="G3271">
        <v>65.13</v>
      </c>
      <c r="H3271" t="s">
        <v>14</v>
      </c>
      <c r="I3271" s="22">
        <f t="shared" si="103"/>
        <v>-1.5690778157125773E-2</v>
      </c>
      <c r="J3271" s="22" t="str">
        <f t="shared" si="104"/>
        <v>lost money</v>
      </c>
    </row>
    <row r="3272" spans="1:10">
      <c r="A3272" s="1">
        <v>41471</v>
      </c>
      <c r="B3272">
        <v>65.95</v>
      </c>
      <c r="C3272">
        <v>66.099999999999994</v>
      </c>
      <c r="D3272">
        <v>64.930000000000007</v>
      </c>
      <c r="E3272">
        <v>65.03</v>
      </c>
      <c r="F3272">
        <v>7470900</v>
      </c>
      <c r="G3272">
        <v>64.239999999999995</v>
      </c>
      <c r="H3272" t="s">
        <v>14</v>
      </c>
      <c r="I3272" s="22">
        <f t="shared" si="103"/>
        <v>-1.3759202919803971E-2</v>
      </c>
      <c r="J3272" s="22" t="str">
        <f t="shared" si="104"/>
        <v>lost money</v>
      </c>
    </row>
    <row r="3273" spans="1:10">
      <c r="A3273" s="1">
        <v>41472</v>
      </c>
      <c r="B3273">
        <v>65.42</v>
      </c>
      <c r="C3273">
        <v>65.459999999999994</v>
      </c>
      <c r="D3273">
        <v>64.760000000000005</v>
      </c>
      <c r="E3273">
        <v>65.36</v>
      </c>
      <c r="F3273">
        <v>6846700</v>
      </c>
      <c r="G3273">
        <v>64.56</v>
      </c>
      <c r="H3273" t="s">
        <v>14</v>
      </c>
      <c r="I3273" s="22">
        <f t="shared" si="103"/>
        <v>4.968954323187144E-3</v>
      </c>
      <c r="J3273" s="22" t="str">
        <f t="shared" si="104"/>
        <v>lost money</v>
      </c>
    </row>
    <row r="3274" spans="1:10">
      <c r="A3274" s="1">
        <v>41473</v>
      </c>
      <c r="B3274">
        <v>65.7</v>
      </c>
      <c r="C3274">
        <v>66.37</v>
      </c>
      <c r="D3274">
        <v>65.66</v>
      </c>
      <c r="E3274">
        <v>65.819999999999993</v>
      </c>
      <c r="F3274">
        <v>4962800</v>
      </c>
      <c r="G3274">
        <v>65.02</v>
      </c>
      <c r="H3274" t="s">
        <v>14</v>
      </c>
      <c r="I3274" s="22">
        <f t="shared" si="103"/>
        <v>7.0998909140658831E-3</v>
      </c>
      <c r="J3274" s="22" t="str">
        <f t="shared" si="104"/>
        <v/>
      </c>
    </row>
    <row r="3275" spans="1:10">
      <c r="A3275" s="1">
        <v>41474</v>
      </c>
      <c r="B3275">
        <v>65.89</v>
      </c>
      <c r="C3275">
        <v>66.03</v>
      </c>
      <c r="D3275">
        <v>64.91</v>
      </c>
      <c r="E3275">
        <v>65.16</v>
      </c>
      <c r="F3275">
        <v>7220400</v>
      </c>
      <c r="G3275">
        <v>64.37</v>
      </c>
      <c r="H3275" t="s">
        <v>14</v>
      </c>
      <c r="I3275" s="22">
        <f t="shared" si="103"/>
        <v>-1.0047228811234628E-2</v>
      </c>
      <c r="J3275" s="22" t="str">
        <f t="shared" si="104"/>
        <v>lost money</v>
      </c>
    </row>
    <row r="3276" spans="1:10">
      <c r="A3276" s="1">
        <v>41477</v>
      </c>
      <c r="B3276">
        <v>65.150000000000006</v>
      </c>
      <c r="C3276">
        <v>65.33</v>
      </c>
      <c r="D3276">
        <v>64.260000000000005</v>
      </c>
      <c r="E3276">
        <v>64.400000000000006</v>
      </c>
      <c r="F3276">
        <v>5973600</v>
      </c>
      <c r="G3276">
        <v>63.61</v>
      </c>
      <c r="H3276" t="s">
        <v>14</v>
      </c>
      <c r="I3276" s="22">
        <f t="shared" si="103"/>
        <v>-1.1876995373811714E-2</v>
      </c>
      <c r="J3276" s="22" t="str">
        <f t="shared" si="104"/>
        <v>lost money</v>
      </c>
    </row>
    <row r="3277" spans="1:10">
      <c r="A3277" s="1">
        <v>41478</v>
      </c>
      <c r="B3277">
        <v>64.599999999999994</v>
      </c>
      <c r="C3277">
        <v>64.77</v>
      </c>
      <c r="D3277">
        <v>64.33</v>
      </c>
      <c r="E3277">
        <v>64.45</v>
      </c>
      <c r="F3277">
        <v>4534500</v>
      </c>
      <c r="G3277">
        <v>63.66</v>
      </c>
      <c r="H3277" t="s">
        <v>14</v>
      </c>
      <c r="I3277" s="22">
        <f t="shared" si="103"/>
        <v>7.8573116323379163E-4</v>
      </c>
      <c r="J3277" s="22" t="str">
        <f t="shared" si="104"/>
        <v>lost money</v>
      </c>
    </row>
    <row r="3278" spans="1:10">
      <c r="A3278" s="1">
        <v>41479</v>
      </c>
      <c r="B3278">
        <v>64.59</v>
      </c>
      <c r="C3278">
        <v>65.12</v>
      </c>
      <c r="D3278">
        <v>64.53</v>
      </c>
      <c r="E3278">
        <v>64.64</v>
      </c>
      <c r="F3278">
        <v>5326800</v>
      </c>
      <c r="G3278">
        <v>63.85</v>
      </c>
      <c r="H3278" t="s">
        <v>14</v>
      </c>
      <c r="I3278" s="22">
        <f t="shared" si="103"/>
        <v>2.9801606246017106E-3</v>
      </c>
      <c r="J3278" s="22" t="str">
        <f t="shared" si="104"/>
        <v/>
      </c>
    </row>
    <row r="3279" spans="1:10">
      <c r="A3279" s="1">
        <v>41480</v>
      </c>
      <c r="B3279">
        <v>64.319999999999993</v>
      </c>
      <c r="C3279">
        <v>64.739999999999995</v>
      </c>
      <c r="D3279">
        <v>64.260000000000005</v>
      </c>
      <c r="E3279">
        <v>64.55</v>
      </c>
      <c r="F3279">
        <v>5407800</v>
      </c>
      <c r="G3279">
        <v>63.76</v>
      </c>
      <c r="H3279" t="s">
        <v>14</v>
      </c>
      <c r="I3279" s="22">
        <f t="shared" si="103"/>
        <v>-1.4105479965887749E-3</v>
      </c>
      <c r="J3279" s="22" t="str">
        <f t="shared" si="104"/>
        <v/>
      </c>
    </row>
    <row r="3280" spans="1:10">
      <c r="A3280" s="1">
        <v>41481</v>
      </c>
      <c r="B3280">
        <v>64.47</v>
      </c>
      <c r="C3280">
        <v>65.069999999999993</v>
      </c>
      <c r="D3280">
        <v>64.11</v>
      </c>
      <c r="E3280">
        <v>64.98</v>
      </c>
      <c r="F3280">
        <v>4949600</v>
      </c>
      <c r="G3280">
        <v>64.19</v>
      </c>
      <c r="H3280" t="s">
        <v>14</v>
      </c>
      <c r="I3280" s="22">
        <f t="shared" si="103"/>
        <v>6.7214008417270819E-3</v>
      </c>
      <c r="J3280" s="22" t="str">
        <f t="shared" si="104"/>
        <v/>
      </c>
    </row>
    <row r="3281" spans="1:10">
      <c r="A3281" s="1">
        <v>41484</v>
      </c>
      <c r="B3281">
        <v>64.8</v>
      </c>
      <c r="C3281">
        <v>65.03</v>
      </c>
      <c r="D3281">
        <v>64.47</v>
      </c>
      <c r="E3281">
        <v>64.61</v>
      </c>
      <c r="F3281">
        <v>3805800</v>
      </c>
      <c r="G3281">
        <v>63.82</v>
      </c>
      <c r="H3281" t="s">
        <v>14</v>
      </c>
      <c r="I3281" s="22">
        <f t="shared" si="103"/>
        <v>-5.7808144735893088E-3</v>
      </c>
      <c r="J3281" s="22" t="str">
        <f t="shared" si="104"/>
        <v>lost money</v>
      </c>
    </row>
    <row r="3282" spans="1:10">
      <c r="A3282" s="1">
        <v>41485</v>
      </c>
      <c r="B3282">
        <v>64.7</v>
      </c>
      <c r="C3282">
        <v>64.87</v>
      </c>
      <c r="D3282">
        <v>64.099999999999994</v>
      </c>
      <c r="E3282">
        <v>64.180000000000007</v>
      </c>
      <c r="F3282">
        <v>6210500</v>
      </c>
      <c r="G3282">
        <v>63.4</v>
      </c>
      <c r="H3282" t="s">
        <v>14</v>
      </c>
      <c r="I3282" s="22">
        <f t="shared" si="103"/>
        <v>-6.6027594069171828E-3</v>
      </c>
      <c r="J3282" s="22" t="str">
        <f t="shared" si="104"/>
        <v>lost money</v>
      </c>
    </row>
    <row r="3283" spans="1:10">
      <c r="A3283" s="1">
        <v>41486</v>
      </c>
      <c r="B3283">
        <v>64.430000000000007</v>
      </c>
      <c r="C3283">
        <v>65.12</v>
      </c>
      <c r="D3283">
        <v>64.38</v>
      </c>
      <c r="E3283">
        <v>64.650000000000006</v>
      </c>
      <c r="F3283">
        <v>7155300</v>
      </c>
      <c r="G3283">
        <v>63.86</v>
      </c>
      <c r="H3283" t="s">
        <v>14</v>
      </c>
      <c r="I3283" s="22">
        <f t="shared" si="103"/>
        <v>7.22932584345563E-3</v>
      </c>
      <c r="J3283" s="22" t="str">
        <f t="shared" si="104"/>
        <v/>
      </c>
    </row>
    <row r="3284" spans="1:10">
      <c r="A3284" s="1">
        <v>41487</v>
      </c>
      <c r="B3284">
        <v>65.16</v>
      </c>
      <c r="C3284">
        <v>65.87</v>
      </c>
      <c r="D3284">
        <v>65.13</v>
      </c>
      <c r="E3284">
        <v>65.36</v>
      </c>
      <c r="F3284">
        <v>6338100</v>
      </c>
      <c r="G3284">
        <v>64.56</v>
      </c>
      <c r="H3284" t="s">
        <v>14</v>
      </c>
      <c r="I3284" s="22">
        <f t="shared" si="103"/>
        <v>1.0901836675057345E-2</v>
      </c>
      <c r="J3284" s="22" t="str">
        <f t="shared" si="104"/>
        <v/>
      </c>
    </row>
    <row r="3285" spans="1:10">
      <c r="A3285" s="1">
        <v>41488</v>
      </c>
      <c r="B3285">
        <v>65.56</v>
      </c>
      <c r="C3285">
        <v>66.59</v>
      </c>
      <c r="D3285">
        <v>65.33</v>
      </c>
      <c r="E3285">
        <v>66.510000000000005</v>
      </c>
      <c r="F3285">
        <v>6098500</v>
      </c>
      <c r="G3285">
        <v>65.7</v>
      </c>
      <c r="H3285" t="s">
        <v>14</v>
      </c>
      <c r="I3285" s="22">
        <f t="shared" si="103"/>
        <v>1.7503901528871445E-2</v>
      </c>
      <c r="J3285" s="22" t="str">
        <f t="shared" si="104"/>
        <v/>
      </c>
    </row>
    <row r="3286" spans="1:10">
      <c r="A3286" s="1">
        <v>41491</v>
      </c>
      <c r="B3286">
        <v>66.5</v>
      </c>
      <c r="C3286">
        <v>66.540000000000006</v>
      </c>
      <c r="D3286">
        <v>65.61</v>
      </c>
      <c r="E3286">
        <v>66.02</v>
      </c>
      <c r="F3286">
        <v>7265800</v>
      </c>
      <c r="G3286">
        <v>65.209999999999994</v>
      </c>
      <c r="H3286" t="s">
        <v>14</v>
      </c>
      <c r="I3286" s="22">
        <f t="shared" si="103"/>
        <v>-7.4860940854540774E-3</v>
      </c>
      <c r="J3286" s="22" t="str">
        <f t="shared" si="104"/>
        <v>lost money</v>
      </c>
    </row>
    <row r="3287" spans="1:10">
      <c r="A3287" s="1">
        <v>41492</v>
      </c>
      <c r="B3287">
        <v>66.09</v>
      </c>
      <c r="C3287">
        <v>67.16</v>
      </c>
      <c r="D3287">
        <v>65.97</v>
      </c>
      <c r="E3287">
        <v>67.05</v>
      </c>
      <c r="F3287">
        <v>11546300</v>
      </c>
      <c r="G3287">
        <v>66.23</v>
      </c>
      <c r="H3287" t="s">
        <v>14</v>
      </c>
      <c r="I3287" s="22">
        <f t="shared" si="103"/>
        <v>1.5520701091777221E-2</v>
      </c>
      <c r="J3287" s="22" t="str">
        <f t="shared" si="104"/>
        <v/>
      </c>
    </row>
    <row r="3288" spans="1:10">
      <c r="A3288" s="1">
        <v>41493</v>
      </c>
      <c r="B3288">
        <v>64.930000000000007</v>
      </c>
      <c r="C3288">
        <v>66.3</v>
      </c>
      <c r="D3288">
        <v>64.12</v>
      </c>
      <c r="E3288">
        <v>65.91</v>
      </c>
      <c r="F3288">
        <v>16970500</v>
      </c>
      <c r="G3288">
        <v>65.11</v>
      </c>
      <c r="H3288" t="s">
        <v>14</v>
      </c>
      <c r="I3288" s="22">
        <f t="shared" si="103"/>
        <v>-1.7055385248117422E-2</v>
      </c>
      <c r="J3288" s="22" t="str">
        <f t="shared" si="104"/>
        <v/>
      </c>
    </row>
    <row r="3289" spans="1:10">
      <c r="A3289" s="1">
        <v>41494</v>
      </c>
      <c r="B3289">
        <v>66.34</v>
      </c>
      <c r="C3289">
        <v>66.459999999999994</v>
      </c>
      <c r="D3289">
        <v>65.2</v>
      </c>
      <c r="E3289">
        <v>65.75</v>
      </c>
      <c r="F3289">
        <v>8826400</v>
      </c>
      <c r="G3289">
        <v>64.95</v>
      </c>
      <c r="H3289" t="s">
        <v>14</v>
      </c>
      <c r="I3289" s="22">
        <f t="shared" si="103"/>
        <v>-2.4604041321620649E-3</v>
      </c>
      <c r="J3289" s="22" t="str">
        <f t="shared" si="104"/>
        <v>lost money</v>
      </c>
    </row>
    <row r="3290" spans="1:10">
      <c r="A3290" s="1">
        <v>41495</v>
      </c>
      <c r="B3290">
        <v>65.47</v>
      </c>
      <c r="C3290">
        <v>65.75</v>
      </c>
      <c r="D3290">
        <v>64.599999999999994</v>
      </c>
      <c r="E3290">
        <v>64.73</v>
      </c>
      <c r="F3290">
        <v>7945500</v>
      </c>
      <c r="G3290">
        <v>63.94</v>
      </c>
      <c r="H3290" t="s">
        <v>14</v>
      </c>
      <c r="I3290" s="22">
        <f t="shared" si="103"/>
        <v>-1.5672599484913233E-2</v>
      </c>
      <c r="J3290" s="22" t="str">
        <f t="shared" si="104"/>
        <v>lost money</v>
      </c>
    </row>
    <row r="3291" spans="1:10">
      <c r="A3291" s="1">
        <v>41498</v>
      </c>
      <c r="B3291">
        <v>64.260000000000005</v>
      </c>
      <c r="C3291">
        <v>64.430000000000007</v>
      </c>
      <c r="D3291">
        <v>63.67</v>
      </c>
      <c r="E3291">
        <v>63.93</v>
      </c>
      <c r="F3291">
        <v>8004900</v>
      </c>
      <c r="G3291">
        <v>63.15</v>
      </c>
      <c r="H3291" t="s">
        <v>14</v>
      </c>
      <c r="I3291" s="22">
        <f t="shared" si="103"/>
        <v>-1.2432294835195293E-2</v>
      </c>
      <c r="J3291" s="22" t="str">
        <f t="shared" si="104"/>
        <v>lost money</v>
      </c>
    </row>
    <row r="3292" spans="1:10">
      <c r="A3292" s="1">
        <v>41499</v>
      </c>
      <c r="B3292">
        <v>64.260000000000005</v>
      </c>
      <c r="C3292">
        <v>64.260000000000005</v>
      </c>
      <c r="D3292">
        <v>63.41</v>
      </c>
      <c r="E3292">
        <v>63.98</v>
      </c>
      <c r="F3292">
        <v>6025100</v>
      </c>
      <c r="G3292">
        <v>63.2</v>
      </c>
      <c r="H3292" t="s">
        <v>14</v>
      </c>
      <c r="I3292" s="22">
        <f t="shared" si="103"/>
        <v>7.9145235631177338E-4</v>
      </c>
      <c r="J3292" s="22" t="str">
        <f t="shared" si="104"/>
        <v>lost money</v>
      </c>
    </row>
    <row r="3293" spans="1:10">
      <c r="A3293" s="1">
        <v>41500</v>
      </c>
      <c r="B3293">
        <v>63.95</v>
      </c>
      <c r="C3293">
        <v>64.17</v>
      </c>
      <c r="D3293">
        <v>63.47</v>
      </c>
      <c r="E3293">
        <v>63.96</v>
      </c>
      <c r="F3293">
        <v>6413700</v>
      </c>
      <c r="G3293">
        <v>63.18</v>
      </c>
      <c r="H3293" t="s">
        <v>14</v>
      </c>
      <c r="I3293" s="22">
        <f t="shared" si="103"/>
        <v>-3.165057788726057E-4</v>
      </c>
      <c r="J3293" s="22" t="str">
        <f t="shared" si="104"/>
        <v/>
      </c>
    </row>
    <row r="3294" spans="1:10">
      <c r="A3294" s="1">
        <v>41501</v>
      </c>
      <c r="B3294">
        <v>63.28</v>
      </c>
      <c r="C3294">
        <v>63.32</v>
      </c>
      <c r="D3294">
        <v>62.2</v>
      </c>
      <c r="E3294">
        <v>62.38</v>
      </c>
      <c r="F3294">
        <v>9014100</v>
      </c>
      <c r="G3294">
        <v>61.62</v>
      </c>
      <c r="H3294" t="s">
        <v>14</v>
      </c>
      <c r="I3294" s="22">
        <f t="shared" si="103"/>
        <v>-2.500130220541727E-2</v>
      </c>
      <c r="J3294" s="22" t="str">
        <f t="shared" si="104"/>
        <v>lost money</v>
      </c>
    </row>
    <row r="3295" spans="1:10">
      <c r="A3295" s="1">
        <v>41502</v>
      </c>
      <c r="B3295">
        <v>61.97</v>
      </c>
      <c r="C3295">
        <v>62.5</v>
      </c>
      <c r="D3295">
        <v>61.71</v>
      </c>
      <c r="E3295">
        <v>62.17</v>
      </c>
      <c r="F3295">
        <v>8238800</v>
      </c>
      <c r="G3295">
        <v>61.41</v>
      </c>
      <c r="H3295" t="s">
        <v>14</v>
      </c>
      <c r="I3295" s="22">
        <f t="shared" si="103"/>
        <v>-3.4138048272140801E-3</v>
      </c>
      <c r="J3295" s="22" t="str">
        <f t="shared" si="104"/>
        <v/>
      </c>
    </row>
    <row r="3296" spans="1:10">
      <c r="A3296" s="1">
        <v>41505</v>
      </c>
      <c r="B3296">
        <v>62.15</v>
      </c>
      <c r="C3296">
        <v>62.18</v>
      </c>
      <c r="D3296">
        <v>61.83</v>
      </c>
      <c r="E3296">
        <v>61.83</v>
      </c>
      <c r="F3296">
        <v>5659900</v>
      </c>
      <c r="G3296">
        <v>61.08</v>
      </c>
      <c r="H3296" t="s">
        <v>14</v>
      </c>
      <c r="I3296" s="22">
        <f t="shared" si="103"/>
        <v>-5.3882079908761952E-3</v>
      </c>
      <c r="J3296" s="22" t="str">
        <f t="shared" si="104"/>
        <v>lost money</v>
      </c>
    </row>
    <row r="3297" spans="1:10">
      <c r="A3297" s="1">
        <v>41506</v>
      </c>
      <c r="B3297">
        <v>61.79</v>
      </c>
      <c r="C3297">
        <v>62.39</v>
      </c>
      <c r="D3297">
        <v>61.79</v>
      </c>
      <c r="E3297">
        <v>61.88</v>
      </c>
      <c r="F3297">
        <v>5192100</v>
      </c>
      <c r="G3297">
        <v>61.13</v>
      </c>
      <c r="H3297" t="s">
        <v>14</v>
      </c>
      <c r="I3297" s="22">
        <f t="shared" si="103"/>
        <v>8.1826369020239248E-4</v>
      </c>
      <c r="J3297" s="22" t="str">
        <f t="shared" si="104"/>
        <v/>
      </c>
    </row>
    <row r="3298" spans="1:10">
      <c r="A3298" s="1">
        <v>41507</v>
      </c>
      <c r="B3298">
        <v>61.62</v>
      </c>
      <c r="C3298">
        <v>61.88</v>
      </c>
      <c r="D3298">
        <v>61.09</v>
      </c>
      <c r="E3298">
        <v>61.14</v>
      </c>
      <c r="F3298">
        <v>7185400</v>
      </c>
      <c r="G3298">
        <v>60.39</v>
      </c>
      <c r="H3298" t="s">
        <v>14</v>
      </c>
      <c r="I3298" s="22">
        <f t="shared" si="103"/>
        <v>-1.2179215720824246E-2</v>
      </c>
      <c r="J3298" s="22" t="str">
        <f t="shared" si="104"/>
        <v>lost money</v>
      </c>
    </row>
    <row r="3299" spans="1:10">
      <c r="A3299" s="1">
        <v>41508</v>
      </c>
      <c r="B3299">
        <v>61.32</v>
      </c>
      <c r="C3299">
        <v>61.82</v>
      </c>
      <c r="D3299">
        <v>61.16</v>
      </c>
      <c r="E3299">
        <v>61.64</v>
      </c>
      <c r="F3299">
        <v>5302300</v>
      </c>
      <c r="G3299">
        <v>60.89</v>
      </c>
      <c r="H3299" t="s">
        <v>14</v>
      </c>
      <c r="I3299" s="22">
        <f t="shared" si="103"/>
        <v>8.2454293006728185E-3</v>
      </c>
      <c r="J3299" s="22" t="str">
        <f t="shared" si="104"/>
        <v/>
      </c>
    </row>
    <row r="3300" spans="1:10">
      <c r="A3300" s="1">
        <v>41509</v>
      </c>
      <c r="B3300">
        <v>61.96</v>
      </c>
      <c r="C3300">
        <v>61.99</v>
      </c>
      <c r="D3300">
        <v>61.46</v>
      </c>
      <c r="E3300">
        <v>61.73</v>
      </c>
      <c r="F3300">
        <v>5505900</v>
      </c>
      <c r="G3300">
        <v>60.98</v>
      </c>
      <c r="H3300" t="s">
        <v>14</v>
      </c>
      <c r="I3300" s="22">
        <f t="shared" si="103"/>
        <v>1.4769839396260624E-3</v>
      </c>
      <c r="J3300" s="22" t="str">
        <f t="shared" si="104"/>
        <v>lost money</v>
      </c>
    </row>
    <row r="3301" spans="1:10">
      <c r="A3301" s="1">
        <v>41512</v>
      </c>
      <c r="B3301">
        <v>61.76</v>
      </c>
      <c r="C3301">
        <v>62.11</v>
      </c>
      <c r="D3301">
        <v>61.33</v>
      </c>
      <c r="E3301">
        <v>61.35</v>
      </c>
      <c r="F3301">
        <v>4499100</v>
      </c>
      <c r="G3301">
        <v>60.6</v>
      </c>
      <c r="H3301" t="s">
        <v>14</v>
      </c>
      <c r="I3301" s="22">
        <f t="shared" si="103"/>
        <v>-6.2510484848399229E-3</v>
      </c>
      <c r="J3301" s="22" t="str">
        <f t="shared" si="104"/>
        <v>lost money</v>
      </c>
    </row>
    <row r="3302" spans="1:10">
      <c r="A3302" s="1">
        <v>41513</v>
      </c>
      <c r="B3302">
        <v>60.9</v>
      </c>
      <c r="C3302">
        <v>61.35</v>
      </c>
      <c r="D3302">
        <v>60.57</v>
      </c>
      <c r="E3302">
        <v>60.69</v>
      </c>
      <c r="F3302">
        <v>7734500</v>
      </c>
      <c r="G3302">
        <v>59.95</v>
      </c>
      <c r="H3302" t="s">
        <v>14</v>
      </c>
      <c r="I3302" s="22">
        <f t="shared" si="103"/>
        <v>-1.0784011601745452E-2</v>
      </c>
      <c r="J3302" s="22" t="str">
        <f t="shared" si="104"/>
        <v>lost money</v>
      </c>
    </row>
    <row r="3303" spans="1:10">
      <c r="A3303" s="1">
        <v>41514</v>
      </c>
      <c r="B3303">
        <v>60.44</v>
      </c>
      <c r="C3303">
        <v>61.15</v>
      </c>
      <c r="D3303">
        <v>60.41</v>
      </c>
      <c r="E3303">
        <v>60.81</v>
      </c>
      <c r="F3303">
        <v>7161700</v>
      </c>
      <c r="G3303">
        <v>60.07</v>
      </c>
      <c r="H3303" t="s">
        <v>14</v>
      </c>
      <c r="I3303" s="22">
        <f t="shared" si="103"/>
        <v>1.9996673885467483E-3</v>
      </c>
      <c r="J3303" s="22" t="str">
        <f t="shared" si="104"/>
        <v/>
      </c>
    </row>
    <row r="3304" spans="1:10">
      <c r="A3304" s="1">
        <v>41515</v>
      </c>
      <c r="B3304">
        <v>60.77</v>
      </c>
      <c r="C3304">
        <v>61.52</v>
      </c>
      <c r="D3304">
        <v>60.55</v>
      </c>
      <c r="E3304">
        <v>61.08</v>
      </c>
      <c r="F3304">
        <v>5396200</v>
      </c>
      <c r="G3304">
        <v>60.34</v>
      </c>
      <c r="H3304" t="s">
        <v>14</v>
      </c>
      <c r="I3304" s="22">
        <f t="shared" si="103"/>
        <v>4.484684868845022E-3</v>
      </c>
      <c r="J3304" s="22" t="str">
        <f t="shared" si="104"/>
        <v/>
      </c>
    </row>
    <row r="3305" spans="1:10">
      <c r="A3305" s="1">
        <v>41516</v>
      </c>
      <c r="B3305">
        <v>61.14</v>
      </c>
      <c r="C3305">
        <v>61.27</v>
      </c>
      <c r="D3305">
        <v>60.55</v>
      </c>
      <c r="E3305">
        <v>60.83</v>
      </c>
      <c r="F3305">
        <v>5404100</v>
      </c>
      <c r="G3305">
        <v>60.09</v>
      </c>
      <c r="H3305" t="s">
        <v>14</v>
      </c>
      <c r="I3305" s="22">
        <f t="shared" si="103"/>
        <v>-4.1517953850784143E-3</v>
      </c>
      <c r="J3305" s="22" t="str">
        <f t="shared" si="104"/>
        <v>lost money</v>
      </c>
    </row>
    <row r="3306" spans="1:10">
      <c r="A3306" s="1">
        <v>41520</v>
      </c>
      <c r="B3306">
        <v>61.42</v>
      </c>
      <c r="C3306">
        <v>61.99</v>
      </c>
      <c r="D3306">
        <v>60.6</v>
      </c>
      <c r="E3306">
        <v>60.93</v>
      </c>
      <c r="F3306">
        <v>7016400</v>
      </c>
      <c r="G3306">
        <v>60.19</v>
      </c>
      <c r="H3306" t="s">
        <v>14</v>
      </c>
      <c r="I3306" s="22">
        <f t="shared" si="103"/>
        <v>1.6627872138428217E-3</v>
      </c>
      <c r="J3306" s="22" t="str">
        <f t="shared" si="104"/>
        <v>lost money</v>
      </c>
    </row>
    <row r="3307" spans="1:10">
      <c r="A3307" s="1">
        <v>41521</v>
      </c>
      <c r="B3307">
        <v>60.92</v>
      </c>
      <c r="C3307">
        <v>61.22</v>
      </c>
      <c r="D3307">
        <v>60.52</v>
      </c>
      <c r="E3307">
        <v>61.11</v>
      </c>
      <c r="F3307">
        <v>14014600</v>
      </c>
      <c r="G3307">
        <v>60.36</v>
      </c>
      <c r="H3307" t="s">
        <v>14</v>
      </c>
      <c r="I3307" s="22">
        <f t="shared" si="103"/>
        <v>2.8204083399687488E-3</v>
      </c>
      <c r="J3307" s="22" t="str">
        <f t="shared" si="104"/>
        <v/>
      </c>
    </row>
    <row r="3308" spans="1:10">
      <c r="A3308" s="1">
        <v>41522</v>
      </c>
      <c r="B3308">
        <v>61.07</v>
      </c>
      <c r="C3308">
        <v>61.6</v>
      </c>
      <c r="D3308">
        <v>60.96</v>
      </c>
      <c r="E3308">
        <v>61.3</v>
      </c>
      <c r="F3308">
        <v>6356600</v>
      </c>
      <c r="G3308">
        <v>60.55</v>
      </c>
      <c r="H3308" t="s">
        <v>14</v>
      </c>
      <c r="I3308" s="22">
        <f t="shared" si="103"/>
        <v>3.1428360994530118E-3</v>
      </c>
      <c r="J3308" s="22" t="str">
        <f t="shared" si="104"/>
        <v/>
      </c>
    </row>
    <row r="3309" spans="1:10">
      <c r="A3309" s="1">
        <v>41523</v>
      </c>
      <c r="B3309">
        <v>61.47</v>
      </c>
      <c r="C3309">
        <v>61.83</v>
      </c>
      <c r="D3309">
        <v>60.63</v>
      </c>
      <c r="E3309">
        <v>61.39</v>
      </c>
      <c r="F3309">
        <v>7319400</v>
      </c>
      <c r="G3309">
        <v>60.64</v>
      </c>
      <c r="H3309" t="s">
        <v>14</v>
      </c>
      <c r="I3309" s="22">
        <f t="shared" si="103"/>
        <v>1.4852713350149344E-3</v>
      </c>
      <c r="J3309" s="22" t="str">
        <f t="shared" si="104"/>
        <v>lost money</v>
      </c>
    </row>
    <row r="3310" spans="1:10">
      <c r="A3310" s="1">
        <v>41526</v>
      </c>
      <c r="B3310">
        <v>61.6</v>
      </c>
      <c r="C3310">
        <v>61.84</v>
      </c>
      <c r="D3310">
        <v>61.27</v>
      </c>
      <c r="E3310">
        <v>61.59</v>
      </c>
      <c r="F3310">
        <v>7224500</v>
      </c>
      <c r="G3310">
        <v>60.84</v>
      </c>
      <c r="H3310" t="s">
        <v>14</v>
      </c>
      <c r="I3310" s="22">
        <f t="shared" si="103"/>
        <v>3.2927260569759068E-3</v>
      </c>
      <c r="J3310" s="22" t="str">
        <f t="shared" si="104"/>
        <v>lost money</v>
      </c>
    </row>
    <row r="3311" spans="1:10">
      <c r="A3311" s="1">
        <v>41527</v>
      </c>
      <c r="B3311">
        <v>62.09</v>
      </c>
      <c r="C3311">
        <v>62.97</v>
      </c>
      <c r="D3311">
        <v>61.93</v>
      </c>
      <c r="E3311">
        <v>62.83</v>
      </c>
      <c r="F3311">
        <v>9919600</v>
      </c>
      <c r="G3311">
        <v>62.06</v>
      </c>
      <c r="H3311" t="s">
        <v>14</v>
      </c>
      <c r="I3311" s="22">
        <f t="shared" si="103"/>
        <v>1.98541916291421E-2</v>
      </c>
      <c r="J3311" s="22" t="str">
        <f t="shared" si="104"/>
        <v/>
      </c>
    </row>
    <row r="3312" spans="1:10">
      <c r="A3312" s="1">
        <v>41528</v>
      </c>
      <c r="B3312">
        <v>63.12</v>
      </c>
      <c r="C3312">
        <v>63.94</v>
      </c>
      <c r="D3312">
        <v>62.98</v>
      </c>
      <c r="E3312">
        <v>63.94</v>
      </c>
      <c r="F3312">
        <v>9439700</v>
      </c>
      <c r="G3312">
        <v>63.16</v>
      </c>
      <c r="H3312" t="s">
        <v>14</v>
      </c>
      <c r="I3312" s="22">
        <f t="shared" si="103"/>
        <v>1.7569530367207077E-2</v>
      </c>
      <c r="J3312" s="22" t="str">
        <f t="shared" si="104"/>
        <v/>
      </c>
    </row>
    <row r="3313" spans="1:10">
      <c r="A3313" s="1">
        <v>41529</v>
      </c>
      <c r="B3313">
        <v>63.8</v>
      </c>
      <c r="C3313">
        <v>66.349999999999994</v>
      </c>
      <c r="D3313">
        <v>63.41</v>
      </c>
      <c r="E3313">
        <v>65.489999999999995</v>
      </c>
      <c r="F3313">
        <v>22426500</v>
      </c>
      <c r="G3313">
        <v>64.69</v>
      </c>
      <c r="H3313" t="s">
        <v>14</v>
      </c>
      <c r="I3313" s="22">
        <f t="shared" si="103"/>
        <v>2.3935440668452716E-2</v>
      </c>
      <c r="J3313" s="22" t="str">
        <f t="shared" si="104"/>
        <v/>
      </c>
    </row>
    <row r="3314" spans="1:10">
      <c r="A3314" s="1">
        <v>41530</v>
      </c>
      <c r="B3314">
        <v>65.87</v>
      </c>
      <c r="C3314">
        <v>67.03</v>
      </c>
      <c r="D3314">
        <v>65.5</v>
      </c>
      <c r="E3314">
        <v>66.69</v>
      </c>
      <c r="F3314">
        <v>12718700</v>
      </c>
      <c r="G3314">
        <v>65.88</v>
      </c>
      <c r="H3314" t="s">
        <v>14</v>
      </c>
      <c r="I3314" s="22">
        <f t="shared" si="103"/>
        <v>1.8228275253545534E-2</v>
      </c>
      <c r="J3314" s="22" t="str">
        <f t="shared" si="104"/>
        <v/>
      </c>
    </row>
    <row r="3315" spans="1:10">
      <c r="A3315" s="1">
        <v>41533</v>
      </c>
      <c r="B3315">
        <v>67.319999999999993</v>
      </c>
      <c r="C3315">
        <v>67.650000000000006</v>
      </c>
      <c r="D3315">
        <v>66.88</v>
      </c>
      <c r="E3315">
        <v>66.94</v>
      </c>
      <c r="F3315">
        <v>9716500</v>
      </c>
      <c r="G3315">
        <v>66.12</v>
      </c>
      <c r="H3315" t="s">
        <v>14</v>
      </c>
      <c r="I3315" s="22">
        <f t="shared" si="103"/>
        <v>3.6363676433839335E-3</v>
      </c>
      <c r="J3315" s="22" t="str">
        <f t="shared" si="104"/>
        <v>lost money</v>
      </c>
    </row>
    <row r="3316" spans="1:10">
      <c r="A3316" s="1">
        <v>41534</v>
      </c>
      <c r="B3316">
        <v>66.83</v>
      </c>
      <c r="C3316">
        <v>67.2</v>
      </c>
      <c r="D3316">
        <v>66.72</v>
      </c>
      <c r="E3316">
        <v>66.98</v>
      </c>
      <c r="F3316">
        <v>6450700</v>
      </c>
      <c r="G3316">
        <v>66.16</v>
      </c>
      <c r="H3316" t="s">
        <v>14</v>
      </c>
      <c r="I3316" s="22">
        <f t="shared" si="103"/>
        <v>6.0477776261226351E-4</v>
      </c>
      <c r="J3316" s="22" t="str">
        <f t="shared" si="104"/>
        <v/>
      </c>
    </row>
    <row r="3317" spans="1:10">
      <c r="A3317" s="1">
        <v>41535</v>
      </c>
      <c r="B3317">
        <v>66.67</v>
      </c>
      <c r="C3317">
        <v>67.37</v>
      </c>
      <c r="D3317">
        <v>66.209999999999994</v>
      </c>
      <c r="E3317">
        <v>67.11</v>
      </c>
      <c r="F3317">
        <v>9865600</v>
      </c>
      <c r="G3317">
        <v>66.290000000000006</v>
      </c>
      <c r="H3317" t="s">
        <v>14</v>
      </c>
      <c r="I3317" s="22">
        <f t="shared" si="103"/>
        <v>1.9630055378645006E-3</v>
      </c>
      <c r="J3317" s="22" t="str">
        <f t="shared" si="104"/>
        <v/>
      </c>
    </row>
    <row r="3318" spans="1:10">
      <c r="A3318" s="1">
        <v>41536</v>
      </c>
      <c r="B3318">
        <v>66.39</v>
      </c>
      <c r="C3318">
        <v>66.5</v>
      </c>
      <c r="D3318">
        <v>65.400000000000006</v>
      </c>
      <c r="E3318">
        <v>65.72</v>
      </c>
      <c r="F3318">
        <v>11864800</v>
      </c>
      <c r="G3318">
        <v>64.92</v>
      </c>
      <c r="H3318" t="s">
        <v>14</v>
      </c>
      <c r="I3318" s="22">
        <f t="shared" si="103"/>
        <v>-2.0883313606909811E-2</v>
      </c>
      <c r="J3318" s="22" t="str">
        <f t="shared" si="104"/>
        <v>lost money</v>
      </c>
    </row>
    <row r="3319" spans="1:10">
      <c r="A3319" s="1">
        <v>41537</v>
      </c>
      <c r="B3319">
        <v>65.61</v>
      </c>
      <c r="C3319">
        <v>65.84</v>
      </c>
      <c r="D3319">
        <v>64.91</v>
      </c>
      <c r="E3319">
        <v>65.010000000000005</v>
      </c>
      <c r="F3319">
        <v>29076200</v>
      </c>
      <c r="G3319">
        <v>64.22</v>
      </c>
      <c r="H3319" t="s">
        <v>14</v>
      </c>
      <c r="I3319" s="22">
        <f t="shared" si="103"/>
        <v>-1.0841053985022654E-2</v>
      </c>
      <c r="J3319" s="22" t="str">
        <f t="shared" si="104"/>
        <v>lost money</v>
      </c>
    </row>
    <row r="3320" spans="1:10">
      <c r="A3320" s="1">
        <v>41540</v>
      </c>
      <c r="B3320">
        <v>65.040000000000006</v>
      </c>
      <c r="C3320">
        <v>65.48</v>
      </c>
      <c r="D3320">
        <v>64.680000000000007</v>
      </c>
      <c r="E3320">
        <v>64.75</v>
      </c>
      <c r="F3320">
        <v>8286600</v>
      </c>
      <c r="G3320">
        <v>63.96</v>
      </c>
      <c r="H3320" t="s">
        <v>14</v>
      </c>
      <c r="I3320" s="22">
        <f t="shared" si="103"/>
        <v>-4.056800695614318E-3</v>
      </c>
      <c r="J3320" s="22" t="str">
        <f t="shared" si="104"/>
        <v>lost money</v>
      </c>
    </row>
    <row r="3321" spans="1:10">
      <c r="A3321" s="1">
        <v>41541</v>
      </c>
      <c r="B3321">
        <v>64.94</v>
      </c>
      <c r="C3321">
        <v>65.16</v>
      </c>
      <c r="D3321">
        <v>64.28</v>
      </c>
      <c r="E3321">
        <v>64.319999999999993</v>
      </c>
      <c r="F3321">
        <v>8272800</v>
      </c>
      <c r="G3321">
        <v>63.54</v>
      </c>
      <c r="H3321" t="s">
        <v>14</v>
      </c>
      <c r="I3321" s="22">
        <f t="shared" si="103"/>
        <v>-6.5882591243834653E-3</v>
      </c>
      <c r="J3321" s="22" t="str">
        <f t="shared" si="104"/>
        <v>lost money</v>
      </c>
    </row>
    <row r="3322" spans="1:10">
      <c r="A3322" s="1">
        <v>41542</v>
      </c>
      <c r="B3322">
        <v>64.42</v>
      </c>
      <c r="C3322">
        <v>64.930000000000007</v>
      </c>
      <c r="D3322">
        <v>64.2</v>
      </c>
      <c r="E3322">
        <v>64.45</v>
      </c>
      <c r="F3322">
        <v>7281400</v>
      </c>
      <c r="G3322">
        <v>63.66</v>
      </c>
      <c r="H3322" t="s">
        <v>14</v>
      </c>
      <c r="I3322" s="22">
        <f t="shared" si="103"/>
        <v>1.8867930125766356E-3</v>
      </c>
      <c r="J3322" s="22" t="str">
        <f t="shared" si="104"/>
        <v/>
      </c>
    </row>
    <row r="3323" spans="1:10">
      <c r="A3323" s="1">
        <v>41543</v>
      </c>
      <c r="B3323">
        <v>64.36</v>
      </c>
      <c r="C3323">
        <v>65.290000000000006</v>
      </c>
      <c r="D3323">
        <v>64.25</v>
      </c>
      <c r="E3323">
        <v>65.239999999999995</v>
      </c>
      <c r="F3323">
        <v>6971200</v>
      </c>
      <c r="G3323">
        <v>64.44</v>
      </c>
      <c r="H3323" t="s">
        <v>14</v>
      </c>
      <c r="I3323" s="22">
        <f t="shared" si="103"/>
        <v>1.2178136454826823E-2</v>
      </c>
      <c r="J3323" s="22" t="str">
        <f t="shared" si="104"/>
        <v/>
      </c>
    </row>
    <row r="3324" spans="1:10">
      <c r="A3324" s="1">
        <v>41544</v>
      </c>
      <c r="B3324">
        <v>64.97</v>
      </c>
      <c r="C3324">
        <v>65.44</v>
      </c>
      <c r="D3324">
        <v>64.69</v>
      </c>
      <c r="E3324">
        <v>65.19</v>
      </c>
      <c r="F3324">
        <v>5586000</v>
      </c>
      <c r="G3324">
        <v>64.400000000000006</v>
      </c>
      <c r="H3324" t="s">
        <v>14</v>
      </c>
      <c r="I3324" s="22">
        <f t="shared" si="103"/>
        <v>-6.209251984655317E-4</v>
      </c>
      <c r="J3324" s="22" t="str">
        <f t="shared" si="104"/>
        <v/>
      </c>
    </row>
    <row r="3325" spans="1:10">
      <c r="A3325" s="1">
        <v>41547</v>
      </c>
      <c r="B3325">
        <v>64.73</v>
      </c>
      <c r="C3325">
        <v>64.95</v>
      </c>
      <c r="D3325">
        <v>64.39</v>
      </c>
      <c r="E3325">
        <v>64.489999999999995</v>
      </c>
      <c r="F3325">
        <v>7463200</v>
      </c>
      <c r="G3325">
        <v>63.7</v>
      </c>
      <c r="H3325" t="s">
        <v>14</v>
      </c>
      <c r="I3325" s="22">
        <f t="shared" si="103"/>
        <v>-1.0929070532190317E-2</v>
      </c>
      <c r="J3325" s="22" t="str">
        <f t="shared" si="104"/>
        <v>lost money</v>
      </c>
    </row>
    <row r="3326" spans="1:10">
      <c r="A3326" s="1">
        <v>41548</v>
      </c>
      <c r="B3326">
        <v>64.37</v>
      </c>
      <c r="C3326">
        <v>65.25</v>
      </c>
      <c r="D3326">
        <v>64.36</v>
      </c>
      <c r="E3326">
        <v>64.83</v>
      </c>
      <c r="F3326">
        <v>4881200</v>
      </c>
      <c r="G3326">
        <v>64.040000000000006</v>
      </c>
      <c r="H3326" t="s">
        <v>14</v>
      </c>
      <c r="I3326" s="22">
        <f t="shared" si="103"/>
        <v>5.323325550396287E-3</v>
      </c>
      <c r="J3326" s="22" t="str">
        <f t="shared" si="104"/>
        <v/>
      </c>
    </row>
    <row r="3327" spans="1:10">
      <c r="A3327" s="1">
        <v>41549</v>
      </c>
      <c r="B3327">
        <v>64.45</v>
      </c>
      <c r="C3327">
        <v>65.34</v>
      </c>
      <c r="D3327">
        <v>64.400000000000006</v>
      </c>
      <c r="E3327">
        <v>64.88</v>
      </c>
      <c r="F3327">
        <v>7218800</v>
      </c>
      <c r="G3327">
        <v>64.09</v>
      </c>
      <c r="H3327" t="s">
        <v>14</v>
      </c>
      <c r="I3327" s="22">
        <f t="shared" si="103"/>
        <v>7.8045738762159934E-4</v>
      </c>
      <c r="J3327" s="22" t="str">
        <f t="shared" si="104"/>
        <v/>
      </c>
    </row>
    <row r="3328" spans="1:10">
      <c r="A3328" s="1">
        <v>41550</v>
      </c>
      <c r="B3328">
        <v>64.72</v>
      </c>
      <c r="C3328">
        <v>64.930000000000007</v>
      </c>
      <c r="D3328">
        <v>63.83</v>
      </c>
      <c r="E3328">
        <v>64.02</v>
      </c>
      <c r="F3328">
        <v>7264100</v>
      </c>
      <c r="G3328">
        <v>63.24</v>
      </c>
      <c r="H3328" t="s">
        <v>14</v>
      </c>
      <c r="I3328" s="22">
        <f t="shared" si="103"/>
        <v>-1.3351333174864225E-2</v>
      </c>
      <c r="J3328" s="22" t="str">
        <f t="shared" si="104"/>
        <v>lost money</v>
      </c>
    </row>
    <row r="3329" spans="1:10">
      <c r="A3329" s="1">
        <v>41551</v>
      </c>
      <c r="B3329">
        <v>64.02</v>
      </c>
      <c r="C3329">
        <v>65.430000000000007</v>
      </c>
      <c r="D3329">
        <v>63.97</v>
      </c>
      <c r="E3329">
        <v>65.3</v>
      </c>
      <c r="F3329">
        <v>6546000</v>
      </c>
      <c r="G3329">
        <v>64.5</v>
      </c>
      <c r="H3329" t="s">
        <v>14</v>
      </c>
      <c r="I3329" s="22">
        <f t="shared" si="103"/>
        <v>1.9728211460455405E-2</v>
      </c>
      <c r="J3329" s="22" t="str">
        <f t="shared" si="104"/>
        <v/>
      </c>
    </row>
    <row r="3330" spans="1:10">
      <c r="A3330" s="1">
        <v>41554</v>
      </c>
      <c r="B3330">
        <v>64.81</v>
      </c>
      <c r="C3330">
        <v>65.31</v>
      </c>
      <c r="D3330">
        <v>64.569999999999993</v>
      </c>
      <c r="E3330">
        <v>64.59</v>
      </c>
      <c r="F3330">
        <v>5840900</v>
      </c>
      <c r="G3330">
        <v>63.8</v>
      </c>
      <c r="H3330" t="s">
        <v>14</v>
      </c>
      <c r="I3330" s="22">
        <f t="shared" si="103"/>
        <v>-1.091203345098265E-2</v>
      </c>
      <c r="J3330" s="22" t="str">
        <f t="shared" si="104"/>
        <v>lost money</v>
      </c>
    </row>
    <row r="3331" spans="1:10">
      <c r="A3331" s="1">
        <v>41555</v>
      </c>
      <c r="B3331">
        <v>64.52</v>
      </c>
      <c r="C3331">
        <v>64.77</v>
      </c>
      <c r="D3331">
        <v>63.97</v>
      </c>
      <c r="E3331">
        <v>64</v>
      </c>
      <c r="F3331">
        <v>8636300</v>
      </c>
      <c r="G3331">
        <v>63.22</v>
      </c>
      <c r="H3331" t="s">
        <v>14</v>
      </c>
      <c r="I3331" s="22">
        <f t="shared" ref="I3331:I3394" si="105">IF(A3331=$A$2,"",LN(G3331/G3330))</f>
        <v>-9.1324835632724741E-3</v>
      </c>
      <c r="J3331" s="22" t="str">
        <f t="shared" ref="J3331:J3394" si="106">IF(B3331&gt;E3331,"lost money","")</f>
        <v>lost money</v>
      </c>
    </row>
    <row r="3332" spans="1:10">
      <c r="A3332" s="1">
        <v>41556</v>
      </c>
      <c r="B3332">
        <v>64.02</v>
      </c>
      <c r="C3332">
        <v>64.180000000000007</v>
      </c>
      <c r="D3332">
        <v>63.1</v>
      </c>
      <c r="E3332">
        <v>63.59</v>
      </c>
      <c r="F3332">
        <v>8746900</v>
      </c>
      <c r="G3332">
        <v>62.81</v>
      </c>
      <c r="H3332" t="s">
        <v>14</v>
      </c>
      <c r="I3332" s="22">
        <f t="shared" si="105"/>
        <v>-6.5064103211821909E-3</v>
      </c>
      <c r="J3332" s="22" t="str">
        <f t="shared" si="106"/>
        <v>lost money</v>
      </c>
    </row>
    <row r="3333" spans="1:10">
      <c r="A3333" s="1">
        <v>41557</v>
      </c>
      <c r="B3333">
        <v>64.48</v>
      </c>
      <c r="C3333">
        <v>65.67</v>
      </c>
      <c r="D3333">
        <v>64.290000000000006</v>
      </c>
      <c r="E3333">
        <v>65.58</v>
      </c>
      <c r="F3333">
        <v>7676600</v>
      </c>
      <c r="G3333">
        <v>64.78</v>
      </c>
      <c r="H3333" t="s">
        <v>14</v>
      </c>
      <c r="I3333" s="22">
        <f t="shared" si="105"/>
        <v>3.0882617276893808E-2</v>
      </c>
      <c r="J3333" s="22" t="str">
        <f t="shared" si="106"/>
        <v/>
      </c>
    </row>
    <row r="3334" spans="1:10">
      <c r="A3334" s="1">
        <v>41558</v>
      </c>
      <c r="B3334">
        <v>65.66</v>
      </c>
      <c r="C3334">
        <v>66.59</v>
      </c>
      <c r="D3334">
        <v>65.5</v>
      </c>
      <c r="E3334">
        <v>66.209999999999994</v>
      </c>
      <c r="F3334">
        <v>6735000</v>
      </c>
      <c r="G3334">
        <v>65.400000000000006</v>
      </c>
      <c r="H3334" t="s">
        <v>14</v>
      </c>
      <c r="I3334" s="22">
        <f t="shared" si="105"/>
        <v>9.5253447199697642E-3</v>
      </c>
      <c r="J3334" s="22" t="str">
        <f t="shared" si="106"/>
        <v/>
      </c>
    </row>
    <row r="3335" spans="1:10">
      <c r="A3335" s="1">
        <v>41561</v>
      </c>
      <c r="B3335">
        <v>65.88</v>
      </c>
      <c r="C3335">
        <v>66.98</v>
      </c>
      <c r="D3335">
        <v>65.78</v>
      </c>
      <c r="E3335">
        <v>66.83</v>
      </c>
      <c r="F3335">
        <v>6461500</v>
      </c>
      <c r="G3335">
        <v>66.02</v>
      </c>
      <c r="H3335" t="s">
        <v>14</v>
      </c>
      <c r="I3335" s="22">
        <f t="shared" si="105"/>
        <v>9.435467961893873E-3</v>
      </c>
      <c r="J3335" s="22" t="str">
        <f t="shared" si="106"/>
        <v/>
      </c>
    </row>
    <row r="3336" spans="1:10">
      <c r="A3336" s="1">
        <v>41562</v>
      </c>
      <c r="B3336">
        <v>66.73</v>
      </c>
      <c r="C3336">
        <v>66.94</v>
      </c>
      <c r="D3336">
        <v>65.930000000000007</v>
      </c>
      <c r="E3336">
        <v>66.44</v>
      </c>
      <c r="F3336">
        <v>5943100</v>
      </c>
      <c r="G3336">
        <v>65.63</v>
      </c>
      <c r="H3336" t="s">
        <v>14</v>
      </c>
      <c r="I3336" s="22">
        <f t="shared" si="105"/>
        <v>-5.9248179394156154E-3</v>
      </c>
      <c r="J3336" s="22" t="str">
        <f t="shared" si="106"/>
        <v>lost money</v>
      </c>
    </row>
    <row r="3337" spans="1:10">
      <c r="A3337" s="1">
        <v>41563</v>
      </c>
      <c r="B3337">
        <v>66.64</v>
      </c>
      <c r="C3337">
        <v>66.86</v>
      </c>
      <c r="D3337">
        <v>66.13</v>
      </c>
      <c r="E3337">
        <v>66.349999999999994</v>
      </c>
      <c r="F3337">
        <v>7724800</v>
      </c>
      <c r="G3337">
        <v>65.540000000000006</v>
      </c>
      <c r="H3337" t="s">
        <v>14</v>
      </c>
      <c r="I3337" s="22">
        <f t="shared" si="105"/>
        <v>-1.3722652149627335E-3</v>
      </c>
      <c r="J3337" s="22" t="str">
        <f t="shared" si="106"/>
        <v>lost money</v>
      </c>
    </row>
    <row r="3338" spans="1:10">
      <c r="A3338" s="1">
        <v>41564</v>
      </c>
      <c r="B3338">
        <v>66.19</v>
      </c>
      <c r="C3338">
        <v>66.59</v>
      </c>
      <c r="D3338">
        <v>65.98</v>
      </c>
      <c r="E3338">
        <v>66.42</v>
      </c>
      <c r="F3338">
        <v>6952100</v>
      </c>
      <c r="G3338">
        <v>65.61</v>
      </c>
      <c r="H3338" t="s">
        <v>14</v>
      </c>
      <c r="I3338" s="22">
        <f t="shared" si="105"/>
        <v>1.067480086117425E-3</v>
      </c>
      <c r="J3338" s="22" t="str">
        <f t="shared" si="106"/>
        <v/>
      </c>
    </row>
    <row r="3339" spans="1:10">
      <c r="A3339" s="1">
        <v>41565</v>
      </c>
      <c r="B3339">
        <v>66.5</v>
      </c>
      <c r="C3339">
        <v>67.27</v>
      </c>
      <c r="D3339">
        <v>65.989999999999995</v>
      </c>
      <c r="E3339">
        <v>67.150000000000006</v>
      </c>
      <c r="F3339">
        <v>7587000</v>
      </c>
      <c r="G3339">
        <v>66.33</v>
      </c>
      <c r="H3339" t="s">
        <v>14</v>
      </c>
      <c r="I3339" s="22">
        <f t="shared" si="105"/>
        <v>1.0914160180678333E-2</v>
      </c>
      <c r="J3339" s="22" t="str">
        <f t="shared" si="106"/>
        <v/>
      </c>
    </row>
    <row r="3340" spans="1:10">
      <c r="A3340" s="1">
        <v>41568</v>
      </c>
      <c r="B3340">
        <v>67.27</v>
      </c>
      <c r="C3340">
        <v>67.63</v>
      </c>
      <c r="D3340">
        <v>67.16</v>
      </c>
      <c r="E3340">
        <v>67.61</v>
      </c>
      <c r="F3340">
        <v>4845800</v>
      </c>
      <c r="G3340">
        <v>66.790000000000006</v>
      </c>
      <c r="H3340" t="s">
        <v>14</v>
      </c>
      <c r="I3340" s="22">
        <f t="shared" si="105"/>
        <v>6.9110852000801738E-3</v>
      </c>
      <c r="J3340" s="22" t="str">
        <f t="shared" si="106"/>
        <v/>
      </c>
    </row>
    <row r="3341" spans="1:10">
      <c r="A3341" s="1">
        <v>41569</v>
      </c>
      <c r="B3341">
        <v>67.94</v>
      </c>
      <c r="C3341">
        <v>69.13</v>
      </c>
      <c r="D3341">
        <v>67.75</v>
      </c>
      <c r="E3341">
        <v>69</v>
      </c>
      <c r="F3341">
        <v>7860700</v>
      </c>
      <c r="G3341">
        <v>68.16</v>
      </c>
      <c r="H3341" t="s">
        <v>14</v>
      </c>
      <c r="I3341" s="22">
        <f t="shared" si="105"/>
        <v>2.0304513783515544E-2</v>
      </c>
      <c r="J3341" s="22" t="str">
        <f t="shared" si="106"/>
        <v/>
      </c>
    </row>
    <row r="3342" spans="1:10">
      <c r="A3342" s="1">
        <v>41570</v>
      </c>
      <c r="B3342">
        <v>68.81</v>
      </c>
      <c r="C3342">
        <v>69.2</v>
      </c>
      <c r="D3342">
        <v>68.02</v>
      </c>
      <c r="E3342">
        <v>68.12</v>
      </c>
      <c r="F3342">
        <v>5864500</v>
      </c>
      <c r="G3342">
        <v>67.290000000000006</v>
      </c>
      <c r="H3342" t="s">
        <v>14</v>
      </c>
      <c r="I3342" s="22">
        <f t="shared" si="105"/>
        <v>-1.2846245320833536E-2</v>
      </c>
      <c r="J3342" s="22" t="str">
        <f t="shared" si="106"/>
        <v>lost money</v>
      </c>
    </row>
    <row r="3343" spans="1:10">
      <c r="A3343" s="1">
        <v>41571</v>
      </c>
      <c r="B3343">
        <v>68.180000000000007</v>
      </c>
      <c r="C3343">
        <v>69.19</v>
      </c>
      <c r="D3343">
        <v>68.02</v>
      </c>
      <c r="E3343">
        <v>69.05</v>
      </c>
      <c r="F3343">
        <v>6045400</v>
      </c>
      <c r="G3343">
        <v>68.209999999999994</v>
      </c>
      <c r="H3343" t="s">
        <v>14</v>
      </c>
      <c r="I3343" s="22">
        <f t="shared" si="105"/>
        <v>1.3579544466401141E-2</v>
      </c>
      <c r="J3343" s="22" t="str">
        <f t="shared" si="106"/>
        <v/>
      </c>
    </row>
    <row r="3344" spans="1:10">
      <c r="A3344" s="1">
        <v>41572</v>
      </c>
      <c r="B3344">
        <v>69.319999999999993</v>
      </c>
      <c r="C3344">
        <v>69.87</v>
      </c>
      <c r="D3344">
        <v>68.97</v>
      </c>
      <c r="E3344">
        <v>69.260000000000005</v>
      </c>
      <c r="F3344">
        <v>6613300</v>
      </c>
      <c r="G3344">
        <v>68.42</v>
      </c>
      <c r="H3344" t="s">
        <v>14</v>
      </c>
      <c r="I3344" s="22">
        <f t="shared" si="105"/>
        <v>3.0739978828307596E-3</v>
      </c>
      <c r="J3344" s="22" t="str">
        <f t="shared" si="106"/>
        <v>lost money</v>
      </c>
    </row>
    <row r="3345" spans="1:10">
      <c r="A3345" s="1">
        <v>41575</v>
      </c>
      <c r="B3345">
        <v>69.349999999999994</v>
      </c>
      <c r="C3345">
        <v>69.48</v>
      </c>
      <c r="D3345">
        <v>68.92</v>
      </c>
      <c r="E3345">
        <v>69</v>
      </c>
      <c r="F3345">
        <v>4469200</v>
      </c>
      <c r="G3345">
        <v>68.16</v>
      </c>
      <c r="H3345" t="s">
        <v>14</v>
      </c>
      <c r="I3345" s="22">
        <f t="shared" si="105"/>
        <v>-3.8072970283983608E-3</v>
      </c>
      <c r="J3345" s="22" t="str">
        <f t="shared" si="106"/>
        <v>lost money</v>
      </c>
    </row>
    <row r="3346" spans="1:10">
      <c r="A3346" s="1">
        <v>41576</v>
      </c>
      <c r="B3346">
        <v>69.12</v>
      </c>
      <c r="C3346">
        <v>69.39</v>
      </c>
      <c r="D3346">
        <v>68.78</v>
      </c>
      <c r="E3346">
        <v>68.92</v>
      </c>
      <c r="F3346">
        <v>4450200</v>
      </c>
      <c r="G3346">
        <v>68.08</v>
      </c>
      <c r="H3346" t="s">
        <v>14</v>
      </c>
      <c r="I3346" s="22">
        <f t="shared" si="105"/>
        <v>-1.1743982559415578E-3</v>
      </c>
      <c r="J3346" s="22" t="str">
        <f t="shared" si="106"/>
        <v>lost money</v>
      </c>
    </row>
    <row r="3347" spans="1:10">
      <c r="A3347" s="1">
        <v>41577</v>
      </c>
      <c r="B3347">
        <v>69.22</v>
      </c>
      <c r="C3347">
        <v>69.3</v>
      </c>
      <c r="D3347">
        <v>67.930000000000007</v>
      </c>
      <c r="E3347">
        <v>68.47</v>
      </c>
      <c r="F3347">
        <v>5816100</v>
      </c>
      <c r="G3347">
        <v>67.64</v>
      </c>
      <c r="H3347" t="s">
        <v>14</v>
      </c>
      <c r="I3347" s="22">
        <f t="shared" si="105"/>
        <v>-6.4839602347390602E-3</v>
      </c>
      <c r="J3347" s="22" t="str">
        <f t="shared" si="106"/>
        <v>lost money</v>
      </c>
    </row>
    <row r="3348" spans="1:10">
      <c r="A3348" s="1">
        <v>41578</v>
      </c>
      <c r="B3348">
        <v>68.47</v>
      </c>
      <c r="C3348">
        <v>69.3</v>
      </c>
      <c r="D3348">
        <v>68.349999999999994</v>
      </c>
      <c r="E3348">
        <v>68.59</v>
      </c>
      <c r="F3348">
        <v>5706100</v>
      </c>
      <c r="G3348">
        <v>67.75</v>
      </c>
      <c r="H3348" t="s">
        <v>14</v>
      </c>
      <c r="I3348" s="22">
        <f t="shared" si="105"/>
        <v>1.6249357294308032E-3</v>
      </c>
      <c r="J3348" s="22" t="str">
        <f t="shared" si="106"/>
        <v/>
      </c>
    </row>
    <row r="3349" spans="1:10">
      <c r="A3349" s="1">
        <v>41579</v>
      </c>
      <c r="B3349">
        <v>68.709999999999994</v>
      </c>
      <c r="C3349">
        <v>69.180000000000007</v>
      </c>
      <c r="D3349">
        <v>68.5</v>
      </c>
      <c r="E3349">
        <v>69.010000000000005</v>
      </c>
      <c r="F3349">
        <v>5008600</v>
      </c>
      <c r="G3349">
        <v>68.17</v>
      </c>
      <c r="H3349" t="s">
        <v>14</v>
      </c>
      <c r="I3349" s="22">
        <f t="shared" si="105"/>
        <v>6.1801256148835771E-3</v>
      </c>
      <c r="J3349" s="22" t="str">
        <f t="shared" si="106"/>
        <v/>
      </c>
    </row>
    <row r="3350" spans="1:10">
      <c r="A3350" s="1">
        <v>41582</v>
      </c>
      <c r="B3350">
        <v>69.41</v>
      </c>
      <c r="C3350">
        <v>69.55</v>
      </c>
      <c r="D3350">
        <v>68.41</v>
      </c>
      <c r="E3350">
        <v>68.81</v>
      </c>
      <c r="F3350">
        <v>4790200</v>
      </c>
      <c r="G3350">
        <v>67.97</v>
      </c>
      <c r="H3350" t="s">
        <v>14</v>
      </c>
      <c r="I3350" s="22">
        <f t="shared" si="105"/>
        <v>-2.9381540161471154E-3</v>
      </c>
      <c r="J3350" s="22" t="str">
        <f t="shared" si="106"/>
        <v>lost money</v>
      </c>
    </row>
    <row r="3351" spans="1:10">
      <c r="A3351" s="1">
        <v>41583</v>
      </c>
      <c r="B3351">
        <v>68.77</v>
      </c>
      <c r="C3351">
        <v>69.06</v>
      </c>
      <c r="D3351">
        <v>68.06</v>
      </c>
      <c r="E3351">
        <v>68.849999999999994</v>
      </c>
      <c r="F3351">
        <v>5140600</v>
      </c>
      <c r="G3351">
        <v>68.010000000000005</v>
      </c>
      <c r="H3351" t="s">
        <v>14</v>
      </c>
      <c r="I3351" s="22">
        <f t="shared" si="105"/>
        <v>5.8832182900059933E-4</v>
      </c>
      <c r="J3351" s="22" t="str">
        <f t="shared" si="106"/>
        <v/>
      </c>
    </row>
    <row r="3352" spans="1:10">
      <c r="A3352" s="1">
        <v>41584</v>
      </c>
      <c r="B3352">
        <v>69.180000000000007</v>
      </c>
      <c r="C3352">
        <v>69.62</v>
      </c>
      <c r="D3352">
        <v>68.62</v>
      </c>
      <c r="E3352">
        <v>69</v>
      </c>
      <c r="F3352">
        <v>6503200</v>
      </c>
      <c r="G3352">
        <v>68.16</v>
      </c>
      <c r="H3352" t="s">
        <v>14</v>
      </c>
      <c r="I3352" s="22">
        <f t="shared" si="105"/>
        <v>2.2031293335129129E-3</v>
      </c>
      <c r="J3352" s="22" t="str">
        <f t="shared" si="106"/>
        <v>lost money</v>
      </c>
    </row>
    <row r="3353" spans="1:10">
      <c r="A3353" s="1">
        <v>41585</v>
      </c>
      <c r="B3353">
        <v>69.34</v>
      </c>
      <c r="C3353">
        <v>69.34</v>
      </c>
      <c r="D3353">
        <v>67.09</v>
      </c>
      <c r="E3353">
        <v>67.150000000000006</v>
      </c>
      <c r="F3353">
        <v>10496300</v>
      </c>
      <c r="G3353">
        <v>66.33</v>
      </c>
      <c r="H3353" t="s">
        <v>14</v>
      </c>
      <c r="I3353" s="22">
        <f t="shared" si="105"/>
        <v>-2.721559898359565E-2</v>
      </c>
      <c r="J3353" s="22" t="str">
        <f t="shared" si="106"/>
        <v>lost money</v>
      </c>
    </row>
    <row r="3354" spans="1:10">
      <c r="A3354" s="1">
        <v>41586</v>
      </c>
      <c r="B3354">
        <v>66.87</v>
      </c>
      <c r="C3354">
        <v>69.41</v>
      </c>
      <c r="D3354">
        <v>66.72</v>
      </c>
      <c r="E3354">
        <v>68.58</v>
      </c>
      <c r="F3354">
        <v>16182800</v>
      </c>
      <c r="G3354">
        <v>67.739999999999995</v>
      </c>
      <c r="H3354" t="s">
        <v>14</v>
      </c>
      <c r="I3354" s="22">
        <f t="shared" si="105"/>
        <v>2.1034563852161046E-2</v>
      </c>
      <c r="J3354" s="22" t="str">
        <f t="shared" si="106"/>
        <v/>
      </c>
    </row>
    <row r="3355" spans="1:10">
      <c r="A3355" s="1">
        <v>41589</v>
      </c>
      <c r="B3355">
        <v>68.48</v>
      </c>
      <c r="C3355">
        <v>68.739999999999995</v>
      </c>
      <c r="D3355">
        <v>68.19</v>
      </c>
      <c r="E3355">
        <v>68.34</v>
      </c>
      <c r="F3355">
        <v>4954000</v>
      </c>
      <c r="G3355">
        <v>67.510000000000005</v>
      </c>
      <c r="H3355" t="s">
        <v>14</v>
      </c>
      <c r="I3355" s="22">
        <f t="shared" si="105"/>
        <v>-3.4011123358463984E-3</v>
      </c>
      <c r="J3355" s="22" t="str">
        <f t="shared" si="106"/>
        <v>lost money</v>
      </c>
    </row>
    <row r="3356" spans="1:10">
      <c r="A3356" s="1">
        <v>41590</v>
      </c>
      <c r="B3356">
        <v>68.33</v>
      </c>
      <c r="C3356">
        <v>68.45</v>
      </c>
      <c r="D3356">
        <v>67.42</v>
      </c>
      <c r="E3356">
        <v>67.77</v>
      </c>
      <c r="F3356">
        <v>6586700</v>
      </c>
      <c r="G3356">
        <v>66.94</v>
      </c>
      <c r="H3356" t="s">
        <v>14</v>
      </c>
      <c r="I3356" s="22">
        <f t="shared" si="105"/>
        <v>-8.4790392705986952E-3</v>
      </c>
      <c r="J3356" s="22" t="str">
        <f t="shared" si="106"/>
        <v>lost money</v>
      </c>
    </row>
    <row r="3357" spans="1:10">
      <c r="A3357" s="1">
        <v>41591</v>
      </c>
      <c r="B3357">
        <v>67.430000000000007</v>
      </c>
      <c r="C3357">
        <v>68.989999999999995</v>
      </c>
      <c r="D3357">
        <v>67.3</v>
      </c>
      <c r="E3357">
        <v>68.97</v>
      </c>
      <c r="F3357">
        <v>5681000</v>
      </c>
      <c r="G3357">
        <v>68.13</v>
      </c>
      <c r="H3357" t="s">
        <v>14</v>
      </c>
      <c r="I3357" s="22">
        <f t="shared" si="105"/>
        <v>1.7620949002396101E-2</v>
      </c>
      <c r="J3357" s="22" t="str">
        <f t="shared" si="106"/>
        <v/>
      </c>
    </row>
    <row r="3358" spans="1:10">
      <c r="A3358" s="1">
        <v>41592</v>
      </c>
      <c r="B3358">
        <v>69.14</v>
      </c>
      <c r="C3358">
        <v>70.150000000000006</v>
      </c>
      <c r="D3358">
        <v>69</v>
      </c>
      <c r="E3358">
        <v>70.02</v>
      </c>
      <c r="F3358">
        <v>7246600</v>
      </c>
      <c r="G3358">
        <v>69.17</v>
      </c>
      <c r="H3358" t="s">
        <v>14</v>
      </c>
      <c r="I3358" s="22">
        <f t="shared" si="105"/>
        <v>1.5149597826916673E-2</v>
      </c>
      <c r="J3358" s="22" t="str">
        <f t="shared" si="106"/>
        <v/>
      </c>
    </row>
    <row r="3359" spans="1:10">
      <c r="A3359" s="1">
        <v>41593</v>
      </c>
      <c r="B3359">
        <v>69.77</v>
      </c>
      <c r="C3359">
        <v>70.17</v>
      </c>
      <c r="D3359">
        <v>69.55</v>
      </c>
      <c r="E3359">
        <v>70</v>
      </c>
      <c r="F3359">
        <v>6184400</v>
      </c>
      <c r="G3359">
        <v>69.150000000000006</v>
      </c>
      <c r="H3359" t="s">
        <v>14</v>
      </c>
      <c r="I3359" s="22">
        <f t="shared" si="105"/>
        <v>-2.8918450172604862E-4</v>
      </c>
      <c r="J3359" s="22" t="str">
        <f t="shared" si="106"/>
        <v/>
      </c>
    </row>
    <row r="3360" spans="1:10">
      <c r="A3360" s="1">
        <v>41596</v>
      </c>
      <c r="B3360">
        <v>70.06</v>
      </c>
      <c r="C3360">
        <v>70.09</v>
      </c>
      <c r="D3360">
        <v>69.33</v>
      </c>
      <c r="E3360">
        <v>69.5</v>
      </c>
      <c r="F3360">
        <v>4904400</v>
      </c>
      <c r="G3360">
        <v>68.650000000000006</v>
      </c>
      <c r="H3360" t="s">
        <v>14</v>
      </c>
      <c r="I3360" s="22">
        <f t="shared" si="105"/>
        <v>-7.2569258967871801E-3</v>
      </c>
      <c r="J3360" s="22" t="str">
        <f t="shared" si="106"/>
        <v>lost money</v>
      </c>
    </row>
    <row r="3361" spans="1:10">
      <c r="A3361" s="1">
        <v>41597</v>
      </c>
      <c r="B3361">
        <v>69.489999999999995</v>
      </c>
      <c r="C3361">
        <v>69.72</v>
      </c>
      <c r="D3361">
        <v>69.040000000000006</v>
      </c>
      <c r="E3361">
        <v>69.12</v>
      </c>
      <c r="F3361">
        <v>4801700</v>
      </c>
      <c r="G3361">
        <v>68.28</v>
      </c>
      <c r="H3361" t="s">
        <v>14</v>
      </c>
      <c r="I3361" s="22">
        <f t="shared" si="105"/>
        <v>-5.4042342877403142E-3</v>
      </c>
      <c r="J3361" s="22" t="str">
        <f t="shared" si="106"/>
        <v>lost money</v>
      </c>
    </row>
    <row r="3362" spans="1:10">
      <c r="A3362" s="1">
        <v>41598</v>
      </c>
      <c r="B3362">
        <v>69.12</v>
      </c>
      <c r="C3362">
        <v>69.92</v>
      </c>
      <c r="D3362">
        <v>69.08</v>
      </c>
      <c r="E3362">
        <v>69.23</v>
      </c>
      <c r="F3362">
        <v>4726800</v>
      </c>
      <c r="G3362">
        <v>68.39</v>
      </c>
      <c r="H3362" t="s">
        <v>14</v>
      </c>
      <c r="I3362" s="22">
        <f t="shared" si="105"/>
        <v>1.6097171837648303E-3</v>
      </c>
      <c r="J3362" s="22" t="str">
        <f t="shared" si="106"/>
        <v/>
      </c>
    </row>
    <row r="3363" spans="1:10">
      <c r="A3363" s="1">
        <v>41599</v>
      </c>
      <c r="B3363">
        <v>69.459999999999994</v>
      </c>
      <c r="C3363">
        <v>70.010000000000005</v>
      </c>
      <c r="D3363">
        <v>69.27</v>
      </c>
      <c r="E3363">
        <v>69.94</v>
      </c>
      <c r="F3363">
        <v>4498300</v>
      </c>
      <c r="G3363">
        <v>69.09</v>
      </c>
      <c r="H3363" t="s">
        <v>14</v>
      </c>
      <c r="I3363" s="22">
        <f t="shared" si="105"/>
        <v>1.0183387390698871E-2</v>
      </c>
      <c r="J3363" s="22" t="str">
        <f t="shared" si="106"/>
        <v/>
      </c>
    </row>
    <row r="3364" spans="1:10">
      <c r="A3364" s="1">
        <v>41600</v>
      </c>
      <c r="B3364">
        <v>69.95</v>
      </c>
      <c r="C3364">
        <v>70.33</v>
      </c>
      <c r="D3364">
        <v>69.8</v>
      </c>
      <c r="E3364">
        <v>70.2</v>
      </c>
      <c r="F3364">
        <v>4667500</v>
      </c>
      <c r="G3364">
        <v>69.34</v>
      </c>
      <c r="H3364" t="s">
        <v>14</v>
      </c>
      <c r="I3364" s="22">
        <f t="shared" si="105"/>
        <v>3.6119377561739424E-3</v>
      </c>
      <c r="J3364" s="22" t="str">
        <f t="shared" si="106"/>
        <v/>
      </c>
    </row>
    <row r="3365" spans="1:10">
      <c r="A3365" s="1">
        <v>41603</v>
      </c>
      <c r="B3365">
        <v>70.540000000000006</v>
      </c>
      <c r="C3365">
        <v>70.58</v>
      </c>
      <c r="D3365">
        <v>69.599999999999994</v>
      </c>
      <c r="E3365">
        <v>69.739999999999995</v>
      </c>
      <c r="F3365">
        <v>5830600</v>
      </c>
      <c r="G3365">
        <v>68.89</v>
      </c>
      <c r="H3365" t="s">
        <v>14</v>
      </c>
      <c r="I3365" s="22">
        <f t="shared" si="105"/>
        <v>-6.5109106517729116E-3</v>
      </c>
      <c r="J3365" s="22" t="str">
        <f t="shared" si="106"/>
        <v>lost money</v>
      </c>
    </row>
    <row r="3366" spans="1:10">
      <c r="A3366" s="1">
        <v>41604</v>
      </c>
      <c r="B3366">
        <v>69.92</v>
      </c>
      <c r="C3366">
        <v>71.69</v>
      </c>
      <c r="D3366">
        <v>69.900000000000006</v>
      </c>
      <c r="E3366">
        <v>71.180000000000007</v>
      </c>
      <c r="F3366">
        <v>8850000</v>
      </c>
      <c r="G3366">
        <v>70.31</v>
      </c>
      <c r="H3366" t="s">
        <v>14</v>
      </c>
      <c r="I3366" s="22">
        <f t="shared" si="105"/>
        <v>2.0403006605965612E-2</v>
      </c>
      <c r="J3366" s="22" t="str">
        <f t="shared" si="106"/>
        <v/>
      </c>
    </row>
    <row r="3367" spans="1:10">
      <c r="A3367" s="1">
        <v>41605</v>
      </c>
      <c r="B3367">
        <v>71.209999999999994</v>
      </c>
      <c r="C3367">
        <v>71.25</v>
      </c>
      <c r="D3367">
        <v>70.459999999999994</v>
      </c>
      <c r="E3367">
        <v>70.77</v>
      </c>
      <c r="F3367">
        <v>5446100</v>
      </c>
      <c r="G3367">
        <v>69.91</v>
      </c>
      <c r="H3367" t="s">
        <v>14</v>
      </c>
      <c r="I3367" s="22">
        <f t="shared" si="105"/>
        <v>-5.7053356871762219E-3</v>
      </c>
      <c r="J3367" s="22" t="str">
        <f t="shared" si="106"/>
        <v>lost money</v>
      </c>
    </row>
    <row r="3368" spans="1:10">
      <c r="A3368" s="1">
        <v>41607</v>
      </c>
      <c r="B3368">
        <v>71.040000000000006</v>
      </c>
      <c r="C3368">
        <v>71.27</v>
      </c>
      <c r="D3368">
        <v>70.39</v>
      </c>
      <c r="E3368">
        <v>70.540000000000006</v>
      </c>
      <c r="F3368">
        <v>4801000</v>
      </c>
      <c r="G3368">
        <v>69.680000000000007</v>
      </c>
      <c r="H3368" t="s">
        <v>14</v>
      </c>
      <c r="I3368" s="22">
        <f t="shared" si="105"/>
        <v>-3.2953679796463358E-3</v>
      </c>
      <c r="J3368" s="22" t="str">
        <f t="shared" si="106"/>
        <v>lost money</v>
      </c>
    </row>
    <row r="3369" spans="1:10">
      <c r="A3369" s="1">
        <v>40911</v>
      </c>
      <c r="B3369">
        <v>85.47</v>
      </c>
      <c r="C3369">
        <v>85.91</v>
      </c>
      <c r="D3369">
        <v>84.48</v>
      </c>
      <c r="E3369">
        <v>85.17</v>
      </c>
      <c r="F3369">
        <v>2210000</v>
      </c>
      <c r="G3369">
        <v>84.19</v>
      </c>
      <c r="H3369" t="s">
        <v>16</v>
      </c>
      <c r="I3369" s="22" t="str">
        <f t="shared" si="105"/>
        <v/>
      </c>
      <c r="J3369" s="22" t="str">
        <f t="shared" si="106"/>
        <v>lost money</v>
      </c>
    </row>
    <row r="3370" spans="1:10">
      <c r="A3370" s="1">
        <v>40912</v>
      </c>
      <c r="B3370">
        <v>84.73</v>
      </c>
      <c r="C3370">
        <v>85.17</v>
      </c>
      <c r="D3370">
        <v>84.21</v>
      </c>
      <c r="E3370">
        <v>84.96</v>
      </c>
      <c r="F3370">
        <v>1443400</v>
      </c>
      <c r="G3370">
        <v>83.98</v>
      </c>
      <c r="H3370" t="s">
        <v>16</v>
      </c>
      <c r="I3370" s="22">
        <f t="shared" si="105"/>
        <v>-2.4974740935253472E-3</v>
      </c>
      <c r="J3370" s="22" t="str">
        <f t="shared" si="106"/>
        <v/>
      </c>
    </row>
    <row r="3371" spans="1:10">
      <c r="A3371" s="1">
        <v>40913</v>
      </c>
      <c r="B3371">
        <v>84.42</v>
      </c>
      <c r="C3371">
        <v>84.49</v>
      </c>
      <c r="D3371">
        <v>82.79</v>
      </c>
      <c r="E3371">
        <v>84.09</v>
      </c>
      <c r="F3371">
        <v>2218600</v>
      </c>
      <c r="G3371">
        <v>83.12</v>
      </c>
      <c r="H3371" t="s">
        <v>16</v>
      </c>
      <c r="I3371" s="22">
        <f t="shared" si="105"/>
        <v>-1.0293328465075264E-2</v>
      </c>
      <c r="J3371" s="22" t="str">
        <f t="shared" si="106"/>
        <v>lost money</v>
      </c>
    </row>
    <row r="3372" spans="1:10">
      <c r="A3372" s="1">
        <v>40914</v>
      </c>
      <c r="B3372">
        <v>84.56</v>
      </c>
      <c r="C3372">
        <v>86.06</v>
      </c>
      <c r="D3372">
        <v>84.53</v>
      </c>
      <c r="E3372">
        <v>85.49</v>
      </c>
      <c r="F3372">
        <v>2156700</v>
      </c>
      <c r="G3372">
        <v>84.5</v>
      </c>
      <c r="H3372" t="s">
        <v>16</v>
      </c>
      <c r="I3372" s="22">
        <f t="shared" si="105"/>
        <v>1.6466187572156232E-2</v>
      </c>
      <c r="J3372" s="22" t="str">
        <f t="shared" si="106"/>
        <v/>
      </c>
    </row>
    <row r="3373" spans="1:10">
      <c r="A3373" s="1">
        <v>40917</v>
      </c>
      <c r="B3373">
        <v>85.84</v>
      </c>
      <c r="C3373">
        <v>85.98</v>
      </c>
      <c r="D3373">
        <v>85.24</v>
      </c>
      <c r="E3373">
        <v>85.85</v>
      </c>
      <c r="F3373">
        <v>1659600</v>
      </c>
      <c r="G3373">
        <v>84.86</v>
      </c>
      <c r="H3373" t="s">
        <v>16</v>
      </c>
      <c r="I3373" s="22">
        <f t="shared" si="105"/>
        <v>4.2513054110507164E-3</v>
      </c>
      <c r="J3373" s="22" t="str">
        <f t="shared" si="106"/>
        <v/>
      </c>
    </row>
    <row r="3374" spans="1:10">
      <c r="A3374" s="1">
        <v>40918</v>
      </c>
      <c r="B3374">
        <v>87.16</v>
      </c>
      <c r="C3374">
        <v>89.4</v>
      </c>
      <c r="D3374">
        <v>87.15</v>
      </c>
      <c r="E3374">
        <v>88.51</v>
      </c>
      <c r="F3374">
        <v>3403000</v>
      </c>
      <c r="G3374">
        <v>87.49</v>
      </c>
      <c r="H3374" t="s">
        <v>16</v>
      </c>
      <c r="I3374" s="22">
        <f t="shared" si="105"/>
        <v>3.0521661343994217E-2</v>
      </c>
      <c r="J3374" s="22" t="str">
        <f t="shared" si="106"/>
        <v/>
      </c>
    </row>
    <row r="3375" spans="1:10">
      <c r="A3375" s="1">
        <v>40919</v>
      </c>
      <c r="B3375">
        <v>88.08</v>
      </c>
      <c r="C3375">
        <v>90.03</v>
      </c>
      <c r="D3375">
        <v>87.77</v>
      </c>
      <c r="E3375">
        <v>89.76</v>
      </c>
      <c r="F3375">
        <v>3055300</v>
      </c>
      <c r="G3375">
        <v>88.72</v>
      </c>
      <c r="H3375" t="s">
        <v>16</v>
      </c>
      <c r="I3375" s="22">
        <f t="shared" si="105"/>
        <v>1.3960841923938374E-2</v>
      </c>
      <c r="J3375" s="22" t="str">
        <f t="shared" si="106"/>
        <v/>
      </c>
    </row>
    <row r="3376" spans="1:10">
      <c r="A3376" s="1">
        <v>40920</v>
      </c>
      <c r="B3376">
        <v>90.08</v>
      </c>
      <c r="C3376">
        <v>91.4</v>
      </c>
      <c r="D3376">
        <v>89.89</v>
      </c>
      <c r="E3376">
        <v>91.19</v>
      </c>
      <c r="F3376">
        <v>3324400</v>
      </c>
      <c r="G3376">
        <v>90.14</v>
      </c>
      <c r="H3376" t="s">
        <v>16</v>
      </c>
      <c r="I3376" s="22">
        <f t="shared" si="105"/>
        <v>1.5878674220390576E-2</v>
      </c>
      <c r="J3376" s="22" t="str">
        <f t="shared" si="106"/>
        <v/>
      </c>
    </row>
    <row r="3377" spans="1:10">
      <c r="A3377" s="1">
        <v>40921</v>
      </c>
      <c r="B3377">
        <v>90.02</v>
      </c>
      <c r="C3377">
        <v>90.5</v>
      </c>
      <c r="D3377">
        <v>88.85</v>
      </c>
      <c r="E3377">
        <v>90.37</v>
      </c>
      <c r="F3377">
        <v>2659800</v>
      </c>
      <c r="G3377">
        <v>89.33</v>
      </c>
      <c r="H3377" t="s">
        <v>16</v>
      </c>
      <c r="I3377" s="22">
        <f t="shared" si="105"/>
        <v>-9.0266395487545621E-3</v>
      </c>
      <c r="J3377" s="22" t="str">
        <f t="shared" si="106"/>
        <v/>
      </c>
    </row>
    <row r="3378" spans="1:10">
      <c r="A3378" s="1">
        <v>40925</v>
      </c>
      <c r="B3378">
        <v>90.14</v>
      </c>
      <c r="C3378">
        <v>90.86</v>
      </c>
      <c r="D3378">
        <v>89.07</v>
      </c>
      <c r="E3378">
        <v>89.98</v>
      </c>
      <c r="F3378">
        <v>2424800</v>
      </c>
      <c r="G3378">
        <v>88.94</v>
      </c>
      <c r="H3378" t="s">
        <v>16</v>
      </c>
      <c r="I3378" s="22">
        <f t="shared" si="105"/>
        <v>-4.3753926311973787E-3</v>
      </c>
      <c r="J3378" s="22" t="str">
        <f t="shared" si="106"/>
        <v>lost money</v>
      </c>
    </row>
    <row r="3379" spans="1:10">
      <c r="A3379" s="1">
        <v>40926</v>
      </c>
      <c r="B3379">
        <v>90.05</v>
      </c>
      <c r="C3379">
        <v>91.46</v>
      </c>
      <c r="D3379">
        <v>89.88</v>
      </c>
      <c r="E3379">
        <v>91.14</v>
      </c>
      <c r="F3379">
        <v>2189600</v>
      </c>
      <c r="G3379">
        <v>90.09</v>
      </c>
      <c r="H3379" t="s">
        <v>16</v>
      </c>
      <c r="I3379" s="22">
        <f t="shared" si="105"/>
        <v>1.2847185580798238E-2</v>
      </c>
      <c r="J3379" s="22" t="str">
        <f t="shared" si="106"/>
        <v/>
      </c>
    </row>
    <row r="3380" spans="1:10">
      <c r="A3380" s="1">
        <v>40927</v>
      </c>
      <c r="B3380">
        <v>91.68</v>
      </c>
      <c r="C3380">
        <v>93.52</v>
      </c>
      <c r="D3380">
        <v>91.45</v>
      </c>
      <c r="E3380">
        <v>93.04</v>
      </c>
      <c r="F3380">
        <v>2781500</v>
      </c>
      <c r="G3380">
        <v>91.97</v>
      </c>
      <c r="H3380" t="s">
        <v>16</v>
      </c>
      <c r="I3380" s="22">
        <f t="shared" si="105"/>
        <v>2.0653266251257522E-2</v>
      </c>
      <c r="J3380" s="22" t="str">
        <f t="shared" si="106"/>
        <v/>
      </c>
    </row>
    <row r="3381" spans="1:10">
      <c r="A3381" s="1">
        <v>40928</v>
      </c>
      <c r="B3381">
        <v>92.59</v>
      </c>
      <c r="C3381">
        <v>92.6</v>
      </c>
      <c r="D3381">
        <v>91.25</v>
      </c>
      <c r="E3381">
        <v>91.57</v>
      </c>
      <c r="F3381">
        <v>2448100</v>
      </c>
      <c r="G3381">
        <v>90.51</v>
      </c>
      <c r="H3381" t="s">
        <v>16</v>
      </c>
      <c r="I3381" s="22">
        <f t="shared" si="105"/>
        <v>-1.6002095075526718E-2</v>
      </c>
      <c r="J3381" s="22" t="str">
        <f t="shared" si="106"/>
        <v>lost money</v>
      </c>
    </row>
    <row r="3382" spans="1:10">
      <c r="A3382" s="1">
        <v>40931</v>
      </c>
      <c r="B3382">
        <v>91.74</v>
      </c>
      <c r="C3382">
        <v>92.52</v>
      </c>
      <c r="D3382">
        <v>90.52</v>
      </c>
      <c r="E3382">
        <v>91.06</v>
      </c>
      <c r="F3382">
        <v>1662900</v>
      </c>
      <c r="G3382">
        <v>90.01</v>
      </c>
      <c r="H3382" t="s">
        <v>16</v>
      </c>
      <c r="I3382" s="22">
        <f t="shared" si="105"/>
        <v>-5.5395665700855527E-3</v>
      </c>
      <c r="J3382" s="22" t="str">
        <f t="shared" si="106"/>
        <v>lost money</v>
      </c>
    </row>
    <row r="3383" spans="1:10">
      <c r="A3383" s="1">
        <v>40932</v>
      </c>
      <c r="B3383">
        <v>90.4</v>
      </c>
      <c r="C3383">
        <v>91.2</v>
      </c>
      <c r="D3383">
        <v>89.67</v>
      </c>
      <c r="E3383">
        <v>90.79</v>
      </c>
      <c r="F3383">
        <v>1467800</v>
      </c>
      <c r="G3383">
        <v>89.74</v>
      </c>
      <c r="H3383" t="s">
        <v>16</v>
      </c>
      <c r="I3383" s="22">
        <f t="shared" si="105"/>
        <v>-3.0041747211566722E-3</v>
      </c>
      <c r="J3383" s="22" t="str">
        <f t="shared" si="106"/>
        <v/>
      </c>
    </row>
    <row r="3384" spans="1:10">
      <c r="A3384" s="1">
        <v>40933</v>
      </c>
      <c r="B3384">
        <v>90.69</v>
      </c>
      <c r="C3384">
        <v>92.63</v>
      </c>
      <c r="D3384">
        <v>90.07</v>
      </c>
      <c r="E3384">
        <v>92.59</v>
      </c>
      <c r="F3384">
        <v>1727400</v>
      </c>
      <c r="G3384">
        <v>91.52</v>
      </c>
      <c r="H3384" t="s">
        <v>16</v>
      </c>
      <c r="I3384" s="22">
        <f t="shared" si="105"/>
        <v>1.9640927083650485E-2</v>
      </c>
      <c r="J3384" s="22" t="str">
        <f t="shared" si="106"/>
        <v/>
      </c>
    </row>
    <row r="3385" spans="1:10">
      <c r="A3385" s="1">
        <v>40934</v>
      </c>
      <c r="B3385">
        <v>92.75</v>
      </c>
      <c r="C3385">
        <v>93.5</v>
      </c>
      <c r="D3385">
        <v>92.27</v>
      </c>
      <c r="E3385">
        <v>92.74</v>
      </c>
      <c r="F3385">
        <v>1659200</v>
      </c>
      <c r="G3385">
        <v>91.67</v>
      </c>
      <c r="H3385" t="s">
        <v>16</v>
      </c>
      <c r="I3385" s="22">
        <f t="shared" si="105"/>
        <v>1.637644342196502E-3</v>
      </c>
      <c r="J3385" s="22" t="str">
        <f t="shared" si="106"/>
        <v>lost money</v>
      </c>
    </row>
    <row r="3386" spans="1:10">
      <c r="A3386" s="1">
        <v>40935</v>
      </c>
      <c r="B3386">
        <v>92.24</v>
      </c>
      <c r="C3386">
        <v>93.48</v>
      </c>
      <c r="D3386">
        <v>91.78</v>
      </c>
      <c r="E3386">
        <v>92.95</v>
      </c>
      <c r="F3386">
        <v>1910600</v>
      </c>
      <c r="G3386">
        <v>91.88</v>
      </c>
      <c r="H3386" t="s">
        <v>16</v>
      </c>
      <c r="I3386" s="22">
        <f t="shared" si="105"/>
        <v>2.2882058472131974E-3</v>
      </c>
      <c r="J3386" s="22" t="str">
        <f t="shared" si="106"/>
        <v/>
      </c>
    </row>
    <row r="3387" spans="1:10">
      <c r="A3387" s="1">
        <v>40938</v>
      </c>
      <c r="B3387">
        <v>92.11</v>
      </c>
      <c r="C3387">
        <v>92.34</v>
      </c>
      <c r="D3387">
        <v>91.5</v>
      </c>
      <c r="E3387">
        <v>92.16</v>
      </c>
      <c r="F3387">
        <v>1723400</v>
      </c>
      <c r="G3387">
        <v>91.1</v>
      </c>
      <c r="H3387" t="s">
        <v>16</v>
      </c>
      <c r="I3387" s="22">
        <f t="shared" si="105"/>
        <v>-8.525573554984834E-3</v>
      </c>
      <c r="J3387" s="22" t="str">
        <f t="shared" si="106"/>
        <v/>
      </c>
    </row>
    <row r="3388" spans="1:10">
      <c r="A3388" s="1">
        <v>40939</v>
      </c>
      <c r="B3388">
        <v>92.33</v>
      </c>
      <c r="C3388">
        <v>92.33</v>
      </c>
      <c r="D3388">
        <v>90.42</v>
      </c>
      <c r="E3388">
        <v>91.49</v>
      </c>
      <c r="F3388">
        <v>1723900</v>
      </c>
      <c r="G3388">
        <v>90.43</v>
      </c>
      <c r="H3388" t="s">
        <v>16</v>
      </c>
      <c r="I3388" s="22">
        <f t="shared" si="105"/>
        <v>-7.3817335135237146E-3</v>
      </c>
      <c r="J3388" s="22" t="str">
        <f t="shared" si="106"/>
        <v>lost money</v>
      </c>
    </row>
    <row r="3389" spans="1:10">
      <c r="A3389" s="1">
        <v>40940</v>
      </c>
      <c r="B3389">
        <v>92.79</v>
      </c>
      <c r="C3389">
        <v>93.24</v>
      </c>
      <c r="D3389">
        <v>91.99</v>
      </c>
      <c r="E3389">
        <v>92.7</v>
      </c>
      <c r="F3389">
        <v>2013800</v>
      </c>
      <c r="G3389">
        <v>91.63</v>
      </c>
      <c r="H3389" t="s">
        <v>16</v>
      </c>
      <c r="I3389" s="22">
        <f t="shared" si="105"/>
        <v>1.3182658224732895E-2</v>
      </c>
      <c r="J3389" s="22" t="str">
        <f t="shared" si="106"/>
        <v>lost money</v>
      </c>
    </row>
    <row r="3390" spans="1:10">
      <c r="A3390" s="1">
        <v>40941</v>
      </c>
      <c r="B3390">
        <v>93.07</v>
      </c>
      <c r="C3390">
        <v>93.44</v>
      </c>
      <c r="D3390">
        <v>92.08</v>
      </c>
      <c r="E3390">
        <v>92.79</v>
      </c>
      <c r="F3390">
        <v>1299700</v>
      </c>
      <c r="G3390">
        <v>91.72</v>
      </c>
      <c r="H3390" t="s">
        <v>16</v>
      </c>
      <c r="I3390" s="22">
        <f t="shared" si="105"/>
        <v>9.8172901258188755E-4</v>
      </c>
      <c r="J3390" s="22" t="str">
        <f t="shared" si="106"/>
        <v>lost money</v>
      </c>
    </row>
    <row r="3391" spans="1:10">
      <c r="A3391" s="1">
        <v>40942</v>
      </c>
      <c r="B3391">
        <v>93.77</v>
      </c>
      <c r="C3391">
        <v>94.54</v>
      </c>
      <c r="D3391">
        <v>93.61</v>
      </c>
      <c r="E3391">
        <v>94.54</v>
      </c>
      <c r="F3391">
        <v>1620600</v>
      </c>
      <c r="G3391">
        <v>93.45</v>
      </c>
      <c r="H3391" t="s">
        <v>16</v>
      </c>
      <c r="I3391" s="22">
        <f t="shared" si="105"/>
        <v>1.8686075911868102E-2</v>
      </c>
      <c r="J3391" s="22" t="str">
        <f t="shared" si="106"/>
        <v/>
      </c>
    </row>
    <row r="3392" spans="1:10">
      <c r="A3392" s="1">
        <v>40945</v>
      </c>
      <c r="B3392">
        <v>94.56</v>
      </c>
      <c r="C3392">
        <v>95.6</v>
      </c>
      <c r="D3392">
        <v>94.52</v>
      </c>
      <c r="E3392">
        <v>95.25</v>
      </c>
      <c r="F3392">
        <v>2122700</v>
      </c>
      <c r="G3392">
        <v>94.15</v>
      </c>
      <c r="H3392" t="s">
        <v>16</v>
      </c>
      <c r="I3392" s="22">
        <f t="shared" si="105"/>
        <v>7.4627212015895943E-3</v>
      </c>
      <c r="J3392" s="22" t="str">
        <f t="shared" si="106"/>
        <v/>
      </c>
    </row>
    <row r="3393" spans="1:10">
      <c r="A3393" s="1">
        <v>40946</v>
      </c>
      <c r="B3393">
        <v>94.55</v>
      </c>
      <c r="C3393">
        <v>95.09</v>
      </c>
      <c r="D3393">
        <v>93.6</v>
      </c>
      <c r="E3393">
        <v>94.72</v>
      </c>
      <c r="F3393">
        <v>1837500</v>
      </c>
      <c r="G3393">
        <v>93.63</v>
      </c>
      <c r="H3393" t="s">
        <v>16</v>
      </c>
      <c r="I3393" s="22">
        <f t="shared" si="105"/>
        <v>-5.538410152363801E-3</v>
      </c>
      <c r="J3393" s="22" t="str">
        <f t="shared" si="106"/>
        <v/>
      </c>
    </row>
    <row r="3394" spans="1:10">
      <c r="A3394" s="1">
        <v>40947</v>
      </c>
      <c r="B3394">
        <v>94.95</v>
      </c>
      <c r="C3394">
        <v>95.33</v>
      </c>
      <c r="D3394">
        <v>94.04</v>
      </c>
      <c r="E3394">
        <v>94.48</v>
      </c>
      <c r="F3394">
        <v>1361200</v>
      </c>
      <c r="G3394">
        <v>93.39</v>
      </c>
      <c r="H3394" t="s">
        <v>16</v>
      </c>
      <c r="I3394" s="22">
        <f t="shared" si="105"/>
        <v>-2.566571829171178E-3</v>
      </c>
      <c r="J3394" s="22" t="str">
        <f t="shared" si="106"/>
        <v>lost money</v>
      </c>
    </row>
    <row r="3395" spans="1:10">
      <c r="A3395" s="1">
        <v>40948</v>
      </c>
      <c r="B3395">
        <v>94.42</v>
      </c>
      <c r="C3395">
        <v>95.26</v>
      </c>
      <c r="D3395">
        <v>94.25</v>
      </c>
      <c r="E3395">
        <v>94.8</v>
      </c>
      <c r="F3395">
        <v>1573000</v>
      </c>
      <c r="G3395">
        <v>93.7</v>
      </c>
      <c r="H3395" t="s">
        <v>16</v>
      </c>
      <c r="I3395" s="22">
        <f t="shared" ref="I3395:I3458" si="107">IF(A3395=$A$2,"",LN(G3395/G3394))</f>
        <v>3.3139161227500958E-3</v>
      </c>
      <c r="J3395" s="22" t="str">
        <f t="shared" ref="J3395:J3458" si="108">IF(B3395&gt;E3395,"lost money","")</f>
        <v/>
      </c>
    </row>
    <row r="3396" spans="1:10">
      <c r="A3396" s="1">
        <v>40949</v>
      </c>
      <c r="B3396">
        <v>93.89</v>
      </c>
      <c r="C3396">
        <v>95.35</v>
      </c>
      <c r="D3396">
        <v>93.6</v>
      </c>
      <c r="E3396">
        <v>95.27</v>
      </c>
      <c r="F3396">
        <v>1585900</v>
      </c>
      <c r="G3396">
        <v>94.17</v>
      </c>
      <c r="H3396" t="s">
        <v>16</v>
      </c>
      <c r="I3396" s="22">
        <f t="shared" si="107"/>
        <v>5.0034702775952509E-3</v>
      </c>
      <c r="J3396" s="22" t="str">
        <f t="shared" si="108"/>
        <v/>
      </c>
    </row>
    <row r="3397" spans="1:10">
      <c r="A3397" s="1">
        <v>40952</v>
      </c>
      <c r="B3397">
        <v>95.8</v>
      </c>
      <c r="C3397">
        <v>97.19</v>
      </c>
      <c r="D3397">
        <v>95.65</v>
      </c>
      <c r="E3397">
        <v>96.98</v>
      </c>
      <c r="F3397">
        <v>2120500</v>
      </c>
      <c r="G3397">
        <v>95.86</v>
      </c>
      <c r="H3397" t="s">
        <v>16</v>
      </c>
      <c r="I3397" s="22">
        <f t="shared" si="107"/>
        <v>1.7787134209513274E-2</v>
      </c>
      <c r="J3397" s="22" t="str">
        <f t="shared" si="108"/>
        <v/>
      </c>
    </row>
    <row r="3398" spans="1:10">
      <c r="A3398" s="1">
        <v>40953</v>
      </c>
      <c r="B3398">
        <v>96.52</v>
      </c>
      <c r="C3398">
        <v>96.98</v>
      </c>
      <c r="D3398">
        <v>94.84</v>
      </c>
      <c r="E3398">
        <v>95.55</v>
      </c>
      <c r="F3398">
        <v>2307200</v>
      </c>
      <c r="G3398">
        <v>94.45</v>
      </c>
      <c r="H3398" t="s">
        <v>16</v>
      </c>
      <c r="I3398" s="22">
        <f t="shared" si="107"/>
        <v>-1.4818199783966599E-2</v>
      </c>
      <c r="J3398" s="22" t="str">
        <f t="shared" si="108"/>
        <v>lost money</v>
      </c>
    </row>
    <row r="3399" spans="1:10">
      <c r="A3399" s="1">
        <v>40954</v>
      </c>
      <c r="B3399">
        <v>95.97</v>
      </c>
      <c r="C3399">
        <v>95.97</v>
      </c>
      <c r="D3399">
        <v>93.7</v>
      </c>
      <c r="E3399">
        <v>94.15</v>
      </c>
      <c r="F3399">
        <v>1714300</v>
      </c>
      <c r="G3399">
        <v>93.06</v>
      </c>
      <c r="H3399" t="s">
        <v>16</v>
      </c>
      <c r="I3399" s="22">
        <f t="shared" si="107"/>
        <v>-1.4826147531016104E-2</v>
      </c>
      <c r="J3399" s="22" t="str">
        <f t="shared" si="108"/>
        <v>lost money</v>
      </c>
    </row>
    <row r="3400" spans="1:10">
      <c r="A3400" s="1">
        <v>40955</v>
      </c>
      <c r="B3400">
        <v>93.99</v>
      </c>
      <c r="C3400">
        <v>95.33</v>
      </c>
      <c r="D3400">
        <v>93.99</v>
      </c>
      <c r="E3400">
        <v>95</v>
      </c>
      <c r="F3400">
        <v>1847900</v>
      </c>
      <c r="G3400">
        <v>93.9</v>
      </c>
      <c r="H3400" t="s">
        <v>16</v>
      </c>
      <c r="I3400" s="22">
        <f t="shared" si="107"/>
        <v>8.9859397977148214E-3</v>
      </c>
      <c r="J3400" s="22" t="str">
        <f t="shared" si="108"/>
        <v/>
      </c>
    </row>
    <row r="3401" spans="1:10">
      <c r="A3401" s="1">
        <v>40956</v>
      </c>
      <c r="B3401">
        <v>95.73</v>
      </c>
      <c r="C3401">
        <v>95.84</v>
      </c>
      <c r="D3401">
        <v>92.51</v>
      </c>
      <c r="E3401">
        <v>92.99</v>
      </c>
      <c r="F3401">
        <v>5154300</v>
      </c>
      <c r="G3401">
        <v>91.92</v>
      </c>
      <c r="H3401" t="s">
        <v>16</v>
      </c>
      <c r="I3401" s="22">
        <f t="shared" si="107"/>
        <v>-2.1311752673717058E-2</v>
      </c>
      <c r="J3401" s="22" t="str">
        <f t="shared" si="108"/>
        <v>lost money</v>
      </c>
    </row>
    <row r="3402" spans="1:10">
      <c r="A3402" s="1">
        <v>40960</v>
      </c>
      <c r="B3402">
        <v>93.11</v>
      </c>
      <c r="C3402">
        <v>93.15</v>
      </c>
      <c r="D3402">
        <v>90.41</v>
      </c>
      <c r="E3402">
        <v>91.01</v>
      </c>
      <c r="F3402">
        <v>3594300</v>
      </c>
      <c r="G3402">
        <v>89.96</v>
      </c>
      <c r="H3402" t="s">
        <v>16</v>
      </c>
      <c r="I3402" s="22">
        <f t="shared" si="107"/>
        <v>-2.1553506449385397E-2</v>
      </c>
      <c r="J3402" s="22" t="str">
        <f t="shared" si="108"/>
        <v>lost money</v>
      </c>
    </row>
    <row r="3403" spans="1:10">
      <c r="A3403" s="1">
        <v>40961</v>
      </c>
      <c r="B3403">
        <v>90.74</v>
      </c>
      <c r="C3403">
        <v>91.84</v>
      </c>
      <c r="D3403">
        <v>90.66</v>
      </c>
      <c r="E3403">
        <v>90.75</v>
      </c>
      <c r="F3403">
        <v>1843300</v>
      </c>
      <c r="G3403">
        <v>89.7</v>
      </c>
      <c r="H3403" t="s">
        <v>16</v>
      </c>
      <c r="I3403" s="22">
        <f t="shared" si="107"/>
        <v>-2.8943580263644146E-3</v>
      </c>
      <c r="J3403" s="22" t="str">
        <f t="shared" si="108"/>
        <v/>
      </c>
    </row>
    <row r="3404" spans="1:10">
      <c r="A3404" s="1">
        <v>40962</v>
      </c>
      <c r="B3404">
        <v>91.2</v>
      </c>
      <c r="C3404">
        <v>92.3</v>
      </c>
      <c r="D3404">
        <v>90.5</v>
      </c>
      <c r="E3404">
        <v>91.97</v>
      </c>
      <c r="F3404">
        <v>1568300</v>
      </c>
      <c r="G3404">
        <v>90.91</v>
      </c>
      <c r="H3404" t="s">
        <v>16</v>
      </c>
      <c r="I3404" s="22">
        <f t="shared" si="107"/>
        <v>1.3399237069016273E-2</v>
      </c>
      <c r="J3404" s="22" t="str">
        <f t="shared" si="108"/>
        <v/>
      </c>
    </row>
    <row r="3405" spans="1:10">
      <c r="A3405" s="1">
        <v>40963</v>
      </c>
      <c r="B3405">
        <v>91.99</v>
      </c>
      <c r="C3405">
        <v>92.22</v>
      </c>
      <c r="D3405">
        <v>89.84</v>
      </c>
      <c r="E3405">
        <v>90.24</v>
      </c>
      <c r="F3405">
        <v>2300300</v>
      </c>
      <c r="G3405">
        <v>89.2</v>
      </c>
      <c r="H3405" t="s">
        <v>16</v>
      </c>
      <c r="I3405" s="22">
        <f t="shared" si="107"/>
        <v>-1.8988966547803077E-2</v>
      </c>
      <c r="J3405" s="22" t="str">
        <f t="shared" si="108"/>
        <v>lost money</v>
      </c>
    </row>
    <row r="3406" spans="1:10">
      <c r="A3406" s="1">
        <v>40966</v>
      </c>
      <c r="B3406">
        <v>89.53</v>
      </c>
      <c r="C3406">
        <v>92.43</v>
      </c>
      <c r="D3406">
        <v>89.42</v>
      </c>
      <c r="E3406">
        <v>91.36</v>
      </c>
      <c r="F3406">
        <v>2105400</v>
      </c>
      <c r="G3406">
        <v>90.3</v>
      </c>
      <c r="H3406" t="s">
        <v>16</v>
      </c>
      <c r="I3406" s="22">
        <f t="shared" si="107"/>
        <v>1.2256420836976022E-2</v>
      </c>
      <c r="J3406" s="22" t="str">
        <f t="shared" si="108"/>
        <v/>
      </c>
    </row>
    <row r="3407" spans="1:10">
      <c r="A3407" s="1">
        <v>40967</v>
      </c>
      <c r="B3407">
        <v>91.43</v>
      </c>
      <c r="C3407">
        <v>91.91</v>
      </c>
      <c r="D3407">
        <v>90.4</v>
      </c>
      <c r="E3407">
        <v>90.98</v>
      </c>
      <c r="F3407">
        <v>2204400</v>
      </c>
      <c r="G3407">
        <v>89.93</v>
      </c>
      <c r="H3407" t="s">
        <v>16</v>
      </c>
      <c r="I3407" s="22">
        <f t="shared" si="107"/>
        <v>-4.105870496515532E-3</v>
      </c>
      <c r="J3407" s="22" t="str">
        <f t="shared" si="108"/>
        <v>lost money</v>
      </c>
    </row>
    <row r="3408" spans="1:10">
      <c r="A3408" s="1">
        <v>40968</v>
      </c>
      <c r="B3408">
        <v>90.98</v>
      </c>
      <c r="C3408">
        <v>91.85</v>
      </c>
      <c r="D3408">
        <v>89.77</v>
      </c>
      <c r="E3408">
        <v>89.99</v>
      </c>
      <c r="F3408">
        <v>2953200</v>
      </c>
      <c r="G3408">
        <v>88.95</v>
      </c>
      <c r="H3408" t="s">
        <v>16</v>
      </c>
      <c r="I3408" s="22">
        <f t="shared" si="107"/>
        <v>-1.0957175814580035E-2</v>
      </c>
      <c r="J3408" s="22" t="str">
        <f t="shared" si="108"/>
        <v>lost money</v>
      </c>
    </row>
    <row r="3409" spans="1:10">
      <c r="A3409" s="1">
        <v>40969</v>
      </c>
      <c r="B3409">
        <v>90.15</v>
      </c>
      <c r="C3409">
        <v>91.76</v>
      </c>
      <c r="D3409">
        <v>90.15</v>
      </c>
      <c r="E3409">
        <v>91.12</v>
      </c>
      <c r="F3409">
        <v>2019300</v>
      </c>
      <c r="G3409">
        <v>90.07</v>
      </c>
      <c r="H3409" t="s">
        <v>16</v>
      </c>
      <c r="I3409" s="22">
        <f t="shared" si="107"/>
        <v>1.2512731683807267E-2</v>
      </c>
      <c r="J3409" s="22" t="str">
        <f t="shared" si="108"/>
        <v/>
      </c>
    </row>
    <row r="3410" spans="1:10">
      <c r="A3410" s="1">
        <v>40970</v>
      </c>
      <c r="B3410">
        <v>91.17</v>
      </c>
      <c r="C3410">
        <v>91.68</v>
      </c>
      <c r="D3410">
        <v>90.51</v>
      </c>
      <c r="E3410">
        <v>90.78</v>
      </c>
      <c r="F3410">
        <v>1147400</v>
      </c>
      <c r="G3410">
        <v>89.73</v>
      </c>
      <c r="H3410" t="s">
        <v>16</v>
      </c>
      <c r="I3410" s="22">
        <f t="shared" si="107"/>
        <v>-3.7819844856849926E-3</v>
      </c>
      <c r="J3410" s="22" t="str">
        <f t="shared" si="108"/>
        <v>lost money</v>
      </c>
    </row>
    <row r="3411" spans="1:10">
      <c r="A3411" s="1">
        <v>40973</v>
      </c>
      <c r="B3411">
        <v>90.58</v>
      </c>
      <c r="C3411">
        <v>90.73</v>
      </c>
      <c r="D3411">
        <v>89.8</v>
      </c>
      <c r="E3411">
        <v>90.43</v>
      </c>
      <c r="F3411">
        <v>1263100</v>
      </c>
      <c r="G3411">
        <v>89.39</v>
      </c>
      <c r="H3411" t="s">
        <v>16</v>
      </c>
      <c r="I3411" s="22">
        <f t="shared" si="107"/>
        <v>-3.7963422102051956E-3</v>
      </c>
      <c r="J3411" s="22" t="str">
        <f t="shared" si="108"/>
        <v>lost money</v>
      </c>
    </row>
    <row r="3412" spans="1:10">
      <c r="A3412" s="1">
        <v>40974</v>
      </c>
      <c r="B3412">
        <v>89.11</v>
      </c>
      <c r="C3412">
        <v>89.37</v>
      </c>
      <c r="D3412">
        <v>88.03</v>
      </c>
      <c r="E3412">
        <v>88.75</v>
      </c>
      <c r="F3412">
        <v>2257900</v>
      </c>
      <c r="G3412">
        <v>87.72</v>
      </c>
      <c r="H3412" t="s">
        <v>16</v>
      </c>
      <c r="I3412" s="22">
        <f t="shared" si="107"/>
        <v>-1.8858895550073824E-2</v>
      </c>
      <c r="J3412" s="22" t="str">
        <f t="shared" si="108"/>
        <v>lost money</v>
      </c>
    </row>
    <row r="3413" spans="1:10">
      <c r="A3413" s="1">
        <v>40975</v>
      </c>
      <c r="B3413">
        <v>89.23</v>
      </c>
      <c r="C3413">
        <v>90.18</v>
      </c>
      <c r="D3413">
        <v>89.03</v>
      </c>
      <c r="E3413">
        <v>89.76</v>
      </c>
      <c r="F3413">
        <v>1724800</v>
      </c>
      <c r="G3413">
        <v>88.72</v>
      </c>
      <c r="H3413" t="s">
        <v>16</v>
      </c>
      <c r="I3413" s="22">
        <f t="shared" si="107"/>
        <v>1.1335419492424052E-2</v>
      </c>
      <c r="J3413" s="22" t="str">
        <f t="shared" si="108"/>
        <v/>
      </c>
    </row>
    <row r="3414" spans="1:10">
      <c r="A3414" s="1">
        <v>40976</v>
      </c>
      <c r="B3414">
        <v>90.62</v>
      </c>
      <c r="C3414">
        <v>91.5</v>
      </c>
      <c r="D3414">
        <v>89.67</v>
      </c>
      <c r="E3414">
        <v>90.99</v>
      </c>
      <c r="F3414">
        <v>2103400</v>
      </c>
      <c r="G3414">
        <v>90.07</v>
      </c>
      <c r="H3414" t="s">
        <v>16</v>
      </c>
      <c r="I3414" s="22">
        <f t="shared" si="107"/>
        <v>1.5101802753539784E-2</v>
      </c>
      <c r="J3414" s="22" t="str">
        <f t="shared" si="108"/>
        <v/>
      </c>
    </row>
    <row r="3415" spans="1:10">
      <c r="A3415" s="1">
        <v>40977</v>
      </c>
      <c r="B3415">
        <v>91.44</v>
      </c>
      <c r="C3415">
        <v>92.19</v>
      </c>
      <c r="D3415">
        <v>90.07</v>
      </c>
      <c r="E3415">
        <v>91.79</v>
      </c>
      <c r="F3415">
        <v>1801100</v>
      </c>
      <c r="G3415">
        <v>90.86</v>
      </c>
      <c r="H3415" t="s">
        <v>16</v>
      </c>
      <c r="I3415" s="22">
        <f t="shared" si="107"/>
        <v>8.7327145356059215E-3</v>
      </c>
      <c r="J3415" s="22" t="str">
        <f t="shared" si="108"/>
        <v/>
      </c>
    </row>
    <row r="3416" spans="1:10">
      <c r="A3416" s="1">
        <v>40980</v>
      </c>
      <c r="B3416">
        <v>91.83</v>
      </c>
      <c r="C3416">
        <v>91.93</v>
      </c>
      <c r="D3416">
        <v>90.36</v>
      </c>
      <c r="E3416">
        <v>91.33</v>
      </c>
      <c r="F3416">
        <v>1408600</v>
      </c>
      <c r="G3416">
        <v>90.41</v>
      </c>
      <c r="H3416" t="s">
        <v>16</v>
      </c>
      <c r="I3416" s="22">
        <f t="shared" si="107"/>
        <v>-4.9649795819821981E-3</v>
      </c>
      <c r="J3416" s="22" t="str">
        <f t="shared" si="108"/>
        <v>lost money</v>
      </c>
    </row>
    <row r="3417" spans="1:10">
      <c r="A3417" s="1">
        <v>40981</v>
      </c>
      <c r="B3417">
        <v>92</v>
      </c>
      <c r="C3417">
        <v>92.97</v>
      </c>
      <c r="D3417">
        <v>91.4</v>
      </c>
      <c r="E3417">
        <v>92.88</v>
      </c>
      <c r="F3417">
        <v>1625000</v>
      </c>
      <c r="G3417">
        <v>91.94</v>
      </c>
      <c r="H3417" t="s">
        <v>16</v>
      </c>
      <c r="I3417" s="22">
        <f t="shared" si="107"/>
        <v>1.6781309628806928E-2</v>
      </c>
      <c r="J3417" s="22" t="str">
        <f t="shared" si="108"/>
        <v/>
      </c>
    </row>
    <row r="3418" spans="1:10">
      <c r="A3418" s="1">
        <v>40982</v>
      </c>
      <c r="B3418">
        <v>92.9</v>
      </c>
      <c r="C3418">
        <v>92.97</v>
      </c>
      <c r="D3418">
        <v>91.45</v>
      </c>
      <c r="E3418">
        <v>92.2</v>
      </c>
      <c r="F3418">
        <v>1434600</v>
      </c>
      <c r="G3418">
        <v>91.27</v>
      </c>
      <c r="H3418" t="s">
        <v>16</v>
      </c>
      <c r="I3418" s="22">
        <f t="shared" si="107"/>
        <v>-7.3140438492960754E-3</v>
      </c>
      <c r="J3418" s="22" t="str">
        <f t="shared" si="108"/>
        <v>lost money</v>
      </c>
    </row>
    <row r="3419" spans="1:10">
      <c r="A3419" s="1">
        <v>40983</v>
      </c>
      <c r="B3419">
        <v>92.5</v>
      </c>
      <c r="C3419">
        <v>95.04</v>
      </c>
      <c r="D3419">
        <v>92.34</v>
      </c>
      <c r="E3419">
        <v>94.61</v>
      </c>
      <c r="F3419">
        <v>2629000</v>
      </c>
      <c r="G3419">
        <v>93.65</v>
      </c>
      <c r="H3419" t="s">
        <v>16</v>
      </c>
      <c r="I3419" s="22">
        <f t="shared" si="107"/>
        <v>2.5742282361311757E-2</v>
      </c>
      <c r="J3419" s="22" t="str">
        <f t="shared" si="108"/>
        <v/>
      </c>
    </row>
    <row r="3420" spans="1:10">
      <c r="A3420" s="1">
        <v>40984</v>
      </c>
      <c r="B3420">
        <v>94.86</v>
      </c>
      <c r="C3420">
        <v>95.08</v>
      </c>
      <c r="D3420">
        <v>93.57</v>
      </c>
      <c r="E3420">
        <v>94.34</v>
      </c>
      <c r="F3420">
        <v>2477000</v>
      </c>
      <c r="G3420">
        <v>93.39</v>
      </c>
      <c r="H3420" t="s">
        <v>16</v>
      </c>
      <c r="I3420" s="22">
        <f t="shared" si="107"/>
        <v>-2.7801557684710683E-3</v>
      </c>
      <c r="J3420" s="22" t="str">
        <f t="shared" si="108"/>
        <v>lost money</v>
      </c>
    </row>
    <row r="3421" spans="1:10">
      <c r="A3421" s="1">
        <v>40987</v>
      </c>
      <c r="B3421">
        <v>95.87</v>
      </c>
      <c r="C3421">
        <v>95.98</v>
      </c>
      <c r="D3421">
        <v>94.49</v>
      </c>
      <c r="E3421">
        <v>94.89</v>
      </c>
      <c r="F3421">
        <v>2442300</v>
      </c>
      <c r="G3421">
        <v>93.93</v>
      </c>
      <c r="H3421" t="s">
        <v>16</v>
      </c>
      <c r="I3421" s="22">
        <f t="shared" si="107"/>
        <v>5.7655508847974882E-3</v>
      </c>
      <c r="J3421" s="22" t="str">
        <f t="shared" si="108"/>
        <v>lost money</v>
      </c>
    </row>
    <row r="3422" spans="1:10">
      <c r="A3422" s="1">
        <v>40988</v>
      </c>
      <c r="B3422">
        <v>94.57</v>
      </c>
      <c r="C3422">
        <v>95.26</v>
      </c>
      <c r="D3422">
        <v>93.88</v>
      </c>
      <c r="E3422">
        <v>94.64</v>
      </c>
      <c r="F3422">
        <v>1637600</v>
      </c>
      <c r="G3422">
        <v>93.68</v>
      </c>
      <c r="H3422" t="s">
        <v>16</v>
      </c>
      <c r="I3422" s="22">
        <f t="shared" si="107"/>
        <v>-2.6651047169621721E-3</v>
      </c>
      <c r="J3422" s="22" t="str">
        <f t="shared" si="108"/>
        <v/>
      </c>
    </row>
    <row r="3423" spans="1:10">
      <c r="A3423" s="1">
        <v>40989</v>
      </c>
      <c r="B3423">
        <v>94.97</v>
      </c>
      <c r="C3423">
        <v>96.89</v>
      </c>
      <c r="D3423">
        <v>94.42</v>
      </c>
      <c r="E3423">
        <v>95.82</v>
      </c>
      <c r="F3423">
        <v>4099600</v>
      </c>
      <c r="G3423">
        <v>94.85</v>
      </c>
      <c r="H3423" t="s">
        <v>16</v>
      </c>
      <c r="I3423" s="22">
        <f t="shared" si="107"/>
        <v>1.2411977091561105E-2</v>
      </c>
      <c r="J3423" s="22" t="str">
        <f t="shared" si="108"/>
        <v/>
      </c>
    </row>
    <row r="3424" spans="1:10">
      <c r="A3424" s="1">
        <v>40990</v>
      </c>
      <c r="B3424">
        <v>93.36</v>
      </c>
      <c r="C3424">
        <v>94.15</v>
      </c>
      <c r="D3424">
        <v>91.26</v>
      </c>
      <c r="E3424">
        <v>92.5</v>
      </c>
      <c r="F3424">
        <v>6667800</v>
      </c>
      <c r="G3424">
        <v>91.56</v>
      </c>
      <c r="H3424" t="s">
        <v>16</v>
      </c>
      <c r="I3424" s="22">
        <f t="shared" si="107"/>
        <v>-3.5302201296657121E-2</v>
      </c>
      <c r="J3424" s="22" t="str">
        <f t="shared" si="108"/>
        <v>lost money</v>
      </c>
    </row>
    <row r="3425" spans="1:10">
      <c r="A3425" s="1">
        <v>40991</v>
      </c>
      <c r="B3425">
        <v>92.32</v>
      </c>
      <c r="C3425">
        <v>92.52</v>
      </c>
      <c r="D3425">
        <v>90.39</v>
      </c>
      <c r="E3425">
        <v>92.38</v>
      </c>
      <c r="F3425">
        <v>3633800</v>
      </c>
      <c r="G3425">
        <v>91.45</v>
      </c>
      <c r="H3425" t="s">
        <v>16</v>
      </c>
      <c r="I3425" s="22">
        <f t="shared" si="107"/>
        <v>-1.2021202474911924E-3</v>
      </c>
      <c r="J3425" s="22" t="str">
        <f t="shared" si="108"/>
        <v/>
      </c>
    </row>
    <row r="3426" spans="1:10">
      <c r="A3426" s="1">
        <v>40994</v>
      </c>
      <c r="B3426">
        <v>93.15</v>
      </c>
      <c r="C3426">
        <v>93.29</v>
      </c>
      <c r="D3426">
        <v>92.24</v>
      </c>
      <c r="E3426">
        <v>92.77</v>
      </c>
      <c r="F3426">
        <v>3102700</v>
      </c>
      <c r="G3426">
        <v>91.83</v>
      </c>
      <c r="H3426" t="s">
        <v>16</v>
      </c>
      <c r="I3426" s="22">
        <f t="shared" si="107"/>
        <v>4.1466667885561173E-3</v>
      </c>
      <c r="J3426" s="22" t="str">
        <f t="shared" si="108"/>
        <v>lost money</v>
      </c>
    </row>
    <row r="3427" spans="1:10">
      <c r="A3427" s="1">
        <v>40995</v>
      </c>
      <c r="B3427">
        <v>92.92</v>
      </c>
      <c r="C3427">
        <v>93.18</v>
      </c>
      <c r="D3427">
        <v>91.89</v>
      </c>
      <c r="E3427">
        <v>91.9</v>
      </c>
      <c r="F3427">
        <v>2429600</v>
      </c>
      <c r="G3427">
        <v>90.97</v>
      </c>
      <c r="H3427" t="s">
        <v>16</v>
      </c>
      <c r="I3427" s="22">
        <f t="shared" si="107"/>
        <v>-9.4092597914603865E-3</v>
      </c>
      <c r="J3427" s="22" t="str">
        <f t="shared" si="108"/>
        <v>lost money</v>
      </c>
    </row>
    <row r="3428" spans="1:10">
      <c r="A3428" s="1">
        <v>40996</v>
      </c>
      <c r="B3428">
        <v>92.13</v>
      </c>
      <c r="C3428">
        <v>92.23</v>
      </c>
      <c r="D3428">
        <v>90.51</v>
      </c>
      <c r="E3428">
        <v>91.49</v>
      </c>
      <c r="F3428">
        <v>2569800</v>
      </c>
      <c r="G3428">
        <v>90.56</v>
      </c>
      <c r="H3428" t="s">
        <v>16</v>
      </c>
      <c r="I3428" s="22">
        <f t="shared" si="107"/>
        <v>-4.5171673790976377E-3</v>
      </c>
      <c r="J3428" s="22" t="str">
        <f t="shared" si="108"/>
        <v>lost money</v>
      </c>
    </row>
    <row r="3429" spans="1:10">
      <c r="A3429" s="1">
        <v>40997</v>
      </c>
      <c r="B3429">
        <v>90.7</v>
      </c>
      <c r="C3429">
        <v>91.87</v>
      </c>
      <c r="D3429">
        <v>89.9</v>
      </c>
      <c r="E3429">
        <v>91.74</v>
      </c>
      <c r="F3429">
        <v>2118500</v>
      </c>
      <c r="G3429">
        <v>90.81</v>
      </c>
      <c r="H3429" t="s">
        <v>16</v>
      </c>
      <c r="I3429" s="22">
        <f t="shared" si="107"/>
        <v>2.7567972468641871E-3</v>
      </c>
      <c r="J3429" s="22" t="str">
        <f t="shared" si="108"/>
        <v/>
      </c>
    </row>
    <row r="3430" spans="1:10">
      <c r="A3430" s="1">
        <v>40998</v>
      </c>
      <c r="B3430">
        <v>92.08</v>
      </c>
      <c r="C3430">
        <v>92.31</v>
      </c>
      <c r="D3430">
        <v>91.04</v>
      </c>
      <c r="E3430">
        <v>91.96</v>
      </c>
      <c r="F3430">
        <v>1684200</v>
      </c>
      <c r="G3430">
        <v>91.03</v>
      </c>
      <c r="H3430" t="s">
        <v>16</v>
      </c>
      <c r="I3430" s="22">
        <f t="shared" si="107"/>
        <v>2.4197108154604759E-3</v>
      </c>
      <c r="J3430" s="22" t="str">
        <f t="shared" si="108"/>
        <v>lost money</v>
      </c>
    </row>
    <row r="3431" spans="1:10">
      <c r="A3431" s="1">
        <v>41001</v>
      </c>
      <c r="B3431">
        <v>92.04</v>
      </c>
      <c r="C3431">
        <v>92.85</v>
      </c>
      <c r="D3431">
        <v>91.5</v>
      </c>
      <c r="E3431">
        <v>92.19</v>
      </c>
      <c r="F3431">
        <v>1658300</v>
      </c>
      <c r="G3431">
        <v>91.26</v>
      </c>
      <c r="H3431" t="s">
        <v>16</v>
      </c>
      <c r="I3431" s="22">
        <f t="shared" si="107"/>
        <v>2.523452982059156E-3</v>
      </c>
      <c r="J3431" s="22" t="str">
        <f t="shared" si="108"/>
        <v/>
      </c>
    </row>
    <row r="3432" spans="1:10">
      <c r="A3432" s="1">
        <v>41002</v>
      </c>
      <c r="B3432">
        <v>91.97</v>
      </c>
      <c r="C3432">
        <v>92.28</v>
      </c>
      <c r="D3432">
        <v>90.56</v>
      </c>
      <c r="E3432">
        <v>91.49</v>
      </c>
      <c r="F3432">
        <v>1825100</v>
      </c>
      <c r="G3432">
        <v>90.56</v>
      </c>
      <c r="H3432" t="s">
        <v>16</v>
      </c>
      <c r="I3432" s="22">
        <f t="shared" si="107"/>
        <v>-7.6999610443837111E-3</v>
      </c>
      <c r="J3432" s="22" t="str">
        <f t="shared" si="108"/>
        <v>lost money</v>
      </c>
    </row>
    <row r="3433" spans="1:10">
      <c r="A3433" s="1">
        <v>41003</v>
      </c>
      <c r="B3433">
        <v>90.85</v>
      </c>
      <c r="C3433">
        <v>91.08</v>
      </c>
      <c r="D3433">
        <v>90.12</v>
      </c>
      <c r="E3433">
        <v>90.64</v>
      </c>
      <c r="F3433">
        <v>1457900</v>
      </c>
      <c r="G3433">
        <v>89.72</v>
      </c>
      <c r="H3433" t="s">
        <v>16</v>
      </c>
      <c r="I3433" s="22">
        <f t="shared" si="107"/>
        <v>-9.3189048028653014E-3</v>
      </c>
      <c r="J3433" s="22" t="str">
        <f t="shared" si="108"/>
        <v>lost money</v>
      </c>
    </row>
    <row r="3434" spans="1:10">
      <c r="A3434" s="1">
        <v>41004</v>
      </c>
      <c r="B3434">
        <v>90.27</v>
      </c>
      <c r="C3434">
        <v>90.62</v>
      </c>
      <c r="D3434">
        <v>90.03</v>
      </c>
      <c r="E3434">
        <v>90.39</v>
      </c>
      <c r="F3434">
        <v>1230700</v>
      </c>
      <c r="G3434">
        <v>89.48</v>
      </c>
      <c r="H3434" t="s">
        <v>16</v>
      </c>
      <c r="I3434" s="22">
        <f t="shared" si="107"/>
        <v>-2.678573030078625E-3</v>
      </c>
      <c r="J3434" s="22" t="str">
        <f t="shared" si="108"/>
        <v/>
      </c>
    </row>
    <row r="3435" spans="1:10">
      <c r="A3435" s="1">
        <v>41008</v>
      </c>
      <c r="B3435">
        <v>88.9</v>
      </c>
      <c r="C3435">
        <v>89.27</v>
      </c>
      <c r="D3435">
        <v>88.16</v>
      </c>
      <c r="E3435">
        <v>88.47</v>
      </c>
      <c r="F3435">
        <v>2118200</v>
      </c>
      <c r="G3435">
        <v>87.57</v>
      </c>
      <c r="H3435" t="s">
        <v>16</v>
      </c>
      <c r="I3435" s="22">
        <f t="shared" si="107"/>
        <v>-2.157666308779593E-2</v>
      </c>
      <c r="J3435" s="22" t="str">
        <f t="shared" si="108"/>
        <v>lost money</v>
      </c>
    </row>
    <row r="3436" spans="1:10">
      <c r="A3436" s="1">
        <v>41009</v>
      </c>
      <c r="B3436">
        <v>88.15</v>
      </c>
      <c r="C3436">
        <v>88.3</v>
      </c>
      <c r="D3436">
        <v>86.42</v>
      </c>
      <c r="E3436">
        <v>86.63</v>
      </c>
      <c r="F3436">
        <v>2575300</v>
      </c>
      <c r="G3436">
        <v>85.75</v>
      </c>
      <c r="H3436" t="s">
        <v>16</v>
      </c>
      <c r="I3436" s="22">
        <f t="shared" si="107"/>
        <v>-2.1002387488083685E-2</v>
      </c>
      <c r="J3436" s="22" t="str">
        <f t="shared" si="108"/>
        <v>lost money</v>
      </c>
    </row>
    <row r="3437" spans="1:10">
      <c r="A3437" s="1">
        <v>41010</v>
      </c>
      <c r="B3437">
        <v>87.81</v>
      </c>
      <c r="C3437">
        <v>88.5</v>
      </c>
      <c r="D3437">
        <v>87.58</v>
      </c>
      <c r="E3437">
        <v>87.91</v>
      </c>
      <c r="F3437">
        <v>2360400</v>
      </c>
      <c r="G3437">
        <v>87.02</v>
      </c>
      <c r="H3437" t="s">
        <v>16</v>
      </c>
      <c r="I3437" s="22">
        <f t="shared" si="107"/>
        <v>1.4701891246484616E-2</v>
      </c>
      <c r="J3437" s="22" t="str">
        <f t="shared" si="108"/>
        <v/>
      </c>
    </row>
    <row r="3438" spans="1:10">
      <c r="A3438" s="1">
        <v>41011</v>
      </c>
      <c r="B3438">
        <v>88.06</v>
      </c>
      <c r="C3438">
        <v>90.35</v>
      </c>
      <c r="D3438">
        <v>88.04</v>
      </c>
      <c r="E3438">
        <v>89.84</v>
      </c>
      <c r="F3438">
        <v>2631700</v>
      </c>
      <c r="G3438">
        <v>88.93</v>
      </c>
      <c r="H3438" t="s">
        <v>16</v>
      </c>
      <c r="I3438" s="22">
        <f t="shared" si="107"/>
        <v>2.171156611901482E-2</v>
      </c>
      <c r="J3438" s="22" t="str">
        <f t="shared" si="108"/>
        <v/>
      </c>
    </row>
    <row r="3439" spans="1:10">
      <c r="A3439" s="1">
        <v>41012</v>
      </c>
      <c r="B3439">
        <v>89.23</v>
      </c>
      <c r="C3439">
        <v>89.78</v>
      </c>
      <c r="D3439">
        <v>88</v>
      </c>
      <c r="E3439">
        <v>88.03</v>
      </c>
      <c r="F3439">
        <v>2058900</v>
      </c>
      <c r="G3439">
        <v>87.14</v>
      </c>
      <c r="H3439" t="s">
        <v>16</v>
      </c>
      <c r="I3439" s="22">
        <f t="shared" si="107"/>
        <v>-2.0333522722252678E-2</v>
      </c>
      <c r="J3439" s="22" t="str">
        <f t="shared" si="108"/>
        <v>lost money</v>
      </c>
    </row>
    <row r="3440" spans="1:10">
      <c r="A3440" s="1">
        <v>41015</v>
      </c>
      <c r="B3440">
        <v>88.57</v>
      </c>
      <c r="C3440">
        <v>88.9</v>
      </c>
      <c r="D3440">
        <v>87.74</v>
      </c>
      <c r="E3440">
        <v>88.18</v>
      </c>
      <c r="F3440">
        <v>1550400</v>
      </c>
      <c r="G3440">
        <v>87.29</v>
      </c>
      <c r="H3440" t="s">
        <v>16</v>
      </c>
      <c r="I3440" s="22">
        <f t="shared" si="107"/>
        <v>1.7198880579624978E-3</v>
      </c>
      <c r="J3440" s="22" t="str">
        <f t="shared" si="108"/>
        <v>lost money</v>
      </c>
    </row>
    <row r="3441" spans="1:10">
      <c r="A3441" s="1">
        <v>41016</v>
      </c>
      <c r="B3441">
        <v>89</v>
      </c>
      <c r="C3441">
        <v>90.77</v>
      </c>
      <c r="D3441">
        <v>88.74</v>
      </c>
      <c r="E3441">
        <v>90.46</v>
      </c>
      <c r="F3441">
        <v>2306000</v>
      </c>
      <c r="G3441">
        <v>89.54</v>
      </c>
      <c r="H3441" t="s">
        <v>16</v>
      </c>
      <c r="I3441" s="22">
        <f t="shared" si="107"/>
        <v>2.5449544065561054E-2</v>
      </c>
      <c r="J3441" s="22" t="str">
        <f t="shared" si="108"/>
        <v/>
      </c>
    </row>
    <row r="3442" spans="1:10">
      <c r="A3442" s="1">
        <v>41017</v>
      </c>
      <c r="B3442">
        <v>90.25</v>
      </c>
      <c r="C3442">
        <v>90.85</v>
      </c>
      <c r="D3442">
        <v>89.85</v>
      </c>
      <c r="E3442">
        <v>90.39</v>
      </c>
      <c r="F3442">
        <v>1371600</v>
      </c>
      <c r="G3442">
        <v>89.48</v>
      </c>
      <c r="H3442" t="s">
        <v>16</v>
      </c>
      <c r="I3442" s="22">
        <f t="shared" si="107"/>
        <v>-6.7031619089064597E-4</v>
      </c>
      <c r="J3442" s="22" t="str">
        <f t="shared" si="108"/>
        <v/>
      </c>
    </row>
    <row r="3443" spans="1:10">
      <c r="A3443" s="1">
        <v>41018</v>
      </c>
      <c r="B3443">
        <v>90.42</v>
      </c>
      <c r="C3443">
        <v>90.69</v>
      </c>
      <c r="D3443">
        <v>88.7</v>
      </c>
      <c r="E3443">
        <v>89.39</v>
      </c>
      <c r="F3443">
        <v>2058400</v>
      </c>
      <c r="G3443">
        <v>88.49</v>
      </c>
      <c r="H3443" t="s">
        <v>16</v>
      </c>
      <c r="I3443" s="22">
        <f t="shared" si="107"/>
        <v>-1.1125585342670167E-2</v>
      </c>
      <c r="J3443" s="22" t="str">
        <f t="shared" si="108"/>
        <v>lost money</v>
      </c>
    </row>
    <row r="3444" spans="1:10">
      <c r="A3444" s="1">
        <v>41019</v>
      </c>
      <c r="B3444">
        <v>89.52</v>
      </c>
      <c r="C3444">
        <v>90.13</v>
      </c>
      <c r="D3444">
        <v>88.97</v>
      </c>
      <c r="E3444">
        <v>89.67</v>
      </c>
      <c r="F3444">
        <v>2421700</v>
      </c>
      <c r="G3444">
        <v>88.76</v>
      </c>
      <c r="H3444" t="s">
        <v>16</v>
      </c>
      <c r="I3444" s="22">
        <f t="shared" si="107"/>
        <v>3.0465467851343623E-3</v>
      </c>
      <c r="J3444" s="22" t="str">
        <f t="shared" si="108"/>
        <v/>
      </c>
    </row>
    <row r="3445" spans="1:10">
      <c r="A3445" s="1">
        <v>41022</v>
      </c>
      <c r="B3445">
        <v>88.65</v>
      </c>
      <c r="C3445">
        <v>88.75</v>
      </c>
      <c r="D3445">
        <v>87.56</v>
      </c>
      <c r="E3445">
        <v>88.11</v>
      </c>
      <c r="F3445">
        <v>1876200</v>
      </c>
      <c r="G3445">
        <v>87.22</v>
      </c>
      <c r="H3445" t="s">
        <v>16</v>
      </c>
      <c r="I3445" s="22">
        <f t="shared" si="107"/>
        <v>-1.7502435649772895E-2</v>
      </c>
      <c r="J3445" s="22" t="str">
        <f t="shared" si="108"/>
        <v>lost money</v>
      </c>
    </row>
    <row r="3446" spans="1:10">
      <c r="A3446" s="1">
        <v>41023</v>
      </c>
      <c r="B3446">
        <v>88.56</v>
      </c>
      <c r="C3446">
        <v>89.19</v>
      </c>
      <c r="D3446">
        <v>88.15</v>
      </c>
      <c r="E3446">
        <v>88.94</v>
      </c>
      <c r="F3446">
        <v>1257200</v>
      </c>
      <c r="G3446">
        <v>88.04</v>
      </c>
      <c r="H3446" t="s">
        <v>16</v>
      </c>
      <c r="I3446" s="22">
        <f t="shared" si="107"/>
        <v>9.3575942436406011E-3</v>
      </c>
      <c r="J3446" s="22" t="str">
        <f t="shared" si="108"/>
        <v/>
      </c>
    </row>
    <row r="3447" spans="1:10">
      <c r="A3447" s="1">
        <v>41024</v>
      </c>
      <c r="B3447">
        <v>89.33</v>
      </c>
      <c r="C3447">
        <v>89.83</v>
      </c>
      <c r="D3447">
        <v>87.7</v>
      </c>
      <c r="E3447">
        <v>88.22</v>
      </c>
      <c r="F3447">
        <v>1788000</v>
      </c>
      <c r="G3447">
        <v>87.33</v>
      </c>
      <c r="H3447" t="s">
        <v>16</v>
      </c>
      <c r="I3447" s="22">
        <f t="shared" si="107"/>
        <v>-8.0972102326194745E-3</v>
      </c>
      <c r="J3447" s="22" t="str">
        <f t="shared" si="108"/>
        <v>lost money</v>
      </c>
    </row>
    <row r="3448" spans="1:10">
      <c r="A3448" s="1">
        <v>41025</v>
      </c>
      <c r="B3448">
        <v>87.29</v>
      </c>
      <c r="C3448">
        <v>87.73</v>
      </c>
      <c r="D3448">
        <v>86.2</v>
      </c>
      <c r="E3448">
        <v>87.55</v>
      </c>
      <c r="F3448">
        <v>2988900</v>
      </c>
      <c r="G3448">
        <v>86.66</v>
      </c>
      <c r="H3448" t="s">
        <v>16</v>
      </c>
      <c r="I3448" s="22">
        <f t="shared" si="107"/>
        <v>-7.7016301138781804E-3</v>
      </c>
      <c r="J3448" s="22" t="str">
        <f t="shared" si="108"/>
        <v/>
      </c>
    </row>
    <row r="3449" spans="1:10">
      <c r="A3449" s="1">
        <v>41026</v>
      </c>
      <c r="B3449">
        <v>88.1</v>
      </c>
      <c r="C3449">
        <v>88.48</v>
      </c>
      <c r="D3449">
        <v>87</v>
      </c>
      <c r="E3449">
        <v>88.24</v>
      </c>
      <c r="F3449">
        <v>1698900</v>
      </c>
      <c r="G3449">
        <v>87.35</v>
      </c>
      <c r="H3449" t="s">
        <v>16</v>
      </c>
      <c r="I3449" s="22">
        <f t="shared" si="107"/>
        <v>7.9306202683021576E-3</v>
      </c>
      <c r="J3449" s="22" t="str">
        <f t="shared" si="108"/>
        <v/>
      </c>
    </row>
    <row r="3450" spans="1:10">
      <c r="A3450" s="1">
        <v>41029</v>
      </c>
      <c r="B3450">
        <v>88.29</v>
      </c>
      <c r="C3450">
        <v>88.75</v>
      </c>
      <c r="D3450">
        <v>87.83</v>
      </c>
      <c r="E3450">
        <v>88.24</v>
      </c>
      <c r="F3450">
        <v>1243800</v>
      </c>
      <c r="G3450">
        <v>87.35</v>
      </c>
      <c r="H3450" t="s">
        <v>16</v>
      </c>
      <c r="I3450" s="22">
        <f t="shared" si="107"/>
        <v>0</v>
      </c>
      <c r="J3450" s="22" t="str">
        <f t="shared" si="108"/>
        <v>lost money</v>
      </c>
    </row>
    <row r="3451" spans="1:10">
      <c r="A3451" s="1">
        <v>41030</v>
      </c>
      <c r="B3451">
        <v>88.14</v>
      </c>
      <c r="C3451">
        <v>89.83</v>
      </c>
      <c r="D3451">
        <v>87.57</v>
      </c>
      <c r="E3451">
        <v>89.04</v>
      </c>
      <c r="F3451">
        <v>1385200</v>
      </c>
      <c r="G3451">
        <v>88.14</v>
      </c>
      <c r="H3451" t="s">
        <v>16</v>
      </c>
      <c r="I3451" s="22">
        <f t="shared" si="107"/>
        <v>9.0034228337753739E-3</v>
      </c>
      <c r="J3451" s="22" t="str">
        <f t="shared" si="108"/>
        <v/>
      </c>
    </row>
    <row r="3452" spans="1:10">
      <c r="A3452" s="1">
        <v>41031</v>
      </c>
      <c r="B3452">
        <v>88.75</v>
      </c>
      <c r="C3452">
        <v>89.57</v>
      </c>
      <c r="D3452">
        <v>88.47</v>
      </c>
      <c r="E3452">
        <v>89.35</v>
      </c>
      <c r="F3452">
        <v>943200</v>
      </c>
      <c r="G3452">
        <v>88.45</v>
      </c>
      <c r="H3452" t="s">
        <v>16</v>
      </c>
      <c r="I3452" s="22">
        <f t="shared" si="107"/>
        <v>3.5109611919533308E-3</v>
      </c>
      <c r="J3452" s="22" t="str">
        <f t="shared" si="108"/>
        <v/>
      </c>
    </row>
    <row r="3453" spans="1:10">
      <c r="A3453" s="1">
        <v>41032</v>
      </c>
      <c r="B3453">
        <v>89.15</v>
      </c>
      <c r="C3453">
        <v>89.75</v>
      </c>
      <c r="D3453">
        <v>88.75</v>
      </c>
      <c r="E3453">
        <v>88.86</v>
      </c>
      <c r="F3453">
        <v>2199300</v>
      </c>
      <c r="G3453">
        <v>87.96</v>
      </c>
      <c r="H3453" t="s">
        <v>16</v>
      </c>
      <c r="I3453" s="22">
        <f t="shared" si="107"/>
        <v>-5.555254919233925E-3</v>
      </c>
      <c r="J3453" s="22" t="str">
        <f t="shared" si="108"/>
        <v>lost money</v>
      </c>
    </row>
    <row r="3454" spans="1:10">
      <c r="A3454" s="1">
        <v>41033</v>
      </c>
      <c r="B3454">
        <v>89.02</v>
      </c>
      <c r="C3454">
        <v>89.66</v>
      </c>
      <c r="D3454">
        <v>88.2</v>
      </c>
      <c r="E3454">
        <v>89.3</v>
      </c>
      <c r="F3454">
        <v>2839900</v>
      </c>
      <c r="G3454">
        <v>88.4</v>
      </c>
      <c r="H3454" t="s">
        <v>16</v>
      </c>
      <c r="I3454" s="22">
        <f t="shared" si="107"/>
        <v>4.9898039570373766E-3</v>
      </c>
      <c r="J3454" s="22" t="str">
        <f t="shared" si="108"/>
        <v/>
      </c>
    </row>
    <row r="3455" spans="1:10">
      <c r="A3455" s="1">
        <v>41036</v>
      </c>
      <c r="B3455">
        <v>88.24</v>
      </c>
      <c r="C3455">
        <v>90.12</v>
      </c>
      <c r="D3455">
        <v>88.11</v>
      </c>
      <c r="E3455">
        <v>89.37</v>
      </c>
      <c r="F3455">
        <v>1797100</v>
      </c>
      <c r="G3455">
        <v>88.47</v>
      </c>
      <c r="H3455" t="s">
        <v>16</v>
      </c>
      <c r="I3455" s="22">
        <f t="shared" si="107"/>
        <v>7.9154185169681289E-4</v>
      </c>
      <c r="J3455" s="22" t="str">
        <f t="shared" si="108"/>
        <v/>
      </c>
    </row>
    <row r="3456" spans="1:10">
      <c r="A3456" s="1">
        <v>41037</v>
      </c>
      <c r="B3456">
        <v>88.72</v>
      </c>
      <c r="C3456">
        <v>89.03</v>
      </c>
      <c r="D3456">
        <v>87.82</v>
      </c>
      <c r="E3456">
        <v>88.96</v>
      </c>
      <c r="F3456">
        <v>2156300</v>
      </c>
      <c r="G3456">
        <v>88.06</v>
      </c>
      <c r="H3456" t="s">
        <v>16</v>
      </c>
      <c r="I3456" s="22">
        <f t="shared" si="107"/>
        <v>-4.6451111676867919E-3</v>
      </c>
      <c r="J3456" s="22" t="str">
        <f t="shared" si="108"/>
        <v/>
      </c>
    </row>
    <row r="3457" spans="1:10">
      <c r="A3457" s="1">
        <v>41038</v>
      </c>
      <c r="B3457">
        <v>87.76</v>
      </c>
      <c r="C3457">
        <v>87.8</v>
      </c>
      <c r="D3457">
        <v>86.67</v>
      </c>
      <c r="E3457">
        <v>87.13</v>
      </c>
      <c r="F3457">
        <v>2547100</v>
      </c>
      <c r="G3457">
        <v>86.25</v>
      </c>
      <c r="H3457" t="s">
        <v>16</v>
      </c>
      <c r="I3457" s="22">
        <f t="shared" si="107"/>
        <v>-2.0768344416138604E-2</v>
      </c>
      <c r="J3457" s="22" t="str">
        <f t="shared" si="108"/>
        <v>lost money</v>
      </c>
    </row>
    <row r="3458" spans="1:10">
      <c r="A3458" s="1">
        <v>41039</v>
      </c>
      <c r="B3458">
        <v>87.51</v>
      </c>
      <c r="C3458">
        <v>88.59</v>
      </c>
      <c r="D3458">
        <v>86.47</v>
      </c>
      <c r="E3458">
        <v>86.65</v>
      </c>
      <c r="F3458">
        <v>1714700</v>
      </c>
      <c r="G3458">
        <v>85.77</v>
      </c>
      <c r="H3458" t="s">
        <v>16</v>
      </c>
      <c r="I3458" s="22">
        <f t="shared" si="107"/>
        <v>-5.5807609091391083E-3</v>
      </c>
      <c r="J3458" s="22" t="str">
        <f t="shared" si="108"/>
        <v>lost money</v>
      </c>
    </row>
    <row r="3459" spans="1:10">
      <c r="A3459" s="1">
        <v>41040</v>
      </c>
      <c r="B3459">
        <v>86.17</v>
      </c>
      <c r="C3459">
        <v>88.06</v>
      </c>
      <c r="D3459">
        <v>86.17</v>
      </c>
      <c r="E3459">
        <v>87.8</v>
      </c>
      <c r="F3459">
        <v>1628800</v>
      </c>
      <c r="G3459">
        <v>86.91</v>
      </c>
      <c r="H3459" t="s">
        <v>16</v>
      </c>
      <c r="I3459" s="22">
        <f t="shared" ref="I3459:I3522" si="109">IF(A3459=$A$2,"",LN(G3459/G3458))</f>
        <v>1.3203805447038504E-2</v>
      </c>
      <c r="J3459" s="22" t="str">
        <f t="shared" ref="J3459:J3522" si="110">IF(B3459&gt;E3459,"lost money","")</f>
        <v/>
      </c>
    </row>
    <row r="3460" spans="1:10">
      <c r="A3460" s="1">
        <v>41043</v>
      </c>
      <c r="B3460">
        <v>86.83</v>
      </c>
      <c r="C3460">
        <v>88.33</v>
      </c>
      <c r="D3460">
        <v>86.8</v>
      </c>
      <c r="E3460">
        <v>87.78</v>
      </c>
      <c r="F3460">
        <v>1578300</v>
      </c>
      <c r="G3460">
        <v>86.89</v>
      </c>
      <c r="H3460" t="s">
        <v>16</v>
      </c>
      <c r="I3460" s="22">
        <f t="shared" si="109"/>
        <v>-2.3014959825401051E-4</v>
      </c>
      <c r="J3460" s="22" t="str">
        <f t="shared" si="110"/>
        <v/>
      </c>
    </row>
    <row r="3461" spans="1:10">
      <c r="A3461" s="1">
        <v>41044</v>
      </c>
      <c r="B3461">
        <v>87.75</v>
      </c>
      <c r="C3461">
        <v>88.84</v>
      </c>
      <c r="D3461">
        <v>87.38</v>
      </c>
      <c r="E3461">
        <v>87.81</v>
      </c>
      <c r="F3461">
        <v>1976500</v>
      </c>
      <c r="G3461">
        <v>86.92</v>
      </c>
      <c r="H3461" t="s">
        <v>16</v>
      </c>
      <c r="I3461" s="22">
        <f t="shared" si="109"/>
        <v>3.4520453711422327E-4</v>
      </c>
      <c r="J3461" s="22" t="str">
        <f t="shared" si="110"/>
        <v/>
      </c>
    </row>
    <row r="3462" spans="1:10">
      <c r="A3462" s="1">
        <v>41045</v>
      </c>
      <c r="B3462">
        <v>88.38</v>
      </c>
      <c r="C3462">
        <v>89.5</v>
      </c>
      <c r="D3462">
        <v>87.79</v>
      </c>
      <c r="E3462">
        <v>87.89</v>
      </c>
      <c r="F3462">
        <v>1609500</v>
      </c>
      <c r="G3462">
        <v>87</v>
      </c>
      <c r="H3462" t="s">
        <v>16</v>
      </c>
      <c r="I3462" s="22">
        <f t="shared" si="109"/>
        <v>9.1996326635479715E-4</v>
      </c>
      <c r="J3462" s="22" t="str">
        <f t="shared" si="110"/>
        <v>lost money</v>
      </c>
    </row>
    <row r="3463" spans="1:10">
      <c r="A3463" s="1">
        <v>41046</v>
      </c>
      <c r="B3463">
        <v>87.92</v>
      </c>
      <c r="C3463">
        <v>88.46</v>
      </c>
      <c r="D3463">
        <v>86.68</v>
      </c>
      <c r="E3463">
        <v>86.77</v>
      </c>
      <c r="F3463">
        <v>3414200</v>
      </c>
      <c r="G3463">
        <v>85.89</v>
      </c>
      <c r="H3463" t="s">
        <v>16</v>
      </c>
      <c r="I3463" s="22">
        <f t="shared" si="109"/>
        <v>-1.2840710876450336E-2</v>
      </c>
      <c r="J3463" s="22" t="str">
        <f t="shared" si="110"/>
        <v>lost money</v>
      </c>
    </row>
    <row r="3464" spans="1:10">
      <c r="A3464" s="1">
        <v>41047</v>
      </c>
      <c r="B3464">
        <v>87.26</v>
      </c>
      <c r="C3464">
        <v>87.35</v>
      </c>
      <c r="D3464">
        <v>84.86</v>
      </c>
      <c r="E3464">
        <v>85.07</v>
      </c>
      <c r="F3464">
        <v>2555400</v>
      </c>
      <c r="G3464">
        <v>84.21</v>
      </c>
      <c r="H3464" t="s">
        <v>16</v>
      </c>
      <c r="I3464" s="22">
        <f t="shared" si="109"/>
        <v>-1.9753728736232653E-2</v>
      </c>
      <c r="J3464" s="22" t="str">
        <f t="shared" si="110"/>
        <v>lost money</v>
      </c>
    </row>
    <row r="3465" spans="1:10">
      <c r="A3465" s="1">
        <v>41050</v>
      </c>
      <c r="B3465">
        <v>85.01</v>
      </c>
      <c r="C3465">
        <v>86.9</v>
      </c>
      <c r="D3465">
        <v>84.9</v>
      </c>
      <c r="E3465">
        <v>86.7</v>
      </c>
      <c r="F3465">
        <v>1547900</v>
      </c>
      <c r="G3465">
        <v>85.82</v>
      </c>
      <c r="H3465" t="s">
        <v>16</v>
      </c>
      <c r="I3465" s="22">
        <f t="shared" si="109"/>
        <v>1.8938400521477789E-2</v>
      </c>
      <c r="J3465" s="22" t="str">
        <f t="shared" si="110"/>
        <v/>
      </c>
    </row>
    <row r="3466" spans="1:10">
      <c r="A3466" s="1">
        <v>41051</v>
      </c>
      <c r="B3466">
        <v>86.9</v>
      </c>
      <c r="C3466">
        <v>87.79</v>
      </c>
      <c r="D3466">
        <v>86.32</v>
      </c>
      <c r="E3466">
        <v>86.85</v>
      </c>
      <c r="F3466">
        <v>1730600</v>
      </c>
      <c r="G3466">
        <v>85.97</v>
      </c>
      <c r="H3466" t="s">
        <v>16</v>
      </c>
      <c r="I3466" s="22">
        <f t="shared" si="109"/>
        <v>1.7463186229742327E-3</v>
      </c>
      <c r="J3466" s="22" t="str">
        <f t="shared" si="110"/>
        <v>lost money</v>
      </c>
    </row>
    <row r="3467" spans="1:10">
      <c r="A3467" s="1">
        <v>41052</v>
      </c>
      <c r="B3467">
        <v>86.1</v>
      </c>
      <c r="C3467">
        <v>88.9</v>
      </c>
      <c r="D3467">
        <v>85.82</v>
      </c>
      <c r="E3467">
        <v>88.74</v>
      </c>
      <c r="F3467">
        <v>2152500</v>
      </c>
      <c r="G3467">
        <v>87.84</v>
      </c>
      <c r="H3467" t="s">
        <v>16</v>
      </c>
      <c r="I3467" s="22">
        <f t="shared" si="109"/>
        <v>2.1518579574867948E-2</v>
      </c>
      <c r="J3467" s="22" t="str">
        <f t="shared" si="110"/>
        <v/>
      </c>
    </row>
    <row r="3468" spans="1:10">
      <c r="A3468" s="1">
        <v>41053</v>
      </c>
      <c r="B3468">
        <v>88.84</v>
      </c>
      <c r="C3468">
        <v>90.4</v>
      </c>
      <c r="D3468">
        <v>88.74</v>
      </c>
      <c r="E3468">
        <v>90.02</v>
      </c>
      <c r="F3468">
        <v>2244100</v>
      </c>
      <c r="G3468">
        <v>89.11</v>
      </c>
      <c r="H3468" t="s">
        <v>16</v>
      </c>
      <c r="I3468" s="22">
        <f t="shared" si="109"/>
        <v>1.4354583863407912E-2</v>
      </c>
      <c r="J3468" s="22" t="str">
        <f t="shared" si="110"/>
        <v/>
      </c>
    </row>
    <row r="3469" spans="1:10">
      <c r="A3469" s="1">
        <v>41054</v>
      </c>
      <c r="B3469">
        <v>90.24</v>
      </c>
      <c r="C3469">
        <v>90.5</v>
      </c>
      <c r="D3469">
        <v>88.68</v>
      </c>
      <c r="E3469">
        <v>89.28</v>
      </c>
      <c r="F3469">
        <v>1301700</v>
      </c>
      <c r="G3469">
        <v>88.38</v>
      </c>
      <c r="H3469" t="s">
        <v>16</v>
      </c>
      <c r="I3469" s="22">
        <f t="shared" si="109"/>
        <v>-8.2258619220345677E-3</v>
      </c>
      <c r="J3469" s="22" t="str">
        <f t="shared" si="110"/>
        <v>lost money</v>
      </c>
    </row>
    <row r="3470" spans="1:10">
      <c r="A3470" s="1">
        <v>41058</v>
      </c>
      <c r="B3470">
        <v>89.67</v>
      </c>
      <c r="C3470">
        <v>91.43</v>
      </c>
      <c r="D3470">
        <v>89.51</v>
      </c>
      <c r="E3470">
        <v>90.98</v>
      </c>
      <c r="F3470">
        <v>1565600</v>
      </c>
      <c r="G3470">
        <v>90.06</v>
      </c>
      <c r="H3470" t="s">
        <v>16</v>
      </c>
      <c r="I3470" s="22">
        <f t="shared" si="109"/>
        <v>1.8830415170831689E-2</v>
      </c>
      <c r="J3470" s="22" t="str">
        <f t="shared" si="110"/>
        <v/>
      </c>
    </row>
    <row r="3471" spans="1:10">
      <c r="A3471" s="1">
        <v>41059</v>
      </c>
      <c r="B3471">
        <v>89.44</v>
      </c>
      <c r="C3471">
        <v>90.24</v>
      </c>
      <c r="D3471">
        <v>88.65</v>
      </c>
      <c r="E3471">
        <v>88.93</v>
      </c>
      <c r="F3471">
        <v>1649400</v>
      </c>
      <c r="G3471">
        <v>88.03</v>
      </c>
      <c r="H3471" t="s">
        <v>16</v>
      </c>
      <c r="I3471" s="22">
        <f t="shared" si="109"/>
        <v>-2.2798449400610838E-2</v>
      </c>
      <c r="J3471" s="22" t="str">
        <f t="shared" si="110"/>
        <v>lost money</v>
      </c>
    </row>
    <row r="3472" spans="1:10">
      <c r="A3472" s="1">
        <v>41060</v>
      </c>
      <c r="B3472">
        <v>88.8</v>
      </c>
      <c r="C3472">
        <v>89.96</v>
      </c>
      <c r="D3472">
        <v>87.62</v>
      </c>
      <c r="E3472">
        <v>89.14</v>
      </c>
      <c r="F3472">
        <v>1619700</v>
      </c>
      <c r="G3472">
        <v>88.24</v>
      </c>
      <c r="H3472" t="s">
        <v>16</v>
      </c>
      <c r="I3472" s="22">
        <f t="shared" si="109"/>
        <v>2.3827094724322893E-3</v>
      </c>
      <c r="J3472" s="22" t="str">
        <f t="shared" si="110"/>
        <v/>
      </c>
    </row>
    <row r="3473" spans="1:10">
      <c r="A3473" s="1">
        <v>41061</v>
      </c>
      <c r="B3473">
        <v>87.22</v>
      </c>
      <c r="C3473">
        <v>87.55</v>
      </c>
      <c r="D3473">
        <v>85.09</v>
      </c>
      <c r="E3473">
        <v>85.25</v>
      </c>
      <c r="F3473">
        <v>3163500</v>
      </c>
      <c r="G3473">
        <v>84.39</v>
      </c>
      <c r="H3473" t="s">
        <v>16</v>
      </c>
      <c r="I3473" s="22">
        <f t="shared" si="109"/>
        <v>-4.4611463775371764E-2</v>
      </c>
      <c r="J3473" s="22" t="str">
        <f t="shared" si="110"/>
        <v>lost money</v>
      </c>
    </row>
    <row r="3474" spans="1:10">
      <c r="A3474" s="1">
        <v>41064</v>
      </c>
      <c r="B3474">
        <v>85.19</v>
      </c>
      <c r="C3474">
        <v>85.99</v>
      </c>
      <c r="D3474">
        <v>84.52</v>
      </c>
      <c r="E3474">
        <v>85.2</v>
      </c>
      <c r="F3474">
        <v>1956800</v>
      </c>
      <c r="G3474">
        <v>84.34</v>
      </c>
      <c r="H3474" t="s">
        <v>16</v>
      </c>
      <c r="I3474" s="22">
        <f t="shared" si="109"/>
        <v>-5.9266285146132667E-4</v>
      </c>
      <c r="J3474" s="22" t="str">
        <f t="shared" si="110"/>
        <v/>
      </c>
    </row>
    <row r="3475" spans="1:10">
      <c r="A3475" s="1">
        <v>41065</v>
      </c>
      <c r="B3475">
        <v>85.1</v>
      </c>
      <c r="C3475">
        <v>85.69</v>
      </c>
      <c r="D3475">
        <v>83.8</v>
      </c>
      <c r="E3475">
        <v>84.34</v>
      </c>
      <c r="F3475">
        <v>2227900</v>
      </c>
      <c r="G3475">
        <v>83.49</v>
      </c>
      <c r="H3475" t="s">
        <v>16</v>
      </c>
      <c r="I3475" s="22">
        <f t="shared" si="109"/>
        <v>-1.0129384112504847E-2</v>
      </c>
      <c r="J3475" s="22" t="str">
        <f t="shared" si="110"/>
        <v>lost money</v>
      </c>
    </row>
    <row r="3476" spans="1:10">
      <c r="A3476" s="1">
        <v>41066</v>
      </c>
      <c r="B3476">
        <v>85</v>
      </c>
      <c r="C3476">
        <v>86.83</v>
      </c>
      <c r="D3476">
        <v>84.91</v>
      </c>
      <c r="E3476">
        <v>86.83</v>
      </c>
      <c r="F3476">
        <v>2402800</v>
      </c>
      <c r="G3476">
        <v>85.95</v>
      </c>
      <c r="H3476" t="s">
        <v>16</v>
      </c>
      <c r="I3476" s="22">
        <f t="shared" si="109"/>
        <v>2.903886762294931E-2</v>
      </c>
      <c r="J3476" s="22" t="str">
        <f t="shared" si="110"/>
        <v/>
      </c>
    </row>
    <row r="3477" spans="1:10">
      <c r="A3477" s="1">
        <v>41067</v>
      </c>
      <c r="B3477">
        <v>88.02</v>
      </c>
      <c r="C3477">
        <v>88.36</v>
      </c>
      <c r="D3477">
        <v>86</v>
      </c>
      <c r="E3477">
        <v>86.1</v>
      </c>
      <c r="F3477">
        <v>2643400</v>
      </c>
      <c r="G3477">
        <v>85.23</v>
      </c>
      <c r="H3477" t="s">
        <v>16</v>
      </c>
      <c r="I3477" s="22">
        <f t="shared" si="109"/>
        <v>-8.4122472946519672E-3</v>
      </c>
      <c r="J3477" s="22" t="str">
        <f t="shared" si="110"/>
        <v>lost money</v>
      </c>
    </row>
    <row r="3478" spans="1:10">
      <c r="A3478" s="1">
        <v>41068</v>
      </c>
      <c r="B3478">
        <v>86.45</v>
      </c>
      <c r="C3478">
        <v>87.63</v>
      </c>
      <c r="D3478">
        <v>86</v>
      </c>
      <c r="E3478">
        <v>87.57</v>
      </c>
      <c r="F3478">
        <v>1760300</v>
      </c>
      <c r="G3478">
        <v>86.68</v>
      </c>
      <c r="H3478" t="s">
        <v>16</v>
      </c>
      <c r="I3478" s="22">
        <f t="shared" si="109"/>
        <v>1.686969213395214E-2</v>
      </c>
      <c r="J3478" s="22" t="str">
        <f t="shared" si="110"/>
        <v/>
      </c>
    </row>
    <row r="3479" spans="1:10">
      <c r="A3479" s="1">
        <v>41071</v>
      </c>
      <c r="B3479">
        <v>88.17</v>
      </c>
      <c r="C3479">
        <v>88.35</v>
      </c>
      <c r="D3479">
        <v>86.12</v>
      </c>
      <c r="E3479">
        <v>86.28</v>
      </c>
      <c r="F3479">
        <v>2126500</v>
      </c>
      <c r="G3479">
        <v>85.41</v>
      </c>
      <c r="H3479" t="s">
        <v>16</v>
      </c>
      <c r="I3479" s="22">
        <f t="shared" si="109"/>
        <v>-1.4759986710102525E-2</v>
      </c>
      <c r="J3479" s="22" t="str">
        <f t="shared" si="110"/>
        <v>lost money</v>
      </c>
    </row>
    <row r="3480" spans="1:10">
      <c r="A3480" s="1">
        <v>41072</v>
      </c>
      <c r="B3480">
        <v>86.47</v>
      </c>
      <c r="C3480">
        <v>87.83</v>
      </c>
      <c r="D3480">
        <v>85.97</v>
      </c>
      <c r="E3480">
        <v>87.69</v>
      </c>
      <c r="F3480">
        <v>1783300</v>
      </c>
      <c r="G3480">
        <v>86.8</v>
      </c>
      <c r="H3480" t="s">
        <v>16</v>
      </c>
      <c r="I3480" s="22">
        <f t="shared" si="109"/>
        <v>1.6143431708248702E-2</v>
      </c>
      <c r="J3480" s="22" t="str">
        <f t="shared" si="110"/>
        <v/>
      </c>
    </row>
    <row r="3481" spans="1:10">
      <c r="A3481" s="1">
        <v>41073</v>
      </c>
      <c r="B3481">
        <v>87.09</v>
      </c>
      <c r="C3481">
        <v>87.41</v>
      </c>
      <c r="D3481">
        <v>85.57</v>
      </c>
      <c r="E3481">
        <v>86.19</v>
      </c>
      <c r="F3481">
        <v>3332300</v>
      </c>
      <c r="G3481">
        <v>85.32</v>
      </c>
      <c r="H3481" t="s">
        <v>16</v>
      </c>
      <c r="I3481" s="22">
        <f t="shared" si="109"/>
        <v>-1.7197728063154671E-2</v>
      </c>
      <c r="J3481" s="22" t="str">
        <f t="shared" si="110"/>
        <v>lost money</v>
      </c>
    </row>
    <row r="3482" spans="1:10">
      <c r="A3482" s="1">
        <v>41074</v>
      </c>
      <c r="B3482">
        <v>86.53</v>
      </c>
      <c r="C3482">
        <v>87.44</v>
      </c>
      <c r="D3482">
        <v>85.99</v>
      </c>
      <c r="E3482">
        <v>86.84</v>
      </c>
      <c r="F3482">
        <v>2333700</v>
      </c>
      <c r="G3482">
        <v>86.1</v>
      </c>
      <c r="H3482" t="s">
        <v>16</v>
      </c>
      <c r="I3482" s="22">
        <f t="shared" si="109"/>
        <v>9.1005178305352229E-3</v>
      </c>
      <c r="J3482" s="22" t="str">
        <f t="shared" si="110"/>
        <v/>
      </c>
    </row>
    <row r="3483" spans="1:10">
      <c r="A3483" s="1">
        <v>41075</v>
      </c>
      <c r="B3483">
        <v>87.35</v>
      </c>
      <c r="C3483">
        <v>87.67</v>
      </c>
      <c r="D3483">
        <v>86.54</v>
      </c>
      <c r="E3483">
        <v>87.63</v>
      </c>
      <c r="F3483">
        <v>2093600</v>
      </c>
      <c r="G3483">
        <v>86.88</v>
      </c>
      <c r="H3483" t="s">
        <v>16</v>
      </c>
      <c r="I3483" s="22">
        <f t="shared" si="109"/>
        <v>9.0184447519402935E-3</v>
      </c>
      <c r="J3483" s="22" t="str">
        <f t="shared" si="110"/>
        <v/>
      </c>
    </row>
    <row r="3484" spans="1:10">
      <c r="A3484" s="1">
        <v>41078</v>
      </c>
      <c r="B3484">
        <v>87.4</v>
      </c>
      <c r="C3484">
        <v>88.99</v>
      </c>
      <c r="D3484">
        <v>87.16</v>
      </c>
      <c r="E3484">
        <v>88.51</v>
      </c>
      <c r="F3484">
        <v>2619200</v>
      </c>
      <c r="G3484">
        <v>87.76</v>
      </c>
      <c r="H3484" t="s">
        <v>16</v>
      </c>
      <c r="I3484" s="22">
        <f t="shared" si="109"/>
        <v>1.0077959781349637E-2</v>
      </c>
      <c r="J3484" s="22" t="str">
        <f t="shared" si="110"/>
        <v/>
      </c>
    </row>
    <row r="3485" spans="1:10">
      <c r="A3485" s="1">
        <v>41079</v>
      </c>
      <c r="B3485">
        <v>87.02</v>
      </c>
      <c r="C3485">
        <v>91.95</v>
      </c>
      <c r="D3485">
        <v>86.79</v>
      </c>
      <c r="E3485">
        <v>91.01</v>
      </c>
      <c r="F3485">
        <v>4691900</v>
      </c>
      <c r="G3485">
        <v>90.24</v>
      </c>
      <c r="H3485" t="s">
        <v>16</v>
      </c>
      <c r="I3485" s="22">
        <f t="shared" si="109"/>
        <v>2.7866971782773923E-2</v>
      </c>
      <c r="J3485" s="22" t="str">
        <f t="shared" si="110"/>
        <v/>
      </c>
    </row>
    <row r="3486" spans="1:10">
      <c r="A3486" s="1">
        <v>41080</v>
      </c>
      <c r="B3486">
        <v>90.64</v>
      </c>
      <c r="C3486">
        <v>92.31</v>
      </c>
      <c r="D3486">
        <v>90.31</v>
      </c>
      <c r="E3486">
        <v>91.34</v>
      </c>
      <c r="F3486">
        <v>3132200</v>
      </c>
      <c r="G3486">
        <v>90.56</v>
      </c>
      <c r="H3486" t="s">
        <v>16</v>
      </c>
      <c r="I3486" s="22">
        <f t="shared" si="109"/>
        <v>3.539826705124208E-3</v>
      </c>
      <c r="J3486" s="22" t="str">
        <f t="shared" si="110"/>
        <v/>
      </c>
    </row>
    <row r="3487" spans="1:10">
      <c r="A3487" s="1">
        <v>41081</v>
      </c>
      <c r="B3487">
        <v>91.76</v>
      </c>
      <c r="C3487">
        <v>92.16</v>
      </c>
      <c r="D3487">
        <v>90.55</v>
      </c>
      <c r="E3487">
        <v>90.63</v>
      </c>
      <c r="F3487">
        <v>2893600</v>
      </c>
      <c r="G3487">
        <v>89.86</v>
      </c>
      <c r="H3487" t="s">
        <v>16</v>
      </c>
      <c r="I3487" s="22">
        <f t="shared" si="109"/>
        <v>-7.759710812858968E-3</v>
      </c>
      <c r="J3487" s="22" t="str">
        <f t="shared" si="110"/>
        <v>lost money</v>
      </c>
    </row>
    <row r="3488" spans="1:10">
      <c r="A3488" s="1">
        <v>41082</v>
      </c>
      <c r="B3488">
        <v>91.26</v>
      </c>
      <c r="C3488">
        <v>91.26</v>
      </c>
      <c r="D3488">
        <v>89.83</v>
      </c>
      <c r="E3488">
        <v>90.54</v>
      </c>
      <c r="F3488">
        <v>2713300</v>
      </c>
      <c r="G3488">
        <v>89.77</v>
      </c>
      <c r="H3488" t="s">
        <v>16</v>
      </c>
      <c r="I3488" s="22">
        <f t="shared" si="109"/>
        <v>-1.0020598734168701E-3</v>
      </c>
      <c r="J3488" s="22" t="str">
        <f t="shared" si="110"/>
        <v>lost money</v>
      </c>
    </row>
    <row r="3489" spans="1:10">
      <c r="A3489" s="1">
        <v>41085</v>
      </c>
      <c r="B3489">
        <v>89.57</v>
      </c>
      <c r="C3489">
        <v>89.63</v>
      </c>
      <c r="D3489">
        <v>87.82</v>
      </c>
      <c r="E3489">
        <v>88.81</v>
      </c>
      <c r="F3489">
        <v>1933400</v>
      </c>
      <c r="G3489">
        <v>88.05</v>
      </c>
      <c r="H3489" t="s">
        <v>16</v>
      </c>
      <c r="I3489" s="22">
        <f t="shared" si="109"/>
        <v>-1.9346008826381957E-2</v>
      </c>
      <c r="J3489" s="22" t="str">
        <f t="shared" si="110"/>
        <v>lost money</v>
      </c>
    </row>
    <row r="3490" spans="1:10">
      <c r="A3490" s="1">
        <v>41086</v>
      </c>
      <c r="B3490">
        <v>88.83</v>
      </c>
      <c r="C3490">
        <v>89.02</v>
      </c>
      <c r="D3490">
        <v>87.18</v>
      </c>
      <c r="E3490">
        <v>87.55</v>
      </c>
      <c r="F3490">
        <v>2202800</v>
      </c>
      <c r="G3490">
        <v>86.8</v>
      </c>
      <c r="H3490" t="s">
        <v>16</v>
      </c>
      <c r="I3490" s="22">
        <f t="shared" si="109"/>
        <v>-1.4298213275910672E-2</v>
      </c>
      <c r="J3490" s="22" t="str">
        <f t="shared" si="110"/>
        <v>lost money</v>
      </c>
    </row>
    <row r="3491" spans="1:10">
      <c r="A3491" s="1">
        <v>41087</v>
      </c>
      <c r="B3491">
        <v>87.6</v>
      </c>
      <c r="C3491">
        <v>88.21</v>
      </c>
      <c r="D3491">
        <v>87.13</v>
      </c>
      <c r="E3491">
        <v>87.9</v>
      </c>
      <c r="F3491">
        <v>1836500</v>
      </c>
      <c r="G3491">
        <v>87.15</v>
      </c>
      <c r="H3491" t="s">
        <v>16</v>
      </c>
      <c r="I3491" s="22">
        <f t="shared" si="109"/>
        <v>4.024150299725548E-3</v>
      </c>
      <c r="J3491" s="22" t="str">
        <f t="shared" si="110"/>
        <v/>
      </c>
    </row>
    <row r="3492" spans="1:10">
      <c r="A3492" s="1">
        <v>41088</v>
      </c>
      <c r="B3492">
        <v>87.42</v>
      </c>
      <c r="C3492">
        <v>88.9</v>
      </c>
      <c r="D3492">
        <v>87.31</v>
      </c>
      <c r="E3492">
        <v>88.79</v>
      </c>
      <c r="F3492">
        <v>1432300</v>
      </c>
      <c r="G3492">
        <v>88.03</v>
      </c>
      <c r="H3492" t="s">
        <v>16</v>
      </c>
      <c r="I3492" s="22">
        <f t="shared" si="109"/>
        <v>1.0046893506784681E-2</v>
      </c>
      <c r="J3492" s="22" t="str">
        <f t="shared" si="110"/>
        <v/>
      </c>
    </row>
    <row r="3493" spans="1:10">
      <c r="A3493" s="1">
        <v>41089</v>
      </c>
      <c r="B3493">
        <v>90.29</v>
      </c>
      <c r="C3493">
        <v>91.61</v>
      </c>
      <c r="D3493">
        <v>89.68</v>
      </c>
      <c r="E3493">
        <v>91.61</v>
      </c>
      <c r="F3493">
        <v>2078200</v>
      </c>
      <c r="G3493">
        <v>90.83</v>
      </c>
      <c r="H3493" t="s">
        <v>16</v>
      </c>
      <c r="I3493" s="22">
        <f t="shared" si="109"/>
        <v>3.1311962041307456E-2</v>
      </c>
      <c r="J3493" s="22" t="str">
        <f t="shared" si="110"/>
        <v/>
      </c>
    </row>
    <row r="3494" spans="1:10">
      <c r="A3494" s="1">
        <v>41092</v>
      </c>
      <c r="B3494">
        <v>91.59</v>
      </c>
      <c r="C3494">
        <v>91.87</v>
      </c>
      <c r="D3494">
        <v>89.55</v>
      </c>
      <c r="E3494">
        <v>91.54</v>
      </c>
      <c r="F3494">
        <v>1833700</v>
      </c>
      <c r="G3494">
        <v>90.76</v>
      </c>
      <c r="H3494" t="s">
        <v>16</v>
      </c>
      <c r="I3494" s="22">
        <f t="shared" si="109"/>
        <v>-7.7096760248118474E-4</v>
      </c>
      <c r="J3494" s="22" t="str">
        <f t="shared" si="110"/>
        <v>lost money</v>
      </c>
    </row>
    <row r="3495" spans="1:10">
      <c r="A3495" s="1">
        <v>41093</v>
      </c>
      <c r="B3495">
        <v>91.44</v>
      </c>
      <c r="C3495">
        <v>92.8</v>
      </c>
      <c r="D3495">
        <v>91.13</v>
      </c>
      <c r="E3495">
        <v>92.6</v>
      </c>
      <c r="F3495">
        <v>1033100</v>
      </c>
      <c r="G3495">
        <v>91.81</v>
      </c>
      <c r="H3495" t="s">
        <v>16</v>
      </c>
      <c r="I3495" s="22">
        <f t="shared" si="109"/>
        <v>1.1502564243967658E-2</v>
      </c>
      <c r="J3495" s="22" t="str">
        <f t="shared" si="110"/>
        <v/>
      </c>
    </row>
    <row r="3496" spans="1:10">
      <c r="A3496" s="1">
        <v>41095</v>
      </c>
      <c r="B3496">
        <v>91.91</v>
      </c>
      <c r="C3496">
        <v>92.57</v>
      </c>
      <c r="D3496">
        <v>91.4</v>
      </c>
      <c r="E3496">
        <v>92.11</v>
      </c>
      <c r="F3496">
        <v>1398500</v>
      </c>
      <c r="G3496">
        <v>91.33</v>
      </c>
      <c r="H3496" t="s">
        <v>16</v>
      </c>
      <c r="I3496" s="22">
        <f t="shared" si="109"/>
        <v>-5.2419034520210664E-3</v>
      </c>
      <c r="J3496" s="22" t="str">
        <f t="shared" si="110"/>
        <v/>
      </c>
    </row>
    <row r="3497" spans="1:10">
      <c r="A3497" s="1">
        <v>41096</v>
      </c>
      <c r="B3497">
        <v>91.25</v>
      </c>
      <c r="C3497">
        <v>91.99</v>
      </c>
      <c r="D3497">
        <v>90.5</v>
      </c>
      <c r="E3497">
        <v>91.28</v>
      </c>
      <c r="F3497">
        <v>1310300</v>
      </c>
      <c r="G3497">
        <v>90.5</v>
      </c>
      <c r="H3497" t="s">
        <v>16</v>
      </c>
      <c r="I3497" s="22">
        <f t="shared" si="109"/>
        <v>-9.1294699977071091E-3</v>
      </c>
      <c r="J3497" s="22" t="str">
        <f t="shared" si="110"/>
        <v/>
      </c>
    </row>
    <row r="3498" spans="1:10">
      <c r="A3498" s="1">
        <v>41099</v>
      </c>
      <c r="B3498">
        <v>91.07</v>
      </c>
      <c r="C3498">
        <v>91.76</v>
      </c>
      <c r="D3498">
        <v>90.65</v>
      </c>
      <c r="E3498">
        <v>91.13</v>
      </c>
      <c r="F3498">
        <v>1162900</v>
      </c>
      <c r="G3498">
        <v>90.35</v>
      </c>
      <c r="H3498" t="s">
        <v>16</v>
      </c>
      <c r="I3498" s="22">
        <f t="shared" si="109"/>
        <v>-1.6588336676429667E-3</v>
      </c>
      <c r="J3498" s="22" t="str">
        <f t="shared" si="110"/>
        <v/>
      </c>
    </row>
    <row r="3499" spans="1:10">
      <c r="A3499" s="1">
        <v>41100</v>
      </c>
      <c r="B3499">
        <v>90.99</v>
      </c>
      <c r="C3499">
        <v>91.98</v>
      </c>
      <c r="D3499">
        <v>89.92</v>
      </c>
      <c r="E3499">
        <v>90.48</v>
      </c>
      <c r="F3499">
        <v>1668100</v>
      </c>
      <c r="G3499">
        <v>89.71</v>
      </c>
      <c r="H3499" t="s">
        <v>16</v>
      </c>
      <c r="I3499" s="22">
        <f t="shared" si="109"/>
        <v>-7.1087714670453189E-3</v>
      </c>
      <c r="J3499" s="22" t="str">
        <f t="shared" si="110"/>
        <v>lost money</v>
      </c>
    </row>
    <row r="3500" spans="1:10">
      <c r="A3500" s="1">
        <v>41101</v>
      </c>
      <c r="B3500">
        <v>90.31</v>
      </c>
      <c r="C3500">
        <v>90.98</v>
      </c>
      <c r="D3500">
        <v>89.98</v>
      </c>
      <c r="E3500">
        <v>90.61</v>
      </c>
      <c r="F3500">
        <v>1637900</v>
      </c>
      <c r="G3500">
        <v>89.84</v>
      </c>
      <c r="H3500" t="s">
        <v>16</v>
      </c>
      <c r="I3500" s="22">
        <f t="shared" si="109"/>
        <v>1.4480648589956593E-3</v>
      </c>
      <c r="J3500" s="22" t="str">
        <f t="shared" si="110"/>
        <v/>
      </c>
    </row>
    <row r="3501" spans="1:10">
      <c r="A3501" s="1">
        <v>41102</v>
      </c>
      <c r="B3501">
        <v>90</v>
      </c>
      <c r="C3501">
        <v>90.1</v>
      </c>
      <c r="D3501">
        <v>88.93</v>
      </c>
      <c r="E3501">
        <v>89.5</v>
      </c>
      <c r="F3501">
        <v>2173600</v>
      </c>
      <c r="G3501">
        <v>88.74</v>
      </c>
      <c r="H3501" t="s">
        <v>16</v>
      </c>
      <c r="I3501" s="22">
        <f t="shared" si="109"/>
        <v>-1.2319564479424391E-2</v>
      </c>
      <c r="J3501" s="22" t="str">
        <f t="shared" si="110"/>
        <v>lost money</v>
      </c>
    </row>
    <row r="3502" spans="1:10">
      <c r="A3502" s="1">
        <v>41103</v>
      </c>
      <c r="B3502">
        <v>89.63</v>
      </c>
      <c r="C3502">
        <v>92.57</v>
      </c>
      <c r="D3502">
        <v>89.63</v>
      </c>
      <c r="E3502">
        <v>92.35</v>
      </c>
      <c r="F3502">
        <v>1847300</v>
      </c>
      <c r="G3502">
        <v>91.56</v>
      </c>
      <c r="H3502" t="s">
        <v>16</v>
      </c>
      <c r="I3502" s="22">
        <f t="shared" si="109"/>
        <v>3.1283749133602635E-2</v>
      </c>
      <c r="J3502" s="22" t="str">
        <f t="shared" si="110"/>
        <v/>
      </c>
    </row>
    <row r="3503" spans="1:10">
      <c r="A3503" s="1">
        <v>41106</v>
      </c>
      <c r="B3503">
        <v>92.07</v>
      </c>
      <c r="C3503">
        <v>92.29</v>
      </c>
      <c r="D3503">
        <v>91.42</v>
      </c>
      <c r="E3503">
        <v>91.92</v>
      </c>
      <c r="F3503">
        <v>1210500</v>
      </c>
      <c r="G3503">
        <v>91.14</v>
      </c>
      <c r="H3503" t="s">
        <v>16</v>
      </c>
      <c r="I3503" s="22">
        <f t="shared" si="109"/>
        <v>-4.5977092486294314E-3</v>
      </c>
      <c r="J3503" s="22" t="str">
        <f t="shared" si="110"/>
        <v>lost money</v>
      </c>
    </row>
    <row r="3504" spans="1:10">
      <c r="A3504" s="1">
        <v>41107</v>
      </c>
      <c r="B3504">
        <v>92.09</v>
      </c>
      <c r="C3504">
        <v>92.09</v>
      </c>
      <c r="D3504">
        <v>90.21</v>
      </c>
      <c r="E3504">
        <v>91.25</v>
      </c>
      <c r="F3504">
        <v>2011900</v>
      </c>
      <c r="G3504">
        <v>90.47</v>
      </c>
      <c r="H3504" t="s">
        <v>16</v>
      </c>
      <c r="I3504" s="22">
        <f t="shared" si="109"/>
        <v>-7.3784817980862196E-3</v>
      </c>
      <c r="J3504" s="22" t="str">
        <f t="shared" si="110"/>
        <v>lost money</v>
      </c>
    </row>
    <row r="3505" spans="1:10">
      <c r="A3505" s="1">
        <v>41108</v>
      </c>
      <c r="B3505">
        <v>91.08</v>
      </c>
      <c r="C3505">
        <v>93</v>
      </c>
      <c r="D3505">
        <v>90.91</v>
      </c>
      <c r="E3505">
        <v>92.72</v>
      </c>
      <c r="F3505">
        <v>1322200</v>
      </c>
      <c r="G3505">
        <v>91.93</v>
      </c>
      <c r="H3505" t="s">
        <v>16</v>
      </c>
      <c r="I3505" s="22">
        <f t="shared" si="109"/>
        <v>1.600911383801314E-2</v>
      </c>
      <c r="J3505" s="22" t="str">
        <f t="shared" si="110"/>
        <v/>
      </c>
    </row>
    <row r="3506" spans="1:10">
      <c r="A3506" s="1">
        <v>41109</v>
      </c>
      <c r="B3506">
        <v>92.79</v>
      </c>
      <c r="C3506">
        <v>93.17</v>
      </c>
      <c r="D3506">
        <v>92.53</v>
      </c>
      <c r="E3506">
        <v>92.79</v>
      </c>
      <c r="F3506">
        <v>1289300</v>
      </c>
      <c r="G3506">
        <v>92</v>
      </c>
      <c r="H3506" t="s">
        <v>16</v>
      </c>
      <c r="I3506" s="22">
        <f t="shared" si="109"/>
        <v>7.6115917337703926E-4</v>
      </c>
      <c r="J3506" s="22" t="str">
        <f t="shared" si="110"/>
        <v/>
      </c>
    </row>
    <row r="3507" spans="1:10">
      <c r="A3507" s="1">
        <v>41110</v>
      </c>
      <c r="B3507">
        <v>92.08</v>
      </c>
      <c r="C3507">
        <v>92.29</v>
      </c>
      <c r="D3507">
        <v>89.98</v>
      </c>
      <c r="E3507">
        <v>90.08</v>
      </c>
      <c r="F3507">
        <v>2135900</v>
      </c>
      <c r="G3507">
        <v>89.31</v>
      </c>
      <c r="H3507" t="s">
        <v>16</v>
      </c>
      <c r="I3507" s="22">
        <f t="shared" si="109"/>
        <v>-2.9675113353245536E-2</v>
      </c>
      <c r="J3507" s="22" t="str">
        <f t="shared" si="110"/>
        <v>lost money</v>
      </c>
    </row>
    <row r="3508" spans="1:10">
      <c r="A3508" s="1">
        <v>41113</v>
      </c>
      <c r="B3508">
        <v>88.69</v>
      </c>
      <c r="C3508">
        <v>89.56</v>
      </c>
      <c r="D3508">
        <v>88.4</v>
      </c>
      <c r="E3508">
        <v>89.26</v>
      </c>
      <c r="F3508">
        <v>1476500</v>
      </c>
      <c r="G3508">
        <v>88.5</v>
      </c>
      <c r="H3508" t="s">
        <v>16</v>
      </c>
      <c r="I3508" s="22">
        <f t="shared" si="109"/>
        <v>-9.1109116819108535E-3</v>
      </c>
      <c r="J3508" s="22" t="str">
        <f t="shared" si="110"/>
        <v/>
      </c>
    </row>
    <row r="3509" spans="1:10">
      <c r="A3509" s="1">
        <v>41114</v>
      </c>
      <c r="B3509">
        <v>88.16</v>
      </c>
      <c r="C3509">
        <v>88.47</v>
      </c>
      <c r="D3509">
        <v>86.22</v>
      </c>
      <c r="E3509">
        <v>87.67</v>
      </c>
      <c r="F3509">
        <v>3751500</v>
      </c>
      <c r="G3509">
        <v>86.92</v>
      </c>
      <c r="H3509" t="s">
        <v>16</v>
      </c>
      <c r="I3509" s="22">
        <f t="shared" si="109"/>
        <v>-1.8014396625654922E-2</v>
      </c>
      <c r="J3509" s="22" t="str">
        <f t="shared" si="110"/>
        <v>lost money</v>
      </c>
    </row>
    <row r="3510" spans="1:10">
      <c r="A3510" s="1">
        <v>41115</v>
      </c>
      <c r="B3510">
        <v>87.96</v>
      </c>
      <c r="C3510">
        <v>88.05</v>
      </c>
      <c r="D3510">
        <v>86.84</v>
      </c>
      <c r="E3510">
        <v>87.23</v>
      </c>
      <c r="F3510">
        <v>2105300</v>
      </c>
      <c r="G3510">
        <v>86.49</v>
      </c>
      <c r="H3510" t="s">
        <v>16</v>
      </c>
      <c r="I3510" s="22">
        <f t="shared" si="109"/>
        <v>-4.9593550698084285E-3</v>
      </c>
      <c r="J3510" s="22" t="str">
        <f t="shared" si="110"/>
        <v>lost money</v>
      </c>
    </row>
    <row r="3511" spans="1:10">
      <c r="A3511" s="1">
        <v>41116</v>
      </c>
      <c r="B3511">
        <v>88.74</v>
      </c>
      <c r="C3511">
        <v>89.34</v>
      </c>
      <c r="D3511">
        <v>88.2</v>
      </c>
      <c r="E3511">
        <v>88.55</v>
      </c>
      <c r="F3511">
        <v>1893600</v>
      </c>
      <c r="G3511">
        <v>87.8</v>
      </c>
      <c r="H3511" t="s">
        <v>16</v>
      </c>
      <c r="I3511" s="22">
        <f t="shared" si="109"/>
        <v>1.5032700322650479E-2</v>
      </c>
      <c r="J3511" s="22" t="str">
        <f t="shared" si="110"/>
        <v>lost money</v>
      </c>
    </row>
    <row r="3512" spans="1:10">
      <c r="A3512" s="1">
        <v>41117</v>
      </c>
      <c r="B3512">
        <v>89.51</v>
      </c>
      <c r="C3512">
        <v>91.81</v>
      </c>
      <c r="D3512">
        <v>88.95</v>
      </c>
      <c r="E3512">
        <v>90.89</v>
      </c>
      <c r="F3512">
        <v>2397900</v>
      </c>
      <c r="G3512">
        <v>90.12</v>
      </c>
      <c r="H3512" t="s">
        <v>16</v>
      </c>
      <c r="I3512" s="22">
        <f t="shared" si="109"/>
        <v>2.6080614922972773E-2</v>
      </c>
      <c r="J3512" s="22" t="str">
        <f t="shared" si="110"/>
        <v/>
      </c>
    </row>
    <row r="3513" spans="1:10">
      <c r="A3513" s="1">
        <v>41120</v>
      </c>
      <c r="B3513">
        <v>90.52</v>
      </c>
      <c r="C3513">
        <v>91.17</v>
      </c>
      <c r="D3513">
        <v>90.33</v>
      </c>
      <c r="E3513">
        <v>90.99</v>
      </c>
      <c r="F3513">
        <v>1396900</v>
      </c>
      <c r="G3513">
        <v>90.22</v>
      </c>
      <c r="H3513" t="s">
        <v>16</v>
      </c>
      <c r="I3513" s="22">
        <f t="shared" si="109"/>
        <v>1.1090164162061863E-3</v>
      </c>
      <c r="J3513" s="22" t="str">
        <f t="shared" si="110"/>
        <v/>
      </c>
    </row>
    <row r="3514" spans="1:10">
      <c r="A3514" s="1">
        <v>41121</v>
      </c>
      <c r="B3514">
        <v>90.95</v>
      </c>
      <c r="C3514">
        <v>91.21</v>
      </c>
      <c r="D3514">
        <v>90.29</v>
      </c>
      <c r="E3514">
        <v>90.3</v>
      </c>
      <c r="F3514">
        <v>1760700</v>
      </c>
      <c r="G3514">
        <v>89.53</v>
      </c>
      <c r="H3514" t="s">
        <v>16</v>
      </c>
      <c r="I3514" s="22">
        <f t="shared" si="109"/>
        <v>-7.6773673341851882E-3</v>
      </c>
      <c r="J3514" s="22" t="str">
        <f t="shared" si="110"/>
        <v>lost money</v>
      </c>
    </row>
    <row r="3515" spans="1:10">
      <c r="A3515" s="1">
        <v>41122</v>
      </c>
      <c r="B3515">
        <v>90.66</v>
      </c>
      <c r="C3515">
        <v>90.8</v>
      </c>
      <c r="D3515">
        <v>88.4</v>
      </c>
      <c r="E3515">
        <v>88.85</v>
      </c>
      <c r="F3515">
        <v>1725100</v>
      </c>
      <c r="G3515">
        <v>88.09</v>
      </c>
      <c r="H3515" t="s">
        <v>16</v>
      </c>
      <c r="I3515" s="22">
        <f t="shared" si="109"/>
        <v>-1.6214745524360322E-2</v>
      </c>
      <c r="J3515" s="22" t="str">
        <f t="shared" si="110"/>
        <v>lost money</v>
      </c>
    </row>
    <row r="3516" spans="1:10">
      <c r="A3516" s="1">
        <v>41123</v>
      </c>
      <c r="B3516">
        <v>87.71</v>
      </c>
      <c r="C3516">
        <v>88.35</v>
      </c>
      <c r="D3516">
        <v>87.04</v>
      </c>
      <c r="E3516">
        <v>87.92</v>
      </c>
      <c r="F3516">
        <v>1901200</v>
      </c>
      <c r="G3516">
        <v>87.17</v>
      </c>
      <c r="H3516" t="s">
        <v>16</v>
      </c>
      <c r="I3516" s="22">
        <f t="shared" si="109"/>
        <v>-1.0498784098219695E-2</v>
      </c>
      <c r="J3516" s="22" t="str">
        <f t="shared" si="110"/>
        <v/>
      </c>
    </row>
    <row r="3517" spans="1:10">
      <c r="A3517" s="1">
        <v>41124</v>
      </c>
      <c r="B3517">
        <v>89.04</v>
      </c>
      <c r="C3517">
        <v>90.21</v>
      </c>
      <c r="D3517">
        <v>89.02</v>
      </c>
      <c r="E3517">
        <v>89.82</v>
      </c>
      <c r="F3517">
        <v>1623400</v>
      </c>
      <c r="G3517">
        <v>89.06</v>
      </c>
      <c r="H3517" t="s">
        <v>16</v>
      </c>
      <c r="I3517" s="22">
        <f t="shared" si="109"/>
        <v>2.1450064870071603E-2</v>
      </c>
      <c r="J3517" s="22" t="str">
        <f t="shared" si="110"/>
        <v/>
      </c>
    </row>
    <row r="3518" spans="1:10">
      <c r="A3518" s="1">
        <v>41127</v>
      </c>
      <c r="B3518">
        <v>90.33</v>
      </c>
      <c r="C3518">
        <v>90.8</v>
      </c>
      <c r="D3518">
        <v>89.86</v>
      </c>
      <c r="E3518">
        <v>90.12</v>
      </c>
      <c r="F3518">
        <v>906600</v>
      </c>
      <c r="G3518">
        <v>89.35</v>
      </c>
      <c r="H3518" t="s">
        <v>16</v>
      </c>
      <c r="I3518" s="22">
        <f t="shared" si="109"/>
        <v>3.2509417118807304E-3</v>
      </c>
      <c r="J3518" s="22" t="str">
        <f t="shared" si="110"/>
        <v>lost money</v>
      </c>
    </row>
    <row r="3519" spans="1:10">
      <c r="A3519" s="1">
        <v>41128</v>
      </c>
      <c r="B3519">
        <v>90.68</v>
      </c>
      <c r="C3519">
        <v>90.68</v>
      </c>
      <c r="D3519">
        <v>89.39</v>
      </c>
      <c r="E3519">
        <v>89.82</v>
      </c>
      <c r="F3519">
        <v>1411700</v>
      </c>
      <c r="G3519">
        <v>89.06</v>
      </c>
      <c r="H3519" t="s">
        <v>16</v>
      </c>
      <c r="I3519" s="22">
        <f t="shared" si="109"/>
        <v>-3.2509417118806658E-3</v>
      </c>
      <c r="J3519" s="22" t="str">
        <f t="shared" si="110"/>
        <v>lost money</v>
      </c>
    </row>
    <row r="3520" spans="1:10">
      <c r="A3520" s="1">
        <v>41129</v>
      </c>
      <c r="B3520">
        <v>89.5</v>
      </c>
      <c r="C3520">
        <v>89.53</v>
      </c>
      <c r="D3520">
        <v>88.7</v>
      </c>
      <c r="E3520">
        <v>89.31</v>
      </c>
      <c r="F3520">
        <v>1345800</v>
      </c>
      <c r="G3520">
        <v>88.55</v>
      </c>
      <c r="H3520" t="s">
        <v>16</v>
      </c>
      <c r="I3520" s="22">
        <f t="shared" si="109"/>
        <v>-5.7429356647138345E-3</v>
      </c>
      <c r="J3520" s="22" t="str">
        <f t="shared" si="110"/>
        <v>lost money</v>
      </c>
    </row>
    <row r="3521" spans="1:10">
      <c r="A3521" s="1">
        <v>41130</v>
      </c>
      <c r="B3521">
        <v>89.3</v>
      </c>
      <c r="C3521">
        <v>89.46</v>
      </c>
      <c r="D3521">
        <v>88.5</v>
      </c>
      <c r="E3521">
        <v>88.66</v>
      </c>
      <c r="F3521">
        <v>1481500</v>
      </c>
      <c r="G3521">
        <v>87.91</v>
      </c>
      <c r="H3521" t="s">
        <v>16</v>
      </c>
      <c r="I3521" s="22">
        <f t="shared" si="109"/>
        <v>-7.2538003657553448E-3</v>
      </c>
      <c r="J3521" s="22" t="str">
        <f t="shared" si="110"/>
        <v>lost money</v>
      </c>
    </row>
    <row r="3522" spans="1:10">
      <c r="A3522" s="1">
        <v>41131</v>
      </c>
      <c r="B3522">
        <v>88.05</v>
      </c>
      <c r="C3522">
        <v>88.38</v>
      </c>
      <c r="D3522">
        <v>87.23</v>
      </c>
      <c r="E3522">
        <v>87.8</v>
      </c>
      <c r="F3522">
        <v>2222900</v>
      </c>
      <c r="G3522">
        <v>87.05</v>
      </c>
      <c r="H3522" t="s">
        <v>16</v>
      </c>
      <c r="I3522" s="22">
        <f t="shared" si="109"/>
        <v>-9.8308976488891212E-3</v>
      </c>
      <c r="J3522" s="22" t="str">
        <f t="shared" si="110"/>
        <v>lost money</v>
      </c>
    </row>
    <row r="3523" spans="1:10">
      <c r="A3523" s="1">
        <v>41134</v>
      </c>
      <c r="B3523">
        <v>87.69</v>
      </c>
      <c r="C3523">
        <v>88.34</v>
      </c>
      <c r="D3523">
        <v>87.04</v>
      </c>
      <c r="E3523">
        <v>87.77</v>
      </c>
      <c r="F3523">
        <v>1334200</v>
      </c>
      <c r="G3523">
        <v>87.02</v>
      </c>
      <c r="H3523" t="s">
        <v>16</v>
      </c>
      <c r="I3523" s="22">
        <f t="shared" ref="I3523:I3586" si="111">IF(A3523=$A$2,"",LN(G3523/G3522))</f>
        <v>-3.4468892166403557E-4</v>
      </c>
      <c r="J3523" s="22" t="str">
        <f t="shared" ref="J3523:J3586" si="112">IF(B3523&gt;E3523,"lost money","")</f>
        <v/>
      </c>
    </row>
    <row r="3524" spans="1:10">
      <c r="A3524" s="1">
        <v>41135</v>
      </c>
      <c r="B3524">
        <v>87.92</v>
      </c>
      <c r="C3524">
        <v>88.33</v>
      </c>
      <c r="D3524">
        <v>87.4</v>
      </c>
      <c r="E3524">
        <v>87.58</v>
      </c>
      <c r="F3524">
        <v>1551400</v>
      </c>
      <c r="G3524">
        <v>86.83</v>
      </c>
      <c r="H3524" t="s">
        <v>16</v>
      </c>
      <c r="I3524" s="22">
        <f t="shared" si="111"/>
        <v>-2.1857932199802082E-3</v>
      </c>
      <c r="J3524" s="22" t="str">
        <f t="shared" si="112"/>
        <v>lost money</v>
      </c>
    </row>
    <row r="3525" spans="1:10">
      <c r="A3525" s="1">
        <v>41136</v>
      </c>
      <c r="B3525">
        <v>87.73</v>
      </c>
      <c r="C3525">
        <v>89.78</v>
      </c>
      <c r="D3525">
        <v>87.59</v>
      </c>
      <c r="E3525">
        <v>89.55</v>
      </c>
      <c r="F3525">
        <v>2490900</v>
      </c>
      <c r="G3525">
        <v>88.79</v>
      </c>
      <c r="H3525" t="s">
        <v>16</v>
      </c>
      <c r="I3525" s="22">
        <f t="shared" si="111"/>
        <v>2.2321846971681717E-2</v>
      </c>
      <c r="J3525" s="22" t="str">
        <f t="shared" si="112"/>
        <v/>
      </c>
    </row>
    <row r="3526" spans="1:10">
      <c r="A3526" s="1">
        <v>41137</v>
      </c>
      <c r="B3526">
        <v>89.48</v>
      </c>
      <c r="C3526">
        <v>90.11</v>
      </c>
      <c r="D3526">
        <v>88.92</v>
      </c>
      <c r="E3526">
        <v>89.74</v>
      </c>
      <c r="F3526">
        <v>1935900</v>
      </c>
      <c r="G3526">
        <v>88.98</v>
      </c>
      <c r="H3526" t="s">
        <v>16</v>
      </c>
      <c r="I3526" s="22">
        <f t="shared" si="111"/>
        <v>2.1375943336602947E-3</v>
      </c>
      <c r="J3526" s="22" t="str">
        <f t="shared" si="112"/>
        <v/>
      </c>
    </row>
    <row r="3527" spans="1:10">
      <c r="A3527" s="1">
        <v>41138</v>
      </c>
      <c r="B3527">
        <v>89.95</v>
      </c>
      <c r="C3527">
        <v>90.46</v>
      </c>
      <c r="D3527">
        <v>89.75</v>
      </c>
      <c r="E3527">
        <v>90</v>
      </c>
      <c r="F3527">
        <v>1679500</v>
      </c>
      <c r="G3527">
        <v>89.23</v>
      </c>
      <c r="H3527" t="s">
        <v>16</v>
      </c>
      <c r="I3527" s="22">
        <f t="shared" si="111"/>
        <v>2.8056805341644363E-3</v>
      </c>
      <c r="J3527" s="22" t="str">
        <f t="shared" si="112"/>
        <v/>
      </c>
    </row>
    <row r="3528" spans="1:10">
      <c r="A3528" s="1">
        <v>41141</v>
      </c>
      <c r="B3528">
        <v>89.64</v>
      </c>
      <c r="C3528">
        <v>90.1</v>
      </c>
      <c r="D3528">
        <v>89.32</v>
      </c>
      <c r="E3528">
        <v>89.98</v>
      </c>
      <c r="F3528">
        <v>1817600</v>
      </c>
      <c r="G3528">
        <v>89.21</v>
      </c>
      <c r="H3528" t="s">
        <v>16</v>
      </c>
      <c r="I3528" s="22">
        <f t="shared" si="111"/>
        <v>-2.2416498636813493E-4</v>
      </c>
      <c r="J3528" s="22" t="str">
        <f t="shared" si="112"/>
        <v/>
      </c>
    </row>
    <row r="3529" spans="1:10">
      <c r="A3529" s="1">
        <v>41142</v>
      </c>
      <c r="B3529">
        <v>90.02</v>
      </c>
      <c r="C3529">
        <v>91.12</v>
      </c>
      <c r="D3529">
        <v>89.78</v>
      </c>
      <c r="E3529">
        <v>90.31</v>
      </c>
      <c r="F3529">
        <v>1944300</v>
      </c>
      <c r="G3529">
        <v>89.54</v>
      </c>
      <c r="H3529" t="s">
        <v>16</v>
      </c>
      <c r="I3529" s="22">
        <f t="shared" si="111"/>
        <v>3.6923118871275921E-3</v>
      </c>
      <c r="J3529" s="22" t="str">
        <f t="shared" si="112"/>
        <v/>
      </c>
    </row>
    <row r="3530" spans="1:10">
      <c r="A3530" s="1">
        <v>41143</v>
      </c>
      <c r="B3530">
        <v>90.01</v>
      </c>
      <c r="C3530">
        <v>90.33</v>
      </c>
      <c r="D3530">
        <v>89.43</v>
      </c>
      <c r="E3530">
        <v>89.54</v>
      </c>
      <c r="F3530">
        <v>1415300</v>
      </c>
      <c r="G3530">
        <v>88.78</v>
      </c>
      <c r="H3530" t="s">
        <v>16</v>
      </c>
      <c r="I3530" s="22">
        <f t="shared" si="111"/>
        <v>-8.5240534069303091E-3</v>
      </c>
      <c r="J3530" s="22" t="str">
        <f t="shared" si="112"/>
        <v>lost money</v>
      </c>
    </row>
    <row r="3531" spans="1:10">
      <c r="A3531" s="1">
        <v>41144</v>
      </c>
      <c r="B3531">
        <v>89.54</v>
      </c>
      <c r="C3531">
        <v>89.75</v>
      </c>
      <c r="D3531">
        <v>88.46</v>
      </c>
      <c r="E3531">
        <v>88.86</v>
      </c>
      <c r="F3531">
        <v>1049500</v>
      </c>
      <c r="G3531">
        <v>88.1</v>
      </c>
      <c r="H3531" t="s">
        <v>16</v>
      </c>
      <c r="I3531" s="22">
        <f t="shared" si="111"/>
        <v>-7.6888664637554845E-3</v>
      </c>
      <c r="J3531" s="22" t="str">
        <f t="shared" si="112"/>
        <v>lost money</v>
      </c>
    </row>
    <row r="3532" spans="1:10">
      <c r="A3532" s="1">
        <v>41145</v>
      </c>
      <c r="B3532">
        <v>88.53</v>
      </c>
      <c r="C3532">
        <v>89.38</v>
      </c>
      <c r="D3532">
        <v>88.18</v>
      </c>
      <c r="E3532">
        <v>89.07</v>
      </c>
      <c r="F3532">
        <v>948400</v>
      </c>
      <c r="G3532">
        <v>88.31</v>
      </c>
      <c r="H3532" t="s">
        <v>16</v>
      </c>
      <c r="I3532" s="22">
        <f t="shared" si="111"/>
        <v>2.3808185385771731E-3</v>
      </c>
      <c r="J3532" s="22" t="str">
        <f t="shared" si="112"/>
        <v/>
      </c>
    </row>
    <row r="3533" spans="1:10">
      <c r="A3533" s="1">
        <v>41148</v>
      </c>
      <c r="B3533">
        <v>89.18</v>
      </c>
      <c r="C3533">
        <v>89.26</v>
      </c>
      <c r="D3533">
        <v>87.82</v>
      </c>
      <c r="E3533">
        <v>88</v>
      </c>
      <c r="F3533">
        <v>1102300</v>
      </c>
      <c r="G3533">
        <v>87.25</v>
      </c>
      <c r="H3533" t="s">
        <v>16</v>
      </c>
      <c r="I3533" s="22">
        <f t="shared" si="111"/>
        <v>-1.207579039817437E-2</v>
      </c>
      <c r="J3533" s="22" t="str">
        <f t="shared" si="112"/>
        <v>lost money</v>
      </c>
    </row>
    <row r="3534" spans="1:10">
      <c r="A3534" s="1">
        <v>41149</v>
      </c>
      <c r="B3534">
        <v>87.9</v>
      </c>
      <c r="C3534">
        <v>88.08</v>
      </c>
      <c r="D3534">
        <v>86.87</v>
      </c>
      <c r="E3534">
        <v>87.46</v>
      </c>
      <c r="F3534">
        <v>2002100</v>
      </c>
      <c r="G3534">
        <v>86.72</v>
      </c>
      <c r="H3534" t="s">
        <v>16</v>
      </c>
      <c r="I3534" s="22">
        <f t="shared" si="111"/>
        <v>-6.0930233912004396E-3</v>
      </c>
      <c r="J3534" s="22" t="str">
        <f t="shared" si="112"/>
        <v>lost money</v>
      </c>
    </row>
    <row r="3535" spans="1:10">
      <c r="A3535" s="1">
        <v>41150</v>
      </c>
      <c r="B3535">
        <v>87.37</v>
      </c>
      <c r="C3535">
        <v>87.92</v>
      </c>
      <c r="D3535">
        <v>87.18</v>
      </c>
      <c r="E3535">
        <v>87.63</v>
      </c>
      <c r="F3535">
        <v>1516300</v>
      </c>
      <c r="G3535">
        <v>86.88</v>
      </c>
      <c r="H3535" t="s">
        <v>16</v>
      </c>
      <c r="I3535" s="22">
        <f t="shared" si="111"/>
        <v>1.843318494289093E-3</v>
      </c>
      <c r="J3535" s="22" t="str">
        <f t="shared" si="112"/>
        <v/>
      </c>
    </row>
    <row r="3536" spans="1:10">
      <c r="A3536" s="1">
        <v>41151</v>
      </c>
      <c r="B3536">
        <v>87.5</v>
      </c>
      <c r="C3536">
        <v>87.65</v>
      </c>
      <c r="D3536">
        <v>86.88</v>
      </c>
      <c r="E3536">
        <v>87.19</v>
      </c>
      <c r="F3536">
        <v>1811600</v>
      </c>
      <c r="G3536">
        <v>86.45</v>
      </c>
      <c r="H3536" t="s">
        <v>16</v>
      </c>
      <c r="I3536" s="22">
        <f t="shared" si="111"/>
        <v>-4.961644056325697E-3</v>
      </c>
      <c r="J3536" s="22" t="str">
        <f t="shared" si="112"/>
        <v>lost money</v>
      </c>
    </row>
    <row r="3537" spans="1:10">
      <c r="A3537" s="1">
        <v>41152</v>
      </c>
      <c r="B3537">
        <v>87.7</v>
      </c>
      <c r="C3537">
        <v>87.97</v>
      </c>
      <c r="D3537">
        <v>87.16</v>
      </c>
      <c r="E3537">
        <v>87.63</v>
      </c>
      <c r="F3537">
        <v>1484400</v>
      </c>
      <c r="G3537">
        <v>86.88</v>
      </c>
      <c r="H3537" t="s">
        <v>16</v>
      </c>
      <c r="I3537" s="22">
        <f t="shared" si="111"/>
        <v>4.9616440563258054E-3</v>
      </c>
      <c r="J3537" s="22" t="str">
        <f t="shared" si="112"/>
        <v>lost money</v>
      </c>
    </row>
    <row r="3538" spans="1:10">
      <c r="A3538" s="1">
        <v>41156</v>
      </c>
      <c r="B3538">
        <v>87.37</v>
      </c>
      <c r="C3538">
        <v>88.11</v>
      </c>
      <c r="D3538">
        <v>86.87</v>
      </c>
      <c r="E3538">
        <v>87.54</v>
      </c>
      <c r="F3538">
        <v>1982400</v>
      </c>
      <c r="G3538">
        <v>86.8</v>
      </c>
      <c r="H3538" t="s">
        <v>16</v>
      </c>
      <c r="I3538" s="22">
        <f t="shared" si="111"/>
        <v>-9.2123451932076407E-4</v>
      </c>
      <c r="J3538" s="22" t="str">
        <f t="shared" si="112"/>
        <v/>
      </c>
    </row>
    <row r="3539" spans="1:10">
      <c r="A3539" s="1">
        <v>41157</v>
      </c>
      <c r="B3539">
        <v>85.6</v>
      </c>
      <c r="C3539">
        <v>87.17</v>
      </c>
      <c r="D3539">
        <v>85.31</v>
      </c>
      <c r="E3539">
        <v>85.8</v>
      </c>
      <c r="F3539">
        <v>5980600</v>
      </c>
      <c r="G3539">
        <v>85.07</v>
      </c>
      <c r="H3539" t="s">
        <v>16</v>
      </c>
      <c r="I3539" s="22">
        <f t="shared" si="111"/>
        <v>-2.0132174678511555E-2</v>
      </c>
      <c r="J3539" s="22" t="str">
        <f t="shared" si="112"/>
        <v/>
      </c>
    </row>
    <row r="3540" spans="1:10">
      <c r="A3540" s="1">
        <v>41158</v>
      </c>
      <c r="B3540">
        <v>85.87</v>
      </c>
      <c r="C3540">
        <v>87.64</v>
      </c>
      <c r="D3540">
        <v>85.87</v>
      </c>
      <c r="E3540">
        <v>87.54</v>
      </c>
      <c r="F3540">
        <v>2692900</v>
      </c>
      <c r="G3540">
        <v>86.94</v>
      </c>
      <c r="H3540" t="s">
        <v>16</v>
      </c>
      <c r="I3540" s="22">
        <f t="shared" si="111"/>
        <v>2.1743778572853173E-2</v>
      </c>
      <c r="J3540" s="22" t="str">
        <f t="shared" si="112"/>
        <v/>
      </c>
    </row>
    <row r="3541" spans="1:10">
      <c r="A3541" s="1">
        <v>41159</v>
      </c>
      <c r="B3541">
        <v>87.5</v>
      </c>
      <c r="C3541">
        <v>87.58</v>
      </c>
      <c r="D3541">
        <v>87.02</v>
      </c>
      <c r="E3541">
        <v>87.38</v>
      </c>
      <c r="F3541">
        <v>1530900</v>
      </c>
      <c r="G3541">
        <v>86.78</v>
      </c>
      <c r="H3541" t="s">
        <v>16</v>
      </c>
      <c r="I3541" s="22">
        <f t="shared" si="111"/>
        <v>-1.8420451904412809E-3</v>
      </c>
      <c r="J3541" s="22" t="str">
        <f t="shared" si="112"/>
        <v>lost money</v>
      </c>
    </row>
    <row r="3542" spans="1:10">
      <c r="A3542" s="1">
        <v>41162</v>
      </c>
      <c r="B3542">
        <v>87.19</v>
      </c>
      <c r="C3542">
        <v>88.27</v>
      </c>
      <c r="D3542">
        <v>87.11</v>
      </c>
      <c r="E3542">
        <v>87.96</v>
      </c>
      <c r="F3542">
        <v>2305000</v>
      </c>
      <c r="G3542">
        <v>87.35</v>
      </c>
      <c r="H3542" t="s">
        <v>16</v>
      </c>
      <c r="I3542" s="22">
        <f t="shared" si="111"/>
        <v>6.5468562098607635E-3</v>
      </c>
      <c r="J3542" s="22" t="str">
        <f t="shared" si="112"/>
        <v/>
      </c>
    </row>
    <row r="3543" spans="1:10">
      <c r="A3543" s="1">
        <v>41163</v>
      </c>
      <c r="B3543">
        <v>88.21</v>
      </c>
      <c r="C3543">
        <v>89.09</v>
      </c>
      <c r="D3543">
        <v>88.1</v>
      </c>
      <c r="E3543">
        <v>88.7</v>
      </c>
      <c r="F3543">
        <v>2089200</v>
      </c>
      <c r="G3543">
        <v>88.09</v>
      </c>
      <c r="H3543" t="s">
        <v>16</v>
      </c>
      <c r="I3543" s="22">
        <f t="shared" si="111"/>
        <v>8.4359825416389384E-3</v>
      </c>
      <c r="J3543" s="22" t="str">
        <f t="shared" si="112"/>
        <v/>
      </c>
    </row>
    <row r="3544" spans="1:10">
      <c r="A3544" s="1">
        <v>41164</v>
      </c>
      <c r="B3544">
        <v>88.98</v>
      </c>
      <c r="C3544">
        <v>89.13</v>
      </c>
      <c r="D3544">
        <v>88.4</v>
      </c>
      <c r="E3544">
        <v>89.08</v>
      </c>
      <c r="F3544">
        <v>1421800</v>
      </c>
      <c r="G3544">
        <v>88.47</v>
      </c>
      <c r="H3544" t="s">
        <v>16</v>
      </c>
      <c r="I3544" s="22">
        <f t="shared" si="111"/>
        <v>4.3044923735901406E-3</v>
      </c>
      <c r="J3544" s="22" t="str">
        <f t="shared" si="112"/>
        <v/>
      </c>
    </row>
    <row r="3545" spans="1:10">
      <c r="A3545" s="1">
        <v>41165</v>
      </c>
      <c r="B3545">
        <v>89.01</v>
      </c>
      <c r="C3545">
        <v>90.92</v>
      </c>
      <c r="D3545">
        <v>88.23</v>
      </c>
      <c r="E3545">
        <v>90.36</v>
      </c>
      <c r="F3545">
        <v>2144400</v>
      </c>
      <c r="G3545">
        <v>89.74</v>
      </c>
      <c r="H3545" t="s">
        <v>16</v>
      </c>
      <c r="I3545" s="22">
        <f t="shared" si="111"/>
        <v>1.4253089052542635E-2</v>
      </c>
      <c r="J3545" s="22" t="str">
        <f t="shared" si="112"/>
        <v/>
      </c>
    </row>
    <row r="3546" spans="1:10">
      <c r="A3546" s="1">
        <v>41166</v>
      </c>
      <c r="B3546">
        <v>90.1</v>
      </c>
      <c r="C3546">
        <v>90.74</v>
      </c>
      <c r="D3546">
        <v>89.81</v>
      </c>
      <c r="E3546">
        <v>90.15</v>
      </c>
      <c r="F3546">
        <v>2294200</v>
      </c>
      <c r="G3546">
        <v>89.53</v>
      </c>
      <c r="H3546" t="s">
        <v>16</v>
      </c>
      <c r="I3546" s="22">
        <f t="shared" si="111"/>
        <v>-2.3428359017726073E-3</v>
      </c>
      <c r="J3546" s="22" t="str">
        <f t="shared" si="112"/>
        <v/>
      </c>
    </row>
    <row r="3547" spans="1:10">
      <c r="A3547" s="1">
        <v>41169</v>
      </c>
      <c r="B3547">
        <v>89.71</v>
      </c>
      <c r="C3547">
        <v>90.09</v>
      </c>
      <c r="D3547">
        <v>88.92</v>
      </c>
      <c r="E3547">
        <v>89.28</v>
      </c>
      <c r="F3547">
        <v>2381300</v>
      </c>
      <c r="G3547">
        <v>88.66</v>
      </c>
      <c r="H3547" t="s">
        <v>16</v>
      </c>
      <c r="I3547" s="22">
        <f t="shared" si="111"/>
        <v>-9.7649353291572403E-3</v>
      </c>
      <c r="J3547" s="22" t="str">
        <f t="shared" si="112"/>
        <v>lost money</v>
      </c>
    </row>
    <row r="3548" spans="1:10">
      <c r="A3548" s="1">
        <v>41170</v>
      </c>
      <c r="B3548">
        <v>86.95</v>
      </c>
      <c r="C3548">
        <v>88.33</v>
      </c>
      <c r="D3548">
        <v>86.36</v>
      </c>
      <c r="E3548">
        <v>86.55</v>
      </c>
      <c r="F3548">
        <v>6413300</v>
      </c>
      <c r="G3548">
        <v>85.95</v>
      </c>
      <c r="H3548" t="s">
        <v>16</v>
      </c>
      <c r="I3548" s="22">
        <f t="shared" si="111"/>
        <v>-3.1043097488049134E-2</v>
      </c>
      <c r="J3548" s="22" t="str">
        <f t="shared" si="112"/>
        <v>lost money</v>
      </c>
    </row>
    <row r="3549" spans="1:10">
      <c r="A3549" s="1">
        <v>41171</v>
      </c>
      <c r="B3549">
        <v>86.51</v>
      </c>
      <c r="C3549">
        <v>87.08</v>
      </c>
      <c r="D3549">
        <v>85.9</v>
      </c>
      <c r="E3549">
        <v>86.9</v>
      </c>
      <c r="F3549">
        <v>4024500</v>
      </c>
      <c r="G3549">
        <v>86.3</v>
      </c>
      <c r="H3549" t="s">
        <v>16</v>
      </c>
      <c r="I3549" s="22">
        <f t="shared" si="111"/>
        <v>4.0638662605239602E-3</v>
      </c>
      <c r="J3549" s="22" t="str">
        <f t="shared" si="112"/>
        <v/>
      </c>
    </row>
    <row r="3550" spans="1:10">
      <c r="A3550" s="1">
        <v>41172</v>
      </c>
      <c r="B3550">
        <v>86.3</v>
      </c>
      <c r="C3550">
        <v>86.58</v>
      </c>
      <c r="D3550">
        <v>84.9</v>
      </c>
      <c r="E3550">
        <v>85.17</v>
      </c>
      <c r="F3550">
        <v>4071400</v>
      </c>
      <c r="G3550">
        <v>84.58</v>
      </c>
      <c r="H3550" t="s">
        <v>16</v>
      </c>
      <c r="I3550" s="22">
        <f t="shared" si="111"/>
        <v>-2.0131766045039752E-2</v>
      </c>
      <c r="J3550" s="22" t="str">
        <f t="shared" si="112"/>
        <v>lost money</v>
      </c>
    </row>
    <row r="3551" spans="1:10">
      <c r="A3551" s="1">
        <v>41173</v>
      </c>
      <c r="B3551">
        <v>85.89</v>
      </c>
      <c r="C3551">
        <v>85.89</v>
      </c>
      <c r="D3551">
        <v>84.15</v>
      </c>
      <c r="E3551">
        <v>84.39</v>
      </c>
      <c r="F3551">
        <v>5200800</v>
      </c>
      <c r="G3551">
        <v>83.81</v>
      </c>
      <c r="H3551" t="s">
        <v>16</v>
      </c>
      <c r="I3551" s="22">
        <f t="shared" si="111"/>
        <v>-9.1454999335276749E-3</v>
      </c>
      <c r="J3551" s="22" t="str">
        <f t="shared" si="112"/>
        <v>lost money</v>
      </c>
    </row>
    <row r="3552" spans="1:10">
      <c r="A3552" s="1">
        <v>41176</v>
      </c>
      <c r="B3552">
        <v>84</v>
      </c>
      <c r="C3552">
        <v>85.5</v>
      </c>
      <c r="D3552">
        <v>83.92</v>
      </c>
      <c r="E3552">
        <v>85.16</v>
      </c>
      <c r="F3552">
        <v>2831600</v>
      </c>
      <c r="G3552">
        <v>84.57</v>
      </c>
      <c r="H3552" t="s">
        <v>16</v>
      </c>
      <c r="I3552" s="22">
        <f t="shared" si="111"/>
        <v>9.0272616833160235E-3</v>
      </c>
      <c r="J3552" s="22" t="str">
        <f t="shared" si="112"/>
        <v/>
      </c>
    </row>
    <row r="3553" spans="1:10">
      <c r="A3553" s="1">
        <v>41177</v>
      </c>
      <c r="B3553">
        <v>85.59</v>
      </c>
      <c r="C3553">
        <v>85.85</v>
      </c>
      <c r="D3553">
        <v>84.53</v>
      </c>
      <c r="E3553">
        <v>84.54</v>
      </c>
      <c r="F3553">
        <v>2829800</v>
      </c>
      <c r="G3553">
        <v>83.96</v>
      </c>
      <c r="H3553" t="s">
        <v>16</v>
      </c>
      <c r="I3553" s="22">
        <f t="shared" si="111"/>
        <v>-7.2390988416986763E-3</v>
      </c>
      <c r="J3553" s="22" t="str">
        <f t="shared" si="112"/>
        <v>lost money</v>
      </c>
    </row>
    <row r="3554" spans="1:10">
      <c r="A3554" s="1">
        <v>41178</v>
      </c>
      <c r="B3554">
        <v>84.27</v>
      </c>
      <c r="C3554">
        <v>84.95</v>
      </c>
      <c r="D3554">
        <v>83.98</v>
      </c>
      <c r="E3554">
        <v>84.39</v>
      </c>
      <c r="F3554">
        <v>2369300</v>
      </c>
      <c r="G3554">
        <v>83.81</v>
      </c>
      <c r="H3554" t="s">
        <v>16</v>
      </c>
      <c r="I3554" s="22">
        <f t="shared" si="111"/>
        <v>-1.788162841617372E-3</v>
      </c>
      <c r="J3554" s="22" t="str">
        <f t="shared" si="112"/>
        <v/>
      </c>
    </row>
    <row r="3555" spans="1:10">
      <c r="A3555" s="1">
        <v>41179</v>
      </c>
      <c r="B3555">
        <v>84.96</v>
      </c>
      <c r="C3555">
        <v>85.8</v>
      </c>
      <c r="D3555">
        <v>84.56</v>
      </c>
      <c r="E3555">
        <v>85.77</v>
      </c>
      <c r="F3555">
        <v>2500100</v>
      </c>
      <c r="G3555">
        <v>85.18</v>
      </c>
      <c r="H3555" t="s">
        <v>16</v>
      </c>
      <c r="I3555" s="22">
        <f t="shared" si="111"/>
        <v>1.6214332384252735E-2</v>
      </c>
      <c r="J3555" s="22" t="str">
        <f t="shared" si="112"/>
        <v/>
      </c>
    </row>
    <row r="3556" spans="1:10">
      <c r="A3556" s="1">
        <v>41180</v>
      </c>
      <c r="B3556">
        <v>85.38</v>
      </c>
      <c r="C3556">
        <v>85.47</v>
      </c>
      <c r="D3556">
        <v>84.17</v>
      </c>
      <c r="E3556">
        <v>84.62</v>
      </c>
      <c r="F3556">
        <v>2408000</v>
      </c>
      <c r="G3556">
        <v>84.04</v>
      </c>
      <c r="H3556" t="s">
        <v>16</v>
      </c>
      <c r="I3556" s="22">
        <f t="shared" si="111"/>
        <v>-1.3473788518267762E-2</v>
      </c>
      <c r="J3556" s="22" t="str">
        <f t="shared" si="112"/>
        <v>lost money</v>
      </c>
    </row>
    <row r="3557" spans="1:10">
      <c r="A3557" s="1">
        <v>41183</v>
      </c>
      <c r="B3557">
        <v>84.93</v>
      </c>
      <c r="C3557">
        <v>85.94</v>
      </c>
      <c r="D3557">
        <v>84.53</v>
      </c>
      <c r="E3557">
        <v>85.02</v>
      </c>
      <c r="F3557">
        <v>2037100</v>
      </c>
      <c r="G3557">
        <v>84.43</v>
      </c>
      <c r="H3557" t="s">
        <v>16</v>
      </c>
      <c r="I3557" s="22">
        <f t="shared" si="111"/>
        <v>4.6299127046090013E-3</v>
      </c>
      <c r="J3557" s="22" t="str">
        <f t="shared" si="112"/>
        <v/>
      </c>
    </row>
    <row r="3558" spans="1:10">
      <c r="A3558" s="1">
        <v>41184</v>
      </c>
      <c r="B3558">
        <v>85.18</v>
      </c>
      <c r="C3558">
        <v>85.81</v>
      </c>
      <c r="D3558">
        <v>84.21</v>
      </c>
      <c r="E3558">
        <v>84.5</v>
      </c>
      <c r="F3558">
        <v>1683300</v>
      </c>
      <c r="G3558">
        <v>83.92</v>
      </c>
      <c r="H3558" t="s">
        <v>16</v>
      </c>
      <c r="I3558" s="22">
        <f t="shared" si="111"/>
        <v>-6.0588245933669085E-3</v>
      </c>
      <c r="J3558" s="22" t="str">
        <f t="shared" si="112"/>
        <v>lost money</v>
      </c>
    </row>
    <row r="3559" spans="1:10">
      <c r="A3559" s="1">
        <v>41185</v>
      </c>
      <c r="B3559">
        <v>84.8</v>
      </c>
      <c r="C3559">
        <v>85.88</v>
      </c>
      <c r="D3559">
        <v>84.4</v>
      </c>
      <c r="E3559">
        <v>85.62</v>
      </c>
      <c r="F3559">
        <v>1726300</v>
      </c>
      <c r="G3559">
        <v>85.03</v>
      </c>
      <c r="H3559" t="s">
        <v>16</v>
      </c>
      <c r="I3559" s="22">
        <f t="shared" si="111"/>
        <v>1.3140171309659316E-2</v>
      </c>
      <c r="J3559" s="22" t="str">
        <f t="shared" si="112"/>
        <v/>
      </c>
    </row>
    <row r="3560" spans="1:10">
      <c r="A3560" s="1">
        <v>41186</v>
      </c>
      <c r="B3560">
        <v>85.92</v>
      </c>
      <c r="C3560">
        <v>86.62</v>
      </c>
      <c r="D3560">
        <v>85.61</v>
      </c>
      <c r="E3560">
        <v>86.53</v>
      </c>
      <c r="F3560">
        <v>2060200</v>
      </c>
      <c r="G3560">
        <v>85.93</v>
      </c>
      <c r="H3560" t="s">
        <v>16</v>
      </c>
      <c r="I3560" s="22">
        <f t="shared" si="111"/>
        <v>1.0528875927430535E-2</v>
      </c>
      <c r="J3560" s="22" t="str">
        <f t="shared" si="112"/>
        <v/>
      </c>
    </row>
    <row r="3561" spans="1:10">
      <c r="A3561" s="1">
        <v>41187</v>
      </c>
      <c r="B3561">
        <v>86.85</v>
      </c>
      <c r="C3561">
        <v>87.48</v>
      </c>
      <c r="D3561">
        <v>86.39</v>
      </c>
      <c r="E3561">
        <v>86.47</v>
      </c>
      <c r="F3561">
        <v>2734400</v>
      </c>
      <c r="G3561">
        <v>85.87</v>
      </c>
      <c r="H3561" t="s">
        <v>16</v>
      </c>
      <c r="I3561" s="22">
        <f t="shared" si="111"/>
        <v>-6.9848664073824871E-4</v>
      </c>
      <c r="J3561" s="22" t="str">
        <f t="shared" si="112"/>
        <v>lost money</v>
      </c>
    </row>
    <row r="3562" spans="1:10">
      <c r="A3562" s="1">
        <v>41190</v>
      </c>
      <c r="B3562">
        <v>86.34</v>
      </c>
      <c r="C3562">
        <v>86.82</v>
      </c>
      <c r="D3562">
        <v>85.9</v>
      </c>
      <c r="E3562">
        <v>86.37</v>
      </c>
      <c r="F3562">
        <v>1611000</v>
      </c>
      <c r="G3562">
        <v>85.77</v>
      </c>
      <c r="H3562" t="s">
        <v>16</v>
      </c>
      <c r="I3562" s="22">
        <f t="shared" si="111"/>
        <v>-1.1652296820633713E-3</v>
      </c>
      <c r="J3562" s="22" t="str">
        <f t="shared" si="112"/>
        <v/>
      </c>
    </row>
    <row r="3563" spans="1:10">
      <c r="A3563" s="1">
        <v>41191</v>
      </c>
      <c r="B3563">
        <v>86.53</v>
      </c>
      <c r="C3563">
        <v>86.78</v>
      </c>
      <c r="D3563">
        <v>85.55</v>
      </c>
      <c r="E3563">
        <v>85.58</v>
      </c>
      <c r="F3563">
        <v>2013100</v>
      </c>
      <c r="G3563">
        <v>84.99</v>
      </c>
      <c r="H3563" t="s">
        <v>16</v>
      </c>
      <c r="I3563" s="22">
        <f t="shared" si="111"/>
        <v>-9.1356924917953188E-3</v>
      </c>
      <c r="J3563" s="22" t="str">
        <f t="shared" si="112"/>
        <v>lost money</v>
      </c>
    </row>
    <row r="3564" spans="1:10">
      <c r="A3564" s="1">
        <v>41192</v>
      </c>
      <c r="B3564">
        <v>88.31</v>
      </c>
      <c r="C3564">
        <v>90.93</v>
      </c>
      <c r="D3564">
        <v>88.19</v>
      </c>
      <c r="E3564">
        <v>89.99</v>
      </c>
      <c r="F3564">
        <v>8995100</v>
      </c>
      <c r="G3564">
        <v>89.37</v>
      </c>
      <c r="H3564" t="s">
        <v>16</v>
      </c>
      <c r="I3564" s="22">
        <f t="shared" si="111"/>
        <v>5.0251452882765758E-2</v>
      </c>
      <c r="J3564" s="22" t="str">
        <f t="shared" si="112"/>
        <v/>
      </c>
    </row>
    <row r="3565" spans="1:10">
      <c r="A3565" s="1">
        <v>41193</v>
      </c>
      <c r="B3565">
        <v>91.7</v>
      </c>
      <c r="C3565">
        <v>92.5</v>
      </c>
      <c r="D3565">
        <v>90</v>
      </c>
      <c r="E3565">
        <v>90</v>
      </c>
      <c r="F3565">
        <v>4171000</v>
      </c>
      <c r="G3565">
        <v>89.38</v>
      </c>
      <c r="H3565" t="s">
        <v>16</v>
      </c>
      <c r="I3565" s="22">
        <f t="shared" si="111"/>
        <v>1.1188811200484187E-4</v>
      </c>
      <c r="J3565" s="22" t="str">
        <f t="shared" si="112"/>
        <v>lost money</v>
      </c>
    </row>
    <row r="3566" spans="1:10">
      <c r="A3566" s="1">
        <v>41194</v>
      </c>
      <c r="B3566">
        <v>90.28</v>
      </c>
      <c r="C3566">
        <v>91.09</v>
      </c>
      <c r="D3566">
        <v>90.01</v>
      </c>
      <c r="E3566">
        <v>90.4</v>
      </c>
      <c r="F3566">
        <v>2629900</v>
      </c>
      <c r="G3566">
        <v>89.78</v>
      </c>
      <c r="H3566" t="s">
        <v>16</v>
      </c>
      <c r="I3566" s="22">
        <f t="shared" si="111"/>
        <v>4.4652898484807283E-3</v>
      </c>
      <c r="J3566" s="22" t="str">
        <f t="shared" si="112"/>
        <v/>
      </c>
    </row>
    <row r="3567" spans="1:10">
      <c r="A3567" s="1">
        <v>41197</v>
      </c>
      <c r="B3567">
        <v>90.51</v>
      </c>
      <c r="C3567">
        <v>91.2</v>
      </c>
      <c r="D3567">
        <v>90.21</v>
      </c>
      <c r="E3567">
        <v>90.65</v>
      </c>
      <c r="F3567">
        <v>2526800</v>
      </c>
      <c r="G3567">
        <v>90.03</v>
      </c>
      <c r="H3567" t="s">
        <v>16</v>
      </c>
      <c r="I3567" s="22">
        <f t="shared" si="111"/>
        <v>2.7807147665992781E-3</v>
      </c>
      <c r="J3567" s="22" t="str">
        <f t="shared" si="112"/>
        <v/>
      </c>
    </row>
    <row r="3568" spans="1:10">
      <c r="A3568" s="1">
        <v>41198</v>
      </c>
      <c r="B3568">
        <v>91</v>
      </c>
      <c r="C3568">
        <v>91.96</v>
      </c>
      <c r="D3568">
        <v>90.28</v>
      </c>
      <c r="E3568">
        <v>91.92</v>
      </c>
      <c r="F3568">
        <v>2602000</v>
      </c>
      <c r="G3568">
        <v>91.29</v>
      </c>
      <c r="H3568" t="s">
        <v>16</v>
      </c>
      <c r="I3568" s="22">
        <f t="shared" si="111"/>
        <v>1.3898304456603987E-2</v>
      </c>
      <c r="J3568" s="22" t="str">
        <f t="shared" si="112"/>
        <v/>
      </c>
    </row>
    <row r="3569" spans="1:10">
      <c r="A3569" s="1">
        <v>41199</v>
      </c>
      <c r="B3569">
        <v>91.99</v>
      </c>
      <c r="C3569">
        <v>93.09</v>
      </c>
      <c r="D3569">
        <v>91.83</v>
      </c>
      <c r="E3569">
        <v>92.95</v>
      </c>
      <c r="F3569">
        <v>2378500</v>
      </c>
      <c r="G3569">
        <v>92.31</v>
      </c>
      <c r="H3569" t="s">
        <v>16</v>
      </c>
      <c r="I3569" s="22">
        <f t="shared" si="111"/>
        <v>1.1111225425070629E-2</v>
      </c>
      <c r="J3569" s="22" t="str">
        <f t="shared" si="112"/>
        <v/>
      </c>
    </row>
    <row r="3570" spans="1:10">
      <c r="A3570" s="1">
        <v>41200</v>
      </c>
      <c r="B3570">
        <v>92.49</v>
      </c>
      <c r="C3570">
        <v>94.26</v>
      </c>
      <c r="D3570">
        <v>92.49</v>
      </c>
      <c r="E3570">
        <v>93.49</v>
      </c>
      <c r="F3570">
        <v>2346200</v>
      </c>
      <c r="G3570">
        <v>92.85</v>
      </c>
      <c r="H3570" t="s">
        <v>16</v>
      </c>
      <c r="I3570" s="22">
        <f t="shared" si="111"/>
        <v>5.8328097966544789E-3</v>
      </c>
      <c r="J3570" s="22" t="str">
        <f t="shared" si="112"/>
        <v/>
      </c>
    </row>
    <row r="3571" spans="1:10">
      <c r="A3571" s="1">
        <v>41201</v>
      </c>
      <c r="B3571">
        <v>93.24</v>
      </c>
      <c r="C3571">
        <v>93.45</v>
      </c>
      <c r="D3571">
        <v>91.48</v>
      </c>
      <c r="E3571">
        <v>92.11</v>
      </c>
      <c r="F3571">
        <v>2474300</v>
      </c>
      <c r="G3571">
        <v>91.48</v>
      </c>
      <c r="H3571" t="s">
        <v>16</v>
      </c>
      <c r="I3571" s="22">
        <f t="shared" si="111"/>
        <v>-1.4864918644134334E-2</v>
      </c>
      <c r="J3571" s="22" t="str">
        <f t="shared" si="112"/>
        <v>lost money</v>
      </c>
    </row>
    <row r="3572" spans="1:10">
      <c r="A3572" s="1">
        <v>41204</v>
      </c>
      <c r="B3572">
        <v>92.12</v>
      </c>
      <c r="C3572">
        <v>92.25</v>
      </c>
      <c r="D3572">
        <v>90.86</v>
      </c>
      <c r="E3572">
        <v>91.48</v>
      </c>
      <c r="F3572">
        <v>1678400</v>
      </c>
      <c r="G3572">
        <v>90.85</v>
      </c>
      <c r="H3572" t="s">
        <v>16</v>
      </c>
      <c r="I3572" s="22">
        <f t="shared" si="111"/>
        <v>-6.9105743124003262E-3</v>
      </c>
      <c r="J3572" s="22" t="str">
        <f t="shared" si="112"/>
        <v>lost money</v>
      </c>
    </row>
    <row r="3573" spans="1:10">
      <c r="A3573" s="1">
        <v>41205</v>
      </c>
      <c r="B3573">
        <v>91.55</v>
      </c>
      <c r="C3573">
        <v>92.1</v>
      </c>
      <c r="D3573">
        <v>91.02</v>
      </c>
      <c r="E3573">
        <v>91.79</v>
      </c>
      <c r="F3573">
        <v>2192400</v>
      </c>
      <c r="G3573">
        <v>91.16</v>
      </c>
      <c r="H3573" t="s">
        <v>16</v>
      </c>
      <c r="I3573" s="22">
        <f t="shared" si="111"/>
        <v>3.4064095353032579E-3</v>
      </c>
      <c r="J3573" s="22" t="str">
        <f t="shared" si="112"/>
        <v/>
      </c>
    </row>
    <row r="3574" spans="1:10">
      <c r="A3574" s="1">
        <v>41206</v>
      </c>
      <c r="B3574">
        <v>92.11</v>
      </c>
      <c r="C3574">
        <v>92.11</v>
      </c>
      <c r="D3574">
        <v>90.65</v>
      </c>
      <c r="E3574">
        <v>90.83</v>
      </c>
      <c r="F3574">
        <v>1447600</v>
      </c>
      <c r="G3574">
        <v>90.2</v>
      </c>
      <c r="H3574" t="s">
        <v>16</v>
      </c>
      <c r="I3574" s="22">
        <f t="shared" si="111"/>
        <v>-1.0586777308905488E-2</v>
      </c>
      <c r="J3574" s="22" t="str">
        <f t="shared" si="112"/>
        <v>lost money</v>
      </c>
    </row>
    <row r="3575" spans="1:10">
      <c r="A3575" s="1">
        <v>41207</v>
      </c>
      <c r="B3575">
        <v>91.18</v>
      </c>
      <c r="C3575">
        <v>91.72</v>
      </c>
      <c r="D3575">
        <v>90.07</v>
      </c>
      <c r="E3575">
        <v>91.12</v>
      </c>
      <c r="F3575">
        <v>1532200</v>
      </c>
      <c r="G3575">
        <v>90.49</v>
      </c>
      <c r="H3575" t="s">
        <v>16</v>
      </c>
      <c r="I3575" s="22">
        <f t="shared" si="111"/>
        <v>3.2099202944638628E-3</v>
      </c>
      <c r="J3575" s="22" t="str">
        <f t="shared" si="112"/>
        <v>lost money</v>
      </c>
    </row>
    <row r="3576" spans="1:10">
      <c r="A3576" s="1">
        <v>41208</v>
      </c>
      <c r="B3576">
        <v>90.79</v>
      </c>
      <c r="C3576">
        <v>91.56</v>
      </c>
      <c r="D3576">
        <v>90.14</v>
      </c>
      <c r="E3576">
        <v>90.69</v>
      </c>
      <c r="F3576">
        <v>1639000</v>
      </c>
      <c r="G3576">
        <v>90.07</v>
      </c>
      <c r="H3576" t="s">
        <v>16</v>
      </c>
      <c r="I3576" s="22">
        <f t="shared" si="111"/>
        <v>-4.6522015673904106E-3</v>
      </c>
      <c r="J3576" s="22" t="str">
        <f t="shared" si="112"/>
        <v>lost money</v>
      </c>
    </row>
    <row r="3577" spans="1:10">
      <c r="A3577" s="1">
        <v>41213</v>
      </c>
      <c r="B3577">
        <v>90.94</v>
      </c>
      <c r="C3577">
        <v>92.11</v>
      </c>
      <c r="D3577">
        <v>90.62</v>
      </c>
      <c r="E3577">
        <v>91.99</v>
      </c>
      <c r="F3577">
        <v>1844400</v>
      </c>
      <c r="G3577">
        <v>91.36</v>
      </c>
      <c r="H3577" t="s">
        <v>16</v>
      </c>
      <c r="I3577" s="22">
        <f t="shared" si="111"/>
        <v>1.4220600112048641E-2</v>
      </c>
      <c r="J3577" s="22" t="str">
        <f t="shared" si="112"/>
        <v/>
      </c>
    </row>
    <row r="3578" spans="1:10">
      <c r="A3578" s="1">
        <v>41214</v>
      </c>
      <c r="B3578">
        <v>91.54</v>
      </c>
      <c r="C3578">
        <v>93.2</v>
      </c>
      <c r="D3578">
        <v>91.54</v>
      </c>
      <c r="E3578">
        <v>93.01</v>
      </c>
      <c r="F3578">
        <v>1738000</v>
      </c>
      <c r="G3578">
        <v>92.37</v>
      </c>
      <c r="H3578" t="s">
        <v>16</v>
      </c>
      <c r="I3578" s="22">
        <f t="shared" si="111"/>
        <v>1.0994504696818624E-2</v>
      </c>
      <c r="J3578" s="22" t="str">
        <f t="shared" si="112"/>
        <v/>
      </c>
    </row>
    <row r="3579" spans="1:10">
      <c r="A3579" s="1">
        <v>41215</v>
      </c>
      <c r="B3579">
        <v>93.37</v>
      </c>
      <c r="C3579">
        <v>93.98</v>
      </c>
      <c r="D3579">
        <v>92.37</v>
      </c>
      <c r="E3579">
        <v>92.64</v>
      </c>
      <c r="F3579">
        <v>1384100</v>
      </c>
      <c r="G3579">
        <v>92</v>
      </c>
      <c r="H3579" t="s">
        <v>16</v>
      </c>
      <c r="I3579" s="22">
        <f t="shared" si="111"/>
        <v>-4.0136735554784338E-3</v>
      </c>
      <c r="J3579" s="22" t="str">
        <f t="shared" si="112"/>
        <v>lost money</v>
      </c>
    </row>
    <row r="3580" spans="1:10">
      <c r="A3580" s="1">
        <v>41218</v>
      </c>
      <c r="B3580">
        <v>92.47</v>
      </c>
      <c r="C3580">
        <v>92.94</v>
      </c>
      <c r="D3580">
        <v>92.14</v>
      </c>
      <c r="E3580">
        <v>92.84</v>
      </c>
      <c r="F3580">
        <v>1066800</v>
      </c>
      <c r="G3580">
        <v>92.2</v>
      </c>
      <c r="H3580" t="s">
        <v>16</v>
      </c>
      <c r="I3580" s="22">
        <f t="shared" si="111"/>
        <v>2.1715535135079325E-3</v>
      </c>
      <c r="J3580" s="22" t="str">
        <f t="shared" si="112"/>
        <v/>
      </c>
    </row>
    <row r="3581" spans="1:10">
      <c r="A3581" s="1">
        <v>41219</v>
      </c>
      <c r="B3581">
        <v>92.89</v>
      </c>
      <c r="C3581">
        <v>93.79</v>
      </c>
      <c r="D3581">
        <v>92.55</v>
      </c>
      <c r="E3581">
        <v>93.39</v>
      </c>
      <c r="F3581">
        <v>1349000</v>
      </c>
      <c r="G3581">
        <v>92.75</v>
      </c>
      <c r="H3581" t="s">
        <v>16</v>
      </c>
      <c r="I3581" s="22">
        <f t="shared" si="111"/>
        <v>5.9475709249962715E-3</v>
      </c>
      <c r="J3581" s="22" t="str">
        <f t="shared" si="112"/>
        <v/>
      </c>
    </row>
    <row r="3582" spans="1:10">
      <c r="A3582" s="1">
        <v>41220</v>
      </c>
      <c r="B3582">
        <v>92.71</v>
      </c>
      <c r="C3582">
        <v>92.73</v>
      </c>
      <c r="D3582">
        <v>91</v>
      </c>
      <c r="E3582">
        <v>91.51</v>
      </c>
      <c r="F3582">
        <v>1575700</v>
      </c>
      <c r="G3582">
        <v>90.88</v>
      </c>
      <c r="H3582" t="s">
        <v>16</v>
      </c>
      <c r="I3582" s="22">
        <f t="shared" si="111"/>
        <v>-2.0367746514703307E-2</v>
      </c>
      <c r="J3582" s="22" t="str">
        <f t="shared" si="112"/>
        <v>lost money</v>
      </c>
    </row>
    <row r="3583" spans="1:10">
      <c r="A3583" s="1">
        <v>41221</v>
      </c>
      <c r="B3583">
        <v>91.41</v>
      </c>
      <c r="C3583">
        <v>91.74</v>
      </c>
      <c r="D3583">
        <v>90</v>
      </c>
      <c r="E3583">
        <v>90.03</v>
      </c>
      <c r="F3583">
        <v>1461300</v>
      </c>
      <c r="G3583">
        <v>89.41</v>
      </c>
      <c r="H3583" t="s">
        <v>16</v>
      </c>
      <c r="I3583" s="22">
        <f t="shared" si="111"/>
        <v>-1.6307422225614494E-2</v>
      </c>
      <c r="J3583" s="22" t="str">
        <f t="shared" si="112"/>
        <v>lost money</v>
      </c>
    </row>
    <row r="3584" spans="1:10">
      <c r="A3584" s="1">
        <v>41222</v>
      </c>
      <c r="B3584">
        <v>89.95</v>
      </c>
      <c r="C3584">
        <v>90.41</v>
      </c>
      <c r="D3584">
        <v>89.32</v>
      </c>
      <c r="E3584">
        <v>89.73</v>
      </c>
      <c r="F3584">
        <v>1938700</v>
      </c>
      <c r="G3584">
        <v>89.11</v>
      </c>
      <c r="H3584" t="s">
        <v>16</v>
      </c>
      <c r="I3584" s="22">
        <f t="shared" si="111"/>
        <v>-3.3609711225982505E-3</v>
      </c>
      <c r="J3584" s="22" t="str">
        <f t="shared" si="112"/>
        <v>lost money</v>
      </c>
    </row>
    <row r="3585" spans="1:10">
      <c r="A3585" s="1">
        <v>41225</v>
      </c>
      <c r="B3585">
        <v>89.73</v>
      </c>
      <c r="C3585">
        <v>90.58</v>
      </c>
      <c r="D3585">
        <v>89.58</v>
      </c>
      <c r="E3585">
        <v>90.08</v>
      </c>
      <c r="F3585">
        <v>1347700</v>
      </c>
      <c r="G3585">
        <v>89.46</v>
      </c>
      <c r="H3585" t="s">
        <v>16</v>
      </c>
      <c r="I3585" s="22">
        <f t="shared" si="111"/>
        <v>3.9200363800735005E-3</v>
      </c>
      <c r="J3585" s="22" t="str">
        <f t="shared" si="112"/>
        <v/>
      </c>
    </row>
    <row r="3586" spans="1:10">
      <c r="A3586" s="1">
        <v>41226</v>
      </c>
      <c r="B3586">
        <v>89.67</v>
      </c>
      <c r="C3586">
        <v>91.5</v>
      </c>
      <c r="D3586">
        <v>89.25</v>
      </c>
      <c r="E3586">
        <v>90.46</v>
      </c>
      <c r="F3586">
        <v>1682000</v>
      </c>
      <c r="G3586">
        <v>89.84</v>
      </c>
      <c r="H3586" t="s">
        <v>16</v>
      </c>
      <c r="I3586" s="22">
        <f t="shared" si="111"/>
        <v>4.2387124254858778E-3</v>
      </c>
      <c r="J3586" s="22" t="str">
        <f t="shared" si="112"/>
        <v/>
      </c>
    </row>
    <row r="3587" spans="1:10">
      <c r="A3587" s="1">
        <v>41227</v>
      </c>
      <c r="B3587">
        <v>90.49</v>
      </c>
      <c r="C3587">
        <v>90.66</v>
      </c>
      <c r="D3587">
        <v>86.94</v>
      </c>
      <c r="E3587">
        <v>87.12</v>
      </c>
      <c r="F3587">
        <v>2591500</v>
      </c>
      <c r="G3587">
        <v>86.52</v>
      </c>
      <c r="H3587" t="s">
        <v>16</v>
      </c>
      <c r="I3587" s="22">
        <f t="shared" ref="I3587:I3650" si="113">IF(A3587=$A$2,"",LN(G3587/G3586))</f>
        <v>-3.7654709345329773E-2</v>
      </c>
      <c r="J3587" s="22" t="str">
        <f t="shared" ref="J3587:J3650" si="114">IF(B3587&gt;E3587,"lost money","")</f>
        <v>lost money</v>
      </c>
    </row>
    <row r="3588" spans="1:10">
      <c r="A3588" s="1">
        <v>41228</v>
      </c>
      <c r="B3588">
        <v>87.12</v>
      </c>
      <c r="C3588">
        <v>87.77</v>
      </c>
      <c r="D3588">
        <v>85.93</v>
      </c>
      <c r="E3588">
        <v>86.54</v>
      </c>
      <c r="F3588">
        <v>2410400</v>
      </c>
      <c r="G3588">
        <v>85.94</v>
      </c>
      <c r="H3588" t="s">
        <v>16</v>
      </c>
      <c r="I3588" s="22">
        <f t="shared" si="113"/>
        <v>-6.7262227380089279E-3</v>
      </c>
      <c r="J3588" s="22" t="str">
        <f t="shared" si="114"/>
        <v>lost money</v>
      </c>
    </row>
    <row r="3589" spans="1:10">
      <c r="A3589" s="1">
        <v>41229</v>
      </c>
      <c r="B3589">
        <v>86.23</v>
      </c>
      <c r="C3589">
        <v>86.74</v>
      </c>
      <c r="D3589">
        <v>85.15</v>
      </c>
      <c r="E3589">
        <v>86.13</v>
      </c>
      <c r="F3589">
        <v>2142600</v>
      </c>
      <c r="G3589">
        <v>85.54</v>
      </c>
      <c r="H3589" t="s">
        <v>16</v>
      </c>
      <c r="I3589" s="22">
        <f t="shared" si="113"/>
        <v>-4.6652755480863905E-3</v>
      </c>
      <c r="J3589" s="22" t="str">
        <f t="shared" si="114"/>
        <v>lost money</v>
      </c>
    </row>
    <row r="3590" spans="1:10">
      <c r="A3590" s="1">
        <v>41232</v>
      </c>
      <c r="B3590">
        <v>87.05</v>
      </c>
      <c r="C3590">
        <v>87.39</v>
      </c>
      <c r="D3590">
        <v>85.8</v>
      </c>
      <c r="E3590">
        <v>87</v>
      </c>
      <c r="F3590">
        <v>1984300</v>
      </c>
      <c r="G3590">
        <v>86.54</v>
      </c>
      <c r="H3590" t="s">
        <v>16</v>
      </c>
      <c r="I3590" s="22">
        <f t="shared" si="113"/>
        <v>1.1622631997976125E-2</v>
      </c>
      <c r="J3590" s="22" t="str">
        <f t="shared" si="114"/>
        <v>lost money</v>
      </c>
    </row>
    <row r="3591" spans="1:10">
      <c r="A3591" s="1">
        <v>41233</v>
      </c>
      <c r="B3591">
        <v>87.25</v>
      </c>
      <c r="C3591">
        <v>87.84</v>
      </c>
      <c r="D3591">
        <v>86.81</v>
      </c>
      <c r="E3591">
        <v>87.35</v>
      </c>
      <c r="F3591">
        <v>1803500</v>
      </c>
      <c r="G3591">
        <v>86.89</v>
      </c>
      <c r="H3591" t="s">
        <v>16</v>
      </c>
      <c r="I3591" s="22">
        <f t="shared" si="113"/>
        <v>4.0362160543758775E-3</v>
      </c>
      <c r="J3591" s="22" t="str">
        <f t="shared" si="114"/>
        <v/>
      </c>
    </row>
    <row r="3592" spans="1:10">
      <c r="A3592" s="1">
        <v>41234</v>
      </c>
      <c r="B3592">
        <v>87.9</v>
      </c>
      <c r="C3592">
        <v>88.06</v>
      </c>
      <c r="D3592">
        <v>87.22</v>
      </c>
      <c r="E3592">
        <v>87.65</v>
      </c>
      <c r="F3592">
        <v>1550300</v>
      </c>
      <c r="G3592">
        <v>87.19</v>
      </c>
      <c r="H3592" t="s">
        <v>16</v>
      </c>
      <c r="I3592" s="22">
        <f t="shared" si="113"/>
        <v>3.4466945886090406E-3</v>
      </c>
      <c r="J3592" s="22" t="str">
        <f t="shared" si="114"/>
        <v>lost money</v>
      </c>
    </row>
    <row r="3593" spans="1:10">
      <c r="A3593" s="1">
        <v>41236</v>
      </c>
      <c r="B3593">
        <v>87.8</v>
      </c>
      <c r="C3593">
        <v>87.95</v>
      </c>
      <c r="D3593">
        <v>86.85</v>
      </c>
      <c r="E3593">
        <v>87.73</v>
      </c>
      <c r="F3593">
        <v>850500</v>
      </c>
      <c r="G3593">
        <v>87.27</v>
      </c>
      <c r="H3593" t="s">
        <v>16</v>
      </c>
      <c r="I3593" s="22">
        <f t="shared" si="113"/>
        <v>9.1711573549630658E-4</v>
      </c>
      <c r="J3593" s="22" t="str">
        <f t="shared" si="114"/>
        <v>lost money</v>
      </c>
    </row>
    <row r="3594" spans="1:10">
      <c r="A3594" s="1">
        <v>41239</v>
      </c>
      <c r="B3594">
        <v>87.12</v>
      </c>
      <c r="C3594">
        <v>88.48</v>
      </c>
      <c r="D3594">
        <v>87.12</v>
      </c>
      <c r="E3594">
        <v>88.46</v>
      </c>
      <c r="F3594">
        <v>1721000</v>
      </c>
      <c r="G3594">
        <v>87.99</v>
      </c>
      <c r="H3594" t="s">
        <v>16</v>
      </c>
      <c r="I3594" s="22">
        <f t="shared" si="113"/>
        <v>8.2164104822492843E-3</v>
      </c>
      <c r="J3594" s="22" t="str">
        <f t="shared" si="114"/>
        <v/>
      </c>
    </row>
    <row r="3595" spans="1:10">
      <c r="A3595" s="1">
        <v>41240</v>
      </c>
      <c r="B3595">
        <v>88.79</v>
      </c>
      <c r="C3595">
        <v>89.66</v>
      </c>
      <c r="D3595">
        <v>88.42</v>
      </c>
      <c r="E3595">
        <v>88.7</v>
      </c>
      <c r="F3595">
        <v>2421700</v>
      </c>
      <c r="G3595">
        <v>88.23</v>
      </c>
      <c r="H3595" t="s">
        <v>16</v>
      </c>
      <c r="I3595" s="22">
        <f t="shared" si="113"/>
        <v>2.7238695765440793E-3</v>
      </c>
      <c r="J3595" s="22" t="str">
        <f t="shared" si="114"/>
        <v>lost money</v>
      </c>
    </row>
    <row r="3596" spans="1:10">
      <c r="A3596" s="1">
        <v>41241</v>
      </c>
      <c r="B3596">
        <v>88.32</v>
      </c>
      <c r="C3596">
        <v>89.52</v>
      </c>
      <c r="D3596">
        <v>87.94</v>
      </c>
      <c r="E3596">
        <v>89.49</v>
      </c>
      <c r="F3596">
        <v>2049600</v>
      </c>
      <c r="G3596">
        <v>89.02</v>
      </c>
      <c r="H3596" t="s">
        <v>16</v>
      </c>
      <c r="I3596" s="22">
        <f t="shared" si="113"/>
        <v>8.9140223536948258E-3</v>
      </c>
      <c r="J3596" s="22" t="str">
        <f t="shared" si="114"/>
        <v/>
      </c>
    </row>
    <row r="3597" spans="1:10">
      <c r="A3597" s="1">
        <v>41242</v>
      </c>
      <c r="B3597">
        <v>89.97</v>
      </c>
      <c r="C3597">
        <v>91.16</v>
      </c>
      <c r="D3597">
        <v>89.81</v>
      </c>
      <c r="E3597">
        <v>90.8</v>
      </c>
      <c r="F3597">
        <v>2623100</v>
      </c>
      <c r="G3597">
        <v>90.32</v>
      </c>
      <c r="H3597" t="s">
        <v>16</v>
      </c>
      <c r="I3597" s="22">
        <f t="shared" si="113"/>
        <v>1.4497856253698335E-2</v>
      </c>
      <c r="J3597" s="22" t="str">
        <f t="shared" si="114"/>
        <v/>
      </c>
    </row>
    <row r="3598" spans="1:10">
      <c r="A3598" s="1">
        <v>41243</v>
      </c>
      <c r="B3598">
        <v>90.85</v>
      </c>
      <c r="C3598">
        <v>90.94</v>
      </c>
      <c r="D3598">
        <v>89.04</v>
      </c>
      <c r="E3598">
        <v>89.53</v>
      </c>
      <c r="F3598">
        <v>2029700</v>
      </c>
      <c r="G3598">
        <v>89.06</v>
      </c>
      <c r="H3598" t="s">
        <v>16</v>
      </c>
      <c r="I3598" s="22">
        <f t="shared" si="113"/>
        <v>-1.4048619947850153E-2</v>
      </c>
      <c r="J3598" s="22" t="str">
        <f t="shared" si="114"/>
        <v>lost money</v>
      </c>
    </row>
    <row r="3599" spans="1:10">
      <c r="A3599" s="1">
        <v>41246</v>
      </c>
      <c r="B3599">
        <v>89.98</v>
      </c>
      <c r="C3599">
        <v>89.98</v>
      </c>
      <c r="D3599">
        <v>87.99</v>
      </c>
      <c r="E3599">
        <v>88.13</v>
      </c>
      <c r="F3599">
        <v>1845700</v>
      </c>
      <c r="G3599">
        <v>87.67</v>
      </c>
      <c r="H3599" t="s">
        <v>16</v>
      </c>
      <c r="I3599" s="22">
        <f t="shared" si="113"/>
        <v>-1.5730534293062069E-2</v>
      </c>
      <c r="J3599" s="22" t="str">
        <f t="shared" si="114"/>
        <v>lost money</v>
      </c>
    </row>
    <row r="3600" spans="1:10">
      <c r="A3600" s="1">
        <v>41247</v>
      </c>
      <c r="B3600">
        <v>88.15</v>
      </c>
      <c r="C3600">
        <v>89.07</v>
      </c>
      <c r="D3600">
        <v>88.02</v>
      </c>
      <c r="E3600">
        <v>88.39</v>
      </c>
      <c r="F3600">
        <v>1488400</v>
      </c>
      <c r="G3600">
        <v>87.92</v>
      </c>
      <c r="H3600" t="s">
        <v>16</v>
      </c>
      <c r="I3600" s="22">
        <f t="shared" si="113"/>
        <v>2.8475444948716649E-3</v>
      </c>
      <c r="J3600" s="22" t="str">
        <f t="shared" si="114"/>
        <v/>
      </c>
    </row>
    <row r="3601" spans="1:10">
      <c r="A3601" s="1">
        <v>41248</v>
      </c>
      <c r="B3601">
        <v>88.56</v>
      </c>
      <c r="C3601">
        <v>89.93</v>
      </c>
      <c r="D3601">
        <v>88.07</v>
      </c>
      <c r="E3601">
        <v>89.43</v>
      </c>
      <c r="F3601">
        <v>1837000</v>
      </c>
      <c r="G3601">
        <v>88.96</v>
      </c>
      <c r="H3601" t="s">
        <v>16</v>
      </c>
      <c r="I3601" s="22">
        <f t="shared" si="113"/>
        <v>1.1759520406906258E-2</v>
      </c>
      <c r="J3601" s="22" t="str">
        <f t="shared" si="114"/>
        <v/>
      </c>
    </row>
    <row r="3602" spans="1:10">
      <c r="A3602" s="1">
        <v>41249</v>
      </c>
      <c r="B3602">
        <v>89.3</v>
      </c>
      <c r="C3602">
        <v>89.5</v>
      </c>
      <c r="D3602">
        <v>88.65</v>
      </c>
      <c r="E3602">
        <v>89.26</v>
      </c>
      <c r="F3602">
        <v>1078000</v>
      </c>
      <c r="G3602">
        <v>88.79</v>
      </c>
      <c r="H3602" t="s">
        <v>16</v>
      </c>
      <c r="I3602" s="22">
        <f t="shared" si="113"/>
        <v>-1.9127994580366494E-3</v>
      </c>
      <c r="J3602" s="22" t="str">
        <f t="shared" si="114"/>
        <v>lost money</v>
      </c>
    </row>
    <row r="3603" spans="1:10">
      <c r="A3603" s="1">
        <v>41250</v>
      </c>
      <c r="B3603">
        <v>89.54</v>
      </c>
      <c r="C3603">
        <v>89.91</v>
      </c>
      <c r="D3603">
        <v>88.8</v>
      </c>
      <c r="E3603">
        <v>89.36</v>
      </c>
      <c r="F3603">
        <v>1108600</v>
      </c>
      <c r="G3603">
        <v>88.89</v>
      </c>
      <c r="H3603" t="s">
        <v>16</v>
      </c>
      <c r="I3603" s="22">
        <f t="shared" si="113"/>
        <v>1.1256192093481204E-3</v>
      </c>
      <c r="J3603" s="22" t="str">
        <f t="shared" si="114"/>
        <v>lost money</v>
      </c>
    </row>
    <row r="3604" spans="1:10">
      <c r="A3604" s="1">
        <v>41253</v>
      </c>
      <c r="B3604">
        <v>89.39</v>
      </c>
      <c r="C3604">
        <v>90.59</v>
      </c>
      <c r="D3604">
        <v>89.22</v>
      </c>
      <c r="E3604">
        <v>90.53</v>
      </c>
      <c r="F3604">
        <v>1406900</v>
      </c>
      <c r="G3604">
        <v>90.05</v>
      </c>
      <c r="H3604" t="s">
        <v>16</v>
      </c>
      <c r="I3604" s="22">
        <f t="shared" si="113"/>
        <v>1.2965421368381571E-2</v>
      </c>
      <c r="J3604" s="22" t="str">
        <f t="shared" si="114"/>
        <v/>
      </c>
    </row>
    <row r="3605" spans="1:10">
      <c r="A3605" s="1">
        <v>41254</v>
      </c>
      <c r="B3605">
        <v>90.65</v>
      </c>
      <c r="C3605">
        <v>91.49</v>
      </c>
      <c r="D3605">
        <v>89.69</v>
      </c>
      <c r="E3605">
        <v>90.25</v>
      </c>
      <c r="F3605">
        <v>2276300</v>
      </c>
      <c r="G3605">
        <v>89.77</v>
      </c>
      <c r="H3605" t="s">
        <v>16</v>
      </c>
      <c r="I3605" s="22">
        <f t="shared" si="113"/>
        <v>-3.1142278533680574E-3</v>
      </c>
      <c r="J3605" s="22" t="str">
        <f t="shared" si="114"/>
        <v>lost money</v>
      </c>
    </row>
    <row r="3606" spans="1:10">
      <c r="A3606" s="1">
        <v>41255</v>
      </c>
      <c r="B3606">
        <v>89.09</v>
      </c>
      <c r="C3606">
        <v>90.53</v>
      </c>
      <c r="D3606">
        <v>89.02</v>
      </c>
      <c r="E3606">
        <v>89.71</v>
      </c>
      <c r="F3606">
        <v>2113400</v>
      </c>
      <c r="G3606">
        <v>89.24</v>
      </c>
      <c r="H3606" t="s">
        <v>16</v>
      </c>
      <c r="I3606" s="22">
        <f t="shared" si="113"/>
        <v>-5.9214742042652951E-3</v>
      </c>
      <c r="J3606" s="22" t="str">
        <f t="shared" si="114"/>
        <v/>
      </c>
    </row>
    <row r="3607" spans="1:10">
      <c r="A3607" s="1">
        <v>41256</v>
      </c>
      <c r="B3607">
        <v>89.58</v>
      </c>
      <c r="C3607">
        <v>90.5</v>
      </c>
      <c r="D3607">
        <v>89.29</v>
      </c>
      <c r="E3607">
        <v>89.71</v>
      </c>
      <c r="F3607">
        <v>1699000</v>
      </c>
      <c r="G3607">
        <v>89.24</v>
      </c>
      <c r="H3607" t="s">
        <v>16</v>
      </c>
      <c r="I3607" s="22">
        <f t="shared" si="113"/>
        <v>0</v>
      </c>
      <c r="J3607" s="22" t="str">
        <f t="shared" si="114"/>
        <v/>
      </c>
    </row>
    <row r="3608" spans="1:10">
      <c r="A3608" s="1">
        <v>41257</v>
      </c>
      <c r="B3608">
        <v>89.76</v>
      </c>
      <c r="C3608">
        <v>90.93</v>
      </c>
      <c r="D3608">
        <v>89.35</v>
      </c>
      <c r="E3608">
        <v>90.09</v>
      </c>
      <c r="F3608">
        <v>1813500</v>
      </c>
      <c r="G3608">
        <v>89.62</v>
      </c>
      <c r="H3608" t="s">
        <v>16</v>
      </c>
      <c r="I3608" s="22">
        <f t="shared" si="113"/>
        <v>4.2491397936652272E-3</v>
      </c>
      <c r="J3608" s="22" t="str">
        <f t="shared" si="114"/>
        <v/>
      </c>
    </row>
    <row r="3609" spans="1:10">
      <c r="A3609" s="1">
        <v>41260</v>
      </c>
      <c r="B3609">
        <v>90.4</v>
      </c>
      <c r="C3609">
        <v>91.15</v>
      </c>
      <c r="D3609">
        <v>90.36</v>
      </c>
      <c r="E3609">
        <v>91.02</v>
      </c>
      <c r="F3609">
        <v>1832000</v>
      </c>
      <c r="G3609">
        <v>90.54</v>
      </c>
      <c r="H3609" t="s">
        <v>16</v>
      </c>
      <c r="I3609" s="22">
        <f t="shared" si="113"/>
        <v>1.0213232649815537E-2</v>
      </c>
      <c r="J3609" s="22" t="str">
        <f t="shared" si="114"/>
        <v/>
      </c>
    </row>
    <row r="3610" spans="1:10">
      <c r="A3610" s="1">
        <v>41261</v>
      </c>
      <c r="B3610">
        <v>90.89</v>
      </c>
      <c r="C3610">
        <v>93.21</v>
      </c>
      <c r="D3610">
        <v>90.41</v>
      </c>
      <c r="E3610">
        <v>92.36</v>
      </c>
      <c r="F3610">
        <v>3130100</v>
      </c>
      <c r="G3610">
        <v>91.87</v>
      </c>
      <c r="H3610" t="s">
        <v>16</v>
      </c>
      <c r="I3610" s="22">
        <f t="shared" si="113"/>
        <v>1.4582792275562534E-2</v>
      </c>
      <c r="J3610" s="22" t="str">
        <f t="shared" si="114"/>
        <v/>
      </c>
    </row>
    <row r="3611" spans="1:10">
      <c r="A3611" s="1">
        <v>41262</v>
      </c>
      <c r="B3611">
        <v>93.12</v>
      </c>
      <c r="C3611">
        <v>95.44</v>
      </c>
      <c r="D3611">
        <v>93.05</v>
      </c>
      <c r="E3611">
        <v>93.2</v>
      </c>
      <c r="F3611">
        <v>5324300</v>
      </c>
      <c r="G3611">
        <v>92.71</v>
      </c>
      <c r="H3611" t="s">
        <v>16</v>
      </c>
      <c r="I3611" s="22">
        <f t="shared" si="113"/>
        <v>9.1018073355157696E-3</v>
      </c>
      <c r="J3611" s="22" t="str">
        <f t="shared" si="114"/>
        <v/>
      </c>
    </row>
    <row r="3612" spans="1:10">
      <c r="A3612" s="1">
        <v>41263</v>
      </c>
      <c r="B3612">
        <v>93</v>
      </c>
      <c r="C3612">
        <v>93.63</v>
      </c>
      <c r="D3612">
        <v>91.54</v>
      </c>
      <c r="E3612">
        <v>93.27</v>
      </c>
      <c r="F3612">
        <v>4270900</v>
      </c>
      <c r="G3612">
        <v>92.78</v>
      </c>
      <c r="H3612" t="s">
        <v>16</v>
      </c>
      <c r="I3612" s="22">
        <f t="shared" si="113"/>
        <v>7.5475770470665642E-4</v>
      </c>
      <c r="J3612" s="22" t="str">
        <f t="shared" si="114"/>
        <v/>
      </c>
    </row>
    <row r="3613" spans="1:10">
      <c r="A3613" s="1">
        <v>41264</v>
      </c>
      <c r="B3613">
        <v>92.07</v>
      </c>
      <c r="C3613">
        <v>93.29</v>
      </c>
      <c r="D3613">
        <v>91.84</v>
      </c>
      <c r="E3613">
        <v>92.74</v>
      </c>
      <c r="F3613">
        <v>2912600</v>
      </c>
      <c r="G3613">
        <v>92.25</v>
      </c>
      <c r="H3613" t="s">
        <v>16</v>
      </c>
      <c r="I3613" s="22">
        <f t="shared" si="113"/>
        <v>-5.7288164029610598E-3</v>
      </c>
      <c r="J3613" s="22" t="str">
        <f t="shared" si="114"/>
        <v/>
      </c>
    </row>
    <row r="3614" spans="1:10">
      <c r="A3614" s="1">
        <v>41267</v>
      </c>
      <c r="B3614">
        <v>92.71</v>
      </c>
      <c r="C3614">
        <v>92.8</v>
      </c>
      <c r="D3614">
        <v>91.94</v>
      </c>
      <c r="E3614">
        <v>92.14</v>
      </c>
      <c r="F3614">
        <v>607300</v>
      </c>
      <c r="G3614">
        <v>91.65</v>
      </c>
      <c r="H3614" t="s">
        <v>16</v>
      </c>
      <c r="I3614" s="22">
        <f t="shared" si="113"/>
        <v>-6.5253086349225152E-3</v>
      </c>
      <c r="J3614" s="22" t="str">
        <f t="shared" si="114"/>
        <v>lost money</v>
      </c>
    </row>
    <row r="3615" spans="1:10">
      <c r="A3615" s="1">
        <v>41269</v>
      </c>
      <c r="B3615">
        <v>92.34</v>
      </c>
      <c r="C3615">
        <v>92.97</v>
      </c>
      <c r="D3615">
        <v>91.74</v>
      </c>
      <c r="E3615">
        <v>92.07</v>
      </c>
      <c r="F3615">
        <v>904700</v>
      </c>
      <c r="G3615">
        <v>91.58</v>
      </c>
      <c r="H3615" t="s">
        <v>16</v>
      </c>
      <c r="I3615" s="22">
        <f t="shared" si="113"/>
        <v>-7.6406705676472769E-4</v>
      </c>
      <c r="J3615" s="22" t="str">
        <f t="shared" si="114"/>
        <v>lost money</v>
      </c>
    </row>
    <row r="3616" spans="1:10">
      <c r="A3616" s="1">
        <v>41270</v>
      </c>
      <c r="B3616">
        <v>91.96</v>
      </c>
      <c r="C3616">
        <v>91.97</v>
      </c>
      <c r="D3616">
        <v>90.15</v>
      </c>
      <c r="E3616">
        <v>91.5</v>
      </c>
      <c r="F3616">
        <v>1580300</v>
      </c>
      <c r="G3616">
        <v>91.02</v>
      </c>
      <c r="H3616" t="s">
        <v>16</v>
      </c>
      <c r="I3616" s="22">
        <f t="shared" si="113"/>
        <v>-6.1336446404535233E-3</v>
      </c>
      <c r="J3616" s="22" t="str">
        <f t="shared" si="114"/>
        <v>lost money</v>
      </c>
    </row>
    <row r="3617" spans="1:10">
      <c r="A3617" s="1">
        <v>41271</v>
      </c>
      <c r="B3617">
        <v>91</v>
      </c>
      <c r="C3617">
        <v>91.48</v>
      </c>
      <c r="D3617">
        <v>90.35</v>
      </c>
      <c r="E3617">
        <v>90.39</v>
      </c>
      <c r="F3617">
        <v>981300</v>
      </c>
      <c r="G3617">
        <v>89.91</v>
      </c>
      <c r="H3617" t="s">
        <v>16</v>
      </c>
      <c r="I3617" s="22">
        <f t="shared" si="113"/>
        <v>-1.2270092591814359E-2</v>
      </c>
      <c r="J3617" s="22" t="str">
        <f t="shared" si="114"/>
        <v>lost money</v>
      </c>
    </row>
    <row r="3618" spans="1:10">
      <c r="A3618" s="1">
        <v>41274</v>
      </c>
      <c r="B3618">
        <v>90.33</v>
      </c>
      <c r="C3618">
        <v>91.8</v>
      </c>
      <c r="D3618">
        <v>90.05</v>
      </c>
      <c r="E3618">
        <v>91.72</v>
      </c>
      <c r="F3618">
        <v>1451700</v>
      </c>
      <c r="G3618">
        <v>91.24</v>
      </c>
      <c r="H3618" t="s">
        <v>16</v>
      </c>
      <c r="I3618" s="22">
        <f t="shared" si="113"/>
        <v>1.468422741950582E-2</v>
      </c>
      <c r="J3618" s="22" t="str">
        <f t="shared" si="114"/>
        <v/>
      </c>
    </row>
    <row r="3619" spans="1:10">
      <c r="A3619" s="1">
        <v>41276</v>
      </c>
      <c r="B3619">
        <v>93.46</v>
      </c>
      <c r="C3619">
        <v>95.19</v>
      </c>
      <c r="D3619">
        <v>93.37</v>
      </c>
      <c r="E3619">
        <v>94.25</v>
      </c>
      <c r="F3619">
        <v>2020100</v>
      </c>
      <c r="G3619">
        <v>93.75</v>
      </c>
      <c r="H3619" t="s">
        <v>16</v>
      </c>
      <c r="I3619" s="22">
        <f t="shared" si="113"/>
        <v>2.7138267434332963E-2</v>
      </c>
      <c r="J3619" s="22" t="str">
        <f t="shared" si="114"/>
        <v/>
      </c>
    </row>
    <row r="3620" spans="1:10">
      <c r="A3620" s="1">
        <v>41277</v>
      </c>
      <c r="B3620">
        <v>94.12</v>
      </c>
      <c r="C3620">
        <v>95.17</v>
      </c>
      <c r="D3620">
        <v>94.12</v>
      </c>
      <c r="E3620">
        <v>94.6</v>
      </c>
      <c r="F3620">
        <v>1723800</v>
      </c>
      <c r="G3620">
        <v>94.1</v>
      </c>
      <c r="H3620" t="s">
        <v>16</v>
      </c>
      <c r="I3620" s="22">
        <f t="shared" si="113"/>
        <v>3.726381740813787E-3</v>
      </c>
      <c r="J3620" s="22" t="str">
        <f t="shared" si="114"/>
        <v/>
      </c>
    </row>
    <row r="3621" spans="1:10">
      <c r="A3621" s="1">
        <v>41278</v>
      </c>
      <c r="B3621">
        <v>94.8</v>
      </c>
      <c r="C3621">
        <v>95.05</v>
      </c>
      <c r="D3621">
        <v>94.36</v>
      </c>
      <c r="E3621">
        <v>94.91</v>
      </c>
      <c r="F3621">
        <v>1500600</v>
      </c>
      <c r="G3621">
        <v>94.41</v>
      </c>
      <c r="H3621" t="s">
        <v>16</v>
      </c>
      <c r="I3621" s="22">
        <f t="shared" si="113"/>
        <v>3.2889531530911598E-3</v>
      </c>
      <c r="J3621" s="22" t="str">
        <f t="shared" si="114"/>
        <v/>
      </c>
    </row>
    <row r="3622" spans="1:10">
      <c r="A3622" s="1">
        <v>41281</v>
      </c>
      <c r="B3622">
        <v>94.41</v>
      </c>
      <c r="C3622">
        <v>94.75</v>
      </c>
      <c r="D3622">
        <v>94.25</v>
      </c>
      <c r="E3622">
        <v>94.72</v>
      </c>
      <c r="F3622">
        <v>1148600</v>
      </c>
      <c r="G3622">
        <v>94.22</v>
      </c>
      <c r="H3622" t="s">
        <v>16</v>
      </c>
      <c r="I3622" s="22">
        <f t="shared" si="113"/>
        <v>-2.0145264725301652E-3</v>
      </c>
      <c r="J3622" s="22" t="str">
        <f t="shared" si="114"/>
        <v/>
      </c>
    </row>
    <row r="3623" spans="1:10">
      <c r="A3623" s="1">
        <v>41282</v>
      </c>
      <c r="B3623">
        <v>94.42</v>
      </c>
      <c r="C3623">
        <v>95.54</v>
      </c>
      <c r="D3623">
        <v>94.16</v>
      </c>
      <c r="E3623">
        <v>95.11</v>
      </c>
      <c r="F3623">
        <v>2177600</v>
      </c>
      <c r="G3623">
        <v>94.61</v>
      </c>
      <c r="H3623" t="s">
        <v>16</v>
      </c>
      <c r="I3623" s="22">
        <f t="shared" si="113"/>
        <v>4.1307054444578049E-3</v>
      </c>
      <c r="J3623" s="22" t="str">
        <f t="shared" si="114"/>
        <v/>
      </c>
    </row>
    <row r="3624" spans="1:10">
      <c r="A3624" s="1">
        <v>41283</v>
      </c>
      <c r="B3624">
        <v>95.04</v>
      </c>
      <c r="C3624">
        <v>96.91</v>
      </c>
      <c r="D3624">
        <v>94.78</v>
      </c>
      <c r="E3624">
        <v>96.77</v>
      </c>
      <c r="F3624">
        <v>2345100</v>
      </c>
      <c r="G3624">
        <v>96.26</v>
      </c>
      <c r="H3624" t="s">
        <v>16</v>
      </c>
      <c r="I3624" s="22">
        <f t="shared" si="113"/>
        <v>1.7289685158610516E-2</v>
      </c>
      <c r="J3624" s="22" t="str">
        <f t="shared" si="114"/>
        <v/>
      </c>
    </row>
    <row r="3625" spans="1:10">
      <c r="A3625" s="1">
        <v>41284</v>
      </c>
      <c r="B3625">
        <v>97.34</v>
      </c>
      <c r="C3625">
        <v>97.7</v>
      </c>
      <c r="D3625">
        <v>96.66</v>
      </c>
      <c r="E3625">
        <v>97.7</v>
      </c>
      <c r="F3625">
        <v>2009700</v>
      </c>
      <c r="G3625">
        <v>97.18</v>
      </c>
      <c r="H3625" t="s">
        <v>16</v>
      </c>
      <c r="I3625" s="22">
        <f t="shared" si="113"/>
        <v>9.5120651027937007E-3</v>
      </c>
      <c r="J3625" s="22" t="str">
        <f t="shared" si="114"/>
        <v/>
      </c>
    </row>
    <row r="3626" spans="1:10">
      <c r="A3626" s="1">
        <v>41285</v>
      </c>
      <c r="B3626">
        <v>97.55</v>
      </c>
      <c r="C3626">
        <v>97.78</v>
      </c>
      <c r="D3626">
        <v>97.11</v>
      </c>
      <c r="E3626">
        <v>97.4</v>
      </c>
      <c r="F3626">
        <v>1272400</v>
      </c>
      <c r="G3626">
        <v>96.89</v>
      </c>
      <c r="H3626" t="s">
        <v>16</v>
      </c>
      <c r="I3626" s="22">
        <f t="shared" si="113"/>
        <v>-2.9886145808442261E-3</v>
      </c>
      <c r="J3626" s="22" t="str">
        <f t="shared" si="114"/>
        <v>lost money</v>
      </c>
    </row>
    <row r="3627" spans="1:10">
      <c r="A3627" s="1">
        <v>41288</v>
      </c>
      <c r="B3627">
        <v>97.36</v>
      </c>
      <c r="C3627">
        <v>98.74</v>
      </c>
      <c r="D3627">
        <v>97.21</v>
      </c>
      <c r="E3627">
        <v>98.42</v>
      </c>
      <c r="F3627">
        <v>2253600</v>
      </c>
      <c r="G3627">
        <v>97.9</v>
      </c>
      <c r="H3627" t="s">
        <v>16</v>
      </c>
      <c r="I3627" s="22">
        <f t="shared" si="113"/>
        <v>1.0370235139552052E-2</v>
      </c>
      <c r="J3627" s="22" t="str">
        <f t="shared" si="114"/>
        <v/>
      </c>
    </row>
    <row r="3628" spans="1:10">
      <c r="A3628" s="1">
        <v>41289</v>
      </c>
      <c r="B3628">
        <v>98.12</v>
      </c>
      <c r="C3628">
        <v>98.79</v>
      </c>
      <c r="D3628">
        <v>97.74</v>
      </c>
      <c r="E3628">
        <v>98.67</v>
      </c>
      <c r="F3628">
        <v>1655900</v>
      </c>
      <c r="G3628">
        <v>98.15</v>
      </c>
      <c r="H3628" t="s">
        <v>16</v>
      </c>
      <c r="I3628" s="22">
        <f t="shared" si="113"/>
        <v>2.5503711860052885E-3</v>
      </c>
      <c r="J3628" s="22" t="str">
        <f t="shared" si="114"/>
        <v/>
      </c>
    </row>
    <row r="3629" spans="1:10">
      <c r="A3629" s="1">
        <v>41290</v>
      </c>
      <c r="B3629">
        <v>98.49</v>
      </c>
      <c r="C3629">
        <v>99.62</v>
      </c>
      <c r="D3629">
        <v>98.49</v>
      </c>
      <c r="E3629">
        <v>99.54</v>
      </c>
      <c r="F3629">
        <v>2061200</v>
      </c>
      <c r="G3629">
        <v>99.02</v>
      </c>
      <c r="H3629" t="s">
        <v>16</v>
      </c>
      <c r="I3629" s="22">
        <f t="shared" si="113"/>
        <v>8.8249292108069227E-3</v>
      </c>
      <c r="J3629" s="22" t="str">
        <f t="shared" si="114"/>
        <v/>
      </c>
    </row>
    <row r="3630" spans="1:10">
      <c r="A3630" s="1">
        <v>41291</v>
      </c>
      <c r="B3630">
        <v>99.93</v>
      </c>
      <c r="C3630">
        <v>100.57</v>
      </c>
      <c r="D3630">
        <v>99.42</v>
      </c>
      <c r="E3630">
        <v>99.93</v>
      </c>
      <c r="F3630">
        <v>2312800</v>
      </c>
      <c r="G3630">
        <v>99.4</v>
      </c>
      <c r="H3630" t="s">
        <v>16</v>
      </c>
      <c r="I3630" s="22">
        <f t="shared" si="113"/>
        <v>3.8302637292515528E-3</v>
      </c>
      <c r="J3630" s="22" t="str">
        <f t="shared" si="114"/>
        <v/>
      </c>
    </row>
    <row r="3631" spans="1:10">
      <c r="A3631" s="1">
        <v>41292</v>
      </c>
      <c r="B3631">
        <v>100</v>
      </c>
      <c r="C3631">
        <v>100.18</v>
      </c>
      <c r="D3631">
        <v>98.41</v>
      </c>
      <c r="E3631">
        <v>99.82</v>
      </c>
      <c r="F3631">
        <v>2320600</v>
      </c>
      <c r="G3631">
        <v>99.29</v>
      </c>
      <c r="H3631" t="s">
        <v>16</v>
      </c>
      <c r="I3631" s="22">
        <f t="shared" si="113"/>
        <v>-1.107252617025661E-3</v>
      </c>
      <c r="J3631" s="22" t="str">
        <f t="shared" si="114"/>
        <v>lost money</v>
      </c>
    </row>
    <row r="3632" spans="1:10">
      <c r="A3632" s="1">
        <v>41296</v>
      </c>
      <c r="B3632">
        <v>99.54</v>
      </c>
      <c r="C3632">
        <v>100.7</v>
      </c>
      <c r="D3632">
        <v>99.41</v>
      </c>
      <c r="E3632">
        <v>100.6</v>
      </c>
      <c r="F3632">
        <v>1515900</v>
      </c>
      <c r="G3632">
        <v>100.07</v>
      </c>
      <c r="H3632" t="s">
        <v>16</v>
      </c>
      <c r="I3632" s="22">
        <f t="shared" si="113"/>
        <v>7.8250800568617964E-3</v>
      </c>
      <c r="J3632" s="22" t="str">
        <f t="shared" si="114"/>
        <v/>
      </c>
    </row>
    <row r="3633" spans="1:10">
      <c r="A3633" s="1">
        <v>41297</v>
      </c>
      <c r="B3633">
        <v>100.29</v>
      </c>
      <c r="C3633">
        <v>100.55</v>
      </c>
      <c r="D3633">
        <v>99.26</v>
      </c>
      <c r="E3633">
        <v>99.64</v>
      </c>
      <c r="F3633">
        <v>1486000</v>
      </c>
      <c r="G3633">
        <v>99.11</v>
      </c>
      <c r="H3633" t="s">
        <v>16</v>
      </c>
      <c r="I3633" s="22">
        <f t="shared" si="113"/>
        <v>-9.6395966837475294E-3</v>
      </c>
      <c r="J3633" s="22" t="str">
        <f t="shared" si="114"/>
        <v>lost money</v>
      </c>
    </row>
    <row r="3634" spans="1:10">
      <c r="A3634" s="1">
        <v>41298</v>
      </c>
      <c r="B3634">
        <v>100</v>
      </c>
      <c r="C3634">
        <v>102.61</v>
      </c>
      <c r="D3634">
        <v>99.93</v>
      </c>
      <c r="E3634">
        <v>101.73</v>
      </c>
      <c r="F3634">
        <v>2702300</v>
      </c>
      <c r="G3634">
        <v>101.19</v>
      </c>
      <c r="H3634" t="s">
        <v>16</v>
      </c>
      <c r="I3634" s="22">
        <f t="shared" si="113"/>
        <v>2.0769593323051477E-2</v>
      </c>
      <c r="J3634" s="22" t="str">
        <f t="shared" si="114"/>
        <v/>
      </c>
    </row>
    <row r="3635" spans="1:10">
      <c r="A3635" s="1">
        <v>41299</v>
      </c>
      <c r="B3635">
        <v>101.77</v>
      </c>
      <c r="C3635">
        <v>102.86</v>
      </c>
      <c r="D3635">
        <v>101.21</v>
      </c>
      <c r="E3635">
        <v>102.57</v>
      </c>
      <c r="F3635">
        <v>2081000</v>
      </c>
      <c r="G3635">
        <v>102.03</v>
      </c>
      <c r="H3635" t="s">
        <v>16</v>
      </c>
      <c r="I3635" s="22">
        <f t="shared" si="113"/>
        <v>8.2669499455451396E-3</v>
      </c>
      <c r="J3635" s="22" t="str">
        <f t="shared" si="114"/>
        <v/>
      </c>
    </row>
    <row r="3636" spans="1:10">
      <c r="A3636" s="1">
        <v>41302</v>
      </c>
      <c r="B3636">
        <v>102.84</v>
      </c>
      <c r="C3636">
        <v>103.14</v>
      </c>
      <c r="D3636">
        <v>102.17</v>
      </c>
      <c r="E3636">
        <v>103.01</v>
      </c>
      <c r="F3636">
        <v>1934800</v>
      </c>
      <c r="G3636">
        <v>102.47</v>
      </c>
      <c r="H3636" t="s">
        <v>16</v>
      </c>
      <c r="I3636" s="22">
        <f t="shared" si="113"/>
        <v>4.3031851244126887E-3</v>
      </c>
      <c r="J3636" s="22" t="str">
        <f t="shared" si="114"/>
        <v/>
      </c>
    </row>
    <row r="3637" spans="1:10">
      <c r="A3637" s="1">
        <v>41303</v>
      </c>
      <c r="B3637">
        <v>102.64</v>
      </c>
      <c r="C3637">
        <v>103.11</v>
      </c>
      <c r="D3637">
        <v>102.19</v>
      </c>
      <c r="E3637">
        <v>102.5</v>
      </c>
      <c r="F3637">
        <v>1649400</v>
      </c>
      <c r="G3637">
        <v>101.96</v>
      </c>
      <c r="H3637" t="s">
        <v>16</v>
      </c>
      <c r="I3637" s="22">
        <f t="shared" si="113"/>
        <v>-4.98949330371193E-3</v>
      </c>
      <c r="J3637" s="22" t="str">
        <f t="shared" si="114"/>
        <v>lost money</v>
      </c>
    </row>
    <row r="3638" spans="1:10">
      <c r="A3638" s="1">
        <v>41304</v>
      </c>
      <c r="B3638">
        <v>102.02</v>
      </c>
      <c r="C3638">
        <v>102.14</v>
      </c>
      <c r="D3638">
        <v>101.06</v>
      </c>
      <c r="E3638">
        <v>101.37</v>
      </c>
      <c r="F3638">
        <v>2373000</v>
      </c>
      <c r="G3638">
        <v>100.84</v>
      </c>
      <c r="H3638" t="s">
        <v>16</v>
      </c>
      <c r="I3638" s="22">
        <f t="shared" si="113"/>
        <v>-1.1045477188195488E-2</v>
      </c>
      <c r="J3638" s="22" t="str">
        <f t="shared" si="114"/>
        <v>lost money</v>
      </c>
    </row>
    <row r="3639" spans="1:10">
      <c r="A3639" s="1">
        <v>41305</v>
      </c>
      <c r="B3639">
        <v>100.97</v>
      </c>
      <c r="C3639">
        <v>101.86</v>
      </c>
      <c r="D3639">
        <v>100.68</v>
      </c>
      <c r="E3639">
        <v>101.45</v>
      </c>
      <c r="F3639">
        <v>2306200</v>
      </c>
      <c r="G3639">
        <v>100.92</v>
      </c>
      <c r="H3639" t="s">
        <v>16</v>
      </c>
      <c r="I3639" s="22">
        <f t="shared" si="113"/>
        <v>7.9302145313785285E-4</v>
      </c>
      <c r="J3639" s="22" t="str">
        <f t="shared" si="114"/>
        <v/>
      </c>
    </row>
    <row r="3640" spans="1:10">
      <c r="A3640" s="1">
        <v>41306</v>
      </c>
      <c r="B3640">
        <v>101.89</v>
      </c>
      <c r="C3640">
        <v>102.94</v>
      </c>
      <c r="D3640">
        <v>101.45</v>
      </c>
      <c r="E3640">
        <v>102.76</v>
      </c>
      <c r="F3640">
        <v>2667400</v>
      </c>
      <c r="G3640">
        <v>102.22</v>
      </c>
      <c r="H3640" t="s">
        <v>16</v>
      </c>
      <c r="I3640" s="22">
        <f t="shared" si="113"/>
        <v>1.279922956727658E-2</v>
      </c>
      <c r="J3640" s="22" t="str">
        <f t="shared" si="114"/>
        <v/>
      </c>
    </row>
    <row r="3641" spans="1:10">
      <c r="A3641" s="1">
        <v>41309</v>
      </c>
      <c r="B3641">
        <v>102.44</v>
      </c>
      <c r="C3641">
        <v>104.1</v>
      </c>
      <c r="D3641">
        <v>102.44</v>
      </c>
      <c r="E3641">
        <v>103.39</v>
      </c>
      <c r="F3641">
        <v>3306900</v>
      </c>
      <c r="G3641">
        <v>102.84</v>
      </c>
      <c r="H3641" t="s">
        <v>16</v>
      </c>
      <c r="I3641" s="22">
        <f t="shared" si="113"/>
        <v>6.0470290575553309E-3</v>
      </c>
      <c r="J3641" s="22" t="str">
        <f t="shared" si="114"/>
        <v/>
      </c>
    </row>
    <row r="3642" spans="1:10">
      <c r="A3642" s="1">
        <v>41310</v>
      </c>
      <c r="B3642">
        <v>103.71</v>
      </c>
      <c r="C3642">
        <v>105.19</v>
      </c>
      <c r="D3642">
        <v>103.21</v>
      </c>
      <c r="E3642">
        <v>105.07</v>
      </c>
      <c r="F3642">
        <v>2772400</v>
      </c>
      <c r="G3642">
        <v>104.52</v>
      </c>
      <c r="H3642" t="s">
        <v>16</v>
      </c>
      <c r="I3642" s="22">
        <f t="shared" si="113"/>
        <v>1.6204058254722972E-2</v>
      </c>
      <c r="J3642" s="22" t="str">
        <f t="shared" si="114"/>
        <v/>
      </c>
    </row>
    <row r="3643" spans="1:10">
      <c r="A3643" s="1">
        <v>41311</v>
      </c>
      <c r="B3643">
        <v>104.64</v>
      </c>
      <c r="C3643">
        <v>106.27</v>
      </c>
      <c r="D3643">
        <v>104.57</v>
      </c>
      <c r="E3643">
        <v>106.17</v>
      </c>
      <c r="F3643">
        <v>3476400</v>
      </c>
      <c r="G3643">
        <v>105.61</v>
      </c>
      <c r="H3643" t="s">
        <v>16</v>
      </c>
      <c r="I3643" s="22">
        <f t="shared" si="113"/>
        <v>1.0374623105971406E-2</v>
      </c>
      <c r="J3643" s="22" t="str">
        <f t="shared" si="114"/>
        <v/>
      </c>
    </row>
    <row r="3644" spans="1:10">
      <c r="A3644" s="1">
        <v>41312</v>
      </c>
      <c r="B3644">
        <v>106.52</v>
      </c>
      <c r="C3644">
        <v>107</v>
      </c>
      <c r="D3644">
        <v>105.88</v>
      </c>
      <c r="E3644">
        <v>106.98</v>
      </c>
      <c r="F3644">
        <v>4063400</v>
      </c>
      <c r="G3644">
        <v>106.42</v>
      </c>
      <c r="H3644" t="s">
        <v>16</v>
      </c>
      <c r="I3644" s="22">
        <f t="shared" si="113"/>
        <v>7.6404654098400741E-3</v>
      </c>
      <c r="J3644" s="22" t="str">
        <f t="shared" si="114"/>
        <v/>
      </c>
    </row>
    <row r="3645" spans="1:10">
      <c r="A3645" s="1">
        <v>41313</v>
      </c>
      <c r="B3645">
        <v>106.8</v>
      </c>
      <c r="C3645">
        <v>107.5</v>
      </c>
      <c r="D3645">
        <v>106.23</v>
      </c>
      <c r="E3645">
        <v>106.41</v>
      </c>
      <c r="F3645">
        <v>2101500</v>
      </c>
      <c r="G3645">
        <v>105.85</v>
      </c>
      <c r="H3645" t="s">
        <v>16</v>
      </c>
      <c r="I3645" s="22">
        <f t="shared" si="113"/>
        <v>-5.3705315873491489E-3</v>
      </c>
      <c r="J3645" s="22" t="str">
        <f t="shared" si="114"/>
        <v>lost money</v>
      </c>
    </row>
    <row r="3646" spans="1:10">
      <c r="A3646" s="1">
        <v>41316</v>
      </c>
      <c r="B3646">
        <v>106.01</v>
      </c>
      <c r="C3646">
        <v>106.37</v>
      </c>
      <c r="D3646">
        <v>105.48</v>
      </c>
      <c r="E3646">
        <v>106.01</v>
      </c>
      <c r="F3646">
        <v>1746100</v>
      </c>
      <c r="G3646">
        <v>105.45</v>
      </c>
      <c r="H3646" t="s">
        <v>16</v>
      </c>
      <c r="I3646" s="22">
        <f t="shared" si="113"/>
        <v>-3.7860906560904721E-3</v>
      </c>
      <c r="J3646" s="22" t="str">
        <f t="shared" si="114"/>
        <v/>
      </c>
    </row>
    <row r="3647" spans="1:10">
      <c r="A3647" s="1">
        <v>41317</v>
      </c>
      <c r="B3647">
        <v>106.09</v>
      </c>
      <c r="C3647">
        <v>106.48</v>
      </c>
      <c r="D3647">
        <v>105.58</v>
      </c>
      <c r="E3647">
        <v>106.12</v>
      </c>
      <c r="F3647">
        <v>2044600</v>
      </c>
      <c r="G3647">
        <v>105.56</v>
      </c>
      <c r="H3647" t="s">
        <v>16</v>
      </c>
      <c r="I3647" s="22">
        <f t="shared" si="113"/>
        <v>1.0426047103396362E-3</v>
      </c>
      <c r="J3647" s="22" t="str">
        <f t="shared" si="114"/>
        <v/>
      </c>
    </row>
    <row r="3648" spans="1:10">
      <c r="A3648" s="1">
        <v>41318</v>
      </c>
      <c r="B3648">
        <v>106.12</v>
      </c>
      <c r="C3648">
        <v>106.64</v>
      </c>
      <c r="D3648">
        <v>105.56</v>
      </c>
      <c r="E3648">
        <v>106.16</v>
      </c>
      <c r="F3648">
        <v>1739900</v>
      </c>
      <c r="G3648">
        <v>105.6</v>
      </c>
      <c r="H3648" t="s">
        <v>16</v>
      </c>
      <c r="I3648" s="22">
        <f t="shared" si="113"/>
        <v>3.7885963703777041E-4</v>
      </c>
      <c r="J3648" s="22" t="str">
        <f t="shared" si="114"/>
        <v/>
      </c>
    </row>
    <row r="3649" spans="1:10">
      <c r="A3649" s="1">
        <v>41319</v>
      </c>
      <c r="B3649">
        <v>105.85</v>
      </c>
      <c r="C3649">
        <v>106.86</v>
      </c>
      <c r="D3649">
        <v>105.44</v>
      </c>
      <c r="E3649">
        <v>106.56</v>
      </c>
      <c r="F3649">
        <v>1660600</v>
      </c>
      <c r="G3649">
        <v>106</v>
      </c>
      <c r="H3649" t="s">
        <v>16</v>
      </c>
      <c r="I3649" s="22">
        <f t="shared" si="113"/>
        <v>3.7807228399061523E-3</v>
      </c>
      <c r="J3649" s="22" t="str">
        <f t="shared" si="114"/>
        <v/>
      </c>
    </row>
    <row r="3650" spans="1:10">
      <c r="A3650" s="1">
        <v>41320</v>
      </c>
      <c r="B3650">
        <v>106.9</v>
      </c>
      <c r="C3650">
        <v>107.45</v>
      </c>
      <c r="D3650">
        <v>106.19</v>
      </c>
      <c r="E3650">
        <v>106.42</v>
      </c>
      <c r="F3650">
        <v>1594900</v>
      </c>
      <c r="G3650">
        <v>105.86</v>
      </c>
      <c r="H3650" t="s">
        <v>16</v>
      </c>
      <c r="I3650" s="22">
        <f t="shared" si="113"/>
        <v>-1.321627682225637E-3</v>
      </c>
      <c r="J3650" s="22" t="str">
        <f t="shared" si="114"/>
        <v>lost money</v>
      </c>
    </row>
    <row r="3651" spans="1:10">
      <c r="A3651" s="1">
        <v>41324</v>
      </c>
      <c r="B3651">
        <v>106.61</v>
      </c>
      <c r="C3651">
        <v>107.39</v>
      </c>
      <c r="D3651">
        <v>106.41</v>
      </c>
      <c r="E3651">
        <v>107.33</v>
      </c>
      <c r="F3651">
        <v>1093900</v>
      </c>
      <c r="G3651">
        <v>106.76</v>
      </c>
      <c r="H3651" t="s">
        <v>16</v>
      </c>
      <c r="I3651" s="22">
        <f t="shared" ref="I3651:I3714" si="115">IF(A3651=$A$2,"",LN(G3651/G3650))</f>
        <v>8.4658581064819671E-3</v>
      </c>
      <c r="J3651" s="22" t="str">
        <f t="shared" ref="J3651:J3714" si="116">IF(B3651&gt;E3651,"lost money","")</f>
        <v/>
      </c>
    </row>
    <row r="3652" spans="1:10">
      <c r="A3652" s="1">
        <v>41325</v>
      </c>
      <c r="B3652">
        <v>107.39</v>
      </c>
      <c r="C3652">
        <v>107.39</v>
      </c>
      <c r="D3652">
        <v>105.59</v>
      </c>
      <c r="E3652">
        <v>105.69</v>
      </c>
      <c r="F3652">
        <v>1472200</v>
      </c>
      <c r="G3652">
        <v>105.13</v>
      </c>
      <c r="H3652" t="s">
        <v>16</v>
      </c>
      <c r="I3652" s="22">
        <f t="shared" si="115"/>
        <v>-1.5385644948583983E-2</v>
      </c>
      <c r="J3652" s="22" t="str">
        <f t="shared" si="116"/>
        <v>lost money</v>
      </c>
    </row>
    <row r="3653" spans="1:10">
      <c r="A3653" s="1">
        <v>41326</v>
      </c>
      <c r="B3653">
        <v>105.35</v>
      </c>
      <c r="C3653">
        <v>106.08</v>
      </c>
      <c r="D3653">
        <v>104.25</v>
      </c>
      <c r="E3653">
        <v>104.88</v>
      </c>
      <c r="F3653">
        <v>1730900</v>
      </c>
      <c r="G3653">
        <v>104.33</v>
      </c>
      <c r="H3653" t="s">
        <v>16</v>
      </c>
      <c r="I3653" s="22">
        <f t="shared" si="115"/>
        <v>-7.6387271078615145E-3</v>
      </c>
      <c r="J3653" s="22" t="str">
        <f t="shared" si="116"/>
        <v>lost money</v>
      </c>
    </row>
    <row r="3654" spans="1:10">
      <c r="A3654" s="1">
        <v>41327</v>
      </c>
      <c r="B3654">
        <v>105.13</v>
      </c>
      <c r="C3654">
        <v>105.82</v>
      </c>
      <c r="D3654">
        <v>104.88</v>
      </c>
      <c r="E3654">
        <v>105.82</v>
      </c>
      <c r="F3654">
        <v>899500</v>
      </c>
      <c r="G3654">
        <v>105.26</v>
      </c>
      <c r="H3654" t="s">
        <v>16</v>
      </c>
      <c r="I3654" s="22">
        <f t="shared" si="115"/>
        <v>8.8745274457549001E-3</v>
      </c>
      <c r="J3654" s="22" t="str">
        <f t="shared" si="116"/>
        <v/>
      </c>
    </row>
    <row r="3655" spans="1:10">
      <c r="A3655" s="1">
        <v>41330</v>
      </c>
      <c r="B3655">
        <v>106.33</v>
      </c>
      <c r="C3655">
        <v>107</v>
      </c>
      <c r="D3655">
        <v>103.1</v>
      </c>
      <c r="E3655">
        <v>103.11</v>
      </c>
      <c r="F3655">
        <v>1592900</v>
      </c>
      <c r="G3655">
        <v>102.57</v>
      </c>
      <c r="H3655" t="s">
        <v>16</v>
      </c>
      <c r="I3655" s="22">
        <f t="shared" si="115"/>
        <v>-2.5887987606313407E-2</v>
      </c>
      <c r="J3655" s="22" t="str">
        <f t="shared" si="116"/>
        <v>lost money</v>
      </c>
    </row>
    <row r="3656" spans="1:10">
      <c r="A3656" s="1">
        <v>41331</v>
      </c>
      <c r="B3656">
        <v>103.68</v>
      </c>
      <c r="C3656">
        <v>103.95</v>
      </c>
      <c r="D3656">
        <v>102.72</v>
      </c>
      <c r="E3656">
        <v>103.16</v>
      </c>
      <c r="F3656">
        <v>2718500</v>
      </c>
      <c r="G3656">
        <v>102.62</v>
      </c>
      <c r="H3656" t="s">
        <v>16</v>
      </c>
      <c r="I3656" s="22">
        <f t="shared" si="115"/>
        <v>4.8735319449923204E-4</v>
      </c>
      <c r="J3656" s="22" t="str">
        <f t="shared" si="116"/>
        <v>lost money</v>
      </c>
    </row>
    <row r="3657" spans="1:10">
      <c r="A3657" s="1">
        <v>41332</v>
      </c>
      <c r="B3657">
        <v>102.7</v>
      </c>
      <c r="C3657">
        <v>106.12</v>
      </c>
      <c r="D3657">
        <v>102.33</v>
      </c>
      <c r="E3657">
        <v>105.74</v>
      </c>
      <c r="F3657">
        <v>2261100</v>
      </c>
      <c r="G3657">
        <v>105.18</v>
      </c>
      <c r="H3657" t="s">
        <v>16</v>
      </c>
      <c r="I3657" s="22">
        <f t="shared" si="115"/>
        <v>2.4640322647379521E-2</v>
      </c>
      <c r="J3657" s="22" t="str">
        <f t="shared" si="116"/>
        <v/>
      </c>
    </row>
    <row r="3658" spans="1:10">
      <c r="A3658" s="1">
        <v>41333</v>
      </c>
      <c r="B3658">
        <v>105.57</v>
      </c>
      <c r="C3658">
        <v>106.08</v>
      </c>
      <c r="D3658">
        <v>104.83</v>
      </c>
      <c r="E3658">
        <v>105.43</v>
      </c>
      <c r="F3658">
        <v>1691400</v>
      </c>
      <c r="G3658">
        <v>104.87</v>
      </c>
      <c r="H3658" t="s">
        <v>16</v>
      </c>
      <c r="I3658" s="22">
        <f t="shared" si="115"/>
        <v>-2.9516803148844119E-3</v>
      </c>
      <c r="J3658" s="22" t="str">
        <f t="shared" si="116"/>
        <v>lost money</v>
      </c>
    </row>
    <row r="3659" spans="1:10">
      <c r="A3659" s="1">
        <v>41334</v>
      </c>
      <c r="B3659">
        <v>105.11</v>
      </c>
      <c r="C3659">
        <v>106.06</v>
      </c>
      <c r="D3659">
        <v>104.31</v>
      </c>
      <c r="E3659">
        <v>105.38</v>
      </c>
      <c r="F3659">
        <v>1449100</v>
      </c>
      <c r="G3659">
        <v>104.82</v>
      </c>
      <c r="H3659" t="s">
        <v>16</v>
      </c>
      <c r="I3659" s="22">
        <f t="shared" si="115"/>
        <v>-4.7689447229362468E-4</v>
      </c>
      <c r="J3659" s="22" t="str">
        <f t="shared" si="116"/>
        <v/>
      </c>
    </row>
    <row r="3660" spans="1:10">
      <c r="A3660" s="1">
        <v>41337</v>
      </c>
      <c r="B3660">
        <v>105.28</v>
      </c>
      <c r="C3660">
        <v>105.88</v>
      </c>
      <c r="D3660">
        <v>104.6</v>
      </c>
      <c r="E3660">
        <v>105.8</v>
      </c>
      <c r="F3660">
        <v>940500</v>
      </c>
      <c r="G3660">
        <v>105.24</v>
      </c>
      <c r="H3660" t="s">
        <v>16</v>
      </c>
      <c r="I3660" s="22">
        <f t="shared" si="115"/>
        <v>3.9988627980717829E-3</v>
      </c>
      <c r="J3660" s="22" t="str">
        <f t="shared" si="116"/>
        <v/>
      </c>
    </row>
    <row r="3661" spans="1:10">
      <c r="A3661" s="1">
        <v>41338</v>
      </c>
      <c r="B3661">
        <v>106.83</v>
      </c>
      <c r="C3661">
        <v>109.11</v>
      </c>
      <c r="D3661">
        <v>106.75</v>
      </c>
      <c r="E3661">
        <v>107.91</v>
      </c>
      <c r="F3661">
        <v>1818400</v>
      </c>
      <c r="G3661">
        <v>107.34</v>
      </c>
      <c r="H3661" t="s">
        <v>16</v>
      </c>
      <c r="I3661" s="22">
        <f t="shared" si="115"/>
        <v>1.9757910576590907E-2</v>
      </c>
      <c r="J3661" s="22" t="str">
        <f t="shared" si="116"/>
        <v/>
      </c>
    </row>
    <row r="3662" spans="1:10">
      <c r="A3662" s="1">
        <v>41339</v>
      </c>
      <c r="B3662">
        <v>109.08</v>
      </c>
      <c r="C3662">
        <v>109.48</v>
      </c>
      <c r="D3662">
        <v>107.77</v>
      </c>
      <c r="E3662">
        <v>108.04</v>
      </c>
      <c r="F3662">
        <v>1716700</v>
      </c>
      <c r="G3662">
        <v>107.47</v>
      </c>
      <c r="H3662" t="s">
        <v>16</v>
      </c>
      <c r="I3662" s="22">
        <f t="shared" si="115"/>
        <v>1.2103721043791016E-3</v>
      </c>
      <c r="J3662" s="22" t="str">
        <f t="shared" si="116"/>
        <v>lost money</v>
      </c>
    </row>
    <row r="3663" spans="1:10">
      <c r="A3663" s="1">
        <v>41340</v>
      </c>
      <c r="B3663">
        <v>107.81</v>
      </c>
      <c r="C3663">
        <v>108</v>
      </c>
      <c r="D3663">
        <v>106.59</v>
      </c>
      <c r="E3663">
        <v>106.96</v>
      </c>
      <c r="F3663">
        <v>1746500</v>
      </c>
      <c r="G3663">
        <v>106.53</v>
      </c>
      <c r="H3663" t="s">
        <v>16</v>
      </c>
      <c r="I3663" s="22">
        <f t="shared" si="115"/>
        <v>-8.7851032299557236E-3</v>
      </c>
      <c r="J3663" s="22" t="str">
        <f t="shared" si="116"/>
        <v>lost money</v>
      </c>
    </row>
    <row r="3664" spans="1:10">
      <c r="A3664" s="1">
        <v>41341</v>
      </c>
      <c r="B3664">
        <v>107.59</v>
      </c>
      <c r="C3664">
        <v>107.95</v>
      </c>
      <c r="D3664">
        <v>107.02</v>
      </c>
      <c r="E3664">
        <v>107.8</v>
      </c>
      <c r="F3664">
        <v>1195600</v>
      </c>
      <c r="G3664">
        <v>107.37</v>
      </c>
      <c r="H3664" t="s">
        <v>16</v>
      </c>
      <c r="I3664" s="22">
        <f t="shared" si="115"/>
        <v>7.8541778229380375E-3</v>
      </c>
      <c r="J3664" s="22" t="str">
        <f t="shared" si="116"/>
        <v/>
      </c>
    </row>
    <row r="3665" spans="1:10">
      <c r="A3665" s="1">
        <v>41344</v>
      </c>
      <c r="B3665">
        <v>107.69</v>
      </c>
      <c r="C3665">
        <v>109.66</v>
      </c>
      <c r="D3665">
        <v>106.27</v>
      </c>
      <c r="E3665">
        <v>107.41</v>
      </c>
      <c r="F3665">
        <v>1372700</v>
      </c>
      <c r="G3665">
        <v>106.98</v>
      </c>
      <c r="H3665" t="s">
        <v>16</v>
      </c>
      <c r="I3665" s="22">
        <f t="shared" si="115"/>
        <v>-3.6389123429400893E-3</v>
      </c>
      <c r="J3665" s="22" t="str">
        <f t="shared" si="116"/>
        <v>lost money</v>
      </c>
    </row>
    <row r="3666" spans="1:10">
      <c r="A3666" s="1">
        <v>41345</v>
      </c>
      <c r="B3666">
        <v>107.48</v>
      </c>
      <c r="C3666">
        <v>107.68</v>
      </c>
      <c r="D3666">
        <v>106</v>
      </c>
      <c r="E3666">
        <v>106.43</v>
      </c>
      <c r="F3666">
        <v>1268500</v>
      </c>
      <c r="G3666">
        <v>106.01</v>
      </c>
      <c r="H3666" t="s">
        <v>16</v>
      </c>
      <c r="I3666" s="22">
        <f t="shared" si="115"/>
        <v>-9.1084718180977683E-3</v>
      </c>
      <c r="J3666" s="22" t="str">
        <f t="shared" si="116"/>
        <v>lost money</v>
      </c>
    </row>
    <row r="3667" spans="1:10">
      <c r="A3667" s="1">
        <v>41346</v>
      </c>
      <c r="B3667">
        <v>106.53</v>
      </c>
      <c r="C3667">
        <v>108.2</v>
      </c>
      <c r="D3667">
        <v>106.48</v>
      </c>
      <c r="E3667">
        <v>107.87</v>
      </c>
      <c r="F3667">
        <v>1412300</v>
      </c>
      <c r="G3667">
        <v>107.44</v>
      </c>
      <c r="H3667" t="s">
        <v>16</v>
      </c>
      <c r="I3667" s="22">
        <f t="shared" si="115"/>
        <v>1.3399122929975717E-2</v>
      </c>
      <c r="J3667" s="22" t="str">
        <f t="shared" si="116"/>
        <v/>
      </c>
    </row>
    <row r="3668" spans="1:10">
      <c r="A3668" s="1">
        <v>41347</v>
      </c>
      <c r="B3668">
        <v>108.01</v>
      </c>
      <c r="C3668">
        <v>108.84</v>
      </c>
      <c r="D3668">
        <v>107.84</v>
      </c>
      <c r="E3668">
        <v>108.84</v>
      </c>
      <c r="F3668">
        <v>1450000</v>
      </c>
      <c r="G3668">
        <v>108.41</v>
      </c>
      <c r="H3668" t="s">
        <v>16</v>
      </c>
      <c r="I3668" s="22">
        <f t="shared" si="115"/>
        <v>8.9877834582182039E-3</v>
      </c>
      <c r="J3668" s="22" t="str">
        <f t="shared" si="116"/>
        <v/>
      </c>
    </row>
    <row r="3669" spans="1:10">
      <c r="A3669" s="1">
        <v>41348</v>
      </c>
      <c r="B3669">
        <v>108.62</v>
      </c>
      <c r="C3669">
        <v>109.12</v>
      </c>
      <c r="D3669">
        <v>108.04</v>
      </c>
      <c r="E3669">
        <v>109.07</v>
      </c>
      <c r="F3669">
        <v>2096500</v>
      </c>
      <c r="G3669">
        <v>108.64</v>
      </c>
      <c r="H3669" t="s">
        <v>16</v>
      </c>
      <c r="I3669" s="22">
        <f t="shared" si="115"/>
        <v>2.1193281371856641E-3</v>
      </c>
      <c r="J3669" s="22" t="str">
        <f t="shared" si="116"/>
        <v/>
      </c>
    </row>
    <row r="3670" spans="1:10">
      <c r="A3670" s="1">
        <v>41351</v>
      </c>
      <c r="B3670">
        <v>107.83</v>
      </c>
      <c r="C3670">
        <v>108.41</v>
      </c>
      <c r="D3670">
        <v>106.85</v>
      </c>
      <c r="E3670">
        <v>107.29</v>
      </c>
      <c r="F3670">
        <v>1784700</v>
      </c>
      <c r="G3670">
        <v>106.86</v>
      </c>
      <c r="H3670" t="s">
        <v>16</v>
      </c>
      <c r="I3670" s="22">
        <f t="shared" si="115"/>
        <v>-1.6520097280760766E-2</v>
      </c>
      <c r="J3670" s="22" t="str">
        <f t="shared" si="116"/>
        <v>lost money</v>
      </c>
    </row>
    <row r="3671" spans="1:10">
      <c r="A3671" s="1">
        <v>41352</v>
      </c>
      <c r="B3671">
        <v>107.4</v>
      </c>
      <c r="C3671">
        <v>107.98</v>
      </c>
      <c r="D3671">
        <v>106</v>
      </c>
      <c r="E3671">
        <v>106.46</v>
      </c>
      <c r="F3671">
        <v>2651700</v>
      </c>
      <c r="G3671">
        <v>106.04</v>
      </c>
      <c r="H3671" t="s">
        <v>16</v>
      </c>
      <c r="I3671" s="22">
        <f t="shared" si="115"/>
        <v>-7.7031851088004673E-3</v>
      </c>
      <c r="J3671" s="22" t="str">
        <f t="shared" si="116"/>
        <v>lost money</v>
      </c>
    </row>
    <row r="3672" spans="1:10">
      <c r="A3672" s="1">
        <v>41353</v>
      </c>
      <c r="B3672">
        <v>102</v>
      </c>
      <c r="C3672">
        <v>102.5</v>
      </c>
      <c r="D3672">
        <v>98.82</v>
      </c>
      <c r="E3672">
        <v>99.13</v>
      </c>
      <c r="F3672">
        <v>11579100</v>
      </c>
      <c r="G3672">
        <v>98.74</v>
      </c>
      <c r="H3672" t="s">
        <v>16</v>
      </c>
      <c r="I3672" s="22">
        <f t="shared" si="115"/>
        <v>-7.1326248590108041E-2</v>
      </c>
      <c r="J3672" s="22" t="str">
        <f t="shared" si="116"/>
        <v>lost money</v>
      </c>
    </row>
    <row r="3673" spans="1:10">
      <c r="A3673" s="1">
        <v>41354</v>
      </c>
      <c r="B3673">
        <v>98.78</v>
      </c>
      <c r="C3673">
        <v>98.99</v>
      </c>
      <c r="D3673">
        <v>95.3</v>
      </c>
      <c r="E3673">
        <v>96.5</v>
      </c>
      <c r="F3673">
        <v>9159800</v>
      </c>
      <c r="G3673">
        <v>96.12</v>
      </c>
      <c r="H3673" t="s">
        <v>16</v>
      </c>
      <c r="I3673" s="22">
        <f t="shared" si="115"/>
        <v>-2.6892721962448546E-2</v>
      </c>
      <c r="J3673" s="22" t="str">
        <f t="shared" si="116"/>
        <v>lost money</v>
      </c>
    </row>
    <row r="3674" spans="1:10">
      <c r="A3674" s="1">
        <v>41355</v>
      </c>
      <c r="B3674">
        <v>97.02</v>
      </c>
      <c r="C3674">
        <v>98.9</v>
      </c>
      <c r="D3674">
        <v>96.99</v>
      </c>
      <c r="E3674">
        <v>98.48</v>
      </c>
      <c r="F3674">
        <v>5379400</v>
      </c>
      <c r="G3674">
        <v>98.09</v>
      </c>
      <c r="H3674" t="s">
        <v>16</v>
      </c>
      <c r="I3674" s="22">
        <f t="shared" si="115"/>
        <v>2.0288013707956177E-2</v>
      </c>
      <c r="J3674" s="22" t="str">
        <f t="shared" si="116"/>
        <v/>
      </c>
    </row>
    <row r="3675" spans="1:10">
      <c r="A3675" s="1">
        <v>41358</v>
      </c>
      <c r="B3675">
        <v>98.51</v>
      </c>
      <c r="C3675">
        <v>98.66</v>
      </c>
      <c r="D3675">
        <v>96.08</v>
      </c>
      <c r="E3675">
        <v>97.02</v>
      </c>
      <c r="F3675">
        <v>2910300</v>
      </c>
      <c r="G3675">
        <v>96.63</v>
      </c>
      <c r="H3675" t="s">
        <v>16</v>
      </c>
      <c r="I3675" s="22">
        <f t="shared" si="115"/>
        <v>-1.4996172565007236E-2</v>
      </c>
      <c r="J3675" s="22" t="str">
        <f t="shared" si="116"/>
        <v>lost money</v>
      </c>
    </row>
    <row r="3676" spans="1:10">
      <c r="A3676" s="1">
        <v>41359</v>
      </c>
      <c r="B3676">
        <v>97.33</v>
      </c>
      <c r="C3676">
        <v>98.32</v>
      </c>
      <c r="D3676">
        <v>97.16</v>
      </c>
      <c r="E3676">
        <v>97.72</v>
      </c>
      <c r="F3676">
        <v>2532800</v>
      </c>
      <c r="G3676">
        <v>97.33</v>
      </c>
      <c r="H3676" t="s">
        <v>16</v>
      </c>
      <c r="I3676" s="22">
        <f t="shared" si="115"/>
        <v>7.2180144271851788E-3</v>
      </c>
      <c r="J3676" s="22" t="str">
        <f t="shared" si="116"/>
        <v/>
      </c>
    </row>
    <row r="3677" spans="1:10">
      <c r="A3677" s="1">
        <v>41360</v>
      </c>
      <c r="B3677">
        <v>97.29</v>
      </c>
      <c r="C3677">
        <v>97.68</v>
      </c>
      <c r="D3677">
        <v>96.62</v>
      </c>
      <c r="E3677">
        <v>97.65</v>
      </c>
      <c r="F3677">
        <v>2335500</v>
      </c>
      <c r="G3677">
        <v>97.26</v>
      </c>
      <c r="H3677" t="s">
        <v>16</v>
      </c>
      <c r="I3677" s="22">
        <f t="shared" si="115"/>
        <v>-7.1946146276238745E-4</v>
      </c>
      <c r="J3677" s="22" t="str">
        <f t="shared" si="116"/>
        <v/>
      </c>
    </row>
    <row r="3678" spans="1:10">
      <c r="A3678" s="1">
        <v>41361</v>
      </c>
      <c r="B3678">
        <v>97.28</v>
      </c>
      <c r="C3678">
        <v>98.43</v>
      </c>
      <c r="D3678">
        <v>97.2</v>
      </c>
      <c r="E3678">
        <v>98.2</v>
      </c>
      <c r="F3678">
        <v>2217200</v>
      </c>
      <c r="G3678">
        <v>97.81</v>
      </c>
      <c r="H3678" t="s">
        <v>16</v>
      </c>
      <c r="I3678" s="22">
        <f t="shared" si="115"/>
        <v>5.6390163267618859E-3</v>
      </c>
      <c r="J3678" s="22" t="str">
        <f t="shared" si="116"/>
        <v/>
      </c>
    </row>
    <row r="3679" spans="1:10">
      <c r="A3679" s="1">
        <v>41365</v>
      </c>
      <c r="B3679">
        <v>98.41</v>
      </c>
      <c r="C3679">
        <v>99.53</v>
      </c>
      <c r="D3679">
        <v>97.56</v>
      </c>
      <c r="E3679">
        <v>97.78</v>
      </c>
      <c r="F3679">
        <v>2050800</v>
      </c>
      <c r="G3679">
        <v>97.39</v>
      </c>
      <c r="H3679" t="s">
        <v>16</v>
      </c>
      <c r="I3679" s="22">
        <f t="shared" si="115"/>
        <v>-4.3032853292936388E-3</v>
      </c>
      <c r="J3679" s="22" t="str">
        <f t="shared" si="116"/>
        <v>lost money</v>
      </c>
    </row>
    <row r="3680" spans="1:10">
      <c r="A3680" s="1">
        <v>41366</v>
      </c>
      <c r="B3680">
        <v>97.8</v>
      </c>
      <c r="C3680">
        <v>98.22</v>
      </c>
      <c r="D3680">
        <v>96.82</v>
      </c>
      <c r="E3680">
        <v>97.12</v>
      </c>
      <c r="F3680">
        <v>1838600</v>
      </c>
      <c r="G3680">
        <v>96.73</v>
      </c>
      <c r="H3680" t="s">
        <v>16</v>
      </c>
      <c r="I3680" s="22">
        <f t="shared" si="115"/>
        <v>-6.7999437786522175E-3</v>
      </c>
      <c r="J3680" s="22" t="str">
        <f t="shared" si="116"/>
        <v>lost money</v>
      </c>
    </row>
    <row r="3681" spans="1:10">
      <c r="A3681" s="1">
        <v>41367</v>
      </c>
      <c r="B3681">
        <v>97.15</v>
      </c>
      <c r="C3681">
        <v>97.66</v>
      </c>
      <c r="D3681">
        <v>96.08</v>
      </c>
      <c r="E3681">
        <v>96.28</v>
      </c>
      <c r="F3681">
        <v>2932600</v>
      </c>
      <c r="G3681">
        <v>95.9</v>
      </c>
      <c r="H3681" t="s">
        <v>16</v>
      </c>
      <c r="I3681" s="22">
        <f t="shared" si="115"/>
        <v>-8.6176103050631201E-3</v>
      </c>
      <c r="J3681" s="22" t="str">
        <f t="shared" si="116"/>
        <v>lost money</v>
      </c>
    </row>
    <row r="3682" spans="1:10">
      <c r="A3682" s="1">
        <v>41368</v>
      </c>
      <c r="B3682">
        <v>96.53</v>
      </c>
      <c r="C3682">
        <v>97.25</v>
      </c>
      <c r="D3682">
        <v>95.96</v>
      </c>
      <c r="E3682">
        <v>95.98</v>
      </c>
      <c r="F3682">
        <v>2249000</v>
      </c>
      <c r="G3682">
        <v>95.6</v>
      </c>
      <c r="H3682" t="s">
        <v>16</v>
      </c>
      <c r="I3682" s="22">
        <f t="shared" si="115"/>
        <v>-3.1331618320370423E-3</v>
      </c>
      <c r="J3682" s="22" t="str">
        <f t="shared" si="116"/>
        <v>lost money</v>
      </c>
    </row>
    <row r="3683" spans="1:10">
      <c r="A3683" s="1">
        <v>41369</v>
      </c>
      <c r="B3683">
        <v>94.91</v>
      </c>
      <c r="C3683">
        <v>95.85</v>
      </c>
      <c r="D3683">
        <v>94.2</v>
      </c>
      <c r="E3683">
        <v>95.5</v>
      </c>
      <c r="F3683">
        <v>2878100</v>
      </c>
      <c r="G3683">
        <v>95.12</v>
      </c>
      <c r="H3683" t="s">
        <v>16</v>
      </c>
      <c r="I3683" s="22">
        <f t="shared" si="115"/>
        <v>-5.0335676748290677E-3</v>
      </c>
      <c r="J3683" s="22" t="str">
        <f t="shared" si="116"/>
        <v/>
      </c>
    </row>
    <row r="3684" spans="1:10">
      <c r="A3684" s="1">
        <v>41372</v>
      </c>
      <c r="B3684">
        <v>95.43</v>
      </c>
      <c r="C3684">
        <v>96.03</v>
      </c>
      <c r="D3684">
        <v>95.05</v>
      </c>
      <c r="E3684">
        <v>95.25</v>
      </c>
      <c r="F3684">
        <v>2032500</v>
      </c>
      <c r="G3684">
        <v>94.87</v>
      </c>
      <c r="H3684" t="s">
        <v>16</v>
      </c>
      <c r="I3684" s="22">
        <f t="shared" si="115"/>
        <v>-2.6317189777409389E-3</v>
      </c>
      <c r="J3684" s="22" t="str">
        <f t="shared" si="116"/>
        <v>lost money</v>
      </c>
    </row>
    <row r="3685" spans="1:10">
      <c r="A3685" s="1">
        <v>41373</v>
      </c>
      <c r="B3685">
        <v>95.29</v>
      </c>
      <c r="C3685">
        <v>95.82</v>
      </c>
      <c r="D3685">
        <v>94.67</v>
      </c>
      <c r="E3685">
        <v>95.34</v>
      </c>
      <c r="F3685">
        <v>2270600</v>
      </c>
      <c r="G3685">
        <v>94.96</v>
      </c>
      <c r="H3685" t="s">
        <v>16</v>
      </c>
      <c r="I3685" s="22">
        <f t="shared" si="115"/>
        <v>9.4821689662698857E-4</v>
      </c>
      <c r="J3685" s="22" t="str">
        <f t="shared" si="116"/>
        <v/>
      </c>
    </row>
    <row r="3686" spans="1:10">
      <c r="A3686" s="1">
        <v>41374</v>
      </c>
      <c r="B3686">
        <v>95.49</v>
      </c>
      <c r="C3686">
        <v>98.23</v>
      </c>
      <c r="D3686">
        <v>95.44</v>
      </c>
      <c r="E3686">
        <v>97.95</v>
      </c>
      <c r="F3686">
        <v>3138600</v>
      </c>
      <c r="G3686">
        <v>97.56</v>
      </c>
      <c r="H3686" t="s">
        <v>16</v>
      </c>
      <c r="I3686" s="22">
        <f t="shared" si="115"/>
        <v>2.7011823046307108E-2</v>
      </c>
      <c r="J3686" s="22" t="str">
        <f t="shared" si="116"/>
        <v/>
      </c>
    </row>
    <row r="3687" spans="1:10">
      <c r="A3687" s="1">
        <v>41375</v>
      </c>
      <c r="B3687">
        <v>97.87</v>
      </c>
      <c r="C3687">
        <v>98</v>
      </c>
      <c r="D3687">
        <v>96.56</v>
      </c>
      <c r="E3687">
        <v>96.66</v>
      </c>
      <c r="F3687">
        <v>2036000</v>
      </c>
      <c r="G3687">
        <v>96.28</v>
      </c>
      <c r="H3687" t="s">
        <v>16</v>
      </c>
      <c r="I3687" s="22">
        <f t="shared" si="115"/>
        <v>-1.3206960432848377E-2</v>
      </c>
      <c r="J3687" s="22" t="str">
        <f t="shared" si="116"/>
        <v>lost money</v>
      </c>
    </row>
    <row r="3688" spans="1:10">
      <c r="A3688" s="1">
        <v>41376</v>
      </c>
      <c r="B3688">
        <v>96.47</v>
      </c>
      <c r="C3688">
        <v>96.94</v>
      </c>
      <c r="D3688">
        <v>95.86</v>
      </c>
      <c r="E3688">
        <v>96.33</v>
      </c>
      <c r="F3688">
        <v>1387400</v>
      </c>
      <c r="G3688">
        <v>95.95</v>
      </c>
      <c r="H3688" t="s">
        <v>16</v>
      </c>
      <c r="I3688" s="22">
        <f t="shared" si="115"/>
        <v>-3.43339046116225E-3</v>
      </c>
      <c r="J3688" s="22" t="str">
        <f t="shared" si="116"/>
        <v>lost money</v>
      </c>
    </row>
    <row r="3689" spans="1:10">
      <c r="A3689" s="1">
        <v>41379</v>
      </c>
      <c r="B3689">
        <v>95.59</v>
      </c>
      <c r="C3689">
        <v>96.09</v>
      </c>
      <c r="D3689">
        <v>94.26</v>
      </c>
      <c r="E3689">
        <v>94.71</v>
      </c>
      <c r="F3689">
        <v>3107000</v>
      </c>
      <c r="G3689">
        <v>94.33</v>
      </c>
      <c r="H3689" t="s">
        <v>16</v>
      </c>
      <c r="I3689" s="22">
        <f t="shared" si="115"/>
        <v>-1.7027949791947182E-2</v>
      </c>
      <c r="J3689" s="22" t="str">
        <f t="shared" si="116"/>
        <v>lost money</v>
      </c>
    </row>
    <row r="3690" spans="1:10">
      <c r="A3690" s="1">
        <v>41380</v>
      </c>
      <c r="B3690">
        <v>95.39</v>
      </c>
      <c r="C3690">
        <v>95.66</v>
      </c>
      <c r="D3690">
        <v>94.71</v>
      </c>
      <c r="E3690">
        <v>95.14</v>
      </c>
      <c r="F3690">
        <v>2317300</v>
      </c>
      <c r="G3690">
        <v>94.76</v>
      </c>
      <c r="H3690" t="s">
        <v>16</v>
      </c>
      <c r="I3690" s="22">
        <f t="shared" si="115"/>
        <v>4.5481066288228806E-3</v>
      </c>
      <c r="J3690" s="22" t="str">
        <f t="shared" si="116"/>
        <v>lost money</v>
      </c>
    </row>
    <row r="3691" spans="1:10">
      <c r="A3691" s="1">
        <v>41381</v>
      </c>
      <c r="B3691">
        <v>94.44</v>
      </c>
      <c r="C3691">
        <v>95.04</v>
      </c>
      <c r="D3691">
        <v>93.59</v>
      </c>
      <c r="E3691">
        <v>94.12</v>
      </c>
      <c r="F3691">
        <v>2284500</v>
      </c>
      <c r="G3691">
        <v>93.75</v>
      </c>
      <c r="H3691" t="s">
        <v>16</v>
      </c>
      <c r="I3691" s="22">
        <f t="shared" si="115"/>
        <v>-1.0715714440064555E-2</v>
      </c>
      <c r="J3691" s="22" t="str">
        <f t="shared" si="116"/>
        <v>lost money</v>
      </c>
    </row>
    <row r="3692" spans="1:10">
      <c r="A3692" s="1">
        <v>41382</v>
      </c>
      <c r="B3692">
        <v>93.18</v>
      </c>
      <c r="C3692">
        <v>93.69</v>
      </c>
      <c r="D3692">
        <v>90.61</v>
      </c>
      <c r="E3692">
        <v>91.87</v>
      </c>
      <c r="F3692">
        <v>4952400</v>
      </c>
      <c r="G3692">
        <v>91.5</v>
      </c>
      <c r="H3692" t="s">
        <v>16</v>
      </c>
      <c r="I3692" s="22">
        <f t="shared" si="115"/>
        <v>-2.4292692569044587E-2</v>
      </c>
      <c r="J3692" s="22" t="str">
        <f t="shared" si="116"/>
        <v>lost money</v>
      </c>
    </row>
    <row r="3693" spans="1:10">
      <c r="A3693" s="1">
        <v>41383</v>
      </c>
      <c r="B3693">
        <v>92.39</v>
      </c>
      <c r="C3693">
        <v>92.87</v>
      </c>
      <c r="D3693">
        <v>91.7</v>
      </c>
      <c r="E3693">
        <v>92.39</v>
      </c>
      <c r="F3693">
        <v>1901000</v>
      </c>
      <c r="G3693">
        <v>92.02</v>
      </c>
      <c r="H3693" t="s">
        <v>16</v>
      </c>
      <c r="I3693" s="22">
        <f t="shared" si="115"/>
        <v>5.6669724458469403E-3</v>
      </c>
      <c r="J3693" s="22" t="str">
        <f t="shared" si="116"/>
        <v/>
      </c>
    </row>
    <row r="3694" spans="1:10">
      <c r="A3694" s="1">
        <v>41386</v>
      </c>
      <c r="B3694">
        <v>92.67</v>
      </c>
      <c r="C3694">
        <v>92.85</v>
      </c>
      <c r="D3694">
        <v>90.95</v>
      </c>
      <c r="E3694">
        <v>92.5</v>
      </c>
      <c r="F3694">
        <v>1584300</v>
      </c>
      <c r="G3694">
        <v>92.13</v>
      </c>
      <c r="H3694" t="s">
        <v>16</v>
      </c>
      <c r="I3694" s="22">
        <f t="shared" si="115"/>
        <v>1.1946783935181157E-3</v>
      </c>
      <c r="J3694" s="22" t="str">
        <f t="shared" si="116"/>
        <v>lost money</v>
      </c>
    </row>
    <row r="3695" spans="1:10">
      <c r="A3695" s="1">
        <v>41387</v>
      </c>
      <c r="B3695">
        <v>92.94</v>
      </c>
      <c r="C3695">
        <v>93.19</v>
      </c>
      <c r="D3695">
        <v>92.03</v>
      </c>
      <c r="E3695">
        <v>93.17</v>
      </c>
      <c r="F3695">
        <v>2537900</v>
      </c>
      <c r="G3695">
        <v>92.8</v>
      </c>
      <c r="H3695" t="s">
        <v>16</v>
      </c>
      <c r="I3695" s="22">
        <f t="shared" si="115"/>
        <v>7.2460166713141276E-3</v>
      </c>
      <c r="J3695" s="22" t="str">
        <f t="shared" si="116"/>
        <v/>
      </c>
    </row>
    <row r="3696" spans="1:10">
      <c r="A3696" s="1">
        <v>41388</v>
      </c>
      <c r="B3696">
        <v>94.7</v>
      </c>
      <c r="C3696">
        <v>96.15</v>
      </c>
      <c r="D3696">
        <v>94.4</v>
      </c>
      <c r="E3696">
        <v>94.46</v>
      </c>
      <c r="F3696">
        <v>3056500</v>
      </c>
      <c r="G3696">
        <v>94.08</v>
      </c>
      <c r="H3696" t="s">
        <v>16</v>
      </c>
      <c r="I3696" s="22">
        <f t="shared" si="115"/>
        <v>1.3698844358161927E-2</v>
      </c>
      <c r="J3696" s="22" t="str">
        <f t="shared" si="116"/>
        <v>lost money</v>
      </c>
    </row>
    <row r="3697" spans="1:10">
      <c r="A3697" s="1">
        <v>41389</v>
      </c>
      <c r="B3697">
        <v>94.61</v>
      </c>
      <c r="C3697">
        <v>94.94</v>
      </c>
      <c r="D3697">
        <v>93.23</v>
      </c>
      <c r="E3697">
        <v>94.3</v>
      </c>
      <c r="F3697">
        <v>2326400</v>
      </c>
      <c r="G3697">
        <v>93.92</v>
      </c>
      <c r="H3697" t="s">
        <v>16</v>
      </c>
      <c r="I3697" s="22">
        <f t="shared" si="115"/>
        <v>-1.7021280705304183E-3</v>
      </c>
      <c r="J3697" s="22" t="str">
        <f t="shared" si="116"/>
        <v>lost money</v>
      </c>
    </row>
    <row r="3698" spans="1:10">
      <c r="A3698" s="1">
        <v>41390</v>
      </c>
      <c r="B3698">
        <v>94.57</v>
      </c>
      <c r="C3698">
        <v>94.78</v>
      </c>
      <c r="D3698">
        <v>93.99</v>
      </c>
      <c r="E3698">
        <v>94.18</v>
      </c>
      <c r="F3698">
        <v>1652400</v>
      </c>
      <c r="G3698">
        <v>93.8</v>
      </c>
      <c r="H3698" t="s">
        <v>16</v>
      </c>
      <c r="I3698" s="22">
        <f t="shared" si="115"/>
        <v>-1.2785000676073565E-3</v>
      </c>
      <c r="J3698" s="22" t="str">
        <f t="shared" si="116"/>
        <v>lost money</v>
      </c>
    </row>
    <row r="3699" spans="1:10">
      <c r="A3699" s="1">
        <v>41393</v>
      </c>
      <c r="B3699">
        <v>94.45</v>
      </c>
      <c r="C3699">
        <v>94.58</v>
      </c>
      <c r="D3699">
        <v>93.5</v>
      </c>
      <c r="E3699">
        <v>93.75</v>
      </c>
      <c r="F3699">
        <v>1878900</v>
      </c>
      <c r="G3699">
        <v>93.38</v>
      </c>
      <c r="H3699" t="s">
        <v>16</v>
      </c>
      <c r="I3699" s="22">
        <f t="shared" si="115"/>
        <v>-4.4876664693880167E-3</v>
      </c>
      <c r="J3699" s="22" t="str">
        <f t="shared" si="116"/>
        <v>lost money</v>
      </c>
    </row>
    <row r="3700" spans="1:10">
      <c r="A3700" s="1">
        <v>41394</v>
      </c>
      <c r="B3700">
        <v>93.84</v>
      </c>
      <c r="C3700">
        <v>94.43</v>
      </c>
      <c r="D3700">
        <v>93.09</v>
      </c>
      <c r="E3700">
        <v>94.01</v>
      </c>
      <c r="F3700">
        <v>1981000</v>
      </c>
      <c r="G3700">
        <v>93.64</v>
      </c>
      <c r="H3700" t="s">
        <v>16</v>
      </c>
      <c r="I3700" s="22">
        <f t="shared" si="115"/>
        <v>2.7804530799190536E-3</v>
      </c>
      <c r="J3700" s="22" t="str">
        <f t="shared" si="116"/>
        <v/>
      </c>
    </row>
    <row r="3701" spans="1:10">
      <c r="A3701" s="1">
        <v>41395</v>
      </c>
      <c r="B3701">
        <v>93.66</v>
      </c>
      <c r="C3701">
        <v>94.02</v>
      </c>
      <c r="D3701">
        <v>91.84</v>
      </c>
      <c r="E3701">
        <v>92</v>
      </c>
      <c r="F3701">
        <v>2396600</v>
      </c>
      <c r="G3701">
        <v>91.63</v>
      </c>
      <c r="H3701" t="s">
        <v>16</v>
      </c>
      <c r="I3701" s="22">
        <f t="shared" si="115"/>
        <v>-2.1698913645588257E-2</v>
      </c>
      <c r="J3701" s="22" t="str">
        <f t="shared" si="116"/>
        <v>lost money</v>
      </c>
    </row>
    <row r="3702" spans="1:10">
      <c r="A3702" s="1">
        <v>41396</v>
      </c>
      <c r="B3702">
        <v>92.23</v>
      </c>
      <c r="C3702">
        <v>93.11</v>
      </c>
      <c r="D3702">
        <v>92.18</v>
      </c>
      <c r="E3702">
        <v>92.29</v>
      </c>
      <c r="F3702">
        <v>2404500</v>
      </c>
      <c r="G3702">
        <v>91.92</v>
      </c>
      <c r="H3702" t="s">
        <v>16</v>
      </c>
      <c r="I3702" s="22">
        <f t="shared" si="115"/>
        <v>3.1599045633785277E-3</v>
      </c>
      <c r="J3702" s="22" t="str">
        <f t="shared" si="116"/>
        <v/>
      </c>
    </row>
    <row r="3703" spans="1:10">
      <c r="A3703" s="1">
        <v>41397</v>
      </c>
      <c r="B3703">
        <v>92.98</v>
      </c>
      <c r="C3703">
        <v>95.14</v>
      </c>
      <c r="D3703">
        <v>92.98</v>
      </c>
      <c r="E3703">
        <v>94.52</v>
      </c>
      <c r="F3703">
        <v>2317300</v>
      </c>
      <c r="G3703">
        <v>94.14</v>
      </c>
      <c r="H3703" t="s">
        <v>16</v>
      </c>
      <c r="I3703" s="22">
        <f t="shared" si="115"/>
        <v>2.386440243249591E-2</v>
      </c>
      <c r="J3703" s="22" t="str">
        <f t="shared" si="116"/>
        <v/>
      </c>
    </row>
    <row r="3704" spans="1:10">
      <c r="A3704" s="1">
        <v>41400</v>
      </c>
      <c r="B3704">
        <v>94.92</v>
      </c>
      <c r="C3704">
        <v>96.8</v>
      </c>
      <c r="D3704">
        <v>94.74</v>
      </c>
      <c r="E3704">
        <v>96.23</v>
      </c>
      <c r="F3704">
        <v>3045700</v>
      </c>
      <c r="G3704">
        <v>95.85</v>
      </c>
      <c r="H3704" t="s">
        <v>16</v>
      </c>
      <c r="I3704" s="22">
        <f t="shared" si="115"/>
        <v>1.8001433518657118E-2</v>
      </c>
      <c r="J3704" s="22" t="str">
        <f t="shared" si="116"/>
        <v/>
      </c>
    </row>
    <row r="3705" spans="1:10">
      <c r="A3705" s="1">
        <v>41401</v>
      </c>
      <c r="B3705">
        <v>96.63</v>
      </c>
      <c r="C3705">
        <v>99.6</v>
      </c>
      <c r="D3705">
        <v>96.51</v>
      </c>
      <c r="E3705">
        <v>99.52</v>
      </c>
      <c r="F3705">
        <v>4689700</v>
      </c>
      <c r="G3705">
        <v>99.12</v>
      </c>
      <c r="H3705" t="s">
        <v>16</v>
      </c>
      <c r="I3705" s="22">
        <f t="shared" si="115"/>
        <v>3.3546767829233506E-2</v>
      </c>
      <c r="J3705" s="22" t="str">
        <f t="shared" si="116"/>
        <v/>
      </c>
    </row>
    <row r="3706" spans="1:10">
      <c r="A3706" s="1">
        <v>41402</v>
      </c>
      <c r="B3706">
        <v>99.07</v>
      </c>
      <c r="C3706">
        <v>102.09</v>
      </c>
      <c r="D3706">
        <v>98.8</v>
      </c>
      <c r="E3706">
        <v>101.95</v>
      </c>
      <c r="F3706">
        <v>4873600</v>
      </c>
      <c r="G3706">
        <v>101.54</v>
      </c>
      <c r="H3706" t="s">
        <v>16</v>
      </c>
      <c r="I3706" s="22">
        <f t="shared" si="115"/>
        <v>2.4121572198361241E-2</v>
      </c>
      <c r="J3706" s="22" t="str">
        <f t="shared" si="116"/>
        <v/>
      </c>
    </row>
    <row r="3707" spans="1:10">
      <c r="A3707" s="1">
        <v>41403</v>
      </c>
      <c r="B3707">
        <v>101.57</v>
      </c>
      <c r="C3707">
        <v>102.1</v>
      </c>
      <c r="D3707">
        <v>100.23</v>
      </c>
      <c r="E3707">
        <v>100.43</v>
      </c>
      <c r="F3707">
        <v>2754200</v>
      </c>
      <c r="G3707">
        <v>100.03</v>
      </c>
      <c r="H3707" t="s">
        <v>16</v>
      </c>
      <c r="I3707" s="22">
        <f t="shared" si="115"/>
        <v>-1.4982668522158965E-2</v>
      </c>
      <c r="J3707" s="22" t="str">
        <f t="shared" si="116"/>
        <v>lost money</v>
      </c>
    </row>
    <row r="3708" spans="1:10">
      <c r="A3708" s="1">
        <v>41404</v>
      </c>
      <c r="B3708">
        <v>100.15</v>
      </c>
      <c r="C3708">
        <v>101.16</v>
      </c>
      <c r="D3708">
        <v>99.62</v>
      </c>
      <c r="E3708">
        <v>100.12</v>
      </c>
      <c r="F3708">
        <v>2278900</v>
      </c>
      <c r="G3708">
        <v>99.72</v>
      </c>
      <c r="H3708" t="s">
        <v>16</v>
      </c>
      <c r="I3708" s="22">
        <f t="shared" si="115"/>
        <v>-3.1038823417322008E-3</v>
      </c>
      <c r="J3708" s="22" t="str">
        <f t="shared" si="116"/>
        <v>lost money</v>
      </c>
    </row>
    <row r="3709" spans="1:10">
      <c r="A3709" s="1">
        <v>41407</v>
      </c>
      <c r="B3709">
        <v>99.84</v>
      </c>
      <c r="C3709">
        <v>99.95</v>
      </c>
      <c r="D3709">
        <v>98.72</v>
      </c>
      <c r="E3709">
        <v>98.8</v>
      </c>
      <c r="F3709">
        <v>2047800</v>
      </c>
      <c r="G3709">
        <v>98.41</v>
      </c>
      <c r="H3709" t="s">
        <v>16</v>
      </c>
      <c r="I3709" s="22">
        <f t="shared" si="115"/>
        <v>-1.3223833744462966E-2</v>
      </c>
      <c r="J3709" s="22" t="str">
        <f t="shared" si="116"/>
        <v>lost money</v>
      </c>
    </row>
    <row r="3710" spans="1:10">
      <c r="A3710" s="1">
        <v>41408</v>
      </c>
      <c r="B3710">
        <v>98.9</v>
      </c>
      <c r="C3710">
        <v>100.72</v>
      </c>
      <c r="D3710">
        <v>98.88</v>
      </c>
      <c r="E3710">
        <v>100.68</v>
      </c>
      <c r="F3710">
        <v>1921900</v>
      </c>
      <c r="G3710">
        <v>100.28</v>
      </c>
      <c r="H3710" t="s">
        <v>16</v>
      </c>
      <c r="I3710" s="22">
        <f t="shared" si="115"/>
        <v>1.882384837919859E-2</v>
      </c>
      <c r="J3710" s="22" t="str">
        <f t="shared" si="116"/>
        <v/>
      </c>
    </row>
    <row r="3711" spans="1:10">
      <c r="A3711" s="1">
        <v>41409</v>
      </c>
      <c r="B3711">
        <v>100.53</v>
      </c>
      <c r="C3711">
        <v>100.87</v>
      </c>
      <c r="D3711">
        <v>99.79</v>
      </c>
      <c r="E3711">
        <v>100.28</v>
      </c>
      <c r="F3711">
        <v>2054200</v>
      </c>
      <c r="G3711">
        <v>99.88</v>
      </c>
      <c r="H3711" t="s">
        <v>16</v>
      </c>
      <c r="I3711" s="22">
        <f t="shared" si="115"/>
        <v>-3.996807878520206E-3</v>
      </c>
      <c r="J3711" s="22" t="str">
        <f t="shared" si="116"/>
        <v>lost money</v>
      </c>
    </row>
    <row r="3712" spans="1:10">
      <c r="A3712" s="1">
        <v>41410</v>
      </c>
      <c r="B3712">
        <v>100.24</v>
      </c>
      <c r="C3712">
        <v>100.79</v>
      </c>
      <c r="D3712">
        <v>98.73</v>
      </c>
      <c r="E3712">
        <v>98.94</v>
      </c>
      <c r="F3712">
        <v>1776300</v>
      </c>
      <c r="G3712">
        <v>98.55</v>
      </c>
      <c r="H3712" t="s">
        <v>16</v>
      </c>
      <c r="I3712" s="22">
        <f t="shared" si="115"/>
        <v>-1.3405431812843288E-2</v>
      </c>
      <c r="J3712" s="22" t="str">
        <f t="shared" si="116"/>
        <v>lost money</v>
      </c>
    </row>
    <row r="3713" spans="1:10">
      <c r="A3713" s="1">
        <v>41411</v>
      </c>
      <c r="B3713">
        <v>99.45</v>
      </c>
      <c r="C3713">
        <v>100.08</v>
      </c>
      <c r="D3713">
        <v>98.86</v>
      </c>
      <c r="E3713">
        <v>100.05</v>
      </c>
      <c r="F3713">
        <v>2222600</v>
      </c>
      <c r="G3713">
        <v>99.65</v>
      </c>
      <c r="H3713" t="s">
        <v>16</v>
      </c>
      <c r="I3713" s="22">
        <f t="shared" si="115"/>
        <v>1.1100013060074625E-2</v>
      </c>
      <c r="J3713" s="22" t="str">
        <f t="shared" si="116"/>
        <v/>
      </c>
    </row>
    <row r="3714" spans="1:10">
      <c r="A3714" s="1">
        <v>41414</v>
      </c>
      <c r="B3714">
        <v>100.06</v>
      </c>
      <c r="C3714">
        <v>101.56</v>
      </c>
      <c r="D3714">
        <v>99.6</v>
      </c>
      <c r="E3714">
        <v>101.18</v>
      </c>
      <c r="F3714">
        <v>2390900</v>
      </c>
      <c r="G3714">
        <v>100.78</v>
      </c>
      <c r="H3714" t="s">
        <v>16</v>
      </c>
      <c r="I3714" s="22">
        <f t="shared" si="115"/>
        <v>1.1275876593648339E-2</v>
      </c>
      <c r="J3714" s="22" t="str">
        <f t="shared" si="116"/>
        <v/>
      </c>
    </row>
    <row r="3715" spans="1:10">
      <c r="A3715" s="1">
        <v>41415</v>
      </c>
      <c r="B3715">
        <v>101.39</v>
      </c>
      <c r="C3715">
        <v>103.05</v>
      </c>
      <c r="D3715">
        <v>101.25</v>
      </c>
      <c r="E3715">
        <v>102.17</v>
      </c>
      <c r="F3715">
        <v>2796900</v>
      </c>
      <c r="G3715">
        <v>101.76</v>
      </c>
      <c r="H3715" t="s">
        <v>16</v>
      </c>
      <c r="I3715" s="22">
        <f t="shared" ref="I3715:I3778" si="117">IF(A3715=$A$2,"",LN(G3715/G3714))</f>
        <v>9.6771763393600704E-3</v>
      </c>
      <c r="J3715" s="22" t="str">
        <f t="shared" ref="J3715:J3778" si="118">IF(B3715&gt;E3715,"lost money","")</f>
        <v/>
      </c>
    </row>
    <row r="3716" spans="1:10">
      <c r="A3716" s="1">
        <v>41416</v>
      </c>
      <c r="B3716">
        <v>102.08</v>
      </c>
      <c r="C3716">
        <v>102.9</v>
      </c>
      <c r="D3716">
        <v>99</v>
      </c>
      <c r="E3716">
        <v>99.65</v>
      </c>
      <c r="F3716">
        <v>3251200</v>
      </c>
      <c r="G3716">
        <v>99.25</v>
      </c>
      <c r="H3716" t="s">
        <v>16</v>
      </c>
      <c r="I3716" s="22">
        <f t="shared" si="117"/>
        <v>-2.4975180024512232E-2</v>
      </c>
      <c r="J3716" s="22" t="str">
        <f t="shared" si="118"/>
        <v>lost money</v>
      </c>
    </row>
    <row r="3717" spans="1:10">
      <c r="A3717" s="1">
        <v>41417</v>
      </c>
      <c r="B3717">
        <v>98.63</v>
      </c>
      <c r="C3717">
        <v>99.71</v>
      </c>
      <c r="D3717">
        <v>98</v>
      </c>
      <c r="E3717">
        <v>99.1</v>
      </c>
      <c r="F3717">
        <v>1649000</v>
      </c>
      <c r="G3717">
        <v>98.71</v>
      </c>
      <c r="H3717" t="s">
        <v>16</v>
      </c>
      <c r="I3717" s="22">
        <f t="shared" si="117"/>
        <v>-5.4556611375032801E-3</v>
      </c>
      <c r="J3717" s="22" t="str">
        <f t="shared" si="118"/>
        <v/>
      </c>
    </row>
    <row r="3718" spans="1:10">
      <c r="A3718" s="1">
        <v>41418</v>
      </c>
      <c r="B3718">
        <v>98.67</v>
      </c>
      <c r="C3718">
        <v>98.67</v>
      </c>
      <c r="D3718">
        <v>97.35</v>
      </c>
      <c r="E3718">
        <v>97.82</v>
      </c>
      <c r="F3718">
        <v>2543100</v>
      </c>
      <c r="G3718">
        <v>97.43</v>
      </c>
      <c r="H3718" t="s">
        <v>16</v>
      </c>
      <c r="I3718" s="22">
        <f t="shared" si="117"/>
        <v>-1.3052086992546574E-2</v>
      </c>
      <c r="J3718" s="22" t="str">
        <f t="shared" si="118"/>
        <v>lost money</v>
      </c>
    </row>
    <row r="3719" spans="1:10">
      <c r="A3719" s="1">
        <v>41422</v>
      </c>
      <c r="B3719">
        <v>98.82</v>
      </c>
      <c r="C3719">
        <v>99.1</v>
      </c>
      <c r="D3719">
        <v>95.97</v>
      </c>
      <c r="E3719">
        <v>96.53</v>
      </c>
      <c r="F3719">
        <v>4178600</v>
      </c>
      <c r="G3719">
        <v>96.15</v>
      </c>
      <c r="H3719" t="s">
        <v>16</v>
      </c>
      <c r="I3719" s="22">
        <f t="shared" si="117"/>
        <v>-1.3224699402461088E-2</v>
      </c>
      <c r="J3719" s="22" t="str">
        <f t="shared" si="118"/>
        <v>lost money</v>
      </c>
    </row>
    <row r="3720" spans="1:10">
      <c r="A3720" s="1">
        <v>41423</v>
      </c>
      <c r="B3720">
        <v>96.48</v>
      </c>
      <c r="C3720">
        <v>97.5</v>
      </c>
      <c r="D3720">
        <v>96.08</v>
      </c>
      <c r="E3720">
        <v>96.55</v>
      </c>
      <c r="F3720">
        <v>2446000</v>
      </c>
      <c r="G3720">
        <v>96.17</v>
      </c>
      <c r="H3720" t="s">
        <v>16</v>
      </c>
      <c r="I3720" s="22">
        <f t="shared" si="117"/>
        <v>2.0798668960171862E-4</v>
      </c>
      <c r="J3720" s="22" t="str">
        <f t="shared" si="118"/>
        <v/>
      </c>
    </row>
    <row r="3721" spans="1:10">
      <c r="A3721" s="1">
        <v>41424</v>
      </c>
      <c r="B3721">
        <v>96.75</v>
      </c>
      <c r="C3721">
        <v>97.1</v>
      </c>
      <c r="D3721">
        <v>95.88</v>
      </c>
      <c r="E3721">
        <v>96.52</v>
      </c>
      <c r="F3721">
        <v>2947600</v>
      </c>
      <c r="G3721">
        <v>96.14</v>
      </c>
      <c r="H3721" t="s">
        <v>16</v>
      </c>
      <c r="I3721" s="22">
        <f t="shared" si="117"/>
        <v>-3.1199625857576728E-4</v>
      </c>
      <c r="J3721" s="22" t="str">
        <f t="shared" si="118"/>
        <v>lost money</v>
      </c>
    </row>
    <row r="3722" spans="1:10">
      <c r="A3722" s="1">
        <v>41425</v>
      </c>
      <c r="B3722">
        <v>96.25</v>
      </c>
      <c r="C3722">
        <v>97.97</v>
      </c>
      <c r="D3722">
        <v>96.12</v>
      </c>
      <c r="E3722">
        <v>96.34</v>
      </c>
      <c r="F3722">
        <v>2273500</v>
      </c>
      <c r="G3722">
        <v>95.96</v>
      </c>
      <c r="H3722" t="s">
        <v>16</v>
      </c>
      <c r="I3722" s="22">
        <f t="shared" si="117"/>
        <v>-1.8740244943208364E-3</v>
      </c>
      <c r="J3722" s="22" t="str">
        <f t="shared" si="118"/>
        <v/>
      </c>
    </row>
    <row r="3723" spans="1:10">
      <c r="A3723" s="1">
        <v>41428</v>
      </c>
      <c r="B3723">
        <v>96.51</v>
      </c>
      <c r="C3723">
        <v>97.71</v>
      </c>
      <c r="D3723">
        <v>96.02</v>
      </c>
      <c r="E3723">
        <v>97.7</v>
      </c>
      <c r="F3723">
        <v>2263600</v>
      </c>
      <c r="G3723">
        <v>97.31</v>
      </c>
      <c r="H3723" t="s">
        <v>16</v>
      </c>
      <c r="I3723" s="22">
        <f t="shared" si="117"/>
        <v>1.3970320862403867E-2</v>
      </c>
      <c r="J3723" s="22" t="str">
        <f t="shared" si="118"/>
        <v/>
      </c>
    </row>
    <row r="3724" spans="1:10">
      <c r="A3724" s="1">
        <v>41429</v>
      </c>
      <c r="B3724">
        <v>97.64</v>
      </c>
      <c r="C3724">
        <v>99</v>
      </c>
      <c r="D3724">
        <v>97.45</v>
      </c>
      <c r="E3724">
        <v>98.38</v>
      </c>
      <c r="F3724">
        <v>3045500</v>
      </c>
      <c r="G3724">
        <v>97.99</v>
      </c>
      <c r="H3724" t="s">
        <v>16</v>
      </c>
      <c r="I3724" s="22">
        <f t="shared" si="117"/>
        <v>6.9636738138294631E-3</v>
      </c>
      <c r="J3724" s="22" t="str">
        <f t="shared" si="118"/>
        <v/>
      </c>
    </row>
    <row r="3725" spans="1:10">
      <c r="A3725" s="1">
        <v>41430</v>
      </c>
      <c r="B3725">
        <v>98</v>
      </c>
      <c r="C3725">
        <v>98.2</v>
      </c>
      <c r="D3725">
        <v>96.18</v>
      </c>
      <c r="E3725">
        <v>97.09</v>
      </c>
      <c r="F3725">
        <v>2174500</v>
      </c>
      <c r="G3725">
        <v>96.7</v>
      </c>
      <c r="H3725" t="s">
        <v>16</v>
      </c>
      <c r="I3725" s="22">
        <f t="shared" si="117"/>
        <v>-1.3252030188478396E-2</v>
      </c>
      <c r="J3725" s="22" t="str">
        <f t="shared" si="118"/>
        <v>lost money</v>
      </c>
    </row>
    <row r="3726" spans="1:10">
      <c r="A3726" s="1">
        <v>41431</v>
      </c>
      <c r="B3726">
        <v>97.01</v>
      </c>
      <c r="C3726">
        <v>97.52</v>
      </c>
      <c r="D3726">
        <v>95.64</v>
      </c>
      <c r="E3726">
        <v>96.84</v>
      </c>
      <c r="F3726">
        <v>2478500</v>
      </c>
      <c r="G3726">
        <v>96.45</v>
      </c>
      <c r="H3726" t="s">
        <v>16</v>
      </c>
      <c r="I3726" s="22">
        <f t="shared" si="117"/>
        <v>-2.5886631075105601E-3</v>
      </c>
      <c r="J3726" s="22" t="str">
        <f t="shared" si="118"/>
        <v>lost money</v>
      </c>
    </row>
    <row r="3727" spans="1:10">
      <c r="A3727" s="1">
        <v>41432</v>
      </c>
      <c r="B3727">
        <v>97.74</v>
      </c>
      <c r="C3727">
        <v>99.84</v>
      </c>
      <c r="D3727">
        <v>97.48</v>
      </c>
      <c r="E3727">
        <v>99.78</v>
      </c>
      <c r="F3727">
        <v>2508400</v>
      </c>
      <c r="G3727">
        <v>99.38</v>
      </c>
      <c r="H3727" t="s">
        <v>16</v>
      </c>
      <c r="I3727" s="22">
        <f t="shared" si="117"/>
        <v>2.9926146822436318E-2</v>
      </c>
      <c r="J3727" s="22" t="str">
        <f t="shared" si="118"/>
        <v/>
      </c>
    </row>
    <row r="3728" spans="1:10">
      <c r="A3728" s="1">
        <v>41435</v>
      </c>
      <c r="B3728">
        <v>99.86</v>
      </c>
      <c r="C3728">
        <v>99.98</v>
      </c>
      <c r="D3728">
        <v>98.54</v>
      </c>
      <c r="E3728">
        <v>98.66</v>
      </c>
      <c r="F3728">
        <v>1842300</v>
      </c>
      <c r="G3728">
        <v>98.27</v>
      </c>
      <c r="H3728" t="s">
        <v>16</v>
      </c>
      <c r="I3728" s="22">
        <f t="shared" si="117"/>
        <v>-1.1232093799839044E-2</v>
      </c>
      <c r="J3728" s="22" t="str">
        <f t="shared" si="118"/>
        <v>lost money</v>
      </c>
    </row>
    <row r="3729" spans="1:10">
      <c r="A3729" s="1">
        <v>41436</v>
      </c>
      <c r="B3729">
        <v>97.61</v>
      </c>
      <c r="C3729">
        <v>98.79</v>
      </c>
      <c r="D3729">
        <v>97.11</v>
      </c>
      <c r="E3729">
        <v>98.04</v>
      </c>
      <c r="F3729">
        <v>1563000</v>
      </c>
      <c r="G3729">
        <v>97.65</v>
      </c>
      <c r="H3729" t="s">
        <v>16</v>
      </c>
      <c r="I3729" s="22">
        <f t="shared" si="117"/>
        <v>-6.3291350516474004E-3</v>
      </c>
      <c r="J3729" s="22" t="str">
        <f t="shared" si="118"/>
        <v/>
      </c>
    </row>
    <row r="3730" spans="1:10">
      <c r="A3730" s="1">
        <v>41437</v>
      </c>
      <c r="B3730">
        <v>98.58</v>
      </c>
      <c r="C3730">
        <v>98.9</v>
      </c>
      <c r="D3730">
        <v>97.28</v>
      </c>
      <c r="E3730">
        <v>97.49</v>
      </c>
      <c r="F3730">
        <v>1289900</v>
      </c>
      <c r="G3730">
        <v>97.1</v>
      </c>
      <c r="H3730" t="s">
        <v>16</v>
      </c>
      <c r="I3730" s="22">
        <f t="shared" si="117"/>
        <v>-5.6482820254088626E-3</v>
      </c>
      <c r="J3730" s="22" t="str">
        <f t="shared" si="118"/>
        <v>lost money</v>
      </c>
    </row>
    <row r="3731" spans="1:10">
      <c r="A3731" s="1">
        <v>41438</v>
      </c>
      <c r="B3731">
        <v>97.41</v>
      </c>
      <c r="C3731">
        <v>99.85</v>
      </c>
      <c r="D3731">
        <v>97.1</v>
      </c>
      <c r="E3731">
        <v>99.58</v>
      </c>
      <c r="F3731">
        <v>1424300</v>
      </c>
      <c r="G3731">
        <v>99.34</v>
      </c>
      <c r="H3731" t="s">
        <v>16</v>
      </c>
      <c r="I3731" s="22">
        <f t="shared" si="117"/>
        <v>2.2806934381925301E-2</v>
      </c>
      <c r="J3731" s="22" t="str">
        <f t="shared" si="118"/>
        <v/>
      </c>
    </row>
    <row r="3732" spans="1:10">
      <c r="A3732" s="1">
        <v>41439</v>
      </c>
      <c r="B3732">
        <v>99.51</v>
      </c>
      <c r="C3732">
        <v>100.75</v>
      </c>
      <c r="D3732">
        <v>98.72</v>
      </c>
      <c r="E3732">
        <v>99.12</v>
      </c>
      <c r="F3732">
        <v>1534900</v>
      </c>
      <c r="G3732">
        <v>98.88</v>
      </c>
      <c r="H3732" t="s">
        <v>16</v>
      </c>
      <c r="I3732" s="22">
        <f t="shared" si="117"/>
        <v>-4.641315969823894E-3</v>
      </c>
      <c r="J3732" s="22" t="str">
        <f t="shared" si="118"/>
        <v>lost money</v>
      </c>
    </row>
    <row r="3733" spans="1:10">
      <c r="A3733" s="1">
        <v>41442</v>
      </c>
      <c r="B3733">
        <v>100.13</v>
      </c>
      <c r="C3733">
        <v>100.2</v>
      </c>
      <c r="D3733">
        <v>97.68</v>
      </c>
      <c r="E3733">
        <v>98.41</v>
      </c>
      <c r="F3733">
        <v>2504600</v>
      </c>
      <c r="G3733">
        <v>98.17</v>
      </c>
      <c r="H3733" t="s">
        <v>16</v>
      </c>
      <c r="I3733" s="22">
        <f t="shared" si="117"/>
        <v>-7.2063240049505019E-3</v>
      </c>
      <c r="J3733" s="22" t="str">
        <f t="shared" si="118"/>
        <v>lost money</v>
      </c>
    </row>
    <row r="3734" spans="1:10">
      <c r="A3734" s="1">
        <v>41443</v>
      </c>
      <c r="B3734">
        <v>98.62</v>
      </c>
      <c r="C3734">
        <v>100.38</v>
      </c>
      <c r="D3734">
        <v>98.24</v>
      </c>
      <c r="E3734">
        <v>99.48</v>
      </c>
      <c r="F3734">
        <v>2195300</v>
      </c>
      <c r="G3734">
        <v>99.24</v>
      </c>
      <c r="H3734" t="s">
        <v>16</v>
      </c>
      <c r="I3734" s="22">
        <f t="shared" si="117"/>
        <v>1.0840489119170064E-2</v>
      </c>
      <c r="J3734" s="22" t="str">
        <f t="shared" si="118"/>
        <v/>
      </c>
    </row>
    <row r="3735" spans="1:10">
      <c r="A3735" s="1">
        <v>41444</v>
      </c>
      <c r="B3735">
        <v>100.96</v>
      </c>
      <c r="C3735">
        <v>103.47</v>
      </c>
      <c r="D3735">
        <v>99.26</v>
      </c>
      <c r="E3735">
        <v>100.54</v>
      </c>
      <c r="F3735">
        <v>4496600</v>
      </c>
      <c r="G3735">
        <v>100.29</v>
      </c>
      <c r="H3735" t="s">
        <v>16</v>
      </c>
      <c r="I3735" s="22">
        <f t="shared" si="117"/>
        <v>1.0524830276516784E-2</v>
      </c>
      <c r="J3735" s="22" t="str">
        <f t="shared" si="118"/>
        <v>lost money</v>
      </c>
    </row>
    <row r="3736" spans="1:10">
      <c r="A3736" s="1">
        <v>41445</v>
      </c>
      <c r="B3736">
        <v>97.84</v>
      </c>
      <c r="C3736">
        <v>97.97</v>
      </c>
      <c r="D3736">
        <v>95.17</v>
      </c>
      <c r="E3736">
        <v>95.71</v>
      </c>
      <c r="F3736">
        <v>4945600</v>
      </c>
      <c r="G3736">
        <v>95.48</v>
      </c>
      <c r="H3736" t="s">
        <v>16</v>
      </c>
      <c r="I3736" s="22">
        <f t="shared" si="117"/>
        <v>-4.9149187629487577E-2</v>
      </c>
      <c r="J3736" s="22" t="str">
        <f t="shared" si="118"/>
        <v>lost money</v>
      </c>
    </row>
    <row r="3737" spans="1:10">
      <c r="A3737" s="1">
        <v>41446</v>
      </c>
      <c r="B3737">
        <v>96.5</v>
      </c>
      <c r="C3737">
        <v>97.03</v>
      </c>
      <c r="D3737">
        <v>94.67</v>
      </c>
      <c r="E3737">
        <v>96.46</v>
      </c>
      <c r="F3737">
        <v>3632400</v>
      </c>
      <c r="G3737">
        <v>96.22</v>
      </c>
      <c r="H3737" t="s">
        <v>16</v>
      </c>
      <c r="I3737" s="22">
        <f t="shared" si="117"/>
        <v>7.7204348006782624E-3</v>
      </c>
      <c r="J3737" s="22" t="str">
        <f t="shared" si="118"/>
        <v>lost money</v>
      </c>
    </row>
    <row r="3738" spans="1:10">
      <c r="A3738" s="1">
        <v>41449</v>
      </c>
      <c r="B3738">
        <v>95.37</v>
      </c>
      <c r="C3738">
        <v>96.7</v>
      </c>
      <c r="D3738">
        <v>94.6</v>
      </c>
      <c r="E3738">
        <v>95.9</v>
      </c>
      <c r="F3738">
        <v>2710500</v>
      </c>
      <c r="G3738">
        <v>95.67</v>
      </c>
      <c r="H3738" t="s">
        <v>16</v>
      </c>
      <c r="I3738" s="22">
        <f t="shared" si="117"/>
        <v>-5.7324665812316196E-3</v>
      </c>
      <c r="J3738" s="22" t="str">
        <f t="shared" si="118"/>
        <v/>
      </c>
    </row>
    <row r="3739" spans="1:10">
      <c r="A3739" s="1">
        <v>41450</v>
      </c>
      <c r="B3739">
        <v>97.05</v>
      </c>
      <c r="C3739">
        <v>98.31</v>
      </c>
      <c r="D3739">
        <v>96.68</v>
      </c>
      <c r="E3739">
        <v>97.19</v>
      </c>
      <c r="F3739">
        <v>2240600</v>
      </c>
      <c r="G3739">
        <v>96.95</v>
      </c>
      <c r="H3739" t="s">
        <v>16</v>
      </c>
      <c r="I3739" s="22">
        <f t="shared" si="117"/>
        <v>1.3290611998584842E-2</v>
      </c>
      <c r="J3739" s="22" t="str">
        <f t="shared" si="118"/>
        <v/>
      </c>
    </row>
    <row r="3740" spans="1:10">
      <c r="A3740" s="1">
        <v>41451</v>
      </c>
      <c r="B3740">
        <v>98.07</v>
      </c>
      <c r="C3740">
        <v>99.35</v>
      </c>
      <c r="D3740">
        <v>97.99</v>
      </c>
      <c r="E3740">
        <v>98.37</v>
      </c>
      <c r="F3740">
        <v>2777200</v>
      </c>
      <c r="G3740">
        <v>98.13</v>
      </c>
      <c r="H3740" t="s">
        <v>16</v>
      </c>
      <c r="I3740" s="22">
        <f t="shared" si="117"/>
        <v>1.2097748529741279E-2</v>
      </c>
      <c r="J3740" s="22" t="str">
        <f t="shared" si="118"/>
        <v/>
      </c>
    </row>
    <row r="3741" spans="1:10">
      <c r="A3741" s="1">
        <v>41452</v>
      </c>
      <c r="B3741">
        <v>99.15</v>
      </c>
      <c r="C3741">
        <v>99.53</v>
      </c>
      <c r="D3741">
        <v>98.73</v>
      </c>
      <c r="E3741">
        <v>99.37</v>
      </c>
      <c r="F3741">
        <v>1941500</v>
      </c>
      <c r="G3741">
        <v>99.13</v>
      </c>
      <c r="H3741" t="s">
        <v>16</v>
      </c>
      <c r="I3741" s="22">
        <f t="shared" si="117"/>
        <v>1.0138989826403828E-2</v>
      </c>
      <c r="J3741" s="22" t="str">
        <f t="shared" si="118"/>
        <v/>
      </c>
    </row>
    <row r="3742" spans="1:10">
      <c r="A3742" s="1">
        <v>41453</v>
      </c>
      <c r="B3742">
        <v>98.91</v>
      </c>
      <c r="C3742">
        <v>99.59</v>
      </c>
      <c r="D3742">
        <v>98.58</v>
      </c>
      <c r="E3742">
        <v>98.58</v>
      </c>
      <c r="F3742">
        <v>2245400</v>
      </c>
      <c r="G3742">
        <v>98.34</v>
      </c>
      <c r="H3742" t="s">
        <v>16</v>
      </c>
      <c r="I3742" s="22">
        <f t="shared" si="117"/>
        <v>-8.0012580610127268E-3</v>
      </c>
      <c r="J3742" s="22" t="str">
        <f t="shared" si="118"/>
        <v>lost money</v>
      </c>
    </row>
    <row r="3743" spans="1:10">
      <c r="A3743" s="1">
        <v>41456</v>
      </c>
      <c r="B3743">
        <v>98.72</v>
      </c>
      <c r="C3743">
        <v>99.73</v>
      </c>
      <c r="D3743">
        <v>98.55</v>
      </c>
      <c r="E3743">
        <v>98.89</v>
      </c>
      <c r="F3743">
        <v>1975900</v>
      </c>
      <c r="G3743">
        <v>98.65</v>
      </c>
      <c r="H3743" t="s">
        <v>16</v>
      </c>
      <c r="I3743" s="22">
        <f t="shared" si="117"/>
        <v>3.1473704848311627E-3</v>
      </c>
      <c r="J3743" s="22" t="str">
        <f t="shared" si="118"/>
        <v/>
      </c>
    </row>
    <row r="3744" spans="1:10">
      <c r="A3744" s="1">
        <v>41457</v>
      </c>
      <c r="B3744">
        <v>98.76</v>
      </c>
      <c r="C3744">
        <v>99.42</v>
      </c>
      <c r="D3744">
        <v>97.94</v>
      </c>
      <c r="E3744">
        <v>98.27</v>
      </c>
      <c r="F3744">
        <v>1740900</v>
      </c>
      <c r="G3744">
        <v>98.03</v>
      </c>
      <c r="H3744" t="s">
        <v>16</v>
      </c>
      <c r="I3744" s="22">
        <f t="shared" si="117"/>
        <v>-6.3046781949896574E-3</v>
      </c>
      <c r="J3744" s="22" t="str">
        <f t="shared" si="118"/>
        <v>lost money</v>
      </c>
    </row>
    <row r="3745" spans="1:10">
      <c r="A3745" s="1">
        <v>41458</v>
      </c>
      <c r="B3745">
        <v>97.88</v>
      </c>
      <c r="C3745">
        <v>98.25</v>
      </c>
      <c r="D3745">
        <v>97.54</v>
      </c>
      <c r="E3745">
        <v>97.77</v>
      </c>
      <c r="F3745">
        <v>783900</v>
      </c>
      <c r="G3745">
        <v>97.53</v>
      </c>
      <c r="H3745" t="s">
        <v>16</v>
      </c>
      <c r="I3745" s="22">
        <f t="shared" si="117"/>
        <v>-5.1135312897111363E-3</v>
      </c>
      <c r="J3745" s="22" t="str">
        <f t="shared" si="118"/>
        <v>lost money</v>
      </c>
    </row>
    <row r="3746" spans="1:10">
      <c r="A3746" s="1">
        <v>41460</v>
      </c>
      <c r="B3746">
        <v>98.59</v>
      </c>
      <c r="C3746">
        <v>99.2</v>
      </c>
      <c r="D3746">
        <v>98.18</v>
      </c>
      <c r="E3746">
        <v>98.96</v>
      </c>
      <c r="F3746">
        <v>1056300</v>
      </c>
      <c r="G3746">
        <v>98.72</v>
      </c>
      <c r="H3746" t="s">
        <v>16</v>
      </c>
      <c r="I3746" s="22">
        <f t="shared" si="117"/>
        <v>1.2127537173154047E-2</v>
      </c>
      <c r="J3746" s="22" t="str">
        <f t="shared" si="118"/>
        <v/>
      </c>
    </row>
    <row r="3747" spans="1:10">
      <c r="A3747" s="1">
        <v>41463</v>
      </c>
      <c r="B3747">
        <v>99.18</v>
      </c>
      <c r="C3747">
        <v>99.5</v>
      </c>
      <c r="D3747">
        <v>98.63</v>
      </c>
      <c r="E3747">
        <v>98.83</v>
      </c>
      <c r="F3747">
        <v>1913400</v>
      </c>
      <c r="G3747">
        <v>98.59</v>
      </c>
      <c r="H3747" t="s">
        <v>16</v>
      </c>
      <c r="I3747" s="22">
        <f t="shared" si="117"/>
        <v>-1.3177235701276324E-3</v>
      </c>
      <c r="J3747" s="22" t="str">
        <f t="shared" si="118"/>
        <v>lost money</v>
      </c>
    </row>
    <row r="3748" spans="1:10">
      <c r="A3748" s="1">
        <v>41464</v>
      </c>
      <c r="B3748">
        <v>99.5</v>
      </c>
      <c r="C3748">
        <v>106.35</v>
      </c>
      <c r="D3748">
        <v>99.39</v>
      </c>
      <c r="E3748">
        <v>103.15</v>
      </c>
      <c r="F3748">
        <v>15122500</v>
      </c>
      <c r="G3748">
        <v>102.9</v>
      </c>
      <c r="H3748" t="s">
        <v>16</v>
      </c>
      <c r="I3748" s="22">
        <f t="shared" si="117"/>
        <v>4.2787806253053923E-2</v>
      </c>
      <c r="J3748" s="22" t="str">
        <f t="shared" si="118"/>
        <v/>
      </c>
    </row>
    <row r="3749" spans="1:10">
      <c r="A3749" s="1">
        <v>41465</v>
      </c>
      <c r="B3749">
        <v>102.68</v>
      </c>
      <c r="C3749">
        <v>106.47</v>
      </c>
      <c r="D3749">
        <v>102.01</v>
      </c>
      <c r="E3749">
        <v>103</v>
      </c>
      <c r="F3749">
        <v>6783500</v>
      </c>
      <c r="G3749">
        <v>102.75</v>
      </c>
      <c r="H3749" t="s">
        <v>16</v>
      </c>
      <c r="I3749" s="22">
        <f t="shared" si="117"/>
        <v>-1.4587894636599842E-3</v>
      </c>
      <c r="J3749" s="22" t="str">
        <f t="shared" si="118"/>
        <v/>
      </c>
    </row>
    <row r="3750" spans="1:10">
      <c r="A3750" s="1">
        <v>41466</v>
      </c>
      <c r="B3750">
        <v>104</v>
      </c>
      <c r="C3750">
        <v>105.98</v>
      </c>
      <c r="D3750">
        <v>103.91</v>
      </c>
      <c r="E3750">
        <v>104.4</v>
      </c>
      <c r="F3750">
        <v>3983100</v>
      </c>
      <c r="G3750">
        <v>104.14</v>
      </c>
      <c r="H3750" t="s">
        <v>16</v>
      </c>
      <c r="I3750" s="22">
        <f t="shared" si="117"/>
        <v>1.3437294358408932E-2</v>
      </c>
      <c r="J3750" s="22" t="str">
        <f t="shared" si="118"/>
        <v/>
      </c>
    </row>
    <row r="3751" spans="1:10">
      <c r="A3751" s="1">
        <v>41467</v>
      </c>
      <c r="B3751">
        <v>102.07</v>
      </c>
      <c r="C3751">
        <v>103.31</v>
      </c>
      <c r="D3751">
        <v>101.58</v>
      </c>
      <c r="E3751">
        <v>102.29</v>
      </c>
      <c r="F3751">
        <v>5071300</v>
      </c>
      <c r="G3751">
        <v>102.04</v>
      </c>
      <c r="H3751" t="s">
        <v>16</v>
      </c>
      <c r="I3751" s="22">
        <f t="shared" si="117"/>
        <v>-2.0371254461142265E-2</v>
      </c>
      <c r="J3751" s="22" t="str">
        <f t="shared" si="118"/>
        <v/>
      </c>
    </row>
    <row r="3752" spans="1:10">
      <c r="A3752" s="1">
        <v>41470</v>
      </c>
      <c r="B3752">
        <v>102.28</v>
      </c>
      <c r="C3752">
        <v>103.93</v>
      </c>
      <c r="D3752">
        <v>102.14</v>
      </c>
      <c r="E3752">
        <v>103.7</v>
      </c>
      <c r="F3752">
        <v>2218200</v>
      </c>
      <c r="G3752">
        <v>103.45</v>
      </c>
      <c r="H3752" t="s">
        <v>16</v>
      </c>
      <c r="I3752" s="22">
        <f t="shared" si="117"/>
        <v>1.3723510917941278E-2</v>
      </c>
      <c r="J3752" s="22" t="str">
        <f t="shared" si="118"/>
        <v/>
      </c>
    </row>
    <row r="3753" spans="1:10">
      <c r="A3753" s="1">
        <v>41471</v>
      </c>
      <c r="B3753">
        <v>103.38</v>
      </c>
      <c r="C3753">
        <v>103.98</v>
      </c>
      <c r="D3753">
        <v>102.95</v>
      </c>
      <c r="E3753">
        <v>103.51</v>
      </c>
      <c r="F3753">
        <v>1905800</v>
      </c>
      <c r="G3753">
        <v>103.26</v>
      </c>
      <c r="H3753" t="s">
        <v>16</v>
      </c>
      <c r="I3753" s="22">
        <f t="shared" si="117"/>
        <v>-1.8383247400489083E-3</v>
      </c>
      <c r="J3753" s="22" t="str">
        <f t="shared" si="118"/>
        <v/>
      </c>
    </row>
    <row r="3754" spans="1:10">
      <c r="A3754" s="1">
        <v>41472</v>
      </c>
      <c r="B3754">
        <v>103.6</v>
      </c>
      <c r="C3754">
        <v>104.95</v>
      </c>
      <c r="D3754">
        <v>103.06</v>
      </c>
      <c r="E3754">
        <v>104.26</v>
      </c>
      <c r="F3754">
        <v>2141400</v>
      </c>
      <c r="G3754">
        <v>104</v>
      </c>
      <c r="H3754" t="s">
        <v>16</v>
      </c>
      <c r="I3754" s="22">
        <f t="shared" si="117"/>
        <v>7.1408196898694572E-3</v>
      </c>
      <c r="J3754" s="22" t="str">
        <f t="shared" si="118"/>
        <v/>
      </c>
    </row>
    <row r="3755" spans="1:10">
      <c r="A3755" s="1">
        <v>41473</v>
      </c>
      <c r="B3755">
        <v>103.92</v>
      </c>
      <c r="C3755">
        <v>108.98</v>
      </c>
      <c r="D3755">
        <v>103.85</v>
      </c>
      <c r="E3755">
        <v>108.66</v>
      </c>
      <c r="F3755">
        <v>4659400</v>
      </c>
      <c r="G3755">
        <v>108.39</v>
      </c>
      <c r="H3755" t="s">
        <v>16</v>
      </c>
      <c r="I3755" s="22">
        <f t="shared" si="117"/>
        <v>4.1344934686285889E-2</v>
      </c>
      <c r="J3755" s="22" t="str">
        <f t="shared" si="118"/>
        <v/>
      </c>
    </row>
    <row r="3756" spans="1:10">
      <c r="A3756" s="1">
        <v>41474</v>
      </c>
      <c r="B3756">
        <v>108.45</v>
      </c>
      <c r="C3756">
        <v>108.45</v>
      </c>
      <c r="D3756">
        <v>107.33</v>
      </c>
      <c r="E3756">
        <v>108.03</v>
      </c>
      <c r="F3756">
        <v>2387500</v>
      </c>
      <c r="G3756">
        <v>107.77</v>
      </c>
      <c r="H3756" t="s">
        <v>16</v>
      </c>
      <c r="I3756" s="22">
        <f t="shared" si="117"/>
        <v>-5.736507218918282E-3</v>
      </c>
      <c r="J3756" s="22" t="str">
        <f t="shared" si="118"/>
        <v>lost money</v>
      </c>
    </row>
    <row r="3757" spans="1:10">
      <c r="A3757" s="1">
        <v>41477</v>
      </c>
      <c r="B3757">
        <v>108.07</v>
      </c>
      <c r="C3757">
        <v>108.88</v>
      </c>
      <c r="D3757">
        <v>107.65</v>
      </c>
      <c r="E3757">
        <v>107.75</v>
      </c>
      <c r="F3757">
        <v>2305200</v>
      </c>
      <c r="G3757">
        <v>107.49</v>
      </c>
      <c r="H3757" t="s">
        <v>16</v>
      </c>
      <c r="I3757" s="22">
        <f t="shared" si="117"/>
        <v>-2.6015066237681755E-3</v>
      </c>
      <c r="J3757" s="22" t="str">
        <f t="shared" si="118"/>
        <v>lost money</v>
      </c>
    </row>
    <row r="3758" spans="1:10">
      <c r="A3758" s="1">
        <v>41478</v>
      </c>
      <c r="B3758">
        <v>107.94</v>
      </c>
      <c r="C3758">
        <v>108</v>
      </c>
      <c r="D3758">
        <v>106.45</v>
      </c>
      <c r="E3758">
        <v>106.79</v>
      </c>
      <c r="F3758">
        <v>2080100</v>
      </c>
      <c r="G3758">
        <v>106.53</v>
      </c>
      <c r="H3758" t="s">
        <v>16</v>
      </c>
      <c r="I3758" s="22">
        <f t="shared" si="117"/>
        <v>-8.9711843618658395E-3</v>
      </c>
      <c r="J3758" s="22" t="str">
        <f t="shared" si="118"/>
        <v>lost money</v>
      </c>
    </row>
    <row r="3759" spans="1:10">
      <c r="A3759" s="1">
        <v>41479</v>
      </c>
      <c r="B3759">
        <v>106.91</v>
      </c>
      <c r="C3759">
        <v>107.2</v>
      </c>
      <c r="D3759">
        <v>105.78</v>
      </c>
      <c r="E3759">
        <v>105.88</v>
      </c>
      <c r="F3759">
        <v>1280500</v>
      </c>
      <c r="G3759">
        <v>105.62</v>
      </c>
      <c r="H3759" t="s">
        <v>16</v>
      </c>
      <c r="I3759" s="22">
        <f t="shared" si="117"/>
        <v>-8.5788883443190869E-3</v>
      </c>
      <c r="J3759" s="22" t="str">
        <f t="shared" si="118"/>
        <v>lost money</v>
      </c>
    </row>
    <row r="3760" spans="1:10">
      <c r="A3760" s="1">
        <v>41480</v>
      </c>
      <c r="B3760">
        <v>105.89</v>
      </c>
      <c r="C3760">
        <v>106.11</v>
      </c>
      <c r="D3760">
        <v>101.95</v>
      </c>
      <c r="E3760">
        <v>104.87</v>
      </c>
      <c r="F3760">
        <v>3956100</v>
      </c>
      <c r="G3760">
        <v>104.61</v>
      </c>
      <c r="H3760" t="s">
        <v>16</v>
      </c>
      <c r="I3760" s="22">
        <f t="shared" si="117"/>
        <v>-9.6085979231176569E-3</v>
      </c>
      <c r="J3760" s="22" t="str">
        <f t="shared" si="118"/>
        <v>lost money</v>
      </c>
    </row>
    <row r="3761" spans="1:10">
      <c r="A3761" s="1">
        <v>41481</v>
      </c>
      <c r="B3761">
        <v>104.69</v>
      </c>
      <c r="C3761">
        <v>105.28</v>
      </c>
      <c r="D3761">
        <v>104.14</v>
      </c>
      <c r="E3761">
        <v>104.58</v>
      </c>
      <c r="F3761">
        <v>1831700</v>
      </c>
      <c r="G3761">
        <v>104.32</v>
      </c>
      <c r="H3761" t="s">
        <v>16</v>
      </c>
      <c r="I3761" s="22">
        <f t="shared" si="117"/>
        <v>-2.776051177326743E-3</v>
      </c>
      <c r="J3761" s="22" t="str">
        <f t="shared" si="118"/>
        <v>lost money</v>
      </c>
    </row>
    <row r="3762" spans="1:10">
      <c r="A3762" s="1">
        <v>41484</v>
      </c>
      <c r="B3762">
        <v>104.1</v>
      </c>
      <c r="C3762">
        <v>104.57</v>
      </c>
      <c r="D3762">
        <v>103.23</v>
      </c>
      <c r="E3762">
        <v>103.39</v>
      </c>
      <c r="F3762">
        <v>1301400</v>
      </c>
      <c r="G3762">
        <v>103.14</v>
      </c>
      <c r="H3762" t="s">
        <v>16</v>
      </c>
      <c r="I3762" s="22">
        <f t="shared" si="117"/>
        <v>-1.1375809555529826E-2</v>
      </c>
      <c r="J3762" s="22" t="str">
        <f t="shared" si="118"/>
        <v>lost money</v>
      </c>
    </row>
    <row r="3763" spans="1:10">
      <c r="A3763" s="1">
        <v>41485</v>
      </c>
      <c r="B3763">
        <v>104.13</v>
      </c>
      <c r="C3763">
        <v>104.4</v>
      </c>
      <c r="D3763">
        <v>103.32</v>
      </c>
      <c r="E3763">
        <v>103.56</v>
      </c>
      <c r="F3763">
        <v>1241400</v>
      </c>
      <c r="G3763">
        <v>103.31</v>
      </c>
      <c r="H3763" t="s">
        <v>16</v>
      </c>
      <c r="I3763" s="22">
        <f t="shared" si="117"/>
        <v>1.6468882385411749E-3</v>
      </c>
      <c r="J3763" s="22" t="str">
        <f t="shared" si="118"/>
        <v>lost money</v>
      </c>
    </row>
    <row r="3764" spans="1:10">
      <c r="A3764" s="1">
        <v>41486</v>
      </c>
      <c r="B3764">
        <v>102</v>
      </c>
      <c r="C3764">
        <v>106.96</v>
      </c>
      <c r="D3764">
        <v>102</v>
      </c>
      <c r="E3764">
        <v>106</v>
      </c>
      <c r="F3764">
        <v>5473500</v>
      </c>
      <c r="G3764">
        <v>105.74</v>
      </c>
      <c r="H3764" t="s">
        <v>16</v>
      </c>
      <c r="I3764" s="22">
        <f t="shared" si="117"/>
        <v>2.3249073945950008E-2</v>
      </c>
      <c r="J3764" s="22" t="str">
        <f t="shared" si="118"/>
        <v/>
      </c>
    </row>
    <row r="3765" spans="1:10">
      <c r="A3765" s="1">
        <v>41487</v>
      </c>
      <c r="B3765">
        <v>106.79</v>
      </c>
      <c r="C3765">
        <v>110.33</v>
      </c>
      <c r="D3765">
        <v>106.54</v>
      </c>
      <c r="E3765">
        <v>110</v>
      </c>
      <c r="F3765">
        <v>5120900</v>
      </c>
      <c r="G3765">
        <v>109.73</v>
      </c>
      <c r="H3765" t="s">
        <v>16</v>
      </c>
      <c r="I3765" s="22">
        <f t="shared" si="117"/>
        <v>3.7039552195403724E-2</v>
      </c>
      <c r="J3765" s="22" t="str">
        <f t="shared" si="118"/>
        <v/>
      </c>
    </row>
    <row r="3766" spans="1:10">
      <c r="A3766" s="1">
        <v>41488</v>
      </c>
      <c r="B3766">
        <v>108.73</v>
      </c>
      <c r="C3766">
        <v>110.08</v>
      </c>
      <c r="D3766">
        <v>108.7</v>
      </c>
      <c r="E3766">
        <v>109.15</v>
      </c>
      <c r="F3766">
        <v>1717600</v>
      </c>
      <c r="G3766">
        <v>108.88</v>
      </c>
      <c r="H3766" t="s">
        <v>16</v>
      </c>
      <c r="I3766" s="22">
        <f t="shared" si="117"/>
        <v>-7.7764446594971934E-3</v>
      </c>
      <c r="J3766" s="22" t="str">
        <f t="shared" si="118"/>
        <v/>
      </c>
    </row>
    <row r="3767" spans="1:10">
      <c r="A3767" s="1">
        <v>41491</v>
      </c>
      <c r="B3767">
        <v>109</v>
      </c>
      <c r="C3767">
        <v>109.72</v>
      </c>
      <c r="D3767">
        <v>108.75</v>
      </c>
      <c r="E3767">
        <v>109.42</v>
      </c>
      <c r="F3767">
        <v>1429400</v>
      </c>
      <c r="G3767">
        <v>109.15</v>
      </c>
      <c r="H3767" t="s">
        <v>16</v>
      </c>
      <c r="I3767" s="22">
        <f t="shared" si="117"/>
        <v>2.4767246527424452E-3</v>
      </c>
      <c r="J3767" s="22" t="str">
        <f t="shared" si="118"/>
        <v/>
      </c>
    </row>
    <row r="3768" spans="1:10">
      <c r="A3768" s="1">
        <v>41492</v>
      </c>
      <c r="B3768">
        <v>109.33</v>
      </c>
      <c r="C3768">
        <v>109.85</v>
      </c>
      <c r="D3768">
        <v>108.36</v>
      </c>
      <c r="E3768">
        <v>108.77</v>
      </c>
      <c r="F3768">
        <v>1567800</v>
      </c>
      <c r="G3768">
        <v>108.5</v>
      </c>
      <c r="H3768" t="s">
        <v>16</v>
      </c>
      <c r="I3768" s="22">
        <f t="shared" si="117"/>
        <v>-5.9729100154386951E-3</v>
      </c>
      <c r="J3768" s="22" t="str">
        <f t="shared" si="118"/>
        <v>lost money</v>
      </c>
    </row>
    <row r="3769" spans="1:10">
      <c r="A3769" s="1">
        <v>41493</v>
      </c>
      <c r="B3769">
        <v>108.02</v>
      </c>
      <c r="C3769">
        <v>108.54</v>
      </c>
      <c r="D3769">
        <v>107.53</v>
      </c>
      <c r="E3769">
        <v>107.98</v>
      </c>
      <c r="F3769">
        <v>1598300</v>
      </c>
      <c r="G3769">
        <v>107.72</v>
      </c>
      <c r="H3769" t="s">
        <v>16</v>
      </c>
      <c r="I3769" s="22">
        <f t="shared" si="117"/>
        <v>-7.2149050371160461E-3</v>
      </c>
      <c r="J3769" s="22" t="str">
        <f t="shared" si="118"/>
        <v>lost money</v>
      </c>
    </row>
    <row r="3770" spans="1:10">
      <c r="A3770" s="1">
        <v>41494</v>
      </c>
      <c r="B3770">
        <v>108.57</v>
      </c>
      <c r="C3770">
        <v>109.29</v>
      </c>
      <c r="D3770">
        <v>108.5</v>
      </c>
      <c r="E3770">
        <v>109.08</v>
      </c>
      <c r="F3770">
        <v>1596400</v>
      </c>
      <c r="G3770">
        <v>108.81</v>
      </c>
      <c r="H3770" t="s">
        <v>16</v>
      </c>
      <c r="I3770" s="22">
        <f t="shared" si="117"/>
        <v>1.0067974019522591E-2</v>
      </c>
      <c r="J3770" s="22" t="str">
        <f t="shared" si="118"/>
        <v/>
      </c>
    </row>
    <row r="3771" spans="1:10">
      <c r="A3771" s="1">
        <v>41495</v>
      </c>
      <c r="B3771">
        <v>108.53</v>
      </c>
      <c r="C3771">
        <v>109.18</v>
      </c>
      <c r="D3771">
        <v>107.92</v>
      </c>
      <c r="E3771">
        <v>108.22</v>
      </c>
      <c r="F3771">
        <v>1134200</v>
      </c>
      <c r="G3771">
        <v>107.96</v>
      </c>
      <c r="H3771" t="s">
        <v>16</v>
      </c>
      <c r="I3771" s="22">
        <f t="shared" si="117"/>
        <v>-7.8424538131168942E-3</v>
      </c>
      <c r="J3771" s="22" t="str">
        <f t="shared" si="118"/>
        <v>lost money</v>
      </c>
    </row>
    <row r="3772" spans="1:10">
      <c r="A3772" s="1">
        <v>41498</v>
      </c>
      <c r="B3772">
        <v>107.58</v>
      </c>
      <c r="C3772">
        <v>109.31</v>
      </c>
      <c r="D3772">
        <v>107.47</v>
      </c>
      <c r="E3772">
        <v>109.04</v>
      </c>
      <c r="F3772">
        <v>1720300</v>
      </c>
      <c r="G3772">
        <v>108.77</v>
      </c>
      <c r="H3772" t="s">
        <v>16</v>
      </c>
      <c r="I3772" s="22">
        <f t="shared" si="117"/>
        <v>7.4747729559549369E-3</v>
      </c>
      <c r="J3772" s="22" t="str">
        <f t="shared" si="118"/>
        <v/>
      </c>
    </row>
    <row r="3773" spans="1:10">
      <c r="A3773" s="1">
        <v>41499</v>
      </c>
      <c r="B3773">
        <v>108.88</v>
      </c>
      <c r="C3773">
        <v>109.73</v>
      </c>
      <c r="D3773">
        <v>108.2</v>
      </c>
      <c r="E3773">
        <v>108.61</v>
      </c>
      <c r="F3773">
        <v>1603500</v>
      </c>
      <c r="G3773">
        <v>108.34</v>
      </c>
      <c r="H3773" t="s">
        <v>16</v>
      </c>
      <c r="I3773" s="22">
        <f t="shared" si="117"/>
        <v>-3.9611308760060075E-3</v>
      </c>
      <c r="J3773" s="22" t="str">
        <f t="shared" si="118"/>
        <v>lost money</v>
      </c>
    </row>
    <row r="3774" spans="1:10">
      <c r="A3774" s="1">
        <v>41500</v>
      </c>
      <c r="B3774">
        <v>108.61</v>
      </c>
      <c r="C3774">
        <v>109.09</v>
      </c>
      <c r="D3774">
        <v>107.72</v>
      </c>
      <c r="E3774">
        <v>108.63</v>
      </c>
      <c r="F3774">
        <v>1219200</v>
      </c>
      <c r="G3774">
        <v>108.36</v>
      </c>
      <c r="H3774" t="s">
        <v>16</v>
      </c>
      <c r="I3774" s="22">
        <f t="shared" si="117"/>
        <v>1.8458698714141788E-4</v>
      </c>
      <c r="J3774" s="22" t="str">
        <f t="shared" si="118"/>
        <v/>
      </c>
    </row>
    <row r="3775" spans="1:10">
      <c r="A3775" s="1">
        <v>41501</v>
      </c>
      <c r="B3775">
        <v>108</v>
      </c>
      <c r="C3775">
        <v>108.43</v>
      </c>
      <c r="D3775">
        <v>107.34</v>
      </c>
      <c r="E3775">
        <v>108.04</v>
      </c>
      <c r="F3775">
        <v>2224200</v>
      </c>
      <c r="G3775">
        <v>107.78</v>
      </c>
      <c r="H3775" t="s">
        <v>16</v>
      </c>
      <c r="I3775" s="22">
        <f t="shared" si="117"/>
        <v>-5.3669047115437307E-3</v>
      </c>
      <c r="J3775" s="22" t="str">
        <f t="shared" si="118"/>
        <v/>
      </c>
    </row>
    <row r="3776" spans="1:10">
      <c r="A3776" s="1">
        <v>41502</v>
      </c>
      <c r="B3776">
        <v>108.05</v>
      </c>
      <c r="C3776">
        <v>108.96</v>
      </c>
      <c r="D3776">
        <v>107.43</v>
      </c>
      <c r="E3776">
        <v>108.68</v>
      </c>
      <c r="F3776">
        <v>1782900</v>
      </c>
      <c r="G3776">
        <v>108.41</v>
      </c>
      <c r="H3776" t="s">
        <v>16</v>
      </c>
      <c r="I3776" s="22">
        <f t="shared" si="117"/>
        <v>5.8282231678497753E-3</v>
      </c>
      <c r="J3776" s="22" t="str">
        <f t="shared" si="118"/>
        <v/>
      </c>
    </row>
    <row r="3777" spans="1:10">
      <c r="A3777" s="1">
        <v>41505</v>
      </c>
      <c r="B3777">
        <v>108.33</v>
      </c>
      <c r="C3777">
        <v>109.2</v>
      </c>
      <c r="D3777">
        <v>108.04</v>
      </c>
      <c r="E3777">
        <v>108.67</v>
      </c>
      <c r="F3777">
        <v>1804400</v>
      </c>
      <c r="G3777">
        <v>108.4</v>
      </c>
      <c r="H3777" t="s">
        <v>16</v>
      </c>
      <c r="I3777" s="22">
        <f t="shared" si="117"/>
        <v>-9.2246667654515723E-5</v>
      </c>
      <c r="J3777" s="22" t="str">
        <f t="shared" si="118"/>
        <v/>
      </c>
    </row>
    <row r="3778" spans="1:10">
      <c r="A3778" s="1">
        <v>41506</v>
      </c>
      <c r="B3778">
        <v>108.6</v>
      </c>
      <c r="C3778">
        <v>109.9</v>
      </c>
      <c r="D3778">
        <v>108.03</v>
      </c>
      <c r="E3778">
        <v>109.21</v>
      </c>
      <c r="F3778">
        <v>1525900</v>
      </c>
      <c r="G3778">
        <v>108.94</v>
      </c>
      <c r="H3778" t="s">
        <v>16</v>
      </c>
      <c r="I3778" s="22">
        <f t="shared" si="117"/>
        <v>4.9691829499825613E-3</v>
      </c>
      <c r="J3778" s="22" t="str">
        <f t="shared" si="118"/>
        <v/>
      </c>
    </row>
    <row r="3779" spans="1:10">
      <c r="A3779" s="1">
        <v>41507</v>
      </c>
      <c r="B3779">
        <v>108.99</v>
      </c>
      <c r="C3779">
        <v>109.05</v>
      </c>
      <c r="D3779">
        <v>107.51</v>
      </c>
      <c r="E3779">
        <v>108.07</v>
      </c>
      <c r="F3779">
        <v>1555900</v>
      </c>
      <c r="G3779">
        <v>107.81</v>
      </c>
      <c r="H3779" t="s">
        <v>16</v>
      </c>
      <c r="I3779" s="22">
        <f t="shared" ref="I3779:I3842" si="119">IF(A3779=$A$2,"",LN(G3779/G3778))</f>
        <v>-1.0426853404501817E-2</v>
      </c>
      <c r="J3779" s="22" t="str">
        <f t="shared" ref="J3779:J3842" si="120">IF(B3779&gt;E3779,"lost money","")</f>
        <v>lost money</v>
      </c>
    </row>
    <row r="3780" spans="1:10">
      <c r="A3780" s="1">
        <v>41508</v>
      </c>
      <c r="B3780">
        <v>108.23</v>
      </c>
      <c r="C3780">
        <v>110.79</v>
      </c>
      <c r="D3780">
        <v>108.11</v>
      </c>
      <c r="E3780">
        <v>110.61</v>
      </c>
      <c r="F3780">
        <v>1348700</v>
      </c>
      <c r="G3780">
        <v>110.34</v>
      </c>
      <c r="H3780" t="s">
        <v>16</v>
      </c>
      <c r="I3780" s="22">
        <f t="shared" si="119"/>
        <v>2.3196089293258244E-2</v>
      </c>
      <c r="J3780" s="22" t="str">
        <f t="shared" si="120"/>
        <v/>
      </c>
    </row>
    <row r="3781" spans="1:10">
      <c r="A3781" s="1">
        <v>41509</v>
      </c>
      <c r="B3781">
        <v>110.61</v>
      </c>
      <c r="C3781">
        <v>110.89</v>
      </c>
      <c r="D3781">
        <v>109.72</v>
      </c>
      <c r="E3781">
        <v>110.69</v>
      </c>
      <c r="F3781">
        <v>1193400</v>
      </c>
      <c r="G3781">
        <v>110.42</v>
      </c>
      <c r="H3781" t="s">
        <v>16</v>
      </c>
      <c r="I3781" s="22">
        <f t="shared" si="119"/>
        <v>7.2476901161378426E-4</v>
      </c>
      <c r="J3781" s="22" t="str">
        <f t="shared" si="120"/>
        <v/>
      </c>
    </row>
    <row r="3782" spans="1:10">
      <c r="A3782" s="1">
        <v>41512</v>
      </c>
      <c r="B3782">
        <v>110.8</v>
      </c>
      <c r="C3782">
        <v>113.34</v>
      </c>
      <c r="D3782">
        <v>110.75</v>
      </c>
      <c r="E3782">
        <v>112.04</v>
      </c>
      <c r="F3782">
        <v>2502600</v>
      </c>
      <c r="G3782">
        <v>111.77</v>
      </c>
      <c r="H3782" t="s">
        <v>16</v>
      </c>
      <c r="I3782" s="22">
        <f t="shared" si="119"/>
        <v>1.2151911541621582E-2</v>
      </c>
      <c r="J3782" s="22" t="str">
        <f t="shared" si="120"/>
        <v/>
      </c>
    </row>
    <row r="3783" spans="1:10">
      <c r="A3783" s="1">
        <v>41513</v>
      </c>
      <c r="B3783">
        <v>110.5</v>
      </c>
      <c r="C3783">
        <v>111.12</v>
      </c>
      <c r="D3783">
        <v>107.7</v>
      </c>
      <c r="E3783">
        <v>108.45</v>
      </c>
      <c r="F3783">
        <v>2348200</v>
      </c>
      <c r="G3783">
        <v>108.18</v>
      </c>
      <c r="H3783" t="s">
        <v>16</v>
      </c>
      <c r="I3783" s="22">
        <f t="shared" si="119"/>
        <v>-3.2646681954239164E-2</v>
      </c>
      <c r="J3783" s="22" t="str">
        <f t="shared" si="120"/>
        <v>lost money</v>
      </c>
    </row>
    <row r="3784" spans="1:10">
      <c r="A3784" s="1">
        <v>41514</v>
      </c>
      <c r="B3784">
        <v>108.45</v>
      </c>
      <c r="C3784">
        <v>109.35</v>
      </c>
      <c r="D3784">
        <v>107.93</v>
      </c>
      <c r="E3784">
        <v>108.5</v>
      </c>
      <c r="F3784">
        <v>1119400</v>
      </c>
      <c r="G3784">
        <v>108.23</v>
      </c>
      <c r="H3784" t="s">
        <v>16</v>
      </c>
      <c r="I3784" s="22">
        <f t="shared" si="119"/>
        <v>4.6208586377406361E-4</v>
      </c>
      <c r="J3784" s="22" t="str">
        <f t="shared" si="120"/>
        <v/>
      </c>
    </row>
    <row r="3785" spans="1:10">
      <c r="A3785" s="1">
        <v>41515</v>
      </c>
      <c r="B3785">
        <v>108.5</v>
      </c>
      <c r="C3785">
        <v>109.5</v>
      </c>
      <c r="D3785">
        <v>108.26</v>
      </c>
      <c r="E3785">
        <v>108.58</v>
      </c>
      <c r="F3785">
        <v>927400</v>
      </c>
      <c r="G3785">
        <v>108.31</v>
      </c>
      <c r="H3785" t="s">
        <v>16</v>
      </c>
      <c r="I3785" s="22">
        <f t="shared" si="119"/>
        <v>7.3889354059068139E-4</v>
      </c>
      <c r="J3785" s="22" t="str">
        <f t="shared" si="120"/>
        <v/>
      </c>
    </row>
    <row r="3786" spans="1:10">
      <c r="A3786" s="1">
        <v>41516</v>
      </c>
      <c r="B3786">
        <v>108.76</v>
      </c>
      <c r="C3786">
        <v>108.79</v>
      </c>
      <c r="D3786">
        <v>106.84</v>
      </c>
      <c r="E3786">
        <v>107.36</v>
      </c>
      <c r="F3786">
        <v>1194400</v>
      </c>
      <c r="G3786">
        <v>107.1</v>
      </c>
      <c r="H3786" t="s">
        <v>16</v>
      </c>
      <c r="I3786" s="22">
        <f t="shared" si="119"/>
        <v>-1.123450839394277E-2</v>
      </c>
      <c r="J3786" s="22" t="str">
        <f t="shared" si="120"/>
        <v>lost money</v>
      </c>
    </row>
    <row r="3787" spans="1:10">
      <c r="A3787" s="1">
        <v>41520</v>
      </c>
      <c r="B3787">
        <v>108.45</v>
      </c>
      <c r="C3787">
        <v>108.73</v>
      </c>
      <c r="D3787">
        <v>106.78</v>
      </c>
      <c r="E3787">
        <v>107.6</v>
      </c>
      <c r="F3787">
        <v>1555100</v>
      </c>
      <c r="G3787">
        <v>107.34</v>
      </c>
      <c r="H3787" t="s">
        <v>16</v>
      </c>
      <c r="I3787" s="22">
        <f t="shared" si="119"/>
        <v>2.2383892949797007E-3</v>
      </c>
      <c r="J3787" s="22" t="str">
        <f t="shared" si="120"/>
        <v>lost money</v>
      </c>
    </row>
    <row r="3788" spans="1:10">
      <c r="A3788" s="1">
        <v>41521</v>
      </c>
      <c r="B3788">
        <v>107.44</v>
      </c>
      <c r="C3788">
        <v>107.9</v>
      </c>
      <c r="D3788">
        <v>107.12</v>
      </c>
      <c r="E3788">
        <v>107.61</v>
      </c>
      <c r="F3788">
        <v>1665800</v>
      </c>
      <c r="G3788">
        <v>107.35</v>
      </c>
      <c r="H3788" t="s">
        <v>16</v>
      </c>
      <c r="I3788" s="22">
        <f t="shared" si="119"/>
        <v>9.3157576107240787E-5</v>
      </c>
      <c r="J3788" s="22" t="str">
        <f t="shared" si="120"/>
        <v/>
      </c>
    </row>
    <row r="3789" spans="1:10">
      <c r="A3789" s="1">
        <v>41522</v>
      </c>
      <c r="B3789">
        <v>107.47</v>
      </c>
      <c r="C3789">
        <v>109.47</v>
      </c>
      <c r="D3789">
        <v>107.47</v>
      </c>
      <c r="E3789">
        <v>109.05</v>
      </c>
      <c r="F3789">
        <v>1460500</v>
      </c>
      <c r="G3789">
        <v>108.78</v>
      </c>
      <c r="H3789" t="s">
        <v>16</v>
      </c>
      <c r="I3789" s="22">
        <f t="shared" si="119"/>
        <v>1.3232969670024642E-2</v>
      </c>
      <c r="J3789" s="22" t="str">
        <f t="shared" si="120"/>
        <v/>
      </c>
    </row>
    <row r="3790" spans="1:10">
      <c r="A3790" s="1">
        <v>41523</v>
      </c>
      <c r="B3790">
        <v>109.34</v>
      </c>
      <c r="C3790">
        <v>109.79</v>
      </c>
      <c r="D3790">
        <v>107.4</v>
      </c>
      <c r="E3790">
        <v>108.16</v>
      </c>
      <c r="F3790">
        <v>1511800</v>
      </c>
      <c r="G3790">
        <v>108.04</v>
      </c>
      <c r="H3790" t="s">
        <v>16</v>
      </c>
      <c r="I3790" s="22">
        <f t="shared" si="119"/>
        <v>-6.8259650703998706E-3</v>
      </c>
      <c r="J3790" s="22" t="str">
        <f t="shared" si="120"/>
        <v>lost money</v>
      </c>
    </row>
    <row r="3791" spans="1:10">
      <c r="A3791" s="1">
        <v>41526</v>
      </c>
      <c r="B3791">
        <v>108.4</v>
      </c>
      <c r="C3791">
        <v>109.19</v>
      </c>
      <c r="D3791">
        <v>107.63</v>
      </c>
      <c r="E3791">
        <v>109.1</v>
      </c>
      <c r="F3791">
        <v>2203000</v>
      </c>
      <c r="G3791">
        <v>108.98</v>
      </c>
      <c r="H3791" t="s">
        <v>16</v>
      </c>
      <c r="I3791" s="22">
        <f t="shared" si="119"/>
        <v>8.6628502305374187E-3</v>
      </c>
      <c r="J3791" s="22" t="str">
        <f t="shared" si="120"/>
        <v/>
      </c>
    </row>
    <row r="3792" spans="1:10">
      <c r="A3792" s="1">
        <v>41527</v>
      </c>
      <c r="B3792">
        <v>109.78</v>
      </c>
      <c r="C3792">
        <v>111.5</v>
      </c>
      <c r="D3792">
        <v>109.74</v>
      </c>
      <c r="E3792">
        <v>110.59</v>
      </c>
      <c r="F3792">
        <v>1677300</v>
      </c>
      <c r="G3792">
        <v>110.47</v>
      </c>
      <c r="H3792" t="s">
        <v>16</v>
      </c>
      <c r="I3792" s="22">
        <f t="shared" si="119"/>
        <v>1.3579611729231328E-2</v>
      </c>
      <c r="J3792" s="22" t="str">
        <f t="shared" si="120"/>
        <v/>
      </c>
    </row>
    <row r="3793" spans="1:10">
      <c r="A3793" s="1">
        <v>41528</v>
      </c>
      <c r="B3793">
        <v>110.53</v>
      </c>
      <c r="C3793">
        <v>110.67</v>
      </c>
      <c r="D3793">
        <v>109.52</v>
      </c>
      <c r="E3793">
        <v>110.25</v>
      </c>
      <c r="F3793">
        <v>1356400</v>
      </c>
      <c r="G3793">
        <v>110.13</v>
      </c>
      <c r="H3793" t="s">
        <v>16</v>
      </c>
      <c r="I3793" s="22">
        <f t="shared" si="119"/>
        <v>-3.0825047073311735E-3</v>
      </c>
      <c r="J3793" s="22" t="str">
        <f t="shared" si="120"/>
        <v>lost money</v>
      </c>
    </row>
    <row r="3794" spans="1:10">
      <c r="A3794" s="1">
        <v>41529</v>
      </c>
      <c r="B3794">
        <v>110.1</v>
      </c>
      <c r="C3794">
        <v>110.12</v>
      </c>
      <c r="D3794">
        <v>107.74</v>
      </c>
      <c r="E3794">
        <v>108.39</v>
      </c>
      <c r="F3794">
        <v>2306500</v>
      </c>
      <c r="G3794">
        <v>108.27</v>
      </c>
      <c r="H3794" t="s">
        <v>16</v>
      </c>
      <c r="I3794" s="22">
        <f t="shared" si="119"/>
        <v>-1.703337885404569E-2</v>
      </c>
      <c r="J3794" s="22" t="str">
        <f t="shared" si="120"/>
        <v>lost money</v>
      </c>
    </row>
    <row r="3795" spans="1:10">
      <c r="A3795" s="1">
        <v>41530</v>
      </c>
      <c r="B3795">
        <v>108.72</v>
      </c>
      <c r="C3795">
        <v>108.9</v>
      </c>
      <c r="D3795">
        <v>106.38</v>
      </c>
      <c r="E3795">
        <v>107.24</v>
      </c>
      <c r="F3795">
        <v>2974200</v>
      </c>
      <c r="G3795">
        <v>107.12</v>
      </c>
      <c r="H3795" t="s">
        <v>16</v>
      </c>
      <c r="I3795" s="22">
        <f t="shared" si="119"/>
        <v>-1.0678405939889751E-2</v>
      </c>
      <c r="J3795" s="22" t="str">
        <f t="shared" si="120"/>
        <v>lost money</v>
      </c>
    </row>
    <row r="3796" spans="1:10">
      <c r="A3796" s="1">
        <v>41533</v>
      </c>
      <c r="B3796">
        <v>108.85</v>
      </c>
      <c r="C3796">
        <v>111</v>
      </c>
      <c r="D3796">
        <v>108.56</v>
      </c>
      <c r="E3796">
        <v>109.57</v>
      </c>
      <c r="F3796">
        <v>2673200</v>
      </c>
      <c r="G3796">
        <v>109.45</v>
      </c>
      <c r="H3796" t="s">
        <v>16</v>
      </c>
      <c r="I3796" s="22">
        <f t="shared" si="119"/>
        <v>2.1518122585954948E-2</v>
      </c>
      <c r="J3796" s="22" t="str">
        <f t="shared" si="120"/>
        <v/>
      </c>
    </row>
    <row r="3797" spans="1:10">
      <c r="A3797" s="1">
        <v>41534</v>
      </c>
      <c r="B3797">
        <v>109.89</v>
      </c>
      <c r="C3797">
        <v>111.48</v>
      </c>
      <c r="D3797">
        <v>109.79</v>
      </c>
      <c r="E3797">
        <v>110.68</v>
      </c>
      <c r="F3797">
        <v>2575500</v>
      </c>
      <c r="G3797">
        <v>110.56</v>
      </c>
      <c r="H3797" t="s">
        <v>16</v>
      </c>
      <c r="I3797" s="22">
        <f t="shared" si="119"/>
        <v>1.0090536050487726E-2</v>
      </c>
      <c r="J3797" s="22" t="str">
        <f t="shared" si="120"/>
        <v/>
      </c>
    </row>
    <row r="3798" spans="1:10">
      <c r="A3798" s="1">
        <v>41535</v>
      </c>
      <c r="B3798">
        <v>113.2</v>
      </c>
      <c r="C3798">
        <v>116.95</v>
      </c>
      <c r="D3798">
        <v>112.5</v>
      </c>
      <c r="E3798">
        <v>116.25</v>
      </c>
      <c r="F3798">
        <v>6671000</v>
      </c>
      <c r="G3798">
        <v>116.13</v>
      </c>
      <c r="H3798" t="s">
        <v>16</v>
      </c>
      <c r="I3798" s="22">
        <f t="shared" si="119"/>
        <v>4.9151893238306571E-2</v>
      </c>
      <c r="J3798" s="22" t="str">
        <f t="shared" si="120"/>
        <v/>
      </c>
    </row>
    <row r="3799" spans="1:10">
      <c r="A3799" s="1">
        <v>41536</v>
      </c>
      <c r="B3799">
        <v>114.63</v>
      </c>
      <c r="C3799">
        <v>117.38</v>
      </c>
      <c r="D3799">
        <v>114.54</v>
      </c>
      <c r="E3799">
        <v>116.83</v>
      </c>
      <c r="F3799">
        <v>3291200</v>
      </c>
      <c r="G3799">
        <v>116.7</v>
      </c>
      <c r="H3799" t="s">
        <v>16</v>
      </c>
      <c r="I3799" s="22">
        <f t="shared" si="119"/>
        <v>4.8962860348439842E-3</v>
      </c>
      <c r="J3799" s="22" t="str">
        <f t="shared" si="120"/>
        <v/>
      </c>
    </row>
    <row r="3800" spans="1:10">
      <c r="A3800" s="1">
        <v>41537</v>
      </c>
      <c r="B3800">
        <v>117.48</v>
      </c>
      <c r="C3800">
        <v>118.31</v>
      </c>
      <c r="D3800">
        <v>116.71</v>
      </c>
      <c r="E3800">
        <v>116.83</v>
      </c>
      <c r="F3800">
        <v>2624800</v>
      </c>
      <c r="G3800">
        <v>116.7</v>
      </c>
      <c r="H3800" t="s">
        <v>16</v>
      </c>
      <c r="I3800" s="22">
        <f t="shared" si="119"/>
        <v>0</v>
      </c>
      <c r="J3800" s="22" t="str">
        <f t="shared" si="120"/>
        <v>lost money</v>
      </c>
    </row>
    <row r="3801" spans="1:10">
      <c r="A3801" s="1">
        <v>41540</v>
      </c>
      <c r="B3801">
        <v>115.17</v>
      </c>
      <c r="C3801">
        <v>116</v>
      </c>
      <c r="D3801">
        <v>114.12</v>
      </c>
      <c r="E3801">
        <v>114.91</v>
      </c>
      <c r="F3801">
        <v>2022300</v>
      </c>
      <c r="G3801">
        <v>114.79</v>
      </c>
      <c r="H3801" t="s">
        <v>16</v>
      </c>
      <c r="I3801" s="22">
        <f t="shared" si="119"/>
        <v>-1.6502167215104897E-2</v>
      </c>
      <c r="J3801" s="22" t="str">
        <f t="shared" si="120"/>
        <v>lost money</v>
      </c>
    </row>
    <row r="3802" spans="1:10">
      <c r="A3802" s="1">
        <v>41541</v>
      </c>
      <c r="B3802">
        <v>114.85</v>
      </c>
      <c r="C3802">
        <v>115.88</v>
      </c>
      <c r="D3802">
        <v>114.59</v>
      </c>
      <c r="E3802">
        <v>114.72</v>
      </c>
      <c r="F3802">
        <v>1291200</v>
      </c>
      <c r="G3802">
        <v>114.6</v>
      </c>
      <c r="H3802" t="s">
        <v>16</v>
      </c>
      <c r="I3802" s="22">
        <f t="shared" si="119"/>
        <v>-1.6565677967663413E-3</v>
      </c>
      <c r="J3802" s="22" t="str">
        <f t="shared" si="120"/>
        <v>lost money</v>
      </c>
    </row>
    <row r="3803" spans="1:10">
      <c r="A3803" s="1">
        <v>41542</v>
      </c>
      <c r="B3803">
        <v>115.04</v>
      </c>
      <c r="C3803">
        <v>115.13</v>
      </c>
      <c r="D3803">
        <v>112.92</v>
      </c>
      <c r="E3803">
        <v>113.57</v>
      </c>
      <c r="F3803">
        <v>2426100</v>
      </c>
      <c r="G3803">
        <v>113.45</v>
      </c>
      <c r="H3803" t="s">
        <v>16</v>
      </c>
      <c r="I3803" s="22">
        <f t="shared" si="119"/>
        <v>-1.0085593054788415E-2</v>
      </c>
      <c r="J3803" s="22" t="str">
        <f t="shared" si="120"/>
        <v>lost money</v>
      </c>
    </row>
    <row r="3804" spans="1:10">
      <c r="A3804" s="1">
        <v>41543</v>
      </c>
      <c r="B3804">
        <v>113.97</v>
      </c>
      <c r="C3804">
        <v>114.73</v>
      </c>
      <c r="D3804">
        <v>112.87</v>
      </c>
      <c r="E3804">
        <v>113.56</v>
      </c>
      <c r="F3804">
        <v>1660200</v>
      </c>
      <c r="G3804">
        <v>113.44</v>
      </c>
      <c r="H3804" t="s">
        <v>16</v>
      </c>
      <c r="I3804" s="22">
        <f t="shared" si="119"/>
        <v>-8.814844203338625E-5</v>
      </c>
      <c r="J3804" s="22" t="str">
        <f t="shared" si="120"/>
        <v>lost money</v>
      </c>
    </row>
    <row r="3805" spans="1:10">
      <c r="A3805" s="1">
        <v>41544</v>
      </c>
      <c r="B3805">
        <v>113.02</v>
      </c>
      <c r="C3805">
        <v>113.93</v>
      </c>
      <c r="D3805">
        <v>112.92</v>
      </c>
      <c r="E3805">
        <v>113.77</v>
      </c>
      <c r="F3805">
        <v>1052100</v>
      </c>
      <c r="G3805">
        <v>113.65</v>
      </c>
      <c r="H3805" t="s">
        <v>16</v>
      </c>
      <c r="I3805" s="22">
        <f t="shared" si="119"/>
        <v>1.8494875147349373E-3</v>
      </c>
      <c r="J3805" s="22" t="str">
        <f t="shared" si="120"/>
        <v/>
      </c>
    </row>
    <row r="3806" spans="1:10">
      <c r="A3806" s="1">
        <v>41547</v>
      </c>
      <c r="B3806">
        <v>112.57</v>
      </c>
      <c r="C3806">
        <v>114.75</v>
      </c>
      <c r="D3806">
        <v>112.44</v>
      </c>
      <c r="E3806">
        <v>114.11</v>
      </c>
      <c r="F3806">
        <v>1709900</v>
      </c>
      <c r="G3806">
        <v>113.99</v>
      </c>
      <c r="H3806" t="s">
        <v>16</v>
      </c>
      <c r="I3806" s="22">
        <f t="shared" si="119"/>
        <v>2.9871749501348276E-3</v>
      </c>
      <c r="J3806" s="22" t="str">
        <f t="shared" si="120"/>
        <v/>
      </c>
    </row>
    <row r="3807" spans="1:10">
      <c r="A3807" s="1">
        <v>41548</v>
      </c>
      <c r="B3807">
        <v>114.24</v>
      </c>
      <c r="C3807">
        <v>115.32</v>
      </c>
      <c r="D3807">
        <v>113.87</v>
      </c>
      <c r="E3807">
        <v>115.26</v>
      </c>
      <c r="F3807">
        <v>1456300</v>
      </c>
      <c r="G3807">
        <v>115.14</v>
      </c>
      <c r="H3807" t="s">
        <v>16</v>
      </c>
      <c r="I3807" s="22">
        <f t="shared" si="119"/>
        <v>1.0038053998976429E-2</v>
      </c>
      <c r="J3807" s="22" t="str">
        <f t="shared" si="120"/>
        <v/>
      </c>
    </row>
    <row r="3808" spans="1:10">
      <c r="A3808" s="1">
        <v>41549</v>
      </c>
      <c r="B3808">
        <v>114.51</v>
      </c>
      <c r="C3808">
        <v>115.36</v>
      </c>
      <c r="D3808">
        <v>113.92</v>
      </c>
      <c r="E3808">
        <v>115.28</v>
      </c>
      <c r="F3808">
        <v>1198500</v>
      </c>
      <c r="G3808">
        <v>115.16</v>
      </c>
      <c r="H3808" t="s">
        <v>16</v>
      </c>
      <c r="I3808" s="22">
        <f t="shared" si="119"/>
        <v>1.736864963116104E-4</v>
      </c>
      <c r="J3808" s="22" t="str">
        <f t="shared" si="120"/>
        <v/>
      </c>
    </row>
    <row r="3809" spans="1:10">
      <c r="A3809" s="1">
        <v>41550</v>
      </c>
      <c r="B3809">
        <v>114.87</v>
      </c>
      <c r="C3809">
        <v>115.17</v>
      </c>
      <c r="D3809">
        <v>111.8</v>
      </c>
      <c r="E3809">
        <v>113.55</v>
      </c>
      <c r="F3809">
        <v>2162800</v>
      </c>
      <c r="G3809">
        <v>113.43</v>
      </c>
      <c r="H3809" t="s">
        <v>16</v>
      </c>
      <c r="I3809" s="22">
        <f t="shared" si="119"/>
        <v>-1.5136559173023834E-2</v>
      </c>
      <c r="J3809" s="22" t="str">
        <f t="shared" si="120"/>
        <v>lost money</v>
      </c>
    </row>
    <row r="3810" spans="1:10">
      <c r="A3810" s="1">
        <v>41551</v>
      </c>
      <c r="B3810">
        <v>113.44</v>
      </c>
      <c r="C3810">
        <v>114.98</v>
      </c>
      <c r="D3810">
        <v>113.03</v>
      </c>
      <c r="E3810">
        <v>114.73</v>
      </c>
      <c r="F3810">
        <v>1143100</v>
      </c>
      <c r="G3810">
        <v>114.61</v>
      </c>
      <c r="H3810" t="s">
        <v>16</v>
      </c>
      <c r="I3810" s="22">
        <f t="shared" si="119"/>
        <v>1.0349153937656634E-2</v>
      </c>
      <c r="J3810" s="22" t="str">
        <f t="shared" si="120"/>
        <v/>
      </c>
    </row>
    <row r="3811" spans="1:10">
      <c r="A3811" s="1">
        <v>41554</v>
      </c>
      <c r="B3811">
        <v>113.75</v>
      </c>
      <c r="C3811">
        <v>114.36</v>
      </c>
      <c r="D3811">
        <v>112.61</v>
      </c>
      <c r="E3811">
        <v>113.69</v>
      </c>
      <c r="F3811">
        <v>1264700</v>
      </c>
      <c r="G3811">
        <v>113.57</v>
      </c>
      <c r="H3811" t="s">
        <v>16</v>
      </c>
      <c r="I3811" s="22">
        <f t="shared" si="119"/>
        <v>-9.1156736050529638E-3</v>
      </c>
      <c r="J3811" s="22" t="str">
        <f t="shared" si="120"/>
        <v>lost money</v>
      </c>
    </row>
    <row r="3812" spans="1:10">
      <c r="A3812" s="1">
        <v>41555</v>
      </c>
      <c r="B3812">
        <v>113.58</v>
      </c>
      <c r="C3812">
        <v>114</v>
      </c>
      <c r="D3812">
        <v>111.96</v>
      </c>
      <c r="E3812">
        <v>112.08</v>
      </c>
      <c r="F3812">
        <v>1164200</v>
      </c>
      <c r="G3812">
        <v>111.96</v>
      </c>
      <c r="H3812" t="s">
        <v>16</v>
      </c>
      <c r="I3812" s="22">
        <f t="shared" si="119"/>
        <v>-1.4277722256302161E-2</v>
      </c>
      <c r="J3812" s="22" t="str">
        <f t="shared" si="120"/>
        <v>lost money</v>
      </c>
    </row>
    <row r="3813" spans="1:10">
      <c r="A3813" s="1">
        <v>41556</v>
      </c>
      <c r="B3813">
        <v>112.33</v>
      </c>
      <c r="C3813">
        <v>113.14</v>
      </c>
      <c r="D3813">
        <v>111.25</v>
      </c>
      <c r="E3813">
        <v>112.58</v>
      </c>
      <c r="F3813">
        <v>1518900</v>
      </c>
      <c r="G3813">
        <v>112.46</v>
      </c>
      <c r="H3813" t="s">
        <v>16</v>
      </c>
      <c r="I3813" s="22">
        <f t="shared" si="119"/>
        <v>4.4559382168028452E-3</v>
      </c>
      <c r="J3813" s="22" t="str">
        <f t="shared" si="120"/>
        <v/>
      </c>
    </row>
    <row r="3814" spans="1:10">
      <c r="A3814" s="1">
        <v>41557</v>
      </c>
      <c r="B3814">
        <v>113.9</v>
      </c>
      <c r="C3814">
        <v>115.11</v>
      </c>
      <c r="D3814">
        <v>113.22</v>
      </c>
      <c r="E3814">
        <v>115.06</v>
      </c>
      <c r="F3814">
        <v>1246900</v>
      </c>
      <c r="G3814">
        <v>114.94</v>
      </c>
      <c r="H3814" t="s">
        <v>16</v>
      </c>
      <c r="I3814" s="22">
        <f t="shared" si="119"/>
        <v>2.1812650215539783E-2</v>
      </c>
      <c r="J3814" s="22" t="str">
        <f t="shared" si="120"/>
        <v/>
      </c>
    </row>
    <row r="3815" spans="1:10">
      <c r="A3815" s="1">
        <v>41558</v>
      </c>
      <c r="B3815">
        <v>114.46</v>
      </c>
      <c r="C3815">
        <v>115.89</v>
      </c>
      <c r="D3815">
        <v>114.01</v>
      </c>
      <c r="E3815">
        <v>115.87</v>
      </c>
      <c r="F3815">
        <v>1041400</v>
      </c>
      <c r="G3815">
        <v>115.75</v>
      </c>
      <c r="H3815" t="s">
        <v>16</v>
      </c>
      <c r="I3815" s="22">
        <f t="shared" si="119"/>
        <v>7.0224398867480978E-3</v>
      </c>
      <c r="J3815" s="22" t="str">
        <f t="shared" si="120"/>
        <v/>
      </c>
    </row>
    <row r="3816" spans="1:10">
      <c r="A3816" s="1">
        <v>41561</v>
      </c>
      <c r="B3816">
        <v>115.29</v>
      </c>
      <c r="C3816">
        <v>115.48</v>
      </c>
      <c r="D3816">
        <v>114.33</v>
      </c>
      <c r="E3816">
        <v>115.37</v>
      </c>
      <c r="F3816">
        <v>899800</v>
      </c>
      <c r="G3816">
        <v>115.25</v>
      </c>
      <c r="H3816" t="s">
        <v>16</v>
      </c>
      <c r="I3816" s="22">
        <f t="shared" si="119"/>
        <v>-4.3290110895855809E-3</v>
      </c>
      <c r="J3816" s="22" t="str">
        <f t="shared" si="120"/>
        <v/>
      </c>
    </row>
    <row r="3817" spans="1:10">
      <c r="A3817" s="1">
        <v>41562</v>
      </c>
      <c r="B3817">
        <v>116.91</v>
      </c>
      <c r="C3817">
        <v>122.5</v>
      </c>
      <c r="D3817">
        <v>116.85</v>
      </c>
      <c r="E3817">
        <v>120.08</v>
      </c>
      <c r="F3817">
        <v>6195500</v>
      </c>
      <c r="G3817">
        <v>119.95</v>
      </c>
      <c r="H3817" t="s">
        <v>16</v>
      </c>
      <c r="I3817" s="22">
        <f t="shared" si="119"/>
        <v>3.9971307408945667E-2</v>
      </c>
      <c r="J3817" s="22" t="str">
        <f t="shared" si="120"/>
        <v/>
      </c>
    </row>
    <row r="3818" spans="1:10">
      <c r="A3818" s="1">
        <v>41563</v>
      </c>
      <c r="B3818">
        <v>119.87</v>
      </c>
      <c r="C3818">
        <v>124.35</v>
      </c>
      <c r="D3818">
        <v>119.7</v>
      </c>
      <c r="E3818">
        <v>123.26</v>
      </c>
      <c r="F3818">
        <v>4127600</v>
      </c>
      <c r="G3818">
        <v>123.13</v>
      </c>
      <c r="H3818" t="s">
        <v>16</v>
      </c>
      <c r="I3818" s="22">
        <f t="shared" si="119"/>
        <v>2.6165718519076467E-2</v>
      </c>
      <c r="J3818" s="22" t="str">
        <f t="shared" si="120"/>
        <v/>
      </c>
    </row>
    <row r="3819" spans="1:10">
      <c r="A3819" s="1">
        <v>41564</v>
      </c>
      <c r="B3819">
        <v>121.98</v>
      </c>
      <c r="C3819">
        <v>125.27</v>
      </c>
      <c r="D3819">
        <v>121.57</v>
      </c>
      <c r="E3819">
        <v>125.19</v>
      </c>
      <c r="F3819">
        <v>4344800</v>
      </c>
      <c r="G3819">
        <v>125.06</v>
      </c>
      <c r="H3819" t="s">
        <v>16</v>
      </c>
      <c r="I3819" s="22">
        <f t="shared" si="119"/>
        <v>1.5552914334371721E-2</v>
      </c>
      <c r="J3819" s="22" t="str">
        <f t="shared" si="120"/>
        <v/>
      </c>
    </row>
    <row r="3820" spans="1:10">
      <c r="A3820" s="1">
        <v>41565</v>
      </c>
      <c r="B3820">
        <v>125.27</v>
      </c>
      <c r="C3820">
        <v>126.63</v>
      </c>
      <c r="D3820">
        <v>124.71</v>
      </c>
      <c r="E3820">
        <v>126.44</v>
      </c>
      <c r="F3820">
        <v>2023900</v>
      </c>
      <c r="G3820">
        <v>126.3</v>
      </c>
      <c r="H3820" t="s">
        <v>16</v>
      </c>
      <c r="I3820" s="22">
        <f t="shared" si="119"/>
        <v>9.8664072172934738E-3</v>
      </c>
      <c r="J3820" s="22" t="str">
        <f t="shared" si="120"/>
        <v/>
      </c>
    </row>
    <row r="3821" spans="1:10">
      <c r="A3821" s="1">
        <v>41568</v>
      </c>
      <c r="B3821">
        <v>126.22</v>
      </c>
      <c r="C3821">
        <v>127.87</v>
      </c>
      <c r="D3821">
        <v>125.92</v>
      </c>
      <c r="E3821">
        <v>127.41</v>
      </c>
      <c r="F3821">
        <v>2227800</v>
      </c>
      <c r="G3821">
        <v>127.27</v>
      </c>
      <c r="H3821" t="s">
        <v>16</v>
      </c>
      <c r="I3821" s="22">
        <f t="shared" si="119"/>
        <v>7.6507846475102996E-3</v>
      </c>
      <c r="J3821" s="22" t="str">
        <f t="shared" si="120"/>
        <v/>
      </c>
    </row>
    <row r="3822" spans="1:10">
      <c r="A3822" s="1">
        <v>41569</v>
      </c>
      <c r="B3822">
        <v>128.87</v>
      </c>
      <c r="C3822">
        <v>132.30000000000001</v>
      </c>
      <c r="D3822">
        <v>128.86000000000001</v>
      </c>
      <c r="E3822">
        <v>129.69</v>
      </c>
      <c r="F3822">
        <v>4792200</v>
      </c>
      <c r="G3822">
        <v>129.55000000000001</v>
      </c>
      <c r="H3822" t="s">
        <v>16</v>
      </c>
      <c r="I3822" s="22">
        <f t="shared" si="119"/>
        <v>1.7756093004163306E-2</v>
      </c>
      <c r="J3822" s="22" t="str">
        <f t="shared" si="120"/>
        <v/>
      </c>
    </row>
    <row r="3823" spans="1:10">
      <c r="A3823" s="1">
        <v>41570</v>
      </c>
      <c r="B3823">
        <v>128.66999999999999</v>
      </c>
      <c r="C3823">
        <v>130.1</v>
      </c>
      <c r="D3823">
        <v>128.26</v>
      </c>
      <c r="E3823">
        <v>129.82</v>
      </c>
      <c r="F3823">
        <v>2649900</v>
      </c>
      <c r="G3823">
        <v>129.68</v>
      </c>
      <c r="H3823" t="s">
        <v>16</v>
      </c>
      <c r="I3823" s="22">
        <f t="shared" si="119"/>
        <v>1.0029704193017521E-3</v>
      </c>
      <c r="J3823" s="22" t="str">
        <f t="shared" si="120"/>
        <v/>
      </c>
    </row>
    <row r="3824" spans="1:10">
      <c r="A3824" s="1">
        <v>41571</v>
      </c>
      <c r="B3824">
        <v>130.47999999999999</v>
      </c>
      <c r="C3824">
        <v>131.99</v>
      </c>
      <c r="D3824">
        <v>130.07</v>
      </c>
      <c r="E3824">
        <v>131.57</v>
      </c>
      <c r="F3824">
        <v>2299400</v>
      </c>
      <c r="G3824">
        <v>131.43</v>
      </c>
      <c r="H3824" t="s">
        <v>16</v>
      </c>
      <c r="I3824" s="22">
        <f t="shared" si="119"/>
        <v>1.3404513066496123E-2</v>
      </c>
      <c r="J3824" s="22" t="str">
        <f t="shared" si="120"/>
        <v/>
      </c>
    </row>
    <row r="3825" spans="1:10">
      <c r="A3825" s="1">
        <v>41572</v>
      </c>
      <c r="B3825">
        <v>131.96</v>
      </c>
      <c r="C3825">
        <v>132.55000000000001</v>
      </c>
      <c r="D3825">
        <v>131.16999999999999</v>
      </c>
      <c r="E3825">
        <v>132.06</v>
      </c>
      <c r="F3825">
        <v>2464100</v>
      </c>
      <c r="G3825">
        <v>131.91999999999999</v>
      </c>
      <c r="H3825" t="s">
        <v>16</v>
      </c>
      <c r="I3825" s="22">
        <f t="shared" si="119"/>
        <v>3.7212877574266169E-3</v>
      </c>
      <c r="J3825" s="22" t="str">
        <f t="shared" si="120"/>
        <v/>
      </c>
    </row>
    <row r="3826" spans="1:10">
      <c r="A3826" s="1">
        <v>41575</v>
      </c>
      <c r="B3826">
        <v>131.41999999999999</v>
      </c>
      <c r="C3826">
        <v>133.63999999999999</v>
      </c>
      <c r="D3826">
        <v>131.22999999999999</v>
      </c>
      <c r="E3826">
        <v>132.53</v>
      </c>
      <c r="F3826">
        <v>3100600</v>
      </c>
      <c r="G3826">
        <v>132.38999999999999</v>
      </c>
      <c r="H3826" t="s">
        <v>16</v>
      </c>
      <c r="I3826" s="22">
        <f t="shared" si="119"/>
        <v>3.5564336982220578E-3</v>
      </c>
      <c r="J3826" s="22" t="str">
        <f t="shared" si="120"/>
        <v/>
      </c>
    </row>
    <row r="3827" spans="1:10">
      <c r="A3827" s="1">
        <v>41576</v>
      </c>
      <c r="B3827">
        <v>133.29</v>
      </c>
      <c r="C3827">
        <v>133.38999999999999</v>
      </c>
      <c r="D3827">
        <v>132</v>
      </c>
      <c r="E3827">
        <v>133.13999999999999</v>
      </c>
      <c r="F3827">
        <v>1826700</v>
      </c>
      <c r="G3827">
        <v>133</v>
      </c>
      <c r="H3827" t="s">
        <v>16</v>
      </c>
      <c r="I3827" s="22">
        <f t="shared" si="119"/>
        <v>4.5970162721884426E-3</v>
      </c>
      <c r="J3827" s="22" t="str">
        <f t="shared" si="120"/>
        <v>lost money</v>
      </c>
    </row>
    <row r="3828" spans="1:10">
      <c r="A3828" s="1">
        <v>41577</v>
      </c>
      <c r="B3828">
        <v>133.05000000000001</v>
      </c>
      <c r="C3828">
        <v>133.84</v>
      </c>
      <c r="D3828">
        <v>132.12</v>
      </c>
      <c r="E3828">
        <v>132.81</v>
      </c>
      <c r="F3828">
        <v>2302000</v>
      </c>
      <c r="G3828">
        <v>132.66999999999999</v>
      </c>
      <c r="H3828" t="s">
        <v>16</v>
      </c>
      <c r="I3828" s="22">
        <f t="shared" si="119"/>
        <v>-2.4842862929284207E-3</v>
      </c>
      <c r="J3828" s="22" t="str">
        <f t="shared" si="120"/>
        <v>lost money</v>
      </c>
    </row>
    <row r="3829" spans="1:10">
      <c r="A3829" s="1">
        <v>41578</v>
      </c>
      <c r="B3829">
        <v>132.02000000000001</v>
      </c>
      <c r="C3829">
        <v>132.56</v>
      </c>
      <c r="D3829">
        <v>129.81</v>
      </c>
      <c r="E3829">
        <v>131</v>
      </c>
      <c r="F3829">
        <v>3417500</v>
      </c>
      <c r="G3829">
        <v>130.86000000000001</v>
      </c>
      <c r="H3829" t="s">
        <v>16</v>
      </c>
      <c r="I3829" s="22">
        <f t="shared" si="119"/>
        <v>-1.3736792487232523E-2</v>
      </c>
      <c r="J3829" s="22" t="str">
        <f t="shared" si="120"/>
        <v>lost money</v>
      </c>
    </row>
    <row r="3830" spans="1:10">
      <c r="A3830" s="1">
        <v>41579</v>
      </c>
      <c r="B3830">
        <v>131.77000000000001</v>
      </c>
      <c r="C3830">
        <v>134.74</v>
      </c>
      <c r="D3830">
        <v>131.58000000000001</v>
      </c>
      <c r="E3830">
        <v>134.65</v>
      </c>
      <c r="F3830">
        <v>3728600</v>
      </c>
      <c r="G3830">
        <v>134.51</v>
      </c>
      <c r="H3830" t="s">
        <v>16</v>
      </c>
      <c r="I3830" s="22">
        <f t="shared" si="119"/>
        <v>2.7510496278897317E-2</v>
      </c>
      <c r="J3830" s="22" t="str">
        <f t="shared" si="120"/>
        <v/>
      </c>
    </row>
    <row r="3831" spans="1:10">
      <c r="A3831" s="1">
        <v>41582</v>
      </c>
      <c r="B3831">
        <v>134.65</v>
      </c>
      <c r="C3831">
        <v>136.06</v>
      </c>
      <c r="D3831">
        <v>134.09</v>
      </c>
      <c r="E3831">
        <v>135.12</v>
      </c>
      <c r="F3831">
        <v>2474500</v>
      </c>
      <c r="G3831">
        <v>134.97999999999999</v>
      </c>
      <c r="H3831" t="s">
        <v>16</v>
      </c>
      <c r="I3831" s="22">
        <f t="shared" si="119"/>
        <v>3.4880735947703124E-3</v>
      </c>
      <c r="J3831" s="22" t="str">
        <f t="shared" si="120"/>
        <v/>
      </c>
    </row>
    <row r="3832" spans="1:10">
      <c r="A3832" s="1">
        <v>41583</v>
      </c>
      <c r="B3832">
        <v>134.37</v>
      </c>
      <c r="C3832">
        <v>136.88999999999999</v>
      </c>
      <c r="D3832">
        <v>133.79</v>
      </c>
      <c r="E3832">
        <v>136.22999999999999</v>
      </c>
      <c r="F3832">
        <v>2670600</v>
      </c>
      <c r="G3832">
        <v>136.08000000000001</v>
      </c>
      <c r="H3832" t="s">
        <v>16</v>
      </c>
      <c r="I3832" s="22">
        <f t="shared" si="119"/>
        <v>8.1163287723459588E-3</v>
      </c>
      <c r="J3832" s="22" t="str">
        <f t="shared" si="120"/>
        <v/>
      </c>
    </row>
    <row r="3833" spans="1:10">
      <c r="A3833" s="1">
        <v>41584</v>
      </c>
      <c r="B3833">
        <v>136.81</v>
      </c>
      <c r="C3833">
        <v>136.97999999999999</v>
      </c>
      <c r="D3833">
        <v>131.91999999999999</v>
      </c>
      <c r="E3833">
        <v>132.77000000000001</v>
      </c>
      <c r="F3833">
        <v>5439500</v>
      </c>
      <c r="G3833">
        <v>132.63</v>
      </c>
      <c r="H3833" t="s">
        <v>16</v>
      </c>
      <c r="I3833" s="22">
        <f t="shared" si="119"/>
        <v>-2.5679651581344942E-2</v>
      </c>
      <c r="J3833" s="22" t="str">
        <f t="shared" si="120"/>
        <v>lost money</v>
      </c>
    </row>
    <row r="3834" spans="1:10">
      <c r="A3834" s="1">
        <v>41585</v>
      </c>
      <c r="B3834">
        <v>133.05000000000001</v>
      </c>
      <c r="C3834">
        <v>133.35</v>
      </c>
      <c r="D3834">
        <v>130.25</v>
      </c>
      <c r="E3834">
        <v>130.55000000000001</v>
      </c>
      <c r="F3834">
        <v>2846400</v>
      </c>
      <c r="G3834">
        <v>130.41</v>
      </c>
      <c r="H3834" t="s">
        <v>16</v>
      </c>
      <c r="I3834" s="22">
        <f t="shared" si="119"/>
        <v>-1.6879962837451086E-2</v>
      </c>
      <c r="J3834" s="22" t="str">
        <f t="shared" si="120"/>
        <v>lost money</v>
      </c>
    </row>
    <row r="3835" spans="1:10">
      <c r="A3835" s="1">
        <v>41586</v>
      </c>
      <c r="B3835">
        <v>130.29</v>
      </c>
      <c r="C3835">
        <v>132.72999999999999</v>
      </c>
      <c r="D3835">
        <v>130.28</v>
      </c>
      <c r="E3835">
        <v>132.57</v>
      </c>
      <c r="F3835">
        <v>2676700</v>
      </c>
      <c r="G3835">
        <v>132.43</v>
      </c>
      <c r="H3835" t="s">
        <v>16</v>
      </c>
      <c r="I3835" s="22">
        <f t="shared" si="119"/>
        <v>1.5370870270062682E-2</v>
      </c>
      <c r="J3835" s="22" t="str">
        <f t="shared" si="120"/>
        <v/>
      </c>
    </row>
    <row r="3836" spans="1:10">
      <c r="A3836" s="1">
        <v>41589</v>
      </c>
      <c r="B3836">
        <v>131.97999999999999</v>
      </c>
      <c r="C3836">
        <v>133.16999999999999</v>
      </c>
      <c r="D3836">
        <v>131.6</v>
      </c>
      <c r="E3836">
        <v>132.52000000000001</v>
      </c>
      <c r="F3836">
        <v>1805000</v>
      </c>
      <c r="G3836">
        <v>132.38</v>
      </c>
      <c r="H3836" t="s">
        <v>16</v>
      </c>
      <c r="I3836" s="22">
        <f t="shared" si="119"/>
        <v>-3.7762924809628265E-4</v>
      </c>
      <c r="J3836" s="22" t="str">
        <f t="shared" si="120"/>
        <v/>
      </c>
    </row>
    <row r="3837" spans="1:10">
      <c r="A3837" s="1">
        <v>41590</v>
      </c>
      <c r="B3837">
        <v>131.80000000000001</v>
      </c>
      <c r="C3837">
        <v>136.1</v>
      </c>
      <c r="D3837">
        <v>130.81</v>
      </c>
      <c r="E3837">
        <v>134.63</v>
      </c>
      <c r="F3837">
        <v>4789000</v>
      </c>
      <c r="G3837">
        <v>134.49</v>
      </c>
      <c r="H3837" t="s">
        <v>16</v>
      </c>
      <c r="I3837" s="22">
        <f t="shared" si="119"/>
        <v>1.5813272144681256E-2</v>
      </c>
      <c r="J3837" s="22" t="str">
        <f t="shared" si="120"/>
        <v/>
      </c>
    </row>
    <row r="3838" spans="1:10">
      <c r="A3838" s="1">
        <v>41591</v>
      </c>
      <c r="B3838">
        <v>134.12</v>
      </c>
      <c r="C3838">
        <v>135.88999999999999</v>
      </c>
      <c r="D3838">
        <v>133.33000000000001</v>
      </c>
      <c r="E3838">
        <v>135.29</v>
      </c>
      <c r="F3838">
        <v>3447600</v>
      </c>
      <c r="G3838">
        <v>135.13999999999999</v>
      </c>
      <c r="H3838" t="s">
        <v>16</v>
      </c>
      <c r="I3838" s="22">
        <f t="shared" si="119"/>
        <v>4.8214312885706441E-3</v>
      </c>
      <c r="J3838" s="22" t="str">
        <f t="shared" si="120"/>
        <v/>
      </c>
    </row>
    <row r="3839" spans="1:10">
      <c r="A3839" s="1">
        <v>41592</v>
      </c>
      <c r="B3839">
        <v>135.41</v>
      </c>
      <c r="C3839">
        <v>136.5</v>
      </c>
      <c r="D3839">
        <v>135.04</v>
      </c>
      <c r="E3839">
        <v>136.44</v>
      </c>
      <c r="F3839">
        <v>3123700</v>
      </c>
      <c r="G3839">
        <v>136.29</v>
      </c>
      <c r="H3839" t="s">
        <v>16</v>
      </c>
      <c r="I3839" s="22">
        <f t="shared" si="119"/>
        <v>8.47369031539324E-3</v>
      </c>
      <c r="J3839" s="22" t="str">
        <f t="shared" si="120"/>
        <v/>
      </c>
    </row>
    <row r="3840" spans="1:10">
      <c r="A3840" s="1">
        <v>41593</v>
      </c>
      <c r="B3840">
        <v>138.46</v>
      </c>
      <c r="C3840">
        <v>139.94</v>
      </c>
      <c r="D3840">
        <v>137.88999999999999</v>
      </c>
      <c r="E3840">
        <v>138.65</v>
      </c>
      <c r="F3840">
        <v>3644900</v>
      </c>
      <c r="G3840">
        <v>138.5</v>
      </c>
      <c r="H3840" t="s">
        <v>16</v>
      </c>
      <c r="I3840" s="22">
        <f t="shared" si="119"/>
        <v>1.6085357187971713E-2</v>
      </c>
      <c r="J3840" s="22" t="str">
        <f t="shared" si="120"/>
        <v/>
      </c>
    </row>
    <row r="3841" spans="1:10">
      <c r="A3841" s="1">
        <v>41596</v>
      </c>
      <c r="B3841">
        <v>138.59</v>
      </c>
      <c r="C3841">
        <v>139.77000000000001</v>
      </c>
      <c r="D3841">
        <v>136.79</v>
      </c>
      <c r="E3841">
        <v>137.13999999999999</v>
      </c>
      <c r="F3841">
        <v>2965700</v>
      </c>
      <c r="G3841">
        <v>136.99</v>
      </c>
      <c r="H3841" t="s">
        <v>16</v>
      </c>
      <c r="I3841" s="22">
        <f t="shared" si="119"/>
        <v>-1.0962395164094932E-2</v>
      </c>
      <c r="J3841" s="22" t="str">
        <f t="shared" si="120"/>
        <v>lost money</v>
      </c>
    </row>
    <row r="3842" spans="1:10">
      <c r="A3842" s="1">
        <v>41597</v>
      </c>
      <c r="B3842">
        <v>137.16999999999999</v>
      </c>
      <c r="C3842">
        <v>137.32</v>
      </c>
      <c r="D3842">
        <v>133.93</v>
      </c>
      <c r="E3842">
        <v>134</v>
      </c>
      <c r="F3842">
        <v>2960600</v>
      </c>
      <c r="G3842">
        <v>133.86000000000001</v>
      </c>
      <c r="H3842" t="s">
        <v>16</v>
      </c>
      <c r="I3842" s="22">
        <f t="shared" si="119"/>
        <v>-2.3113452790801993E-2</v>
      </c>
      <c r="J3842" s="22" t="str">
        <f t="shared" si="120"/>
        <v>lost money</v>
      </c>
    </row>
    <row r="3843" spans="1:10">
      <c r="A3843" s="1">
        <v>41598</v>
      </c>
      <c r="B3843">
        <v>134.35</v>
      </c>
      <c r="C3843">
        <v>135.74</v>
      </c>
      <c r="D3843">
        <v>134.19</v>
      </c>
      <c r="E3843">
        <v>134.58000000000001</v>
      </c>
      <c r="F3843">
        <v>1716000</v>
      </c>
      <c r="G3843">
        <v>134.44</v>
      </c>
      <c r="H3843" t="s">
        <v>16</v>
      </c>
      <c r="I3843" s="22">
        <f t="shared" ref="I3843:I3906" si="121">IF(A3843=$A$2,"",LN(G3843/G3842))</f>
        <v>4.3235251844087139E-3</v>
      </c>
      <c r="J3843" s="22" t="str">
        <f t="shared" ref="J3843:J3906" si="122">IF(B3843&gt;E3843,"lost money","")</f>
        <v/>
      </c>
    </row>
    <row r="3844" spans="1:10">
      <c r="A3844" s="1">
        <v>41599</v>
      </c>
      <c r="B3844">
        <v>135.32</v>
      </c>
      <c r="C3844">
        <v>138.86000000000001</v>
      </c>
      <c r="D3844">
        <v>135.25</v>
      </c>
      <c r="E3844">
        <v>138.38</v>
      </c>
      <c r="F3844">
        <v>2920800</v>
      </c>
      <c r="G3844">
        <v>138.22999999999999</v>
      </c>
      <c r="H3844" t="s">
        <v>16</v>
      </c>
      <c r="I3844" s="22">
        <f t="shared" si="121"/>
        <v>2.7800961619360954E-2</v>
      </c>
      <c r="J3844" s="22" t="str">
        <f t="shared" si="122"/>
        <v/>
      </c>
    </row>
    <row r="3845" spans="1:10">
      <c r="A3845" s="1">
        <v>41600</v>
      </c>
      <c r="B3845">
        <v>138.1</v>
      </c>
      <c r="C3845">
        <v>138.44999999999999</v>
      </c>
      <c r="D3845">
        <v>135.94</v>
      </c>
      <c r="E3845">
        <v>137.07</v>
      </c>
      <c r="F3845">
        <v>1680100</v>
      </c>
      <c r="G3845">
        <v>136.91999999999999</v>
      </c>
      <c r="H3845" t="s">
        <v>16</v>
      </c>
      <c r="I3845" s="22">
        <f t="shared" si="121"/>
        <v>-9.5221508142813265E-3</v>
      </c>
      <c r="J3845" s="22" t="str">
        <f t="shared" si="122"/>
        <v>lost money</v>
      </c>
    </row>
    <row r="3846" spans="1:10">
      <c r="A3846" s="1">
        <v>41603</v>
      </c>
      <c r="B3846">
        <v>137.81</v>
      </c>
      <c r="C3846">
        <v>137.97999999999999</v>
      </c>
      <c r="D3846">
        <v>136.71</v>
      </c>
      <c r="E3846">
        <v>137.22</v>
      </c>
      <c r="F3846">
        <v>1234500</v>
      </c>
      <c r="G3846">
        <v>137.07</v>
      </c>
      <c r="H3846" t="s">
        <v>16</v>
      </c>
      <c r="I3846" s="22">
        <f t="shared" si="121"/>
        <v>1.0949305813053804E-3</v>
      </c>
      <c r="J3846" s="22" t="str">
        <f t="shared" si="122"/>
        <v>lost money</v>
      </c>
    </row>
    <row r="3847" spans="1:10">
      <c r="A3847" s="1">
        <v>41604</v>
      </c>
      <c r="B3847">
        <v>137.30000000000001</v>
      </c>
      <c r="C3847">
        <v>138.62</v>
      </c>
      <c r="D3847">
        <v>137.01</v>
      </c>
      <c r="E3847">
        <v>137.81</v>
      </c>
      <c r="F3847">
        <v>1495000</v>
      </c>
      <c r="G3847">
        <v>137.66</v>
      </c>
      <c r="H3847" t="s">
        <v>16</v>
      </c>
      <c r="I3847" s="22">
        <f t="shared" si="121"/>
        <v>4.295132726928272E-3</v>
      </c>
      <c r="J3847" s="22" t="str">
        <f t="shared" si="122"/>
        <v/>
      </c>
    </row>
    <row r="3848" spans="1:10">
      <c r="A3848" s="1">
        <v>41605</v>
      </c>
      <c r="B3848">
        <v>138.69999999999999</v>
      </c>
      <c r="C3848">
        <v>140.28</v>
      </c>
      <c r="D3848">
        <v>138.51</v>
      </c>
      <c r="E3848">
        <v>139.86000000000001</v>
      </c>
      <c r="F3848">
        <v>1358600</v>
      </c>
      <c r="G3848">
        <v>139.71</v>
      </c>
      <c r="H3848" t="s">
        <v>16</v>
      </c>
      <c r="I3848" s="22">
        <f t="shared" si="121"/>
        <v>1.478196869217744E-2</v>
      </c>
      <c r="J3848" s="22" t="str">
        <f t="shared" si="122"/>
        <v/>
      </c>
    </row>
    <row r="3849" spans="1:10">
      <c r="A3849" s="1">
        <v>41607</v>
      </c>
      <c r="B3849">
        <v>140.44999999999999</v>
      </c>
      <c r="C3849">
        <v>140.55000000000001</v>
      </c>
      <c r="D3849">
        <v>138.51</v>
      </c>
      <c r="E3849">
        <v>138.69999999999999</v>
      </c>
      <c r="F3849">
        <v>733100</v>
      </c>
      <c r="G3849">
        <v>138.55000000000001</v>
      </c>
      <c r="H3849" t="s">
        <v>16</v>
      </c>
      <c r="I3849" s="22">
        <f t="shared" si="121"/>
        <v>-8.3375743534080983E-3</v>
      </c>
      <c r="J3849" s="22" t="str">
        <f t="shared" si="122"/>
        <v>lost money</v>
      </c>
    </row>
    <row r="3850" spans="1:10">
      <c r="A3850" s="1">
        <v>40911</v>
      </c>
      <c r="B3850">
        <v>186.73</v>
      </c>
      <c r="C3850">
        <v>188.71</v>
      </c>
      <c r="D3850">
        <v>186</v>
      </c>
      <c r="E3850">
        <v>186.3</v>
      </c>
      <c r="F3850">
        <v>5646000</v>
      </c>
      <c r="G3850">
        <v>179.73</v>
      </c>
      <c r="H3850" t="s">
        <v>7</v>
      </c>
      <c r="I3850" s="22" t="str">
        <f t="shared" si="121"/>
        <v/>
      </c>
      <c r="J3850" s="22" t="str">
        <f t="shared" si="122"/>
        <v>lost money</v>
      </c>
    </row>
    <row r="3851" spans="1:10">
      <c r="A3851" s="1">
        <v>40912</v>
      </c>
      <c r="B3851">
        <v>185.57</v>
      </c>
      <c r="C3851">
        <v>186.33</v>
      </c>
      <c r="D3851">
        <v>184.94</v>
      </c>
      <c r="E3851">
        <v>185.54</v>
      </c>
      <c r="F3851">
        <v>4346700</v>
      </c>
      <c r="G3851">
        <v>178.99</v>
      </c>
      <c r="H3851" t="s">
        <v>7</v>
      </c>
      <c r="I3851" s="22">
        <f t="shared" si="121"/>
        <v>-4.1257864055345194E-3</v>
      </c>
      <c r="J3851" s="22" t="str">
        <f t="shared" si="122"/>
        <v>lost money</v>
      </c>
    </row>
    <row r="3852" spans="1:10">
      <c r="A3852" s="1">
        <v>40913</v>
      </c>
      <c r="B3852">
        <v>184.81</v>
      </c>
      <c r="C3852">
        <v>185.03</v>
      </c>
      <c r="D3852">
        <v>183.1</v>
      </c>
      <c r="E3852">
        <v>184.66</v>
      </c>
      <c r="F3852">
        <v>4463100</v>
      </c>
      <c r="G3852">
        <v>178.15</v>
      </c>
      <c r="H3852" t="s">
        <v>7</v>
      </c>
      <c r="I3852" s="22">
        <f t="shared" si="121"/>
        <v>-4.7040463065634733E-3</v>
      </c>
      <c r="J3852" s="22" t="str">
        <f t="shared" si="122"/>
        <v>lost money</v>
      </c>
    </row>
    <row r="3853" spans="1:10">
      <c r="A3853" s="1">
        <v>40914</v>
      </c>
      <c r="B3853">
        <v>184.39</v>
      </c>
      <c r="C3853">
        <v>184.48</v>
      </c>
      <c r="D3853">
        <v>182.31</v>
      </c>
      <c r="E3853">
        <v>182.54</v>
      </c>
      <c r="F3853">
        <v>4897100</v>
      </c>
      <c r="G3853">
        <v>176.1</v>
      </c>
      <c r="H3853" t="s">
        <v>7</v>
      </c>
      <c r="I3853" s="22">
        <f t="shared" si="121"/>
        <v>-1.1573876549684633E-2</v>
      </c>
      <c r="J3853" s="22" t="str">
        <f t="shared" si="122"/>
        <v>lost money</v>
      </c>
    </row>
    <row r="3854" spans="1:10">
      <c r="A3854" s="1">
        <v>40917</v>
      </c>
      <c r="B3854">
        <v>182.2</v>
      </c>
      <c r="C3854">
        <v>182.27</v>
      </c>
      <c r="D3854">
        <v>180.27</v>
      </c>
      <c r="E3854">
        <v>181.59</v>
      </c>
      <c r="F3854">
        <v>5201200</v>
      </c>
      <c r="G3854">
        <v>175.18</v>
      </c>
      <c r="H3854" t="s">
        <v>7</v>
      </c>
      <c r="I3854" s="22">
        <f t="shared" si="121"/>
        <v>-5.2379987672174508E-3</v>
      </c>
      <c r="J3854" s="22" t="str">
        <f t="shared" si="122"/>
        <v>lost money</v>
      </c>
    </row>
    <row r="3855" spans="1:10">
      <c r="A3855" s="1">
        <v>40918</v>
      </c>
      <c r="B3855">
        <v>183.23</v>
      </c>
      <c r="C3855">
        <v>183.72</v>
      </c>
      <c r="D3855">
        <v>181.2</v>
      </c>
      <c r="E3855">
        <v>181.31</v>
      </c>
      <c r="F3855">
        <v>5161000</v>
      </c>
      <c r="G3855">
        <v>174.91</v>
      </c>
      <c r="H3855" t="s">
        <v>7</v>
      </c>
      <c r="I3855" s="22">
        <f t="shared" si="121"/>
        <v>-1.5424608159711503E-3</v>
      </c>
      <c r="J3855" s="22" t="str">
        <f t="shared" si="122"/>
        <v>lost money</v>
      </c>
    </row>
    <row r="3856" spans="1:10">
      <c r="A3856" s="1">
        <v>40919</v>
      </c>
      <c r="B3856">
        <v>180.73</v>
      </c>
      <c r="C3856">
        <v>182.81</v>
      </c>
      <c r="D3856">
        <v>180.5</v>
      </c>
      <c r="E3856">
        <v>182.32</v>
      </c>
      <c r="F3856">
        <v>4110800</v>
      </c>
      <c r="G3856">
        <v>175.89</v>
      </c>
      <c r="H3856" t="s">
        <v>7</v>
      </c>
      <c r="I3856" s="22">
        <f t="shared" si="121"/>
        <v>5.5872437252615596E-3</v>
      </c>
      <c r="J3856" s="22" t="str">
        <f t="shared" si="122"/>
        <v/>
      </c>
    </row>
    <row r="3857" spans="1:10">
      <c r="A3857" s="1">
        <v>40920</v>
      </c>
      <c r="B3857">
        <v>181.86</v>
      </c>
      <c r="C3857">
        <v>181.91</v>
      </c>
      <c r="D3857">
        <v>178.38</v>
      </c>
      <c r="E3857">
        <v>180.55</v>
      </c>
      <c r="F3857">
        <v>6881000</v>
      </c>
      <c r="G3857">
        <v>174.18</v>
      </c>
      <c r="H3857" t="s">
        <v>7</v>
      </c>
      <c r="I3857" s="22">
        <f t="shared" si="121"/>
        <v>-9.7695523796397406E-3</v>
      </c>
      <c r="J3857" s="22" t="str">
        <f t="shared" si="122"/>
        <v>lost money</v>
      </c>
    </row>
    <row r="3858" spans="1:10">
      <c r="A3858" s="1">
        <v>40921</v>
      </c>
      <c r="B3858">
        <v>179.48</v>
      </c>
      <c r="C3858">
        <v>179.61</v>
      </c>
      <c r="D3858">
        <v>177.35</v>
      </c>
      <c r="E3858">
        <v>179.16</v>
      </c>
      <c r="F3858">
        <v>5279200</v>
      </c>
      <c r="G3858">
        <v>172.84</v>
      </c>
      <c r="H3858" t="s">
        <v>7</v>
      </c>
      <c r="I3858" s="22">
        <f t="shared" si="121"/>
        <v>-7.7229362008611729E-3</v>
      </c>
      <c r="J3858" s="22" t="str">
        <f t="shared" si="122"/>
        <v>lost money</v>
      </c>
    </row>
    <row r="3859" spans="1:10">
      <c r="A3859" s="1">
        <v>40925</v>
      </c>
      <c r="B3859">
        <v>180.36</v>
      </c>
      <c r="C3859">
        <v>182</v>
      </c>
      <c r="D3859">
        <v>179.32</v>
      </c>
      <c r="E3859">
        <v>180</v>
      </c>
      <c r="F3859">
        <v>6003400</v>
      </c>
      <c r="G3859">
        <v>173.65</v>
      </c>
      <c r="H3859" t="s">
        <v>7</v>
      </c>
      <c r="I3859" s="22">
        <f t="shared" si="121"/>
        <v>4.675468126350708E-3</v>
      </c>
      <c r="J3859" s="22" t="str">
        <f t="shared" si="122"/>
        <v>lost money</v>
      </c>
    </row>
    <row r="3860" spans="1:10">
      <c r="A3860" s="1">
        <v>40926</v>
      </c>
      <c r="B3860">
        <v>179.83</v>
      </c>
      <c r="C3860">
        <v>181.6</v>
      </c>
      <c r="D3860">
        <v>179.5</v>
      </c>
      <c r="E3860">
        <v>181.07</v>
      </c>
      <c r="F3860">
        <v>4600600</v>
      </c>
      <c r="G3860">
        <v>174.68</v>
      </c>
      <c r="H3860" t="s">
        <v>7</v>
      </c>
      <c r="I3860" s="22">
        <f t="shared" si="121"/>
        <v>5.9139494272771693E-3</v>
      </c>
      <c r="J3860" s="22" t="str">
        <f t="shared" si="122"/>
        <v/>
      </c>
    </row>
    <row r="3861" spans="1:10">
      <c r="A3861" s="1">
        <v>40927</v>
      </c>
      <c r="B3861">
        <v>181.79</v>
      </c>
      <c r="C3861">
        <v>182.36</v>
      </c>
      <c r="D3861">
        <v>180.35</v>
      </c>
      <c r="E3861">
        <v>180.52</v>
      </c>
      <c r="F3861">
        <v>8567200</v>
      </c>
      <c r="G3861">
        <v>174.15</v>
      </c>
      <c r="H3861" t="s">
        <v>7</v>
      </c>
      <c r="I3861" s="22">
        <f t="shared" si="121"/>
        <v>-3.038731805350072E-3</v>
      </c>
      <c r="J3861" s="22" t="str">
        <f t="shared" si="122"/>
        <v>lost money</v>
      </c>
    </row>
    <row r="3862" spans="1:10">
      <c r="A3862" s="1">
        <v>40928</v>
      </c>
      <c r="B3862">
        <v>185.77</v>
      </c>
      <c r="C3862">
        <v>188.97</v>
      </c>
      <c r="D3862">
        <v>184.75</v>
      </c>
      <c r="E3862">
        <v>188.52</v>
      </c>
      <c r="F3862">
        <v>12849700</v>
      </c>
      <c r="G3862">
        <v>181.87</v>
      </c>
      <c r="H3862" t="s">
        <v>7</v>
      </c>
      <c r="I3862" s="22">
        <f t="shared" si="121"/>
        <v>4.3375149326916301E-2</v>
      </c>
      <c r="J3862" s="22" t="str">
        <f t="shared" si="122"/>
        <v/>
      </c>
    </row>
    <row r="3863" spans="1:10">
      <c r="A3863" s="1">
        <v>40931</v>
      </c>
      <c r="B3863">
        <v>187.91</v>
      </c>
      <c r="C3863">
        <v>190.52</v>
      </c>
      <c r="D3863">
        <v>187.67</v>
      </c>
      <c r="E3863">
        <v>189.98</v>
      </c>
      <c r="F3863">
        <v>5751700</v>
      </c>
      <c r="G3863">
        <v>183.28</v>
      </c>
      <c r="H3863" t="s">
        <v>7</v>
      </c>
      <c r="I3863" s="22">
        <f t="shared" si="121"/>
        <v>7.7228920063134605E-3</v>
      </c>
      <c r="J3863" s="22" t="str">
        <f t="shared" si="122"/>
        <v/>
      </c>
    </row>
    <row r="3864" spans="1:10">
      <c r="A3864" s="1">
        <v>40932</v>
      </c>
      <c r="B3864">
        <v>188.63</v>
      </c>
      <c r="C3864">
        <v>192.3</v>
      </c>
      <c r="D3864">
        <v>188.52</v>
      </c>
      <c r="E3864">
        <v>191.93</v>
      </c>
      <c r="F3864">
        <v>5345700</v>
      </c>
      <c r="G3864">
        <v>185.16</v>
      </c>
      <c r="H3864" t="s">
        <v>7</v>
      </c>
      <c r="I3864" s="22">
        <f t="shared" si="121"/>
        <v>1.020527801782958E-2</v>
      </c>
      <c r="J3864" s="22" t="str">
        <f t="shared" si="122"/>
        <v/>
      </c>
    </row>
    <row r="3865" spans="1:10">
      <c r="A3865" s="1">
        <v>40933</v>
      </c>
      <c r="B3865">
        <v>191.33</v>
      </c>
      <c r="C3865">
        <v>192.24</v>
      </c>
      <c r="D3865">
        <v>189.61</v>
      </c>
      <c r="E3865">
        <v>191.73</v>
      </c>
      <c r="F3865">
        <v>4359700</v>
      </c>
      <c r="G3865">
        <v>184.97</v>
      </c>
      <c r="H3865" t="s">
        <v>7</v>
      </c>
      <c r="I3865" s="22">
        <f t="shared" si="121"/>
        <v>-1.0266663966121078E-3</v>
      </c>
      <c r="J3865" s="22" t="str">
        <f t="shared" si="122"/>
        <v/>
      </c>
    </row>
    <row r="3866" spans="1:10">
      <c r="A3866" s="1">
        <v>40934</v>
      </c>
      <c r="B3866">
        <v>191.79</v>
      </c>
      <c r="C3866">
        <v>192.79</v>
      </c>
      <c r="D3866">
        <v>190.47</v>
      </c>
      <c r="E3866">
        <v>190.98</v>
      </c>
      <c r="F3866">
        <v>4004700</v>
      </c>
      <c r="G3866">
        <v>184.24</v>
      </c>
      <c r="H3866" t="s">
        <v>7</v>
      </c>
      <c r="I3866" s="22">
        <f t="shared" si="121"/>
        <v>-3.9543942540278031E-3</v>
      </c>
      <c r="J3866" s="22" t="str">
        <f t="shared" si="122"/>
        <v>lost money</v>
      </c>
    </row>
    <row r="3867" spans="1:10">
      <c r="A3867" s="1">
        <v>40935</v>
      </c>
      <c r="B3867">
        <v>190.01</v>
      </c>
      <c r="C3867">
        <v>191.77</v>
      </c>
      <c r="D3867">
        <v>189.81</v>
      </c>
      <c r="E3867">
        <v>190.46</v>
      </c>
      <c r="F3867">
        <v>3360400</v>
      </c>
      <c r="G3867">
        <v>183.74</v>
      </c>
      <c r="H3867" t="s">
        <v>7</v>
      </c>
      <c r="I3867" s="22">
        <f t="shared" si="121"/>
        <v>-2.7175406691093786E-3</v>
      </c>
      <c r="J3867" s="22" t="str">
        <f t="shared" si="122"/>
        <v/>
      </c>
    </row>
    <row r="3868" spans="1:10">
      <c r="A3868" s="1">
        <v>40938</v>
      </c>
      <c r="B3868">
        <v>189.39</v>
      </c>
      <c r="C3868">
        <v>192.73</v>
      </c>
      <c r="D3868">
        <v>188.22</v>
      </c>
      <c r="E3868">
        <v>192.5</v>
      </c>
      <c r="F3868">
        <v>4359000</v>
      </c>
      <c r="G3868">
        <v>185.71</v>
      </c>
      <c r="H3868" t="s">
        <v>7</v>
      </c>
      <c r="I3868" s="22">
        <f t="shared" si="121"/>
        <v>1.0664602361641129E-2</v>
      </c>
      <c r="J3868" s="22" t="str">
        <f t="shared" si="122"/>
        <v/>
      </c>
    </row>
    <row r="3869" spans="1:10">
      <c r="A3869" s="1">
        <v>40939</v>
      </c>
      <c r="B3869">
        <v>193.09</v>
      </c>
      <c r="C3869">
        <v>193.1</v>
      </c>
      <c r="D3869">
        <v>191</v>
      </c>
      <c r="E3869">
        <v>192.6</v>
      </c>
      <c r="F3869">
        <v>4826800</v>
      </c>
      <c r="G3869">
        <v>185.81</v>
      </c>
      <c r="H3869" t="s">
        <v>7</v>
      </c>
      <c r="I3869" s="22">
        <f t="shared" si="121"/>
        <v>5.3832903970167233E-4</v>
      </c>
      <c r="J3869" s="22" t="str">
        <f t="shared" si="122"/>
        <v>lost money</v>
      </c>
    </row>
    <row r="3870" spans="1:10">
      <c r="A3870" s="1">
        <v>40940</v>
      </c>
      <c r="B3870">
        <v>193.21</v>
      </c>
      <c r="C3870">
        <v>194.81</v>
      </c>
      <c r="D3870">
        <v>192.41</v>
      </c>
      <c r="E3870">
        <v>192.62</v>
      </c>
      <c r="F3870">
        <v>5088800</v>
      </c>
      <c r="G3870">
        <v>185.83</v>
      </c>
      <c r="H3870" t="s">
        <v>7</v>
      </c>
      <c r="I3870" s="22">
        <f t="shared" si="121"/>
        <v>1.0763104089608066E-4</v>
      </c>
      <c r="J3870" s="22" t="str">
        <f t="shared" si="122"/>
        <v>lost money</v>
      </c>
    </row>
    <row r="3871" spans="1:10">
      <c r="A3871" s="1">
        <v>40941</v>
      </c>
      <c r="B3871">
        <v>192.72</v>
      </c>
      <c r="C3871">
        <v>193.33</v>
      </c>
      <c r="D3871">
        <v>191.33</v>
      </c>
      <c r="E3871">
        <v>191.53</v>
      </c>
      <c r="F3871">
        <v>3907300</v>
      </c>
      <c r="G3871">
        <v>184.77</v>
      </c>
      <c r="H3871" t="s">
        <v>7</v>
      </c>
      <c r="I3871" s="22">
        <f t="shared" si="121"/>
        <v>-5.7204689184977963E-3</v>
      </c>
      <c r="J3871" s="22" t="str">
        <f t="shared" si="122"/>
        <v>lost money</v>
      </c>
    </row>
    <row r="3872" spans="1:10">
      <c r="A3872" s="1">
        <v>40942</v>
      </c>
      <c r="B3872">
        <v>192.93</v>
      </c>
      <c r="C3872">
        <v>194.13</v>
      </c>
      <c r="D3872">
        <v>192.54</v>
      </c>
      <c r="E3872">
        <v>193.64</v>
      </c>
      <c r="F3872">
        <v>4521700</v>
      </c>
      <c r="G3872">
        <v>186.81</v>
      </c>
      <c r="H3872" t="s">
        <v>7</v>
      </c>
      <c r="I3872" s="22">
        <f t="shared" si="121"/>
        <v>1.0980249185408594E-2</v>
      </c>
      <c r="J3872" s="22" t="str">
        <f t="shared" si="122"/>
        <v/>
      </c>
    </row>
    <row r="3873" spans="1:10">
      <c r="A3873" s="1">
        <v>40945</v>
      </c>
      <c r="B3873">
        <v>192.48</v>
      </c>
      <c r="C3873">
        <v>193.76</v>
      </c>
      <c r="D3873">
        <v>192</v>
      </c>
      <c r="E3873">
        <v>192.82</v>
      </c>
      <c r="F3873">
        <v>3639800</v>
      </c>
      <c r="G3873">
        <v>186.02</v>
      </c>
      <c r="H3873" t="s">
        <v>7</v>
      </c>
      <c r="I3873" s="22">
        <f t="shared" si="121"/>
        <v>-4.2378627381493335E-3</v>
      </c>
      <c r="J3873" s="22" t="str">
        <f t="shared" si="122"/>
        <v/>
      </c>
    </row>
    <row r="3874" spans="1:10">
      <c r="A3874" s="1">
        <v>40946</v>
      </c>
      <c r="B3874">
        <v>192.45</v>
      </c>
      <c r="C3874">
        <v>194.14</v>
      </c>
      <c r="D3874">
        <v>191.97</v>
      </c>
      <c r="E3874">
        <v>193.35</v>
      </c>
      <c r="F3874">
        <v>3433000</v>
      </c>
      <c r="G3874">
        <v>186.53</v>
      </c>
      <c r="H3874" t="s">
        <v>7</v>
      </c>
      <c r="I3874" s="22">
        <f t="shared" si="121"/>
        <v>2.7378892421503487E-3</v>
      </c>
      <c r="J3874" s="22" t="str">
        <f t="shared" si="122"/>
        <v/>
      </c>
    </row>
    <row r="3875" spans="1:10">
      <c r="A3875" s="1">
        <v>40947</v>
      </c>
      <c r="B3875">
        <v>192.78</v>
      </c>
      <c r="C3875">
        <v>193.58</v>
      </c>
      <c r="D3875">
        <v>191.73</v>
      </c>
      <c r="E3875">
        <v>192.95</v>
      </c>
      <c r="F3875">
        <v>3803800</v>
      </c>
      <c r="G3875">
        <v>186.87</v>
      </c>
      <c r="H3875" t="s">
        <v>7</v>
      </c>
      <c r="I3875" s="22">
        <f t="shared" si="121"/>
        <v>1.821103877692518E-3</v>
      </c>
      <c r="J3875" s="22" t="str">
        <f t="shared" si="122"/>
        <v/>
      </c>
    </row>
    <row r="3876" spans="1:10">
      <c r="A3876" s="1">
        <v>40948</v>
      </c>
      <c r="B3876">
        <v>193.03</v>
      </c>
      <c r="C3876">
        <v>194.46</v>
      </c>
      <c r="D3876">
        <v>192.55</v>
      </c>
      <c r="E3876">
        <v>193.13</v>
      </c>
      <c r="F3876">
        <v>3876400</v>
      </c>
      <c r="G3876">
        <v>187.04</v>
      </c>
      <c r="H3876" t="s">
        <v>7</v>
      </c>
      <c r="I3876" s="22">
        <f t="shared" si="121"/>
        <v>9.09309789594352E-4</v>
      </c>
      <c r="J3876" s="22" t="str">
        <f t="shared" si="122"/>
        <v/>
      </c>
    </row>
    <row r="3877" spans="1:10">
      <c r="A3877" s="1">
        <v>40949</v>
      </c>
      <c r="B3877">
        <v>191.76</v>
      </c>
      <c r="C3877">
        <v>192.43</v>
      </c>
      <c r="D3877">
        <v>191.28</v>
      </c>
      <c r="E3877">
        <v>192.42</v>
      </c>
      <c r="F3877">
        <v>3391100</v>
      </c>
      <c r="G3877">
        <v>186.36</v>
      </c>
      <c r="H3877" t="s">
        <v>7</v>
      </c>
      <c r="I3877" s="22">
        <f t="shared" si="121"/>
        <v>-3.6422107751621358E-3</v>
      </c>
      <c r="J3877" s="22" t="str">
        <f t="shared" si="122"/>
        <v/>
      </c>
    </row>
    <row r="3878" spans="1:10">
      <c r="A3878" s="1">
        <v>40952</v>
      </c>
      <c r="B3878">
        <v>193.31</v>
      </c>
      <c r="C3878">
        <v>193.69</v>
      </c>
      <c r="D3878">
        <v>191.74</v>
      </c>
      <c r="E3878">
        <v>192.62</v>
      </c>
      <c r="F3878">
        <v>2458800</v>
      </c>
      <c r="G3878">
        <v>186.55</v>
      </c>
      <c r="H3878" t="s">
        <v>7</v>
      </c>
      <c r="I3878" s="22">
        <f t="shared" si="121"/>
        <v>1.0190127185708206E-3</v>
      </c>
      <c r="J3878" s="22" t="str">
        <f t="shared" si="122"/>
        <v>lost money</v>
      </c>
    </row>
    <row r="3879" spans="1:10">
      <c r="A3879" s="1">
        <v>40953</v>
      </c>
      <c r="B3879">
        <v>191.76</v>
      </c>
      <c r="C3879">
        <v>192.6</v>
      </c>
      <c r="D3879">
        <v>190.83</v>
      </c>
      <c r="E3879">
        <v>192.22</v>
      </c>
      <c r="F3879">
        <v>3398100</v>
      </c>
      <c r="G3879">
        <v>186.16</v>
      </c>
      <c r="H3879" t="s">
        <v>7</v>
      </c>
      <c r="I3879" s="22">
        <f t="shared" si="121"/>
        <v>-2.0927806731306088E-3</v>
      </c>
      <c r="J3879" s="22" t="str">
        <f t="shared" si="122"/>
        <v/>
      </c>
    </row>
    <row r="3880" spans="1:10">
      <c r="A3880" s="1">
        <v>40954</v>
      </c>
      <c r="B3880">
        <v>192.31</v>
      </c>
      <c r="C3880">
        <v>193.44</v>
      </c>
      <c r="D3880">
        <v>191.26</v>
      </c>
      <c r="E3880">
        <v>192.25</v>
      </c>
      <c r="F3880">
        <v>4020900</v>
      </c>
      <c r="G3880">
        <v>186.19</v>
      </c>
      <c r="H3880" t="s">
        <v>7</v>
      </c>
      <c r="I3880" s="22">
        <f t="shared" si="121"/>
        <v>1.6113871392450866E-4</v>
      </c>
      <c r="J3880" s="22" t="str">
        <f t="shared" si="122"/>
        <v>lost money</v>
      </c>
    </row>
    <row r="3881" spans="1:10">
      <c r="A3881" s="1">
        <v>40955</v>
      </c>
      <c r="B3881">
        <v>192.61</v>
      </c>
      <c r="C3881">
        <v>193.25</v>
      </c>
      <c r="D3881">
        <v>192</v>
      </c>
      <c r="E3881">
        <v>193.02</v>
      </c>
      <c r="F3881">
        <v>3525500</v>
      </c>
      <c r="G3881">
        <v>186.94</v>
      </c>
      <c r="H3881" t="s">
        <v>7</v>
      </c>
      <c r="I3881" s="22">
        <f t="shared" si="121"/>
        <v>4.0200520464765332E-3</v>
      </c>
      <c r="J3881" s="22" t="str">
        <f t="shared" si="122"/>
        <v/>
      </c>
    </row>
    <row r="3882" spans="1:10">
      <c r="A3882" s="1">
        <v>40956</v>
      </c>
      <c r="B3882">
        <v>193.71</v>
      </c>
      <c r="C3882">
        <v>193.86</v>
      </c>
      <c r="D3882">
        <v>192.3</v>
      </c>
      <c r="E3882">
        <v>193.42</v>
      </c>
      <c r="F3882">
        <v>3746500</v>
      </c>
      <c r="G3882">
        <v>187.32</v>
      </c>
      <c r="H3882" t="s">
        <v>7</v>
      </c>
      <c r="I3882" s="22">
        <f t="shared" si="121"/>
        <v>2.030674560903627E-3</v>
      </c>
      <c r="J3882" s="22" t="str">
        <f t="shared" si="122"/>
        <v>lost money</v>
      </c>
    </row>
    <row r="3883" spans="1:10">
      <c r="A3883" s="1">
        <v>40960</v>
      </c>
      <c r="B3883">
        <v>193.73</v>
      </c>
      <c r="C3883">
        <v>194.24</v>
      </c>
      <c r="D3883">
        <v>192.46</v>
      </c>
      <c r="E3883">
        <v>193.39</v>
      </c>
      <c r="F3883">
        <v>3293600</v>
      </c>
      <c r="G3883">
        <v>187.29</v>
      </c>
      <c r="H3883" t="s">
        <v>7</v>
      </c>
      <c r="I3883" s="22">
        <f t="shared" si="121"/>
        <v>-1.6016657357857453E-4</v>
      </c>
      <c r="J3883" s="22" t="str">
        <f t="shared" si="122"/>
        <v>lost money</v>
      </c>
    </row>
    <row r="3884" spans="1:10">
      <c r="A3884" s="1">
        <v>40961</v>
      </c>
      <c r="B3884">
        <v>193.03</v>
      </c>
      <c r="C3884">
        <v>194.74</v>
      </c>
      <c r="D3884">
        <v>192.75</v>
      </c>
      <c r="E3884">
        <v>193.87</v>
      </c>
      <c r="F3884">
        <v>3275800</v>
      </c>
      <c r="G3884">
        <v>187.76</v>
      </c>
      <c r="H3884" t="s">
        <v>7</v>
      </c>
      <c r="I3884" s="22">
        <f t="shared" si="121"/>
        <v>2.5063338010055274E-3</v>
      </c>
      <c r="J3884" s="22" t="str">
        <f t="shared" si="122"/>
        <v/>
      </c>
    </row>
    <row r="3885" spans="1:10">
      <c r="A3885" s="1">
        <v>40962</v>
      </c>
      <c r="B3885">
        <v>193.87</v>
      </c>
      <c r="C3885">
        <v>199.23</v>
      </c>
      <c r="D3885">
        <v>193.28</v>
      </c>
      <c r="E3885">
        <v>197.61</v>
      </c>
      <c r="F3885">
        <v>8032700</v>
      </c>
      <c r="G3885">
        <v>191.38</v>
      </c>
      <c r="H3885" t="s">
        <v>7</v>
      </c>
      <c r="I3885" s="22">
        <f t="shared" si="121"/>
        <v>1.9096428808348734E-2</v>
      </c>
      <c r="J3885" s="22" t="str">
        <f t="shared" si="122"/>
        <v/>
      </c>
    </row>
    <row r="3886" spans="1:10">
      <c r="A3886" s="1">
        <v>40963</v>
      </c>
      <c r="B3886">
        <v>198.38</v>
      </c>
      <c r="C3886">
        <v>198.56</v>
      </c>
      <c r="D3886">
        <v>196.61</v>
      </c>
      <c r="E3886">
        <v>197.76</v>
      </c>
      <c r="F3886">
        <v>3353200</v>
      </c>
      <c r="G3886">
        <v>191.53</v>
      </c>
      <c r="H3886" t="s">
        <v>7</v>
      </c>
      <c r="I3886" s="22">
        <f t="shared" si="121"/>
        <v>7.834739634529354E-4</v>
      </c>
      <c r="J3886" s="22" t="str">
        <f t="shared" si="122"/>
        <v>lost money</v>
      </c>
    </row>
    <row r="3887" spans="1:10">
      <c r="A3887" s="1">
        <v>40966</v>
      </c>
      <c r="B3887">
        <v>196.78</v>
      </c>
      <c r="C3887">
        <v>198.71</v>
      </c>
      <c r="D3887">
        <v>196.1</v>
      </c>
      <c r="E3887">
        <v>197.53</v>
      </c>
      <c r="F3887">
        <v>3758400</v>
      </c>
      <c r="G3887">
        <v>191.3</v>
      </c>
      <c r="H3887" t="s">
        <v>7</v>
      </c>
      <c r="I3887" s="22">
        <f t="shared" si="121"/>
        <v>-1.2015778683625127E-3</v>
      </c>
      <c r="J3887" s="22" t="str">
        <f t="shared" si="122"/>
        <v/>
      </c>
    </row>
    <row r="3888" spans="1:10">
      <c r="A3888" s="1">
        <v>40967</v>
      </c>
      <c r="B3888">
        <v>197.75</v>
      </c>
      <c r="C3888">
        <v>198.96</v>
      </c>
      <c r="D3888">
        <v>197.43</v>
      </c>
      <c r="E3888">
        <v>197.98</v>
      </c>
      <c r="F3888">
        <v>3167400</v>
      </c>
      <c r="G3888">
        <v>191.74</v>
      </c>
      <c r="H3888" t="s">
        <v>7</v>
      </c>
      <c r="I3888" s="22">
        <f t="shared" si="121"/>
        <v>2.297411202643406E-3</v>
      </c>
      <c r="J3888" s="22" t="str">
        <f t="shared" si="122"/>
        <v/>
      </c>
    </row>
    <row r="3889" spans="1:10">
      <c r="A3889" s="1">
        <v>40968</v>
      </c>
      <c r="B3889">
        <v>197.86</v>
      </c>
      <c r="C3889">
        <v>199.17</v>
      </c>
      <c r="D3889">
        <v>196.45</v>
      </c>
      <c r="E3889">
        <v>196.73</v>
      </c>
      <c r="F3889">
        <v>5117100</v>
      </c>
      <c r="G3889">
        <v>190.53</v>
      </c>
      <c r="H3889" t="s">
        <v>7</v>
      </c>
      <c r="I3889" s="22">
        <f t="shared" si="121"/>
        <v>-6.3306251658574175E-3</v>
      </c>
      <c r="J3889" s="22" t="str">
        <f t="shared" si="122"/>
        <v>lost money</v>
      </c>
    </row>
    <row r="3890" spans="1:10">
      <c r="A3890" s="1">
        <v>40969</v>
      </c>
      <c r="B3890">
        <v>197.23</v>
      </c>
      <c r="C3890">
        <v>198.47</v>
      </c>
      <c r="D3890">
        <v>196.93</v>
      </c>
      <c r="E3890">
        <v>197.53</v>
      </c>
      <c r="F3890">
        <v>3560300</v>
      </c>
      <c r="G3890">
        <v>191.3</v>
      </c>
      <c r="H3890" t="s">
        <v>7</v>
      </c>
      <c r="I3890" s="22">
        <f t="shared" si="121"/>
        <v>4.0332139632140909E-3</v>
      </c>
      <c r="J3890" s="22" t="str">
        <f t="shared" si="122"/>
        <v/>
      </c>
    </row>
    <row r="3891" spans="1:10">
      <c r="A3891" s="1">
        <v>40970</v>
      </c>
      <c r="B3891">
        <v>197.1</v>
      </c>
      <c r="C3891">
        <v>198.89</v>
      </c>
      <c r="D3891">
        <v>197.06</v>
      </c>
      <c r="E3891">
        <v>198.81</v>
      </c>
      <c r="F3891">
        <v>3727400</v>
      </c>
      <c r="G3891">
        <v>192.54</v>
      </c>
      <c r="H3891" t="s">
        <v>7</v>
      </c>
      <c r="I3891" s="22">
        <f t="shared" si="121"/>
        <v>6.4610479036132894E-3</v>
      </c>
      <c r="J3891" s="22" t="str">
        <f t="shared" si="122"/>
        <v/>
      </c>
    </row>
    <row r="3892" spans="1:10">
      <c r="A3892" s="1">
        <v>40973</v>
      </c>
      <c r="B3892">
        <v>198.36</v>
      </c>
      <c r="C3892">
        <v>201.19</v>
      </c>
      <c r="D3892">
        <v>198.3</v>
      </c>
      <c r="E3892">
        <v>200.66</v>
      </c>
      <c r="F3892">
        <v>6938000</v>
      </c>
      <c r="G3892">
        <v>194.34</v>
      </c>
      <c r="H3892" t="s">
        <v>7</v>
      </c>
      <c r="I3892" s="22">
        <f t="shared" si="121"/>
        <v>9.3052780614725199E-3</v>
      </c>
      <c r="J3892" s="22" t="str">
        <f t="shared" si="122"/>
        <v/>
      </c>
    </row>
    <row r="3893" spans="1:10">
      <c r="A3893" s="1">
        <v>40974</v>
      </c>
      <c r="B3893">
        <v>199.14</v>
      </c>
      <c r="C3893">
        <v>199.64</v>
      </c>
      <c r="D3893">
        <v>196.81</v>
      </c>
      <c r="E3893">
        <v>197.26</v>
      </c>
      <c r="F3893">
        <v>5214700</v>
      </c>
      <c r="G3893">
        <v>191.04</v>
      </c>
      <c r="H3893" t="s">
        <v>7</v>
      </c>
      <c r="I3893" s="22">
        <f t="shared" si="121"/>
        <v>-1.7126372207055669E-2</v>
      </c>
      <c r="J3893" s="22" t="str">
        <f t="shared" si="122"/>
        <v>lost money</v>
      </c>
    </row>
    <row r="3894" spans="1:10">
      <c r="A3894" s="1">
        <v>40975</v>
      </c>
      <c r="B3894">
        <v>198.09</v>
      </c>
      <c r="C3894">
        <v>198.57</v>
      </c>
      <c r="D3894">
        <v>197.31</v>
      </c>
      <c r="E3894">
        <v>197.77</v>
      </c>
      <c r="F3894">
        <v>3346900</v>
      </c>
      <c r="G3894">
        <v>191.54</v>
      </c>
      <c r="H3894" t="s">
        <v>7</v>
      </c>
      <c r="I3894" s="22">
        <f t="shared" si="121"/>
        <v>2.6138338892360093E-3</v>
      </c>
      <c r="J3894" s="22" t="str">
        <f t="shared" si="122"/>
        <v>lost money</v>
      </c>
    </row>
    <row r="3895" spans="1:10">
      <c r="A3895" s="1">
        <v>40976</v>
      </c>
      <c r="B3895">
        <v>199.24</v>
      </c>
      <c r="C3895">
        <v>199.99</v>
      </c>
      <c r="D3895">
        <v>198.65</v>
      </c>
      <c r="E3895">
        <v>199.81</v>
      </c>
      <c r="F3895">
        <v>3145800</v>
      </c>
      <c r="G3895">
        <v>193.51</v>
      </c>
      <c r="H3895" t="s">
        <v>7</v>
      </c>
      <c r="I3895" s="22">
        <f t="shared" si="121"/>
        <v>1.0232526627582797E-2</v>
      </c>
      <c r="J3895" s="22" t="str">
        <f t="shared" si="122"/>
        <v/>
      </c>
    </row>
    <row r="3896" spans="1:10">
      <c r="A3896" s="1">
        <v>40977</v>
      </c>
      <c r="B3896">
        <v>199.98</v>
      </c>
      <c r="C3896">
        <v>201.1</v>
      </c>
      <c r="D3896">
        <v>199.72</v>
      </c>
      <c r="E3896">
        <v>200.62</v>
      </c>
      <c r="F3896">
        <v>3178200</v>
      </c>
      <c r="G3896">
        <v>194.3</v>
      </c>
      <c r="H3896" t="s">
        <v>7</v>
      </c>
      <c r="I3896" s="22">
        <f t="shared" si="121"/>
        <v>4.0741656623385749E-3</v>
      </c>
      <c r="J3896" s="22" t="str">
        <f t="shared" si="122"/>
        <v/>
      </c>
    </row>
    <row r="3897" spans="1:10">
      <c r="A3897" s="1">
        <v>40980</v>
      </c>
      <c r="B3897">
        <v>200.93</v>
      </c>
      <c r="C3897">
        <v>201.57</v>
      </c>
      <c r="D3897">
        <v>200.23</v>
      </c>
      <c r="E3897">
        <v>201</v>
      </c>
      <c r="F3897">
        <v>3119700</v>
      </c>
      <c r="G3897">
        <v>194.66</v>
      </c>
      <c r="H3897" t="s">
        <v>7</v>
      </c>
      <c r="I3897" s="22">
        <f t="shared" si="121"/>
        <v>1.8510906149530517E-3</v>
      </c>
      <c r="J3897" s="22" t="str">
        <f t="shared" si="122"/>
        <v/>
      </c>
    </row>
    <row r="3898" spans="1:10">
      <c r="A3898" s="1">
        <v>40981</v>
      </c>
      <c r="B3898">
        <v>201.72</v>
      </c>
      <c r="C3898">
        <v>203.9</v>
      </c>
      <c r="D3898">
        <v>201.61</v>
      </c>
      <c r="E3898">
        <v>203.78</v>
      </c>
      <c r="F3898">
        <v>4866000</v>
      </c>
      <c r="G3898">
        <v>197.36</v>
      </c>
      <c r="H3898" t="s">
        <v>7</v>
      </c>
      <c r="I3898" s="22">
        <f t="shared" si="121"/>
        <v>1.37750252227538E-2</v>
      </c>
      <c r="J3898" s="22" t="str">
        <f t="shared" si="122"/>
        <v/>
      </c>
    </row>
    <row r="3899" spans="1:10">
      <c r="A3899" s="1">
        <v>40982</v>
      </c>
      <c r="B3899">
        <v>203.78</v>
      </c>
      <c r="C3899">
        <v>205.15</v>
      </c>
      <c r="D3899">
        <v>203.64</v>
      </c>
      <c r="E3899">
        <v>204.72</v>
      </c>
      <c r="F3899">
        <v>4602300</v>
      </c>
      <c r="G3899">
        <v>198.27</v>
      </c>
      <c r="H3899" t="s">
        <v>7</v>
      </c>
      <c r="I3899" s="22">
        <f t="shared" si="121"/>
        <v>4.6002659293698641E-3</v>
      </c>
      <c r="J3899" s="22" t="str">
        <f t="shared" si="122"/>
        <v/>
      </c>
    </row>
    <row r="3900" spans="1:10">
      <c r="A3900" s="1">
        <v>40983</v>
      </c>
      <c r="B3900">
        <v>204.94</v>
      </c>
      <c r="C3900">
        <v>206.18</v>
      </c>
      <c r="D3900">
        <v>204.74</v>
      </c>
      <c r="E3900">
        <v>206</v>
      </c>
      <c r="F3900">
        <v>3621100</v>
      </c>
      <c r="G3900">
        <v>199.51</v>
      </c>
      <c r="H3900" t="s">
        <v>7</v>
      </c>
      <c r="I3900" s="22">
        <f t="shared" si="121"/>
        <v>6.2346222364986536E-3</v>
      </c>
      <c r="J3900" s="22" t="str">
        <f t="shared" si="122"/>
        <v/>
      </c>
    </row>
    <row r="3901" spans="1:10">
      <c r="A3901" s="1">
        <v>40984</v>
      </c>
      <c r="B3901">
        <v>207.03</v>
      </c>
      <c r="C3901">
        <v>207.52</v>
      </c>
      <c r="D3901">
        <v>206.01</v>
      </c>
      <c r="E3901">
        <v>206.01</v>
      </c>
      <c r="F3901">
        <v>9637000</v>
      </c>
      <c r="G3901">
        <v>199.52</v>
      </c>
      <c r="H3901" t="s">
        <v>7</v>
      </c>
      <c r="I3901" s="22">
        <f t="shared" si="121"/>
        <v>5.0121544756640889E-5</v>
      </c>
      <c r="J3901" s="22" t="str">
        <f t="shared" si="122"/>
        <v>lost money</v>
      </c>
    </row>
    <row r="3902" spans="1:10">
      <c r="A3902" s="1">
        <v>40987</v>
      </c>
      <c r="B3902">
        <v>205.71</v>
      </c>
      <c r="C3902">
        <v>206.53</v>
      </c>
      <c r="D3902">
        <v>204.5</v>
      </c>
      <c r="E3902">
        <v>205.72</v>
      </c>
      <c r="F3902">
        <v>3763200</v>
      </c>
      <c r="G3902">
        <v>199.24</v>
      </c>
      <c r="H3902" t="s">
        <v>7</v>
      </c>
      <c r="I3902" s="22">
        <f t="shared" si="121"/>
        <v>-1.404353726643659E-3</v>
      </c>
      <c r="J3902" s="22" t="str">
        <f t="shared" si="122"/>
        <v/>
      </c>
    </row>
    <row r="3903" spans="1:10">
      <c r="A3903" s="1">
        <v>40988</v>
      </c>
      <c r="B3903">
        <v>204.74</v>
      </c>
      <c r="C3903">
        <v>205</v>
      </c>
      <c r="D3903">
        <v>203.7</v>
      </c>
      <c r="E3903">
        <v>204.25</v>
      </c>
      <c r="F3903">
        <v>3695100</v>
      </c>
      <c r="G3903">
        <v>197.81</v>
      </c>
      <c r="H3903" t="s">
        <v>7</v>
      </c>
      <c r="I3903" s="22">
        <f t="shared" si="121"/>
        <v>-7.2031541770981112E-3</v>
      </c>
      <c r="J3903" s="22" t="str">
        <f t="shared" si="122"/>
        <v>lost money</v>
      </c>
    </row>
    <row r="3904" spans="1:10">
      <c r="A3904" s="1">
        <v>40989</v>
      </c>
      <c r="B3904">
        <v>204.32</v>
      </c>
      <c r="C3904">
        <v>205.77</v>
      </c>
      <c r="D3904">
        <v>204.3</v>
      </c>
      <c r="E3904">
        <v>204.69</v>
      </c>
      <c r="F3904">
        <v>3329900</v>
      </c>
      <c r="G3904">
        <v>198.24</v>
      </c>
      <c r="H3904" t="s">
        <v>7</v>
      </c>
      <c r="I3904" s="22">
        <f t="shared" si="121"/>
        <v>2.1714438528478938E-3</v>
      </c>
      <c r="J3904" s="22" t="str">
        <f t="shared" si="122"/>
        <v/>
      </c>
    </row>
    <row r="3905" spans="1:10">
      <c r="A3905" s="1">
        <v>40990</v>
      </c>
      <c r="B3905">
        <v>204</v>
      </c>
      <c r="C3905">
        <v>205.99</v>
      </c>
      <c r="D3905">
        <v>203.96</v>
      </c>
      <c r="E3905">
        <v>205.49</v>
      </c>
      <c r="F3905">
        <v>3307800</v>
      </c>
      <c r="G3905">
        <v>199.01</v>
      </c>
      <c r="H3905" t="s">
        <v>7</v>
      </c>
      <c r="I3905" s="22">
        <f t="shared" si="121"/>
        <v>3.8766568373893744E-3</v>
      </c>
      <c r="J3905" s="22" t="str">
        <f t="shared" si="122"/>
        <v/>
      </c>
    </row>
    <row r="3906" spans="1:10">
      <c r="A3906" s="1">
        <v>40991</v>
      </c>
      <c r="B3906">
        <v>205.89</v>
      </c>
      <c r="C3906">
        <v>205.96</v>
      </c>
      <c r="D3906">
        <v>204.56</v>
      </c>
      <c r="E3906">
        <v>205.48</v>
      </c>
      <c r="F3906">
        <v>3036200</v>
      </c>
      <c r="G3906">
        <v>199</v>
      </c>
      <c r="H3906" t="s">
        <v>7</v>
      </c>
      <c r="I3906" s="22">
        <f t="shared" si="121"/>
        <v>-5.0249993729292124E-5</v>
      </c>
      <c r="J3906" s="22" t="str">
        <f t="shared" si="122"/>
        <v>lost money</v>
      </c>
    </row>
    <row r="3907" spans="1:10">
      <c r="A3907" s="1">
        <v>40994</v>
      </c>
      <c r="B3907">
        <v>206.45</v>
      </c>
      <c r="C3907">
        <v>207.92</v>
      </c>
      <c r="D3907">
        <v>206.32</v>
      </c>
      <c r="E3907">
        <v>207.77</v>
      </c>
      <c r="F3907">
        <v>3418200</v>
      </c>
      <c r="G3907">
        <v>201.22</v>
      </c>
      <c r="H3907" t="s">
        <v>7</v>
      </c>
      <c r="I3907" s="22">
        <f t="shared" ref="I3907:I3970" si="123">IF(A3907=$A$2,"",LN(G3907/G3906))</f>
        <v>1.1094012139412159E-2</v>
      </c>
      <c r="J3907" s="22" t="str">
        <f t="shared" ref="J3907:J3970" si="124">IF(B3907&gt;E3907,"lost money","")</f>
        <v/>
      </c>
    </row>
    <row r="3908" spans="1:10">
      <c r="A3908" s="1">
        <v>40995</v>
      </c>
      <c r="B3908">
        <v>208.46</v>
      </c>
      <c r="C3908">
        <v>208.66</v>
      </c>
      <c r="D3908">
        <v>207</v>
      </c>
      <c r="E3908">
        <v>207.18</v>
      </c>
      <c r="F3908">
        <v>2704500</v>
      </c>
      <c r="G3908">
        <v>200.65</v>
      </c>
      <c r="H3908" t="s">
        <v>7</v>
      </c>
      <c r="I3908" s="22">
        <f t="shared" si="123"/>
        <v>-2.8367401509789051E-3</v>
      </c>
      <c r="J3908" s="22" t="str">
        <f t="shared" si="124"/>
        <v>lost money</v>
      </c>
    </row>
    <row r="3909" spans="1:10">
      <c r="A3909" s="1">
        <v>40996</v>
      </c>
      <c r="B3909">
        <v>207.44</v>
      </c>
      <c r="C3909">
        <v>208.69</v>
      </c>
      <c r="D3909">
        <v>206.27</v>
      </c>
      <c r="E3909">
        <v>207.29</v>
      </c>
      <c r="F3909">
        <v>3265700</v>
      </c>
      <c r="G3909">
        <v>200.76</v>
      </c>
      <c r="H3909" t="s">
        <v>7</v>
      </c>
      <c r="I3909" s="22">
        <f t="shared" si="123"/>
        <v>5.4806807380711306E-4</v>
      </c>
      <c r="J3909" s="22" t="str">
        <f t="shared" si="124"/>
        <v>lost money</v>
      </c>
    </row>
    <row r="3910" spans="1:10">
      <c r="A3910" s="1">
        <v>40997</v>
      </c>
      <c r="B3910">
        <v>206.09</v>
      </c>
      <c r="C3910">
        <v>208.5</v>
      </c>
      <c r="D3910">
        <v>206.02</v>
      </c>
      <c r="E3910">
        <v>208.27</v>
      </c>
      <c r="F3910">
        <v>3403700</v>
      </c>
      <c r="G3910">
        <v>201.71</v>
      </c>
      <c r="H3910" t="s">
        <v>7</v>
      </c>
      <c r="I3910" s="22">
        <f t="shared" si="123"/>
        <v>4.720857526508514E-3</v>
      </c>
      <c r="J3910" s="22" t="str">
        <f t="shared" si="124"/>
        <v/>
      </c>
    </row>
    <row r="3911" spans="1:10">
      <c r="A3911" s="1">
        <v>40998</v>
      </c>
      <c r="B3911">
        <v>208.74</v>
      </c>
      <c r="C3911">
        <v>209.12</v>
      </c>
      <c r="D3911">
        <v>208.01</v>
      </c>
      <c r="E3911">
        <v>208.65</v>
      </c>
      <c r="F3911">
        <v>3215200</v>
      </c>
      <c r="G3911">
        <v>202.07</v>
      </c>
      <c r="H3911" t="s">
        <v>7</v>
      </c>
      <c r="I3911" s="22">
        <f t="shared" si="123"/>
        <v>1.7831497121634614E-3</v>
      </c>
      <c r="J3911" s="22" t="str">
        <f t="shared" si="124"/>
        <v>lost money</v>
      </c>
    </row>
    <row r="3912" spans="1:10">
      <c r="A3912" s="1">
        <v>41001</v>
      </c>
      <c r="B3912">
        <v>208.96</v>
      </c>
      <c r="C3912">
        <v>209.69</v>
      </c>
      <c r="D3912">
        <v>208.09</v>
      </c>
      <c r="E3912">
        <v>209.47</v>
      </c>
      <c r="F3912">
        <v>3387900</v>
      </c>
      <c r="G3912">
        <v>202.87</v>
      </c>
      <c r="H3912" t="s">
        <v>7</v>
      </c>
      <c r="I3912" s="22">
        <f t="shared" si="123"/>
        <v>3.9512077878333923E-3</v>
      </c>
      <c r="J3912" s="22" t="str">
        <f t="shared" si="124"/>
        <v/>
      </c>
    </row>
    <row r="3913" spans="1:10">
      <c r="A3913" s="1">
        <v>41002</v>
      </c>
      <c r="B3913">
        <v>209.31</v>
      </c>
      <c r="C3913">
        <v>210.69</v>
      </c>
      <c r="D3913">
        <v>208.54</v>
      </c>
      <c r="E3913">
        <v>209.5</v>
      </c>
      <c r="F3913">
        <v>4091500</v>
      </c>
      <c r="G3913">
        <v>202.9</v>
      </c>
      <c r="H3913" t="s">
        <v>7</v>
      </c>
      <c r="I3913" s="22">
        <f t="shared" si="123"/>
        <v>1.4786701853103116E-4</v>
      </c>
      <c r="J3913" s="22" t="str">
        <f t="shared" si="124"/>
        <v/>
      </c>
    </row>
    <row r="3914" spans="1:10">
      <c r="A3914" s="1">
        <v>41003</v>
      </c>
      <c r="B3914">
        <v>206.22</v>
      </c>
      <c r="C3914">
        <v>206.98</v>
      </c>
      <c r="D3914">
        <v>205.19</v>
      </c>
      <c r="E3914">
        <v>206.05</v>
      </c>
      <c r="F3914">
        <v>4404000</v>
      </c>
      <c r="G3914">
        <v>199.56</v>
      </c>
      <c r="H3914" t="s">
        <v>7</v>
      </c>
      <c r="I3914" s="22">
        <f t="shared" si="123"/>
        <v>-1.6598303838932404E-2</v>
      </c>
      <c r="J3914" s="22" t="str">
        <f t="shared" si="124"/>
        <v>lost money</v>
      </c>
    </row>
    <row r="3915" spans="1:10">
      <c r="A3915" s="1">
        <v>41004</v>
      </c>
      <c r="B3915">
        <v>205.15</v>
      </c>
      <c r="C3915">
        <v>205.68</v>
      </c>
      <c r="D3915">
        <v>204.46</v>
      </c>
      <c r="E3915">
        <v>205.47</v>
      </c>
      <c r="F3915">
        <v>3809000</v>
      </c>
      <c r="G3915">
        <v>198.99</v>
      </c>
      <c r="H3915" t="s">
        <v>7</v>
      </c>
      <c r="I3915" s="22">
        <f t="shared" si="123"/>
        <v>-2.8603707872623171E-3</v>
      </c>
      <c r="J3915" s="22" t="str">
        <f t="shared" si="124"/>
        <v/>
      </c>
    </row>
    <row r="3916" spans="1:10">
      <c r="A3916" s="1">
        <v>41008</v>
      </c>
      <c r="B3916">
        <v>204.4</v>
      </c>
      <c r="C3916">
        <v>206.17</v>
      </c>
      <c r="D3916">
        <v>203.37</v>
      </c>
      <c r="E3916">
        <v>204.94</v>
      </c>
      <c r="F3916">
        <v>3326900</v>
      </c>
      <c r="G3916">
        <v>198.48</v>
      </c>
      <c r="H3916" t="s">
        <v>7</v>
      </c>
      <c r="I3916" s="22">
        <f t="shared" si="123"/>
        <v>-2.5662328220288433E-3</v>
      </c>
      <c r="J3916" s="22" t="str">
        <f t="shared" si="124"/>
        <v/>
      </c>
    </row>
    <row r="3917" spans="1:10">
      <c r="A3917" s="1">
        <v>41009</v>
      </c>
      <c r="B3917">
        <v>204.94</v>
      </c>
      <c r="C3917">
        <v>205.74</v>
      </c>
      <c r="D3917">
        <v>202.17</v>
      </c>
      <c r="E3917">
        <v>202.33</v>
      </c>
      <c r="F3917">
        <v>4132900</v>
      </c>
      <c r="G3917">
        <v>195.95</v>
      </c>
      <c r="H3917" t="s">
        <v>7</v>
      </c>
      <c r="I3917" s="22">
        <f t="shared" si="123"/>
        <v>-1.2828814737905061E-2</v>
      </c>
      <c r="J3917" s="22" t="str">
        <f t="shared" si="124"/>
        <v>lost money</v>
      </c>
    </row>
    <row r="3918" spans="1:10">
      <c r="A3918" s="1">
        <v>41010</v>
      </c>
      <c r="B3918">
        <v>203.99</v>
      </c>
      <c r="C3918">
        <v>204.32</v>
      </c>
      <c r="D3918">
        <v>202.46</v>
      </c>
      <c r="E3918">
        <v>202.58</v>
      </c>
      <c r="F3918">
        <v>3366200</v>
      </c>
      <c r="G3918">
        <v>196.19</v>
      </c>
      <c r="H3918" t="s">
        <v>7</v>
      </c>
      <c r="I3918" s="22">
        <f t="shared" si="123"/>
        <v>1.224052787097026E-3</v>
      </c>
      <c r="J3918" s="22" t="str">
        <f t="shared" si="124"/>
        <v>lost money</v>
      </c>
    </row>
    <row r="3919" spans="1:10">
      <c r="A3919" s="1">
        <v>41011</v>
      </c>
      <c r="B3919">
        <v>202.8</v>
      </c>
      <c r="C3919">
        <v>205.56</v>
      </c>
      <c r="D3919">
        <v>202.64</v>
      </c>
      <c r="E3919">
        <v>205.32</v>
      </c>
      <c r="F3919">
        <v>2929600</v>
      </c>
      <c r="G3919">
        <v>198.85</v>
      </c>
      <c r="H3919" t="s">
        <v>7</v>
      </c>
      <c r="I3919" s="22">
        <f t="shared" si="123"/>
        <v>1.3467194220962134E-2</v>
      </c>
      <c r="J3919" s="22" t="str">
        <f t="shared" si="124"/>
        <v/>
      </c>
    </row>
    <row r="3920" spans="1:10">
      <c r="A3920" s="1">
        <v>41012</v>
      </c>
      <c r="B3920">
        <v>204.32</v>
      </c>
      <c r="C3920">
        <v>204.65</v>
      </c>
      <c r="D3920">
        <v>202.8</v>
      </c>
      <c r="E3920">
        <v>202.8</v>
      </c>
      <c r="F3920">
        <v>3767000</v>
      </c>
      <c r="G3920">
        <v>196.41</v>
      </c>
      <c r="H3920" t="s">
        <v>7</v>
      </c>
      <c r="I3920" s="22">
        <f t="shared" si="123"/>
        <v>-1.2346460532589976E-2</v>
      </c>
      <c r="J3920" s="22" t="str">
        <f t="shared" si="124"/>
        <v>lost money</v>
      </c>
    </row>
    <row r="3921" spans="1:10">
      <c r="A3921" s="1">
        <v>41015</v>
      </c>
      <c r="B3921">
        <v>204.74</v>
      </c>
      <c r="C3921">
        <v>205.97</v>
      </c>
      <c r="D3921">
        <v>202.72</v>
      </c>
      <c r="E3921">
        <v>202.72</v>
      </c>
      <c r="F3921">
        <v>3826600</v>
      </c>
      <c r="G3921">
        <v>196.33</v>
      </c>
      <c r="H3921" t="s">
        <v>7</v>
      </c>
      <c r="I3921" s="22">
        <f t="shared" si="123"/>
        <v>-4.0739421045197876E-4</v>
      </c>
      <c r="J3921" s="22" t="str">
        <f t="shared" si="124"/>
        <v>lost money</v>
      </c>
    </row>
    <row r="3922" spans="1:10">
      <c r="A3922" s="1">
        <v>41016</v>
      </c>
      <c r="B3922">
        <v>204.57</v>
      </c>
      <c r="C3922">
        <v>207.64</v>
      </c>
      <c r="D3922">
        <v>204.15</v>
      </c>
      <c r="E3922">
        <v>207.45</v>
      </c>
      <c r="F3922">
        <v>6065500</v>
      </c>
      <c r="G3922">
        <v>200.91</v>
      </c>
      <c r="H3922" t="s">
        <v>7</v>
      </c>
      <c r="I3922" s="22">
        <f t="shared" si="123"/>
        <v>2.3060129679410707E-2</v>
      </c>
      <c r="J3922" s="22" t="str">
        <f t="shared" si="124"/>
        <v/>
      </c>
    </row>
    <row r="3923" spans="1:10">
      <c r="A3923" s="1">
        <v>41017</v>
      </c>
      <c r="B3923">
        <v>202.43</v>
      </c>
      <c r="C3923">
        <v>204.07</v>
      </c>
      <c r="D3923">
        <v>200</v>
      </c>
      <c r="E3923">
        <v>200.13</v>
      </c>
      <c r="F3923">
        <v>10153500</v>
      </c>
      <c r="G3923">
        <v>193.82</v>
      </c>
      <c r="H3923" t="s">
        <v>7</v>
      </c>
      <c r="I3923" s="22">
        <f t="shared" si="123"/>
        <v>-3.5927153283664595E-2</v>
      </c>
      <c r="J3923" s="22" t="str">
        <f t="shared" si="124"/>
        <v>lost money</v>
      </c>
    </row>
    <row r="3924" spans="1:10">
      <c r="A3924" s="1">
        <v>41018</v>
      </c>
      <c r="B3924">
        <v>200.03</v>
      </c>
      <c r="C3924">
        <v>201.26</v>
      </c>
      <c r="D3924">
        <v>197.52</v>
      </c>
      <c r="E3924">
        <v>199.51</v>
      </c>
      <c r="F3924">
        <v>5762900</v>
      </c>
      <c r="G3924">
        <v>193.22</v>
      </c>
      <c r="H3924" t="s">
        <v>7</v>
      </c>
      <c r="I3924" s="22">
        <f t="shared" si="123"/>
        <v>-3.1004572170404495E-3</v>
      </c>
      <c r="J3924" s="22" t="str">
        <f t="shared" si="124"/>
        <v>lost money</v>
      </c>
    </row>
    <row r="3925" spans="1:10">
      <c r="A3925" s="1">
        <v>41019</v>
      </c>
      <c r="B3925">
        <v>199.83</v>
      </c>
      <c r="C3925">
        <v>200.12</v>
      </c>
      <c r="D3925">
        <v>199.09</v>
      </c>
      <c r="E3925">
        <v>199.6</v>
      </c>
      <c r="F3925">
        <v>4758200</v>
      </c>
      <c r="G3925">
        <v>193.31</v>
      </c>
      <c r="H3925" t="s">
        <v>7</v>
      </c>
      <c r="I3925" s="22">
        <f t="shared" si="123"/>
        <v>4.6568184423699906E-4</v>
      </c>
      <c r="J3925" s="22" t="str">
        <f t="shared" si="124"/>
        <v>lost money</v>
      </c>
    </row>
    <row r="3926" spans="1:10">
      <c r="A3926" s="1">
        <v>41022</v>
      </c>
      <c r="B3926">
        <v>197.89</v>
      </c>
      <c r="C3926">
        <v>199.1</v>
      </c>
      <c r="D3926">
        <v>196.79</v>
      </c>
      <c r="E3926">
        <v>198.62</v>
      </c>
      <c r="F3926">
        <v>3618800</v>
      </c>
      <c r="G3926">
        <v>192.36</v>
      </c>
      <c r="H3926" t="s">
        <v>7</v>
      </c>
      <c r="I3926" s="22">
        <f t="shared" si="123"/>
        <v>-4.9265015241385119E-3</v>
      </c>
      <c r="J3926" s="22" t="str">
        <f t="shared" si="124"/>
        <v/>
      </c>
    </row>
    <row r="3927" spans="1:10">
      <c r="A3927" s="1">
        <v>41023</v>
      </c>
      <c r="B3927">
        <v>199.06</v>
      </c>
      <c r="C3927">
        <v>202.48</v>
      </c>
      <c r="D3927">
        <v>198.87</v>
      </c>
      <c r="E3927">
        <v>200</v>
      </c>
      <c r="F3927">
        <v>5626300</v>
      </c>
      <c r="G3927">
        <v>193.7</v>
      </c>
      <c r="H3927" t="s">
        <v>7</v>
      </c>
      <c r="I3927" s="22">
        <f t="shared" si="123"/>
        <v>6.9419540034880954E-3</v>
      </c>
      <c r="J3927" s="22" t="str">
        <f t="shared" si="124"/>
        <v/>
      </c>
    </row>
    <row r="3928" spans="1:10">
      <c r="A3928" s="1">
        <v>41024</v>
      </c>
      <c r="B3928">
        <v>202.02</v>
      </c>
      <c r="C3928">
        <v>203.69</v>
      </c>
      <c r="D3928">
        <v>201.8</v>
      </c>
      <c r="E3928">
        <v>203.57</v>
      </c>
      <c r="F3928">
        <v>4003400</v>
      </c>
      <c r="G3928">
        <v>197.15</v>
      </c>
      <c r="H3928" t="s">
        <v>7</v>
      </c>
      <c r="I3928" s="22">
        <f t="shared" si="123"/>
        <v>1.7654289910686002E-2</v>
      </c>
      <c r="J3928" s="22" t="str">
        <f t="shared" si="124"/>
        <v/>
      </c>
    </row>
    <row r="3929" spans="1:10">
      <c r="A3929" s="1">
        <v>41025</v>
      </c>
      <c r="B3929">
        <v>203.4</v>
      </c>
      <c r="C3929">
        <v>206.21</v>
      </c>
      <c r="D3929">
        <v>203.4</v>
      </c>
      <c r="E3929">
        <v>205.58</v>
      </c>
      <c r="F3929">
        <v>3302700</v>
      </c>
      <c r="G3929">
        <v>199.1</v>
      </c>
      <c r="H3929" t="s">
        <v>7</v>
      </c>
      <c r="I3929" s="22">
        <f t="shared" si="123"/>
        <v>9.8423507465144281E-3</v>
      </c>
      <c r="J3929" s="22" t="str">
        <f t="shared" si="124"/>
        <v/>
      </c>
    </row>
    <row r="3930" spans="1:10">
      <c r="A3930" s="1">
        <v>41026</v>
      </c>
      <c r="B3930">
        <v>206.47</v>
      </c>
      <c r="C3930">
        <v>208.17</v>
      </c>
      <c r="D3930">
        <v>205.91</v>
      </c>
      <c r="E3930">
        <v>206.81</v>
      </c>
      <c r="F3930">
        <v>3496900</v>
      </c>
      <c r="G3930">
        <v>200.29</v>
      </c>
      <c r="H3930" t="s">
        <v>7</v>
      </c>
      <c r="I3930" s="22">
        <f t="shared" si="123"/>
        <v>5.9591052429905913E-3</v>
      </c>
      <c r="J3930" s="22" t="str">
        <f t="shared" si="124"/>
        <v/>
      </c>
    </row>
    <row r="3931" spans="1:10">
      <c r="A3931" s="1">
        <v>41029</v>
      </c>
      <c r="B3931">
        <v>206.71</v>
      </c>
      <c r="C3931">
        <v>207.96</v>
      </c>
      <c r="D3931">
        <v>206.32</v>
      </c>
      <c r="E3931">
        <v>207.08</v>
      </c>
      <c r="F3931">
        <v>2773200</v>
      </c>
      <c r="G3931">
        <v>200.55</v>
      </c>
      <c r="H3931" t="s">
        <v>7</v>
      </c>
      <c r="I3931" s="22">
        <f t="shared" si="123"/>
        <v>1.2972759029207437E-3</v>
      </c>
      <c r="J3931" s="22" t="str">
        <f t="shared" si="124"/>
        <v/>
      </c>
    </row>
    <row r="3932" spans="1:10">
      <c r="A3932" s="1">
        <v>41030</v>
      </c>
      <c r="B3932">
        <v>207.18</v>
      </c>
      <c r="C3932">
        <v>208.93</v>
      </c>
      <c r="D3932">
        <v>206.71</v>
      </c>
      <c r="E3932">
        <v>208</v>
      </c>
      <c r="F3932">
        <v>2715900</v>
      </c>
      <c r="G3932">
        <v>201.44</v>
      </c>
      <c r="H3932" t="s">
        <v>7</v>
      </c>
      <c r="I3932" s="22">
        <f t="shared" si="123"/>
        <v>4.4279780799750612E-3</v>
      </c>
      <c r="J3932" s="22" t="str">
        <f t="shared" si="124"/>
        <v/>
      </c>
    </row>
    <row r="3933" spans="1:10">
      <c r="A3933" s="1">
        <v>41031</v>
      </c>
      <c r="B3933">
        <v>206.97</v>
      </c>
      <c r="C3933">
        <v>208.27</v>
      </c>
      <c r="D3933">
        <v>206.91</v>
      </c>
      <c r="E3933">
        <v>208.06</v>
      </c>
      <c r="F3933">
        <v>2360300</v>
      </c>
      <c r="G3933">
        <v>201.5</v>
      </c>
      <c r="H3933" t="s">
        <v>7</v>
      </c>
      <c r="I3933" s="22">
        <f t="shared" si="123"/>
        <v>2.9781109070075088E-4</v>
      </c>
      <c r="J3933" s="22" t="str">
        <f t="shared" si="124"/>
        <v/>
      </c>
    </row>
    <row r="3934" spans="1:10">
      <c r="A3934" s="1">
        <v>41032</v>
      </c>
      <c r="B3934">
        <v>208.27</v>
      </c>
      <c r="C3934">
        <v>208.92</v>
      </c>
      <c r="D3934">
        <v>206.55</v>
      </c>
      <c r="E3934">
        <v>207.24</v>
      </c>
      <c r="F3934">
        <v>2826600</v>
      </c>
      <c r="G3934">
        <v>200.71</v>
      </c>
      <c r="H3934" t="s">
        <v>7</v>
      </c>
      <c r="I3934" s="22">
        <f t="shared" si="123"/>
        <v>-3.9283012153359942E-3</v>
      </c>
      <c r="J3934" s="22" t="str">
        <f t="shared" si="124"/>
        <v>lost money</v>
      </c>
    </row>
    <row r="3935" spans="1:10">
      <c r="A3935" s="1">
        <v>41033</v>
      </c>
      <c r="B3935">
        <v>206.47</v>
      </c>
      <c r="C3935">
        <v>207.11</v>
      </c>
      <c r="D3935">
        <v>204.4</v>
      </c>
      <c r="E3935">
        <v>204.99</v>
      </c>
      <c r="F3935">
        <v>4023600</v>
      </c>
      <c r="G3935">
        <v>198.53</v>
      </c>
      <c r="H3935" t="s">
        <v>7</v>
      </c>
      <c r="I3935" s="22">
        <f t="shared" si="123"/>
        <v>-1.0920857962414187E-2</v>
      </c>
      <c r="J3935" s="22" t="str">
        <f t="shared" si="124"/>
        <v>lost money</v>
      </c>
    </row>
    <row r="3936" spans="1:10">
      <c r="A3936" s="1">
        <v>41036</v>
      </c>
      <c r="B3936">
        <v>203.96</v>
      </c>
      <c r="C3936">
        <v>204.77</v>
      </c>
      <c r="D3936">
        <v>202.9</v>
      </c>
      <c r="E3936">
        <v>203.75</v>
      </c>
      <c r="F3936">
        <v>3373400</v>
      </c>
      <c r="G3936">
        <v>197.33</v>
      </c>
      <c r="H3936" t="s">
        <v>7</v>
      </c>
      <c r="I3936" s="22">
        <f t="shared" si="123"/>
        <v>-6.0627680276529941E-3</v>
      </c>
      <c r="J3936" s="22" t="str">
        <f t="shared" si="124"/>
        <v>lost money</v>
      </c>
    </row>
    <row r="3937" spans="1:10">
      <c r="A3937" s="1">
        <v>41037</v>
      </c>
      <c r="B3937">
        <v>202.44</v>
      </c>
      <c r="C3937">
        <v>203.06</v>
      </c>
      <c r="D3937">
        <v>199.72</v>
      </c>
      <c r="E3937">
        <v>201.48</v>
      </c>
      <c r="F3937">
        <v>3881500</v>
      </c>
      <c r="G3937">
        <v>195.95</v>
      </c>
      <c r="H3937" t="s">
        <v>7</v>
      </c>
      <c r="I3937" s="22">
        <f t="shared" si="123"/>
        <v>-7.0179295356941765E-3</v>
      </c>
      <c r="J3937" s="22" t="str">
        <f t="shared" si="124"/>
        <v>lost money</v>
      </c>
    </row>
    <row r="3938" spans="1:10">
      <c r="A3938" s="1">
        <v>41038</v>
      </c>
      <c r="B3938">
        <v>199.99</v>
      </c>
      <c r="C3938">
        <v>203</v>
      </c>
      <c r="D3938">
        <v>199.06</v>
      </c>
      <c r="E3938">
        <v>201.23</v>
      </c>
      <c r="F3938">
        <v>3742500</v>
      </c>
      <c r="G3938">
        <v>195.7</v>
      </c>
      <c r="H3938" t="s">
        <v>7</v>
      </c>
      <c r="I3938" s="22">
        <f t="shared" si="123"/>
        <v>-1.2766502436099643E-3</v>
      </c>
      <c r="J3938" s="22" t="str">
        <f t="shared" si="124"/>
        <v/>
      </c>
    </row>
    <row r="3939" spans="1:10">
      <c r="A3939" s="1">
        <v>41039</v>
      </c>
      <c r="B3939">
        <v>201</v>
      </c>
      <c r="C3939">
        <v>203.25</v>
      </c>
      <c r="D3939">
        <v>200.02</v>
      </c>
      <c r="E3939">
        <v>200.6</v>
      </c>
      <c r="F3939">
        <v>3830500</v>
      </c>
      <c r="G3939">
        <v>195.09</v>
      </c>
      <c r="H3939" t="s">
        <v>7</v>
      </c>
      <c r="I3939" s="22">
        <f t="shared" si="123"/>
        <v>-3.1218838528603199E-3</v>
      </c>
      <c r="J3939" s="22" t="str">
        <f t="shared" si="124"/>
        <v>lost money</v>
      </c>
    </row>
    <row r="3940" spans="1:10">
      <c r="A3940" s="1">
        <v>41040</v>
      </c>
      <c r="B3940">
        <v>199.96</v>
      </c>
      <c r="C3940">
        <v>202.12</v>
      </c>
      <c r="D3940">
        <v>199.95</v>
      </c>
      <c r="E3940">
        <v>201.17</v>
      </c>
      <c r="F3940">
        <v>2391500</v>
      </c>
      <c r="G3940">
        <v>195.65</v>
      </c>
      <c r="H3940" t="s">
        <v>7</v>
      </c>
      <c r="I3940" s="22">
        <f t="shared" si="123"/>
        <v>2.8663581072514151E-3</v>
      </c>
      <c r="J3940" s="22" t="str">
        <f t="shared" si="124"/>
        <v/>
      </c>
    </row>
    <row r="3941" spans="1:10">
      <c r="A3941" s="1">
        <v>41043</v>
      </c>
      <c r="B3941">
        <v>199.92</v>
      </c>
      <c r="C3941">
        <v>200.71</v>
      </c>
      <c r="D3941">
        <v>198.56</v>
      </c>
      <c r="E3941">
        <v>199.44</v>
      </c>
      <c r="F3941">
        <v>3029200</v>
      </c>
      <c r="G3941">
        <v>193.96</v>
      </c>
      <c r="H3941" t="s">
        <v>7</v>
      </c>
      <c r="I3941" s="22">
        <f t="shared" si="123"/>
        <v>-8.6753964192699332E-3</v>
      </c>
      <c r="J3941" s="22" t="str">
        <f t="shared" si="124"/>
        <v>lost money</v>
      </c>
    </row>
    <row r="3942" spans="1:10">
      <c r="A3942" s="1">
        <v>41044</v>
      </c>
      <c r="B3942">
        <v>199.44</v>
      </c>
      <c r="C3942">
        <v>201.47</v>
      </c>
      <c r="D3942">
        <v>198.76</v>
      </c>
      <c r="E3942">
        <v>199.04</v>
      </c>
      <c r="F3942">
        <v>2987400</v>
      </c>
      <c r="G3942">
        <v>193.57</v>
      </c>
      <c r="H3942" t="s">
        <v>7</v>
      </c>
      <c r="I3942" s="22">
        <f t="shared" si="123"/>
        <v>-2.0127480796972323E-3</v>
      </c>
      <c r="J3942" s="22" t="str">
        <f t="shared" si="124"/>
        <v>lost money</v>
      </c>
    </row>
    <row r="3943" spans="1:10">
      <c r="A3943" s="1">
        <v>41045</v>
      </c>
      <c r="B3943">
        <v>199.42</v>
      </c>
      <c r="C3943">
        <v>201.35</v>
      </c>
      <c r="D3943">
        <v>198.18</v>
      </c>
      <c r="E3943">
        <v>199.73</v>
      </c>
      <c r="F3943">
        <v>5001000</v>
      </c>
      <c r="G3943">
        <v>194.24</v>
      </c>
      <c r="H3943" t="s">
        <v>7</v>
      </c>
      <c r="I3943" s="22">
        <f t="shared" si="123"/>
        <v>3.4553037136792319E-3</v>
      </c>
      <c r="J3943" s="22" t="str">
        <f t="shared" si="124"/>
        <v/>
      </c>
    </row>
    <row r="3944" spans="1:10">
      <c r="A3944" s="1">
        <v>41046</v>
      </c>
      <c r="B3944">
        <v>199.67</v>
      </c>
      <c r="C3944">
        <v>200.79</v>
      </c>
      <c r="D3944">
        <v>197.64</v>
      </c>
      <c r="E3944">
        <v>197.89</v>
      </c>
      <c r="F3944">
        <v>5626300</v>
      </c>
      <c r="G3944">
        <v>192.46</v>
      </c>
      <c r="H3944" t="s">
        <v>7</v>
      </c>
      <c r="I3944" s="22">
        <f t="shared" si="123"/>
        <v>-9.2061679428786635E-3</v>
      </c>
      <c r="J3944" s="22" t="str">
        <f t="shared" si="124"/>
        <v>lost money</v>
      </c>
    </row>
    <row r="3945" spans="1:10">
      <c r="A3945" s="1">
        <v>41047</v>
      </c>
      <c r="B3945">
        <v>198.78</v>
      </c>
      <c r="C3945">
        <v>198.78</v>
      </c>
      <c r="D3945">
        <v>195.16</v>
      </c>
      <c r="E3945">
        <v>195.88</v>
      </c>
      <c r="F3945">
        <v>5737100</v>
      </c>
      <c r="G3945">
        <v>190.5</v>
      </c>
      <c r="H3945" t="s">
        <v>7</v>
      </c>
      <c r="I3945" s="22">
        <f t="shared" si="123"/>
        <v>-1.0236145361499171E-2</v>
      </c>
      <c r="J3945" s="22" t="str">
        <f t="shared" si="124"/>
        <v>lost money</v>
      </c>
    </row>
    <row r="3946" spans="1:10">
      <c r="A3946" s="1">
        <v>41050</v>
      </c>
      <c r="B3946">
        <v>195.98</v>
      </c>
      <c r="C3946">
        <v>197.93</v>
      </c>
      <c r="D3946">
        <v>194.63</v>
      </c>
      <c r="E3946">
        <v>197.76</v>
      </c>
      <c r="F3946">
        <v>3831700</v>
      </c>
      <c r="G3946">
        <v>192.33</v>
      </c>
      <c r="H3946" t="s">
        <v>7</v>
      </c>
      <c r="I3946" s="22">
        <f t="shared" si="123"/>
        <v>9.5604521005200338E-3</v>
      </c>
      <c r="J3946" s="22" t="str">
        <f t="shared" si="124"/>
        <v/>
      </c>
    </row>
    <row r="3947" spans="1:10">
      <c r="A3947" s="1">
        <v>41051</v>
      </c>
      <c r="B3947">
        <v>198.04</v>
      </c>
      <c r="C3947">
        <v>198.26</v>
      </c>
      <c r="D3947">
        <v>196.06</v>
      </c>
      <c r="E3947">
        <v>196.82</v>
      </c>
      <c r="F3947">
        <v>3567100</v>
      </c>
      <c r="G3947">
        <v>191.41</v>
      </c>
      <c r="H3947" t="s">
        <v>7</v>
      </c>
      <c r="I3947" s="22">
        <f t="shared" si="123"/>
        <v>-4.7949224092573468E-3</v>
      </c>
      <c r="J3947" s="22" t="str">
        <f t="shared" si="124"/>
        <v>lost money</v>
      </c>
    </row>
    <row r="3948" spans="1:10">
      <c r="A3948" s="1">
        <v>41052</v>
      </c>
      <c r="B3948">
        <v>195.53</v>
      </c>
      <c r="C3948">
        <v>196.49</v>
      </c>
      <c r="D3948">
        <v>193.2</v>
      </c>
      <c r="E3948">
        <v>196.12</v>
      </c>
      <c r="F3948">
        <v>4100000</v>
      </c>
      <c r="G3948">
        <v>190.73</v>
      </c>
      <c r="H3948" t="s">
        <v>7</v>
      </c>
      <c r="I3948" s="22">
        <f t="shared" si="123"/>
        <v>-3.5589088696831466E-3</v>
      </c>
      <c r="J3948" s="22" t="str">
        <f t="shared" si="124"/>
        <v/>
      </c>
    </row>
    <row r="3949" spans="1:10">
      <c r="A3949" s="1">
        <v>41053</v>
      </c>
      <c r="B3949">
        <v>195.99</v>
      </c>
      <c r="C3949">
        <v>196.28</v>
      </c>
      <c r="D3949">
        <v>194</v>
      </c>
      <c r="E3949">
        <v>196.09</v>
      </c>
      <c r="F3949">
        <v>3569300</v>
      </c>
      <c r="G3949">
        <v>190.7</v>
      </c>
      <c r="H3949" t="s">
        <v>7</v>
      </c>
      <c r="I3949" s="22">
        <f t="shared" si="123"/>
        <v>-1.5730278196194361E-4</v>
      </c>
      <c r="J3949" s="22" t="str">
        <f t="shared" si="124"/>
        <v/>
      </c>
    </row>
    <row r="3950" spans="1:10">
      <c r="A3950" s="1">
        <v>41054</v>
      </c>
      <c r="B3950">
        <v>195.11</v>
      </c>
      <c r="C3950">
        <v>196</v>
      </c>
      <c r="D3950">
        <v>194</v>
      </c>
      <c r="E3950">
        <v>194.3</v>
      </c>
      <c r="F3950">
        <v>2901900</v>
      </c>
      <c r="G3950">
        <v>188.96</v>
      </c>
      <c r="H3950" t="s">
        <v>7</v>
      </c>
      <c r="I3950" s="22">
        <f t="shared" si="123"/>
        <v>-9.1661601573211279E-3</v>
      </c>
      <c r="J3950" s="22" t="str">
        <f t="shared" si="124"/>
        <v>lost money</v>
      </c>
    </row>
    <row r="3951" spans="1:10">
      <c r="A3951" s="1">
        <v>41058</v>
      </c>
      <c r="B3951">
        <v>195.22</v>
      </c>
      <c r="C3951">
        <v>198.08</v>
      </c>
      <c r="D3951">
        <v>195.22</v>
      </c>
      <c r="E3951">
        <v>196.46</v>
      </c>
      <c r="F3951">
        <v>3618500</v>
      </c>
      <c r="G3951">
        <v>191.06</v>
      </c>
      <c r="H3951" t="s">
        <v>7</v>
      </c>
      <c r="I3951" s="22">
        <f t="shared" si="123"/>
        <v>1.1052162392810072E-2</v>
      </c>
      <c r="J3951" s="22" t="str">
        <f t="shared" si="124"/>
        <v/>
      </c>
    </row>
    <row r="3952" spans="1:10">
      <c r="A3952" s="1">
        <v>41059</v>
      </c>
      <c r="B3952">
        <v>194.8</v>
      </c>
      <c r="C3952">
        <v>195.47</v>
      </c>
      <c r="D3952">
        <v>193.77</v>
      </c>
      <c r="E3952">
        <v>194.53</v>
      </c>
      <c r="F3952">
        <v>3602500</v>
      </c>
      <c r="G3952">
        <v>189.19</v>
      </c>
      <c r="H3952" t="s">
        <v>7</v>
      </c>
      <c r="I3952" s="22">
        <f t="shared" si="123"/>
        <v>-9.8357137435343394E-3</v>
      </c>
      <c r="J3952" s="22" t="str">
        <f t="shared" si="124"/>
        <v>lost money</v>
      </c>
    </row>
    <row r="3953" spans="1:10">
      <c r="A3953" s="1">
        <v>41060</v>
      </c>
      <c r="B3953">
        <v>194.1</v>
      </c>
      <c r="C3953">
        <v>194.93</v>
      </c>
      <c r="D3953">
        <v>192</v>
      </c>
      <c r="E3953">
        <v>192.9</v>
      </c>
      <c r="F3953">
        <v>9287500</v>
      </c>
      <c r="G3953">
        <v>187.6</v>
      </c>
      <c r="H3953" t="s">
        <v>7</v>
      </c>
      <c r="I3953" s="22">
        <f t="shared" si="123"/>
        <v>-8.439764526203734E-3</v>
      </c>
      <c r="J3953" s="22" t="str">
        <f t="shared" si="124"/>
        <v>lost money</v>
      </c>
    </row>
    <row r="3954" spans="1:10">
      <c r="A3954" s="1">
        <v>41061</v>
      </c>
      <c r="B3954">
        <v>190.12</v>
      </c>
      <c r="C3954">
        <v>191.72</v>
      </c>
      <c r="D3954">
        <v>188.6</v>
      </c>
      <c r="E3954">
        <v>189.08</v>
      </c>
      <c r="F3954">
        <v>5206400</v>
      </c>
      <c r="G3954">
        <v>183.89</v>
      </c>
      <c r="H3954" t="s">
        <v>7</v>
      </c>
      <c r="I3954" s="22">
        <f t="shared" si="123"/>
        <v>-1.9974283819362493E-2</v>
      </c>
      <c r="J3954" s="22" t="str">
        <f t="shared" si="124"/>
        <v>lost money</v>
      </c>
    </row>
    <row r="3955" spans="1:10">
      <c r="A3955" s="1">
        <v>41064</v>
      </c>
      <c r="B3955">
        <v>188.34</v>
      </c>
      <c r="C3955">
        <v>189.38</v>
      </c>
      <c r="D3955">
        <v>187</v>
      </c>
      <c r="E3955">
        <v>188.54</v>
      </c>
      <c r="F3955">
        <v>4624500</v>
      </c>
      <c r="G3955">
        <v>183.36</v>
      </c>
      <c r="H3955" t="s">
        <v>7</v>
      </c>
      <c r="I3955" s="22">
        <f t="shared" si="123"/>
        <v>-2.8863192263869578E-3</v>
      </c>
      <c r="J3955" s="22" t="str">
        <f t="shared" si="124"/>
        <v/>
      </c>
    </row>
    <row r="3956" spans="1:10">
      <c r="A3956" s="1">
        <v>41065</v>
      </c>
      <c r="B3956">
        <v>187.92</v>
      </c>
      <c r="C3956">
        <v>189.85</v>
      </c>
      <c r="D3956">
        <v>187.56</v>
      </c>
      <c r="E3956">
        <v>189.2</v>
      </c>
      <c r="F3956">
        <v>3556500</v>
      </c>
      <c r="G3956">
        <v>184</v>
      </c>
      <c r="H3956" t="s">
        <v>7</v>
      </c>
      <c r="I3956" s="22">
        <f t="shared" si="123"/>
        <v>3.4843240826108427E-3</v>
      </c>
      <c r="J3956" s="22" t="str">
        <f t="shared" si="124"/>
        <v/>
      </c>
    </row>
    <row r="3957" spans="1:10">
      <c r="A3957" s="1">
        <v>41066</v>
      </c>
      <c r="B3957">
        <v>190.78</v>
      </c>
      <c r="C3957">
        <v>194</v>
      </c>
      <c r="D3957">
        <v>190.02</v>
      </c>
      <c r="E3957">
        <v>193.99</v>
      </c>
      <c r="F3957">
        <v>3641300</v>
      </c>
      <c r="G3957">
        <v>188.66</v>
      </c>
      <c r="H3957" t="s">
        <v>7</v>
      </c>
      <c r="I3957" s="22">
        <f t="shared" si="123"/>
        <v>2.5010695612721501E-2</v>
      </c>
      <c r="J3957" s="22" t="str">
        <f t="shared" si="124"/>
        <v/>
      </c>
    </row>
    <row r="3958" spans="1:10">
      <c r="A3958" s="1">
        <v>41067</v>
      </c>
      <c r="B3958">
        <v>195.28</v>
      </c>
      <c r="C3958">
        <v>195.83</v>
      </c>
      <c r="D3958">
        <v>193.94</v>
      </c>
      <c r="E3958">
        <v>194.44</v>
      </c>
      <c r="F3958">
        <v>3701100</v>
      </c>
      <c r="G3958">
        <v>189.1</v>
      </c>
      <c r="H3958" t="s">
        <v>7</v>
      </c>
      <c r="I3958" s="22">
        <f t="shared" si="123"/>
        <v>2.329522442704712E-3</v>
      </c>
      <c r="J3958" s="22" t="str">
        <f t="shared" si="124"/>
        <v>lost money</v>
      </c>
    </row>
    <row r="3959" spans="1:10">
      <c r="A3959" s="1">
        <v>41068</v>
      </c>
      <c r="B3959">
        <v>193.71</v>
      </c>
      <c r="C3959">
        <v>195.14</v>
      </c>
      <c r="D3959">
        <v>192.7</v>
      </c>
      <c r="E3959">
        <v>195.14</v>
      </c>
      <c r="F3959">
        <v>2479200</v>
      </c>
      <c r="G3959">
        <v>189.78</v>
      </c>
      <c r="H3959" t="s">
        <v>7</v>
      </c>
      <c r="I3959" s="22">
        <f t="shared" si="123"/>
        <v>3.5895308812006611E-3</v>
      </c>
      <c r="J3959" s="22" t="str">
        <f t="shared" si="124"/>
        <v/>
      </c>
    </row>
    <row r="3960" spans="1:10">
      <c r="A3960" s="1">
        <v>41071</v>
      </c>
      <c r="B3960">
        <v>196.6</v>
      </c>
      <c r="C3960">
        <v>196.7</v>
      </c>
      <c r="D3960">
        <v>192.37</v>
      </c>
      <c r="E3960">
        <v>192.51</v>
      </c>
      <c r="F3960">
        <v>3273300</v>
      </c>
      <c r="G3960">
        <v>187.22</v>
      </c>
      <c r="H3960" t="s">
        <v>7</v>
      </c>
      <c r="I3960" s="22">
        <f t="shared" si="123"/>
        <v>-1.3581110602013835E-2</v>
      </c>
      <c r="J3960" s="22" t="str">
        <f t="shared" si="124"/>
        <v>lost money</v>
      </c>
    </row>
    <row r="3961" spans="1:10">
      <c r="A3961" s="1">
        <v>41072</v>
      </c>
      <c r="B3961">
        <v>192.14</v>
      </c>
      <c r="C3961">
        <v>194.67</v>
      </c>
      <c r="D3961">
        <v>192.14</v>
      </c>
      <c r="E3961">
        <v>194.55</v>
      </c>
      <c r="F3961">
        <v>3023700</v>
      </c>
      <c r="G3961">
        <v>189.21</v>
      </c>
      <c r="H3961" t="s">
        <v>7</v>
      </c>
      <c r="I3961" s="22">
        <f t="shared" si="123"/>
        <v>1.0573113400070926E-2</v>
      </c>
      <c r="J3961" s="22" t="str">
        <f t="shared" si="124"/>
        <v/>
      </c>
    </row>
    <row r="3962" spans="1:10">
      <c r="A3962" s="1">
        <v>41073</v>
      </c>
      <c r="B3962">
        <v>194.36</v>
      </c>
      <c r="C3962">
        <v>195.19</v>
      </c>
      <c r="D3962">
        <v>192.35</v>
      </c>
      <c r="E3962">
        <v>193.1</v>
      </c>
      <c r="F3962">
        <v>4113400</v>
      </c>
      <c r="G3962">
        <v>187.8</v>
      </c>
      <c r="H3962" t="s">
        <v>7</v>
      </c>
      <c r="I3962" s="22">
        <f t="shared" si="123"/>
        <v>-7.4799425695069362E-3</v>
      </c>
      <c r="J3962" s="22" t="str">
        <f t="shared" si="124"/>
        <v>lost money</v>
      </c>
    </row>
    <row r="3963" spans="1:10">
      <c r="A3963" s="1">
        <v>41074</v>
      </c>
      <c r="B3963">
        <v>193</v>
      </c>
      <c r="C3963">
        <v>195.83</v>
      </c>
      <c r="D3963">
        <v>192.74</v>
      </c>
      <c r="E3963">
        <v>195.1</v>
      </c>
      <c r="F3963">
        <v>3585000</v>
      </c>
      <c r="G3963">
        <v>189.74</v>
      </c>
      <c r="H3963" t="s">
        <v>7</v>
      </c>
      <c r="I3963" s="22">
        <f t="shared" si="123"/>
        <v>1.0277147190568221E-2</v>
      </c>
      <c r="J3963" s="22" t="str">
        <f t="shared" si="124"/>
        <v/>
      </c>
    </row>
    <row r="3964" spans="1:10">
      <c r="A3964" s="1">
        <v>41075</v>
      </c>
      <c r="B3964">
        <v>196.08</v>
      </c>
      <c r="C3964">
        <v>199.27</v>
      </c>
      <c r="D3964">
        <v>195.4</v>
      </c>
      <c r="E3964">
        <v>199.1</v>
      </c>
      <c r="F3964">
        <v>6389000</v>
      </c>
      <c r="G3964">
        <v>193.63</v>
      </c>
      <c r="H3964" t="s">
        <v>7</v>
      </c>
      <c r="I3964" s="22">
        <f t="shared" si="123"/>
        <v>2.0294407550576106E-2</v>
      </c>
      <c r="J3964" s="22" t="str">
        <f t="shared" si="124"/>
        <v/>
      </c>
    </row>
    <row r="3965" spans="1:10">
      <c r="A3965" s="1">
        <v>41078</v>
      </c>
      <c r="B3965">
        <v>197.57</v>
      </c>
      <c r="C3965">
        <v>199.64</v>
      </c>
      <c r="D3965">
        <v>197.17</v>
      </c>
      <c r="E3965">
        <v>198.29</v>
      </c>
      <c r="F3965">
        <v>3378900</v>
      </c>
      <c r="G3965">
        <v>192.84</v>
      </c>
      <c r="H3965" t="s">
        <v>7</v>
      </c>
      <c r="I3965" s="22">
        <f t="shared" si="123"/>
        <v>-4.0882919778852797E-3</v>
      </c>
      <c r="J3965" s="22" t="str">
        <f t="shared" si="124"/>
        <v/>
      </c>
    </row>
    <row r="3966" spans="1:10">
      <c r="A3966" s="1">
        <v>41079</v>
      </c>
      <c r="B3966">
        <v>198.83</v>
      </c>
      <c r="C3966">
        <v>199.99</v>
      </c>
      <c r="D3966">
        <v>198.8</v>
      </c>
      <c r="E3966">
        <v>198.93</v>
      </c>
      <c r="F3966">
        <v>3297600</v>
      </c>
      <c r="G3966">
        <v>193.47</v>
      </c>
      <c r="H3966" t="s">
        <v>7</v>
      </c>
      <c r="I3966" s="22">
        <f t="shared" si="123"/>
        <v>3.261632152974217E-3</v>
      </c>
      <c r="J3966" s="22" t="str">
        <f t="shared" si="124"/>
        <v/>
      </c>
    </row>
    <row r="3967" spans="1:10">
      <c r="A3967" s="1">
        <v>41080</v>
      </c>
      <c r="B3967">
        <v>198.7</v>
      </c>
      <c r="C3967">
        <v>199.74</v>
      </c>
      <c r="D3967">
        <v>197.5</v>
      </c>
      <c r="E3967">
        <v>198.78</v>
      </c>
      <c r="F3967">
        <v>3378200</v>
      </c>
      <c r="G3967">
        <v>193.32</v>
      </c>
      <c r="H3967" t="s">
        <v>7</v>
      </c>
      <c r="I3967" s="22">
        <f t="shared" si="123"/>
        <v>-7.7561471351240486E-4</v>
      </c>
      <c r="J3967" s="22" t="str">
        <f t="shared" si="124"/>
        <v/>
      </c>
    </row>
    <row r="3968" spans="1:10">
      <c r="A3968" s="1">
        <v>41081</v>
      </c>
      <c r="B3968">
        <v>199.07</v>
      </c>
      <c r="C3968">
        <v>199.45</v>
      </c>
      <c r="D3968">
        <v>193.19</v>
      </c>
      <c r="E3968">
        <v>193.39</v>
      </c>
      <c r="F3968">
        <v>4316600</v>
      </c>
      <c r="G3968">
        <v>188.08</v>
      </c>
      <c r="H3968" t="s">
        <v>7</v>
      </c>
      <c r="I3968" s="22">
        <f t="shared" si="123"/>
        <v>-2.7479442745069201E-2</v>
      </c>
      <c r="J3968" s="22" t="str">
        <f t="shared" si="124"/>
        <v>lost money</v>
      </c>
    </row>
    <row r="3969" spans="1:10">
      <c r="A3969" s="1">
        <v>41082</v>
      </c>
      <c r="B3969">
        <v>193.87</v>
      </c>
      <c r="C3969">
        <v>194.88</v>
      </c>
      <c r="D3969">
        <v>193.22</v>
      </c>
      <c r="E3969">
        <v>193.7</v>
      </c>
      <c r="F3969">
        <v>8823000</v>
      </c>
      <c r="G3969">
        <v>188.38</v>
      </c>
      <c r="H3969" t="s">
        <v>7</v>
      </c>
      <c r="I3969" s="22">
        <f t="shared" si="123"/>
        <v>1.5937951628569873E-3</v>
      </c>
      <c r="J3969" s="22" t="str">
        <f t="shared" si="124"/>
        <v>lost money</v>
      </c>
    </row>
    <row r="3970" spans="1:10">
      <c r="A3970" s="1">
        <v>41085</v>
      </c>
      <c r="B3970">
        <v>192.48</v>
      </c>
      <c r="C3970">
        <v>193.39</v>
      </c>
      <c r="D3970">
        <v>191.68</v>
      </c>
      <c r="E3970">
        <v>192.86</v>
      </c>
      <c r="F3970">
        <v>3211600</v>
      </c>
      <c r="G3970">
        <v>187.56</v>
      </c>
      <c r="H3970" t="s">
        <v>7</v>
      </c>
      <c r="I3970" s="22">
        <f t="shared" si="123"/>
        <v>-4.3624051732854717E-3</v>
      </c>
      <c r="J3970" s="22" t="str">
        <f t="shared" si="124"/>
        <v/>
      </c>
    </row>
    <row r="3971" spans="1:10">
      <c r="A3971" s="1">
        <v>41086</v>
      </c>
      <c r="B3971">
        <v>193.54</v>
      </c>
      <c r="C3971">
        <v>193.68</v>
      </c>
      <c r="D3971">
        <v>190.75</v>
      </c>
      <c r="E3971">
        <v>191.95</v>
      </c>
      <c r="F3971">
        <v>3435900</v>
      </c>
      <c r="G3971">
        <v>186.68</v>
      </c>
      <c r="H3971" t="s">
        <v>7</v>
      </c>
      <c r="I3971" s="22">
        <f t="shared" ref="I3971:I4034" si="125">IF(A3971=$A$2,"",LN(G3971/G3970))</f>
        <v>-4.7028731397706367E-3</v>
      </c>
      <c r="J3971" s="22" t="str">
        <f t="shared" ref="J3971:J4034" si="126">IF(B3971&gt;E3971,"lost money","")</f>
        <v>lost money</v>
      </c>
    </row>
    <row r="3972" spans="1:10">
      <c r="A3972" s="1">
        <v>41087</v>
      </c>
      <c r="B3972">
        <v>192.14</v>
      </c>
      <c r="C3972">
        <v>193.7</v>
      </c>
      <c r="D3972">
        <v>190.9</v>
      </c>
      <c r="E3972">
        <v>193</v>
      </c>
      <c r="F3972">
        <v>2762700</v>
      </c>
      <c r="G3972">
        <v>187.7</v>
      </c>
      <c r="H3972" t="s">
        <v>7</v>
      </c>
      <c r="I3972" s="22">
        <f t="shared" si="125"/>
        <v>5.4490225108481932E-3</v>
      </c>
      <c r="J3972" s="22" t="str">
        <f t="shared" si="126"/>
        <v/>
      </c>
    </row>
    <row r="3973" spans="1:10">
      <c r="A3973" s="1">
        <v>41088</v>
      </c>
      <c r="B3973">
        <v>191.23</v>
      </c>
      <c r="C3973">
        <v>192.08</v>
      </c>
      <c r="D3973">
        <v>188.9</v>
      </c>
      <c r="E3973">
        <v>191.4</v>
      </c>
      <c r="F3973">
        <v>3967300</v>
      </c>
      <c r="G3973">
        <v>186.14</v>
      </c>
      <c r="H3973" t="s">
        <v>7</v>
      </c>
      <c r="I3973" s="22">
        <f t="shared" si="125"/>
        <v>-8.3458648348987158E-3</v>
      </c>
      <c r="J3973" s="22" t="str">
        <f t="shared" si="126"/>
        <v/>
      </c>
    </row>
    <row r="3974" spans="1:10">
      <c r="A3974" s="1">
        <v>41089</v>
      </c>
      <c r="B3974">
        <v>194.55</v>
      </c>
      <c r="C3974">
        <v>195.81</v>
      </c>
      <c r="D3974">
        <v>192.41</v>
      </c>
      <c r="E3974">
        <v>195.58</v>
      </c>
      <c r="F3974">
        <v>5259600</v>
      </c>
      <c r="G3974">
        <v>190.21</v>
      </c>
      <c r="H3974" t="s">
        <v>7</v>
      </c>
      <c r="I3974" s="22">
        <f t="shared" si="125"/>
        <v>2.1629646207185438E-2</v>
      </c>
      <c r="J3974" s="22" t="str">
        <f t="shared" si="126"/>
        <v/>
      </c>
    </row>
    <row r="3975" spans="1:10">
      <c r="A3975" s="1">
        <v>41092</v>
      </c>
      <c r="B3975">
        <v>196.36</v>
      </c>
      <c r="C3975">
        <v>197.2</v>
      </c>
      <c r="D3975">
        <v>194.85</v>
      </c>
      <c r="E3975">
        <v>195.83</v>
      </c>
      <c r="F3975">
        <v>2827000</v>
      </c>
      <c r="G3975">
        <v>190.45</v>
      </c>
      <c r="H3975" t="s">
        <v>7</v>
      </c>
      <c r="I3975" s="22">
        <f t="shared" si="125"/>
        <v>1.2609679598633292E-3</v>
      </c>
      <c r="J3975" s="22" t="str">
        <f t="shared" si="126"/>
        <v>lost money</v>
      </c>
    </row>
    <row r="3976" spans="1:10">
      <c r="A3976" s="1">
        <v>41093</v>
      </c>
      <c r="B3976">
        <v>195.46</v>
      </c>
      <c r="C3976">
        <v>196.34</v>
      </c>
      <c r="D3976">
        <v>194.91</v>
      </c>
      <c r="E3976">
        <v>195.93</v>
      </c>
      <c r="F3976">
        <v>1450400</v>
      </c>
      <c r="G3976">
        <v>190.55</v>
      </c>
      <c r="H3976" t="s">
        <v>7</v>
      </c>
      <c r="I3976" s="22">
        <f t="shared" si="125"/>
        <v>5.2493439525628334E-4</v>
      </c>
      <c r="J3976" s="22" t="str">
        <f t="shared" si="126"/>
        <v/>
      </c>
    </row>
    <row r="3977" spans="1:10">
      <c r="A3977" s="1">
        <v>41095</v>
      </c>
      <c r="B3977">
        <v>194.88</v>
      </c>
      <c r="C3977">
        <v>196.85</v>
      </c>
      <c r="D3977">
        <v>193.63</v>
      </c>
      <c r="E3977">
        <v>195.29</v>
      </c>
      <c r="F3977">
        <v>2690200</v>
      </c>
      <c r="G3977">
        <v>189.93</v>
      </c>
      <c r="H3977" t="s">
        <v>7</v>
      </c>
      <c r="I3977" s="22">
        <f t="shared" si="125"/>
        <v>-3.2590440957244019E-3</v>
      </c>
      <c r="J3977" s="22" t="str">
        <f t="shared" si="126"/>
        <v/>
      </c>
    </row>
    <row r="3978" spans="1:10">
      <c r="A3978" s="1">
        <v>41096</v>
      </c>
      <c r="B3978">
        <v>193.92</v>
      </c>
      <c r="C3978">
        <v>193.94</v>
      </c>
      <c r="D3978">
        <v>189.74</v>
      </c>
      <c r="E3978">
        <v>191.41</v>
      </c>
      <c r="F3978">
        <v>4952900</v>
      </c>
      <c r="G3978">
        <v>186.15</v>
      </c>
      <c r="H3978" t="s">
        <v>7</v>
      </c>
      <c r="I3978" s="22">
        <f t="shared" si="125"/>
        <v>-2.010278290541892E-2</v>
      </c>
      <c r="J3978" s="22" t="str">
        <f t="shared" si="126"/>
        <v>lost money</v>
      </c>
    </row>
    <row r="3979" spans="1:10">
      <c r="A3979" s="1">
        <v>41099</v>
      </c>
      <c r="B3979">
        <v>190.76</v>
      </c>
      <c r="C3979">
        <v>191</v>
      </c>
      <c r="D3979">
        <v>188.05</v>
      </c>
      <c r="E3979">
        <v>189.67</v>
      </c>
      <c r="F3979">
        <v>3988100</v>
      </c>
      <c r="G3979">
        <v>184.46</v>
      </c>
      <c r="H3979" t="s">
        <v>7</v>
      </c>
      <c r="I3979" s="22">
        <f t="shared" si="125"/>
        <v>-9.1201625111530741E-3</v>
      </c>
      <c r="J3979" s="22" t="str">
        <f t="shared" si="126"/>
        <v>lost money</v>
      </c>
    </row>
    <row r="3980" spans="1:10">
      <c r="A3980" s="1">
        <v>41100</v>
      </c>
      <c r="B3980">
        <v>190.3</v>
      </c>
      <c r="C3980">
        <v>191.14</v>
      </c>
      <c r="D3980">
        <v>185.6</v>
      </c>
      <c r="E3980">
        <v>186.26</v>
      </c>
      <c r="F3980">
        <v>4690300</v>
      </c>
      <c r="G3980">
        <v>181.14</v>
      </c>
      <c r="H3980" t="s">
        <v>7</v>
      </c>
      <c r="I3980" s="22">
        <f t="shared" si="125"/>
        <v>-1.8162424860770549E-2</v>
      </c>
      <c r="J3980" s="22" t="str">
        <f t="shared" si="126"/>
        <v>lost money</v>
      </c>
    </row>
    <row r="3981" spans="1:10">
      <c r="A3981" s="1">
        <v>41101</v>
      </c>
      <c r="B3981">
        <v>186.22</v>
      </c>
      <c r="C3981">
        <v>187.36</v>
      </c>
      <c r="D3981">
        <v>183.51</v>
      </c>
      <c r="E3981">
        <v>185.25</v>
      </c>
      <c r="F3981">
        <v>5456100</v>
      </c>
      <c r="G3981">
        <v>180.16</v>
      </c>
      <c r="H3981" t="s">
        <v>7</v>
      </c>
      <c r="I3981" s="22">
        <f t="shared" si="125"/>
        <v>-5.4248679954768458E-3</v>
      </c>
      <c r="J3981" s="22" t="str">
        <f t="shared" si="126"/>
        <v>lost money</v>
      </c>
    </row>
    <row r="3982" spans="1:10">
      <c r="A3982" s="1">
        <v>41102</v>
      </c>
      <c r="B3982">
        <v>184.25</v>
      </c>
      <c r="C3982">
        <v>184.39</v>
      </c>
      <c r="D3982">
        <v>181.85</v>
      </c>
      <c r="E3982">
        <v>183.09</v>
      </c>
      <c r="F3982">
        <v>4931300</v>
      </c>
      <c r="G3982">
        <v>178.06</v>
      </c>
      <c r="H3982" t="s">
        <v>7</v>
      </c>
      <c r="I3982" s="22">
        <f t="shared" si="125"/>
        <v>-1.17247728058004E-2</v>
      </c>
      <c r="J3982" s="22" t="str">
        <f t="shared" si="126"/>
        <v>lost money</v>
      </c>
    </row>
    <row r="3983" spans="1:10">
      <c r="A3983" s="1">
        <v>41103</v>
      </c>
      <c r="B3983">
        <v>183.46</v>
      </c>
      <c r="C3983">
        <v>186.33</v>
      </c>
      <c r="D3983">
        <v>183.03</v>
      </c>
      <c r="E3983">
        <v>186.01</v>
      </c>
      <c r="F3983">
        <v>3933000</v>
      </c>
      <c r="G3983">
        <v>180.9</v>
      </c>
      <c r="H3983" t="s">
        <v>7</v>
      </c>
      <c r="I3983" s="22">
        <f t="shared" si="125"/>
        <v>1.5823820255724402E-2</v>
      </c>
      <c r="J3983" s="22" t="str">
        <f t="shared" si="126"/>
        <v/>
      </c>
    </row>
    <row r="3984" spans="1:10">
      <c r="A3984" s="1">
        <v>41106</v>
      </c>
      <c r="B3984">
        <v>185.58</v>
      </c>
      <c r="C3984">
        <v>186.1</v>
      </c>
      <c r="D3984">
        <v>184.58</v>
      </c>
      <c r="E3984">
        <v>184.79</v>
      </c>
      <c r="F3984">
        <v>3144400</v>
      </c>
      <c r="G3984">
        <v>179.72</v>
      </c>
      <c r="H3984" t="s">
        <v>7</v>
      </c>
      <c r="I3984" s="22">
        <f t="shared" si="125"/>
        <v>-6.5443081992903095E-3</v>
      </c>
      <c r="J3984" s="22" t="str">
        <f t="shared" si="126"/>
        <v>lost money</v>
      </c>
    </row>
    <row r="3985" spans="1:10">
      <c r="A3985" s="1">
        <v>41107</v>
      </c>
      <c r="B3985">
        <v>185.73</v>
      </c>
      <c r="C3985">
        <v>186.29</v>
      </c>
      <c r="D3985">
        <v>183.2</v>
      </c>
      <c r="E3985">
        <v>183.65</v>
      </c>
      <c r="F3985">
        <v>5158600</v>
      </c>
      <c r="G3985">
        <v>178.61</v>
      </c>
      <c r="H3985" t="s">
        <v>7</v>
      </c>
      <c r="I3985" s="22">
        <f t="shared" si="125"/>
        <v>-6.1954262855669481E-3</v>
      </c>
      <c r="J3985" s="22" t="str">
        <f t="shared" si="126"/>
        <v>lost money</v>
      </c>
    </row>
    <row r="3986" spans="1:10">
      <c r="A3986" s="1">
        <v>41108</v>
      </c>
      <c r="B3986">
        <v>184.15</v>
      </c>
      <c r="C3986">
        <v>188.59</v>
      </c>
      <c r="D3986">
        <v>183.55</v>
      </c>
      <c r="E3986">
        <v>188.25</v>
      </c>
      <c r="F3986">
        <v>8019500</v>
      </c>
      <c r="G3986">
        <v>183.08</v>
      </c>
      <c r="H3986" t="s">
        <v>7</v>
      </c>
      <c r="I3986" s="22">
        <f t="shared" si="125"/>
        <v>2.4718557869049057E-2</v>
      </c>
      <c r="J3986" s="22" t="str">
        <f t="shared" si="126"/>
        <v/>
      </c>
    </row>
    <row r="3987" spans="1:10">
      <c r="A3987" s="1">
        <v>41109</v>
      </c>
      <c r="B3987">
        <v>193.4</v>
      </c>
      <c r="C3987">
        <v>196.85</v>
      </c>
      <c r="D3987">
        <v>192.97</v>
      </c>
      <c r="E3987">
        <v>195.34</v>
      </c>
      <c r="F3987">
        <v>10395400</v>
      </c>
      <c r="G3987">
        <v>189.98</v>
      </c>
      <c r="H3987" t="s">
        <v>7</v>
      </c>
      <c r="I3987" s="22">
        <f t="shared" si="125"/>
        <v>3.6995587676594832E-2</v>
      </c>
      <c r="J3987" s="22" t="str">
        <f t="shared" si="126"/>
        <v/>
      </c>
    </row>
    <row r="3988" spans="1:10">
      <c r="A3988" s="1">
        <v>41110</v>
      </c>
      <c r="B3988">
        <v>194.09</v>
      </c>
      <c r="C3988">
        <v>194.9</v>
      </c>
      <c r="D3988">
        <v>192.17</v>
      </c>
      <c r="E3988">
        <v>192.45</v>
      </c>
      <c r="F3988">
        <v>4789700</v>
      </c>
      <c r="G3988">
        <v>187.16</v>
      </c>
      <c r="H3988" t="s">
        <v>7</v>
      </c>
      <c r="I3988" s="22">
        <f t="shared" si="125"/>
        <v>-1.4954937464020787E-2</v>
      </c>
      <c r="J3988" s="22" t="str">
        <f t="shared" si="126"/>
        <v>lost money</v>
      </c>
    </row>
    <row r="3989" spans="1:10">
      <c r="A3989" s="1">
        <v>41113</v>
      </c>
      <c r="B3989">
        <v>189.78</v>
      </c>
      <c r="C3989">
        <v>191.3</v>
      </c>
      <c r="D3989">
        <v>188.2</v>
      </c>
      <c r="E3989">
        <v>190.83</v>
      </c>
      <c r="F3989">
        <v>3904500</v>
      </c>
      <c r="G3989">
        <v>185.59</v>
      </c>
      <c r="H3989" t="s">
        <v>7</v>
      </c>
      <c r="I3989" s="22">
        <f t="shared" si="125"/>
        <v>-8.4239264078022676E-3</v>
      </c>
      <c r="J3989" s="22" t="str">
        <f t="shared" si="126"/>
        <v/>
      </c>
    </row>
    <row r="3990" spans="1:10">
      <c r="A3990" s="1">
        <v>41114</v>
      </c>
      <c r="B3990">
        <v>190.92</v>
      </c>
      <c r="C3990">
        <v>191.32</v>
      </c>
      <c r="D3990">
        <v>188.56</v>
      </c>
      <c r="E3990">
        <v>190.34</v>
      </c>
      <c r="F3990">
        <v>3597100</v>
      </c>
      <c r="G3990">
        <v>185.11</v>
      </c>
      <c r="H3990" t="s">
        <v>7</v>
      </c>
      <c r="I3990" s="22">
        <f t="shared" si="125"/>
        <v>-2.5896966186193518E-3</v>
      </c>
      <c r="J3990" s="22" t="str">
        <f t="shared" si="126"/>
        <v>lost money</v>
      </c>
    </row>
    <row r="3991" spans="1:10">
      <c r="A3991" s="1">
        <v>41115</v>
      </c>
      <c r="B3991">
        <v>190.31</v>
      </c>
      <c r="C3991">
        <v>192.77</v>
      </c>
      <c r="D3991">
        <v>189.32</v>
      </c>
      <c r="E3991">
        <v>191.08</v>
      </c>
      <c r="F3991">
        <v>3833800</v>
      </c>
      <c r="G3991">
        <v>185.83</v>
      </c>
      <c r="H3991" t="s">
        <v>7</v>
      </c>
      <c r="I3991" s="22">
        <f t="shared" si="125"/>
        <v>3.882034313965593E-3</v>
      </c>
      <c r="J3991" s="22" t="str">
        <f t="shared" si="126"/>
        <v/>
      </c>
    </row>
    <row r="3992" spans="1:10">
      <c r="A3992" s="1">
        <v>41116</v>
      </c>
      <c r="B3992">
        <v>193.49</v>
      </c>
      <c r="C3992">
        <v>194.95</v>
      </c>
      <c r="D3992">
        <v>192.57</v>
      </c>
      <c r="E3992">
        <v>193.95</v>
      </c>
      <c r="F3992">
        <v>3282900</v>
      </c>
      <c r="G3992">
        <v>188.62</v>
      </c>
      <c r="H3992" t="s">
        <v>7</v>
      </c>
      <c r="I3992" s="22">
        <f t="shared" si="125"/>
        <v>1.4902131830179367E-2</v>
      </c>
      <c r="J3992" s="22" t="str">
        <f t="shared" si="126"/>
        <v/>
      </c>
    </row>
    <row r="3993" spans="1:10">
      <c r="A3993" s="1">
        <v>41117</v>
      </c>
      <c r="B3993">
        <v>195.1</v>
      </c>
      <c r="C3993">
        <v>197.41</v>
      </c>
      <c r="D3993">
        <v>193.95</v>
      </c>
      <c r="E3993">
        <v>196.39</v>
      </c>
      <c r="F3993">
        <v>4177300</v>
      </c>
      <c r="G3993">
        <v>191</v>
      </c>
      <c r="H3993" t="s">
        <v>7</v>
      </c>
      <c r="I3993" s="22">
        <f t="shared" si="125"/>
        <v>1.2539018930891118E-2</v>
      </c>
      <c r="J3993" s="22" t="str">
        <f t="shared" si="126"/>
        <v/>
      </c>
    </row>
    <row r="3994" spans="1:10">
      <c r="A3994" s="1">
        <v>41120</v>
      </c>
      <c r="B3994">
        <v>196.32</v>
      </c>
      <c r="C3994">
        <v>197.84</v>
      </c>
      <c r="D3994">
        <v>195.92</v>
      </c>
      <c r="E3994">
        <v>196.68</v>
      </c>
      <c r="F3994">
        <v>2787000</v>
      </c>
      <c r="G3994">
        <v>191.28</v>
      </c>
      <c r="H3994" t="s">
        <v>7</v>
      </c>
      <c r="I3994" s="22">
        <f t="shared" si="125"/>
        <v>1.464895103439351E-3</v>
      </c>
      <c r="J3994" s="22" t="str">
        <f t="shared" si="126"/>
        <v/>
      </c>
    </row>
    <row r="3995" spans="1:10">
      <c r="A3995" s="1">
        <v>41121</v>
      </c>
      <c r="B3995">
        <v>196.5</v>
      </c>
      <c r="C3995">
        <v>197.58</v>
      </c>
      <c r="D3995">
        <v>195.88</v>
      </c>
      <c r="E3995">
        <v>195.98</v>
      </c>
      <c r="F3995">
        <v>3507000</v>
      </c>
      <c r="G3995">
        <v>190.6</v>
      </c>
      <c r="H3995" t="s">
        <v>7</v>
      </c>
      <c r="I3995" s="22">
        <f t="shared" si="125"/>
        <v>-3.5613319299675357E-3</v>
      </c>
      <c r="J3995" s="22" t="str">
        <f t="shared" si="126"/>
        <v>lost money</v>
      </c>
    </row>
    <row r="3996" spans="1:10">
      <c r="A3996" s="1">
        <v>41122</v>
      </c>
      <c r="B3996">
        <v>196.96</v>
      </c>
      <c r="C3996">
        <v>197.85</v>
      </c>
      <c r="D3996">
        <v>194.72</v>
      </c>
      <c r="E3996">
        <v>195.18</v>
      </c>
      <c r="F3996">
        <v>2559300</v>
      </c>
      <c r="G3996">
        <v>189.82</v>
      </c>
      <c r="H3996" t="s">
        <v>7</v>
      </c>
      <c r="I3996" s="22">
        <f t="shared" si="125"/>
        <v>-4.1007365177555526E-3</v>
      </c>
      <c r="J3996" s="22" t="str">
        <f t="shared" si="126"/>
        <v>lost money</v>
      </c>
    </row>
    <row r="3997" spans="1:10">
      <c r="A3997" s="1">
        <v>41123</v>
      </c>
      <c r="B3997">
        <v>194.16</v>
      </c>
      <c r="C3997">
        <v>196.6</v>
      </c>
      <c r="D3997">
        <v>193.02</v>
      </c>
      <c r="E3997">
        <v>194.45</v>
      </c>
      <c r="F3997">
        <v>2812600</v>
      </c>
      <c r="G3997">
        <v>189.11</v>
      </c>
      <c r="H3997" t="s">
        <v>7</v>
      </c>
      <c r="I3997" s="22">
        <f t="shared" si="125"/>
        <v>-3.7473983631644389E-3</v>
      </c>
      <c r="J3997" s="22" t="str">
        <f t="shared" si="126"/>
        <v/>
      </c>
    </row>
    <row r="3998" spans="1:10">
      <c r="A3998" s="1">
        <v>41124</v>
      </c>
      <c r="B3998">
        <v>196.48</v>
      </c>
      <c r="C3998">
        <v>198.95</v>
      </c>
      <c r="D3998">
        <v>196.16</v>
      </c>
      <c r="E3998">
        <v>198.52</v>
      </c>
      <c r="F3998">
        <v>3278100</v>
      </c>
      <c r="G3998">
        <v>193.07</v>
      </c>
      <c r="H3998" t="s">
        <v>7</v>
      </c>
      <c r="I3998" s="22">
        <f t="shared" si="125"/>
        <v>2.072396110854376E-2</v>
      </c>
      <c r="J3998" s="22" t="str">
        <f t="shared" si="126"/>
        <v/>
      </c>
    </row>
    <row r="3999" spans="1:10">
      <c r="A3999" s="1">
        <v>41127</v>
      </c>
      <c r="B3999">
        <v>198.76</v>
      </c>
      <c r="C3999">
        <v>199.94</v>
      </c>
      <c r="D3999">
        <v>198.52</v>
      </c>
      <c r="E3999">
        <v>198.76</v>
      </c>
      <c r="F3999">
        <v>2337800</v>
      </c>
      <c r="G3999">
        <v>193.3</v>
      </c>
      <c r="H3999" t="s">
        <v>7</v>
      </c>
      <c r="I3999" s="22">
        <f t="shared" si="125"/>
        <v>1.1905687665599261E-3</v>
      </c>
      <c r="J3999" s="22" t="str">
        <f t="shared" si="126"/>
        <v/>
      </c>
    </row>
    <row r="4000" spans="1:10">
      <c r="A4000" s="1">
        <v>41128</v>
      </c>
      <c r="B4000">
        <v>199.43</v>
      </c>
      <c r="C4000">
        <v>200.88</v>
      </c>
      <c r="D4000">
        <v>198.8</v>
      </c>
      <c r="E4000">
        <v>199.93</v>
      </c>
      <c r="F4000">
        <v>3209400</v>
      </c>
      <c r="G4000">
        <v>194.44</v>
      </c>
      <c r="H4000" t="s">
        <v>7</v>
      </c>
      <c r="I4000" s="22">
        <f t="shared" si="125"/>
        <v>5.8802459629694118E-3</v>
      </c>
      <c r="J4000" s="22" t="str">
        <f t="shared" si="126"/>
        <v/>
      </c>
    </row>
    <row r="4001" spans="1:10">
      <c r="A4001" s="1">
        <v>41129</v>
      </c>
      <c r="B4001">
        <v>198.27</v>
      </c>
      <c r="C4001">
        <v>199.69</v>
      </c>
      <c r="D4001">
        <v>198.16</v>
      </c>
      <c r="E4001">
        <v>199.03</v>
      </c>
      <c r="F4001">
        <v>2068300</v>
      </c>
      <c r="G4001">
        <v>194.39</v>
      </c>
      <c r="H4001" t="s">
        <v>7</v>
      </c>
      <c r="I4001" s="22">
        <f t="shared" si="125"/>
        <v>-2.5718180323332658E-4</v>
      </c>
      <c r="J4001" s="22" t="str">
        <f t="shared" si="126"/>
        <v/>
      </c>
    </row>
    <row r="4002" spans="1:10">
      <c r="A4002" s="1">
        <v>41130</v>
      </c>
      <c r="B4002">
        <v>198.62</v>
      </c>
      <c r="C4002">
        <v>199.46</v>
      </c>
      <c r="D4002">
        <v>197.89</v>
      </c>
      <c r="E4002">
        <v>198.42</v>
      </c>
      <c r="F4002">
        <v>2160100</v>
      </c>
      <c r="G4002">
        <v>193.79</v>
      </c>
      <c r="H4002" t="s">
        <v>7</v>
      </c>
      <c r="I4002" s="22">
        <f t="shared" si="125"/>
        <v>-3.0913518358633841E-3</v>
      </c>
      <c r="J4002" s="22" t="str">
        <f t="shared" si="126"/>
        <v>lost money</v>
      </c>
    </row>
    <row r="4003" spans="1:10">
      <c r="A4003" s="1">
        <v>41131</v>
      </c>
      <c r="B4003">
        <v>197.87</v>
      </c>
      <c r="C4003">
        <v>199.37</v>
      </c>
      <c r="D4003">
        <v>197.24</v>
      </c>
      <c r="E4003">
        <v>199.29</v>
      </c>
      <c r="F4003">
        <v>2600500</v>
      </c>
      <c r="G4003">
        <v>194.64</v>
      </c>
      <c r="H4003" t="s">
        <v>7</v>
      </c>
      <c r="I4003" s="22">
        <f t="shared" si="125"/>
        <v>4.3765999371090719E-3</v>
      </c>
      <c r="J4003" s="22" t="str">
        <f t="shared" si="126"/>
        <v/>
      </c>
    </row>
    <row r="4004" spans="1:10">
      <c r="A4004" s="1">
        <v>41134</v>
      </c>
      <c r="B4004">
        <v>198.88</v>
      </c>
      <c r="C4004">
        <v>199.98</v>
      </c>
      <c r="D4004">
        <v>197.79</v>
      </c>
      <c r="E4004">
        <v>199.01</v>
      </c>
      <c r="F4004">
        <v>2418300</v>
      </c>
      <c r="G4004">
        <v>194.37</v>
      </c>
      <c r="H4004" t="s">
        <v>7</v>
      </c>
      <c r="I4004" s="22">
        <f t="shared" si="125"/>
        <v>-1.3881393452915417E-3</v>
      </c>
      <c r="J4004" s="22" t="str">
        <f t="shared" si="126"/>
        <v/>
      </c>
    </row>
    <row r="4005" spans="1:10">
      <c r="A4005" s="1">
        <v>41135</v>
      </c>
      <c r="B4005">
        <v>198.88</v>
      </c>
      <c r="C4005">
        <v>199.33</v>
      </c>
      <c r="D4005">
        <v>197.72</v>
      </c>
      <c r="E4005">
        <v>198.29</v>
      </c>
      <c r="F4005">
        <v>2562300</v>
      </c>
      <c r="G4005">
        <v>193.67</v>
      </c>
      <c r="H4005" t="s">
        <v>7</v>
      </c>
      <c r="I4005" s="22">
        <f t="shared" si="125"/>
        <v>-3.6078793903351059E-3</v>
      </c>
      <c r="J4005" s="22" t="str">
        <f t="shared" si="126"/>
        <v>lost money</v>
      </c>
    </row>
    <row r="4006" spans="1:10">
      <c r="A4006" s="1">
        <v>41136</v>
      </c>
      <c r="B4006">
        <v>198.9</v>
      </c>
      <c r="C4006">
        <v>199.33</v>
      </c>
      <c r="D4006">
        <v>197.92</v>
      </c>
      <c r="E4006">
        <v>198.4</v>
      </c>
      <c r="F4006">
        <v>2111800</v>
      </c>
      <c r="G4006">
        <v>193.78</v>
      </c>
      <c r="H4006" t="s">
        <v>7</v>
      </c>
      <c r="I4006" s="22">
        <f t="shared" si="125"/>
        <v>5.678152172176145E-4</v>
      </c>
      <c r="J4006" s="22" t="str">
        <f t="shared" si="126"/>
        <v>lost money</v>
      </c>
    </row>
    <row r="4007" spans="1:10">
      <c r="A4007" s="1">
        <v>41137</v>
      </c>
      <c r="B4007">
        <v>198.77</v>
      </c>
      <c r="C4007">
        <v>201.32</v>
      </c>
      <c r="D4007">
        <v>198.12</v>
      </c>
      <c r="E4007">
        <v>200.84</v>
      </c>
      <c r="F4007">
        <v>2729500</v>
      </c>
      <c r="G4007">
        <v>196.16</v>
      </c>
      <c r="H4007" t="s">
        <v>7</v>
      </c>
      <c r="I4007" s="22">
        <f t="shared" si="125"/>
        <v>1.2207157790988448E-2</v>
      </c>
      <c r="J4007" s="22" t="str">
        <f t="shared" si="126"/>
        <v/>
      </c>
    </row>
    <row r="4008" spans="1:10">
      <c r="A4008" s="1">
        <v>41138</v>
      </c>
      <c r="B4008">
        <v>201.08</v>
      </c>
      <c r="C4008">
        <v>202</v>
      </c>
      <c r="D4008">
        <v>200.66</v>
      </c>
      <c r="E4008">
        <v>201.22</v>
      </c>
      <c r="F4008">
        <v>2551800</v>
      </c>
      <c r="G4008">
        <v>196.53</v>
      </c>
      <c r="H4008" t="s">
        <v>7</v>
      </c>
      <c r="I4008" s="22">
        <f t="shared" si="125"/>
        <v>1.8844386640480086E-3</v>
      </c>
      <c r="J4008" s="22" t="str">
        <f t="shared" si="126"/>
        <v/>
      </c>
    </row>
    <row r="4009" spans="1:10">
      <c r="A4009" s="1">
        <v>41141</v>
      </c>
      <c r="B4009">
        <v>200.69</v>
      </c>
      <c r="C4009">
        <v>201.13</v>
      </c>
      <c r="D4009">
        <v>200.03</v>
      </c>
      <c r="E4009">
        <v>200.5</v>
      </c>
      <c r="F4009">
        <v>2336000</v>
      </c>
      <c r="G4009">
        <v>195.83</v>
      </c>
      <c r="H4009" t="s">
        <v>7</v>
      </c>
      <c r="I4009" s="22">
        <f t="shared" si="125"/>
        <v>-3.5681554831495524E-3</v>
      </c>
      <c r="J4009" s="22" t="str">
        <f t="shared" si="126"/>
        <v>lost money</v>
      </c>
    </row>
    <row r="4010" spans="1:10">
      <c r="A4010" s="1">
        <v>41142</v>
      </c>
      <c r="B4010">
        <v>200.99</v>
      </c>
      <c r="C4010">
        <v>201</v>
      </c>
      <c r="D4010">
        <v>198.37</v>
      </c>
      <c r="E4010">
        <v>198.65</v>
      </c>
      <c r="F4010">
        <v>3111300</v>
      </c>
      <c r="G4010">
        <v>194.02</v>
      </c>
      <c r="H4010" t="s">
        <v>7</v>
      </c>
      <c r="I4010" s="22">
        <f t="shared" si="125"/>
        <v>-9.2856893956075621E-3</v>
      </c>
      <c r="J4010" s="22" t="str">
        <f t="shared" si="126"/>
        <v>lost money</v>
      </c>
    </row>
    <row r="4011" spans="1:10">
      <c r="A4011" s="1">
        <v>41143</v>
      </c>
      <c r="B4011">
        <v>198.64</v>
      </c>
      <c r="C4011">
        <v>198.65</v>
      </c>
      <c r="D4011">
        <v>196.9</v>
      </c>
      <c r="E4011">
        <v>197.25</v>
      </c>
      <c r="F4011">
        <v>3296100</v>
      </c>
      <c r="G4011">
        <v>192.65</v>
      </c>
      <c r="H4011" t="s">
        <v>7</v>
      </c>
      <c r="I4011" s="22">
        <f t="shared" si="125"/>
        <v>-7.0861754609708692E-3</v>
      </c>
      <c r="J4011" s="22" t="str">
        <f t="shared" si="126"/>
        <v>lost money</v>
      </c>
    </row>
    <row r="4012" spans="1:10">
      <c r="A4012" s="1">
        <v>41144</v>
      </c>
      <c r="B4012">
        <v>197.04</v>
      </c>
      <c r="C4012">
        <v>197.37</v>
      </c>
      <c r="D4012">
        <v>195.44</v>
      </c>
      <c r="E4012">
        <v>195.7</v>
      </c>
      <c r="F4012">
        <v>2757400</v>
      </c>
      <c r="G4012">
        <v>191.14</v>
      </c>
      <c r="H4012" t="s">
        <v>7</v>
      </c>
      <c r="I4012" s="22">
        <f t="shared" si="125"/>
        <v>-7.8689272341331412E-3</v>
      </c>
      <c r="J4012" s="22" t="str">
        <f t="shared" si="126"/>
        <v>lost money</v>
      </c>
    </row>
    <row r="4013" spans="1:10">
      <c r="A4013" s="1">
        <v>41145</v>
      </c>
      <c r="B4013">
        <v>194.96</v>
      </c>
      <c r="C4013">
        <v>198.11</v>
      </c>
      <c r="D4013">
        <v>194.2</v>
      </c>
      <c r="E4013">
        <v>197.77</v>
      </c>
      <c r="F4013">
        <v>2639500</v>
      </c>
      <c r="G4013">
        <v>193.16</v>
      </c>
      <c r="H4013" t="s">
        <v>7</v>
      </c>
      <c r="I4013" s="22">
        <f t="shared" si="125"/>
        <v>1.0512717167307666E-2</v>
      </c>
      <c r="J4013" s="22" t="str">
        <f t="shared" si="126"/>
        <v/>
      </c>
    </row>
    <row r="4014" spans="1:10">
      <c r="A4014" s="1">
        <v>41148</v>
      </c>
      <c r="B4014">
        <v>197.96</v>
      </c>
      <c r="C4014">
        <v>198.3</v>
      </c>
      <c r="D4014">
        <v>195.61</v>
      </c>
      <c r="E4014">
        <v>195.69</v>
      </c>
      <c r="F4014">
        <v>2498800</v>
      </c>
      <c r="G4014">
        <v>191.13</v>
      </c>
      <c r="H4014" t="s">
        <v>7</v>
      </c>
      <c r="I4014" s="22">
        <f t="shared" si="125"/>
        <v>-1.0565036208834663E-2</v>
      </c>
      <c r="J4014" s="22" t="str">
        <f t="shared" si="126"/>
        <v>lost money</v>
      </c>
    </row>
    <row r="4015" spans="1:10">
      <c r="A4015" s="1">
        <v>41149</v>
      </c>
      <c r="B4015">
        <v>195.56</v>
      </c>
      <c r="C4015">
        <v>196.11</v>
      </c>
      <c r="D4015">
        <v>194.5</v>
      </c>
      <c r="E4015">
        <v>194.87</v>
      </c>
      <c r="F4015">
        <v>2539200</v>
      </c>
      <c r="G4015">
        <v>190.33</v>
      </c>
      <c r="H4015" t="s">
        <v>7</v>
      </c>
      <c r="I4015" s="22">
        <f t="shared" si="125"/>
        <v>-4.1944170968138085E-3</v>
      </c>
      <c r="J4015" s="22" t="str">
        <f t="shared" si="126"/>
        <v>lost money</v>
      </c>
    </row>
    <row r="4016" spans="1:10">
      <c r="A4016" s="1">
        <v>41150</v>
      </c>
      <c r="B4016">
        <v>195.13</v>
      </c>
      <c r="C4016">
        <v>196.04</v>
      </c>
      <c r="D4016">
        <v>194.9</v>
      </c>
      <c r="E4016">
        <v>195.08</v>
      </c>
      <c r="F4016">
        <v>2141400</v>
      </c>
      <c r="G4016">
        <v>190.53</v>
      </c>
      <c r="H4016" t="s">
        <v>7</v>
      </c>
      <c r="I4016" s="22">
        <f t="shared" si="125"/>
        <v>1.0502547833004235E-3</v>
      </c>
      <c r="J4016" s="22" t="str">
        <f t="shared" si="126"/>
        <v>lost money</v>
      </c>
    </row>
    <row r="4017" spans="1:10">
      <c r="A4017" s="1">
        <v>41151</v>
      </c>
      <c r="B4017">
        <v>194.77</v>
      </c>
      <c r="C4017">
        <v>195.47</v>
      </c>
      <c r="D4017">
        <v>193.18</v>
      </c>
      <c r="E4017">
        <v>193.37</v>
      </c>
      <c r="F4017">
        <v>2740900</v>
      </c>
      <c r="G4017">
        <v>188.86</v>
      </c>
      <c r="H4017" t="s">
        <v>7</v>
      </c>
      <c r="I4017" s="22">
        <f t="shared" si="125"/>
        <v>-8.8036626480699747E-3</v>
      </c>
      <c r="J4017" s="22" t="str">
        <f t="shared" si="126"/>
        <v>lost money</v>
      </c>
    </row>
    <row r="4018" spans="1:10">
      <c r="A4018" s="1">
        <v>41152</v>
      </c>
      <c r="B4018">
        <v>194.31</v>
      </c>
      <c r="C4018">
        <v>195.95</v>
      </c>
      <c r="D4018">
        <v>193.46</v>
      </c>
      <c r="E4018">
        <v>194.85</v>
      </c>
      <c r="F4018">
        <v>3193300</v>
      </c>
      <c r="G4018">
        <v>190.31</v>
      </c>
      <c r="H4018" t="s">
        <v>7</v>
      </c>
      <c r="I4018" s="22">
        <f t="shared" si="125"/>
        <v>7.6483216940127306E-3</v>
      </c>
      <c r="J4018" s="22" t="str">
        <f t="shared" si="126"/>
        <v/>
      </c>
    </row>
    <row r="4019" spans="1:10">
      <c r="A4019" s="1">
        <v>41156</v>
      </c>
      <c r="B4019">
        <v>196.61</v>
      </c>
      <c r="C4019">
        <v>197.17</v>
      </c>
      <c r="D4019">
        <v>193.25</v>
      </c>
      <c r="E4019">
        <v>194.54</v>
      </c>
      <c r="F4019">
        <v>4514400</v>
      </c>
      <c r="G4019">
        <v>190.01</v>
      </c>
      <c r="H4019" t="s">
        <v>7</v>
      </c>
      <c r="I4019" s="22">
        <f t="shared" si="125"/>
        <v>-1.5776191744954707E-3</v>
      </c>
      <c r="J4019" s="22" t="str">
        <f t="shared" si="126"/>
        <v>lost money</v>
      </c>
    </row>
    <row r="4020" spans="1:10">
      <c r="A4020" s="1">
        <v>41157</v>
      </c>
      <c r="B4020">
        <v>194.41</v>
      </c>
      <c r="C4020">
        <v>195.85</v>
      </c>
      <c r="D4020">
        <v>193.89</v>
      </c>
      <c r="E4020">
        <v>195.04</v>
      </c>
      <c r="F4020">
        <v>3312500</v>
      </c>
      <c r="G4020">
        <v>190.49</v>
      </c>
      <c r="H4020" t="s">
        <v>7</v>
      </c>
      <c r="I4020" s="22">
        <f t="shared" si="125"/>
        <v>2.5229973961661506E-3</v>
      </c>
      <c r="J4020" s="22" t="str">
        <f t="shared" si="126"/>
        <v/>
      </c>
    </row>
    <row r="4021" spans="1:10">
      <c r="A4021" s="1">
        <v>41158</v>
      </c>
      <c r="B4021">
        <v>196.26</v>
      </c>
      <c r="C4021">
        <v>199.46</v>
      </c>
      <c r="D4021">
        <v>196.11</v>
      </c>
      <c r="E4021">
        <v>199.1</v>
      </c>
      <c r="F4021">
        <v>3931700</v>
      </c>
      <c r="G4021">
        <v>194.46</v>
      </c>
      <c r="H4021" t="s">
        <v>7</v>
      </c>
      <c r="I4021" s="22">
        <f t="shared" si="125"/>
        <v>2.0626786630904323E-2</v>
      </c>
      <c r="J4021" s="22" t="str">
        <f t="shared" si="126"/>
        <v/>
      </c>
    </row>
    <row r="4022" spans="1:10">
      <c r="A4022" s="1">
        <v>41159</v>
      </c>
      <c r="B4022">
        <v>199.12</v>
      </c>
      <c r="C4022">
        <v>199.5</v>
      </c>
      <c r="D4022">
        <v>198.08</v>
      </c>
      <c r="E4022">
        <v>199.5</v>
      </c>
      <c r="F4022">
        <v>3413700</v>
      </c>
      <c r="G4022">
        <v>194.85</v>
      </c>
      <c r="H4022" t="s">
        <v>7</v>
      </c>
      <c r="I4022" s="22">
        <f t="shared" si="125"/>
        <v>2.0035454032072439E-3</v>
      </c>
      <c r="J4022" s="22" t="str">
        <f t="shared" si="126"/>
        <v/>
      </c>
    </row>
    <row r="4023" spans="1:10">
      <c r="A4023" s="1">
        <v>41162</v>
      </c>
      <c r="B4023">
        <v>199.39</v>
      </c>
      <c r="C4023">
        <v>201.82</v>
      </c>
      <c r="D4023">
        <v>198.73</v>
      </c>
      <c r="E4023">
        <v>200.95</v>
      </c>
      <c r="F4023">
        <v>4208000</v>
      </c>
      <c r="G4023">
        <v>196.27</v>
      </c>
      <c r="H4023" t="s">
        <v>7</v>
      </c>
      <c r="I4023" s="22">
        <f t="shared" si="125"/>
        <v>7.2612305132694968E-3</v>
      </c>
      <c r="J4023" s="22" t="str">
        <f t="shared" si="126"/>
        <v/>
      </c>
    </row>
    <row r="4024" spans="1:10">
      <c r="A4024" s="1">
        <v>41163</v>
      </c>
      <c r="B4024">
        <v>200.55</v>
      </c>
      <c r="C4024">
        <v>203.46</v>
      </c>
      <c r="D4024">
        <v>200.51</v>
      </c>
      <c r="E4024">
        <v>203.27</v>
      </c>
      <c r="F4024">
        <v>3910600</v>
      </c>
      <c r="G4024">
        <v>198.53</v>
      </c>
      <c r="H4024" t="s">
        <v>7</v>
      </c>
      <c r="I4024" s="22">
        <f t="shared" si="125"/>
        <v>1.1448959910999795E-2</v>
      </c>
      <c r="J4024" s="22" t="str">
        <f t="shared" si="126"/>
        <v/>
      </c>
    </row>
    <row r="4025" spans="1:10">
      <c r="A4025" s="1">
        <v>41164</v>
      </c>
      <c r="B4025">
        <v>203.52</v>
      </c>
      <c r="C4025">
        <v>204.65</v>
      </c>
      <c r="D4025">
        <v>202.96</v>
      </c>
      <c r="E4025">
        <v>203.77</v>
      </c>
      <c r="F4025">
        <v>3284000</v>
      </c>
      <c r="G4025">
        <v>199.02</v>
      </c>
      <c r="H4025" t="s">
        <v>7</v>
      </c>
      <c r="I4025" s="22">
        <f t="shared" si="125"/>
        <v>2.4650999780286256E-3</v>
      </c>
      <c r="J4025" s="22" t="str">
        <f t="shared" si="126"/>
        <v/>
      </c>
    </row>
    <row r="4026" spans="1:10">
      <c r="A4026" s="1">
        <v>41165</v>
      </c>
      <c r="B4026">
        <v>204.38</v>
      </c>
      <c r="C4026">
        <v>206.81</v>
      </c>
      <c r="D4026">
        <v>203.46</v>
      </c>
      <c r="E4026">
        <v>206.36</v>
      </c>
      <c r="F4026">
        <v>3879600</v>
      </c>
      <c r="G4026">
        <v>201.55</v>
      </c>
      <c r="H4026" t="s">
        <v>7</v>
      </c>
      <c r="I4026" s="22">
        <f t="shared" si="125"/>
        <v>1.2632167376158703E-2</v>
      </c>
      <c r="J4026" s="22" t="str">
        <f t="shared" si="126"/>
        <v/>
      </c>
    </row>
    <row r="4027" spans="1:10">
      <c r="A4027" s="1">
        <v>41166</v>
      </c>
      <c r="B4027">
        <v>206.24</v>
      </c>
      <c r="C4027">
        <v>207.65</v>
      </c>
      <c r="D4027">
        <v>206.05</v>
      </c>
      <c r="E4027">
        <v>206.81</v>
      </c>
      <c r="F4027">
        <v>4057100</v>
      </c>
      <c r="G4027">
        <v>201.99</v>
      </c>
      <c r="H4027" t="s">
        <v>7</v>
      </c>
      <c r="I4027" s="22">
        <f t="shared" si="125"/>
        <v>2.1807016621245043E-3</v>
      </c>
      <c r="J4027" s="22" t="str">
        <f t="shared" si="126"/>
        <v/>
      </c>
    </row>
    <row r="4028" spans="1:10">
      <c r="A4028" s="1">
        <v>41169</v>
      </c>
      <c r="B4028">
        <v>205.55</v>
      </c>
      <c r="C4028">
        <v>207.99</v>
      </c>
      <c r="D4028">
        <v>205.55</v>
      </c>
      <c r="E4028">
        <v>207.15</v>
      </c>
      <c r="F4028">
        <v>3275100</v>
      </c>
      <c r="G4028">
        <v>202.32</v>
      </c>
      <c r="H4028" t="s">
        <v>7</v>
      </c>
      <c r="I4028" s="22">
        <f t="shared" si="125"/>
        <v>1.6324111364103887E-3</v>
      </c>
      <c r="J4028" s="22" t="str">
        <f t="shared" si="126"/>
        <v/>
      </c>
    </row>
    <row r="4029" spans="1:10">
      <c r="A4029" s="1">
        <v>41170</v>
      </c>
      <c r="B4029">
        <v>206.88</v>
      </c>
      <c r="C4029">
        <v>207.88</v>
      </c>
      <c r="D4029">
        <v>206.48</v>
      </c>
      <c r="E4029">
        <v>207.07</v>
      </c>
      <c r="F4029">
        <v>2476100</v>
      </c>
      <c r="G4029">
        <v>202.24</v>
      </c>
      <c r="H4029" t="s">
        <v>7</v>
      </c>
      <c r="I4029" s="22">
        <f t="shared" si="125"/>
        <v>-3.9549140321703131E-4</v>
      </c>
      <c r="J4029" s="22" t="str">
        <f t="shared" si="126"/>
        <v/>
      </c>
    </row>
    <row r="4030" spans="1:10">
      <c r="A4030" s="1">
        <v>41171</v>
      </c>
      <c r="B4030">
        <v>207.55</v>
      </c>
      <c r="C4030">
        <v>207.57</v>
      </c>
      <c r="D4030">
        <v>206.01</v>
      </c>
      <c r="E4030">
        <v>206.43</v>
      </c>
      <c r="F4030">
        <v>2605600</v>
      </c>
      <c r="G4030">
        <v>201.62</v>
      </c>
      <c r="H4030" t="s">
        <v>7</v>
      </c>
      <c r="I4030" s="22">
        <f t="shared" si="125"/>
        <v>-3.070373332697102E-3</v>
      </c>
      <c r="J4030" s="22" t="str">
        <f t="shared" si="126"/>
        <v>lost money</v>
      </c>
    </row>
    <row r="4031" spans="1:10">
      <c r="A4031" s="1">
        <v>41172</v>
      </c>
      <c r="B4031">
        <v>205.85</v>
      </c>
      <c r="C4031">
        <v>206.99</v>
      </c>
      <c r="D4031">
        <v>205.3</v>
      </c>
      <c r="E4031">
        <v>206.18</v>
      </c>
      <c r="F4031">
        <v>3739100</v>
      </c>
      <c r="G4031">
        <v>201.37</v>
      </c>
      <c r="H4031" t="s">
        <v>7</v>
      </c>
      <c r="I4031" s="22">
        <f t="shared" si="125"/>
        <v>-1.2407257354814728E-3</v>
      </c>
      <c r="J4031" s="22" t="str">
        <f t="shared" si="126"/>
        <v/>
      </c>
    </row>
    <row r="4032" spans="1:10">
      <c r="A4032" s="1">
        <v>41173</v>
      </c>
      <c r="B4032">
        <v>207.36</v>
      </c>
      <c r="C4032">
        <v>207.94</v>
      </c>
      <c r="D4032">
        <v>205.92</v>
      </c>
      <c r="E4032">
        <v>205.98</v>
      </c>
      <c r="F4032">
        <v>12771500</v>
      </c>
      <c r="G4032">
        <v>201.18</v>
      </c>
      <c r="H4032" t="s">
        <v>7</v>
      </c>
      <c r="I4032" s="22">
        <f t="shared" si="125"/>
        <v>-9.439821841218045E-4</v>
      </c>
      <c r="J4032" s="22" t="str">
        <f t="shared" si="126"/>
        <v>lost money</v>
      </c>
    </row>
    <row r="4033" spans="1:10">
      <c r="A4033" s="1">
        <v>41176</v>
      </c>
      <c r="B4033">
        <v>205.02</v>
      </c>
      <c r="C4033">
        <v>206.06</v>
      </c>
      <c r="D4033">
        <v>204.9</v>
      </c>
      <c r="E4033">
        <v>205.29</v>
      </c>
      <c r="F4033">
        <v>3511100</v>
      </c>
      <c r="G4033">
        <v>200.5</v>
      </c>
      <c r="H4033" t="s">
        <v>7</v>
      </c>
      <c r="I4033" s="22">
        <f t="shared" si="125"/>
        <v>-3.3857829595683596E-3</v>
      </c>
      <c r="J4033" s="22" t="str">
        <f t="shared" si="126"/>
        <v/>
      </c>
    </row>
    <row r="4034" spans="1:10">
      <c r="A4034" s="1">
        <v>41177</v>
      </c>
      <c r="B4034">
        <v>205.6</v>
      </c>
      <c r="C4034">
        <v>207.32</v>
      </c>
      <c r="D4034">
        <v>204.95</v>
      </c>
      <c r="E4034">
        <v>204.98</v>
      </c>
      <c r="F4034">
        <v>3345200</v>
      </c>
      <c r="G4034">
        <v>200.2</v>
      </c>
      <c r="H4034" t="s">
        <v>7</v>
      </c>
      <c r="I4034" s="22">
        <f t="shared" si="125"/>
        <v>-1.4973798655037282E-3</v>
      </c>
      <c r="J4034" s="22" t="str">
        <f t="shared" si="126"/>
        <v>lost money</v>
      </c>
    </row>
    <row r="4035" spans="1:10">
      <c r="A4035" s="1">
        <v>41178</v>
      </c>
      <c r="B4035">
        <v>205.05</v>
      </c>
      <c r="C4035">
        <v>205.98</v>
      </c>
      <c r="D4035">
        <v>203.9</v>
      </c>
      <c r="E4035">
        <v>204</v>
      </c>
      <c r="F4035">
        <v>3423300</v>
      </c>
      <c r="G4035">
        <v>199.24</v>
      </c>
      <c r="H4035" t="s">
        <v>7</v>
      </c>
      <c r="I4035" s="22">
        <f t="shared" ref="I4035:I4098" si="127">IF(A4035=$A$2,"",LN(G4035/G4034))</f>
        <v>-4.8067386760374548E-3</v>
      </c>
      <c r="J4035" s="22" t="str">
        <f t="shared" ref="J4035:J4098" si="128">IF(B4035&gt;E4035,"lost money","")</f>
        <v>lost money</v>
      </c>
    </row>
    <row r="4036" spans="1:10">
      <c r="A4036" s="1">
        <v>41179</v>
      </c>
      <c r="B4036">
        <v>204.37</v>
      </c>
      <c r="C4036">
        <v>206.9</v>
      </c>
      <c r="D4036">
        <v>204.14</v>
      </c>
      <c r="E4036">
        <v>205.91</v>
      </c>
      <c r="F4036">
        <v>2771900</v>
      </c>
      <c r="G4036">
        <v>201.11</v>
      </c>
      <c r="H4036" t="s">
        <v>7</v>
      </c>
      <c r="I4036" s="22">
        <f t="shared" si="127"/>
        <v>9.3418938414289356E-3</v>
      </c>
      <c r="J4036" s="22" t="str">
        <f t="shared" si="128"/>
        <v/>
      </c>
    </row>
    <row r="4037" spans="1:10">
      <c r="A4037" s="1">
        <v>41180</v>
      </c>
      <c r="B4037">
        <v>205.66</v>
      </c>
      <c r="C4037">
        <v>208.32</v>
      </c>
      <c r="D4037">
        <v>205.31</v>
      </c>
      <c r="E4037">
        <v>207.45</v>
      </c>
      <c r="F4037">
        <v>4910900</v>
      </c>
      <c r="G4037">
        <v>202.61</v>
      </c>
      <c r="H4037" t="s">
        <v>7</v>
      </c>
      <c r="I4037" s="22">
        <f t="shared" si="127"/>
        <v>7.4309268915484219E-3</v>
      </c>
      <c r="J4037" s="22" t="str">
        <f t="shared" si="128"/>
        <v/>
      </c>
    </row>
    <row r="4038" spans="1:10">
      <c r="A4038" s="1">
        <v>41183</v>
      </c>
      <c r="B4038">
        <v>208.01</v>
      </c>
      <c r="C4038">
        <v>211.75</v>
      </c>
      <c r="D4038">
        <v>207.94</v>
      </c>
      <c r="E4038">
        <v>210.47</v>
      </c>
      <c r="F4038">
        <v>5456900</v>
      </c>
      <c r="G4038">
        <v>205.56</v>
      </c>
      <c r="H4038" t="s">
        <v>7</v>
      </c>
      <c r="I4038" s="22">
        <f t="shared" si="127"/>
        <v>1.4455013185968882E-2</v>
      </c>
      <c r="J4038" s="22" t="str">
        <f t="shared" si="128"/>
        <v/>
      </c>
    </row>
    <row r="4039" spans="1:10">
      <c r="A4039" s="1">
        <v>41184</v>
      </c>
      <c r="B4039">
        <v>210.96</v>
      </c>
      <c r="C4039">
        <v>211.47</v>
      </c>
      <c r="D4039">
        <v>208.5</v>
      </c>
      <c r="E4039">
        <v>209.84</v>
      </c>
      <c r="F4039">
        <v>3321000</v>
      </c>
      <c r="G4039">
        <v>204.95</v>
      </c>
      <c r="H4039" t="s">
        <v>7</v>
      </c>
      <c r="I4039" s="22">
        <f t="shared" si="127"/>
        <v>-2.9719151736823128E-3</v>
      </c>
      <c r="J4039" s="22" t="str">
        <f t="shared" si="128"/>
        <v>lost money</v>
      </c>
    </row>
    <row r="4040" spans="1:10">
      <c r="A4040" s="1">
        <v>41185</v>
      </c>
      <c r="B4040">
        <v>209.94</v>
      </c>
      <c r="C4040">
        <v>211.3</v>
      </c>
      <c r="D4040">
        <v>209.3</v>
      </c>
      <c r="E4040">
        <v>210.51</v>
      </c>
      <c r="F4040">
        <v>3192300</v>
      </c>
      <c r="G4040">
        <v>205.6</v>
      </c>
      <c r="H4040" t="s">
        <v>7</v>
      </c>
      <c r="I4040" s="22">
        <f t="shared" si="127"/>
        <v>3.1664866306634512E-3</v>
      </c>
      <c r="J4040" s="22" t="str">
        <f t="shared" si="128"/>
        <v/>
      </c>
    </row>
    <row r="4041" spans="1:10">
      <c r="A4041" s="1">
        <v>41186</v>
      </c>
      <c r="B4041">
        <v>210.28</v>
      </c>
      <c r="C4041">
        <v>210.97</v>
      </c>
      <c r="D4041">
        <v>208.53</v>
      </c>
      <c r="E4041">
        <v>210.39</v>
      </c>
      <c r="F4041">
        <v>2957500</v>
      </c>
      <c r="G4041">
        <v>205.49</v>
      </c>
      <c r="H4041" t="s">
        <v>7</v>
      </c>
      <c r="I4041" s="22">
        <f t="shared" si="127"/>
        <v>-5.3516262923107496E-4</v>
      </c>
      <c r="J4041" s="22" t="str">
        <f t="shared" si="128"/>
        <v/>
      </c>
    </row>
    <row r="4042" spans="1:10">
      <c r="A4042" s="1">
        <v>41187</v>
      </c>
      <c r="B4042">
        <v>211.15</v>
      </c>
      <c r="C4042">
        <v>211.79</v>
      </c>
      <c r="D4042">
        <v>210.06</v>
      </c>
      <c r="E4042">
        <v>210.59</v>
      </c>
      <c r="F4042">
        <v>2858400</v>
      </c>
      <c r="G4042">
        <v>205.68</v>
      </c>
      <c r="H4042" t="s">
        <v>7</v>
      </c>
      <c r="I4042" s="22">
        <f t="shared" si="127"/>
        <v>9.2419200585516174E-4</v>
      </c>
      <c r="J4042" s="22" t="str">
        <f t="shared" si="128"/>
        <v>lost money</v>
      </c>
    </row>
    <row r="4043" spans="1:10">
      <c r="A4043" s="1">
        <v>41190</v>
      </c>
      <c r="B4043">
        <v>210.02</v>
      </c>
      <c r="C4043">
        <v>210.64</v>
      </c>
      <c r="D4043">
        <v>209.21</v>
      </c>
      <c r="E4043">
        <v>209.82</v>
      </c>
      <c r="F4043">
        <v>1982600</v>
      </c>
      <c r="G4043">
        <v>204.93</v>
      </c>
      <c r="H4043" t="s">
        <v>7</v>
      </c>
      <c r="I4043" s="22">
        <f t="shared" si="127"/>
        <v>-3.6531055457663529E-3</v>
      </c>
      <c r="J4043" s="22" t="str">
        <f t="shared" si="128"/>
        <v>lost money</v>
      </c>
    </row>
    <row r="4044" spans="1:10">
      <c r="A4044" s="1">
        <v>41191</v>
      </c>
      <c r="B4044">
        <v>209.95</v>
      </c>
      <c r="C4044">
        <v>210.74</v>
      </c>
      <c r="D4044">
        <v>207.7</v>
      </c>
      <c r="E4044">
        <v>207.99</v>
      </c>
      <c r="F4044">
        <v>3580400</v>
      </c>
      <c r="G4044">
        <v>203.14</v>
      </c>
      <c r="H4044" t="s">
        <v>7</v>
      </c>
      <c r="I4044" s="22">
        <f t="shared" si="127"/>
        <v>-8.7730609005126602E-3</v>
      </c>
      <c r="J4044" s="22" t="str">
        <f t="shared" si="128"/>
        <v>lost money</v>
      </c>
    </row>
    <row r="4045" spans="1:10">
      <c r="A4045" s="1">
        <v>41192</v>
      </c>
      <c r="B4045">
        <v>207.82</v>
      </c>
      <c r="C4045">
        <v>208.23</v>
      </c>
      <c r="D4045">
        <v>205.05</v>
      </c>
      <c r="E4045">
        <v>205.82</v>
      </c>
      <c r="F4045">
        <v>4024500</v>
      </c>
      <c r="G4045">
        <v>201.02</v>
      </c>
      <c r="H4045" t="s">
        <v>7</v>
      </c>
      <c r="I4045" s="22">
        <f t="shared" si="127"/>
        <v>-1.0490990914761201E-2</v>
      </c>
      <c r="J4045" s="22" t="str">
        <f t="shared" si="128"/>
        <v>lost money</v>
      </c>
    </row>
    <row r="4046" spans="1:10">
      <c r="A4046" s="1">
        <v>41193</v>
      </c>
      <c r="B4046">
        <v>206.57</v>
      </c>
      <c r="C4046">
        <v>207.27</v>
      </c>
      <c r="D4046">
        <v>205.63</v>
      </c>
      <c r="E4046">
        <v>205.76</v>
      </c>
      <c r="F4046">
        <v>2910000</v>
      </c>
      <c r="G4046">
        <v>200.96</v>
      </c>
      <c r="H4046" t="s">
        <v>7</v>
      </c>
      <c r="I4046" s="22">
        <f t="shared" si="127"/>
        <v>-2.9852231675993638E-4</v>
      </c>
      <c r="J4046" s="22" t="str">
        <f t="shared" si="128"/>
        <v>lost money</v>
      </c>
    </row>
    <row r="4047" spans="1:10">
      <c r="A4047" s="1">
        <v>41194</v>
      </c>
      <c r="B4047">
        <v>205.64</v>
      </c>
      <c r="C4047">
        <v>207.96</v>
      </c>
      <c r="D4047">
        <v>205.56</v>
      </c>
      <c r="E4047">
        <v>207.8</v>
      </c>
      <c r="F4047">
        <v>2712000</v>
      </c>
      <c r="G4047">
        <v>202.96</v>
      </c>
      <c r="H4047" t="s">
        <v>7</v>
      </c>
      <c r="I4047" s="22">
        <f t="shared" si="127"/>
        <v>9.9030320111925356E-3</v>
      </c>
      <c r="J4047" s="22" t="str">
        <f t="shared" si="128"/>
        <v/>
      </c>
    </row>
    <row r="4048" spans="1:10">
      <c r="A4048" s="1">
        <v>41197</v>
      </c>
      <c r="B4048">
        <v>208.88</v>
      </c>
      <c r="C4048">
        <v>209.4</v>
      </c>
      <c r="D4048">
        <v>207.82</v>
      </c>
      <c r="E4048">
        <v>208.93</v>
      </c>
      <c r="F4048">
        <v>3060900</v>
      </c>
      <c r="G4048">
        <v>204.06</v>
      </c>
      <c r="H4048" t="s">
        <v>7</v>
      </c>
      <c r="I4048" s="22">
        <f t="shared" si="127"/>
        <v>5.4051529561326044E-3</v>
      </c>
      <c r="J4048" s="22" t="str">
        <f t="shared" si="128"/>
        <v/>
      </c>
    </row>
    <row r="4049" spans="1:10">
      <c r="A4049" s="1">
        <v>41198</v>
      </c>
      <c r="B4049">
        <v>209.94</v>
      </c>
      <c r="C4049">
        <v>211</v>
      </c>
      <c r="D4049">
        <v>209.47</v>
      </c>
      <c r="E4049">
        <v>211</v>
      </c>
      <c r="F4049">
        <v>5632100</v>
      </c>
      <c r="G4049">
        <v>206.08</v>
      </c>
      <c r="H4049" t="s">
        <v>7</v>
      </c>
      <c r="I4049" s="22">
        <f t="shared" si="127"/>
        <v>9.8503746688296794E-3</v>
      </c>
      <c r="J4049" s="22" t="str">
        <f t="shared" si="128"/>
        <v/>
      </c>
    </row>
    <row r="4050" spans="1:10">
      <c r="A4050" s="1">
        <v>41199</v>
      </c>
      <c r="B4050">
        <v>201.21</v>
      </c>
      <c r="C4050">
        <v>203.41</v>
      </c>
      <c r="D4050">
        <v>198.55</v>
      </c>
      <c r="E4050">
        <v>200.63</v>
      </c>
      <c r="F4050">
        <v>12673900</v>
      </c>
      <c r="G4050">
        <v>195.95</v>
      </c>
      <c r="H4050" t="s">
        <v>7</v>
      </c>
      <c r="I4050" s="22">
        <f t="shared" si="127"/>
        <v>-5.0404918270348389E-2</v>
      </c>
      <c r="J4050" s="22" t="str">
        <f t="shared" si="128"/>
        <v>lost money</v>
      </c>
    </row>
    <row r="4051" spans="1:10">
      <c r="A4051" s="1">
        <v>41200</v>
      </c>
      <c r="B4051">
        <v>199.91</v>
      </c>
      <c r="C4051">
        <v>200.14</v>
      </c>
      <c r="D4051">
        <v>194.07</v>
      </c>
      <c r="E4051">
        <v>194.96</v>
      </c>
      <c r="F4051">
        <v>9295900</v>
      </c>
      <c r="G4051">
        <v>190.42</v>
      </c>
      <c r="H4051" t="s">
        <v>7</v>
      </c>
      <c r="I4051" s="22">
        <f t="shared" si="127"/>
        <v>-2.8627365788095105E-2</v>
      </c>
      <c r="J4051" s="22" t="str">
        <f t="shared" si="128"/>
        <v>lost money</v>
      </c>
    </row>
    <row r="4052" spans="1:10">
      <c r="A4052" s="1">
        <v>41201</v>
      </c>
      <c r="B4052">
        <v>195.29</v>
      </c>
      <c r="C4052">
        <v>196.08</v>
      </c>
      <c r="D4052">
        <v>193.18</v>
      </c>
      <c r="E4052">
        <v>193.36</v>
      </c>
      <c r="F4052">
        <v>6620300</v>
      </c>
      <c r="G4052">
        <v>188.85</v>
      </c>
      <c r="H4052" t="s">
        <v>7</v>
      </c>
      <c r="I4052" s="22">
        <f t="shared" si="127"/>
        <v>-8.2791096990794417E-3</v>
      </c>
      <c r="J4052" s="22" t="str">
        <f t="shared" si="128"/>
        <v>lost money</v>
      </c>
    </row>
    <row r="4053" spans="1:10">
      <c r="A4053" s="1">
        <v>41204</v>
      </c>
      <c r="B4053">
        <v>193.71</v>
      </c>
      <c r="C4053">
        <v>194.68</v>
      </c>
      <c r="D4053">
        <v>192.44</v>
      </c>
      <c r="E4053">
        <v>194.4</v>
      </c>
      <c r="F4053">
        <v>4402500</v>
      </c>
      <c r="G4053">
        <v>189.87</v>
      </c>
      <c r="H4053" t="s">
        <v>7</v>
      </c>
      <c r="I4053" s="22">
        <f t="shared" si="127"/>
        <v>5.3865782968579657E-3</v>
      </c>
      <c r="J4053" s="22" t="str">
        <f t="shared" si="128"/>
        <v/>
      </c>
    </row>
    <row r="4054" spans="1:10">
      <c r="A4054" s="1">
        <v>41205</v>
      </c>
      <c r="B4054">
        <v>193.53</v>
      </c>
      <c r="C4054">
        <v>194</v>
      </c>
      <c r="D4054">
        <v>190.94</v>
      </c>
      <c r="E4054">
        <v>191.25</v>
      </c>
      <c r="F4054">
        <v>4427400</v>
      </c>
      <c r="G4054">
        <v>186.79</v>
      </c>
      <c r="H4054" t="s">
        <v>7</v>
      </c>
      <c r="I4054" s="22">
        <f t="shared" si="127"/>
        <v>-1.6354636284112035E-2</v>
      </c>
      <c r="J4054" s="22" t="str">
        <f t="shared" si="128"/>
        <v>lost money</v>
      </c>
    </row>
    <row r="4055" spans="1:10">
      <c r="A4055" s="1">
        <v>41206</v>
      </c>
      <c r="B4055">
        <v>192.44</v>
      </c>
      <c r="C4055">
        <v>193.29</v>
      </c>
      <c r="D4055">
        <v>190.56</v>
      </c>
      <c r="E4055">
        <v>190.72</v>
      </c>
      <c r="F4055">
        <v>3738000</v>
      </c>
      <c r="G4055">
        <v>186.27</v>
      </c>
      <c r="H4055" t="s">
        <v>7</v>
      </c>
      <c r="I4055" s="22">
        <f t="shared" si="127"/>
        <v>-2.7877571263004806E-3</v>
      </c>
      <c r="J4055" s="22" t="str">
        <f t="shared" si="128"/>
        <v>lost money</v>
      </c>
    </row>
    <row r="4056" spans="1:10">
      <c r="A4056" s="1">
        <v>41207</v>
      </c>
      <c r="B4056">
        <v>191.41</v>
      </c>
      <c r="C4056">
        <v>192.44</v>
      </c>
      <c r="D4056">
        <v>190.71</v>
      </c>
      <c r="E4056">
        <v>191.6</v>
      </c>
      <c r="F4056">
        <v>3249600</v>
      </c>
      <c r="G4056">
        <v>187.13</v>
      </c>
      <c r="H4056" t="s">
        <v>7</v>
      </c>
      <c r="I4056" s="22">
        <f t="shared" si="127"/>
        <v>4.606328444785885E-3</v>
      </c>
      <c r="J4056" s="22" t="str">
        <f t="shared" si="128"/>
        <v/>
      </c>
    </row>
    <row r="4057" spans="1:10">
      <c r="A4057" s="1">
        <v>41208</v>
      </c>
      <c r="B4057">
        <v>191.49</v>
      </c>
      <c r="C4057">
        <v>193.87</v>
      </c>
      <c r="D4057">
        <v>191.47</v>
      </c>
      <c r="E4057">
        <v>193.27</v>
      </c>
      <c r="F4057">
        <v>4006500</v>
      </c>
      <c r="G4057">
        <v>188.76</v>
      </c>
      <c r="H4057" t="s">
        <v>7</v>
      </c>
      <c r="I4057" s="22">
        <f t="shared" si="127"/>
        <v>8.6728043684895506E-3</v>
      </c>
      <c r="J4057" s="22" t="str">
        <f t="shared" si="128"/>
        <v/>
      </c>
    </row>
    <row r="4058" spans="1:10">
      <c r="A4058" s="1">
        <v>41213</v>
      </c>
      <c r="B4058">
        <v>194.8</v>
      </c>
      <c r="C4058">
        <v>196.41</v>
      </c>
      <c r="D4058">
        <v>193.63</v>
      </c>
      <c r="E4058">
        <v>194.53</v>
      </c>
      <c r="F4058">
        <v>6052300</v>
      </c>
      <c r="G4058">
        <v>190</v>
      </c>
      <c r="H4058" t="s">
        <v>7</v>
      </c>
      <c r="I4058" s="22">
        <f t="shared" si="127"/>
        <v>6.547705302299367E-3</v>
      </c>
      <c r="J4058" s="22" t="str">
        <f t="shared" si="128"/>
        <v>lost money</v>
      </c>
    </row>
    <row r="4059" spans="1:10">
      <c r="A4059" s="1">
        <v>41214</v>
      </c>
      <c r="B4059">
        <v>194.68</v>
      </c>
      <c r="C4059">
        <v>197.89</v>
      </c>
      <c r="D4059">
        <v>194.55</v>
      </c>
      <c r="E4059">
        <v>197.15</v>
      </c>
      <c r="F4059">
        <v>3758800</v>
      </c>
      <c r="G4059">
        <v>192.55</v>
      </c>
      <c r="H4059" t="s">
        <v>7</v>
      </c>
      <c r="I4059" s="22">
        <f t="shared" si="127"/>
        <v>1.3331788100431806E-2</v>
      </c>
      <c r="J4059" s="22" t="str">
        <f t="shared" si="128"/>
        <v/>
      </c>
    </row>
    <row r="4060" spans="1:10">
      <c r="A4060" s="1">
        <v>41215</v>
      </c>
      <c r="B4060">
        <v>197.53</v>
      </c>
      <c r="C4060">
        <v>198</v>
      </c>
      <c r="D4060">
        <v>193.29</v>
      </c>
      <c r="E4060">
        <v>193.43</v>
      </c>
      <c r="F4060">
        <v>4260100</v>
      </c>
      <c r="G4060">
        <v>188.92</v>
      </c>
      <c r="H4060" t="s">
        <v>7</v>
      </c>
      <c r="I4060" s="22">
        <f t="shared" si="127"/>
        <v>-1.9032215233001686E-2</v>
      </c>
      <c r="J4060" s="22" t="str">
        <f t="shared" si="128"/>
        <v>lost money</v>
      </c>
    </row>
    <row r="4061" spans="1:10">
      <c r="A4061" s="1">
        <v>41218</v>
      </c>
      <c r="B4061">
        <v>192.36</v>
      </c>
      <c r="C4061">
        <v>194.97</v>
      </c>
      <c r="D4061">
        <v>192.01</v>
      </c>
      <c r="E4061">
        <v>194.14</v>
      </c>
      <c r="F4061">
        <v>2736200</v>
      </c>
      <c r="G4061">
        <v>189.61</v>
      </c>
      <c r="H4061" t="s">
        <v>7</v>
      </c>
      <c r="I4061" s="22">
        <f t="shared" si="127"/>
        <v>3.6456860181961919E-3</v>
      </c>
      <c r="J4061" s="22" t="str">
        <f t="shared" si="128"/>
        <v/>
      </c>
    </row>
    <row r="4062" spans="1:10">
      <c r="A4062" s="1">
        <v>41219</v>
      </c>
      <c r="B4062">
        <v>195.26</v>
      </c>
      <c r="C4062">
        <v>196.75</v>
      </c>
      <c r="D4062">
        <v>194.68</v>
      </c>
      <c r="E4062">
        <v>195.07</v>
      </c>
      <c r="F4062">
        <v>3281000</v>
      </c>
      <c r="G4062">
        <v>190.52</v>
      </c>
      <c r="H4062" t="s">
        <v>7</v>
      </c>
      <c r="I4062" s="22">
        <f t="shared" si="127"/>
        <v>4.7878448865473029E-3</v>
      </c>
      <c r="J4062" s="22" t="str">
        <f t="shared" si="128"/>
        <v>lost money</v>
      </c>
    </row>
    <row r="4063" spans="1:10">
      <c r="A4063" s="1">
        <v>41220</v>
      </c>
      <c r="B4063">
        <v>193.36</v>
      </c>
      <c r="C4063">
        <v>193.68</v>
      </c>
      <c r="D4063">
        <v>191.16</v>
      </c>
      <c r="E4063">
        <v>191.16</v>
      </c>
      <c r="F4063">
        <v>4746200</v>
      </c>
      <c r="G4063">
        <v>187.52</v>
      </c>
      <c r="H4063" t="s">
        <v>7</v>
      </c>
      <c r="I4063" s="22">
        <f t="shared" si="127"/>
        <v>-1.5871669544011858E-2</v>
      </c>
      <c r="J4063" s="22" t="str">
        <f t="shared" si="128"/>
        <v>lost money</v>
      </c>
    </row>
    <row r="4064" spans="1:10">
      <c r="A4064" s="1">
        <v>41221</v>
      </c>
      <c r="B4064">
        <v>191.4</v>
      </c>
      <c r="C4064">
        <v>191.81</v>
      </c>
      <c r="D4064">
        <v>190.09</v>
      </c>
      <c r="E4064">
        <v>190.1</v>
      </c>
      <c r="F4064">
        <v>3542200</v>
      </c>
      <c r="G4064">
        <v>186.48</v>
      </c>
      <c r="H4064" t="s">
        <v>7</v>
      </c>
      <c r="I4064" s="22">
        <f t="shared" si="127"/>
        <v>-5.5615116611462132E-3</v>
      </c>
      <c r="J4064" s="22" t="str">
        <f t="shared" si="128"/>
        <v>lost money</v>
      </c>
    </row>
    <row r="4065" spans="1:10">
      <c r="A4065" s="1">
        <v>41222</v>
      </c>
      <c r="B4065">
        <v>189.85</v>
      </c>
      <c r="C4065">
        <v>191.64</v>
      </c>
      <c r="D4065">
        <v>188.88</v>
      </c>
      <c r="E4065">
        <v>189.64</v>
      </c>
      <c r="F4065">
        <v>3671600</v>
      </c>
      <c r="G4065">
        <v>186.03</v>
      </c>
      <c r="H4065" t="s">
        <v>7</v>
      </c>
      <c r="I4065" s="22">
        <f t="shared" si="127"/>
        <v>-2.4160436976053833E-3</v>
      </c>
      <c r="J4065" s="22" t="str">
        <f t="shared" si="128"/>
        <v>lost money</v>
      </c>
    </row>
    <row r="4066" spans="1:10">
      <c r="A4066" s="1">
        <v>41225</v>
      </c>
      <c r="B4066">
        <v>190.03</v>
      </c>
      <c r="C4066">
        <v>190.77</v>
      </c>
      <c r="D4066">
        <v>187.41</v>
      </c>
      <c r="E4066">
        <v>189.25</v>
      </c>
      <c r="F4066">
        <v>3067400</v>
      </c>
      <c r="G4066">
        <v>185.65</v>
      </c>
      <c r="H4066" t="s">
        <v>7</v>
      </c>
      <c r="I4066" s="22">
        <f t="shared" si="127"/>
        <v>-2.0447704068071362E-3</v>
      </c>
      <c r="J4066" s="22" t="str">
        <f t="shared" si="128"/>
        <v>lost money</v>
      </c>
    </row>
    <row r="4067" spans="1:10">
      <c r="A4067" s="1">
        <v>41226</v>
      </c>
      <c r="B4067">
        <v>188.39</v>
      </c>
      <c r="C4067">
        <v>190.88</v>
      </c>
      <c r="D4067">
        <v>188.25</v>
      </c>
      <c r="E4067">
        <v>188.32</v>
      </c>
      <c r="F4067">
        <v>3406700</v>
      </c>
      <c r="G4067">
        <v>184.74</v>
      </c>
      <c r="H4067" t="s">
        <v>7</v>
      </c>
      <c r="I4067" s="22">
        <f t="shared" si="127"/>
        <v>-4.9137494586250149E-3</v>
      </c>
      <c r="J4067" s="22" t="str">
        <f t="shared" si="128"/>
        <v>lost money</v>
      </c>
    </row>
    <row r="4068" spans="1:10">
      <c r="A4068" s="1">
        <v>41227</v>
      </c>
      <c r="B4068">
        <v>189.14</v>
      </c>
      <c r="C4068">
        <v>189.27</v>
      </c>
      <c r="D4068">
        <v>185.28</v>
      </c>
      <c r="E4068">
        <v>185.51</v>
      </c>
      <c r="F4068">
        <v>4404400</v>
      </c>
      <c r="G4068">
        <v>181.98</v>
      </c>
      <c r="H4068" t="s">
        <v>7</v>
      </c>
      <c r="I4068" s="22">
        <f t="shared" si="127"/>
        <v>-1.5052640235919382E-2</v>
      </c>
      <c r="J4068" s="22" t="str">
        <f t="shared" si="128"/>
        <v>lost money</v>
      </c>
    </row>
    <row r="4069" spans="1:10">
      <c r="A4069" s="1">
        <v>41228</v>
      </c>
      <c r="B4069">
        <v>185.83</v>
      </c>
      <c r="C4069">
        <v>187.2</v>
      </c>
      <c r="D4069">
        <v>184.78</v>
      </c>
      <c r="E4069">
        <v>185.85</v>
      </c>
      <c r="F4069">
        <v>3411700</v>
      </c>
      <c r="G4069">
        <v>182.31</v>
      </c>
      <c r="H4069" t="s">
        <v>7</v>
      </c>
      <c r="I4069" s="22">
        <f t="shared" si="127"/>
        <v>1.8117438868288365E-3</v>
      </c>
      <c r="J4069" s="22" t="str">
        <f t="shared" si="128"/>
        <v/>
      </c>
    </row>
    <row r="4070" spans="1:10">
      <c r="A4070" s="1">
        <v>41229</v>
      </c>
      <c r="B4070">
        <v>186.33</v>
      </c>
      <c r="C4070">
        <v>187.56</v>
      </c>
      <c r="D4070">
        <v>185.1</v>
      </c>
      <c r="E4070">
        <v>186.94</v>
      </c>
      <c r="F4070">
        <v>4660800</v>
      </c>
      <c r="G4070">
        <v>183.38</v>
      </c>
      <c r="H4070" t="s">
        <v>7</v>
      </c>
      <c r="I4070" s="22">
        <f t="shared" si="127"/>
        <v>5.8519678063812149E-3</v>
      </c>
      <c r="J4070" s="22" t="str">
        <f t="shared" si="128"/>
        <v/>
      </c>
    </row>
    <row r="4071" spans="1:10">
      <c r="A4071" s="1">
        <v>41232</v>
      </c>
      <c r="B4071">
        <v>188.62</v>
      </c>
      <c r="C4071">
        <v>190.39</v>
      </c>
      <c r="D4071">
        <v>188.3</v>
      </c>
      <c r="E4071">
        <v>190.35</v>
      </c>
      <c r="F4071">
        <v>3588900</v>
      </c>
      <c r="G4071">
        <v>186.73</v>
      </c>
      <c r="H4071" t="s">
        <v>7</v>
      </c>
      <c r="I4071" s="22">
        <f t="shared" si="127"/>
        <v>1.8103220609233941E-2</v>
      </c>
      <c r="J4071" s="22" t="str">
        <f t="shared" si="128"/>
        <v/>
      </c>
    </row>
    <row r="4072" spans="1:10">
      <c r="A4072" s="1">
        <v>41233</v>
      </c>
      <c r="B4072">
        <v>189.88</v>
      </c>
      <c r="C4072">
        <v>190.11</v>
      </c>
      <c r="D4072">
        <v>188.25</v>
      </c>
      <c r="E4072">
        <v>189.2</v>
      </c>
      <c r="F4072">
        <v>3170200</v>
      </c>
      <c r="G4072">
        <v>185.6</v>
      </c>
      <c r="H4072" t="s">
        <v>7</v>
      </c>
      <c r="I4072" s="22">
        <f t="shared" si="127"/>
        <v>-6.0699028788884016E-3</v>
      </c>
      <c r="J4072" s="22" t="str">
        <f t="shared" si="128"/>
        <v>lost money</v>
      </c>
    </row>
    <row r="4073" spans="1:10">
      <c r="A4073" s="1">
        <v>41234</v>
      </c>
      <c r="B4073">
        <v>189.3</v>
      </c>
      <c r="C4073">
        <v>190.89</v>
      </c>
      <c r="D4073">
        <v>188.95</v>
      </c>
      <c r="E4073">
        <v>190.29</v>
      </c>
      <c r="F4073">
        <v>5189600</v>
      </c>
      <c r="G4073">
        <v>186.67</v>
      </c>
      <c r="H4073" t="s">
        <v>7</v>
      </c>
      <c r="I4073" s="22">
        <f t="shared" si="127"/>
        <v>5.7485316924052706E-3</v>
      </c>
      <c r="J4073" s="22" t="str">
        <f t="shared" si="128"/>
        <v/>
      </c>
    </row>
    <row r="4074" spans="1:10">
      <c r="A4074" s="1">
        <v>41236</v>
      </c>
      <c r="B4074">
        <v>191</v>
      </c>
      <c r="C4074">
        <v>193.49</v>
      </c>
      <c r="D4074">
        <v>190.8</v>
      </c>
      <c r="E4074">
        <v>193.49</v>
      </c>
      <c r="F4074">
        <v>3877600</v>
      </c>
      <c r="G4074">
        <v>189.81</v>
      </c>
      <c r="H4074" t="s">
        <v>7</v>
      </c>
      <c r="I4074" s="22">
        <f t="shared" si="127"/>
        <v>1.6681219782397227E-2</v>
      </c>
      <c r="J4074" s="22" t="str">
        <f t="shared" si="128"/>
        <v/>
      </c>
    </row>
    <row r="4075" spans="1:10">
      <c r="A4075" s="1">
        <v>41239</v>
      </c>
      <c r="B4075">
        <v>192.45</v>
      </c>
      <c r="C4075">
        <v>193.37</v>
      </c>
      <c r="D4075">
        <v>191.77</v>
      </c>
      <c r="E4075">
        <v>192.88</v>
      </c>
      <c r="F4075">
        <v>5210300</v>
      </c>
      <c r="G4075">
        <v>189.21</v>
      </c>
      <c r="H4075" t="s">
        <v>7</v>
      </c>
      <c r="I4075" s="22">
        <f t="shared" si="127"/>
        <v>-3.1660624832330316E-3</v>
      </c>
      <c r="J4075" s="22" t="str">
        <f t="shared" si="128"/>
        <v/>
      </c>
    </row>
    <row r="4076" spans="1:10">
      <c r="A4076" s="1">
        <v>41240</v>
      </c>
      <c r="B4076">
        <v>192.08</v>
      </c>
      <c r="C4076">
        <v>193.05</v>
      </c>
      <c r="D4076">
        <v>191</v>
      </c>
      <c r="E4076">
        <v>191.23</v>
      </c>
      <c r="F4076">
        <v>3290900</v>
      </c>
      <c r="G4076">
        <v>187.59</v>
      </c>
      <c r="H4076" t="s">
        <v>7</v>
      </c>
      <c r="I4076" s="22">
        <f t="shared" si="127"/>
        <v>-8.598779096353355E-3</v>
      </c>
      <c r="J4076" s="22" t="str">
        <f t="shared" si="128"/>
        <v>lost money</v>
      </c>
    </row>
    <row r="4077" spans="1:10">
      <c r="A4077" s="1">
        <v>41241</v>
      </c>
      <c r="B4077">
        <v>190.98</v>
      </c>
      <c r="C4077">
        <v>192.04</v>
      </c>
      <c r="D4077">
        <v>189.27</v>
      </c>
      <c r="E4077">
        <v>191.98</v>
      </c>
      <c r="F4077">
        <v>3603600</v>
      </c>
      <c r="G4077">
        <v>188.33</v>
      </c>
      <c r="H4077" t="s">
        <v>7</v>
      </c>
      <c r="I4077" s="22">
        <f t="shared" si="127"/>
        <v>3.9370129593395992E-3</v>
      </c>
      <c r="J4077" s="22" t="str">
        <f t="shared" si="128"/>
        <v/>
      </c>
    </row>
    <row r="4078" spans="1:10">
      <c r="A4078" s="1">
        <v>41242</v>
      </c>
      <c r="B4078">
        <v>192.75</v>
      </c>
      <c r="C4078">
        <v>192.9</v>
      </c>
      <c r="D4078">
        <v>190.2</v>
      </c>
      <c r="E4078">
        <v>191.53</v>
      </c>
      <c r="F4078">
        <v>4077900</v>
      </c>
      <c r="G4078">
        <v>187.88</v>
      </c>
      <c r="H4078" t="s">
        <v>7</v>
      </c>
      <c r="I4078" s="22">
        <f t="shared" si="127"/>
        <v>-2.3922820478616156E-3</v>
      </c>
      <c r="J4078" s="22" t="str">
        <f t="shared" si="128"/>
        <v>lost money</v>
      </c>
    </row>
    <row r="4079" spans="1:10">
      <c r="A4079" s="1">
        <v>41243</v>
      </c>
      <c r="B4079">
        <v>191.75</v>
      </c>
      <c r="C4079">
        <v>192</v>
      </c>
      <c r="D4079">
        <v>189.5</v>
      </c>
      <c r="E4079">
        <v>190.07</v>
      </c>
      <c r="F4079">
        <v>4936400</v>
      </c>
      <c r="G4079">
        <v>186.45</v>
      </c>
      <c r="H4079" t="s">
        <v>7</v>
      </c>
      <c r="I4079" s="22">
        <f t="shared" si="127"/>
        <v>-7.6403545339646028E-3</v>
      </c>
      <c r="J4079" s="22" t="str">
        <f t="shared" si="128"/>
        <v>lost money</v>
      </c>
    </row>
    <row r="4080" spans="1:10">
      <c r="A4080" s="1">
        <v>41246</v>
      </c>
      <c r="B4080">
        <v>190.76</v>
      </c>
      <c r="C4080">
        <v>191.3</v>
      </c>
      <c r="D4080">
        <v>188.36</v>
      </c>
      <c r="E4080">
        <v>189.48</v>
      </c>
      <c r="F4080">
        <v>3349600</v>
      </c>
      <c r="G4080">
        <v>185.87</v>
      </c>
      <c r="H4080" t="s">
        <v>7</v>
      </c>
      <c r="I4080" s="22">
        <f t="shared" si="127"/>
        <v>-3.1156020045681261E-3</v>
      </c>
      <c r="J4080" s="22" t="str">
        <f t="shared" si="128"/>
        <v>lost money</v>
      </c>
    </row>
    <row r="4081" spans="1:10">
      <c r="A4081" s="1">
        <v>41247</v>
      </c>
      <c r="B4081">
        <v>189.71</v>
      </c>
      <c r="C4081">
        <v>190.75</v>
      </c>
      <c r="D4081">
        <v>189.02</v>
      </c>
      <c r="E4081">
        <v>189.36</v>
      </c>
      <c r="F4081">
        <v>3990700</v>
      </c>
      <c r="G4081">
        <v>185.76</v>
      </c>
      <c r="H4081" t="s">
        <v>7</v>
      </c>
      <c r="I4081" s="22">
        <f t="shared" si="127"/>
        <v>-5.9198667068031464E-4</v>
      </c>
      <c r="J4081" s="22" t="str">
        <f t="shared" si="128"/>
        <v>lost money</v>
      </c>
    </row>
    <row r="4082" spans="1:10">
      <c r="A4082" s="1">
        <v>41248</v>
      </c>
      <c r="B4082">
        <v>189.01</v>
      </c>
      <c r="C4082">
        <v>189.46</v>
      </c>
      <c r="D4082">
        <v>186.94</v>
      </c>
      <c r="E4082">
        <v>188.65</v>
      </c>
      <c r="F4082">
        <v>4202100</v>
      </c>
      <c r="G4082">
        <v>185.06</v>
      </c>
      <c r="H4082" t="s">
        <v>7</v>
      </c>
      <c r="I4082" s="22">
        <f t="shared" si="127"/>
        <v>-3.7754211286971325E-3</v>
      </c>
      <c r="J4082" s="22" t="str">
        <f t="shared" si="128"/>
        <v>lost money</v>
      </c>
    </row>
    <row r="4083" spans="1:10">
      <c r="A4083" s="1">
        <v>41249</v>
      </c>
      <c r="B4083">
        <v>189.17</v>
      </c>
      <c r="C4083">
        <v>190.18</v>
      </c>
      <c r="D4083">
        <v>188.41</v>
      </c>
      <c r="E4083">
        <v>189.7</v>
      </c>
      <c r="F4083">
        <v>3216600</v>
      </c>
      <c r="G4083">
        <v>186.09</v>
      </c>
      <c r="H4083" t="s">
        <v>7</v>
      </c>
      <c r="I4083" s="22">
        <f t="shared" si="127"/>
        <v>5.550330832251751E-3</v>
      </c>
      <c r="J4083" s="22" t="str">
        <f t="shared" si="128"/>
        <v/>
      </c>
    </row>
    <row r="4084" spans="1:10">
      <c r="A4084" s="1">
        <v>41250</v>
      </c>
      <c r="B4084">
        <v>190.14</v>
      </c>
      <c r="C4084">
        <v>192.2</v>
      </c>
      <c r="D4084">
        <v>190.11</v>
      </c>
      <c r="E4084">
        <v>191.95</v>
      </c>
      <c r="F4084">
        <v>4091300</v>
      </c>
      <c r="G4084">
        <v>188.3</v>
      </c>
      <c r="H4084" t="s">
        <v>7</v>
      </c>
      <c r="I4084" s="22">
        <f t="shared" si="127"/>
        <v>1.1806008009970934E-2</v>
      </c>
      <c r="J4084" s="22" t="str">
        <f t="shared" si="128"/>
        <v/>
      </c>
    </row>
    <row r="4085" spans="1:10">
      <c r="A4085" s="1">
        <v>41253</v>
      </c>
      <c r="B4085">
        <v>192.17</v>
      </c>
      <c r="C4085">
        <v>193.54</v>
      </c>
      <c r="D4085">
        <v>191.65</v>
      </c>
      <c r="E4085">
        <v>192.62</v>
      </c>
      <c r="F4085">
        <v>3438500</v>
      </c>
      <c r="G4085">
        <v>188.95</v>
      </c>
      <c r="H4085" t="s">
        <v>7</v>
      </c>
      <c r="I4085" s="22">
        <f t="shared" si="127"/>
        <v>3.4459941323911232E-3</v>
      </c>
      <c r="J4085" s="22" t="str">
        <f t="shared" si="128"/>
        <v/>
      </c>
    </row>
    <row r="4086" spans="1:10">
      <c r="A4086" s="1">
        <v>41254</v>
      </c>
      <c r="B4086">
        <v>193.18</v>
      </c>
      <c r="C4086">
        <v>194.8</v>
      </c>
      <c r="D4086">
        <v>193.15</v>
      </c>
      <c r="E4086">
        <v>194.2</v>
      </c>
      <c r="F4086">
        <v>4144000</v>
      </c>
      <c r="G4086">
        <v>190.5</v>
      </c>
      <c r="H4086" t="s">
        <v>7</v>
      </c>
      <c r="I4086" s="22">
        <f t="shared" si="127"/>
        <v>8.1697647712577811E-3</v>
      </c>
      <c r="J4086" s="22" t="str">
        <f t="shared" si="128"/>
        <v/>
      </c>
    </row>
    <row r="4087" spans="1:10">
      <c r="A4087" s="1">
        <v>41255</v>
      </c>
      <c r="B4087">
        <v>194.6</v>
      </c>
      <c r="C4087">
        <v>194.75</v>
      </c>
      <c r="D4087">
        <v>192.46</v>
      </c>
      <c r="E4087">
        <v>192.95</v>
      </c>
      <c r="F4087">
        <v>4241900</v>
      </c>
      <c r="G4087">
        <v>189.28</v>
      </c>
      <c r="H4087" t="s">
        <v>7</v>
      </c>
      <c r="I4087" s="22">
        <f t="shared" si="127"/>
        <v>-6.4247943366790442E-3</v>
      </c>
      <c r="J4087" s="22" t="str">
        <f t="shared" si="128"/>
        <v>lost money</v>
      </c>
    </row>
    <row r="4088" spans="1:10">
      <c r="A4088" s="1">
        <v>41256</v>
      </c>
      <c r="B4088">
        <v>192.18</v>
      </c>
      <c r="C4088">
        <v>193.05</v>
      </c>
      <c r="D4088">
        <v>191.37</v>
      </c>
      <c r="E4088">
        <v>191.99</v>
      </c>
      <c r="F4088">
        <v>3623200</v>
      </c>
      <c r="G4088">
        <v>188.34</v>
      </c>
      <c r="H4088" t="s">
        <v>7</v>
      </c>
      <c r="I4088" s="22">
        <f t="shared" si="127"/>
        <v>-4.9785601481594352E-3</v>
      </c>
      <c r="J4088" s="22" t="str">
        <f t="shared" si="128"/>
        <v>lost money</v>
      </c>
    </row>
    <row r="4089" spans="1:10">
      <c r="A4089" s="1">
        <v>41257</v>
      </c>
      <c r="B4089">
        <v>191.69</v>
      </c>
      <c r="C4089">
        <v>193.4</v>
      </c>
      <c r="D4089">
        <v>191.26</v>
      </c>
      <c r="E4089">
        <v>191.76</v>
      </c>
      <c r="F4089">
        <v>3826900</v>
      </c>
      <c r="G4089">
        <v>188.11</v>
      </c>
      <c r="H4089" t="s">
        <v>7</v>
      </c>
      <c r="I4089" s="22">
        <f t="shared" si="127"/>
        <v>-1.2219419769879049E-3</v>
      </c>
      <c r="J4089" s="22" t="str">
        <f t="shared" si="128"/>
        <v/>
      </c>
    </row>
    <row r="4090" spans="1:10">
      <c r="A4090" s="1">
        <v>41260</v>
      </c>
      <c r="B4090">
        <v>191.76</v>
      </c>
      <c r="C4090">
        <v>193.91</v>
      </c>
      <c r="D4090">
        <v>191.76</v>
      </c>
      <c r="E4090">
        <v>193.62</v>
      </c>
      <c r="F4090">
        <v>3792400</v>
      </c>
      <c r="G4090">
        <v>189.93</v>
      </c>
      <c r="H4090" t="s">
        <v>7</v>
      </c>
      <c r="I4090" s="22">
        <f t="shared" si="127"/>
        <v>9.6286851192154757E-3</v>
      </c>
      <c r="J4090" s="22" t="str">
        <f t="shared" si="128"/>
        <v/>
      </c>
    </row>
    <row r="4091" spans="1:10">
      <c r="A4091" s="1">
        <v>41261</v>
      </c>
      <c r="B4091">
        <v>193.85</v>
      </c>
      <c r="C4091">
        <v>195.92</v>
      </c>
      <c r="D4091">
        <v>193.84</v>
      </c>
      <c r="E4091">
        <v>195.69</v>
      </c>
      <c r="F4091">
        <v>4125900</v>
      </c>
      <c r="G4091">
        <v>191.96</v>
      </c>
      <c r="H4091" t="s">
        <v>7</v>
      </c>
      <c r="I4091" s="22">
        <f t="shared" si="127"/>
        <v>1.0631433765900013E-2</v>
      </c>
      <c r="J4091" s="22" t="str">
        <f t="shared" si="128"/>
        <v/>
      </c>
    </row>
    <row r="4092" spans="1:10">
      <c r="A4092" s="1">
        <v>41262</v>
      </c>
      <c r="B4092">
        <v>195.46</v>
      </c>
      <c r="C4092">
        <v>196.45</v>
      </c>
      <c r="D4092">
        <v>195</v>
      </c>
      <c r="E4092">
        <v>195.08</v>
      </c>
      <c r="F4092">
        <v>4270500</v>
      </c>
      <c r="G4092">
        <v>191.37</v>
      </c>
      <c r="H4092" t="s">
        <v>7</v>
      </c>
      <c r="I4092" s="22">
        <f t="shared" si="127"/>
        <v>-3.0782900680711811E-3</v>
      </c>
      <c r="J4092" s="22" t="str">
        <f t="shared" si="128"/>
        <v>lost money</v>
      </c>
    </row>
    <row r="4093" spans="1:10">
      <c r="A4093" s="1">
        <v>41263</v>
      </c>
      <c r="B4093">
        <v>194.47</v>
      </c>
      <c r="C4093">
        <v>194.95</v>
      </c>
      <c r="D4093">
        <v>193.16</v>
      </c>
      <c r="E4093">
        <v>194.77</v>
      </c>
      <c r="F4093">
        <v>4184500</v>
      </c>
      <c r="G4093">
        <v>191.06</v>
      </c>
      <c r="H4093" t="s">
        <v>7</v>
      </c>
      <c r="I4093" s="22">
        <f t="shared" si="127"/>
        <v>-1.6212120801113023E-3</v>
      </c>
      <c r="J4093" s="22" t="str">
        <f t="shared" si="128"/>
        <v/>
      </c>
    </row>
    <row r="4094" spans="1:10">
      <c r="A4094" s="1">
        <v>41264</v>
      </c>
      <c r="B4094">
        <v>193.1</v>
      </c>
      <c r="C4094">
        <v>194.5</v>
      </c>
      <c r="D4094">
        <v>191.57</v>
      </c>
      <c r="E4094">
        <v>193.42</v>
      </c>
      <c r="F4094">
        <v>8225300</v>
      </c>
      <c r="G4094">
        <v>189.74</v>
      </c>
      <c r="H4094" t="s">
        <v>7</v>
      </c>
      <c r="I4094" s="22">
        <f t="shared" si="127"/>
        <v>-6.9328008771315517E-3</v>
      </c>
      <c r="J4094" s="22" t="str">
        <f t="shared" si="128"/>
        <v/>
      </c>
    </row>
    <row r="4095" spans="1:10">
      <c r="A4095" s="1">
        <v>41267</v>
      </c>
      <c r="B4095">
        <v>193.05</v>
      </c>
      <c r="C4095">
        <v>193.83</v>
      </c>
      <c r="D4095">
        <v>192.02</v>
      </c>
      <c r="E4095">
        <v>192.4</v>
      </c>
      <c r="F4095">
        <v>1631200</v>
      </c>
      <c r="G4095">
        <v>188.74</v>
      </c>
      <c r="H4095" t="s">
        <v>7</v>
      </c>
      <c r="I4095" s="22">
        <f t="shared" si="127"/>
        <v>-5.2843073715437578E-3</v>
      </c>
      <c r="J4095" s="22" t="str">
        <f t="shared" si="128"/>
        <v>lost money</v>
      </c>
    </row>
    <row r="4096" spans="1:10">
      <c r="A4096" s="1">
        <v>41269</v>
      </c>
      <c r="B4096">
        <v>192.21</v>
      </c>
      <c r="C4096">
        <v>193.53</v>
      </c>
      <c r="D4096">
        <v>190.95</v>
      </c>
      <c r="E4096">
        <v>191.95</v>
      </c>
      <c r="F4096">
        <v>2776500</v>
      </c>
      <c r="G4096">
        <v>188.3</v>
      </c>
      <c r="H4096" t="s">
        <v>7</v>
      </c>
      <c r="I4096" s="22">
        <f t="shared" si="127"/>
        <v>-2.3339709300802067E-3</v>
      </c>
      <c r="J4096" s="22" t="str">
        <f t="shared" si="128"/>
        <v>lost money</v>
      </c>
    </row>
    <row r="4097" spans="1:10">
      <c r="A4097" s="1">
        <v>41270</v>
      </c>
      <c r="B4097">
        <v>191.53</v>
      </c>
      <c r="C4097">
        <v>193.28</v>
      </c>
      <c r="D4097">
        <v>190.7</v>
      </c>
      <c r="E4097">
        <v>192.71</v>
      </c>
      <c r="F4097">
        <v>3967600</v>
      </c>
      <c r="G4097">
        <v>189.04</v>
      </c>
      <c r="H4097" t="s">
        <v>7</v>
      </c>
      <c r="I4097" s="22">
        <f t="shared" si="127"/>
        <v>3.9221972155455472E-3</v>
      </c>
      <c r="J4097" s="22" t="str">
        <f t="shared" si="128"/>
        <v/>
      </c>
    </row>
    <row r="4098" spans="1:10">
      <c r="A4098" s="1">
        <v>41271</v>
      </c>
      <c r="B4098">
        <v>191.11</v>
      </c>
      <c r="C4098">
        <v>192.22</v>
      </c>
      <c r="D4098">
        <v>189.83</v>
      </c>
      <c r="E4098">
        <v>189.83</v>
      </c>
      <c r="F4098">
        <v>3536600</v>
      </c>
      <c r="G4098">
        <v>186.22</v>
      </c>
      <c r="H4098" t="s">
        <v>7</v>
      </c>
      <c r="I4098" s="22">
        <f t="shared" si="127"/>
        <v>-1.5029862418268636E-2</v>
      </c>
      <c r="J4098" s="22" t="str">
        <f t="shared" si="128"/>
        <v>lost money</v>
      </c>
    </row>
    <row r="4099" spans="1:10">
      <c r="A4099" s="1">
        <v>41274</v>
      </c>
      <c r="B4099">
        <v>189.23</v>
      </c>
      <c r="C4099">
        <v>191.68</v>
      </c>
      <c r="D4099">
        <v>188.84</v>
      </c>
      <c r="E4099">
        <v>191.55</v>
      </c>
      <c r="F4099">
        <v>4684900</v>
      </c>
      <c r="G4099">
        <v>187.9</v>
      </c>
      <c r="H4099" t="s">
        <v>7</v>
      </c>
      <c r="I4099" s="22">
        <f t="shared" ref="I4099:I4162" si="129">IF(A4099=$A$2,"",LN(G4099/G4098))</f>
        <v>8.9811359590358658E-3</v>
      </c>
      <c r="J4099" s="22" t="str">
        <f t="shared" ref="J4099:J4162" si="130">IF(B4099&gt;E4099,"lost money","")</f>
        <v/>
      </c>
    </row>
    <row r="4100" spans="1:10">
      <c r="A4100" s="1">
        <v>41276</v>
      </c>
      <c r="B4100">
        <v>194.09</v>
      </c>
      <c r="C4100">
        <v>196.35</v>
      </c>
      <c r="D4100">
        <v>193.8</v>
      </c>
      <c r="E4100">
        <v>196.35</v>
      </c>
      <c r="F4100">
        <v>4234100</v>
      </c>
      <c r="G4100">
        <v>192.61</v>
      </c>
      <c r="H4100" t="s">
        <v>7</v>
      </c>
      <c r="I4100" s="22">
        <f t="shared" si="129"/>
        <v>2.4757512676711377E-2</v>
      </c>
      <c r="J4100" s="22" t="str">
        <f t="shared" si="130"/>
        <v/>
      </c>
    </row>
    <row r="4101" spans="1:10">
      <c r="A4101" s="1">
        <v>41277</v>
      </c>
      <c r="B4101">
        <v>195.67</v>
      </c>
      <c r="C4101">
        <v>196.29</v>
      </c>
      <c r="D4101">
        <v>194.44</v>
      </c>
      <c r="E4101">
        <v>195.27</v>
      </c>
      <c r="F4101">
        <v>3644700</v>
      </c>
      <c r="G4101">
        <v>191.55</v>
      </c>
      <c r="H4101" t="s">
        <v>7</v>
      </c>
      <c r="I4101" s="22">
        <f t="shared" si="129"/>
        <v>-5.5185479494730908E-3</v>
      </c>
      <c r="J4101" s="22" t="str">
        <f t="shared" si="130"/>
        <v>lost money</v>
      </c>
    </row>
    <row r="4102" spans="1:10">
      <c r="A4102" s="1">
        <v>41278</v>
      </c>
      <c r="B4102">
        <v>194.19</v>
      </c>
      <c r="C4102">
        <v>194.46</v>
      </c>
      <c r="D4102">
        <v>192.78</v>
      </c>
      <c r="E4102">
        <v>193.99</v>
      </c>
      <c r="F4102">
        <v>3380200</v>
      </c>
      <c r="G4102">
        <v>190.3</v>
      </c>
      <c r="H4102" t="s">
        <v>7</v>
      </c>
      <c r="I4102" s="22">
        <f t="shared" si="129"/>
        <v>-6.5470968445541953E-3</v>
      </c>
      <c r="J4102" s="22" t="str">
        <f t="shared" si="130"/>
        <v>lost money</v>
      </c>
    </row>
    <row r="4103" spans="1:10">
      <c r="A4103" s="1">
        <v>41281</v>
      </c>
      <c r="B4103">
        <v>193.4</v>
      </c>
      <c r="C4103">
        <v>193.78</v>
      </c>
      <c r="D4103">
        <v>192.34</v>
      </c>
      <c r="E4103">
        <v>193.14</v>
      </c>
      <c r="F4103">
        <v>2862300</v>
      </c>
      <c r="G4103">
        <v>189.46</v>
      </c>
      <c r="H4103" t="s">
        <v>7</v>
      </c>
      <c r="I4103" s="22">
        <f t="shared" si="129"/>
        <v>-4.4238538547153976E-3</v>
      </c>
      <c r="J4103" s="22" t="str">
        <f t="shared" si="130"/>
        <v>lost money</v>
      </c>
    </row>
    <row r="4104" spans="1:10">
      <c r="A4104" s="1">
        <v>41282</v>
      </c>
      <c r="B4104">
        <v>192.92</v>
      </c>
      <c r="C4104">
        <v>193.3</v>
      </c>
      <c r="D4104">
        <v>191.6</v>
      </c>
      <c r="E4104">
        <v>192.87</v>
      </c>
      <c r="F4104">
        <v>3026900</v>
      </c>
      <c r="G4104">
        <v>189.2</v>
      </c>
      <c r="H4104" t="s">
        <v>7</v>
      </c>
      <c r="I4104" s="22">
        <f t="shared" si="129"/>
        <v>-1.3732638296105638E-3</v>
      </c>
      <c r="J4104" s="22" t="str">
        <f t="shared" si="130"/>
        <v>lost money</v>
      </c>
    </row>
    <row r="4105" spans="1:10">
      <c r="A4105" s="1">
        <v>41283</v>
      </c>
      <c r="B4105">
        <v>193.48</v>
      </c>
      <c r="C4105">
        <v>193.49</v>
      </c>
      <c r="D4105">
        <v>191.65</v>
      </c>
      <c r="E4105">
        <v>192.32</v>
      </c>
      <c r="F4105">
        <v>3212000</v>
      </c>
      <c r="G4105">
        <v>188.66</v>
      </c>
      <c r="H4105" t="s">
        <v>7</v>
      </c>
      <c r="I4105" s="22">
        <f t="shared" si="129"/>
        <v>-2.8582033960707627E-3</v>
      </c>
      <c r="J4105" s="22" t="str">
        <f t="shared" si="130"/>
        <v>lost money</v>
      </c>
    </row>
    <row r="4106" spans="1:10">
      <c r="A4106" s="1">
        <v>41284</v>
      </c>
      <c r="B4106">
        <v>192.65</v>
      </c>
      <c r="C4106">
        <v>192.96</v>
      </c>
      <c r="D4106">
        <v>191.28</v>
      </c>
      <c r="E4106">
        <v>192.88</v>
      </c>
      <c r="F4106">
        <v>3608100</v>
      </c>
      <c r="G4106">
        <v>189.21</v>
      </c>
      <c r="H4106" t="s">
        <v>7</v>
      </c>
      <c r="I4106" s="22">
        <f t="shared" si="129"/>
        <v>2.9110561219624544E-3</v>
      </c>
      <c r="J4106" s="22" t="str">
        <f t="shared" si="130"/>
        <v/>
      </c>
    </row>
    <row r="4107" spans="1:10">
      <c r="A4107" s="1">
        <v>41285</v>
      </c>
      <c r="B4107">
        <v>194.15</v>
      </c>
      <c r="C4107">
        <v>195</v>
      </c>
      <c r="D4107">
        <v>192.9</v>
      </c>
      <c r="E4107">
        <v>194.45</v>
      </c>
      <c r="F4107">
        <v>3880400</v>
      </c>
      <c r="G4107">
        <v>190.75</v>
      </c>
      <c r="H4107" t="s">
        <v>7</v>
      </c>
      <c r="I4107" s="22">
        <f t="shared" si="129"/>
        <v>8.1061608208967909E-3</v>
      </c>
      <c r="J4107" s="22" t="str">
        <f t="shared" si="130"/>
        <v/>
      </c>
    </row>
    <row r="4108" spans="1:10">
      <c r="A4108" s="1">
        <v>41288</v>
      </c>
      <c r="B4108">
        <v>192.82</v>
      </c>
      <c r="C4108">
        <v>193.28</v>
      </c>
      <c r="D4108">
        <v>191.75</v>
      </c>
      <c r="E4108">
        <v>192.62</v>
      </c>
      <c r="F4108">
        <v>4172200</v>
      </c>
      <c r="G4108">
        <v>188.95</v>
      </c>
      <c r="H4108" t="s">
        <v>7</v>
      </c>
      <c r="I4108" s="22">
        <f t="shared" si="129"/>
        <v>-9.4812403690684287E-3</v>
      </c>
      <c r="J4108" s="22" t="str">
        <f t="shared" si="130"/>
        <v>lost money</v>
      </c>
    </row>
    <row r="4109" spans="1:10">
      <c r="A4109" s="1">
        <v>41289</v>
      </c>
      <c r="B4109">
        <v>191.31</v>
      </c>
      <c r="C4109">
        <v>192.73</v>
      </c>
      <c r="D4109">
        <v>190.39</v>
      </c>
      <c r="E4109">
        <v>192.5</v>
      </c>
      <c r="F4109">
        <v>4172100</v>
      </c>
      <c r="G4109">
        <v>188.84</v>
      </c>
      <c r="H4109" t="s">
        <v>7</v>
      </c>
      <c r="I4109" s="22">
        <f t="shared" si="129"/>
        <v>-5.8233411741187156E-4</v>
      </c>
      <c r="J4109" s="22" t="str">
        <f t="shared" si="130"/>
        <v/>
      </c>
    </row>
    <row r="4110" spans="1:10">
      <c r="A4110" s="1">
        <v>41290</v>
      </c>
      <c r="B4110">
        <v>192</v>
      </c>
      <c r="C4110">
        <v>193.18</v>
      </c>
      <c r="D4110">
        <v>191.35</v>
      </c>
      <c r="E4110">
        <v>192.59</v>
      </c>
      <c r="F4110">
        <v>2962900</v>
      </c>
      <c r="G4110">
        <v>188.92</v>
      </c>
      <c r="H4110" t="s">
        <v>7</v>
      </c>
      <c r="I4110" s="22">
        <f t="shared" si="129"/>
        <v>4.2354934983022393E-4</v>
      </c>
      <c r="J4110" s="22" t="str">
        <f t="shared" si="130"/>
        <v/>
      </c>
    </row>
    <row r="4111" spans="1:10">
      <c r="A4111" s="1">
        <v>41291</v>
      </c>
      <c r="B4111">
        <v>193.85</v>
      </c>
      <c r="C4111">
        <v>194.46</v>
      </c>
      <c r="D4111">
        <v>193.24</v>
      </c>
      <c r="E4111">
        <v>193.65</v>
      </c>
      <c r="F4111">
        <v>3881600</v>
      </c>
      <c r="G4111">
        <v>189.96</v>
      </c>
      <c r="H4111" t="s">
        <v>7</v>
      </c>
      <c r="I4111" s="22">
        <f t="shared" si="129"/>
        <v>5.4898786530049332E-3</v>
      </c>
      <c r="J4111" s="22" t="str">
        <f t="shared" si="130"/>
        <v>lost money</v>
      </c>
    </row>
    <row r="4112" spans="1:10">
      <c r="A4112" s="1">
        <v>41292</v>
      </c>
      <c r="B4112">
        <v>194.03</v>
      </c>
      <c r="C4112">
        <v>195</v>
      </c>
      <c r="D4112">
        <v>193.8</v>
      </c>
      <c r="E4112">
        <v>194.47</v>
      </c>
      <c r="F4112">
        <v>4559600</v>
      </c>
      <c r="G4112">
        <v>190.77</v>
      </c>
      <c r="H4112" t="s">
        <v>7</v>
      </c>
      <c r="I4112" s="22">
        <f t="shared" si="129"/>
        <v>4.2549902665049268E-3</v>
      </c>
      <c r="J4112" s="22" t="str">
        <f t="shared" si="130"/>
        <v/>
      </c>
    </row>
    <row r="4113" spans="1:10">
      <c r="A4113" s="1">
        <v>41296</v>
      </c>
      <c r="B4113">
        <v>194.36</v>
      </c>
      <c r="C4113">
        <v>196.08</v>
      </c>
      <c r="D4113">
        <v>194.01</v>
      </c>
      <c r="E4113">
        <v>196.08</v>
      </c>
      <c r="F4113">
        <v>7172300</v>
      </c>
      <c r="G4113">
        <v>192.35</v>
      </c>
      <c r="H4113" t="s">
        <v>7</v>
      </c>
      <c r="I4113" s="22">
        <f t="shared" si="129"/>
        <v>8.2481152508779611E-3</v>
      </c>
      <c r="J4113" s="22" t="str">
        <f t="shared" si="130"/>
        <v/>
      </c>
    </row>
    <row r="4114" spans="1:10">
      <c r="A4114" s="1">
        <v>41297</v>
      </c>
      <c r="B4114">
        <v>203.5</v>
      </c>
      <c r="C4114">
        <v>208.58</v>
      </c>
      <c r="D4114">
        <v>203.36</v>
      </c>
      <c r="E4114">
        <v>204.72</v>
      </c>
      <c r="F4114">
        <v>12530500</v>
      </c>
      <c r="G4114">
        <v>200.82</v>
      </c>
      <c r="H4114" t="s">
        <v>7</v>
      </c>
      <c r="I4114" s="22">
        <f t="shared" si="129"/>
        <v>4.3092355252986159E-2</v>
      </c>
      <c r="J4114" s="22" t="str">
        <f t="shared" si="130"/>
        <v/>
      </c>
    </row>
    <row r="4115" spans="1:10">
      <c r="A4115" s="1">
        <v>41298</v>
      </c>
      <c r="B4115">
        <v>203.91</v>
      </c>
      <c r="C4115">
        <v>205.06</v>
      </c>
      <c r="D4115">
        <v>203.08</v>
      </c>
      <c r="E4115">
        <v>204.42</v>
      </c>
      <c r="F4115">
        <v>4447200</v>
      </c>
      <c r="G4115">
        <v>200.53</v>
      </c>
      <c r="H4115" t="s">
        <v>7</v>
      </c>
      <c r="I4115" s="22">
        <f t="shared" si="129"/>
        <v>-1.4451229623480037E-3</v>
      </c>
      <c r="J4115" s="22" t="str">
        <f t="shared" si="130"/>
        <v/>
      </c>
    </row>
    <row r="4116" spans="1:10">
      <c r="A4116" s="1">
        <v>41299</v>
      </c>
      <c r="B4116">
        <v>204.45</v>
      </c>
      <c r="C4116">
        <v>205.18</v>
      </c>
      <c r="D4116">
        <v>204.13</v>
      </c>
      <c r="E4116">
        <v>204.97</v>
      </c>
      <c r="F4116">
        <v>3358900</v>
      </c>
      <c r="G4116">
        <v>201.07</v>
      </c>
      <c r="H4116" t="s">
        <v>7</v>
      </c>
      <c r="I4116" s="22">
        <f t="shared" si="129"/>
        <v>2.6892446486135352E-3</v>
      </c>
      <c r="J4116" s="22" t="str">
        <f t="shared" si="130"/>
        <v/>
      </c>
    </row>
    <row r="4117" spans="1:10">
      <c r="A4117" s="1">
        <v>41302</v>
      </c>
      <c r="B4117">
        <v>204.85</v>
      </c>
      <c r="C4117">
        <v>206.22</v>
      </c>
      <c r="D4117">
        <v>204.29</v>
      </c>
      <c r="E4117">
        <v>204.93</v>
      </c>
      <c r="F4117">
        <v>2823700</v>
      </c>
      <c r="G4117">
        <v>201.03</v>
      </c>
      <c r="H4117" t="s">
        <v>7</v>
      </c>
      <c r="I4117" s="22">
        <f t="shared" si="129"/>
        <v>-1.9895548436673233E-4</v>
      </c>
      <c r="J4117" s="22" t="str">
        <f t="shared" si="130"/>
        <v/>
      </c>
    </row>
    <row r="4118" spans="1:10">
      <c r="A4118" s="1">
        <v>41303</v>
      </c>
      <c r="B4118">
        <v>204.34</v>
      </c>
      <c r="C4118">
        <v>205.73</v>
      </c>
      <c r="D4118">
        <v>203.64</v>
      </c>
      <c r="E4118">
        <v>203.9</v>
      </c>
      <c r="F4118">
        <v>3617100</v>
      </c>
      <c r="G4118">
        <v>200.02</v>
      </c>
      <c r="H4118" t="s">
        <v>7</v>
      </c>
      <c r="I4118" s="22">
        <f t="shared" si="129"/>
        <v>-5.0367891048189979E-3</v>
      </c>
      <c r="J4118" s="22" t="str">
        <f t="shared" si="130"/>
        <v>lost money</v>
      </c>
    </row>
    <row r="4119" spans="1:10">
      <c r="A4119" s="1">
        <v>41304</v>
      </c>
      <c r="B4119">
        <v>203.69</v>
      </c>
      <c r="C4119">
        <v>204.88</v>
      </c>
      <c r="D4119">
        <v>203.19</v>
      </c>
      <c r="E4119">
        <v>203.52</v>
      </c>
      <c r="F4119">
        <v>2998400</v>
      </c>
      <c r="G4119">
        <v>199.65</v>
      </c>
      <c r="H4119" t="s">
        <v>7</v>
      </c>
      <c r="I4119" s="22">
        <f t="shared" si="129"/>
        <v>-1.8515280391396298E-3</v>
      </c>
      <c r="J4119" s="22" t="str">
        <f t="shared" si="130"/>
        <v>lost money</v>
      </c>
    </row>
    <row r="4120" spans="1:10">
      <c r="A4120" s="1">
        <v>41305</v>
      </c>
      <c r="B4120">
        <v>203.32</v>
      </c>
      <c r="C4120">
        <v>204.47</v>
      </c>
      <c r="D4120">
        <v>202.96</v>
      </c>
      <c r="E4120">
        <v>203.07</v>
      </c>
      <c r="F4120">
        <v>3091400</v>
      </c>
      <c r="G4120">
        <v>199.2</v>
      </c>
      <c r="H4120" t="s">
        <v>7</v>
      </c>
      <c r="I4120" s="22">
        <f t="shared" si="129"/>
        <v>-2.2564883587325038E-3</v>
      </c>
      <c r="J4120" s="22" t="str">
        <f t="shared" si="130"/>
        <v>lost money</v>
      </c>
    </row>
    <row r="4121" spans="1:10">
      <c r="A4121" s="1">
        <v>41306</v>
      </c>
      <c r="B4121">
        <v>204.65</v>
      </c>
      <c r="C4121">
        <v>205.35</v>
      </c>
      <c r="D4121">
        <v>203.84</v>
      </c>
      <c r="E4121">
        <v>205.18</v>
      </c>
      <c r="F4121">
        <v>3370700</v>
      </c>
      <c r="G4121">
        <v>201.27</v>
      </c>
      <c r="H4121" t="s">
        <v>7</v>
      </c>
      <c r="I4121" s="22">
        <f t="shared" si="129"/>
        <v>1.0337945092408709E-2</v>
      </c>
      <c r="J4121" s="22" t="str">
        <f t="shared" si="130"/>
        <v/>
      </c>
    </row>
    <row r="4122" spans="1:10">
      <c r="A4122" s="1">
        <v>41309</v>
      </c>
      <c r="B4122">
        <v>204.19</v>
      </c>
      <c r="C4122">
        <v>205.02</v>
      </c>
      <c r="D4122">
        <v>203.57</v>
      </c>
      <c r="E4122">
        <v>203.79</v>
      </c>
      <c r="F4122">
        <v>3188800</v>
      </c>
      <c r="G4122">
        <v>199.91</v>
      </c>
      <c r="H4122" t="s">
        <v>7</v>
      </c>
      <c r="I4122" s="22">
        <f t="shared" si="129"/>
        <v>-6.7800249752550537E-3</v>
      </c>
      <c r="J4122" s="22" t="str">
        <f t="shared" si="130"/>
        <v>lost money</v>
      </c>
    </row>
    <row r="4123" spans="1:10">
      <c r="A4123" s="1">
        <v>41310</v>
      </c>
      <c r="B4123">
        <v>204.31</v>
      </c>
      <c r="C4123">
        <v>204.75</v>
      </c>
      <c r="D4123">
        <v>202.51</v>
      </c>
      <c r="E4123">
        <v>202.79</v>
      </c>
      <c r="F4123">
        <v>3636900</v>
      </c>
      <c r="G4123">
        <v>198.93</v>
      </c>
      <c r="H4123" t="s">
        <v>7</v>
      </c>
      <c r="I4123" s="22">
        <f t="shared" si="129"/>
        <v>-4.9142612187654013E-3</v>
      </c>
      <c r="J4123" s="22" t="str">
        <f t="shared" si="130"/>
        <v>lost money</v>
      </c>
    </row>
    <row r="4124" spans="1:10">
      <c r="A4124" s="1">
        <v>41311</v>
      </c>
      <c r="B4124">
        <v>200.39</v>
      </c>
      <c r="C4124">
        <v>201.29</v>
      </c>
      <c r="D4124">
        <v>199.56</v>
      </c>
      <c r="E4124">
        <v>201.02</v>
      </c>
      <c r="F4124">
        <v>3624200</v>
      </c>
      <c r="G4124">
        <v>198.02</v>
      </c>
      <c r="H4124" t="s">
        <v>7</v>
      </c>
      <c r="I4124" s="22">
        <f t="shared" si="129"/>
        <v>-4.5849683545172853E-3</v>
      </c>
      <c r="J4124" s="22" t="str">
        <f t="shared" si="130"/>
        <v/>
      </c>
    </row>
    <row r="4125" spans="1:10">
      <c r="A4125" s="1">
        <v>41312</v>
      </c>
      <c r="B4125">
        <v>200.62</v>
      </c>
      <c r="C4125">
        <v>200.91</v>
      </c>
      <c r="D4125">
        <v>198.68</v>
      </c>
      <c r="E4125">
        <v>199.74</v>
      </c>
      <c r="F4125">
        <v>3076700</v>
      </c>
      <c r="G4125">
        <v>196.76</v>
      </c>
      <c r="H4125" t="s">
        <v>7</v>
      </c>
      <c r="I4125" s="22">
        <f t="shared" si="129"/>
        <v>-6.3833237672296025E-3</v>
      </c>
      <c r="J4125" s="22" t="str">
        <f t="shared" si="130"/>
        <v>lost money</v>
      </c>
    </row>
    <row r="4126" spans="1:10">
      <c r="A4126" s="1">
        <v>41313</v>
      </c>
      <c r="B4126">
        <v>199.97</v>
      </c>
      <c r="C4126">
        <v>202.09</v>
      </c>
      <c r="D4126">
        <v>199.68</v>
      </c>
      <c r="E4126">
        <v>201.68</v>
      </c>
      <c r="F4126">
        <v>2893300</v>
      </c>
      <c r="G4126">
        <v>198.67</v>
      </c>
      <c r="H4126" t="s">
        <v>7</v>
      </c>
      <c r="I4126" s="22">
        <f t="shared" si="129"/>
        <v>9.6604448528330358E-3</v>
      </c>
      <c r="J4126" s="22" t="str">
        <f t="shared" si="130"/>
        <v/>
      </c>
    </row>
    <row r="4127" spans="1:10">
      <c r="A4127" s="1">
        <v>41316</v>
      </c>
      <c r="B4127">
        <v>200.98</v>
      </c>
      <c r="C4127">
        <v>201.95</v>
      </c>
      <c r="D4127">
        <v>199.75</v>
      </c>
      <c r="E4127">
        <v>200.16</v>
      </c>
      <c r="F4127">
        <v>2944700</v>
      </c>
      <c r="G4127">
        <v>197.18</v>
      </c>
      <c r="H4127" t="s">
        <v>7</v>
      </c>
      <c r="I4127" s="22">
        <f t="shared" si="129"/>
        <v>-7.5281396330767842E-3</v>
      </c>
      <c r="J4127" s="22" t="str">
        <f t="shared" si="130"/>
        <v>lost money</v>
      </c>
    </row>
    <row r="4128" spans="1:10">
      <c r="A4128" s="1">
        <v>41317</v>
      </c>
      <c r="B4128">
        <v>200.01</v>
      </c>
      <c r="C4128">
        <v>200.74</v>
      </c>
      <c r="D4128">
        <v>199.02</v>
      </c>
      <c r="E4128">
        <v>200.04</v>
      </c>
      <c r="F4128">
        <v>2461800</v>
      </c>
      <c r="G4128">
        <v>197.06</v>
      </c>
      <c r="H4128" t="s">
        <v>7</v>
      </c>
      <c r="I4128" s="22">
        <f t="shared" si="129"/>
        <v>-6.0876625256677983E-4</v>
      </c>
      <c r="J4128" s="22" t="str">
        <f t="shared" si="130"/>
        <v/>
      </c>
    </row>
    <row r="4129" spans="1:10">
      <c r="A4129" s="1">
        <v>41318</v>
      </c>
      <c r="B4129">
        <v>200.65</v>
      </c>
      <c r="C4129">
        <v>200.95</v>
      </c>
      <c r="D4129">
        <v>199.57</v>
      </c>
      <c r="E4129">
        <v>200.09</v>
      </c>
      <c r="F4129">
        <v>2169800</v>
      </c>
      <c r="G4129">
        <v>197.11</v>
      </c>
      <c r="H4129" t="s">
        <v>7</v>
      </c>
      <c r="I4129" s="22">
        <f t="shared" si="129"/>
        <v>2.5369764450957634E-4</v>
      </c>
      <c r="J4129" s="22" t="str">
        <f t="shared" si="130"/>
        <v>lost money</v>
      </c>
    </row>
    <row r="4130" spans="1:10">
      <c r="A4130" s="1">
        <v>41319</v>
      </c>
      <c r="B4130">
        <v>199.73</v>
      </c>
      <c r="C4130">
        <v>200.32</v>
      </c>
      <c r="D4130">
        <v>199.26</v>
      </c>
      <c r="E4130">
        <v>199.65</v>
      </c>
      <c r="F4130">
        <v>3294200</v>
      </c>
      <c r="G4130">
        <v>196.67</v>
      </c>
      <c r="H4130" t="s">
        <v>7</v>
      </c>
      <c r="I4130" s="22">
        <f t="shared" si="129"/>
        <v>-2.2347512982756864E-3</v>
      </c>
      <c r="J4130" s="22" t="str">
        <f t="shared" si="130"/>
        <v>lost money</v>
      </c>
    </row>
    <row r="4131" spans="1:10">
      <c r="A4131" s="1">
        <v>41320</v>
      </c>
      <c r="B4131">
        <v>199.98</v>
      </c>
      <c r="C4131">
        <v>201.25</v>
      </c>
      <c r="D4131">
        <v>199.82</v>
      </c>
      <c r="E4131">
        <v>200.98</v>
      </c>
      <c r="F4131">
        <v>3627800</v>
      </c>
      <c r="G4131">
        <v>197.98</v>
      </c>
      <c r="H4131" t="s">
        <v>7</v>
      </c>
      <c r="I4131" s="22">
        <f t="shared" si="129"/>
        <v>6.6388182510987393E-3</v>
      </c>
      <c r="J4131" s="22" t="str">
        <f t="shared" si="130"/>
        <v/>
      </c>
    </row>
    <row r="4132" spans="1:10">
      <c r="A4132" s="1">
        <v>41324</v>
      </c>
      <c r="B4132">
        <v>200.6</v>
      </c>
      <c r="C4132">
        <v>201.89</v>
      </c>
      <c r="D4132">
        <v>200.22</v>
      </c>
      <c r="E4132">
        <v>200.32</v>
      </c>
      <c r="F4132">
        <v>2998300</v>
      </c>
      <c r="G4132">
        <v>197.33</v>
      </c>
      <c r="H4132" t="s">
        <v>7</v>
      </c>
      <c r="I4132" s="22">
        <f t="shared" si="129"/>
        <v>-3.2885613103267194E-3</v>
      </c>
      <c r="J4132" s="22" t="str">
        <f t="shared" si="130"/>
        <v>lost money</v>
      </c>
    </row>
    <row r="4133" spans="1:10">
      <c r="A4133" s="1">
        <v>41325</v>
      </c>
      <c r="B4133">
        <v>200.62</v>
      </c>
      <c r="C4133">
        <v>201.72</v>
      </c>
      <c r="D4133">
        <v>198.86</v>
      </c>
      <c r="E4133">
        <v>199.31</v>
      </c>
      <c r="F4133">
        <v>3715400</v>
      </c>
      <c r="G4133">
        <v>196.34</v>
      </c>
      <c r="H4133" t="s">
        <v>7</v>
      </c>
      <c r="I4133" s="22">
        <f t="shared" si="129"/>
        <v>-5.029603916959214E-3</v>
      </c>
      <c r="J4133" s="22" t="str">
        <f t="shared" si="130"/>
        <v>lost money</v>
      </c>
    </row>
    <row r="4134" spans="1:10">
      <c r="A4134" s="1">
        <v>41326</v>
      </c>
      <c r="B4134">
        <v>198.63</v>
      </c>
      <c r="C4134">
        <v>199.07</v>
      </c>
      <c r="D4134">
        <v>198.11</v>
      </c>
      <c r="E4134">
        <v>198.33</v>
      </c>
      <c r="F4134">
        <v>3922900</v>
      </c>
      <c r="G4134">
        <v>195.37</v>
      </c>
      <c r="H4134" t="s">
        <v>7</v>
      </c>
      <c r="I4134" s="22">
        <f t="shared" si="129"/>
        <v>-4.9526536608311827E-3</v>
      </c>
      <c r="J4134" s="22" t="str">
        <f t="shared" si="130"/>
        <v>lost money</v>
      </c>
    </row>
    <row r="4135" spans="1:10">
      <c r="A4135" s="1">
        <v>41327</v>
      </c>
      <c r="B4135">
        <v>199.23</v>
      </c>
      <c r="C4135">
        <v>201.09</v>
      </c>
      <c r="D4135">
        <v>198.84</v>
      </c>
      <c r="E4135">
        <v>201.09</v>
      </c>
      <c r="F4135">
        <v>3107900</v>
      </c>
      <c r="G4135">
        <v>198.09</v>
      </c>
      <c r="H4135" t="s">
        <v>7</v>
      </c>
      <c r="I4135" s="22">
        <f t="shared" si="129"/>
        <v>1.3826276271045677E-2</v>
      </c>
      <c r="J4135" s="22" t="str">
        <f t="shared" si="130"/>
        <v/>
      </c>
    </row>
    <row r="4136" spans="1:10">
      <c r="A4136" s="1">
        <v>41330</v>
      </c>
      <c r="B4136">
        <v>201.67</v>
      </c>
      <c r="C4136">
        <v>202.49</v>
      </c>
      <c r="D4136">
        <v>197.51</v>
      </c>
      <c r="E4136">
        <v>197.51</v>
      </c>
      <c r="F4136">
        <v>3844800</v>
      </c>
      <c r="G4136">
        <v>194.57</v>
      </c>
      <c r="H4136" t="s">
        <v>7</v>
      </c>
      <c r="I4136" s="22">
        <f t="shared" si="129"/>
        <v>-1.7929477391305102E-2</v>
      </c>
      <c r="J4136" s="22" t="str">
        <f t="shared" si="130"/>
        <v>lost money</v>
      </c>
    </row>
    <row r="4137" spans="1:10">
      <c r="A4137" s="1">
        <v>41331</v>
      </c>
      <c r="B4137">
        <v>198.63</v>
      </c>
      <c r="C4137">
        <v>199.9</v>
      </c>
      <c r="D4137">
        <v>197.84</v>
      </c>
      <c r="E4137">
        <v>199.14</v>
      </c>
      <c r="F4137">
        <v>3391600</v>
      </c>
      <c r="G4137">
        <v>196.17</v>
      </c>
      <c r="H4137" t="s">
        <v>7</v>
      </c>
      <c r="I4137" s="22">
        <f t="shared" si="129"/>
        <v>8.189634758009514E-3</v>
      </c>
      <c r="J4137" s="22" t="str">
        <f t="shared" si="130"/>
        <v/>
      </c>
    </row>
    <row r="4138" spans="1:10">
      <c r="A4138" s="1">
        <v>41332</v>
      </c>
      <c r="B4138">
        <v>198.89</v>
      </c>
      <c r="C4138">
        <v>202.75</v>
      </c>
      <c r="D4138">
        <v>198.6</v>
      </c>
      <c r="E4138">
        <v>202.33</v>
      </c>
      <c r="F4138">
        <v>4185100</v>
      </c>
      <c r="G4138">
        <v>199.31</v>
      </c>
      <c r="H4138" t="s">
        <v>7</v>
      </c>
      <c r="I4138" s="22">
        <f t="shared" si="129"/>
        <v>1.5879771333352135E-2</v>
      </c>
      <c r="J4138" s="22" t="str">
        <f t="shared" si="130"/>
        <v/>
      </c>
    </row>
    <row r="4139" spans="1:10">
      <c r="A4139" s="1">
        <v>41333</v>
      </c>
      <c r="B4139">
        <v>202.18</v>
      </c>
      <c r="C4139">
        <v>203.12</v>
      </c>
      <c r="D4139">
        <v>200.79</v>
      </c>
      <c r="E4139">
        <v>200.83</v>
      </c>
      <c r="F4139">
        <v>4689200</v>
      </c>
      <c r="G4139">
        <v>197.84</v>
      </c>
      <c r="H4139" t="s">
        <v>7</v>
      </c>
      <c r="I4139" s="22">
        <f t="shared" si="129"/>
        <v>-7.402778361485441E-3</v>
      </c>
      <c r="J4139" s="22" t="str">
        <f t="shared" si="130"/>
        <v>lost money</v>
      </c>
    </row>
    <row r="4140" spans="1:10">
      <c r="A4140" s="1">
        <v>41334</v>
      </c>
      <c r="B4140">
        <v>200.65</v>
      </c>
      <c r="C4140">
        <v>202.94</v>
      </c>
      <c r="D4140">
        <v>199.36</v>
      </c>
      <c r="E4140">
        <v>202.91</v>
      </c>
      <c r="F4140">
        <v>3308300</v>
      </c>
      <c r="G4140">
        <v>199.89</v>
      </c>
      <c r="H4140" t="s">
        <v>7</v>
      </c>
      <c r="I4140" s="22">
        <f t="shared" si="129"/>
        <v>1.0308592029394515E-2</v>
      </c>
      <c r="J4140" s="22" t="str">
        <f t="shared" si="130"/>
        <v/>
      </c>
    </row>
    <row r="4141" spans="1:10">
      <c r="A4141" s="1">
        <v>41337</v>
      </c>
      <c r="B4141">
        <v>202.59</v>
      </c>
      <c r="C4141">
        <v>205.19</v>
      </c>
      <c r="D4141">
        <v>202.55</v>
      </c>
      <c r="E4141">
        <v>205.19</v>
      </c>
      <c r="F4141">
        <v>3693400</v>
      </c>
      <c r="G4141">
        <v>202.13</v>
      </c>
      <c r="H4141" t="s">
        <v>7</v>
      </c>
      <c r="I4141" s="22">
        <f t="shared" si="129"/>
        <v>1.1143839516351235E-2</v>
      </c>
      <c r="J4141" s="22" t="str">
        <f t="shared" si="130"/>
        <v/>
      </c>
    </row>
    <row r="4142" spans="1:10">
      <c r="A4142" s="1">
        <v>41338</v>
      </c>
      <c r="B4142">
        <v>205.86</v>
      </c>
      <c r="C4142">
        <v>207.7</v>
      </c>
      <c r="D4142">
        <v>205.69</v>
      </c>
      <c r="E4142">
        <v>206.53</v>
      </c>
      <c r="F4142">
        <v>3807800</v>
      </c>
      <c r="G4142">
        <v>203.45</v>
      </c>
      <c r="H4142" t="s">
        <v>7</v>
      </c>
      <c r="I4142" s="22">
        <f t="shared" si="129"/>
        <v>6.5092196887924338E-3</v>
      </c>
      <c r="J4142" s="22" t="str">
        <f t="shared" si="130"/>
        <v/>
      </c>
    </row>
    <row r="4143" spans="1:10">
      <c r="A4143" s="1">
        <v>41339</v>
      </c>
      <c r="B4143">
        <v>207.03</v>
      </c>
      <c r="C4143">
        <v>208.49</v>
      </c>
      <c r="D4143">
        <v>206.66</v>
      </c>
      <c r="E4143">
        <v>208.38</v>
      </c>
      <c r="F4143">
        <v>3594800</v>
      </c>
      <c r="G4143">
        <v>205.27</v>
      </c>
      <c r="H4143" t="s">
        <v>7</v>
      </c>
      <c r="I4143" s="22">
        <f t="shared" si="129"/>
        <v>8.9059112813885712E-3</v>
      </c>
      <c r="J4143" s="22" t="str">
        <f t="shared" si="130"/>
        <v/>
      </c>
    </row>
    <row r="4144" spans="1:10">
      <c r="A4144" s="1">
        <v>41340</v>
      </c>
      <c r="B4144">
        <v>208.29</v>
      </c>
      <c r="C4144">
        <v>209.6</v>
      </c>
      <c r="D4144">
        <v>208.24</v>
      </c>
      <c r="E4144">
        <v>209.42</v>
      </c>
      <c r="F4144">
        <v>3884400</v>
      </c>
      <c r="G4144">
        <v>206.3</v>
      </c>
      <c r="H4144" t="s">
        <v>7</v>
      </c>
      <c r="I4144" s="22">
        <f t="shared" si="129"/>
        <v>5.0052343481187091E-3</v>
      </c>
      <c r="J4144" s="22" t="str">
        <f t="shared" si="130"/>
        <v/>
      </c>
    </row>
    <row r="4145" spans="1:10">
      <c r="A4145" s="1">
        <v>41341</v>
      </c>
      <c r="B4145">
        <v>209.85</v>
      </c>
      <c r="C4145">
        <v>210.74</v>
      </c>
      <c r="D4145">
        <v>209.43</v>
      </c>
      <c r="E4145">
        <v>210.38</v>
      </c>
      <c r="F4145">
        <v>3700500</v>
      </c>
      <c r="G4145">
        <v>207.24</v>
      </c>
      <c r="H4145" t="s">
        <v>7</v>
      </c>
      <c r="I4145" s="22">
        <f t="shared" si="129"/>
        <v>4.5461218693814785E-3</v>
      </c>
      <c r="J4145" s="22" t="str">
        <f t="shared" si="130"/>
        <v/>
      </c>
    </row>
    <row r="4146" spans="1:10">
      <c r="A4146" s="1">
        <v>41344</v>
      </c>
      <c r="B4146">
        <v>210.04</v>
      </c>
      <c r="C4146">
        <v>210.2</v>
      </c>
      <c r="D4146">
        <v>209.04</v>
      </c>
      <c r="E4146">
        <v>210.08</v>
      </c>
      <c r="F4146">
        <v>3049700</v>
      </c>
      <c r="G4146">
        <v>206.95</v>
      </c>
      <c r="H4146" t="s">
        <v>7</v>
      </c>
      <c r="I4146" s="22">
        <f t="shared" si="129"/>
        <v>-1.4003237518462688E-3</v>
      </c>
      <c r="J4146" s="22" t="str">
        <f t="shared" si="130"/>
        <v/>
      </c>
    </row>
    <row r="4147" spans="1:10">
      <c r="A4147" s="1">
        <v>41345</v>
      </c>
      <c r="B4147">
        <v>209.4</v>
      </c>
      <c r="C4147">
        <v>210.73</v>
      </c>
      <c r="D4147">
        <v>209.09</v>
      </c>
      <c r="E4147">
        <v>210.55</v>
      </c>
      <c r="F4147">
        <v>3591600</v>
      </c>
      <c r="G4147">
        <v>207.41</v>
      </c>
      <c r="H4147" t="s">
        <v>7</v>
      </c>
      <c r="I4147" s="22">
        <f t="shared" si="129"/>
        <v>2.2202924460458253E-3</v>
      </c>
      <c r="J4147" s="22" t="str">
        <f t="shared" si="130"/>
        <v/>
      </c>
    </row>
    <row r="4148" spans="1:10">
      <c r="A4148" s="1">
        <v>41346</v>
      </c>
      <c r="B4148">
        <v>210.2</v>
      </c>
      <c r="C4148">
        <v>212.36</v>
      </c>
      <c r="D4148">
        <v>209.77</v>
      </c>
      <c r="E4148">
        <v>212.06</v>
      </c>
      <c r="F4148">
        <v>3355900</v>
      </c>
      <c r="G4148">
        <v>208.9</v>
      </c>
      <c r="H4148" t="s">
        <v>7</v>
      </c>
      <c r="I4148" s="22">
        <f t="shared" si="129"/>
        <v>7.1581579217329938E-3</v>
      </c>
      <c r="J4148" s="22" t="str">
        <f t="shared" si="130"/>
        <v/>
      </c>
    </row>
    <row r="4149" spans="1:10">
      <c r="A4149" s="1">
        <v>41347</v>
      </c>
      <c r="B4149">
        <v>212.15</v>
      </c>
      <c r="C4149">
        <v>215.86</v>
      </c>
      <c r="D4149">
        <v>212.15</v>
      </c>
      <c r="E4149">
        <v>215.8</v>
      </c>
      <c r="F4149">
        <v>5505500</v>
      </c>
      <c r="G4149">
        <v>212.58</v>
      </c>
      <c r="H4149" t="s">
        <v>7</v>
      </c>
      <c r="I4149" s="22">
        <f t="shared" si="129"/>
        <v>1.7462719542915523E-2</v>
      </c>
      <c r="J4149" s="22" t="str">
        <f t="shared" si="130"/>
        <v/>
      </c>
    </row>
    <row r="4150" spans="1:10">
      <c r="A4150" s="1">
        <v>41348</v>
      </c>
      <c r="B4150">
        <v>215.38</v>
      </c>
      <c r="C4150">
        <v>215.9</v>
      </c>
      <c r="D4150">
        <v>213.41</v>
      </c>
      <c r="E4150">
        <v>214.92</v>
      </c>
      <c r="F4150">
        <v>7930300</v>
      </c>
      <c r="G4150">
        <v>211.72</v>
      </c>
      <c r="H4150" t="s">
        <v>7</v>
      </c>
      <c r="I4150" s="22">
        <f t="shared" si="129"/>
        <v>-4.0537411156489353E-3</v>
      </c>
      <c r="J4150" s="22" t="str">
        <f t="shared" si="130"/>
        <v>lost money</v>
      </c>
    </row>
    <row r="4151" spans="1:10">
      <c r="A4151" s="1">
        <v>41351</v>
      </c>
      <c r="B4151">
        <v>212.9</v>
      </c>
      <c r="C4151">
        <v>214.5</v>
      </c>
      <c r="D4151">
        <v>212.64</v>
      </c>
      <c r="E4151">
        <v>213.21</v>
      </c>
      <c r="F4151">
        <v>3006000</v>
      </c>
      <c r="G4151">
        <v>210.03</v>
      </c>
      <c r="H4151" t="s">
        <v>7</v>
      </c>
      <c r="I4151" s="22">
        <f t="shared" si="129"/>
        <v>-8.0142693325708936E-3</v>
      </c>
      <c r="J4151" s="22" t="str">
        <f t="shared" si="130"/>
        <v/>
      </c>
    </row>
    <row r="4152" spans="1:10">
      <c r="A4152" s="1">
        <v>41352</v>
      </c>
      <c r="B4152">
        <v>214.13</v>
      </c>
      <c r="C4152">
        <v>215.12</v>
      </c>
      <c r="D4152">
        <v>211.83</v>
      </c>
      <c r="E4152">
        <v>213.44</v>
      </c>
      <c r="F4152">
        <v>3198600</v>
      </c>
      <c r="G4152">
        <v>210.26</v>
      </c>
      <c r="H4152" t="s">
        <v>7</v>
      </c>
      <c r="I4152" s="22">
        <f t="shared" si="129"/>
        <v>1.0944824904689876E-3</v>
      </c>
      <c r="J4152" s="22" t="str">
        <f t="shared" si="130"/>
        <v>lost money</v>
      </c>
    </row>
    <row r="4153" spans="1:10">
      <c r="A4153" s="1">
        <v>41353</v>
      </c>
      <c r="B4153">
        <v>214.76</v>
      </c>
      <c r="C4153">
        <v>215.82</v>
      </c>
      <c r="D4153">
        <v>214.3</v>
      </c>
      <c r="E4153">
        <v>215.06</v>
      </c>
      <c r="F4153">
        <v>3019000</v>
      </c>
      <c r="G4153">
        <v>211.85</v>
      </c>
      <c r="H4153" t="s">
        <v>7</v>
      </c>
      <c r="I4153" s="22">
        <f t="shared" si="129"/>
        <v>7.5336169248834709E-3</v>
      </c>
      <c r="J4153" s="22" t="str">
        <f t="shared" si="130"/>
        <v/>
      </c>
    </row>
    <row r="4154" spans="1:10">
      <c r="A4154" s="1">
        <v>41354</v>
      </c>
      <c r="B4154">
        <v>212.96</v>
      </c>
      <c r="C4154">
        <v>213</v>
      </c>
      <c r="D4154">
        <v>210.11</v>
      </c>
      <c r="E4154">
        <v>212.26</v>
      </c>
      <c r="F4154">
        <v>5830400</v>
      </c>
      <c r="G4154">
        <v>209.1</v>
      </c>
      <c r="H4154" t="s">
        <v>7</v>
      </c>
      <c r="I4154" s="22">
        <f t="shared" si="129"/>
        <v>-1.3065870637980355E-2</v>
      </c>
      <c r="J4154" s="22" t="str">
        <f t="shared" si="130"/>
        <v>lost money</v>
      </c>
    </row>
    <row r="4155" spans="1:10">
      <c r="A4155" s="1">
        <v>41355</v>
      </c>
      <c r="B4155">
        <v>212.21</v>
      </c>
      <c r="C4155">
        <v>213.17</v>
      </c>
      <c r="D4155">
        <v>211.62</v>
      </c>
      <c r="E4155">
        <v>212.08</v>
      </c>
      <c r="F4155">
        <v>3031500</v>
      </c>
      <c r="G4155">
        <v>208.92</v>
      </c>
      <c r="H4155" t="s">
        <v>7</v>
      </c>
      <c r="I4155" s="22">
        <f t="shared" si="129"/>
        <v>-8.6120286648990146E-4</v>
      </c>
      <c r="J4155" s="22" t="str">
        <f t="shared" si="130"/>
        <v>lost money</v>
      </c>
    </row>
    <row r="4156" spans="1:10">
      <c r="A4156" s="1">
        <v>41358</v>
      </c>
      <c r="B4156">
        <v>212.54</v>
      </c>
      <c r="C4156">
        <v>212.81</v>
      </c>
      <c r="D4156">
        <v>210.05</v>
      </c>
      <c r="E4156">
        <v>210.74</v>
      </c>
      <c r="F4156">
        <v>3242500</v>
      </c>
      <c r="G4156">
        <v>207.6</v>
      </c>
      <c r="H4156" t="s">
        <v>7</v>
      </c>
      <c r="I4156" s="22">
        <f t="shared" si="129"/>
        <v>-6.3382522763643446E-3</v>
      </c>
      <c r="J4156" s="22" t="str">
        <f t="shared" si="130"/>
        <v>lost money</v>
      </c>
    </row>
    <row r="4157" spans="1:10">
      <c r="A4157" s="1">
        <v>41359</v>
      </c>
      <c r="B4157">
        <v>211.77</v>
      </c>
      <c r="C4157">
        <v>212.5</v>
      </c>
      <c r="D4157">
        <v>211.5</v>
      </c>
      <c r="E4157">
        <v>212.36</v>
      </c>
      <c r="F4157">
        <v>2300300</v>
      </c>
      <c r="G4157">
        <v>209.19</v>
      </c>
      <c r="H4157" t="s">
        <v>7</v>
      </c>
      <c r="I4157" s="22">
        <f t="shared" si="129"/>
        <v>7.6297786092954572E-3</v>
      </c>
      <c r="J4157" s="22" t="str">
        <f t="shared" si="130"/>
        <v/>
      </c>
    </row>
    <row r="4158" spans="1:10">
      <c r="A4158" s="1">
        <v>41360</v>
      </c>
      <c r="B4158">
        <v>210.96</v>
      </c>
      <c r="C4158">
        <v>212.16</v>
      </c>
      <c r="D4158">
        <v>210.1</v>
      </c>
      <c r="E4158">
        <v>210.89</v>
      </c>
      <c r="F4158">
        <v>3223400</v>
      </c>
      <c r="G4158">
        <v>207.75</v>
      </c>
      <c r="H4158" t="s">
        <v>7</v>
      </c>
      <c r="I4158" s="22">
        <f t="shared" si="129"/>
        <v>-6.9074961654714499E-3</v>
      </c>
      <c r="J4158" s="22" t="str">
        <f t="shared" si="130"/>
        <v>lost money</v>
      </c>
    </row>
    <row r="4159" spans="1:10">
      <c r="A4159" s="1">
        <v>41361</v>
      </c>
      <c r="B4159">
        <v>209.83</v>
      </c>
      <c r="C4159">
        <v>213.44</v>
      </c>
      <c r="D4159">
        <v>209.74</v>
      </c>
      <c r="E4159">
        <v>213.3</v>
      </c>
      <c r="F4159">
        <v>3749900</v>
      </c>
      <c r="G4159">
        <v>210.12</v>
      </c>
      <c r="H4159" t="s">
        <v>7</v>
      </c>
      <c r="I4159" s="22">
        <f t="shared" si="129"/>
        <v>1.1343362350203206E-2</v>
      </c>
      <c r="J4159" s="22" t="str">
        <f t="shared" si="130"/>
        <v/>
      </c>
    </row>
    <row r="4160" spans="1:10">
      <c r="A4160" s="1">
        <v>41365</v>
      </c>
      <c r="B4160">
        <v>212.8</v>
      </c>
      <c r="C4160">
        <v>213.5</v>
      </c>
      <c r="D4160">
        <v>211.25</v>
      </c>
      <c r="E4160">
        <v>212.38</v>
      </c>
      <c r="F4160">
        <v>2144500</v>
      </c>
      <c r="G4160">
        <v>209.21</v>
      </c>
      <c r="H4160" t="s">
        <v>7</v>
      </c>
      <c r="I4160" s="22">
        <f t="shared" si="129"/>
        <v>-4.3402638902037992E-3</v>
      </c>
      <c r="J4160" s="22" t="str">
        <f t="shared" si="130"/>
        <v>lost money</v>
      </c>
    </row>
    <row r="4161" spans="1:10">
      <c r="A4161" s="1">
        <v>41366</v>
      </c>
      <c r="B4161">
        <v>212.92</v>
      </c>
      <c r="C4161">
        <v>214.71</v>
      </c>
      <c r="D4161">
        <v>211.57</v>
      </c>
      <c r="E4161">
        <v>214.36</v>
      </c>
      <c r="F4161">
        <v>3116800</v>
      </c>
      <c r="G4161">
        <v>211.16</v>
      </c>
      <c r="H4161" t="s">
        <v>7</v>
      </c>
      <c r="I4161" s="22">
        <f t="shared" si="129"/>
        <v>9.2776077598584888E-3</v>
      </c>
      <c r="J4161" s="22" t="str">
        <f t="shared" si="130"/>
        <v/>
      </c>
    </row>
    <row r="4162" spans="1:10">
      <c r="A4162" s="1">
        <v>41367</v>
      </c>
      <c r="B4162">
        <v>214.32</v>
      </c>
      <c r="C4162">
        <v>214.89</v>
      </c>
      <c r="D4162">
        <v>212.63</v>
      </c>
      <c r="E4162">
        <v>212.66</v>
      </c>
      <c r="F4162">
        <v>3128800</v>
      </c>
      <c r="G4162">
        <v>209.49</v>
      </c>
      <c r="H4162" t="s">
        <v>7</v>
      </c>
      <c r="I4162" s="22">
        <f t="shared" si="129"/>
        <v>-7.9401344293617802E-3</v>
      </c>
      <c r="J4162" s="22" t="str">
        <f t="shared" si="130"/>
        <v>lost money</v>
      </c>
    </row>
    <row r="4163" spans="1:10">
      <c r="A4163" s="1">
        <v>41368</v>
      </c>
      <c r="B4163">
        <v>212.77</v>
      </c>
      <c r="C4163">
        <v>212.93</v>
      </c>
      <c r="D4163">
        <v>210.04</v>
      </c>
      <c r="E4163">
        <v>211.31</v>
      </c>
      <c r="F4163">
        <v>3709500</v>
      </c>
      <c r="G4163">
        <v>208.16</v>
      </c>
      <c r="H4163" t="s">
        <v>7</v>
      </c>
      <c r="I4163" s="22">
        <f t="shared" ref="I4163:I4226" si="131">IF(A4163=$A$2,"",LN(G4163/G4162))</f>
        <v>-6.368990761858569E-3</v>
      </c>
      <c r="J4163" s="22" t="str">
        <f t="shared" ref="J4163:J4226" si="132">IF(B4163&gt;E4163,"lost money","")</f>
        <v>lost money</v>
      </c>
    </row>
    <row r="4164" spans="1:10">
      <c r="A4164" s="1">
        <v>41369</v>
      </c>
      <c r="B4164">
        <v>209.1</v>
      </c>
      <c r="C4164">
        <v>209.84</v>
      </c>
      <c r="D4164">
        <v>206.34</v>
      </c>
      <c r="E4164">
        <v>209.41</v>
      </c>
      <c r="F4164">
        <v>4148000</v>
      </c>
      <c r="G4164">
        <v>206.29</v>
      </c>
      <c r="H4164" t="s">
        <v>7</v>
      </c>
      <c r="I4164" s="22">
        <f t="shared" si="131"/>
        <v>-9.0240689592785556E-3</v>
      </c>
      <c r="J4164" s="22" t="str">
        <f t="shared" si="132"/>
        <v/>
      </c>
    </row>
    <row r="4165" spans="1:10">
      <c r="A4165" s="1">
        <v>41372</v>
      </c>
      <c r="B4165">
        <v>209.07</v>
      </c>
      <c r="C4165">
        <v>209.32</v>
      </c>
      <c r="D4165">
        <v>207.33</v>
      </c>
      <c r="E4165">
        <v>209.32</v>
      </c>
      <c r="F4165">
        <v>2351200</v>
      </c>
      <c r="G4165">
        <v>206.2</v>
      </c>
      <c r="H4165" t="s">
        <v>7</v>
      </c>
      <c r="I4165" s="22">
        <f t="shared" si="131"/>
        <v>-4.3637422205713094E-4</v>
      </c>
      <c r="J4165" s="22" t="str">
        <f t="shared" si="132"/>
        <v/>
      </c>
    </row>
    <row r="4166" spans="1:10">
      <c r="A4166" s="1">
        <v>41373</v>
      </c>
      <c r="B4166">
        <v>209.56</v>
      </c>
      <c r="C4166">
        <v>210</v>
      </c>
      <c r="D4166">
        <v>208.61</v>
      </c>
      <c r="E4166">
        <v>209.22</v>
      </c>
      <c r="F4166">
        <v>2577300</v>
      </c>
      <c r="G4166">
        <v>206.1</v>
      </c>
      <c r="H4166" t="s">
        <v>7</v>
      </c>
      <c r="I4166" s="22">
        <f t="shared" si="131"/>
        <v>-4.8508368644622644E-4</v>
      </c>
      <c r="J4166" s="22" t="str">
        <f t="shared" si="132"/>
        <v>lost money</v>
      </c>
    </row>
    <row r="4167" spans="1:10">
      <c r="A4167" s="1">
        <v>41374</v>
      </c>
      <c r="B4167">
        <v>211.86</v>
      </c>
      <c r="C4167">
        <v>212.51</v>
      </c>
      <c r="D4167">
        <v>210.47</v>
      </c>
      <c r="E4167">
        <v>212</v>
      </c>
      <c r="F4167">
        <v>3524200</v>
      </c>
      <c r="G4167">
        <v>208.84</v>
      </c>
      <c r="H4167" t="s">
        <v>7</v>
      </c>
      <c r="I4167" s="22">
        <f t="shared" si="131"/>
        <v>1.32069206459384E-2</v>
      </c>
      <c r="J4167" s="22" t="str">
        <f t="shared" si="132"/>
        <v/>
      </c>
    </row>
    <row r="4168" spans="1:10">
      <c r="A4168" s="1">
        <v>41375</v>
      </c>
      <c r="B4168">
        <v>211.5</v>
      </c>
      <c r="C4168">
        <v>213.09</v>
      </c>
      <c r="D4168">
        <v>210.85</v>
      </c>
      <c r="E4168">
        <v>212.92</v>
      </c>
      <c r="F4168">
        <v>3655600</v>
      </c>
      <c r="G4168">
        <v>209.75</v>
      </c>
      <c r="H4168" t="s">
        <v>7</v>
      </c>
      <c r="I4168" s="22">
        <f t="shared" si="131"/>
        <v>4.3479368049638527E-3</v>
      </c>
      <c r="J4168" s="22" t="str">
        <f t="shared" si="132"/>
        <v/>
      </c>
    </row>
    <row r="4169" spans="1:10">
      <c r="A4169" s="1">
        <v>41376</v>
      </c>
      <c r="B4169">
        <v>210.79</v>
      </c>
      <c r="C4169">
        <v>211.49</v>
      </c>
      <c r="D4169">
        <v>209.78</v>
      </c>
      <c r="E4169">
        <v>211.38</v>
      </c>
      <c r="F4169">
        <v>3165400</v>
      </c>
      <c r="G4169">
        <v>208.23</v>
      </c>
      <c r="H4169" t="s">
        <v>7</v>
      </c>
      <c r="I4169" s="22">
        <f t="shared" si="131"/>
        <v>-7.2731073277136175E-3</v>
      </c>
      <c r="J4169" s="22" t="str">
        <f t="shared" si="132"/>
        <v/>
      </c>
    </row>
    <row r="4170" spans="1:10">
      <c r="A4170" s="1">
        <v>41379</v>
      </c>
      <c r="B4170">
        <v>210.44</v>
      </c>
      <c r="C4170">
        <v>211.69</v>
      </c>
      <c r="D4170">
        <v>209.26</v>
      </c>
      <c r="E4170">
        <v>209.26</v>
      </c>
      <c r="F4170">
        <v>4218100</v>
      </c>
      <c r="G4170">
        <v>206.14</v>
      </c>
      <c r="H4170" t="s">
        <v>7</v>
      </c>
      <c r="I4170" s="22">
        <f t="shared" si="131"/>
        <v>-1.0087688410955363E-2</v>
      </c>
      <c r="J4170" s="22" t="str">
        <f t="shared" si="132"/>
        <v>lost money</v>
      </c>
    </row>
    <row r="4171" spans="1:10">
      <c r="A4171" s="1">
        <v>41380</v>
      </c>
      <c r="B4171">
        <v>210.84</v>
      </c>
      <c r="C4171">
        <v>212</v>
      </c>
      <c r="D4171">
        <v>209.2</v>
      </c>
      <c r="E4171">
        <v>212</v>
      </c>
      <c r="F4171">
        <v>2859500</v>
      </c>
      <c r="G4171">
        <v>208.84</v>
      </c>
      <c r="H4171" t="s">
        <v>7</v>
      </c>
      <c r="I4171" s="22">
        <f t="shared" si="131"/>
        <v>1.3012858933705115E-2</v>
      </c>
      <c r="J4171" s="22" t="str">
        <f t="shared" si="132"/>
        <v/>
      </c>
    </row>
    <row r="4172" spans="1:10">
      <c r="A4172" s="1">
        <v>41381</v>
      </c>
      <c r="B4172">
        <v>210.53</v>
      </c>
      <c r="C4172">
        <v>211.09</v>
      </c>
      <c r="D4172">
        <v>209.5</v>
      </c>
      <c r="E4172">
        <v>209.67</v>
      </c>
      <c r="F4172">
        <v>3269800</v>
      </c>
      <c r="G4172">
        <v>206.54</v>
      </c>
      <c r="H4172" t="s">
        <v>7</v>
      </c>
      <c r="I4172" s="22">
        <f t="shared" si="131"/>
        <v>-1.1074310299093778E-2</v>
      </c>
      <c r="J4172" s="22" t="str">
        <f t="shared" si="132"/>
        <v>lost money</v>
      </c>
    </row>
    <row r="4173" spans="1:10">
      <c r="A4173" s="1">
        <v>41382</v>
      </c>
      <c r="B4173">
        <v>210.11</v>
      </c>
      <c r="C4173">
        <v>210.25</v>
      </c>
      <c r="D4173">
        <v>206.15</v>
      </c>
      <c r="E4173">
        <v>207.15</v>
      </c>
      <c r="F4173">
        <v>6502000</v>
      </c>
      <c r="G4173">
        <v>204.06</v>
      </c>
      <c r="H4173" t="s">
        <v>7</v>
      </c>
      <c r="I4173" s="22">
        <f t="shared" si="131"/>
        <v>-1.2080029996098791E-2</v>
      </c>
      <c r="J4173" s="22" t="str">
        <f t="shared" si="132"/>
        <v>lost money</v>
      </c>
    </row>
    <row r="4174" spans="1:10">
      <c r="A4174" s="1">
        <v>41383</v>
      </c>
      <c r="B4174">
        <v>195.74</v>
      </c>
      <c r="C4174">
        <v>196.5</v>
      </c>
      <c r="D4174">
        <v>189.76</v>
      </c>
      <c r="E4174">
        <v>190</v>
      </c>
      <c r="F4174">
        <v>18847000</v>
      </c>
      <c r="G4174">
        <v>187.17</v>
      </c>
      <c r="H4174" t="s">
        <v>7</v>
      </c>
      <c r="I4174" s="22">
        <f t="shared" si="131"/>
        <v>-8.6396773456354478E-2</v>
      </c>
      <c r="J4174" s="22" t="str">
        <f t="shared" si="132"/>
        <v>lost money</v>
      </c>
    </row>
    <row r="4175" spans="1:10">
      <c r="A4175" s="1">
        <v>41386</v>
      </c>
      <c r="B4175">
        <v>191.15</v>
      </c>
      <c r="C4175">
        <v>191.38</v>
      </c>
      <c r="D4175">
        <v>187.68</v>
      </c>
      <c r="E4175">
        <v>187.83</v>
      </c>
      <c r="F4175">
        <v>9845400</v>
      </c>
      <c r="G4175">
        <v>185.03</v>
      </c>
      <c r="H4175" t="s">
        <v>7</v>
      </c>
      <c r="I4175" s="22">
        <f t="shared" si="131"/>
        <v>-1.1499320697179769E-2</v>
      </c>
      <c r="J4175" s="22" t="str">
        <f t="shared" si="132"/>
        <v>lost money</v>
      </c>
    </row>
    <row r="4176" spans="1:10">
      <c r="A4176" s="1">
        <v>41387</v>
      </c>
      <c r="B4176">
        <v>189.27</v>
      </c>
      <c r="C4176">
        <v>192.55</v>
      </c>
      <c r="D4176">
        <v>188.61</v>
      </c>
      <c r="E4176">
        <v>191.61</v>
      </c>
      <c r="F4176">
        <v>6296100</v>
      </c>
      <c r="G4176">
        <v>188.75</v>
      </c>
      <c r="H4176" t="s">
        <v>7</v>
      </c>
      <c r="I4176" s="22">
        <f t="shared" si="131"/>
        <v>1.9905414035509245E-2</v>
      </c>
      <c r="J4176" s="22" t="str">
        <f t="shared" si="132"/>
        <v/>
      </c>
    </row>
    <row r="4177" spans="1:10">
      <c r="A4177" s="1">
        <v>41388</v>
      </c>
      <c r="B4177">
        <v>192.16</v>
      </c>
      <c r="C4177">
        <v>192.5</v>
      </c>
      <c r="D4177">
        <v>191.09</v>
      </c>
      <c r="E4177">
        <v>191.71</v>
      </c>
      <c r="F4177">
        <v>3693900</v>
      </c>
      <c r="G4177">
        <v>188.85</v>
      </c>
      <c r="H4177" t="s">
        <v>7</v>
      </c>
      <c r="I4177" s="22">
        <f t="shared" si="131"/>
        <v>5.2966102933166715E-4</v>
      </c>
      <c r="J4177" s="22" t="str">
        <f t="shared" si="132"/>
        <v>lost money</v>
      </c>
    </row>
    <row r="4178" spans="1:10">
      <c r="A4178" s="1">
        <v>41389</v>
      </c>
      <c r="B4178">
        <v>192.69</v>
      </c>
      <c r="C4178">
        <v>195.17</v>
      </c>
      <c r="D4178">
        <v>192.32</v>
      </c>
      <c r="E4178">
        <v>193.95</v>
      </c>
      <c r="F4178">
        <v>4650900</v>
      </c>
      <c r="G4178">
        <v>191.06</v>
      </c>
      <c r="H4178" t="s">
        <v>7</v>
      </c>
      <c r="I4178" s="22">
        <f t="shared" si="131"/>
        <v>1.1634465683396551E-2</v>
      </c>
      <c r="J4178" s="22" t="str">
        <f t="shared" si="132"/>
        <v/>
      </c>
    </row>
    <row r="4179" spans="1:10">
      <c r="A4179" s="1">
        <v>41390</v>
      </c>
      <c r="B4179">
        <v>194.16</v>
      </c>
      <c r="C4179">
        <v>194.71</v>
      </c>
      <c r="D4179">
        <v>193.25</v>
      </c>
      <c r="E4179">
        <v>194.31</v>
      </c>
      <c r="F4179">
        <v>3490300</v>
      </c>
      <c r="G4179">
        <v>191.41</v>
      </c>
      <c r="H4179" t="s">
        <v>7</v>
      </c>
      <c r="I4179" s="22">
        <f t="shared" si="131"/>
        <v>1.8302094161559805E-3</v>
      </c>
      <c r="J4179" s="22" t="str">
        <f t="shared" si="132"/>
        <v/>
      </c>
    </row>
    <row r="4180" spans="1:10">
      <c r="A4180" s="1">
        <v>41393</v>
      </c>
      <c r="B4180">
        <v>194.78</v>
      </c>
      <c r="C4180">
        <v>199.68</v>
      </c>
      <c r="D4180">
        <v>194.65</v>
      </c>
      <c r="E4180">
        <v>199.15</v>
      </c>
      <c r="F4180">
        <v>5932400</v>
      </c>
      <c r="G4180">
        <v>196.18</v>
      </c>
      <c r="H4180" t="s">
        <v>7</v>
      </c>
      <c r="I4180" s="22">
        <f t="shared" si="131"/>
        <v>2.461488087815129E-2</v>
      </c>
      <c r="J4180" s="22" t="str">
        <f t="shared" si="132"/>
        <v/>
      </c>
    </row>
    <row r="4181" spans="1:10">
      <c r="A4181" s="1">
        <v>41394</v>
      </c>
      <c r="B4181">
        <v>199.13</v>
      </c>
      <c r="C4181">
        <v>202.59</v>
      </c>
      <c r="D4181">
        <v>197.35</v>
      </c>
      <c r="E4181">
        <v>202.54</v>
      </c>
      <c r="F4181">
        <v>7539900</v>
      </c>
      <c r="G4181">
        <v>199.52</v>
      </c>
      <c r="H4181" t="s">
        <v>7</v>
      </c>
      <c r="I4181" s="22">
        <f t="shared" si="131"/>
        <v>1.6881876795556788E-2</v>
      </c>
      <c r="J4181" s="22" t="str">
        <f t="shared" si="132"/>
        <v/>
      </c>
    </row>
    <row r="4182" spans="1:10">
      <c r="A4182" s="1">
        <v>41395</v>
      </c>
      <c r="B4182">
        <v>201.87</v>
      </c>
      <c r="C4182">
        <v>202.17</v>
      </c>
      <c r="D4182">
        <v>199.2</v>
      </c>
      <c r="E4182">
        <v>199.63</v>
      </c>
      <c r="F4182">
        <v>4899100</v>
      </c>
      <c r="G4182">
        <v>196.65</v>
      </c>
      <c r="H4182" t="s">
        <v>7</v>
      </c>
      <c r="I4182" s="22">
        <f t="shared" si="131"/>
        <v>-1.4488983053907837E-2</v>
      </c>
      <c r="J4182" s="22" t="str">
        <f t="shared" si="132"/>
        <v>lost money</v>
      </c>
    </row>
    <row r="4183" spans="1:10">
      <c r="A4183" s="1">
        <v>41396</v>
      </c>
      <c r="B4183">
        <v>200.12</v>
      </c>
      <c r="C4183">
        <v>202.43</v>
      </c>
      <c r="D4183">
        <v>199.75</v>
      </c>
      <c r="E4183">
        <v>202.39</v>
      </c>
      <c r="F4183">
        <v>3945100</v>
      </c>
      <c r="G4183">
        <v>199.37</v>
      </c>
      <c r="H4183" t="s">
        <v>7</v>
      </c>
      <c r="I4183" s="22">
        <f t="shared" si="131"/>
        <v>1.3736895976917003E-2</v>
      </c>
      <c r="J4183" s="22" t="str">
        <f t="shared" si="132"/>
        <v/>
      </c>
    </row>
    <row r="4184" spans="1:10">
      <c r="A4184" s="1">
        <v>41397</v>
      </c>
      <c r="B4184">
        <v>203.94</v>
      </c>
      <c r="C4184">
        <v>205.32</v>
      </c>
      <c r="D4184">
        <v>203.75</v>
      </c>
      <c r="E4184">
        <v>204.51</v>
      </c>
      <c r="F4184">
        <v>4492700</v>
      </c>
      <c r="G4184">
        <v>201.46</v>
      </c>
      <c r="H4184" t="s">
        <v>7</v>
      </c>
      <c r="I4184" s="22">
        <f t="shared" si="131"/>
        <v>1.0428455659799699E-2</v>
      </c>
      <c r="J4184" s="22" t="str">
        <f t="shared" si="132"/>
        <v/>
      </c>
    </row>
    <row r="4185" spans="1:10">
      <c r="A4185" s="1">
        <v>41400</v>
      </c>
      <c r="B4185">
        <v>203.79</v>
      </c>
      <c r="C4185">
        <v>203.99</v>
      </c>
      <c r="D4185">
        <v>201.52</v>
      </c>
      <c r="E4185">
        <v>202.78</v>
      </c>
      <c r="F4185">
        <v>4826500</v>
      </c>
      <c r="G4185">
        <v>199.76</v>
      </c>
      <c r="H4185" t="s">
        <v>7</v>
      </c>
      <c r="I4185" s="22">
        <f t="shared" si="131"/>
        <v>-8.4742045430174009E-3</v>
      </c>
      <c r="J4185" s="22" t="str">
        <f t="shared" si="132"/>
        <v>lost money</v>
      </c>
    </row>
    <row r="4186" spans="1:10">
      <c r="A4186" s="1">
        <v>41401</v>
      </c>
      <c r="B4186">
        <v>202.81</v>
      </c>
      <c r="C4186">
        <v>203.73</v>
      </c>
      <c r="D4186">
        <v>201.65</v>
      </c>
      <c r="E4186">
        <v>203.63</v>
      </c>
      <c r="F4186">
        <v>3451000</v>
      </c>
      <c r="G4186">
        <v>200.59</v>
      </c>
      <c r="H4186" t="s">
        <v>7</v>
      </c>
      <c r="I4186" s="22">
        <f t="shared" si="131"/>
        <v>4.1463778650885933E-3</v>
      </c>
      <c r="J4186" s="22" t="str">
        <f t="shared" si="132"/>
        <v/>
      </c>
    </row>
    <row r="4187" spans="1:10">
      <c r="A4187" s="1">
        <v>41402</v>
      </c>
      <c r="B4187">
        <v>202.94</v>
      </c>
      <c r="C4187">
        <v>204.85</v>
      </c>
      <c r="D4187">
        <v>202.51</v>
      </c>
      <c r="E4187">
        <v>204.82</v>
      </c>
      <c r="F4187">
        <v>3601700</v>
      </c>
      <c r="G4187">
        <v>202.71</v>
      </c>
      <c r="H4187" t="s">
        <v>7</v>
      </c>
      <c r="I4187" s="22">
        <f t="shared" si="131"/>
        <v>1.051336239558664E-2</v>
      </c>
      <c r="J4187" s="22" t="str">
        <f t="shared" si="132"/>
        <v/>
      </c>
    </row>
    <row r="4188" spans="1:10">
      <c r="A4188" s="1">
        <v>41403</v>
      </c>
      <c r="B4188">
        <v>204.69</v>
      </c>
      <c r="C4188">
        <v>205</v>
      </c>
      <c r="D4188">
        <v>202.72</v>
      </c>
      <c r="E4188">
        <v>203.24</v>
      </c>
      <c r="F4188">
        <v>3542300</v>
      </c>
      <c r="G4188">
        <v>201.15</v>
      </c>
      <c r="H4188" t="s">
        <v>7</v>
      </c>
      <c r="I4188" s="22">
        <f t="shared" si="131"/>
        <v>-7.725487836395731E-3</v>
      </c>
      <c r="J4188" s="22" t="str">
        <f t="shared" si="132"/>
        <v>lost money</v>
      </c>
    </row>
    <row r="4189" spans="1:10">
      <c r="A4189" s="1">
        <v>41404</v>
      </c>
      <c r="B4189">
        <v>203.37</v>
      </c>
      <c r="C4189">
        <v>204.53</v>
      </c>
      <c r="D4189">
        <v>202.82</v>
      </c>
      <c r="E4189">
        <v>204.47</v>
      </c>
      <c r="F4189">
        <v>3279200</v>
      </c>
      <c r="G4189">
        <v>202.37</v>
      </c>
      <c r="H4189" t="s">
        <v>7</v>
      </c>
      <c r="I4189" s="22">
        <f t="shared" si="131"/>
        <v>6.0468066877707007E-3</v>
      </c>
      <c r="J4189" s="22" t="str">
        <f t="shared" si="132"/>
        <v/>
      </c>
    </row>
    <row r="4190" spans="1:10">
      <c r="A4190" s="1">
        <v>41407</v>
      </c>
      <c r="B4190">
        <v>204.18</v>
      </c>
      <c r="C4190">
        <v>204.47</v>
      </c>
      <c r="D4190">
        <v>202.22</v>
      </c>
      <c r="E4190">
        <v>202.47</v>
      </c>
      <c r="F4190">
        <v>3648400</v>
      </c>
      <c r="G4190">
        <v>200.39</v>
      </c>
      <c r="H4190" t="s">
        <v>7</v>
      </c>
      <c r="I4190" s="22">
        <f t="shared" si="131"/>
        <v>-9.8322373175155596E-3</v>
      </c>
      <c r="J4190" s="22" t="str">
        <f t="shared" si="132"/>
        <v>lost money</v>
      </c>
    </row>
    <row r="4191" spans="1:10">
      <c r="A4191" s="1">
        <v>41408</v>
      </c>
      <c r="B4191">
        <v>202.09</v>
      </c>
      <c r="C4191">
        <v>203.67</v>
      </c>
      <c r="D4191">
        <v>202.08</v>
      </c>
      <c r="E4191">
        <v>203.21</v>
      </c>
      <c r="F4191">
        <v>3699700</v>
      </c>
      <c r="G4191">
        <v>201.12</v>
      </c>
      <c r="H4191" t="s">
        <v>7</v>
      </c>
      <c r="I4191" s="22">
        <f t="shared" si="131"/>
        <v>3.6362770758849236E-3</v>
      </c>
      <c r="J4191" s="22" t="str">
        <f t="shared" si="132"/>
        <v/>
      </c>
    </row>
    <row r="4192" spans="1:10">
      <c r="A4192" s="1">
        <v>41409</v>
      </c>
      <c r="B4192">
        <v>202.25</v>
      </c>
      <c r="C4192">
        <v>203.68</v>
      </c>
      <c r="D4192">
        <v>202.04</v>
      </c>
      <c r="E4192">
        <v>203.32</v>
      </c>
      <c r="F4192">
        <v>4028100</v>
      </c>
      <c r="G4192">
        <v>201.23</v>
      </c>
      <c r="H4192" t="s">
        <v>7</v>
      </c>
      <c r="I4192" s="22">
        <f t="shared" si="131"/>
        <v>5.4678763633960879E-4</v>
      </c>
      <c r="J4192" s="22" t="str">
        <f t="shared" si="132"/>
        <v/>
      </c>
    </row>
    <row r="4193" spans="1:10">
      <c r="A4193" s="1">
        <v>41410</v>
      </c>
      <c r="B4193">
        <v>204</v>
      </c>
      <c r="C4193">
        <v>206.59</v>
      </c>
      <c r="D4193">
        <v>204</v>
      </c>
      <c r="E4193">
        <v>204.69</v>
      </c>
      <c r="F4193">
        <v>4507000</v>
      </c>
      <c r="G4193">
        <v>202.58</v>
      </c>
      <c r="H4193" t="s">
        <v>7</v>
      </c>
      <c r="I4193" s="22">
        <f t="shared" si="131"/>
        <v>6.6863377803743872E-3</v>
      </c>
      <c r="J4193" s="22" t="str">
        <f t="shared" si="132"/>
        <v/>
      </c>
    </row>
    <row r="4194" spans="1:10">
      <c r="A4194" s="1">
        <v>41411</v>
      </c>
      <c r="B4194">
        <v>205.25</v>
      </c>
      <c r="C4194">
        <v>209.5</v>
      </c>
      <c r="D4194">
        <v>204.99</v>
      </c>
      <c r="E4194">
        <v>208.44</v>
      </c>
      <c r="F4194">
        <v>5704100</v>
      </c>
      <c r="G4194">
        <v>206.3</v>
      </c>
      <c r="H4194" t="s">
        <v>7</v>
      </c>
      <c r="I4194" s="22">
        <f t="shared" si="131"/>
        <v>1.8196549818555022E-2</v>
      </c>
      <c r="J4194" s="22" t="str">
        <f t="shared" si="132"/>
        <v/>
      </c>
    </row>
    <row r="4195" spans="1:10">
      <c r="A4195" s="1">
        <v>41414</v>
      </c>
      <c r="B4195">
        <v>208.02</v>
      </c>
      <c r="C4195">
        <v>209.15</v>
      </c>
      <c r="D4195">
        <v>207.42</v>
      </c>
      <c r="E4195">
        <v>207.6</v>
      </c>
      <c r="F4195">
        <v>3614500</v>
      </c>
      <c r="G4195">
        <v>205.46</v>
      </c>
      <c r="H4195" t="s">
        <v>7</v>
      </c>
      <c r="I4195" s="22">
        <f t="shared" si="131"/>
        <v>-4.0800522890885082E-3</v>
      </c>
      <c r="J4195" s="22" t="str">
        <f t="shared" si="132"/>
        <v>lost money</v>
      </c>
    </row>
    <row r="4196" spans="1:10">
      <c r="A4196" s="1">
        <v>41415</v>
      </c>
      <c r="B4196">
        <v>207.24</v>
      </c>
      <c r="C4196">
        <v>209.48</v>
      </c>
      <c r="D4196">
        <v>207</v>
      </c>
      <c r="E4196">
        <v>208.65</v>
      </c>
      <c r="F4196">
        <v>2982900</v>
      </c>
      <c r="G4196">
        <v>206.5</v>
      </c>
      <c r="H4196" t="s">
        <v>7</v>
      </c>
      <c r="I4196" s="22">
        <f t="shared" si="131"/>
        <v>5.0490446129698727E-3</v>
      </c>
      <c r="J4196" s="22" t="str">
        <f t="shared" si="132"/>
        <v/>
      </c>
    </row>
    <row r="4197" spans="1:10">
      <c r="A4197" s="1">
        <v>41416</v>
      </c>
      <c r="B4197">
        <v>208.5</v>
      </c>
      <c r="C4197">
        <v>210.15</v>
      </c>
      <c r="D4197">
        <v>206.12</v>
      </c>
      <c r="E4197">
        <v>206.99</v>
      </c>
      <c r="F4197">
        <v>5186800</v>
      </c>
      <c r="G4197">
        <v>204.86</v>
      </c>
      <c r="H4197" t="s">
        <v>7</v>
      </c>
      <c r="I4197" s="22">
        <f t="shared" si="131"/>
        <v>-7.9735933926988571E-3</v>
      </c>
      <c r="J4197" s="22" t="str">
        <f t="shared" si="132"/>
        <v>lost money</v>
      </c>
    </row>
    <row r="4198" spans="1:10">
      <c r="A4198" s="1">
        <v>41417</v>
      </c>
      <c r="B4198">
        <v>205.48</v>
      </c>
      <c r="C4198">
        <v>208.61</v>
      </c>
      <c r="D4198">
        <v>205.13</v>
      </c>
      <c r="E4198">
        <v>206.16</v>
      </c>
      <c r="F4198">
        <v>5179100</v>
      </c>
      <c r="G4198">
        <v>204.04</v>
      </c>
      <c r="H4198" t="s">
        <v>7</v>
      </c>
      <c r="I4198" s="22">
        <f t="shared" si="131"/>
        <v>-4.0107659536628044E-3</v>
      </c>
      <c r="J4198" s="22" t="str">
        <f t="shared" si="132"/>
        <v/>
      </c>
    </row>
    <row r="4199" spans="1:10">
      <c r="A4199" s="1">
        <v>41418</v>
      </c>
      <c r="B4199">
        <v>204.69</v>
      </c>
      <c r="C4199">
        <v>206.43</v>
      </c>
      <c r="D4199">
        <v>204.42</v>
      </c>
      <c r="E4199">
        <v>205.72</v>
      </c>
      <c r="F4199">
        <v>3295800</v>
      </c>
      <c r="G4199">
        <v>203.6</v>
      </c>
      <c r="H4199" t="s">
        <v>7</v>
      </c>
      <c r="I4199" s="22">
        <f t="shared" si="131"/>
        <v>-2.1587683783580933E-3</v>
      </c>
      <c r="J4199" s="22" t="str">
        <f t="shared" si="132"/>
        <v/>
      </c>
    </row>
    <row r="4200" spans="1:10">
      <c r="A4200" s="1">
        <v>41422</v>
      </c>
      <c r="B4200">
        <v>207.44</v>
      </c>
      <c r="C4200">
        <v>208.59</v>
      </c>
      <c r="D4200">
        <v>207.16</v>
      </c>
      <c r="E4200">
        <v>207.78</v>
      </c>
      <c r="F4200">
        <v>4011500</v>
      </c>
      <c r="G4200">
        <v>205.64</v>
      </c>
      <c r="H4200" t="s">
        <v>7</v>
      </c>
      <c r="I4200" s="22">
        <f t="shared" si="131"/>
        <v>9.9697825109361302E-3</v>
      </c>
      <c r="J4200" s="22" t="str">
        <f t="shared" si="132"/>
        <v/>
      </c>
    </row>
    <row r="4201" spans="1:10">
      <c r="A4201" s="1">
        <v>41423</v>
      </c>
      <c r="B4201">
        <v>206.22</v>
      </c>
      <c r="C4201">
        <v>208.42</v>
      </c>
      <c r="D4201">
        <v>206.04</v>
      </c>
      <c r="E4201">
        <v>207.92</v>
      </c>
      <c r="F4201">
        <v>3439400</v>
      </c>
      <c r="G4201">
        <v>205.78</v>
      </c>
      <c r="H4201" t="s">
        <v>7</v>
      </c>
      <c r="I4201" s="22">
        <f t="shared" si="131"/>
        <v>6.8056976036027757E-4</v>
      </c>
      <c r="J4201" s="22" t="str">
        <f t="shared" si="132"/>
        <v/>
      </c>
    </row>
    <row r="4202" spans="1:10">
      <c r="A4202" s="1">
        <v>41424</v>
      </c>
      <c r="B4202">
        <v>206.97</v>
      </c>
      <c r="C4202">
        <v>210.99</v>
      </c>
      <c r="D4202">
        <v>206.97</v>
      </c>
      <c r="E4202">
        <v>209.36</v>
      </c>
      <c r="F4202">
        <v>4399700</v>
      </c>
      <c r="G4202">
        <v>207.21</v>
      </c>
      <c r="H4202" t="s">
        <v>7</v>
      </c>
      <c r="I4202" s="22">
        <f t="shared" si="131"/>
        <v>6.9251348213271629E-3</v>
      </c>
      <c r="J4202" s="22" t="str">
        <f t="shared" si="132"/>
        <v/>
      </c>
    </row>
    <row r="4203" spans="1:10">
      <c r="A4203" s="1">
        <v>41425</v>
      </c>
      <c r="B4203">
        <v>208.59</v>
      </c>
      <c r="C4203">
        <v>211.98</v>
      </c>
      <c r="D4203">
        <v>208.02</v>
      </c>
      <c r="E4203">
        <v>208.02</v>
      </c>
      <c r="F4203">
        <v>4949000</v>
      </c>
      <c r="G4203">
        <v>205.88</v>
      </c>
      <c r="H4203" t="s">
        <v>7</v>
      </c>
      <c r="I4203" s="22">
        <f t="shared" si="131"/>
        <v>-6.4392969844374887E-3</v>
      </c>
      <c r="J4203" s="22" t="str">
        <f t="shared" si="132"/>
        <v>lost money</v>
      </c>
    </row>
    <row r="4204" spans="1:10">
      <c r="A4204" s="1">
        <v>41428</v>
      </c>
      <c r="B4204">
        <v>208.25</v>
      </c>
      <c r="C4204">
        <v>210.05</v>
      </c>
      <c r="D4204">
        <v>207.33</v>
      </c>
      <c r="E4204">
        <v>208.95</v>
      </c>
      <c r="F4204">
        <v>3322000</v>
      </c>
      <c r="G4204">
        <v>206.8</v>
      </c>
      <c r="H4204" t="s">
        <v>7</v>
      </c>
      <c r="I4204" s="22">
        <f t="shared" si="131"/>
        <v>4.4586678497203006E-3</v>
      </c>
      <c r="J4204" s="22" t="str">
        <f t="shared" si="132"/>
        <v/>
      </c>
    </row>
    <row r="4205" spans="1:10">
      <c r="A4205" s="1">
        <v>41429</v>
      </c>
      <c r="B4205">
        <v>208.6</v>
      </c>
      <c r="C4205">
        <v>209</v>
      </c>
      <c r="D4205">
        <v>205.08</v>
      </c>
      <c r="E4205">
        <v>206.19</v>
      </c>
      <c r="F4205">
        <v>3598300</v>
      </c>
      <c r="G4205">
        <v>204.07</v>
      </c>
      <c r="H4205" t="s">
        <v>7</v>
      </c>
      <c r="I4205" s="22">
        <f t="shared" si="131"/>
        <v>-1.3289070393279756E-2</v>
      </c>
      <c r="J4205" s="22" t="str">
        <f t="shared" si="132"/>
        <v>lost money</v>
      </c>
    </row>
    <row r="4206" spans="1:10">
      <c r="A4206" s="1">
        <v>41430</v>
      </c>
      <c r="B4206">
        <v>205.16</v>
      </c>
      <c r="C4206">
        <v>206.29</v>
      </c>
      <c r="D4206">
        <v>202.4</v>
      </c>
      <c r="E4206">
        <v>202.74</v>
      </c>
      <c r="F4206">
        <v>4215400</v>
      </c>
      <c r="G4206">
        <v>200.65</v>
      </c>
      <c r="H4206" t="s">
        <v>7</v>
      </c>
      <c r="I4206" s="22">
        <f t="shared" si="131"/>
        <v>-1.6900975528068608E-2</v>
      </c>
      <c r="J4206" s="22" t="str">
        <f t="shared" si="132"/>
        <v>lost money</v>
      </c>
    </row>
    <row r="4207" spans="1:10">
      <c r="A4207" s="1">
        <v>41431</v>
      </c>
      <c r="B4207">
        <v>203</v>
      </c>
      <c r="C4207">
        <v>204.2</v>
      </c>
      <c r="D4207">
        <v>201.47</v>
      </c>
      <c r="E4207">
        <v>203.8</v>
      </c>
      <c r="F4207">
        <v>3679400</v>
      </c>
      <c r="G4207">
        <v>201.7</v>
      </c>
      <c r="H4207" t="s">
        <v>7</v>
      </c>
      <c r="I4207" s="22">
        <f t="shared" si="131"/>
        <v>5.2193482472401775E-3</v>
      </c>
      <c r="J4207" s="22" t="str">
        <f t="shared" si="132"/>
        <v/>
      </c>
    </row>
    <row r="4208" spans="1:10">
      <c r="A4208" s="1">
        <v>41432</v>
      </c>
      <c r="B4208">
        <v>204.85</v>
      </c>
      <c r="C4208">
        <v>206.35</v>
      </c>
      <c r="D4208">
        <v>204.11</v>
      </c>
      <c r="E4208">
        <v>206.35</v>
      </c>
      <c r="F4208">
        <v>2953400</v>
      </c>
      <c r="G4208">
        <v>204.23</v>
      </c>
      <c r="H4208" t="s">
        <v>7</v>
      </c>
      <c r="I4208" s="22">
        <f t="shared" si="131"/>
        <v>1.2465364768900337E-2</v>
      </c>
      <c r="J4208" s="22" t="str">
        <f t="shared" si="132"/>
        <v/>
      </c>
    </row>
    <row r="4209" spans="1:10">
      <c r="A4209" s="1">
        <v>41435</v>
      </c>
      <c r="B4209">
        <v>206.97</v>
      </c>
      <c r="C4209">
        <v>206.98</v>
      </c>
      <c r="D4209">
        <v>204.9</v>
      </c>
      <c r="E4209">
        <v>205.02</v>
      </c>
      <c r="F4209">
        <v>2652300</v>
      </c>
      <c r="G4209">
        <v>202.91</v>
      </c>
      <c r="H4209" t="s">
        <v>7</v>
      </c>
      <c r="I4209" s="22">
        <f t="shared" si="131"/>
        <v>-6.4842787495336309E-3</v>
      </c>
      <c r="J4209" s="22" t="str">
        <f t="shared" si="132"/>
        <v>lost money</v>
      </c>
    </row>
    <row r="4210" spans="1:10">
      <c r="A4210" s="1">
        <v>41436</v>
      </c>
      <c r="B4210">
        <v>203.17</v>
      </c>
      <c r="C4210">
        <v>205.95</v>
      </c>
      <c r="D4210">
        <v>202.51</v>
      </c>
      <c r="E4210">
        <v>203.98</v>
      </c>
      <c r="F4210">
        <v>2814400</v>
      </c>
      <c r="G4210">
        <v>201.88</v>
      </c>
      <c r="H4210" t="s">
        <v>7</v>
      </c>
      <c r="I4210" s="22">
        <f t="shared" si="131"/>
        <v>-5.0890695074712932E-3</v>
      </c>
      <c r="J4210" s="22" t="str">
        <f t="shared" si="132"/>
        <v/>
      </c>
    </row>
    <row r="4211" spans="1:10">
      <c r="A4211" s="1">
        <v>41437</v>
      </c>
      <c r="B4211">
        <v>204.59</v>
      </c>
      <c r="C4211">
        <v>205.23</v>
      </c>
      <c r="D4211">
        <v>200.51</v>
      </c>
      <c r="E4211">
        <v>201.2</v>
      </c>
      <c r="F4211">
        <v>3409800</v>
      </c>
      <c r="G4211">
        <v>199.13</v>
      </c>
      <c r="H4211" t="s">
        <v>7</v>
      </c>
      <c r="I4211" s="22">
        <f t="shared" si="131"/>
        <v>-1.3715583701477895E-2</v>
      </c>
      <c r="J4211" s="22" t="str">
        <f t="shared" si="132"/>
        <v>lost money</v>
      </c>
    </row>
    <row r="4212" spans="1:10">
      <c r="A4212" s="1">
        <v>41438</v>
      </c>
      <c r="B4212">
        <v>201.01</v>
      </c>
      <c r="C4212">
        <v>204.4</v>
      </c>
      <c r="D4212">
        <v>200.34</v>
      </c>
      <c r="E4212">
        <v>203.77</v>
      </c>
      <c r="F4212">
        <v>2899500</v>
      </c>
      <c r="G4212">
        <v>201.67</v>
      </c>
      <c r="H4212" t="s">
        <v>7</v>
      </c>
      <c r="I4212" s="22">
        <f t="shared" si="131"/>
        <v>1.2674820381166569E-2</v>
      </c>
      <c r="J4212" s="22" t="str">
        <f t="shared" si="132"/>
        <v/>
      </c>
    </row>
    <row r="4213" spans="1:10">
      <c r="A4213" s="1">
        <v>41439</v>
      </c>
      <c r="B4213">
        <v>203.97</v>
      </c>
      <c r="C4213">
        <v>204.74</v>
      </c>
      <c r="D4213">
        <v>201.81</v>
      </c>
      <c r="E4213">
        <v>202.2</v>
      </c>
      <c r="F4213">
        <v>2804500</v>
      </c>
      <c r="G4213">
        <v>200.12</v>
      </c>
      <c r="H4213" t="s">
        <v>7</v>
      </c>
      <c r="I4213" s="22">
        <f t="shared" si="131"/>
        <v>-7.7155115317460313E-3</v>
      </c>
      <c r="J4213" s="22" t="str">
        <f t="shared" si="132"/>
        <v>lost money</v>
      </c>
    </row>
    <row r="4214" spans="1:10">
      <c r="A4214" s="1">
        <v>41442</v>
      </c>
      <c r="B4214">
        <v>203.44</v>
      </c>
      <c r="C4214">
        <v>205.17</v>
      </c>
      <c r="D4214">
        <v>202.55</v>
      </c>
      <c r="E4214">
        <v>203.04</v>
      </c>
      <c r="F4214">
        <v>3219900</v>
      </c>
      <c r="G4214">
        <v>200.95</v>
      </c>
      <c r="H4214" t="s">
        <v>7</v>
      </c>
      <c r="I4214" s="22">
        <f t="shared" si="131"/>
        <v>4.1389342752056807E-3</v>
      </c>
      <c r="J4214" s="22" t="str">
        <f t="shared" si="132"/>
        <v>lost money</v>
      </c>
    </row>
    <row r="4215" spans="1:10">
      <c r="A4215" s="1">
        <v>41443</v>
      </c>
      <c r="B4215">
        <v>203.02</v>
      </c>
      <c r="C4215">
        <v>206.09</v>
      </c>
      <c r="D4215">
        <v>202.87</v>
      </c>
      <c r="E4215">
        <v>204.87</v>
      </c>
      <c r="F4215">
        <v>3277800</v>
      </c>
      <c r="G4215">
        <v>202.76</v>
      </c>
      <c r="H4215" t="s">
        <v>7</v>
      </c>
      <c r="I4215" s="22">
        <f t="shared" si="131"/>
        <v>8.9668927089384121E-3</v>
      </c>
      <c r="J4215" s="22" t="str">
        <f t="shared" si="132"/>
        <v/>
      </c>
    </row>
    <row r="4216" spans="1:10">
      <c r="A4216" s="1">
        <v>41444</v>
      </c>
      <c r="B4216">
        <v>204.44</v>
      </c>
      <c r="C4216">
        <v>205.03</v>
      </c>
      <c r="D4216">
        <v>201.93</v>
      </c>
      <c r="E4216">
        <v>201.94</v>
      </c>
      <c r="F4216">
        <v>2846100</v>
      </c>
      <c r="G4216">
        <v>199.86</v>
      </c>
      <c r="H4216" t="s">
        <v>7</v>
      </c>
      <c r="I4216" s="22">
        <f t="shared" si="131"/>
        <v>-1.4405892170505233E-2</v>
      </c>
      <c r="J4216" s="22" t="str">
        <f t="shared" si="132"/>
        <v>lost money</v>
      </c>
    </row>
    <row r="4217" spans="1:10">
      <c r="A4217" s="1">
        <v>41445</v>
      </c>
      <c r="B4217">
        <v>200.67</v>
      </c>
      <c r="C4217">
        <v>201.7</v>
      </c>
      <c r="D4217">
        <v>197.28</v>
      </c>
      <c r="E4217">
        <v>197.35</v>
      </c>
      <c r="F4217">
        <v>4514800</v>
      </c>
      <c r="G4217">
        <v>195.32</v>
      </c>
      <c r="H4217" t="s">
        <v>7</v>
      </c>
      <c r="I4217" s="22">
        <f t="shared" si="131"/>
        <v>-2.2977882240183919E-2</v>
      </c>
      <c r="J4217" s="22" t="str">
        <f t="shared" si="132"/>
        <v>lost money</v>
      </c>
    </row>
    <row r="4218" spans="1:10">
      <c r="A4218" s="1">
        <v>41446</v>
      </c>
      <c r="B4218">
        <v>198.5</v>
      </c>
      <c r="C4218">
        <v>198.52</v>
      </c>
      <c r="D4218">
        <v>193.54</v>
      </c>
      <c r="E4218">
        <v>195.46</v>
      </c>
      <c r="F4218">
        <v>8914800</v>
      </c>
      <c r="G4218">
        <v>193.45</v>
      </c>
      <c r="H4218" t="s">
        <v>7</v>
      </c>
      <c r="I4218" s="22">
        <f t="shared" si="131"/>
        <v>-9.6201580469375339E-3</v>
      </c>
      <c r="J4218" s="22" t="str">
        <f t="shared" si="132"/>
        <v>lost money</v>
      </c>
    </row>
    <row r="4219" spans="1:10">
      <c r="A4219" s="1">
        <v>41449</v>
      </c>
      <c r="B4219">
        <v>193.99</v>
      </c>
      <c r="C4219">
        <v>194.91</v>
      </c>
      <c r="D4219">
        <v>191.34</v>
      </c>
      <c r="E4219">
        <v>193.54</v>
      </c>
      <c r="F4219">
        <v>4356200</v>
      </c>
      <c r="G4219">
        <v>191.55</v>
      </c>
      <c r="H4219" t="s">
        <v>7</v>
      </c>
      <c r="I4219" s="22">
        <f t="shared" si="131"/>
        <v>-9.8702099998639117E-3</v>
      </c>
      <c r="J4219" s="22" t="str">
        <f t="shared" si="132"/>
        <v>lost money</v>
      </c>
    </row>
    <row r="4220" spans="1:10">
      <c r="A4220" s="1">
        <v>41450</v>
      </c>
      <c r="B4220">
        <v>195.31</v>
      </c>
      <c r="C4220">
        <v>195.59</v>
      </c>
      <c r="D4220">
        <v>193.15</v>
      </c>
      <c r="E4220">
        <v>194.98</v>
      </c>
      <c r="F4220">
        <v>3846200</v>
      </c>
      <c r="G4220">
        <v>192.97</v>
      </c>
      <c r="H4220" t="s">
        <v>7</v>
      </c>
      <c r="I4220" s="22">
        <f t="shared" si="131"/>
        <v>7.3858652616064537E-3</v>
      </c>
      <c r="J4220" s="22" t="str">
        <f t="shared" si="132"/>
        <v>lost money</v>
      </c>
    </row>
    <row r="4221" spans="1:10">
      <c r="A4221" s="1">
        <v>41451</v>
      </c>
      <c r="B4221">
        <v>195.97</v>
      </c>
      <c r="C4221">
        <v>196.23</v>
      </c>
      <c r="D4221">
        <v>194.5</v>
      </c>
      <c r="E4221">
        <v>194.86</v>
      </c>
      <c r="F4221">
        <v>3320200</v>
      </c>
      <c r="G4221">
        <v>192.86</v>
      </c>
      <c r="H4221" t="s">
        <v>7</v>
      </c>
      <c r="I4221" s="22">
        <f t="shared" si="131"/>
        <v>-5.7019932602603589E-4</v>
      </c>
      <c r="J4221" s="22" t="str">
        <f t="shared" si="132"/>
        <v>lost money</v>
      </c>
    </row>
    <row r="4222" spans="1:10">
      <c r="A4222" s="1">
        <v>41452</v>
      </c>
      <c r="B4222">
        <v>196.05</v>
      </c>
      <c r="C4222">
        <v>196.9</v>
      </c>
      <c r="D4222">
        <v>195.29</v>
      </c>
      <c r="E4222">
        <v>195.65</v>
      </c>
      <c r="F4222">
        <v>3514200</v>
      </c>
      <c r="G4222">
        <v>193.64</v>
      </c>
      <c r="H4222" t="s">
        <v>7</v>
      </c>
      <c r="I4222" s="22">
        <f t="shared" si="131"/>
        <v>4.0362279892551811E-3</v>
      </c>
      <c r="J4222" s="22" t="str">
        <f t="shared" si="132"/>
        <v>lost money</v>
      </c>
    </row>
    <row r="4223" spans="1:10">
      <c r="A4223" s="1">
        <v>41453</v>
      </c>
      <c r="B4223">
        <v>191.73</v>
      </c>
      <c r="C4223">
        <v>192.66</v>
      </c>
      <c r="D4223">
        <v>188.41</v>
      </c>
      <c r="E4223">
        <v>191.11</v>
      </c>
      <c r="F4223">
        <v>10055800</v>
      </c>
      <c r="G4223">
        <v>189.14</v>
      </c>
      <c r="H4223" t="s">
        <v>7</v>
      </c>
      <c r="I4223" s="22">
        <f t="shared" si="131"/>
        <v>-2.3513283484127498E-2</v>
      </c>
      <c r="J4223" s="22" t="str">
        <f t="shared" si="132"/>
        <v>lost money</v>
      </c>
    </row>
    <row r="4224" spans="1:10">
      <c r="A4224" s="1">
        <v>41456</v>
      </c>
      <c r="B4224">
        <v>192.15</v>
      </c>
      <c r="C4224">
        <v>193.8</v>
      </c>
      <c r="D4224">
        <v>191.12</v>
      </c>
      <c r="E4224">
        <v>191.28</v>
      </c>
      <c r="F4224">
        <v>4442400</v>
      </c>
      <c r="G4224">
        <v>189.31</v>
      </c>
      <c r="H4224" t="s">
        <v>7</v>
      </c>
      <c r="I4224" s="22">
        <f t="shared" si="131"/>
        <v>8.9840143445259841E-4</v>
      </c>
      <c r="J4224" s="22" t="str">
        <f t="shared" si="132"/>
        <v>lost money</v>
      </c>
    </row>
    <row r="4225" spans="1:10">
      <c r="A4225" s="1">
        <v>41457</v>
      </c>
      <c r="B4225">
        <v>190.78</v>
      </c>
      <c r="C4225">
        <v>193.23</v>
      </c>
      <c r="D4225">
        <v>190.26</v>
      </c>
      <c r="E4225">
        <v>191.5</v>
      </c>
      <c r="F4225">
        <v>3657700</v>
      </c>
      <c r="G4225">
        <v>189.53</v>
      </c>
      <c r="H4225" t="s">
        <v>7</v>
      </c>
      <c r="I4225" s="22">
        <f t="shared" si="131"/>
        <v>1.1614403163902136E-3</v>
      </c>
      <c r="J4225" s="22" t="str">
        <f t="shared" si="132"/>
        <v/>
      </c>
    </row>
    <row r="4226" spans="1:10">
      <c r="A4226" s="1">
        <v>41458</v>
      </c>
      <c r="B4226">
        <v>190.98</v>
      </c>
      <c r="C4226">
        <v>194.22</v>
      </c>
      <c r="D4226">
        <v>190.51</v>
      </c>
      <c r="E4226">
        <v>193.25</v>
      </c>
      <c r="F4226">
        <v>1872600</v>
      </c>
      <c r="G4226">
        <v>191.26</v>
      </c>
      <c r="H4226" t="s">
        <v>7</v>
      </c>
      <c r="I4226" s="22">
        <f t="shared" si="131"/>
        <v>9.0864355831878577E-3</v>
      </c>
      <c r="J4226" s="22" t="str">
        <f t="shared" si="132"/>
        <v/>
      </c>
    </row>
    <row r="4227" spans="1:10">
      <c r="A4227" s="1">
        <v>41460</v>
      </c>
      <c r="B4227">
        <v>194.49</v>
      </c>
      <c r="C4227">
        <v>195.16</v>
      </c>
      <c r="D4227">
        <v>192.35</v>
      </c>
      <c r="E4227">
        <v>194.93</v>
      </c>
      <c r="F4227">
        <v>2405400</v>
      </c>
      <c r="G4227">
        <v>192.92</v>
      </c>
      <c r="H4227" t="s">
        <v>7</v>
      </c>
      <c r="I4227" s="22">
        <f t="shared" ref="I4227:I4290" si="133">IF(A4227=$A$2,"",LN(G4227/G4226))</f>
        <v>8.6418362793743951E-3</v>
      </c>
      <c r="J4227" s="22" t="str">
        <f t="shared" ref="J4227:J4290" si="134">IF(B4227&gt;E4227,"lost money","")</f>
        <v/>
      </c>
    </row>
    <row r="4228" spans="1:10">
      <c r="A4228" s="1">
        <v>41463</v>
      </c>
      <c r="B4228">
        <v>195.6</v>
      </c>
      <c r="C4228">
        <v>195.78</v>
      </c>
      <c r="D4228">
        <v>194.61</v>
      </c>
      <c r="E4228">
        <v>194.98</v>
      </c>
      <c r="F4228">
        <v>2947500</v>
      </c>
      <c r="G4228">
        <v>192.97</v>
      </c>
      <c r="H4228" t="s">
        <v>7</v>
      </c>
      <c r="I4228" s="22">
        <f t="shared" si="133"/>
        <v>2.5914120749342322E-4</v>
      </c>
      <c r="J4228" s="22" t="str">
        <f t="shared" si="134"/>
        <v>lost money</v>
      </c>
    </row>
    <row r="4229" spans="1:10">
      <c r="A4229" s="1">
        <v>41464</v>
      </c>
      <c r="B4229">
        <v>191.88</v>
      </c>
      <c r="C4229">
        <v>192.8</v>
      </c>
      <c r="D4229">
        <v>190.78</v>
      </c>
      <c r="E4229">
        <v>191.3</v>
      </c>
      <c r="F4229">
        <v>5204200</v>
      </c>
      <c r="G4229">
        <v>189.33</v>
      </c>
      <c r="H4229" t="s">
        <v>7</v>
      </c>
      <c r="I4229" s="22">
        <f t="shared" si="133"/>
        <v>-1.904321214400656E-2</v>
      </c>
      <c r="J4229" s="22" t="str">
        <f t="shared" si="134"/>
        <v>lost money</v>
      </c>
    </row>
    <row r="4230" spans="1:10">
      <c r="A4230" s="1">
        <v>41465</v>
      </c>
      <c r="B4230">
        <v>191.51</v>
      </c>
      <c r="C4230">
        <v>193.43</v>
      </c>
      <c r="D4230">
        <v>191.27</v>
      </c>
      <c r="E4230">
        <v>192.25</v>
      </c>
      <c r="F4230">
        <v>3892000</v>
      </c>
      <c r="G4230">
        <v>190.27</v>
      </c>
      <c r="H4230" t="s">
        <v>7</v>
      </c>
      <c r="I4230" s="22">
        <f t="shared" si="133"/>
        <v>4.9525917880515443E-3</v>
      </c>
      <c r="J4230" s="22" t="str">
        <f t="shared" si="134"/>
        <v/>
      </c>
    </row>
    <row r="4231" spans="1:10">
      <c r="A4231" s="1">
        <v>41466</v>
      </c>
      <c r="B4231">
        <v>193.78</v>
      </c>
      <c r="C4231">
        <v>194.11</v>
      </c>
      <c r="D4231">
        <v>192.61</v>
      </c>
      <c r="E4231">
        <v>192.8</v>
      </c>
      <c r="F4231">
        <v>4177500</v>
      </c>
      <c r="G4231">
        <v>190.82</v>
      </c>
      <c r="H4231" t="s">
        <v>7</v>
      </c>
      <c r="I4231" s="22">
        <f t="shared" si="133"/>
        <v>2.8864592713903942E-3</v>
      </c>
      <c r="J4231" s="22" t="str">
        <f t="shared" si="134"/>
        <v>lost money</v>
      </c>
    </row>
    <row r="4232" spans="1:10">
      <c r="A4232" s="1">
        <v>41467</v>
      </c>
      <c r="B4232">
        <v>193.07</v>
      </c>
      <c r="C4232">
        <v>193.7</v>
      </c>
      <c r="D4232">
        <v>191.59</v>
      </c>
      <c r="E4232">
        <v>192.07</v>
      </c>
      <c r="F4232">
        <v>4494700</v>
      </c>
      <c r="G4232">
        <v>190.09</v>
      </c>
      <c r="H4232" t="s">
        <v>7</v>
      </c>
      <c r="I4232" s="22">
        <f t="shared" si="133"/>
        <v>-3.8329311056376726E-3</v>
      </c>
      <c r="J4232" s="22" t="str">
        <f t="shared" si="134"/>
        <v>lost money</v>
      </c>
    </row>
    <row r="4233" spans="1:10">
      <c r="A4233" s="1">
        <v>41470</v>
      </c>
      <c r="B4233">
        <v>192.42</v>
      </c>
      <c r="C4233">
        <v>194.89</v>
      </c>
      <c r="D4233">
        <v>191.68</v>
      </c>
      <c r="E4233">
        <v>194</v>
      </c>
      <c r="F4233">
        <v>5674700</v>
      </c>
      <c r="G4233">
        <v>192</v>
      </c>
      <c r="H4233" t="s">
        <v>7</v>
      </c>
      <c r="I4233" s="22">
        <f t="shared" si="133"/>
        <v>9.9977278097193034E-3</v>
      </c>
      <c r="J4233" s="22" t="str">
        <f t="shared" si="134"/>
        <v/>
      </c>
    </row>
    <row r="4234" spans="1:10">
      <c r="A4234" s="1">
        <v>41471</v>
      </c>
      <c r="B4234">
        <v>194.04</v>
      </c>
      <c r="C4234">
        <v>194.58</v>
      </c>
      <c r="D4234">
        <v>192.68</v>
      </c>
      <c r="E4234">
        <v>193.85</v>
      </c>
      <c r="F4234">
        <v>3745300</v>
      </c>
      <c r="G4234">
        <v>191.86</v>
      </c>
      <c r="H4234" t="s">
        <v>7</v>
      </c>
      <c r="I4234" s="22">
        <f t="shared" si="133"/>
        <v>-7.2943263797991739E-4</v>
      </c>
      <c r="J4234" s="22" t="str">
        <f t="shared" si="134"/>
        <v>lost money</v>
      </c>
    </row>
    <row r="4235" spans="1:10">
      <c r="A4235" s="1">
        <v>41472</v>
      </c>
      <c r="B4235">
        <v>194.72</v>
      </c>
      <c r="C4235">
        <v>194.89</v>
      </c>
      <c r="D4235">
        <v>193.03</v>
      </c>
      <c r="E4235">
        <v>194.55</v>
      </c>
      <c r="F4235">
        <v>6868400</v>
      </c>
      <c r="G4235">
        <v>192.55</v>
      </c>
      <c r="H4235" t="s">
        <v>7</v>
      </c>
      <c r="I4235" s="22">
        <f t="shared" si="133"/>
        <v>3.5899208711163062E-3</v>
      </c>
      <c r="J4235" s="22" t="str">
        <f t="shared" si="134"/>
        <v>lost money</v>
      </c>
    </row>
    <row r="4236" spans="1:10">
      <c r="A4236" s="1">
        <v>41473</v>
      </c>
      <c r="B4236">
        <v>198.27</v>
      </c>
      <c r="C4236">
        <v>200.94</v>
      </c>
      <c r="D4236">
        <v>195.99</v>
      </c>
      <c r="E4236">
        <v>197.99</v>
      </c>
      <c r="F4236">
        <v>8393400</v>
      </c>
      <c r="G4236">
        <v>195.95</v>
      </c>
      <c r="H4236" t="s">
        <v>7</v>
      </c>
      <c r="I4236" s="22">
        <f t="shared" si="133"/>
        <v>1.7503664384722419E-2</v>
      </c>
      <c r="J4236" s="22" t="str">
        <f t="shared" si="134"/>
        <v>lost money</v>
      </c>
    </row>
    <row r="4237" spans="1:10">
      <c r="A4237" s="1">
        <v>41474</v>
      </c>
      <c r="B4237">
        <v>197.91</v>
      </c>
      <c r="C4237">
        <v>197.99</v>
      </c>
      <c r="D4237">
        <v>193.24</v>
      </c>
      <c r="E4237">
        <v>193.54</v>
      </c>
      <c r="F4237">
        <v>6997600</v>
      </c>
      <c r="G4237">
        <v>191.55</v>
      </c>
      <c r="H4237" t="s">
        <v>7</v>
      </c>
      <c r="I4237" s="22">
        <f t="shared" si="133"/>
        <v>-2.2710653498982349E-2</v>
      </c>
      <c r="J4237" s="22" t="str">
        <f t="shared" si="134"/>
        <v>lost money</v>
      </c>
    </row>
    <row r="4238" spans="1:10">
      <c r="A4238" s="1">
        <v>41477</v>
      </c>
      <c r="B4238">
        <v>193.4</v>
      </c>
      <c r="C4238">
        <v>195.79</v>
      </c>
      <c r="D4238">
        <v>193.28</v>
      </c>
      <c r="E4238">
        <v>194.09</v>
      </c>
      <c r="F4238">
        <v>3398000</v>
      </c>
      <c r="G4238">
        <v>192.09</v>
      </c>
      <c r="H4238" t="s">
        <v>7</v>
      </c>
      <c r="I4238" s="22">
        <f t="shared" si="133"/>
        <v>2.8151410521624499E-3</v>
      </c>
      <c r="J4238" s="22" t="str">
        <f t="shared" si="134"/>
        <v/>
      </c>
    </row>
    <row r="4239" spans="1:10">
      <c r="A4239" s="1">
        <v>41478</v>
      </c>
      <c r="B4239">
        <v>194.21</v>
      </c>
      <c r="C4239">
        <v>196.43</v>
      </c>
      <c r="D4239">
        <v>194.1</v>
      </c>
      <c r="E4239">
        <v>194.98</v>
      </c>
      <c r="F4239">
        <v>2863800</v>
      </c>
      <c r="G4239">
        <v>192.97</v>
      </c>
      <c r="H4239" t="s">
        <v>7</v>
      </c>
      <c r="I4239" s="22">
        <f t="shared" si="133"/>
        <v>4.5707242094440367E-3</v>
      </c>
      <c r="J4239" s="22" t="str">
        <f t="shared" si="134"/>
        <v/>
      </c>
    </row>
    <row r="4240" spans="1:10">
      <c r="A4240" s="1">
        <v>41479</v>
      </c>
      <c r="B4240">
        <v>195.95</v>
      </c>
      <c r="C4240">
        <v>197.3</v>
      </c>
      <c r="D4240">
        <v>195.86</v>
      </c>
      <c r="E4240">
        <v>196.61</v>
      </c>
      <c r="F4240">
        <v>2957900</v>
      </c>
      <c r="G4240">
        <v>194.59</v>
      </c>
      <c r="H4240" t="s">
        <v>7</v>
      </c>
      <c r="I4240" s="22">
        <f t="shared" si="133"/>
        <v>8.3600445617999352E-3</v>
      </c>
      <c r="J4240" s="22" t="str">
        <f t="shared" si="134"/>
        <v/>
      </c>
    </row>
    <row r="4241" spans="1:10">
      <c r="A4241" s="1">
        <v>41480</v>
      </c>
      <c r="B4241">
        <v>196.3</v>
      </c>
      <c r="C4241">
        <v>197.83</v>
      </c>
      <c r="D4241">
        <v>195.66</v>
      </c>
      <c r="E4241">
        <v>197.22</v>
      </c>
      <c r="F4241">
        <v>3014300</v>
      </c>
      <c r="G4241">
        <v>195.19</v>
      </c>
      <c r="H4241" t="s">
        <v>7</v>
      </c>
      <c r="I4241" s="22">
        <f t="shared" si="133"/>
        <v>3.0786621884547833E-3</v>
      </c>
      <c r="J4241" s="22" t="str">
        <f t="shared" si="134"/>
        <v/>
      </c>
    </row>
    <row r="4242" spans="1:10">
      <c r="A4242" s="1">
        <v>41481</v>
      </c>
      <c r="B4242">
        <v>196.59</v>
      </c>
      <c r="C4242">
        <v>197.37</v>
      </c>
      <c r="D4242">
        <v>195</v>
      </c>
      <c r="E4242">
        <v>197.35</v>
      </c>
      <c r="F4242">
        <v>2485100</v>
      </c>
      <c r="G4242">
        <v>195.32</v>
      </c>
      <c r="H4242" t="s">
        <v>7</v>
      </c>
      <c r="I4242" s="22">
        <f t="shared" si="133"/>
        <v>6.6579603494026983E-4</v>
      </c>
      <c r="J4242" s="22" t="str">
        <f t="shared" si="134"/>
        <v/>
      </c>
    </row>
    <row r="4243" spans="1:10">
      <c r="A4243" s="1">
        <v>41484</v>
      </c>
      <c r="B4243">
        <v>196.83</v>
      </c>
      <c r="C4243">
        <v>197.19</v>
      </c>
      <c r="D4243">
        <v>195.53</v>
      </c>
      <c r="E4243">
        <v>196.21</v>
      </c>
      <c r="F4243">
        <v>2113700</v>
      </c>
      <c r="G4243">
        <v>194.19</v>
      </c>
      <c r="H4243" t="s">
        <v>7</v>
      </c>
      <c r="I4243" s="22">
        <f t="shared" si="133"/>
        <v>-5.8021779679310248E-3</v>
      </c>
      <c r="J4243" s="22" t="str">
        <f t="shared" si="134"/>
        <v>lost money</v>
      </c>
    </row>
    <row r="4244" spans="1:10">
      <c r="A4244" s="1">
        <v>41485</v>
      </c>
      <c r="B4244">
        <v>196.99</v>
      </c>
      <c r="C4244">
        <v>197.83</v>
      </c>
      <c r="D4244">
        <v>195.81</v>
      </c>
      <c r="E4244">
        <v>196.01</v>
      </c>
      <c r="F4244">
        <v>2663200</v>
      </c>
      <c r="G4244">
        <v>193.99</v>
      </c>
      <c r="H4244" t="s">
        <v>7</v>
      </c>
      <c r="I4244" s="22">
        <f t="shared" si="133"/>
        <v>-1.0304498825137805E-3</v>
      </c>
      <c r="J4244" s="22" t="str">
        <f t="shared" si="134"/>
        <v>lost money</v>
      </c>
    </row>
    <row r="4245" spans="1:10">
      <c r="A4245" s="1">
        <v>41486</v>
      </c>
      <c r="B4245">
        <v>194.49</v>
      </c>
      <c r="C4245">
        <v>196.91</v>
      </c>
      <c r="D4245">
        <v>194.49</v>
      </c>
      <c r="E4245">
        <v>195.04</v>
      </c>
      <c r="F4245">
        <v>3810000</v>
      </c>
      <c r="G4245">
        <v>193.03</v>
      </c>
      <c r="H4245" t="s">
        <v>7</v>
      </c>
      <c r="I4245" s="22">
        <f t="shared" si="133"/>
        <v>-4.960994103230823E-3</v>
      </c>
      <c r="J4245" s="22" t="str">
        <f t="shared" si="134"/>
        <v/>
      </c>
    </row>
    <row r="4246" spans="1:10">
      <c r="A4246" s="1">
        <v>41487</v>
      </c>
      <c r="B4246">
        <v>196.65</v>
      </c>
      <c r="C4246">
        <v>197.17</v>
      </c>
      <c r="D4246">
        <v>195.41</v>
      </c>
      <c r="E4246">
        <v>195.81</v>
      </c>
      <c r="F4246">
        <v>2877700</v>
      </c>
      <c r="G4246">
        <v>193.8</v>
      </c>
      <c r="H4246" t="s">
        <v>7</v>
      </c>
      <c r="I4246" s="22">
        <f t="shared" si="133"/>
        <v>3.9810822168820171E-3</v>
      </c>
      <c r="J4246" s="22" t="str">
        <f t="shared" si="134"/>
        <v>lost money</v>
      </c>
    </row>
    <row r="4247" spans="1:10">
      <c r="A4247" s="1">
        <v>41488</v>
      </c>
      <c r="B4247">
        <v>195.5</v>
      </c>
      <c r="C4247">
        <v>195.5</v>
      </c>
      <c r="D4247">
        <v>193.22</v>
      </c>
      <c r="E4247">
        <v>195.16</v>
      </c>
      <c r="F4247">
        <v>3874000</v>
      </c>
      <c r="G4247">
        <v>193.15</v>
      </c>
      <c r="H4247" t="s">
        <v>7</v>
      </c>
      <c r="I4247" s="22">
        <f t="shared" si="133"/>
        <v>-3.3596103443756212E-3</v>
      </c>
      <c r="J4247" s="22" t="str">
        <f t="shared" si="134"/>
        <v>lost money</v>
      </c>
    </row>
    <row r="4248" spans="1:10">
      <c r="A4248" s="1">
        <v>41491</v>
      </c>
      <c r="B4248">
        <v>195.16</v>
      </c>
      <c r="C4248">
        <v>195.88</v>
      </c>
      <c r="D4248">
        <v>194.35</v>
      </c>
      <c r="E4248">
        <v>195.5</v>
      </c>
      <c r="F4248">
        <v>2490900</v>
      </c>
      <c r="G4248">
        <v>193.49</v>
      </c>
      <c r="H4248" t="s">
        <v>7</v>
      </c>
      <c r="I4248" s="22">
        <f t="shared" si="133"/>
        <v>1.7587424355470277E-3</v>
      </c>
      <c r="J4248" s="22" t="str">
        <f t="shared" si="134"/>
        <v/>
      </c>
    </row>
    <row r="4249" spans="1:10">
      <c r="A4249" s="1">
        <v>41492</v>
      </c>
      <c r="B4249">
        <v>192.26</v>
      </c>
      <c r="C4249">
        <v>192.51</v>
      </c>
      <c r="D4249">
        <v>190.27</v>
      </c>
      <c r="E4249">
        <v>190.99</v>
      </c>
      <c r="F4249">
        <v>5938500</v>
      </c>
      <c r="G4249">
        <v>189.02</v>
      </c>
      <c r="H4249" t="s">
        <v>7</v>
      </c>
      <c r="I4249" s="22">
        <f t="shared" si="133"/>
        <v>-2.337300198092724E-2</v>
      </c>
      <c r="J4249" s="22" t="str">
        <f t="shared" si="134"/>
        <v>lost money</v>
      </c>
    </row>
    <row r="4250" spans="1:10">
      <c r="A4250" s="1">
        <v>41493</v>
      </c>
      <c r="B4250">
        <v>189.6</v>
      </c>
      <c r="C4250">
        <v>189.93</v>
      </c>
      <c r="D4250">
        <v>188.05</v>
      </c>
      <c r="E4250">
        <v>188.56</v>
      </c>
      <c r="F4250">
        <v>3901700</v>
      </c>
      <c r="G4250">
        <v>187.55</v>
      </c>
      <c r="H4250" t="s">
        <v>7</v>
      </c>
      <c r="I4250" s="22">
        <f t="shared" si="133"/>
        <v>-7.807353039013731E-3</v>
      </c>
      <c r="J4250" s="22" t="str">
        <f t="shared" si="134"/>
        <v>lost money</v>
      </c>
    </row>
    <row r="4251" spans="1:10">
      <c r="A4251" s="1">
        <v>41494</v>
      </c>
      <c r="B4251">
        <v>189.45</v>
      </c>
      <c r="C4251">
        <v>189.87</v>
      </c>
      <c r="D4251">
        <v>186.79</v>
      </c>
      <c r="E4251">
        <v>187.93</v>
      </c>
      <c r="F4251">
        <v>4547600</v>
      </c>
      <c r="G4251">
        <v>186.93</v>
      </c>
      <c r="H4251" t="s">
        <v>7</v>
      </c>
      <c r="I4251" s="22">
        <f t="shared" si="133"/>
        <v>-3.3112613036560315E-3</v>
      </c>
      <c r="J4251" s="22" t="str">
        <f t="shared" si="134"/>
        <v>lost money</v>
      </c>
    </row>
    <row r="4252" spans="1:10">
      <c r="A4252" s="1">
        <v>41495</v>
      </c>
      <c r="B4252">
        <v>188</v>
      </c>
      <c r="C4252">
        <v>189.16</v>
      </c>
      <c r="D4252">
        <v>187</v>
      </c>
      <c r="E4252">
        <v>187.82</v>
      </c>
      <c r="F4252">
        <v>3249600</v>
      </c>
      <c r="G4252">
        <v>186.82</v>
      </c>
      <c r="H4252" t="s">
        <v>7</v>
      </c>
      <c r="I4252" s="22">
        <f t="shared" si="133"/>
        <v>-5.8862877953768755E-4</v>
      </c>
      <c r="J4252" s="22" t="str">
        <f t="shared" si="134"/>
        <v>lost money</v>
      </c>
    </row>
    <row r="4253" spans="1:10">
      <c r="A4253" s="1">
        <v>41498</v>
      </c>
      <c r="B4253">
        <v>186.97</v>
      </c>
      <c r="C4253">
        <v>189.56</v>
      </c>
      <c r="D4253">
        <v>186.89</v>
      </c>
      <c r="E4253">
        <v>189.09</v>
      </c>
      <c r="F4253">
        <v>3026500</v>
      </c>
      <c r="G4253">
        <v>188.08</v>
      </c>
      <c r="H4253" t="s">
        <v>7</v>
      </c>
      <c r="I4253" s="22">
        <f t="shared" si="133"/>
        <v>6.7218177871115805E-3</v>
      </c>
      <c r="J4253" s="22" t="str">
        <f t="shared" si="134"/>
        <v/>
      </c>
    </row>
    <row r="4254" spans="1:10">
      <c r="A4254" s="1">
        <v>41499</v>
      </c>
      <c r="B4254">
        <v>189.54</v>
      </c>
      <c r="C4254">
        <v>189.99</v>
      </c>
      <c r="D4254">
        <v>187.56</v>
      </c>
      <c r="E4254">
        <v>188.42</v>
      </c>
      <c r="F4254">
        <v>3542900</v>
      </c>
      <c r="G4254">
        <v>187.41</v>
      </c>
      <c r="H4254" t="s">
        <v>7</v>
      </c>
      <c r="I4254" s="22">
        <f t="shared" si="133"/>
        <v>-3.5686740582259271E-3</v>
      </c>
      <c r="J4254" s="22" t="str">
        <f t="shared" si="134"/>
        <v>lost money</v>
      </c>
    </row>
    <row r="4255" spans="1:10">
      <c r="A4255" s="1">
        <v>41500</v>
      </c>
      <c r="B4255">
        <v>188.58</v>
      </c>
      <c r="C4255">
        <v>188.93</v>
      </c>
      <c r="D4255">
        <v>187.3</v>
      </c>
      <c r="E4255">
        <v>187.53</v>
      </c>
      <c r="F4255">
        <v>2892300</v>
      </c>
      <c r="G4255">
        <v>186.53</v>
      </c>
      <c r="H4255" t="s">
        <v>7</v>
      </c>
      <c r="I4255" s="22">
        <f t="shared" si="133"/>
        <v>-4.7066461171169412E-3</v>
      </c>
      <c r="J4255" s="22" t="str">
        <f t="shared" si="134"/>
        <v>lost money</v>
      </c>
    </row>
    <row r="4256" spans="1:10">
      <c r="A4256" s="1">
        <v>41501</v>
      </c>
      <c r="B4256">
        <v>186.23</v>
      </c>
      <c r="C4256">
        <v>187</v>
      </c>
      <c r="D4256">
        <v>185.45</v>
      </c>
      <c r="E4256">
        <v>185.79</v>
      </c>
      <c r="F4256">
        <v>3692400</v>
      </c>
      <c r="G4256">
        <v>184.8</v>
      </c>
      <c r="H4256" t="s">
        <v>7</v>
      </c>
      <c r="I4256" s="22">
        <f t="shared" si="133"/>
        <v>-9.317924848887417E-3</v>
      </c>
      <c r="J4256" s="22" t="str">
        <f t="shared" si="134"/>
        <v>lost money</v>
      </c>
    </row>
    <row r="4257" spans="1:10">
      <c r="A4257" s="1">
        <v>41502</v>
      </c>
      <c r="B4257">
        <v>185.54</v>
      </c>
      <c r="C4257">
        <v>186.46</v>
      </c>
      <c r="D4257">
        <v>185.34</v>
      </c>
      <c r="E4257">
        <v>185.34</v>
      </c>
      <c r="F4257">
        <v>3426400</v>
      </c>
      <c r="G4257">
        <v>184.35</v>
      </c>
      <c r="H4257" t="s">
        <v>7</v>
      </c>
      <c r="I4257" s="22">
        <f t="shared" si="133"/>
        <v>-2.4380345274303988E-3</v>
      </c>
      <c r="J4257" s="22" t="str">
        <f t="shared" si="134"/>
        <v>lost money</v>
      </c>
    </row>
    <row r="4258" spans="1:10">
      <c r="A4258" s="1">
        <v>41505</v>
      </c>
      <c r="B4258">
        <v>185.3</v>
      </c>
      <c r="C4258">
        <v>186.5</v>
      </c>
      <c r="D4258">
        <v>183.98</v>
      </c>
      <c r="E4258">
        <v>184.23</v>
      </c>
      <c r="F4258">
        <v>3248900</v>
      </c>
      <c r="G4258">
        <v>183.25</v>
      </c>
      <c r="H4258" t="s">
        <v>7</v>
      </c>
      <c r="I4258" s="22">
        <f t="shared" si="133"/>
        <v>-5.9847839133925591E-3</v>
      </c>
      <c r="J4258" s="22" t="str">
        <f t="shared" si="134"/>
        <v>lost money</v>
      </c>
    </row>
    <row r="4259" spans="1:10">
      <c r="A4259" s="1">
        <v>41506</v>
      </c>
      <c r="B4259">
        <v>184.37</v>
      </c>
      <c r="C4259">
        <v>185.63</v>
      </c>
      <c r="D4259">
        <v>183.17</v>
      </c>
      <c r="E4259">
        <v>184.56</v>
      </c>
      <c r="F4259">
        <v>3117800</v>
      </c>
      <c r="G4259">
        <v>183.57</v>
      </c>
      <c r="H4259" t="s">
        <v>7</v>
      </c>
      <c r="I4259" s="22">
        <f t="shared" si="133"/>
        <v>1.7447253757978602E-3</v>
      </c>
      <c r="J4259" s="22" t="str">
        <f t="shared" si="134"/>
        <v/>
      </c>
    </row>
    <row r="4260" spans="1:10">
      <c r="A4260" s="1">
        <v>41507</v>
      </c>
      <c r="B4260">
        <v>184.67</v>
      </c>
      <c r="C4260">
        <v>186.57</v>
      </c>
      <c r="D4260">
        <v>184.28</v>
      </c>
      <c r="E4260">
        <v>184.86</v>
      </c>
      <c r="F4260">
        <v>3551000</v>
      </c>
      <c r="G4260">
        <v>183.87</v>
      </c>
      <c r="H4260" t="s">
        <v>7</v>
      </c>
      <c r="I4260" s="22">
        <f t="shared" si="133"/>
        <v>1.6329200231911896E-3</v>
      </c>
      <c r="J4260" s="22" t="str">
        <f t="shared" si="134"/>
        <v/>
      </c>
    </row>
    <row r="4261" spans="1:10">
      <c r="A4261" s="1">
        <v>41508</v>
      </c>
      <c r="B4261">
        <v>185.65</v>
      </c>
      <c r="C4261">
        <v>186.25</v>
      </c>
      <c r="D4261">
        <v>184.25</v>
      </c>
      <c r="E4261">
        <v>185.19</v>
      </c>
      <c r="F4261">
        <v>2354300</v>
      </c>
      <c r="G4261">
        <v>184.2</v>
      </c>
      <c r="H4261" t="s">
        <v>7</v>
      </c>
      <c r="I4261" s="22">
        <f t="shared" si="133"/>
        <v>1.7931376554562886E-3</v>
      </c>
      <c r="J4261" s="22" t="str">
        <f t="shared" si="134"/>
        <v>lost money</v>
      </c>
    </row>
    <row r="4262" spans="1:10">
      <c r="A4262" s="1">
        <v>41509</v>
      </c>
      <c r="B4262">
        <v>185.34</v>
      </c>
      <c r="C4262">
        <v>185.74</v>
      </c>
      <c r="D4262">
        <v>184.57</v>
      </c>
      <c r="E4262">
        <v>185.42</v>
      </c>
      <c r="F4262">
        <v>2292700</v>
      </c>
      <c r="G4262">
        <v>184.43</v>
      </c>
      <c r="H4262" t="s">
        <v>7</v>
      </c>
      <c r="I4262" s="22">
        <f t="shared" si="133"/>
        <v>1.2478638735081771E-3</v>
      </c>
      <c r="J4262" s="22" t="str">
        <f t="shared" si="134"/>
        <v/>
      </c>
    </row>
    <row r="4263" spans="1:10">
      <c r="A4263" s="1">
        <v>41512</v>
      </c>
      <c r="B4263">
        <v>185.27</v>
      </c>
      <c r="C4263">
        <v>187</v>
      </c>
      <c r="D4263">
        <v>184.68</v>
      </c>
      <c r="E4263">
        <v>184.74</v>
      </c>
      <c r="F4263">
        <v>2170400</v>
      </c>
      <c r="G4263">
        <v>183.75</v>
      </c>
      <c r="H4263" t="s">
        <v>7</v>
      </c>
      <c r="I4263" s="22">
        <f t="shared" si="133"/>
        <v>-3.6938496017685104E-3</v>
      </c>
      <c r="J4263" s="22" t="str">
        <f t="shared" si="134"/>
        <v>lost money</v>
      </c>
    </row>
    <row r="4264" spans="1:10">
      <c r="A4264" s="1">
        <v>41513</v>
      </c>
      <c r="B4264">
        <v>183.63</v>
      </c>
      <c r="C4264">
        <v>184.5</v>
      </c>
      <c r="D4264">
        <v>182.57</v>
      </c>
      <c r="E4264">
        <v>182.74</v>
      </c>
      <c r="F4264">
        <v>3190700</v>
      </c>
      <c r="G4264">
        <v>181.76</v>
      </c>
      <c r="H4264" t="s">
        <v>7</v>
      </c>
      <c r="I4264" s="22">
        <f t="shared" si="133"/>
        <v>-1.0889002560159556E-2</v>
      </c>
      <c r="J4264" s="22" t="str">
        <f t="shared" si="134"/>
        <v>lost money</v>
      </c>
    </row>
    <row r="4265" spans="1:10">
      <c r="A4265" s="1">
        <v>41514</v>
      </c>
      <c r="B4265">
        <v>182.68</v>
      </c>
      <c r="C4265">
        <v>183.47</v>
      </c>
      <c r="D4265">
        <v>181.1</v>
      </c>
      <c r="E4265">
        <v>182.16</v>
      </c>
      <c r="F4265">
        <v>3979200</v>
      </c>
      <c r="G4265">
        <v>181.19</v>
      </c>
      <c r="H4265" t="s">
        <v>7</v>
      </c>
      <c r="I4265" s="22">
        <f t="shared" si="133"/>
        <v>-3.1409310847703817E-3</v>
      </c>
      <c r="J4265" s="22" t="str">
        <f t="shared" si="134"/>
        <v>lost money</v>
      </c>
    </row>
    <row r="4266" spans="1:10">
      <c r="A4266" s="1">
        <v>41515</v>
      </c>
      <c r="B4266">
        <v>181.96</v>
      </c>
      <c r="C4266">
        <v>183.7</v>
      </c>
      <c r="D4266">
        <v>181.44</v>
      </c>
      <c r="E4266">
        <v>182.64</v>
      </c>
      <c r="F4266">
        <v>2980900</v>
      </c>
      <c r="G4266">
        <v>181.66</v>
      </c>
      <c r="H4266" t="s">
        <v>7</v>
      </c>
      <c r="I4266" s="22">
        <f t="shared" si="133"/>
        <v>2.5906036260512819E-3</v>
      </c>
      <c r="J4266" s="22" t="str">
        <f t="shared" si="134"/>
        <v/>
      </c>
    </row>
    <row r="4267" spans="1:10">
      <c r="A4267" s="1">
        <v>41516</v>
      </c>
      <c r="B4267">
        <v>182.75</v>
      </c>
      <c r="C4267">
        <v>182.99</v>
      </c>
      <c r="D4267">
        <v>181.51</v>
      </c>
      <c r="E4267">
        <v>182.27</v>
      </c>
      <c r="F4267">
        <v>2731000</v>
      </c>
      <c r="G4267">
        <v>181.3</v>
      </c>
      <c r="H4267" t="s">
        <v>7</v>
      </c>
      <c r="I4267" s="22">
        <f t="shared" si="133"/>
        <v>-1.9836903132620376E-3</v>
      </c>
      <c r="J4267" s="22" t="str">
        <f t="shared" si="134"/>
        <v>lost money</v>
      </c>
    </row>
    <row r="4268" spans="1:10">
      <c r="A4268" s="1">
        <v>41520</v>
      </c>
      <c r="B4268">
        <v>183.63</v>
      </c>
      <c r="C4268">
        <v>184.32</v>
      </c>
      <c r="D4268">
        <v>182.51</v>
      </c>
      <c r="E4268">
        <v>183.96</v>
      </c>
      <c r="F4268">
        <v>3487200</v>
      </c>
      <c r="G4268">
        <v>182.98</v>
      </c>
      <c r="H4268" t="s">
        <v>7</v>
      </c>
      <c r="I4268" s="22">
        <f t="shared" si="133"/>
        <v>9.223739490583761E-3</v>
      </c>
      <c r="J4268" s="22" t="str">
        <f t="shared" si="134"/>
        <v/>
      </c>
    </row>
    <row r="4269" spans="1:10">
      <c r="A4269" s="1">
        <v>41521</v>
      </c>
      <c r="B4269">
        <v>183.58</v>
      </c>
      <c r="C4269">
        <v>184.19</v>
      </c>
      <c r="D4269">
        <v>182.31</v>
      </c>
      <c r="E4269">
        <v>183.13</v>
      </c>
      <c r="F4269">
        <v>2597900</v>
      </c>
      <c r="G4269">
        <v>182.15</v>
      </c>
      <c r="H4269" t="s">
        <v>7</v>
      </c>
      <c r="I4269" s="22">
        <f t="shared" si="133"/>
        <v>-4.5463337968162489E-3</v>
      </c>
      <c r="J4269" s="22" t="str">
        <f t="shared" si="134"/>
        <v>lost money</v>
      </c>
    </row>
    <row r="4270" spans="1:10">
      <c r="A4270" s="1">
        <v>41522</v>
      </c>
      <c r="B4270">
        <v>183.35</v>
      </c>
      <c r="C4270">
        <v>185</v>
      </c>
      <c r="D4270">
        <v>183.07</v>
      </c>
      <c r="E4270">
        <v>184.15</v>
      </c>
      <c r="F4270">
        <v>2867600</v>
      </c>
      <c r="G4270">
        <v>183.17</v>
      </c>
      <c r="H4270" t="s">
        <v>7</v>
      </c>
      <c r="I4270" s="22">
        <f t="shared" si="133"/>
        <v>5.5841599175527681E-3</v>
      </c>
      <c r="J4270" s="22" t="str">
        <f t="shared" si="134"/>
        <v/>
      </c>
    </row>
    <row r="4271" spans="1:10">
      <c r="A4271" s="1">
        <v>41523</v>
      </c>
      <c r="B4271">
        <v>184.65</v>
      </c>
      <c r="C4271">
        <v>184.99</v>
      </c>
      <c r="D4271">
        <v>182.65</v>
      </c>
      <c r="E4271">
        <v>183.03</v>
      </c>
      <c r="F4271">
        <v>2903500</v>
      </c>
      <c r="G4271">
        <v>182.05</v>
      </c>
      <c r="H4271" t="s">
        <v>7</v>
      </c>
      <c r="I4271" s="22">
        <f t="shared" si="133"/>
        <v>-6.1333087506829668E-3</v>
      </c>
      <c r="J4271" s="22" t="str">
        <f t="shared" si="134"/>
        <v>lost money</v>
      </c>
    </row>
    <row r="4272" spans="1:10">
      <c r="A4272" s="1">
        <v>41526</v>
      </c>
      <c r="B4272">
        <v>183.68</v>
      </c>
      <c r="C4272">
        <v>185.49</v>
      </c>
      <c r="D4272">
        <v>183.31</v>
      </c>
      <c r="E4272">
        <v>184.98</v>
      </c>
      <c r="F4272">
        <v>3017200</v>
      </c>
      <c r="G4272">
        <v>183.99</v>
      </c>
      <c r="H4272" t="s">
        <v>7</v>
      </c>
      <c r="I4272" s="22">
        <f t="shared" si="133"/>
        <v>1.0600033684559636E-2</v>
      </c>
      <c r="J4272" s="22" t="str">
        <f t="shared" si="134"/>
        <v/>
      </c>
    </row>
    <row r="4273" spans="1:10">
      <c r="A4273" s="1">
        <v>41527</v>
      </c>
      <c r="B4273">
        <v>187.2</v>
      </c>
      <c r="C4273">
        <v>187.65</v>
      </c>
      <c r="D4273">
        <v>186.37</v>
      </c>
      <c r="E4273">
        <v>186.6</v>
      </c>
      <c r="F4273">
        <v>3149600</v>
      </c>
      <c r="G4273">
        <v>185.6</v>
      </c>
      <c r="H4273" t="s">
        <v>7</v>
      </c>
      <c r="I4273" s="22">
        <f t="shared" si="133"/>
        <v>8.7124120460981298E-3</v>
      </c>
      <c r="J4273" s="22" t="str">
        <f t="shared" si="134"/>
        <v>lost money</v>
      </c>
    </row>
    <row r="4274" spans="1:10">
      <c r="A4274" s="1">
        <v>41528</v>
      </c>
      <c r="B4274">
        <v>186.83</v>
      </c>
      <c r="C4274">
        <v>190.87</v>
      </c>
      <c r="D4274">
        <v>186.82</v>
      </c>
      <c r="E4274">
        <v>190.7</v>
      </c>
      <c r="F4274">
        <v>4962900</v>
      </c>
      <c r="G4274">
        <v>189.68</v>
      </c>
      <c r="H4274" t="s">
        <v>7</v>
      </c>
      <c r="I4274" s="22">
        <f t="shared" si="133"/>
        <v>2.1744621405049951E-2</v>
      </c>
      <c r="J4274" s="22" t="str">
        <f t="shared" si="134"/>
        <v/>
      </c>
    </row>
    <row r="4275" spans="1:10">
      <c r="A4275" s="1">
        <v>41529</v>
      </c>
      <c r="B4275">
        <v>190.96</v>
      </c>
      <c r="C4275">
        <v>191.32</v>
      </c>
      <c r="D4275">
        <v>189.85</v>
      </c>
      <c r="E4275">
        <v>190.73</v>
      </c>
      <c r="F4275">
        <v>3354800</v>
      </c>
      <c r="G4275">
        <v>189.71</v>
      </c>
      <c r="H4275" t="s">
        <v>7</v>
      </c>
      <c r="I4275" s="22">
        <f t="shared" si="133"/>
        <v>1.5814860730397186E-4</v>
      </c>
      <c r="J4275" s="22" t="str">
        <f t="shared" si="134"/>
        <v>lost money</v>
      </c>
    </row>
    <row r="4276" spans="1:10">
      <c r="A4276" s="1">
        <v>41530</v>
      </c>
      <c r="B4276">
        <v>191.21</v>
      </c>
      <c r="C4276">
        <v>193.1</v>
      </c>
      <c r="D4276">
        <v>191</v>
      </c>
      <c r="E4276">
        <v>192.17</v>
      </c>
      <c r="F4276">
        <v>3710400</v>
      </c>
      <c r="G4276">
        <v>191.14</v>
      </c>
      <c r="H4276" t="s">
        <v>7</v>
      </c>
      <c r="I4276" s="22">
        <f t="shared" si="133"/>
        <v>7.5095534735794894E-3</v>
      </c>
      <c r="J4276" s="22" t="str">
        <f t="shared" si="134"/>
        <v/>
      </c>
    </row>
    <row r="4277" spans="1:10">
      <c r="A4277" s="1">
        <v>41533</v>
      </c>
      <c r="B4277">
        <v>193.7</v>
      </c>
      <c r="C4277">
        <v>194.81</v>
      </c>
      <c r="D4277">
        <v>192.61</v>
      </c>
      <c r="E4277">
        <v>193.15</v>
      </c>
      <c r="F4277">
        <v>3902400</v>
      </c>
      <c r="G4277">
        <v>192.12</v>
      </c>
      <c r="H4277" t="s">
        <v>7</v>
      </c>
      <c r="I4277" s="22">
        <f t="shared" si="133"/>
        <v>5.1140329585900564E-3</v>
      </c>
      <c r="J4277" s="22" t="str">
        <f t="shared" si="134"/>
        <v>lost money</v>
      </c>
    </row>
    <row r="4278" spans="1:10">
      <c r="A4278" s="1">
        <v>41534</v>
      </c>
      <c r="B4278">
        <v>193.42</v>
      </c>
      <c r="C4278">
        <v>194.15</v>
      </c>
      <c r="D4278">
        <v>191.83</v>
      </c>
      <c r="E4278">
        <v>192.16</v>
      </c>
      <c r="F4278">
        <v>2930900</v>
      </c>
      <c r="G4278">
        <v>191.13</v>
      </c>
      <c r="H4278" t="s">
        <v>7</v>
      </c>
      <c r="I4278" s="22">
        <f t="shared" si="133"/>
        <v>-5.1663520001172056E-3</v>
      </c>
      <c r="J4278" s="22" t="str">
        <f t="shared" si="134"/>
        <v>lost money</v>
      </c>
    </row>
    <row r="4279" spans="1:10">
      <c r="A4279" s="1">
        <v>41535</v>
      </c>
      <c r="B4279">
        <v>192.6</v>
      </c>
      <c r="C4279">
        <v>194.89</v>
      </c>
      <c r="D4279">
        <v>192</v>
      </c>
      <c r="E4279">
        <v>194.42</v>
      </c>
      <c r="F4279">
        <v>3841800</v>
      </c>
      <c r="G4279">
        <v>193.38</v>
      </c>
      <c r="H4279" t="s">
        <v>7</v>
      </c>
      <c r="I4279" s="22">
        <f t="shared" si="133"/>
        <v>1.170334025889503E-2</v>
      </c>
      <c r="J4279" s="22" t="str">
        <f t="shared" si="134"/>
        <v/>
      </c>
    </row>
    <row r="4280" spans="1:10">
      <c r="A4280" s="1">
        <v>41536</v>
      </c>
      <c r="B4280">
        <v>194.18</v>
      </c>
      <c r="C4280">
        <v>194.89</v>
      </c>
      <c r="D4280">
        <v>193.22</v>
      </c>
      <c r="E4280">
        <v>193.39</v>
      </c>
      <c r="F4280">
        <v>3178100</v>
      </c>
      <c r="G4280">
        <v>192.36</v>
      </c>
      <c r="H4280" t="s">
        <v>7</v>
      </c>
      <c r="I4280" s="22">
        <f t="shared" si="133"/>
        <v>-5.288548645939483E-3</v>
      </c>
      <c r="J4280" s="22" t="str">
        <f t="shared" si="134"/>
        <v>lost money</v>
      </c>
    </row>
    <row r="4281" spans="1:10">
      <c r="A4281" s="1">
        <v>41537</v>
      </c>
      <c r="B4281">
        <v>193.96</v>
      </c>
      <c r="C4281">
        <v>194.43</v>
      </c>
      <c r="D4281">
        <v>190.02</v>
      </c>
      <c r="E4281">
        <v>190.02</v>
      </c>
      <c r="F4281">
        <v>8525900</v>
      </c>
      <c r="G4281">
        <v>189</v>
      </c>
      <c r="H4281" t="s">
        <v>7</v>
      </c>
      <c r="I4281" s="22">
        <f t="shared" si="133"/>
        <v>-1.7621601349819559E-2</v>
      </c>
      <c r="J4281" s="22" t="str">
        <f t="shared" si="134"/>
        <v>lost money</v>
      </c>
    </row>
    <row r="4282" spans="1:10">
      <c r="A4282" s="1">
        <v>41540</v>
      </c>
      <c r="B4282">
        <v>190.06</v>
      </c>
      <c r="C4282">
        <v>192.41</v>
      </c>
      <c r="D4282">
        <v>189.33</v>
      </c>
      <c r="E4282">
        <v>190.99</v>
      </c>
      <c r="F4282">
        <v>3340800</v>
      </c>
      <c r="G4282">
        <v>189.97</v>
      </c>
      <c r="H4282" t="s">
        <v>7</v>
      </c>
      <c r="I4282" s="22">
        <f t="shared" si="133"/>
        <v>5.1191498973153652E-3</v>
      </c>
      <c r="J4282" s="22" t="str">
        <f t="shared" si="134"/>
        <v/>
      </c>
    </row>
    <row r="4283" spans="1:10">
      <c r="A4283" s="1">
        <v>41541</v>
      </c>
      <c r="B4283">
        <v>190.93</v>
      </c>
      <c r="C4283">
        <v>191.56</v>
      </c>
      <c r="D4283">
        <v>189.66</v>
      </c>
      <c r="E4283">
        <v>189.97</v>
      </c>
      <c r="F4283">
        <v>3085300</v>
      </c>
      <c r="G4283">
        <v>188.96</v>
      </c>
      <c r="H4283" t="s">
        <v>7</v>
      </c>
      <c r="I4283" s="22">
        <f t="shared" si="133"/>
        <v>-5.330812507905517E-3</v>
      </c>
      <c r="J4283" s="22" t="str">
        <f t="shared" si="134"/>
        <v>lost money</v>
      </c>
    </row>
    <row r="4284" spans="1:10">
      <c r="A4284" s="1">
        <v>41542</v>
      </c>
      <c r="B4284">
        <v>190.14</v>
      </c>
      <c r="C4284">
        <v>190.62</v>
      </c>
      <c r="D4284">
        <v>188.5</v>
      </c>
      <c r="E4284">
        <v>189.47</v>
      </c>
      <c r="F4284">
        <v>2654500</v>
      </c>
      <c r="G4284">
        <v>188.46</v>
      </c>
      <c r="H4284" t="s">
        <v>7</v>
      </c>
      <c r="I4284" s="22">
        <f t="shared" si="133"/>
        <v>-2.6495696704420067E-3</v>
      </c>
      <c r="J4284" s="22" t="str">
        <f t="shared" si="134"/>
        <v>lost money</v>
      </c>
    </row>
    <row r="4285" spans="1:10">
      <c r="A4285" s="1">
        <v>41543</v>
      </c>
      <c r="B4285">
        <v>190.1</v>
      </c>
      <c r="C4285">
        <v>191.76</v>
      </c>
      <c r="D4285">
        <v>189.46</v>
      </c>
      <c r="E4285">
        <v>190.22</v>
      </c>
      <c r="F4285">
        <v>2093600</v>
      </c>
      <c r="G4285">
        <v>189.2</v>
      </c>
      <c r="H4285" t="s">
        <v>7</v>
      </c>
      <c r="I4285" s="22">
        <f t="shared" si="133"/>
        <v>3.9188738391676336E-3</v>
      </c>
      <c r="J4285" s="22" t="str">
        <f t="shared" si="134"/>
        <v/>
      </c>
    </row>
    <row r="4286" spans="1:10">
      <c r="A4286" s="1">
        <v>41544</v>
      </c>
      <c r="B4286">
        <v>188.87</v>
      </c>
      <c r="C4286">
        <v>188.94</v>
      </c>
      <c r="D4286">
        <v>186.45</v>
      </c>
      <c r="E4286">
        <v>186.92</v>
      </c>
      <c r="F4286">
        <v>3905500</v>
      </c>
      <c r="G4286">
        <v>185.92</v>
      </c>
      <c r="H4286" t="s">
        <v>7</v>
      </c>
      <c r="I4286" s="22">
        <f t="shared" si="133"/>
        <v>-1.7488182954231515E-2</v>
      </c>
      <c r="J4286" s="22" t="str">
        <f t="shared" si="134"/>
        <v>lost money</v>
      </c>
    </row>
    <row r="4287" spans="1:10">
      <c r="A4287" s="1">
        <v>41547</v>
      </c>
      <c r="B4287">
        <v>185.56</v>
      </c>
      <c r="C4287">
        <v>186.74</v>
      </c>
      <c r="D4287">
        <v>184.34</v>
      </c>
      <c r="E4287">
        <v>185.18</v>
      </c>
      <c r="F4287">
        <v>3978200</v>
      </c>
      <c r="G4287">
        <v>184.19</v>
      </c>
      <c r="H4287" t="s">
        <v>7</v>
      </c>
      <c r="I4287" s="22">
        <f t="shared" si="133"/>
        <v>-9.3486401325347905E-3</v>
      </c>
      <c r="J4287" s="22" t="str">
        <f t="shared" si="134"/>
        <v>lost money</v>
      </c>
    </row>
    <row r="4288" spans="1:10">
      <c r="A4288" s="1">
        <v>41548</v>
      </c>
      <c r="B4288">
        <v>185.34</v>
      </c>
      <c r="C4288">
        <v>186.65</v>
      </c>
      <c r="D4288">
        <v>184.65</v>
      </c>
      <c r="E4288">
        <v>186.38</v>
      </c>
      <c r="F4288">
        <v>2681200</v>
      </c>
      <c r="G4288">
        <v>185.38</v>
      </c>
      <c r="H4288" t="s">
        <v>7</v>
      </c>
      <c r="I4288" s="22">
        <f t="shared" si="133"/>
        <v>6.4399389166750675E-3</v>
      </c>
      <c r="J4288" s="22" t="str">
        <f t="shared" si="134"/>
        <v/>
      </c>
    </row>
    <row r="4289" spans="1:10">
      <c r="A4289" s="1">
        <v>41549</v>
      </c>
      <c r="B4289">
        <v>185.54</v>
      </c>
      <c r="C4289">
        <v>186.31</v>
      </c>
      <c r="D4289">
        <v>184.41</v>
      </c>
      <c r="E4289">
        <v>184.96</v>
      </c>
      <c r="F4289">
        <v>3617100</v>
      </c>
      <c r="G4289">
        <v>183.97</v>
      </c>
      <c r="H4289" t="s">
        <v>7</v>
      </c>
      <c r="I4289" s="22">
        <f t="shared" si="133"/>
        <v>-7.6350716099947121E-3</v>
      </c>
      <c r="J4289" s="22" t="str">
        <f t="shared" si="134"/>
        <v>lost money</v>
      </c>
    </row>
    <row r="4290" spans="1:10">
      <c r="A4290" s="1">
        <v>41550</v>
      </c>
      <c r="B4290">
        <v>184.7</v>
      </c>
      <c r="C4290">
        <v>184.96</v>
      </c>
      <c r="D4290">
        <v>183</v>
      </c>
      <c r="E4290">
        <v>183.86</v>
      </c>
      <c r="F4290">
        <v>3211800</v>
      </c>
      <c r="G4290">
        <v>182.88</v>
      </c>
      <c r="H4290" t="s">
        <v>7</v>
      </c>
      <c r="I4290" s="22">
        <f t="shared" si="133"/>
        <v>-5.942500791191482E-3</v>
      </c>
      <c r="J4290" s="22" t="str">
        <f t="shared" si="134"/>
        <v>lost money</v>
      </c>
    </row>
    <row r="4291" spans="1:10">
      <c r="A4291" s="1">
        <v>41551</v>
      </c>
      <c r="B4291">
        <v>184.17</v>
      </c>
      <c r="C4291">
        <v>185.13</v>
      </c>
      <c r="D4291">
        <v>183.58</v>
      </c>
      <c r="E4291">
        <v>184.1</v>
      </c>
      <c r="F4291">
        <v>2863600</v>
      </c>
      <c r="G4291">
        <v>183.12</v>
      </c>
      <c r="H4291" t="s">
        <v>7</v>
      </c>
      <c r="I4291" s="22">
        <f t="shared" ref="I4291:I4354" si="135">IF(A4291=$A$2,"",LN(G4291/G4290))</f>
        <v>1.3114755978108771E-3</v>
      </c>
      <c r="J4291" s="22" t="str">
        <f t="shared" ref="J4291:J4354" si="136">IF(B4291&gt;E4291,"lost money","")</f>
        <v>lost money</v>
      </c>
    </row>
    <row r="4292" spans="1:10">
      <c r="A4292" s="1">
        <v>41554</v>
      </c>
      <c r="B4292">
        <v>181.85</v>
      </c>
      <c r="C4292">
        <v>183.31</v>
      </c>
      <c r="D4292">
        <v>181.85</v>
      </c>
      <c r="E4292">
        <v>182.01</v>
      </c>
      <c r="F4292">
        <v>3966400</v>
      </c>
      <c r="G4292">
        <v>181.04</v>
      </c>
      <c r="H4292" t="s">
        <v>7</v>
      </c>
      <c r="I4292" s="22">
        <f t="shared" si="135"/>
        <v>-1.1423674319029345E-2</v>
      </c>
      <c r="J4292" s="22" t="str">
        <f t="shared" si="136"/>
        <v/>
      </c>
    </row>
    <row r="4293" spans="1:10">
      <c r="A4293" s="1">
        <v>41555</v>
      </c>
      <c r="B4293">
        <v>181.89</v>
      </c>
      <c r="C4293">
        <v>181.99</v>
      </c>
      <c r="D4293">
        <v>178.71</v>
      </c>
      <c r="E4293">
        <v>178.72</v>
      </c>
      <c r="F4293">
        <v>5578300</v>
      </c>
      <c r="G4293">
        <v>177.77</v>
      </c>
      <c r="H4293" t="s">
        <v>7</v>
      </c>
      <c r="I4293" s="22">
        <f t="shared" si="135"/>
        <v>-1.8227421390687806E-2</v>
      </c>
      <c r="J4293" s="22" t="str">
        <f t="shared" si="136"/>
        <v>lost money</v>
      </c>
    </row>
    <row r="4294" spans="1:10">
      <c r="A4294" s="1">
        <v>41556</v>
      </c>
      <c r="B4294">
        <v>179.37</v>
      </c>
      <c r="C4294">
        <v>181.67</v>
      </c>
      <c r="D4294">
        <v>179.1</v>
      </c>
      <c r="E4294">
        <v>181.32</v>
      </c>
      <c r="F4294">
        <v>4423500</v>
      </c>
      <c r="G4294">
        <v>180.35</v>
      </c>
      <c r="H4294" t="s">
        <v>7</v>
      </c>
      <c r="I4294" s="22">
        <f t="shared" si="135"/>
        <v>1.4408827414953791E-2</v>
      </c>
      <c r="J4294" s="22" t="str">
        <f t="shared" si="136"/>
        <v/>
      </c>
    </row>
    <row r="4295" spans="1:10">
      <c r="A4295" s="1">
        <v>41557</v>
      </c>
      <c r="B4295">
        <v>183.17</v>
      </c>
      <c r="C4295">
        <v>184.77</v>
      </c>
      <c r="D4295">
        <v>182.36</v>
      </c>
      <c r="E4295">
        <v>184.77</v>
      </c>
      <c r="F4295">
        <v>3658900</v>
      </c>
      <c r="G4295">
        <v>183.78</v>
      </c>
      <c r="H4295" t="s">
        <v>7</v>
      </c>
      <c r="I4295" s="22">
        <f t="shared" si="135"/>
        <v>1.8839982723190984E-2</v>
      </c>
      <c r="J4295" s="22" t="str">
        <f t="shared" si="136"/>
        <v/>
      </c>
    </row>
    <row r="4296" spans="1:10">
      <c r="A4296" s="1">
        <v>41558</v>
      </c>
      <c r="B4296">
        <v>185.25</v>
      </c>
      <c r="C4296">
        <v>186.23</v>
      </c>
      <c r="D4296">
        <v>184.12</v>
      </c>
      <c r="E4296">
        <v>186.16</v>
      </c>
      <c r="F4296">
        <v>3232600</v>
      </c>
      <c r="G4296">
        <v>185.17</v>
      </c>
      <c r="H4296" t="s">
        <v>7</v>
      </c>
      <c r="I4296" s="22">
        <f t="shared" si="135"/>
        <v>7.5349319769856191E-3</v>
      </c>
      <c r="J4296" s="22" t="str">
        <f t="shared" si="136"/>
        <v/>
      </c>
    </row>
    <row r="4297" spans="1:10">
      <c r="A4297" s="1">
        <v>41561</v>
      </c>
      <c r="B4297">
        <v>185.41</v>
      </c>
      <c r="C4297">
        <v>186.99</v>
      </c>
      <c r="D4297">
        <v>184.42</v>
      </c>
      <c r="E4297">
        <v>186.97</v>
      </c>
      <c r="F4297">
        <v>2663100</v>
      </c>
      <c r="G4297">
        <v>185.97</v>
      </c>
      <c r="H4297" t="s">
        <v>7</v>
      </c>
      <c r="I4297" s="22">
        <f t="shared" si="135"/>
        <v>4.3110483322133034E-3</v>
      </c>
      <c r="J4297" s="22" t="str">
        <f t="shared" si="136"/>
        <v/>
      </c>
    </row>
    <row r="4298" spans="1:10">
      <c r="A4298" s="1">
        <v>41562</v>
      </c>
      <c r="B4298">
        <v>185.74</v>
      </c>
      <c r="C4298">
        <v>185.94</v>
      </c>
      <c r="D4298">
        <v>184.22</v>
      </c>
      <c r="E4298">
        <v>184.66</v>
      </c>
      <c r="F4298">
        <v>3365100</v>
      </c>
      <c r="G4298">
        <v>183.67</v>
      </c>
      <c r="H4298" t="s">
        <v>7</v>
      </c>
      <c r="I4298" s="22">
        <f t="shared" si="135"/>
        <v>-1.2444701241494131E-2</v>
      </c>
      <c r="J4298" s="22" t="str">
        <f t="shared" si="136"/>
        <v>lost money</v>
      </c>
    </row>
    <row r="4299" spans="1:10">
      <c r="A4299" s="1">
        <v>41563</v>
      </c>
      <c r="B4299">
        <v>185.42</v>
      </c>
      <c r="C4299">
        <v>186.73</v>
      </c>
      <c r="D4299">
        <v>184.99</v>
      </c>
      <c r="E4299">
        <v>186.73</v>
      </c>
      <c r="F4299">
        <v>6718000</v>
      </c>
      <c r="G4299">
        <v>185.73</v>
      </c>
      <c r="H4299" t="s">
        <v>7</v>
      </c>
      <c r="I4299" s="22">
        <f t="shared" si="135"/>
        <v>1.1153337058806808E-2</v>
      </c>
      <c r="J4299" s="22" t="str">
        <f t="shared" si="136"/>
        <v/>
      </c>
    </row>
    <row r="4300" spans="1:10">
      <c r="A4300" s="1">
        <v>41564</v>
      </c>
      <c r="B4300">
        <v>173.84</v>
      </c>
      <c r="C4300">
        <v>177</v>
      </c>
      <c r="D4300">
        <v>172.57</v>
      </c>
      <c r="E4300">
        <v>174.83</v>
      </c>
      <c r="F4300">
        <v>22368900</v>
      </c>
      <c r="G4300">
        <v>173.9</v>
      </c>
      <c r="H4300" t="s">
        <v>7</v>
      </c>
      <c r="I4300" s="22">
        <f t="shared" si="135"/>
        <v>-6.5813584839013076E-2</v>
      </c>
      <c r="J4300" s="22" t="str">
        <f t="shared" si="136"/>
        <v/>
      </c>
    </row>
    <row r="4301" spans="1:10">
      <c r="A4301" s="1">
        <v>41565</v>
      </c>
      <c r="B4301">
        <v>174.8</v>
      </c>
      <c r="C4301">
        <v>175</v>
      </c>
      <c r="D4301">
        <v>173.25</v>
      </c>
      <c r="E4301">
        <v>173.78</v>
      </c>
      <c r="F4301">
        <v>10548000</v>
      </c>
      <c r="G4301">
        <v>172.85</v>
      </c>
      <c r="H4301" t="s">
        <v>7</v>
      </c>
      <c r="I4301" s="22">
        <f t="shared" si="135"/>
        <v>-6.0562549926039015E-3</v>
      </c>
      <c r="J4301" s="22" t="str">
        <f t="shared" si="136"/>
        <v>lost money</v>
      </c>
    </row>
    <row r="4302" spans="1:10">
      <c r="A4302" s="1">
        <v>41568</v>
      </c>
      <c r="B4302">
        <v>174.42</v>
      </c>
      <c r="C4302">
        <v>174.75</v>
      </c>
      <c r="D4302">
        <v>172.63</v>
      </c>
      <c r="E4302">
        <v>172.86</v>
      </c>
      <c r="F4302">
        <v>7098700</v>
      </c>
      <c r="G4302">
        <v>171.94</v>
      </c>
      <c r="H4302" t="s">
        <v>7</v>
      </c>
      <c r="I4302" s="22">
        <f t="shared" si="135"/>
        <v>-5.2785876213355554E-3</v>
      </c>
      <c r="J4302" s="22" t="str">
        <f t="shared" si="136"/>
        <v>lost money</v>
      </c>
    </row>
    <row r="4303" spans="1:10">
      <c r="A4303" s="1">
        <v>41569</v>
      </c>
      <c r="B4303">
        <v>173.35</v>
      </c>
      <c r="C4303">
        <v>175.57</v>
      </c>
      <c r="D4303">
        <v>172.95</v>
      </c>
      <c r="E4303">
        <v>174.97</v>
      </c>
      <c r="F4303">
        <v>6977300</v>
      </c>
      <c r="G4303">
        <v>174.04</v>
      </c>
      <c r="H4303" t="s">
        <v>7</v>
      </c>
      <c r="I4303" s="22">
        <f t="shared" si="135"/>
        <v>1.2139579106181379E-2</v>
      </c>
      <c r="J4303" s="22" t="str">
        <f t="shared" si="136"/>
        <v/>
      </c>
    </row>
    <row r="4304" spans="1:10">
      <c r="A4304" s="1">
        <v>41570</v>
      </c>
      <c r="B4304">
        <v>175.09</v>
      </c>
      <c r="C4304">
        <v>175.99</v>
      </c>
      <c r="D4304">
        <v>174.4</v>
      </c>
      <c r="E4304">
        <v>175.77</v>
      </c>
      <c r="F4304">
        <v>5409400</v>
      </c>
      <c r="G4304">
        <v>174.83</v>
      </c>
      <c r="H4304" t="s">
        <v>7</v>
      </c>
      <c r="I4304" s="22">
        <f t="shared" si="135"/>
        <v>4.5289153570783214E-3</v>
      </c>
      <c r="J4304" s="22" t="str">
        <f t="shared" si="136"/>
        <v/>
      </c>
    </row>
    <row r="4305" spans="1:10">
      <c r="A4305" s="1">
        <v>41571</v>
      </c>
      <c r="B4305">
        <v>176.43</v>
      </c>
      <c r="C4305">
        <v>177.89</v>
      </c>
      <c r="D4305">
        <v>176.25</v>
      </c>
      <c r="E4305">
        <v>177.8</v>
      </c>
      <c r="F4305">
        <v>5533300</v>
      </c>
      <c r="G4305">
        <v>176.85</v>
      </c>
      <c r="H4305" t="s">
        <v>7</v>
      </c>
      <c r="I4305" s="22">
        <f t="shared" si="135"/>
        <v>1.1487842441931996E-2</v>
      </c>
      <c r="J4305" s="22" t="str">
        <f t="shared" si="136"/>
        <v/>
      </c>
    </row>
    <row r="4306" spans="1:10">
      <c r="A4306" s="1">
        <v>41572</v>
      </c>
      <c r="B4306">
        <v>178.43</v>
      </c>
      <c r="C4306">
        <v>179.1</v>
      </c>
      <c r="D4306">
        <v>176.26</v>
      </c>
      <c r="E4306">
        <v>176.85</v>
      </c>
      <c r="F4306">
        <v>4842800</v>
      </c>
      <c r="G4306">
        <v>175.91</v>
      </c>
      <c r="H4306" t="s">
        <v>7</v>
      </c>
      <c r="I4306" s="22">
        <f t="shared" si="135"/>
        <v>-5.3294150406754462E-3</v>
      </c>
      <c r="J4306" s="22" t="str">
        <f t="shared" si="136"/>
        <v>lost money</v>
      </c>
    </row>
    <row r="4307" spans="1:10">
      <c r="A4307" s="1">
        <v>41575</v>
      </c>
      <c r="B4307">
        <v>177.04</v>
      </c>
      <c r="C4307">
        <v>177.89</v>
      </c>
      <c r="D4307">
        <v>176.2</v>
      </c>
      <c r="E4307">
        <v>177.35</v>
      </c>
      <c r="F4307">
        <v>3712700</v>
      </c>
      <c r="G4307">
        <v>176.4</v>
      </c>
      <c r="H4307" t="s">
        <v>7</v>
      </c>
      <c r="I4307" s="22">
        <f t="shared" si="135"/>
        <v>2.7816429618767705E-3</v>
      </c>
      <c r="J4307" s="22" t="str">
        <f t="shared" si="136"/>
        <v/>
      </c>
    </row>
    <row r="4308" spans="1:10">
      <c r="A4308" s="1">
        <v>41576</v>
      </c>
      <c r="B4308">
        <v>177.62</v>
      </c>
      <c r="C4308">
        <v>182.32</v>
      </c>
      <c r="D4308">
        <v>177.5</v>
      </c>
      <c r="E4308">
        <v>182.12</v>
      </c>
      <c r="F4308">
        <v>8904600</v>
      </c>
      <c r="G4308">
        <v>181.15</v>
      </c>
      <c r="H4308" t="s">
        <v>7</v>
      </c>
      <c r="I4308" s="22">
        <f t="shared" si="135"/>
        <v>2.6571273768395402E-2</v>
      </c>
      <c r="J4308" s="22" t="str">
        <f t="shared" si="136"/>
        <v/>
      </c>
    </row>
    <row r="4309" spans="1:10">
      <c r="A4309" s="1">
        <v>41577</v>
      </c>
      <c r="B4309">
        <v>181.69</v>
      </c>
      <c r="C4309">
        <v>182.18</v>
      </c>
      <c r="D4309">
        <v>179.86</v>
      </c>
      <c r="E4309">
        <v>180.15</v>
      </c>
      <c r="F4309">
        <v>5273700</v>
      </c>
      <c r="G4309">
        <v>179.19</v>
      </c>
      <c r="H4309" t="s">
        <v>7</v>
      </c>
      <c r="I4309" s="22">
        <f t="shared" si="135"/>
        <v>-1.0878721928762011E-2</v>
      </c>
      <c r="J4309" s="22" t="str">
        <f t="shared" si="136"/>
        <v>lost money</v>
      </c>
    </row>
    <row r="4310" spans="1:10">
      <c r="A4310" s="1">
        <v>41578</v>
      </c>
      <c r="B4310">
        <v>179.65</v>
      </c>
      <c r="C4310">
        <v>181.67</v>
      </c>
      <c r="D4310">
        <v>179.04</v>
      </c>
      <c r="E4310">
        <v>179.21</v>
      </c>
      <c r="F4310">
        <v>4318100</v>
      </c>
      <c r="G4310">
        <v>178.25</v>
      </c>
      <c r="H4310" t="s">
        <v>7</v>
      </c>
      <c r="I4310" s="22">
        <f t="shared" si="135"/>
        <v>-5.2596361179189947E-3</v>
      </c>
      <c r="J4310" s="22" t="str">
        <f t="shared" si="136"/>
        <v>lost money</v>
      </c>
    </row>
    <row r="4311" spans="1:10">
      <c r="A4311" s="1">
        <v>41579</v>
      </c>
      <c r="B4311">
        <v>179.81</v>
      </c>
      <c r="C4311">
        <v>180.34</v>
      </c>
      <c r="D4311">
        <v>178.88</v>
      </c>
      <c r="E4311">
        <v>179.23</v>
      </c>
      <c r="F4311">
        <v>3644500</v>
      </c>
      <c r="G4311">
        <v>178.27</v>
      </c>
      <c r="H4311" t="s">
        <v>7</v>
      </c>
      <c r="I4311" s="22">
        <f t="shared" si="135"/>
        <v>1.1219566936495011E-4</v>
      </c>
      <c r="J4311" s="22" t="str">
        <f t="shared" si="136"/>
        <v>lost money</v>
      </c>
    </row>
    <row r="4312" spans="1:10">
      <c r="A4312" s="1">
        <v>41582</v>
      </c>
      <c r="B4312">
        <v>179.9</v>
      </c>
      <c r="C4312">
        <v>180.8</v>
      </c>
      <c r="D4312">
        <v>179.34</v>
      </c>
      <c r="E4312">
        <v>180.27</v>
      </c>
      <c r="F4312">
        <v>3483300</v>
      </c>
      <c r="G4312">
        <v>179.31</v>
      </c>
      <c r="H4312" t="s">
        <v>7</v>
      </c>
      <c r="I4312" s="22">
        <f t="shared" si="135"/>
        <v>5.8168965405023055E-3</v>
      </c>
      <c r="J4312" s="22" t="str">
        <f t="shared" si="136"/>
        <v/>
      </c>
    </row>
    <row r="4313" spans="1:10">
      <c r="A4313" s="1">
        <v>41583</v>
      </c>
      <c r="B4313">
        <v>179.54</v>
      </c>
      <c r="C4313">
        <v>179.8</v>
      </c>
      <c r="D4313">
        <v>177.71</v>
      </c>
      <c r="E4313">
        <v>177.85</v>
      </c>
      <c r="F4313">
        <v>6096800</v>
      </c>
      <c r="G4313">
        <v>176.9</v>
      </c>
      <c r="H4313" t="s">
        <v>7</v>
      </c>
      <c r="I4313" s="22">
        <f t="shared" si="135"/>
        <v>-1.3531550338532901E-2</v>
      </c>
      <c r="J4313" s="22" t="str">
        <f t="shared" si="136"/>
        <v>lost money</v>
      </c>
    </row>
    <row r="4314" spans="1:10">
      <c r="A4314" s="1">
        <v>41584</v>
      </c>
      <c r="B4314">
        <v>177.91</v>
      </c>
      <c r="C4314">
        <v>179.75</v>
      </c>
      <c r="D4314">
        <v>177.78</v>
      </c>
      <c r="E4314">
        <v>179.19</v>
      </c>
      <c r="F4314">
        <v>4560700</v>
      </c>
      <c r="G4314">
        <v>179.19</v>
      </c>
      <c r="H4314" t="s">
        <v>7</v>
      </c>
      <c r="I4314" s="22">
        <f t="shared" si="135"/>
        <v>1.2862094246584615E-2</v>
      </c>
      <c r="J4314" s="22" t="str">
        <f t="shared" si="136"/>
        <v/>
      </c>
    </row>
    <row r="4315" spans="1:10">
      <c r="A4315" s="1">
        <v>41585</v>
      </c>
      <c r="B4315">
        <v>179.6</v>
      </c>
      <c r="C4315">
        <v>181.39</v>
      </c>
      <c r="D4315">
        <v>179.6</v>
      </c>
      <c r="E4315">
        <v>180</v>
      </c>
      <c r="F4315">
        <v>5219500</v>
      </c>
      <c r="G4315">
        <v>180</v>
      </c>
      <c r="H4315" t="s">
        <v>7</v>
      </c>
      <c r="I4315" s="22">
        <f t="shared" si="135"/>
        <v>4.5101554778861092E-3</v>
      </c>
      <c r="J4315" s="22" t="str">
        <f t="shared" si="136"/>
        <v/>
      </c>
    </row>
    <row r="4316" spans="1:10">
      <c r="A4316" s="1">
        <v>41586</v>
      </c>
      <c r="B4316">
        <v>178.83</v>
      </c>
      <c r="C4316">
        <v>180.08</v>
      </c>
      <c r="D4316">
        <v>177.35</v>
      </c>
      <c r="E4316">
        <v>179.99</v>
      </c>
      <c r="F4316">
        <v>6275000</v>
      </c>
      <c r="G4316">
        <v>179.99</v>
      </c>
      <c r="H4316" t="s">
        <v>7</v>
      </c>
      <c r="I4316" s="22">
        <f t="shared" si="135"/>
        <v>-5.5557098822510264E-5</v>
      </c>
      <c r="J4316" s="22" t="str">
        <f t="shared" si="136"/>
        <v/>
      </c>
    </row>
    <row r="4317" spans="1:10">
      <c r="A4317" s="1">
        <v>41589</v>
      </c>
      <c r="B4317">
        <v>180.19</v>
      </c>
      <c r="C4317">
        <v>183.39</v>
      </c>
      <c r="D4317">
        <v>180.04</v>
      </c>
      <c r="E4317">
        <v>182.88</v>
      </c>
      <c r="F4317">
        <v>5222300</v>
      </c>
      <c r="G4317">
        <v>182.88</v>
      </c>
      <c r="H4317" t="s">
        <v>7</v>
      </c>
      <c r="I4317" s="22">
        <f t="shared" si="135"/>
        <v>1.5928906255112625E-2</v>
      </c>
      <c r="J4317" s="22" t="str">
        <f t="shared" si="136"/>
        <v/>
      </c>
    </row>
    <row r="4318" spans="1:10">
      <c r="A4318" s="1">
        <v>41590</v>
      </c>
      <c r="B4318">
        <v>182.53</v>
      </c>
      <c r="C4318">
        <v>184.05</v>
      </c>
      <c r="D4318">
        <v>182.26</v>
      </c>
      <c r="E4318">
        <v>183.07</v>
      </c>
      <c r="F4318">
        <v>4258500</v>
      </c>
      <c r="G4318">
        <v>183.07</v>
      </c>
      <c r="H4318" t="s">
        <v>7</v>
      </c>
      <c r="I4318" s="22">
        <f t="shared" si="135"/>
        <v>1.0383933164227783E-3</v>
      </c>
      <c r="J4318" s="22" t="str">
        <f t="shared" si="136"/>
        <v/>
      </c>
    </row>
    <row r="4319" spans="1:10">
      <c r="A4319" s="1">
        <v>41591</v>
      </c>
      <c r="B4319">
        <v>182.27</v>
      </c>
      <c r="C4319">
        <v>183.55</v>
      </c>
      <c r="D4319">
        <v>181.59</v>
      </c>
      <c r="E4319">
        <v>183.55</v>
      </c>
      <c r="F4319">
        <v>4704400</v>
      </c>
      <c r="G4319">
        <v>183.55</v>
      </c>
      <c r="H4319" t="s">
        <v>7</v>
      </c>
      <c r="I4319" s="22">
        <f t="shared" si="135"/>
        <v>2.6185165799201622E-3</v>
      </c>
      <c r="J4319" s="22" t="str">
        <f t="shared" si="136"/>
        <v/>
      </c>
    </row>
    <row r="4320" spans="1:10">
      <c r="A4320" s="1">
        <v>41592</v>
      </c>
      <c r="B4320">
        <v>180.48</v>
      </c>
      <c r="C4320">
        <v>183.2</v>
      </c>
      <c r="D4320">
        <v>179.66</v>
      </c>
      <c r="E4320">
        <v>182.21</v>
      </c>
      <c r="F4320">
        <v>6321500</v>
      </c>
      <c r="G4320">
        <v>182.21</v>
      </c>
      <c r="H4320" t="s">
        <v>7</v>
      </c>
      <c r="I4320" s="22">
        <f t="shared" si="135"/>
        <v>-7.3272418810560562E-3</v>
      </c>
      <c r="J4320" s="22" t="str">
        <f t="shared" si="136"/>
        <v/>
      </c>
    </row>
    <row r="4321" spans="1:10">
      <c r="A4321" s="1">
        <v>41593</v>
      </c>
      <c r="B4321">
        <v>182.38</v>
      </c>
      <c r="C4321">
        <v>183.28</v>
      </c>
      <c r="D4321">
        <v>181.16</v>
      </c>
      <c r="E4321">
        <v>183.19</v>
      </c>
      <c r="F4321">
        <v>5176100</v>
      </c>
      <c r="G4321">
        <v>183.19</v>
      </c>
      <c r="H4321" t="s">
        <v>7</v>
      </c>
      <c r="I4321" s="22">
        <f t="shared" si="135"/>
        <v>5.3639975355804408E-3</v>
      </c>
      <c r="J4321" s="22" t="str">
        <f t="shared" si="136"/>
        <v/>
      </c>
    </row>
    <row r="4322" spans="1:10">
      <c r="A4322" s="1">
        <v>41596</v>
      </c>
      <c r="B4322">
        <v>183.52</v>
      </c>
      <c r="C4322">
        <v>184.99</v>
      </c>
      <c r="D4322">
        <v>183.27</v>
      </c>
      <c r="E4322">
        <v>184.47</v>
      </c>
      <c r="F4322">
        <v>5344900</v>
      </c>
      <c r="G4322">
        <v>184.47</v>
      </c>
      <c r="H4322" t="s">
        <v>7</v>
      </c>
      <c r="I4322" s="22">
        <f t="shared" si="135"/>
        <v>6.9629830361201865E-3</v>
      </c>
      <c r="J4322" s="22" t="str">
        <f t="shared" si="136"/>
        <v/>
      </c>
    </row>
    <row r="4323" spans="1:10">
      <c r="A4323" s="1">
        <v>41597</v>
      </c>
      <c r="B4323">
        <v>184.63</v>
      </c>
      <c r="C4323">
        <v>186.2</v>
      </c>
      <c r="D4323">
        <v>184.15</v>
      </c>
      <c r="E4323">
        <v>185.25</v>
      </c>
      <c r="F4323">
        <v>4577000</v>
      </c>
      <c r="G4323">
        <v>185.25</v>
      </c>
      <c r="H4323" t="s">
        <v>7</v>
      </c>
      <c r="I4323" s="22">
        <f t="shared" si="135"/>
        <v>4.2194155427082896E-3</v>
      </c>
      <c r="J4323" s="22" t="str">
        <f t="shared" si="136"/>
        <v/>
      </c>
    </row>
    <row r="4324" spans="1:10">
      <c r="A4324" s="1">
        <v>41598</v>
      </c>
      <c r="B4324">
        <v>185.22</v>
      </c>
      <c r="C4324">
        <v>186.24</v>
      </c>
      <c r="D4324">
        <v>184.65</v>
      </c>
      <c r="E4324">
        <v>185.19</v>
      </c>
      <c r="F4324">
        <v>3645800</v>
      </c>
      <c r="G4324">
        <v>185.19</v>
      </c>
      <c r="H4324" t="s">
        <v>7</v>
      </c>
      <c r="I4324" s="22">
        <f t="shared" si="135"/>
        <v>-3.2393910228202956E-4</v>
      </c>
      <c r="J4324" s="22" t="str">
        <f t="shared" si="136"/>
        <v>lost money</v>
      </c>
    </row>
    <row r="4325" spans="1:10">
      <c r="A4325" s="1">
        <v>41599</v>
      </c>
      <c r="B4325">
        <v>185.54</v>
      </c>
      <c r="C4325">
        <v>185.75</v>
      </c>
      <c r="D4325">
        <v>183.41</v>
      </c>
      <c r="E4325">
        <v>184.13</v>
      </c>
      <c r="F4325">
        <v>4459500</v>
      </c>
      <c r="G4325">
        <v>184.13</v>
      </c>
      <c r="H4325" t="s">
        <v>7</v>
      </c>
      <c r="I4325" s="22">
        <f t="shared" si="135"/>
        <v>-5.7402951947854606E-3</v>
      </c>
      <c r="J4325" s="22" t="str">
        <f t="shared" si="136"/>
        <v>lost money</v>
      </c>
    </row>
    <row r="4326" spans="1:10">
      <c r="A4326" s="1">
        <v>41600</v>
      </c>
      <c r="B4326">
        <v>183.5</v>
      </c>
      <c r="C4326">
        <v>184.99</v>
      </c>
      <c r="D4326">
        <v>179.92</v>
      </c>
      <c r="E4326">
        <v>181.3</v>
      </c>
      <c r="F4326">
        <v>7610200</v>
      </c>
      <c r="G4326">
        <v>181.3</v>
      </c>
      <c r="H4326" t="s">
        <v>7</v>
      </c>
      <c r="I4326" s="22">
        <f t="shared" si="135"/>
        <v>-1.5488912118323287E-2</v>
      </c>
      <c r="J4326" s="22" t="str">
        <f t="shared" si="136"/>
        <v>lost money</v>
      </c>
    </row>
    <row r="4327" spans="1:10">
      <c r="A4327" s="1">
        <v>41603</v>
      </c>
      <c r="B4327">
        <v>180.25</v>
      </c>
      <c r="C4327">
        <v>180.75</v>
      </c>
      <c r="D4327">
        <v>177.82</v>
      </c>
      <c r="E4327">
        <v>178.94</v>
      </c>
      <c r="F4327">
        <v>7161900</v>
      </c>
      <c r="G4327">
        <v>178.94</v>
      </c>
      <c r="H4327" t="s">
        <v>7</v>
      </c>
      <c r="I4327" s="22">
        <f t="shared" si="135"/>
        <v>-1.310256364135557E-2</v>
      </c>
      <c r="J4327" s="22" t="str">
        <f t="shared" si="136"/>
        <v>lost money</v>
      </c>
    </row>
    <row r="4328" spans="1:10">
      <c r="A4328" s="1">
        <v>41604</v>
      </c>
      <c r="B4328">
        <v>178.67</v>
      </c>
      <c r="C4328">
        <v>178.94</v>
      </c>
      <c r="D4328">
        <v>177.31</v>
      </c>
      <c r="E4328">
        <v>177.31</v>
      </c>
      <c r="F4328">
        <v>5756000</v>
      </c>
      <c r="G4328">
        <v>177.31</v>
      </c>
      <c r="H4328" t="s">
        <v>7</v>
      </c>
      <c r="I4328" s="22">
        <f t="shared" si="135"/>
        <v>-9.1509410505527522E-3</v>
      </c>
      <c r="J4328" s="22" t="str">
        <f t="shared" si="136"/>
        <v>lost money</v>
      </c>
    </row>
    <row r="4329" spans="1:10">
      <c r="A4329" s="1">
        <v>41605</v>
      </c>
      <c r="B4329">
        <v>177.83</v>
      </c>
      <c r="C4329">
        <v>180.18</v>
      </c>
      <c r="D4329">
        <v>177.82</v>
      </c>
      <c r="E4329">
        <v>178.97</v>
      </c>
      <c r="F4329">
        <v>4596500</v>
      </c>
      <c r="G4329">
        <v>178.97</v>
      </c>
      <c r="H4329" t="s">
        <v>7</v>
      </c>
      <c r="I4329" s="22">
        <f t="shared" si="135"/>
        <v>9.3185809604198009E-3</v>
      </c>
      <c r="J4329" s="22" t="str">
        <f t="shared" si="136"/>
        <v/>
      </c>
    </row>
    <row r="4330" spans="1:10">
      <c r="A4330" s="1">
        <v>41607</v>
      </c>
      <c r="B4330">
        <v>179.21</v>
      </c>
      <c r="C4330">
        <v>180.76</v>
      </c>
      <c r="D4330">
        <v>179</v>
      </c>
      <c r="E4330">
        <v>179.68</v>
      </c>
      <c r="F4330">
        <v>2870500</v>
      </c>
      <c r="G4330">
        <v>179.68</v>
      </c>
      <c r="H4330" t="s">
        <v>7</v>
      </c>
      <c r="I4330" s="22">
        <f t="shared" si="135"/>
        <v>3.9592969608161542E-3</v>
      </c>
      <c r="J4330" s="22" t="str">
        <f t="shared" si="136"/>
        <v/>
      </c>
    </row>
    <row r="4331" spans="1:10">
      <c r="A4331" s="1">
        <v>40911</v>
      </c>
      <c r="B4331">
        <v>5.33</v>
      </c>
      <c r="C4331">
        <v>5.4</v>
      </c>
      <c r="D4331">
        <v>5.05</v>
      </c>
      <c r="E4331">
        <v>5.12</v>
      </c>
      <c r="F4331">
        <v>4520200</v>
      </c>
      <c r="G4331">
        <v>5.12</v>
      </c>
      <c r="H4331" t="s">
        <v>17</v>
      </c>
      <c r="I4331" s="22" t="str">
        <f t="shared" si="135"/>
        <v/>
      </c>
      <c r="J4331" s="22" t="str">
        <f t="shared" si="136"/>
        <v>lost money</v>
      </c>
    </row>
    <row r="4332" spans="1:10">
      <c r="A4332" s="1">
        <v>40912</v>
      </c>
      <c r="B4332">
        <v>5.13</v>
      </c>
      <c r="C4332">
        <v>5.24</v>
      </c>
      <c r="D4332">
        <v>5.04</v>
      </c>
      <c r="E4332">
        <v>5.23</v>
      </c>
      <c r="F4332">
        <v>3648000</v>
      </c>
      <c r="G4332">
        <v>5.23</v>
      </c>
      <c r="H4332" t="s">
        <v>17</v>
      </c>
      <c r="I4332" s="22">
        <f t="shared" si="135"/>
        <v>2.1256839025415118E-2</v>
      </c>
      <c r="J4332" s="22" t="str">
        <f t="shared" si="136"/>
        <v/>
      </c>
    </row>
    <row r="4333" spans="1:10">
      <c r="A4333" s="1">
        <v>40913</v>
      </c>
      <c r="B4333">
        <v>5.19</v>
      </c>
      <c r="C4333">
        <v>5.42</v>
      </c>
      <c r="D4333">
        <v>5.05</v>
      </c>
      <c r="E4333">
        <v>5.42</v>
      </c>
      <c r="F4333">
        <v>6118900</v>
      </c>
      <c r="G4333">
        <v>5.42</v>
      </c>
      <c r="H4333" t="s">
        <v>17</v>
      </c>
      <c r="I4333" s="22">
        <f t="shared" si="135"/>
        <v>3.5684537374723213E-2</v>
      </c>
      <c r="J4333" s="22" t="str">
        <f t="shared" si="136"/>
        <v/>
      </c>
    </row>
    <row r="4334" spans="1:10">
      <c r="A4334" s="1">
        <v>40914</v>
      </c>
      <c r="B4334">
        <v>5.4</v>
      </c>
      <c r="C4334">
        <v>5.48</v>
      </c>
      <c r="D4334">
        <v>5.31</v>
      </c>
      <c r="E4334">
        <v>5.45</v>
      </c>
      <c r="F4334">
        <v>4447900</v>
      </c>
      <c r="G4334">
        <v>5.45</v>
      </c>
      <c r="H4334" t="s">
        <v>17</v>
      </c>
      <c r="I4334" s="22">
        <f t="shared" si="135"/>
        <v>5.5197932235979017E-3</v>
      </c>
      <c r="J4334" s="22" t="str">
        <f t="shared" si="136"/>
        <v/>
      </c>
    </row>
    <row r="4335" spans="1:10">
      <c r="A4335" s="1">
        <v>40917</v>
      </c>
      <c r="B4335">
        <v>5.46</v>
      </c>
      <c r="C4335">
        <v>5.55</v>
      </c>
      <c r="D4335">
        <v>5.43</v>
      </c>
      <c r="E4335">
        <v>5.53</v>
      </c>
      <c r="F4335">
        <v>8325400</v>
      </c>
      <c r="G4335">
        <v>5.53</v>
      </c>
      <c r="H4335" t="s">
        <v>17</v>
      </c>
      <c r="I4335" s="22">
        <f t="shared" si="135"/>
        <v>1.4572206859090725E-2</v>
      </c>
      <c r="J4335" s="22" t="str">
        <f t="shared" si="136"/>
        <v/>
      </c>
    </row>
    <row r="4336" spans="1:10">
      <c r="A4336" s="1">
        <v>40918</v>
      </c>
      <c r="B4336">
        <v>5.57</v>
      </c>
      <c r="C4336">
        <v>5.93</v>
      </c>
      <c r="D4336">
        <v>5.53</v>
      </c>
      <c r="E4336">
        <v>5.92</v>
      </c>
      <c r="F4336">
        <v>15644400</v>
      </c>
      <c r="G4336">
        <v>5.92</v>
      </c>
      <c r="H4336" t="s">
        <v>17</v>
      </c>
      <c r="I4336" s="22">
        <f t="shared" si="135"/>
        <v>6.8148633361670735E-2</v>
      </c>
      <c r="J4336" s="22" t="str">
        <f t="shared" si="136"/>
        <v/>
      </c>
    </row>
    <row r="4337" spans="1:10">
      <c r="A4337" s="1">
        <v>40919</v>
      </c>
      <c r="B4337">
        <v>5.8</v>
      </c>
      <c r="C4337">
        <v>5.87</v>
      </c>
      <c r="D4337">
        <v>5.5</v>
      </c>
      <c r="E4337">
        <v>5.68</v>
      </c>
      <c r="F4337">
        <v>22985600</v>
      </c>
      <c r="G4337">
        <v>5.68</v>
      </c>
      <c r="H4337" t="s">
        <v>17</v>
      </c>
      <c r="I4337" s="22">
        <f t="shared" si="135"/>
        <v>-4.1385216162854364E-2</v>
      </c>
      <c r="J4337" s="22" t="str">
        <f t="shared" si="136"/>
        <v>lost money</v>
      </c>
    </row>
    <row r="4338" spans="1:10">
      <c r="A4338" s="1">
        <v>40920</v>
      </c>
      <c r="B4338">
        <v>5.69</v>
      </c>
      <c r="C4338">
        <v>5.7</v>
      </c>
      <c r="D4338">
        <v>5.39</v>
      </c>
      <c r="E4338">
        <v>5.58</v>
      </c>
      <c r="F4338">
        <v>11121000</v>
      </c>
      <c r="G4338">
        <v>5.58</v>
      </c>
      <c r="H4338" t="s">
        <v>17</v>
      </c>
      <c r="I4338" s="22">
        <f t="shared" si="135"/>
        <v>-1.7762456339840388E-2</v>
      </c>
      <c r="J4338" s="22" t="str">
        <f t="shared" si="136"/>
        <v>lost money</v>
      </c>
    </row>
    <row r="4339" spans="1:10">
      <c r="A4339" s="1">
        <v>40921</v>
      </c>
      <c r="B4339">
        <v>5.51</v>
      </c>
      <c r="C4339">
        <v>5.63</v>
      </c>
      <c r="D4339">
        <v>5.43</v>
      </c>
      <c r="E4339">
        <v>5.49</v>
      </c>
      <c r="F4339">
        <v>2610400</v>
      </c>
      <c r="G4339">
        <v>5.49</v>
      </c>
      <c r="H4339" t="s">
        <v>17</v>
      </c>
      <c r="I4339" s="22">
        <f t="shared" si="135"/>
        <v>-1.6260520871780291E-2</v>
      </c>
      <c r="J4339" s="22" t="str">
        <f t="shared" si="136"/>
        <v>lost money</v>
      </c>
    </row>
    <row r="4340" spans="1:10">
      <c r="A4340" s="1">
        <v>40925</v>
      </c>
      <c r="B4340">
        <v>5.37</v>
      </c>
      <c r="C4340">
        <v>5.43</v>
      </c>
      <c r="D4340">
        <v>5.15</v>
      </c>
      <c r="E4340">
        <v>5.26</v>
      </c>
      <c r="F4340">
        <v>6489300</v>
      </c>
      <c r="G4340">
        <v>5.26</v>
      </c>
      <c r="H4340" t="s">
        <v>17</v>
      </c>
      <c r="I4340" s="22">
        <f t="shared" si="135"/>
        <v>-4.2797228771820899E-2</v>
      </c>
      <c r="J4340" s="22" t="str">
        <f t="shared" si="136"/>
        <v>lost money</v>
      </c>
    </row>
    <row r="4341" spans="1:10">
      <c r="A4341" s="1">
        <v>40926</v>
      </c>
      <c r="B4341">
        <v>5.25</v>
      </c>
      <c r="C4341">
        <v>5.45</v>
      </c>
      <c r="D4341">
        <v>5.18</v>
      </c>
      <c r="E4341">
        <v>5.38</v>
      </c>
      <c r="F4341">
        <v>3506300</v>
      </c>
      <c r="G4341">
        <v>5.38</v>
      </c>
      <c r="H4341" t="s">
        <v>17</v>
      </c>
      <c r="I4341" s="22">
        <f t="shared" si="135"/>
        <v>2.2557347424074527E-2</v>
      </c>
      <c r="J4341" s="22" t="str">
        <f t="shared" si="136"/>
        <v/>
      </c>
    </row>
    <row r="4342" spans="1:10">
      <c r="A4342" s="1">
        <v>40927</v>
      </c>
      <c r="B4342">
        <v>5.39</v>
      </c>
      <c r="C4342">
        <v>5.54</v>
      </c>
      <c r="D4342">
        <v>5.3</v>
      </c>
      <c r="E4342">
        <v>5.54</v>
      </c>
      <c r="F4342">
        <v>3072200</v>
      </c>
      <c r="G4342">
        <v>5.54</v>
      </c>
      <c r="H4342" t="s">
        <v>17</v>
      </c>
      <c r="I4342" s="22">
        <f t="shared" si="135"/>
        <v>2.9306126585499487E-2</v>
      </c>
      <c r="J4342" s="22" t="str">
        <f t="shared" si="136"/>
        <v/>
      </c>
    </row>
    <row r="4343" spans="1:10">
      <c r="A4343" s="1">
        <v>40928</v>
      </c>
      <c r="B4343">
        <v>5.5</v>
      </c>
      <c r="C4343">
        <v>5.58</v>
      </c>
      <c r="D4343">
        <v>5.41</v>
      </c>
      <c r="E4343">
        <v>5.44</v>
      </c>
      <c r="F4343">
        <v>5630100</v>
      </c>
      <c r="G4343">
        <v>5.44</v>
      </c>
      <c r="H4343" t="s">
        <v>17</v>
      </c>
      <c r="I4343" s="22">
        <f t="shared" si="135"/>
        <v>-1.8215439891341105E-2</v>
      </c>
      <c r="J4343" s="22" t="str">
        <f t="shared" si="136"/>
        <v>lost money</v>
      </c>
    </row>
    <row r="4344" spans="1:10">
      <c r="A4344" s="1">
        <v>40931</v>
      </c>
      <c r="B4344">
        <v>5.44</v>
      </c>
      <c r="C4344">
        <v>5.52</v>
      </c>
      <c r="D4344">
        <v>5.35</v>
      </c>
      <c r="E4344">
        <v>5.42</v>
      </c>
      <c r="F4344">
        <v>3104000</v>
      </c>
      <c r="G4344">
        <v>5.42</v>
      </c>
      <c r="H4344" t="s">
        <v>17</v>
      </c>
      <c r="I4344" s="22">
        <f t="shared" si="135"/>
        <v>-3.6832454162965163E-3</v>
      </c>
      <c r="J4344" s="22" t="str">
        <f t="shared" si="136"/>
        <v>lost money</v>
      </c>
    </row>
    <row r="4345" spans="1:10">
      <c r="A4345" s="1">
        <v>40932</v>
      </c>
      <c r="B4345">
        <v>5.39</v>
      </c>
      <c r="C4345">
        <v>5.53</v>
      </c>
      <c r="D4345">
        <v>5.29</v>
      </c>
      <c r="E4345">
        <v>5.5</v>
      </c>
      <c r="F4345">
        <v>3073700</v>
      </c>
      <c r="G4345">
        <v>5.5</v>
      </c>
      <c r="H4345" t="s">
        <v>17</v>
      </c>
      <c r="I4345" s="22">
        <f t="shared" si="135"/>
        <v>1.4652276786870415E-2</v>
      </c>
      <c r="J4345" s="22" t="str">
        <f t="shared" si="136"/>
        <v/>
      </c>
    </row>
    <row r="4346" spans="1:10">
      <c r="A4346" s="1">
        <v>40933</v>
      </c>
      <c r="B4346">
        <v>5.6</v>
      </c>
      <c r="C4346">
        <v>5.74</v>
      </c>
      <c r="D4346">
        <v>5.52</v>
      </c>
      <c r="E4346">
        <v>5.57</v>
      </c>
      <c r="F4346">
        <v>6538600</v>
      </c>
      <c r="G4346">
        <v>5.57</v>
      </c>
      <c r="H4346" t="s">
        <v>17</v>
      </c>
      <c r="I4346" s="22">
        <f t="shared" si="135"/>
        <v>1.264696170076739E-2</v>
      </c>
      <c r="J4346" s="22" t="str">
        <f t="shared" si="136"/>
        <v>lost money</v>
      </c>
    </row>
    <row r="4347" spans="1:10">
      <c r="A4347" s="1">
        <v>40934</v>
      </c>
      <c r="B4347">
        <v>5.76</v>
      </c>
      <c r="C4347">
        <v>5.88</v>
      </c>
      <c r="D4347">
        <v>5.63</v>
      </c>
      <c r="E4347">
        <v>5.8</v>
      </c>
      <c r="F4347">
        <v>9898700</v>
      </c>
      <c r="G4347">
        <v>5.8</v>
      </c>
      <c r="H4347" t="s">
        <v>17</v>
      </c>
      <c r="I4347" s="22">
        <f t="shared" si="135"/>
        <v>4.0462863613180869E-2</v>
      </c>
      <c r="J4347" s="22" t="str">
        <f t="shared" si="136"/>
        <v/>
      </c>
    </row>
    <row r="4348" spans="1:10">
      <c r="A4348" s="1">
        <v>40935</v>
      </c>
      <c r="B4348">
        <v>5.8</v>
      </c>
      <c r="C4348">
        <v>5.86</v>
      </c>
      <c r="D4348">
        <v>5.71</v>
      </c>
      <c r="E4348">
        <v>5.81</v>
      </c>
      <c r="F4348">
        <v>4245400</v>
      </c>
      <c r="G4348">
        <v>5.81</v>
      </c>
      <c r="H4348" t="s">
        <v>17</v>
      </c>
      <c r="I4348" s="22">
        <f t="shared" si="135"/>
        <v>1.722653311446156E-3</v>
      </c>
      <c r="J4348" s="22" t="str">
        <f t="shared" si="136"/>
        <v/>
      </c>
    </row>
    <row r="4349" spans="1:10">
      <c r="A4349" s="1">
        <v>40938</v>
      </c>
      <c r="B4349">
        <v>5.78</v>
      </c>
      <c r="C4349">
        <v>5.96</v>
      </c>
      <c r="D4349">
        <v>5.76</v>
      </c>
      <c r="E4349">
        <v>5.92</v>
      </c>
      <c r="F4349">
        <v>5763000</v>
      </c>
      <c r="G4349">
        <v>5.92</v>
      </c>
      <c r="H4349" t="s">
        <v>17</v>
      </c>
      <c r="I4349" s="22">
        <f t="shared" si="135"/>
        <v>1.8755878032094497E-2</v>
      </c>
      <c r="J4349" s="22" t="str">
        <f t="shared" si="136"/>
        <v/>
      </c>
    </row>
    <row r="4350" spans="1:10">
      <c r="A4350" s="1">
        <v>40939</v>
      </c>
      <c r="B4350">
        <v>5.96</v>
      </c>
      <c r="C4350">
        <v>5.97</v>
      </c>
      <c r="D4350">
        <v>5.76</v>
      </c>
      <c r="E4350">
        <v>5.92</v>
      </c>
      <c r="F4350">
        <v>3535600</v>
      </c>
      <c r="G4350">
        <v>5.92</v>
      </c>
      <c r="H4350" t="s">
        <v>17</v>
      </c>
      <c r="I4350" s="22">
        <f t="shared" si="135"/>
        <v>0</v>
      </c>
      <c r="J4350" s="22" t="str">
        <f t="shared" si="136"/>
        <v>lost money</v>
      </c>
    </row>
    <row r="4351" spans="1:10">
      <c r="A4351" s="1">
        <v>40940</v>
      </c>
      <c r="B4351">
        <v>5.97</v>
      </c>
      <c r="C4351">
        <v>6.08</v>
      </c>
      <c r="D4351">
        <v>5.9</v>
      </c>
      <c r="E4351">
        <v>6.07</v>
      </c>
      <c r="F4351">
        <v>5440400</v>
      </c>
      <c r="G4351">
        <v>6.07</v>
      </c>
      <c r="H4351" t="s">
        <v>17</v>
      </c>
      <c r="I4351" s="22">
        <f t="shared" si="135"/>
        <v>2.502215617549268E-2</v>
      </c>
      <c r="J4351" s="22" t="str">
        <f t="shared" si="136"/>
        <v/>
      </c>
    </row>
    <row r="4352" spans="1:10">
      <c r="A4352" s="1">
        <v>40941</v>
      </c>
      <c r="B4352">
        <v>6.08</v>
      </c>
      <c r="C4352">
        <v>6.12</v>
      </c>
      <c r="D4352">
        <v>6.01</v>
      </c>
      <c r="E4352">
        <v>6.09</v>
      </c>
      <c r="F4352">
        <v>2754200</v>
      </c>
      <c r="G4352">
        <v>6.09</v>
      </c>
      <c r="H4352" t="s">
        <v>17</v>
      </c>
      <c r="I4352" s="22">
        <f t="shared" si="135"/>
        <v>3.2894766503987053E-3</v>
      </c>
      <c r="J4352" s="22" t="str">
        <f t="shared" si="136"/>
        <v/>
      </c>
    </row>
    <row r="4353" spans="1:10">
      <c r="A4353" s="1">
        <v>40942</v>
      </c>
      <c r="B4353">
        <v>6.16</v>
      </c>
      <c r="C4353">
        <v>6.32</v>
      </c>
      <c r="D4353">
        <v>6.13</v>
      </c>
      <c r="E4353">
        <v>6.23</v>
      </c>
      <c r="F4353">
        <v>5370000</v>
      </c>
      <c r="G4353">
        <v>6.23</v>
      </c>
      <c r="H4353" t="s">
        <v>17</v>
      </c>
      <c r="I4353" s="22">
        <f t="shared" si="135"/>
        <v>2.272825107755631E-2</v>
      </c>
      <c r="J4353" s="22" t="str">
        <f t="shared" si="136"/>
        <v/>
      </c>
    </row>
    <row r="4354" spans="1:10">
      <c r="A4354" s="1">
        <v>40945</v>
      </c>
      <c r="B4354">
        <v>6.2</v>
      </c>
      <c r="C4354">
        <v>6.31</v>
      </c>
      <c r="D4354">
        <v>6.1</v>
      </c>
      <c r="E4354">
        <v>6.14</v>
      </c>
      <c r="F4354">
        <v>4859200</v>
      </c>
      <c r="G4354">
        <v>6.14</v>
      </c>
      <c r="H4354" t="s">
        <v>17</v>
      </c>
      <c r="I4354" s="22">
        <f t="shared" si="135"/>
        <v>-1.4551590640310797E-2</v>
      </c>
      <c r="J4354" s="22" t="str">
        <f t="shared" si="136"/>
        <v>lost money</v>
      </c>
    </row>
    <row r="4355" spans="1:10">
      <c r="A4355" s="1">
        <v>40946</v>
      </c>
      <c r="B4355">
        <v>6.11</v>
      </c>
      <c r="C4355">
        <v>6.15</v>
      </c>
      <c r="D4355">
        <v>5.94</v>
      </c>
      <c r="E4355">
        <v>5.95</v>
      </c>
      <c r="F4355">
        <v>4423300</v>
      </c>
      <c r="G4355">
        <v>5.95</v>
      </c>
      <c r="H4355" t="s">
        <v>17</v>
      </c>
      <c r="I4355" s="22">
        <f t="shared" ref="I4355:I4418" si="137">IF(A4355=$A$2,"",LN(G4355/G4354))</f>
        <v>-3.1433522601512602E-2</v>
      </c>
      <c r="J4355" s="22" t="str">
        <f t="shared" ref="J4355:J4418" si="138">IF(B4355&gt;E4355,"lost money","")</f>
        <v>lost money</v>
      </c>
    </row>
    <row r="4356" spans="1:10">
      <c r="A4356" s="1">
        <v>40947</v>
      </c>
      <c r="B4356">
        <v>5.98</v>
      </c>
      <c r="C4356">
        <v>6.03</v>
      </c>
      <c r="D4356">
        <v>5.84</v>
      </c>
      <c r="E4356">
        <v>5.98</v>
      </c>
      <c r="F4356">
        <v>4242600</v>
      </c>
      <c r="G4356">
        <v>5.98</v>
      </c>
      <c r="H4356" t="s">
        <v>17</v>
      </c>
      <c r="I4356" s="22">
        <f t="shared" si="137"/>
        <v>5.0293484050019585E-3</v>
      </c>
      <c r="J4356" s="22" t="str">
        <f t="shared" si="138"/>
        <v/>
      </c>
    </row>
    <row r="4357" spans="1:10">
      <c r="A4357" s="1">
        <v>40948</v>
      </c>
      <c r="B4357">
        <v>6</v>
      </c>
      <c r="C4357">
        <v>6.02</v>
      </c>
      <c r="D4357">
        <v>5.82</v>
      </c>
      <c r="E4357">
        <v>5.94</v>
      </c>
      <c r="F4357">
        <v>2621400</v>
      </c>
      <c r="G4357">
        <v>5.94</v>
      </c>
      <c r="H4357" t="s">
        <v>17</v>
      </c>
      <c r="I4357" s="22">
        <f t="shared" si="137"/>
        <v>-6.7114345879868038E-3</v>
      </c>
      <c r="J4357" s="22" t="str">
        <f t="shared" si="138"/>
        <v>lost money</v>
      </c>
    </row>
    <row r="4358" spans="1:10">
      <c r="A4358" s="1">
        <v>40949</v>
      </c>
      <c r="B4358">
        <v>5.87</v>
      </c>
      <c r="C4358">
        <v>5.95</v>
      </c>
      <c r="D4358">
        <v>5.82</v>
      </c>
      <c r="E4358">
        <v>5.86</v>
      </c>
      <c r="F4358">
        <v>2166700</v>
      </c>
      <c r="G4358">
        <v>5.86</v>
      </c>
      <c r="H4358" t="s">
        <v>17</v>
      </c>
      <c r="I4358" s="22">
        <f t="shared" si="137"/>
        <v>-1.3559529785632362E-2</v>
      </c>
      <c r="J4358" s="22" t="str">
        <f t="shared" si="138"/>
        <v>lost money</v>
      </c>
    </row>
    <row r="4359" spans="1:10">
      <c r="A4359" s="1">
        <v>40952</v>
      </c>
      <c r="B4359">
        <v>5.91</v>
      </c>
      <c r="C4359">
        <v>5.95</v>
      </c>
      <c r="D4359">
        <v>5.79</v>
      </c>
      <c r="E4359">
        <v>5.92</v>
      </c>
      <c r="F4359">
        <v>3835600</v>
      </c>
      <c r="G4359">
        <v>5.92</v>
      </c>
      <c r="H4359" t="s">
        <v>17</v>
      </c>
      <c r="I4359" s="22">
        <f t="shared" si="137"/>
        <v>1.0186845306992997E-2</v>
      </c>
      <c r="J4359" s="22" t="str">
        <f t="shared" si="138"/>
        <v/>
      </c>
    </row>
    <row r="4360" spans="1:10">
      <c r="A4360" s="1">
        <v>40953</v>
      </c>
      <c r="B4360">
        <v>5.9</v>
      </c>
      <c r="C4360">
        <v>5.95</v>
      </c>
      <c r="D4360">
        <v>5.8</v>
      </c>
      <c r="E4360">
        <v>5.86</v>
      </c>
      <c r="F4360">
        <v>2147700</v>
      </c>
      <c r="G4360">
        <v>5.86</v>
      </c>
      <c r="H4360" t="s">
        <v>17</v>
      </c>
      <c r="I4360" s="22">
        <f t="shared" si="137"/>
        <v>-1.0186845306993018E-2</v>
      </c>
      <c r="J4360" s="22" t="str">
        <f t="shared" si="138"/>
        <v>lost money</v>
      </c>
    </row>
    <row r="4361" spans="1:10">
      <c r="A4361" s="1">
        <v>40954</v>
      </c>
      <c r="B4361">
        <v>5.89</v>
      </c>
      <c r="C4361">
        <v>5.93</v>
      </c>
      <c r="D4361">
        <v>5.76</v>
      </c>
      <c r="E4361">
        <v>5.83</v>
      </c>
      <c r="F4361">
        <v>2507000</v>
      </c>
      <c r="G4361">
        <v>5.83</v>
      </c>
      <c r="H4361" t="s">
        <v>17</v>
      </c>
      <c r="I4361" s="22">
        <f t="shared" si="137"/>
        <v>-5.1326032265203141E-3</v>
      </c>
      <c r="J4361" s="22" t="str">
        <f t="shared" si="138"/>
        <v>lost money</v>
      </c>
    </row>
    <row r="4362" spans="1:10">
      <c r="A4362" s="1">
        <v>40955</v>
      </c>
      <c r="B4362">
        <v>5.83</v>
      </c>
      <c r="C4362">
        <v>5.98</v>
      </c>
      <c r="D4362">
        <v>5.68</v>
      </c>
      <c r="E4362">
        <v>5.92</v>
      </c>
      <c r="F4362">
        <v>6017600</v>
      </c>
      <c r="G4362">
        <v>5.92</v>
      </c>
      <c r="H4362" t="s">
        <v>17</v>
      </c>
      <c r="I4362" s="22">
        <f t="shared" si="137"/>
        <v>1.5319448533513242E-2</v>
      </c>
      <c r="J4362" s="22" t="str">
        <f t="shared" si="138"/>
        <v/>
      </c>
    </row>
    <row r="4363" spans="1:10">
      <c r="A4363" s="1">
        <v>40956</v>
      </c>
      <c r="B4363">
        <v>5.97</v>
      </c>
      <c r="C4363">
        <v>6.04</v>
      </c>
      <c r="D4363">
        <v>5.8</v>
      </c>
      <c r="E4363">
        <v>5.81</v>
      </c>
      <c r="F4363">
        <v>7803000</v>
      </c>
      <c r="G4363">
        <v>5.81</v>
      </c>
      <c r="H4363" t="s">
        <v>17</v>
      </c>
      <c r="I4363" s="22">
        <f t="shared" si="137"/>
        <v>-1.8755878032094515E-2</v>
      </c>
      <c r="J4363" s="22" t="str">
        <f t="shared" si="138"/>
        <v>lost money</v>
      </c>
    </row>
    <row r="4364" spans="1:10">
      <c r="A4364" s="1">
        <v>40960</v>
      </c>
      <c r="B4364">
        <v>5.81</v>
      </c>
      <c r="C4364">
        <v>5.81</v>
      </c>
      <c r="D4364">
        <v>5.17</v>
      </c>
      <c r="E4364">
        <v>5.3</v>
      </c>
      <c r="F4364">
        <v>15064500</v>
      </c>
      <c r="G4364">
        <v>5.3</v>
      </c>
      <c r="H4364" t="s">
        <v>17</v>
      </c>
      <c r="I4364" s="22">
        <f t="shared" si="137"/>
        <v>-9.1873750305743712E-2</v>
      </c>
      <c r="J4364" s="22" t="str">
        <f t="shared" si="138"/>
        <v>lost money</v>
      </c>
    </row>
    <row r="4365" spans="1:10">
      <c r="A4365" s="1">
        <v>40961</v>
      </c>
      <c r="B4365">
        <v>5.3</v>
      </c>
      <c r="C4365">
        <v>5.34</v>
      </c>
      <c r="D4365">
        <v>5.12</v>
      </c>
      <c r="E4365">
        <v>5.14</v>
      </c>
      <c r="F4365">
        <v>5662900</v>
      </c>
      <c r="G4365">
        <v>5.14</v>
      </c>
      <c r="H4365" t="s">
        <v>17</v>
      </c>
      <c r="I4365" s="22">
        <f t="shared" si="137"/>
        <v>-3.0653741091002402E-2</v>
      </c>
      <c r="J4365" s="22" t="str">
        <f t="shared" si="138"/>
        <v>lost money</v>
      </c>
    </row>
    <row r="4366" spans="1:10">
      <c r="A4366" s="1">
        <v>40962</v>
      </c>
      <c r="B4366">
        <v>5.17</v>
      </c>
      <c r="C4366">
        <v>5.19</v>
      </c>
      <c r="D4366">
        <v>4.9400000000000004</v>
      </c>
      <c r="E4366">
        <v>5.0199999999999996</v>
      </c>
      <c r="F4366">
        <v>11427300</v>
      </c>
      <c r="G4366">
        <v>5.0199999999999996</v>
      </c>
      <c r="H4366" t="s">
        <v>17</v>
      </c>
      <c r="I4366" s="22">
        <f t="shared" si="137"/>
        <v>-2.3623145763435941E-2</v>
      </c>
      <c r="J4366" s="22" t="str">
        <f t="shared" si="138"/>
        <v>lost money</v>
      </c>
    </row>
    <row r="4367" spans="1:10">
      <c r="A4367" s="1">
        <v>40963</v>
      </c>
      <c r="B4367">
        <v>5.05</v>
      </c>
      <c r="C4367">
        <v>5.09</v>
      </c>
      <c r="D4367">
        <v>4.76</v>
      </c>
      <c r="E4367">
        <v>4.8099999999999996</v>
      </c>
      <c r="F4367">
        <v>11161000</v>
      </c>
      <c r="G4367">
        <v>4.8099999999999996</v>
      </c>
      <c r="H4367" t="s">
        <v>17</v>
      </c>
      <c r="I4367" s="22">
        <f t="shared" si="137"/>
        <v>-4.2732849585967979E-2</v>
      </c>
      <c r="J4367" s="22" t="str">
        <f t="shared" si="138"/>
        <v>lost money</v>
      </c>
    </row>
    <row r="4368" spans="1:10">
      <c r="A4368" s="1">
        <v>40966</v>
      </c>
      <c r="B4368">
        <v>4.8099999999999996</v>
      </c>
      <c r="C4368">
        <v>5.17</v>
      </c>
      <c r="D4368">
        <v>4.8099999999999996</v>
      </c>
      <c r="E4368">
        <v>5.16</v>
      </c>
      <c r="F4368">
        <v>10716800</v>
      </c>
      <c r="G4368">
        <v>5.16</v>
      </c>
      <c r="H4368" t="s">
        <v>17</v>
      </c>
      <c r="I4368" s="22">
        <f t="shared" si="137"/>
        <v>7.0239495375801611E-2</v>
      </c>
      <c r="J4368" s="22" t="str">
        <f t="shared" si="138"/>
        <v/>
      </c>
    </row>
    <row r="4369" spans="1:10">
      <c r="A4369" s="1">
        <v>40967</v>
      </c>
      <c r="B4369">
        <v>5.0999999999999996</v>
      </c>
      <c r="C4369">
        <v>5.22</v>
      </c>
      <c r="D4369">
        <v>5.05</v>
      </c>
      <c r="E4369">
        <v>5.19</v>
      </c>
      <c r="F4369">
        <v>5194700</v>
      </c>
      <c r="G4369">
        <v>5.19</v>
      </c>
      <c r="H4369" t="s">
        <v>17</v>
      </c>
      <c r="I4369" s="22">
        <f t="shared" si="137"/>
        <v>5.7971176843259146E-3</v>
      </c>
      <c r="J4369" s="22" t="str">
        <f t="shared" si="138"/>
        <v/>
      </c>
    </row>
    <row r="4370" spans="1:10">
      <c r="A4370" s="1">
        <v>40968</v>
      </c>
      <c r="B4370">
        <v>5.2</v>
      </c>
      <c r="C4370">
        <v>5.24</v>
      </c>
      <c r="D4370">
        <v>5.0999999999999996</v>
      </c>
      <c r="E4370">
        <v>5.0999999999999996</v>
      </c>
      <c r="F4370">
        <v>4766300</v>
      </c>
      <c r="G4370">
        <v>5.0999999999999996</v>
      </c>
      <c r="H4370" t="s">
        <v>17</v>
      </c>
      <c r="I4370" s="22">
        <f t="shared" si="137"/>
        <v>-1.7493157447517345E-2</v>
      </c>
      <c r="J4370" s="22" t="str">
        <f t="shared" si="138"/>
        <v>lost money</v>
      </c>
    </row>
    <row r="4371" spans="1:10">
      <c r="A4371" s="1">
        <v>40969</v>
      </c>
      <c r="B4371">
        <v>5.16</v>
      </c>
      <c r="C4371">
        <v>5.25</v>
      </c>
      <c r="D4371">
        <v>5.12</v>
      </c>
      <c r="E4371">
        <v>5.19</v>
      </c>
      <c r="F4371">
        <v>4255700</v>
      </c>
      <c r="G4371">
        <v>5.19</v>
      </c>
      <c r="H4371" t="s">
        <v>17</v>
      </c>
      <c r="I4371" s="22">
        <f t="shared" si="137"/>
        <v>1.7493157447517338E-2</v>
      </c>
      <c r="J4371" s="22" t="str">
        <f t="shared" si="138"/>
        <v/>
      </c>
    </row>
    <row r="4372" spans="1:10">
      <c r="A4372" s="1">
        <v>40970</v>
      </c>
      <c r="B4372">
        <v>5.18</v>
      </c>
      <c r="C4372">
        <v>5.29</v>
      </c>
      <c r="D4372">
        <v>5.0999999999999996</v>
      </c>
      <c r="E4372">
        <v>5.1100000000000003</v>
      </c>
      <c r="F4372">
        <v>3246400</v>
      </c>
      <c r="G4372">
        <v>5.1100000000000003</v>
      </c>
      <c r="H4372" t="s">
        <v>17</v>
      </c>
      <c r="I4372" s="22">
        <f t="shared" si="137"/>
        <v>-1.5534292962184233E-2</v>
      </c>
      <c r="J4372" s="22" t="str">
        <f t="shared" si="138"/>
        <v>lost money</v>
      </c>
    </row>
    <row r="4373" spans="1:10">
      <c r="A4373" s="1">
        <v>40973</v>
      </c>
      <c r="B4373">
        <v>5.08</v>
      </c>
      <c r="C4373">
        <v>5.09</v>
      </c>
      <c r="D4373">
        <v>5</v>
      </c>
      <c r="E4373">
        <v>5.01</v>
      </c>
      <c r="F4373">
        <v>2766700</v>
      </c>
      <c r="G4373">
        <v>5.01</v>
      </c>
      <c r="H4373" t="s">
        <v>17</v>
      </c>
      <c r="I4373" s="22">
        <f t="shared" si="137"/>
        <v>-1.9763489118839749E-2</v>
      </c>
      <c r="J4373" s="22" t="str">
        <f t="shared" si="138"/>
        <v>lost money</v>
      </c>
    </row>
    <row r="4374" spans="1:10">
      <c r="A4374" s="1">
        <v>40974</v>
      </c>
      <c r="B4374">
        <v>4.97</v>
      </c>
      <c r="C4374">
        <v>5.08</v>
      </c>
      <c r="D4374">
        <v>4.95</v>
      </c>
      <c r="E4374">
        <v>4.96</v>
      </c>
      <c r="F4374">
        <v>2867700</v>
      </c>
      <c r="G4374">
        <v>4.96</v>
      </c>
      <c r="H4374" t="s">
        <v>17</v>
      </c>
      <c r="I4374" s="22">
        <f t="shared" si="137"/>
        <v>-1.0030174359937244E-2</v>
      </c>
      <c r="J4374" s="22" t="str">
        <f t="shared" si="138"/>
        <v>lost money</v>
      </c>
    </row>
    <row r="4375" spans="1:10">
      <c r="A4375" s="1">
        <v>40975</v>
      </c>
      <c r="B4375">
        <v>4.99</v>
      </c>
      <c r="C4375">
        <v>5.01</v>
      </c>
      <c r="D4375">
        <v>4.88</v>
      </c>
      <c r="E4375">
        <v>4.99</v>
      </c>
      <c r="F4375">
        <v>3180700</v>
      </c>
      <c r="G4375">
        <v>4.99</v>
      </c>
      <c r="H4375" t="s">
        <v>17</v>
      </c>
      <c r="I4375" s="22">
        <f t="shared" si="137"/>
        <v>6.0301690265912311E-3</v>
      </c>
      <c r="J4375" s="22" t="str">
        <f t="shared" si="138"/>
        <v/>
      </c>
    </row>
    <row r="4376" spans="1:10">
      <c r="A4376" s="1">
        <v>40976</v>
      </c>
      <c r="B4376">
        <v>5.05</v>
      </c>
      <c r="C4376">
        <v>5.07</v>
      </c>
      <c r="D4376">
        <v>4.8600000000000003</v>
      </c>
      <c r="E4376">
        <v>4.99</v>
      </c>
      <c r="F4376">
        <v>6371200</v>
      </c>
      <c r="G4376">
        <v>4.99</v>
      </c>
      <c r="H4376" t="s">
        <v>17</v>
      </c>
      <c r="I4376" s="22">
        <f t="shared" si="137"/>
        <v>0</v>
      </c>
      <c r="J4376" s="22" t="str">
        <f t="shared" si="138"/>
        <v>lost money</v>
      </c>
    </row>
    <row r="4377" spans="1:10">
      <c r="A4377" s="1">
        <v>40977</v>
      </c>
      <c r="B4377">
        <v>5</v>
      </c>
      <c r="C4377">
        <v>5.05</v>
      </c>
      <c r="D4377">
        <v>4.93</v>
      </c>
      <c r="E4377">
        <v>4.9800000000000004</v>
      </c>
      <c r="F4377">
        <v>12251100</v>
      </c>
      <c r="G4377">
        <v>4.9800000000000004</v>
      </c>
      <c r="H4377" t="s">
        <v>17</v>
      </c>
      <c r="I4377" s="22">
        <f t="shared" si="137"/>
        <v>-2.006018726865743E-3</v>
      </c>
      <c r="J4377" s="22" t="str">
        <f t="shared" si="138"/>
        <v>lost money</v>
      </c>
    </row>
    <row r="4378" spans="1:10">
      <c r="A4378" s="1">
        <v>40980</v>
      </c>
      <c r="B4378">
        <v>4.9800000000000004</v>
      </c>
      <c r="C4378">
        <v>4.99</v>
      </c>
      <c r="D4378">
        <v>4.82</v>
      </c>
      <c r="E4378">
        <v>4.91</v>
      </c>
      <c r="F4378">
        <v>15372400</v>
      </c>
      <c r="G4378">
        <v>4.91</v>
      </c>
      <c r="H4378" t="s">
        <v>17</v>
      </c>
      <c r="I4378" s="22">
        <f t="shared" si="137"/>
        <v>-1.4155949230132411E-2</v>
      </c>
      <c r="J4378" s="22" t="str">
        <f t="shared" si="138"/>
        <v>lost money</v>
      </c>
    </row>
    <row r="4379" spans="1:10">
      <c r="A4379" s="1">
        <v>40981</v>
      </c>
      <c r="B4379">
        <v>4.9400000000000004</v>
      </c>
      <c r="C4379">
        <v>5.1100000000000003</v>
      </c>
      <c r="D4379">
        <v>4.8899999999999997</v>
      </c>
      <c r="E4379">
        <v>5.08</v>
      </c>
      <c r="F4379">
        <v>5855300</v>
      </c>
      <c r="G4379">
        <v>5.08</v>
      </c>
      <c r="H4379" t="s">
        <v>17</v>
      </c>
      <c r="I4379" s="22">
        <f t="shared" si="137"/>
        <v>3.4037319783961309E-2</v>
      </c>
      <c r="J4379" s="22" t="str">
        <f t="shared" si="138"/>
        <v/>
      </c>
    </row>
    <row r="4380" spans="1:10">
      <c r="A4380" s="1">
        <v>40982</v>
      </c>
      <c r="B4380">
        <v>5.08</v>
      </c>
      <c r="C4380">
        <v>5.15</v>
      </c>
      <c r="D4380">
        <v>5.01</v>
      </c>
      <c r="E4380">
        <v>5.07</v>
      </c>
      <c r="F4380">
        <v>2595000</v>
      </c>
      <c r="G4380">
        <v>5.07</v>
      </c>
      <c r="H4380" t="s">
        <v>17</v>
      </c>
      <c r="I4380" s="22">
        <f t="shared" si="137"/>
        <v>-1.9704439872987251E-3</v>
      </c>
      <c r="J4380" s="22" t="str">
        <f t="shared" si="138"/>
        <v>lost money</v>
      </c>
    </row>
    <row r="4381" spans="1:10">
      <c r="A4381" s="1">
        <v>40983</v>
      </c>
      <c r="B4381">
        <v>5.12</v>
      </c>
      <c r="C4381">
        <v>5.37</v>
      </c>
      <c r="D4381">
        <v>5.0599999999999996</v>
      </c>
      <c r="E4381">
        <v>5.37</v>
      </c>
      <c r="F4381">
        <v>5850100</v>
      </c>
      <c r="G4381">
        <v>5.37</v>
      </c>
      <c r="H4381" t="s">
        <v>17</v>
      </c>
      <c r="I4381" s="22">
        <f t="shared" si="137"/>
        <v>5.7487090917681387E-2</v>
      </c>
      <c r="J4381" s="22" t="str">
        <f t="shared" si="138"/>
        <v/>
      </c>
    </row>
    <row r="4382" spans="1:10">
      <c r="A4382" s="1">
        <v>40984</v>
      </c>
      <c r="B4382">
        <v>5.35</v>
      </c>
      <c r="C4382">
        <v>5.39</v>
      </c>
      <c r="D4382">
        <v>5.1100000000000003</v>
      </c>
      <c r="E4382">
        <v>5.15</v>
      </c>
      <c r="F4382">
        <v>5591700</v>
      </c>
      <c r="G4382">
        <v>5.15</v>
      </c>
      <c r="H4382" t="s">
        <v>17</v>
      </c>
      <c r="I4382" s="22">
        <f t="shared" si="137"/>
        <v>-4.1831193845128498E-2</v>
      </c>
      <c r="J4382" s="22" t="str">
        <f t="shared" si="138"/>
        <v>lost money</v>
      </c>
    </row>
    <row r="4383" spans="1:10">
      <c r="A4383" s="1">
        <v>40987</v>
      </c>
      <c r="B4383">
        <v>5.15</v>
      </c>
      <c r="C4383">
        <v>5.22</v>
      </c>
      <c r="D4383">
        <v>5.12</v>
      </c>
      <c r="E4383">
        <v>5.16</v>
      </c>
      <c r="F4383">
        <v>2008600</v>
      </c>
      <c r="G4383">
        <v>5.16</v>
      </c>
      <c r="H4383" t="s">
        <v>17</v>
      </c>
      <c r="I4383" s="22">
        <f t="shared" si="137"/>
        <v>1.9398648178264545E-3</v>
      </c>
      <c r="J4383" s="22" t="str">
        <f t="shared" si="138"/>
        <v/>
      </c>
    </row>
    <row r="4384" spans="1:10">
      <c r="A4384" s="1">
        <v>40988</v>
      </c>
      <c r="B4384">
        <v>5.1100000000000003</v>
      </c>
      <c r="C4384">
        <v>5.22</v>
      </c>
      <c r="D4384">
        <v>5.07</v>
      </c>
      <c r="E4384">
        <v>5.19</v>
      </c>
      <c r="F4384">
        <v>3629600</v>
      </c>
      <c r="G4384">
        <v>5.19</v>
      </c>
      <c r="H4384" t="s">
        <v>17</v>
      </c>
      <c r="I4384" s="22">
        <f t="shared" si="137"/>
        <v>5.7971176843259146E-3</v>
      </c>
      <c r="J4384" s="22" t="str">
        <f t="shared" si="138"/>
        <v/>
      </c>
    </row>
    <row r="4385" spans="1:10">
      <c r="A4385" s="1">
        <v>40989</v>
      </c>
      <c r="B4385">
        <v>5.19</v>
      </c>
      <c r="C4385">
        <v>5.19</v>
      </c>
      <c r="D4385">
        <v>5.12</v>
      </c>
      <c r="E4385">
        <v>5.13</v>
      </c>
      <c r="F4385">
        <v>1698700</v>
      </c>
      <c r="G4385">
        <v>5.13</v>
      </c>
      <c r="H4385" t="s">
        <v>17</v>
      </c>
      <c r="I4385" s="22">
        <f t="shared" si="137"/>
        <v>-1.162803799511921E-2</v>
      </c>
      <c r="J4385" s="22" t="str">
        <f t="shared" si="138"/>
        <v>lost money</v>
      </c>
    </row>
    <row r="4386" spans="1:10">
      <c r="A4386" s="1">
        <v>40990</v>
      </c>
      <c r="B4386">
        <v>5.08</v>
      </c>
      <c r="C4386">
        <v>5.2</v>
      </c>
      <c r="D4386">
        <v>5.05</v>
      </c>
      <c r="E4386">
        <v>5.07</v>
      </c>
      <c r="F4386">
        <v>2303300</v>
      </c>
      <c r="G4386">
        <v>5.07</v>
      </c>
      <c r="H4386" t="s">
        <v>17</v>
      </c>
      <c r="I4386" s="22">
        <f t="shared" si="137"/>
        <v>-1.1764841579586257E-2</v>
      </c>
      <c r="J4386" s="22" t="str">
        <f t="shared" si="138"/>
        <v>lost money</v>
      </c>
    </row>
    <row r="4387" spans="1:10">
      <c r="A4387" s="1">
        <v>40991</v>
      </c>
      <c r="B4387">
        <v>5.07</v>
      </c>
      <c r="C4387">
        <v>5.0999999999999996</v>
      </c>
      <c r="D4387">
        <v>5.01</v>
      </c>
      <c r="E4387">
        <v>5.0999999999999996</v>
      </c>
      <c r="F4387">
        <v>1597700</v>
      </c>
      <c r="G4387">
        <v>5.0999999999999996</v>
      </c>
      <c r="H4387" t="s">
        <v>17</v>
      </c>
      <c r="I4387" s="22">
        <f t="shared" si="137"/>
        <v>5.8997221271881017E-3</v>
      </c>
      <c r="J4387" s="22" t="str">
        <f t="shared" si="138"/>
        <v/>
      </c>
    </row>
    <row r="4388" spans="1:10">
      <c r="A4388" s="1">
        <v>40994</v>
      </c>
      <c r="B4388">
        <v>5.14</v>
      </c>
      <c r="C4388">
        <v>5.21</v>
      </c>
      <c r="D4388">
        <v>5.12</v>
      </c>
      <c r="E4388">
        <v>5.21</v>
      </c>
      <c r="F4388">
        <v>2492200</v>
      </c>
      <c r="G4388">
        <v>5.21</v>
      </c>
      <c r="H4388" t="s">
        <v>17</v>
      </c>
      <c r="I4388" s="22">
        <f t="shared" si="137"/>
        <v>2.1339316034995604E-2</v>
      </c>
      <c r="J4388" s="22" t="str">
        <f t="shared" si="138"/>
        <v/>
      </c>
    </row>
    <row r="4389" spans="1:10">
      <c r="A4389" s="1">
        <v>40995</v>
      </c>
      <c r="B4389">
        <v>5.21</v>
      </c>
      <c r="C4389">
        <v>5.21</v>
      </c>
      <c r="D4389">
        <v>5.0599999999999996</v>
      </c>
      <c r="E4389">
        <v>5.07</v>
      </c>
      <c r="F4389">
        <v>2633700</v>
      </c>
      <c r="G4389">
        <v>5.07</v>
      </c>
      <c r="H4389" t="s">
        <v>17</v>
      </c>
      <c r="I4389" s="22">
        <f t="shared" si="137"/>
        <v>-2.7239038162183721E-2</v>
      </c>
      <c r="J4389" s="22" t="str">
        <f t="shared" si="138"/>
        <v>lost money</v>
      </c>
    </row>
    <row r="4390" spans="1:10">
      <c r="A4390" s="1">
        <v>40996</v>
      </c>
      <c r="B4390">
        <v>5.0599999999999996</v>
      </c>
      <c r="C4390">
        <v>5.27</v>
      </c>
      <c r="D4390">
        <v>5.0599999999999996</v>
      </c>
      <c r="E4390">
        <v>5.22</v>
      </c>
      <c r="F4390">
        <v>8625600</v>
      </c>
      <c r="G4390">
        <v>5.22</v>
      </c>
      <c r="H4390" t="s">
        <v>17</v>
      </c>
      <c r="I4390" s="22">
        <f t="shared" si="137"/>
        <v>2.9156584291455487E-2</v>
      </c>
      <c r="J4390" s="22" t="str">
        <f t="shared" si="138"/>
        <v/>
      </c>
    </row>
    <row r="4391" spans="1:10">
      <c r="A4391" s="1">
        <v>40997</v>
      </c>
      <c r="B4391">
        <v>5.01</v>
      </c>
      <c r="C4391">
        <v>5.03</v>
      </c>
      <c r="D4391">
        <v>4.7300000000000004</v>
      </c>
      <c r="E4391">
        <v>5</v>
      </c>
      <c r="F4391">
        <v>30327400</v>
      </c>
      <c r="G4391">
        <v>5</v>
      </c>
      <c r="H4391" t="s">
        <v>17</v>
      </c>
      <c r="I4391" s="22">
        <f t="shared" si="137"/>
        <v>-4.3059489460446881E-2</v>
      </c>
      <c r="J4391" s="22" t="str">
        <f t="shared" si="138"/>
        <v>lost money</v>
      </c>
    </row>
    <row r="4392" spans="1:10">
      <c r="A4392" s="1">
        <v>40998</v>
      </c>
      <c r="B4392">
        <v>5</v>
      </c>
      <c r="C4392">
        <v>5.05</v>
      </c>
      <c r="D4392">
        <v>4.87</v>
      </c>
      <c r="E4392">
        <v>4.8899999999999997</v>
      </c>
      <c r="F4392">
        <v>14607500</v>
      </c>
      <c r="G4392">
        <v>4.8899999999999997</v>
      </c>
      <c r="H4392" t="s">
        <v>17</v>
      </c>
      <c r="I4392" s="22">
        <f t="shared" si="137"/>
        <v>-2.2245608947319737E-2</v>
      </c>
      <c r="J4392" s="22" t="str">
        <f t="shared" si="138"/>
        <v>lost money</v>
      </c>
    </row>
    <row r="4393" spans="1:10">
      <c r="A4393" s="1">
        <v>41001</v>
      </c>
      <c r="B4393">
        <v>4.92</v>
      </c>
      <c r="C4393">
        <v>4.9400000000000004</v>
      </c>
      <c r="D4393">
        <v>4.84</v>
      </c>
      <c r="E4393">
        <v>4.8499999999999996</v>
      </c>
      <c r="F4393">
        <v>5656300</v>
      </c>
      <c r="G4393">
        <v>4.8499999999999996</v>
      </c>
      <c r="H4393" t="s">
        <v>17</v>
      </c>
      <c r="I4393" s="22">
        <f t="shared" si="137"/>
        <v>-8.2135985373888564E-3</v>
      </c>
      <c r="J4393" s="22" t="str">
        <f t="shared" si="138"/>
        <v>lost money</v>
      </c>
    </row>
    <row r="4394" spans="1:10">
      <c r="A4394" s="1">
        <v>41002</v>
      </c>
      <c r="B4394">
        <v>4.87</v>
      </c>
      <c r="C4394">
        <v>4.93</v>
      </c>
      <c r="D4394">
        <v>4.83</v>
      </c>
      <c r="E4394">
        <v>4.91</v>
      </c>
      <c r="F4394">
        <v>5971600</v>
      </c>
      <c r="G4394">
        <v>4.91</v>
      </c>
      <c r="H4394" t="s">
        <v>17</v>
      </c>
      <c r="I4394" s="22">
        <f t="shared" si="137"/>
        <v>1.2295236857037558E-2</v>
      </c>
      <c r="J4394" s="22" t="str">
        <f t="shared" si="138"/>
        <v/>
      </c>
    </row>
    <row r="4395" spans="1:10">
      <c r="A4395" s="1">
        <v>41003</v>
      </c>
      <c r="B4395">
        <v>4.87</v>
      </c>
      <c r="C4395">
        <v>4.93</v>
      </c>
      <c r="D4395">
        <v>4.83</v>
      </c>
      <c r="E4395">
        <v>4.8899999999999997</v>
      </c>
      <c r="F4395">
        <v>6005100</v>
      </c>
      <c r="G4395">
        <v>4.8899999999999997</v>
      </c>
      <c r="H4395" t="s">
        <v>17</v>
      </c>
      <c r="I4395" s="22">
        <f t="shared" si="137"/>
        <v>-4.0816383196486186E-3</v>
      </c>
      <c r="J4395" s="22" t="str">
        <f t="shared" si="138"/>
        <v/>
      </c>
    </row>
    <row r="4396" spans="1:10">
      <c r="A4396" s="1">
        <v>41004</v>
      </c>
      <c r="B4396">
        <v>4.8899999999999997</v>
      </c>
      <c r="C4396">
        <v>4.9400000000000004</v>
      </c>
      <c r="D4396">
        <v>4.84</v>
      </c>
      <c r="E4396">
        <v>4.84</v>
      </c>
      <c r="F4396">
        <v>2538900</v>
      </c>
      <c r="G4396">
        <v>4.84</v>
      </c>
      <c r="H4396" t="s">
        <v>17</v>
      </c>
      <c r="I4396" s="22">
        <f t="shared" si="137"/>
        <v>-1.0277582758240296E-2</v>
      </c>
      <c r="J4396" s="22" t="str">
        <f t="shared" si="138"/>
        <v>lost money</v>
      </c>
    </row>
    <row r="4397" spans="1:10">
      <c r="A4397" s="1">
        <v>41008</v>
      </c>
      <c r="B4397">
        <v>4.8099999999999996</v>
      </c>
      <c r="C4397">
        <v>4.83</v>
      </c>
      <c r="D4397">
        <v>4.7300000000000004</v>
      </c>
      <c r="E4397">
        <v>4.78</v>
      </c>
      <c r="F4397">
        <v>3137600</v>
      </c>
      <c r="G4397">
        <v>4.78</v>
      </c>
      <c r="H4397" t="s">
        <v>17</v>
      </c>
      <c r="I4397" s="22">
        <f t="shared" si="137"/>
        <v>-1.2474174225175688E-2</v>
      </c>
      <c r="J4397" s="22" t="str">
        <f t="shared" si="138"/>
        <v>lost money</v>
      </c>
    </row>
    <row r="4398" spans="1:10">
      <c r="A4398" s="1">
        <v>41009</v>
      </c>
      <c r="B4398">
        <v>4.8</v>
      </c>
      <c r="C4398">
        <v>4.8</v>
      </c>
      <c r="D4398">
        <v>4.6100000000000003</v>
      </c>
      <c r="E4398">
        <v>4.6100000000000003</v>
      </c>
      <c r="F4398">
        <v>4364600</v>
      </c>
      <c r="G4398">
        <v>4.6100000000000003</v>
      </c>
      <c r="H4398" t="s">
        <v>17</v>
      </c>
      <c r="I4398" s="22">
        <f t="shared" si="137"/>
        <v>-3.621268949480741E-2</v>
      </c>
      <c r="J4398" s="22" t="str">
        <f t="shared" si="138"/>
        <v>lost money</v>
      </c>
    </row>
    <row r="4399" spans="1:10">
      <c r="A4399" s="1">
        <v>41010</v>
      </c>
      <c r="B4399">
        <v>4.7</v>
      </c>
      <c r="C4399">
        <v>4.75</v>
      </c>
      <c r="D4399">
        <v>4.67</v>
      </c>
      <c r="E4399">
        <v>4.71</v>
      </c>
      <c r="F4399">
        <v>4303600</v>
      </c>
      <c r="G4399">
        <v>4.71</v>
      </c>
      <c r="H4399" t="s">
        <v>17</v>
      </c>
      <c r="I4399" s="22">
        <f t="shared" si="137"/>
        <v>2.1460051019769069E-2</v>
      </c>
      <c r="J4399" s="22" t="str">
        <f t="shared" si="138"/>
        <v/>
      </c>
    </row>
    <row r="4400" spans="1:10">
      <c r="A4400" s="1">
        <v>41011</v>
      </c>
      <c r="B4400">
        <v>4.7300000000000004</v>
      </c>
      <c r="C4400">
        <v>4.95</v>
      </c>
      <c r="D4400">
        <v>4.7300000000000004</v>
      </c>
      <c r="E4400">
        <v>4.93</v>
      </c>
      <c r="F4400">
        <v>6243200</v>
      </c>
      <c r="G4400">
        <v>4.93</v>
      </c>
      <c r="H4400" t="s">
        <v>17</v>
      </c>
      <c r="I4400" s="22">
        <f t="shared" si="137"/>
        <v>4.5651080026272349E-2</v>
      </c>
      <c r="J4400" s="22" t="str">
        <f t="shared" si="138"/>
        <v/>
      </c>
    </row>
    <row r="4401" spans="1:10">
      <c r="A4401" s="1">
        <v>41012</v>
      </c>
      <c r="B4401">
        <v>4.88</v>
      </c>
      <c r="C4401">
        <v>4.8899999999999997</v>
      </c>
      <c r="D4401">
        <v>4.7699999999999996</v>
      </c>
      <c r="E4401">
        <v>4.78</v>
      </c>
      <c r="F4401">
        <v>2664900</v>
      </c>
      <c r="G4401">
        <v>4.78</v>
      </c>
      <c r="H4401" t="s">
        <v>17</v>
      </c>
      <c r="I4401" s="22">
        <f t="shared" si="137"/>
        <v>-3.0898441551234061E-2</v>
      </c>
      <c r="J4401" s="22" t="str">
        <f t="shared" si="138"/>
        <v>lost money</v>
      </c>
    </row>
    <row r="4402" spans="1:10">
      <c r="A4402" s="1">
        <v>41015</v>
      </c>
      <c r="B4402">
        <v>4.8</v>
      </c>
      <c r="C4402">
        <v>4.9000000000000004</v>
      </c>
      <c r="D4402">
        <v>4.7300000000000004</v>
      </c>
      <c r="E4402">
        <v>4.84</v>
      </c>
      <c r="F4402">
        <v>2430200</v>
      </c>
      <c r="G4402">
        <v>4.84</v>
      </c>
      <c r="H4402" t="s">
        <v>17</v>
      </c>
      <c r="I4402" s="22">
        <f t="shared" si="137"/>
        <v>1.2474174225175598E-2</v>
      </c>
      <c r="J4402" s="22" t="str">
        <f t="shared" si="138"/>
        <v/>
      </c>
    </row>
    <row r="4403" spans="1:10">
      <c r="A4403" s="1">
        <v>41016</v>
      </c>
      <c r="B4403">
        <v>4.87</v>
      </c>
      <c r="C4403">
        <v>4.91</v>
      </c>
      <c r="D4403">
        <v>4.83</v>
      </c>
      <c r="E4403">
        <v>4.8899999999999997</v>
      </c>
      <c r="F4403">
        <v>3274200</v>
      </c>
      <c r="G4403">
        <v>4.8899999999999997</v>
      </c>
      <c r="H4403" t="s">
        <v>17</v>
      </c>
      <c r="I4403" s="22">
        <f t="shared" si="137"/>
        <v>1.027758275824023E-2</v>
      </c>
      <c r="J4403" s="22" t="str">
        <f t="shared" si="138"/>
        <v/>
      </c>
    </row>
    <row r="4404" spans="1:10">
      <c r="A4404" s="1">
        <v>41017</v>
      </c>
      <c r="B4404">
        <v>4.84</v>
      </c>
      <c r="C4404">
        <v>4.9400000000000004</v>
      </c>
      <c r="D4404">
        <v>4.75</v>
      </c>
      <c r="E4404">
        <v>4.75</v>
      </c>
      <c r="F4404">
        <v>4405300</v>
      </c>
      <c r="G4404">
        <v>4.75</v>
      </c>
      <c r="H4404" t="s">
        <v>17</v>
      </c>
      <c r="I4404" s="22">
        <f t="shared" si="137"/>
        <v>-2.90476854402308E-2</v>
      </c>
      <c r="J4404" s="22" t="str">
        <f t="shared" si="138"/>
        <v>lost money</v>
      </c>
    </row>
    <row r="4405" spans="1:10">
      <c r="A4405" s="1">
        <v>41018</v>
      </c>
      <c r="B4405">
        <v>4.76</v>
      </c>
      <c r="C4405">
        <v>4.8899999999999997</v>
      </c>
      <c r="D4405">
        <v>4.75</v>
      </c>
      <c r="E4405">
        <v>4.84</v>
      </c>
      <c r="F4405">
        <v>6699300</v>
      </c>
      <c r="G4405">
        <v>4.84</v>
      </c>
      <c r="H4405" t="s">
        <v>17</v>
      </c>
      <c r="I4405" s="22">
        <f t="shared" si="137"/>
        <v>1.8770102681990468E-2</v>
      </c>
      <c r="J4405" s="22" t="str">
        <f t="shared" si="138"/>
        <v/>
      </c>
    </row>
    <row r="4406" spans="1:10">
      <c r="A4406" s="1">
        <v>41019</v>
      </c>
      <c r="B4406">
        <v>4.9000000000000004</v>
      </c>
      <c r="C4406">
        <v>4.91</v>
      </c>
      <c r="D4406">
        <v>4.76</v>
      </c>
      <c r="E4406">
        <v>4.78</v>
      </c>
      <c r="F4406">
        <v>3257500</v>
      </c>
      <c r="G4406">
        <v>4.78</v>
      </c>
      <c r="H4406" t="s">
        <v>17</v>
      </c>
      <c r="I4406" s="22">
        <f t="shared" si="137"/>
        <v>-1.2474174225175688E-2</v>
      </c>
      <c r="J4406" s="22" t="str">
        <f t="shared" si="138"/>
        <v>lost money</v>
      </c>
    </row>
    <row r="4407" spans="1:10">
      <c r="A4407" s="1">
        <v>41022</v>
      </c>
      <c r="B4407">
        <v>4.75</v>
      </c>
      <c r="C4407">
        <v>4.75</v>
      </c>
      <c r="D4407">
        <v>4.5999999999999996</v>
      </c>
      <c r="E4407">
        <v>4.62</v>
      </c>
      <c r="F4407">
        <v>5367100</v>
      </c>
      <c r="G4407">
        <v>4.62</v>
      </c>
      <c r="H4407" t="s">
        <v>17</v>
      </c>
      <c r="I4407" s="22">
        <f t="shared" si="137"/>
        <v>-3.4045841409717101E-2</v>
      </c>
      <c r="J4407" s="22" t="str">
        <f t="shared" si="138"/>
        <v>lost money</v>
      </c>
    </row>
    <row r="4408" spans="1:10">
      <c r="A4408" s="1">
        <v>41023</v>
      </c>
      <c r="B4408">
        <v>4.6399999999999997</v>
      </c>
      <c r="C4408">
        <v>4.68</v>
      </c>
      <c r="D4408">
        <v>4.62</v>
      </c>
      <c r="E4408">
        <v>4.66</v>
      </c>
      <c r="F4408">
        <v>2533500</v>
      </c>
      <c r="G4408">
        <v>4.66</v>
      </c>
      <c r="H4408" t="s">
        <v>17</v>
      </c>
      <c r="I4408" s="22">
        <f t="shared" si="137"/>
        <v>8.6207430439069546E-3</v>
      </c>
      <c r="J4408" s="22" t="str">
        <f t="shared" si="138"/>
        <v/>
      </c>
    </row>
    <row r="4409" spans="1:10">
      <c r="A4409" s="1">
        <v>41024</v>
      </c>
      <c r="B4409">
        <v>4.7</v>
      </c>
      <c r="C4409">
        <v>4.7699999999999996</v>
      </c>
      <c r="D4409">
        <v>4.5999999999999996</v>
      </c>
      <c r="E4409">
        <v>4.6399999999999997</v>
      </c>
      <c r="F4409">
        <v>4792800</v>
      </c>
      <c r="G4409">
        <v>4.6399999999999997</v>
      </c>
      <c r="H4409" t="s">
        <v>17</v>
      </c>
      <c r="I4409" s="22">
        <f t="shared" si="137"/>
        <v>-4.3010818993906973E-3</v>
      </c>
      <c r="J4409" s="22" t="str">
        <f t="shared" si="138"/>
        <v>lost money</v>
      </c>
    </row>
    <row r="4410" spans="1:10">
      <c r="A4410" s="1">
        <v>41025</v>
      </c>
      <c r="B4410">
        <v>4.6399999999999997</v>
      </c>
      <c r="C4410">
        <v>4.7300000000000004</v>
      </c>
      <c r="D4410">
        <v>4.63</v>
      </c>
      <c r="E4410">
        <v>4.6500000000000004</v>
      </c>
      <c r="F4410">
        <v>4200500</v>
      </c>
      <c r="G4410">
        <v>4.6500000000000004</v>
      </c>
      <c r="H4410" t="s">
        <v>17</v>
      </c>
      <c r="I4410" s="22">
        <f t="shared" si="137"/>
        <v>2.1528533611010927E-3</v>
      </c>
      <c r="J4410" s="22" t="str">
        <f t="shared" si="138"/>
        <v/>
      </c>
    </row>
    <row r="4411" spans="1:10">
      <c r="A4411" s="1">
        <v>41026</v>
      </c>
      <c r="B4411">
        <v>4.72</v>
      </c>
      <c r="C4411">
        <v>4.8</v>
      </c>
      <c r="D4411">
        <v>4.66</v>
      </c>
      <c r="E4411">
        <v>4.8</v>
      </c>
      <c r="F4411">
        <v>6098500</v>
      </c>
      <c r="G4411">
        <v>4.8</v>
      </c>
      <c r="H4411" t="s">
        <v>17</v>
      </c>
      <c r="I4411" s="22">
        <f t="shared" si="137"/>
        <v>3.174869831458027E-2</v>
      </c>
      <c r="J4411" s="22" t="str">
        <f t="shared" si="138"/>
        <v/>
      </c>
    </row>
    <row r="4412" spans="1:10">
      <c r="A4412" s="1">
        <v>41029</v>
      </c>
      <c r="B4412">
        <v>4.82</v>
      </c>
      <c r="C4412">
        <v>4.92</v>
      </c>
      <c r="D4412">
        <v>4.74</v>
      </c>
      <c r="E4412">
        <v>4.75</v>
      </c>
      <c r="F4412">
        <v>5650400</v>
      </c>
      <c r="G4412">
        <v>4.75</v>
      </c>
      <c r="H4412" t="s">
        <v>17</v>
      </c>
      <c r="I4412" s="22">
        <f t="shared" si="137"/>
        <v>-1.0471299867295366E-2</v>
      </c>
      <c r="J4412" s="22" t="str">
        <f t="shared" si="138"/>
        <v>lost money</v>
      </c>
    </row>
    <row r="4413" spans="1:10">
      <c r="A4413" s="1">
        <v>41030</v>
      </c>
      <c r="B4413">
        <v>4.72</v>
      </c>
      <c r="C4413">
        <v>4.84</v>
      </c>
      <c r="D4413">
        <v>4.72</v>
      </c>
      <c r="E4413">
        <v>4.72</v>
      </c>
      <c r="F4413">
        <v>3208200</v>
      </c>
      <c r="G4413">
        <v>4.72</v>
      </c>
      <c r="H4413" t="s">
        <v>17</v>
      </c>
      <c r="I4413" s="22">
        <f t="shared" si="137"/>
        <v>-6.3358184490858952E-3</v>
      </c>
      <c r="J4413" s="22" t="str">
        <f t="shared" si="138"/>
        <v/>
      </c>
    </row>
    <row r="4414" spans="1:10">
      <c r="A4414" s="1">
        <v>41031</v>
      </c>
      <c r="B4414">
        <v>4.68</v>
      </c>
      <c r="C4414">
        <v>4.78</v>
      </c>
      <c r="D4414">
        <v>4.68</v>
      </c>
      <c r="E4414">
        <v>4.72</v>
      </c>
      <c r="F4414">
        <v>3033200</v>
      </c>
      <c r="G4414">
        <v>4.72</v>
      </c>
      <c r="H4414" t="s">
        <v>17</v>
      </c>
      <c r="I4414" s="22">
        <f t="shared" si="137"/>
        <v>0</v>
      </c>
      <c r="J4414" s="22" t="str">
        <f t="shared" si="138"/>
        <v/>
      </c>
    </row>
    <row r="4415" spans="1:10">
      <c r="A4415" s="1">
        <v>41032</v>
      </c>
      <c r="B4415">
        <v>4.7</v>
      </c>
      <c r="C4415">
        <v>4.83</v>
      </c>
      <c r="D4415">
        <v>4.7</v>
      </c>
      <c r="E4415">
        <v>4.75</v>
      </c>
      <c r="F4415">
        <v>4100800</v>
      </c>
      <c r="G4415">
        <v>4.75</v>
      </c>
      <c r="H4415" t="s">
        <v>17</v>
      </c>
      <c r="I4415" s="22">
        <f t="shared" si="137"/>
        <v>6.3358184490859238E-3</v>
      </c>
      <c r="J4415" s="22" t="str">
        <f t="shared" si="138"/>
        <v/>
      </c>
    </row>
    <row r="4416" spans="1:10">
      <c r="A4416" s="1">
        <v>41033</v>
      </c>
      <c r="B4416">
        <v>4.75</v>
      </c>
      <c r="C4416">
        <v>4.83</v>
      </c>
      <c r="D4416">
        <v>4.72</v>
      </c>
      <c r="E4416">
        <v>4.74</v>
      </c>
      <c r="F4416">
        <v>7655000</v>
      </c>
      <c r="G4416">
        <v>4.74</v>
      </c>
      <c r="H4416" t="s">
        <v>17</v>
      </c>
      <c r="I4416" s="22">
        <f t="shared" si="137"/>
        <v>-2.1074823395646983E-3</v>
      </c>
      <c r="J4416" s="22" t="str">
        <f t="shared" si="138"/>
        <v>lost money</v>
      </c>
    </row>
    <row r="4417" spans="1:10">
      <c r="A4417" s="1">
        <v>41036</v>
      </c>
      <c r="B4417">
        <v>4.72</v>
      </c>
      <c r="C4417">
        <v>4.93</v>
      </c>
      <c r="D4417">
        <v>4.6900000000000004</v>
      </c>
      <c r="E4417">
        <v>4.8600000000000003</v>
      </c>
      <c r="F4417">
        <v>4148000</v>
      </c>
      <c r="G4417">
        <v>4.8600000000000003</v>
      </c>
      <c r="H4417" t="s">
        <v>17</v>
      </c>
      <c r="I4417" s="22">
        <f t="shared" si="137"/>
        <v>2.5001302205417186E-2</v>
      </c>
      <c r="J4417" s="22" t="str">
        <f t="shared" si="138"/>
        <v/>
      </c>
    </row>
    <row r="4418" spans="1:10">
      <c r="A4418" s="1">
        <v>41037</v>
      </c>
      <c r="B4418">
        <v>4.8</v>
      </c>
      <c r="C4418">
        <v>4.8899999999999997</v>
      </c>
      <c r="D4418">
        <v>4.78</v>
      </c>
      <c r="E4418">
        <v>4.79</v>
      </c>
      <c r="F4418">
        <v>3627800</v>
      </c>
      <c r="G4418">
        <v>4.79</v>
      </c>
      <c r="H4418" t="s">
        <v>17</v>
      </c>
      <c r="I4418" s="22">
        <f t="shared" si="137"/>
        <v>-1.4508026489578633E-2</v>
      </c>
      <c r="J4418" s="22" t="str">
        <f t="shared" si="138"/>
        <v>lost money</v>
      </c>
    </row>
    <row r="4419" spans="1:10">
      <c r="A4419" s="1">
        <v>41038</v>
      </c>
      <c r="B4419">
        <v>4.75</v>
      </c>
      <c r="C4419">
        <v>4.79</v>
      </c>
      <c r="D4419">
        <v>4.71</v>
      </c>
      <c r="E4419">
        <v>4.7300000000000004</v>
      </c>
      <c r="F4419">
        <v>2601700</v>
      </c>
      <c r="G4419">
        <v>4.7300000000000004</v>
      </c>
      <c r="H4419" t="s">
        <v>17</v>
      </c>
      <c r="I4419" s="22">
        <f t="shared" ref="I4419:I4482" si="139">IF(A4419=$A$2,"",LN(G4419/G4418))</f>
        <v>-1.2605208918982166E-2</v>
      </c>
      <c r="J4419" s="22" t="str">
        <f t="shared" ref="J4419:J4482" si="140">IF(B4419&gt;E4419,"lost money","")</f>
        <v>lost money</v>
      </c>
    </row>
    <row r="4420" spans="1:10">
      <c r="A4420" s="1">
        <v>41039</v>
      </c>
      <c r="B4420">
        <v>4.76</v>
      </c>
      <c r="C4420">
        <v>4.82</v>
      </c>
      <c r="D4420">
        <v>4.6900000000000004</v>
      </c>
      <c r="E4420">
        <v>4.7</v>
      </c>
      <c r="F4420">
        <v>3300000</v>
      </c>
      <c r="G4420">
        <v>4.7</v>
      </c>
      <c r="H4420" t="s">
        <v>17</v>
      </c>
      <c r="I4420" s="22">
        <f t="shared" si="139"/>
        <v>-6.3626937878287692E-3</v>
      </c>
      <c r="J4420" s="22" t="str">
        <f t="shared" si="140"/>
        <v>lost money</v>
      </c>
    </row>
    <row r="4421" spans="1:10">
      <c r="A4421" s="1">
        <v>41040</v>
      </c>
      <c r="B4421">
        <v>4.66</v>
      </c>
      <c r="C4421">
        <v>4.8</v>
      </c>
      <c r="D4421">
        <v>4.66</v>
      </c>
      <c r="E4421">
        <v>4.8</v>
      </c>
      <c r="F4421">
        <v>3247800</v>
      </c>
      <c r="G4421">
        <v>4.8</v>
      </c>
      <c r="H4421" t="s">
        <v>17</v>
      </c>
      <c r="I4421" s="22">
        <f t="shared" si="139"/>
        <v>2.1053409197832263E-2</v>
      </c>
      <c r="J4421" s="22" t="str">
        <f t="shared" si="140"/>
        <v/>
      </c>
    </row>
    <row r="4422" spans="1:10">
      <c r="A4422" s="1">
        <v>41043</v>
      </c>
      <c r="B4422">
        <v>4.6900000000000004</v>
      </c>
      <c r="C4422">
        <v>4.75</v>
      </c>
      <c r="D4422">
        <v>4.5199999999999996</v>
      </c>
      <c r="E4422">
        <v>4.59</v>
      </c>
      <c r="F4422">
        <v>5551100</v>
      </c>
      <c r="G4422">
        <v>4.59</v>
      </c>
      <c r="H4422" t="s">
        <v>17</v>
      </c>
      <c r="I4422" s="22">
        <f t="shared" si="139"/>
        <v>-4.4735893841391414E-2</v>
      </c>
      <c r="J4422" s="22" t="str">
        <f t="shared" si="140"/>
        <v>lost money</v>
      </c>
    </row>
    <row r="4423" spans="1:10">
      <c r="A4423" s="1">
        <v>41044</v>
      </c>
      <c r="B4423">
        <v>4.57</v>
      </c>
      <c r="C4423">
        <v>4.6500000000000004</v>
      </c>
      <c r="D4423">
        <v>4.42</v>
      </c>
      <c r="E4423">
        <v>4.43</v>
      </c>
      <c r="F4423">
        <v>4568400</v>
      </c>
      <c r="G4423">
        <v>4.43</v>
      </c>
      <c r="H4423" t="s">
        <v>17</v>
      </c>
      <c r="I4423" s="22">
        <f t="shared" si="139"/>
        <v>-3.5480440015409544E-2</v>
      </c>
      <c r="J4423" s="22" t="str">
        <f t="shared" si="140"/>
        <v>lost money</v>
      </c>
    </row>
    <row r="4424" spans="1:10">
      <c r="A4424" s="1">
        <v>41045</v>
      </c>
      <c r="B4424">
        <v>4.45</v>
      </c>
      <c r="C4424">
        <v>4.57</v>
      </c>
      <c r="D4424">
        <v>4.4400000000000004</v>
      </c>
      <c r="E4424">
        <v>4.5</v>
      </c>
      <c r="F4424">
        <v>3006300</v>
      </c>
      <c r="G4424">
        <v>4.5</v>
      </c>
      <c r="H4424" t="s">
        <v>17</v>
      </c>
      <c r="I4424" s="22">
        <f t="shared" si="139"/>
        <v>1.567781271922979E-2</v>
      </c>
      <c r="J4424" s="22" t="str">
        <f t="shared" si="140"/>
        <v/>
      </c>
    </row>
    <row r="4425" spans="1:10">
      <c r="A4425" s="1">
        <v>41046</v>
      </c>
      <c r="B4425">
        <v>4.5199999999999996</v>
      </c>
      <c r="C4425">
        <v>4.53</v>
      </c>
      <c r="D4425">
        <v>4.1399999999999997</v>
      </c>
      <c r="E4425">
        <v>4.17</v>
      </c>
      <c r="F4425">
        <v>5228000</v>
      </c>
      <c r="G4425">
        <v>4.17</v>
      </c>
      <c r="H4425" t="s">
        <v>17</v>
      </c>
      <c r="I4425" s="22">
        <f t="shared" si="139"/>
        <v>-7.6161360965564029E-2</v>
      </c>
      <c r="J4425" s="22" t="str">
        <f t="shared" si="140"/>
        <v>lost money</v>
      </c>
    </row>
    <row r="4426" spans="1:10">
      <c r="A4426" s="1">
        <v>41047</v>
      </c>
      <c r="B4426">
        <v>4.1900000000000004</v>
      </c>
      <c r="C4426">
        <v>4.26</v>
      </c>
      <c r="D4426">
        <v>4.0599999999999996</v>
      </c>
      <c r="E4426">
        <v>4.1500000000000004</v>
      </c>
      <c r="F4426">
        <v>4322100</v>
      </c>
      <c r="G4426">
        <v>4.1500000000000004</v>
      </c>
      <c r="H4426" t="s">
        <v>17</v>
      </c>
      <c r="I4426" s="22">
        <f t="shared" si="139"/>
        <v>-4.8077015681030092E-3</v>
      </c>
      <c r="J4426" s="22" t="str">
        <f t="shared" si="140"/>
        <v>lost money</v>
      </c>
    </row>
    <row r="4427" spans="1:10">
      <c r="A4427" s="1">
        <v>41050</v>
      </c>
      <c r="B4427">
        <v>4.1900000000000004</v>
      </c>
      <c r="C4427">
        <v>4.2300000000000004</v>
      </c>
      <c r="D4427">
        <v>4.13</v>
      </c>
      <c r="E4427">
        <v>4.22</v>
      </c>
      <c r="F4427">
        <v>2409200</v>
      </c>
      <c r="G4427">
        <v>4.22</v>
      </c>
      <c r="H4427" t="s">
        <v>17</v>
      </c>
      <c r="I4427" s="22">
        <f t="shared" si="139"/>
        <v>1.6726793805313365E-2</v>
      </c>
      <c r="J4427" s="22" t="str">
        <f t="shared" si="140"/>
        <v/>
      </c>
    </row>
    <row r="4428" spans="1:10">
      <c r="A4428" s="1">
        <v>41051</v>
      </c>
      <c r="B4428">
        <v>4.22</v>
      </c>
      <c r="C4428">
        <v>4.33</v>
      </c>
      <c r="D4428">
        <v>4.1900000000000004</v>
      </c>
      <c r="E4428">
        <v>4.26</v>
      </c>
      <c r="F4428">
        <v>4926400</v>
      </c>
      <c r="G4428">
        <v>4.26</v>
      </c>
      <c r="H4428" t="s">
        <v>17</v>
      </c>
      <c r="I4428" s="22">
        <f t="shared" si="139"/>
        <v>9.4340322333587145E-3</v>
      </c>
      <c r="J4428" s="22" t="str">
        <f t="shared" si="140"/>
        <v/>
      </c>
    </row>
    <row r="4429" spans="1:10">
      <c r="A4429" s="1">
        <v>41052</v>
      </c>
      <c r="B4429">
        <v>4.2300000000000004</v>
      </c>
      <c r="C4429">
        <v>4.5199999999999996</v>
      </c>
      <c r="D4429">
        <v>4.1900000000000004</v>
      </c>
      <c r="E4429">
        <v>4.4800000000000004</v>
      </c>
      <c r="F4429">
        <v>5070800</v>
      </c>
      <c r="G4429">
        <v>4.4800000000000004</v>
      </c>
      <c r="H4429" t="s">
        <v>17</v>
      </c>
      <c r="I4429" s="22">
        <f t="shared" si="139"/>
        <v>5.0353886145614812E-2</v>
      </c>
      <c r="J4429" s="22" t="str">
        <f t="shared" si="140"/>
        <v/>
      </c>
    </row>
    <row r="4430" spans="1:10">
      <c r="A4430" s="1">
        <v>41053</v>
      </c>
      <c r="B4430">
        <v>4.46</v>
      </c>
      <c r="C4430">
        <v>4.68</v>
      </c>
      <c r="D4430">
        <v>4.46</v>
      </c>
      <c r="E4430">
        <v>4.5999999999999996</v>
      </c>
      <c r="F4430">
        <v>6904400</v>
      </c>
      <c r="G4430">
        <v>4.5999999999999996</v>
      </c>
      <c r="H4430" t="s">
        <v>17</v>
      </c>
      <c r="I4430" s="22">
        <f t="shared" si="139"/>
        <v>2.6433257068155431E-2</v>
      </c>
      <c r="J4430" s="22" t="str">
        <f t="shared" si="140"/>
        <v/>
      </c>
    </row>
    <row r="4431" spans="1:10">
      <c r="A4431" s="1">
        <v>41054</v>
      </c>
      <c r="B4431">
        <v>4.63</v>
      </c>
      <c r="C4431">
        <v>4.78</v>
      </c>
      <c r="D4431">
        <v>4.55</v>
      </c>
      <c r="E4431">
        <v>4.75</v>
      </c>
      <c r="F4431">
        <v>6272400</v>
      </c>
      <c r="G4431">
        <v>4.75</v>
      </c>
      <c r="H4431" t="s">
        <v>17</v>
      </c>
      <c r="I4431" s="22">
        <f t="shared" si="139"/>
        <v>3.2088314551500664E-2</v>
      </c>
      <c r="J4431" s="22" t="str">
        <f t="shared" si="140"/>
        <v/>
      </c>
    </row>
    <row r="4432" spans="1:10">
      <c r="A4432" s="1">
        <v>41058</v>
      </c>
      <c r="B4432">
        <v>4.76</v>
      </c>
      <c r="C4432">
        <v>4.84</v>
      </c>
      <c r="D4432">
        <v>4.68</v>
      </c>
      <c r="E4432">
        <v>4.72</v>
      </c>
      <c r="F4432">
        <v>6124900</v>
      </c>
      <c r="G4432">
        <v>4.72</v>
      </c>
      <c r="H4432" t="s">
        <v>17</v>
      </c>
      <c r="I4432" s="22">
        <f t="shared" si="139"/>
        <v>-6.3358184490858952E-3</v>
      </c>
      <c r="J4432" s="22" t="str">
        <f t="shared" si="140"/>
        <v>lost money</v>
      </c>
    </row>
    <row r="4433" spans="1:10">
      <c r="A4433" s="1">
        <v>41059</v>
      </c>
      <c r="B4433">
        <v>4.71</v>
      </c>
      <c r="C4433">
        <v>4.8</v>
      </c>
      <c r="D4433">
        <v>4.6500000000000004</v>
      </c>
      <c r="E4433">
        <v>4.76</v>
      </c>
      <c r="F4433">
        <v>5701000</v>
      </c>
      <c r="G4433">
        <v>4.76</v>
      </c>
      <c r="H4433" t="s">
        <v>17</v>
      </c>
      <c r="I4433" s="22">
        <f t="shared" si="139"/>
        <v>8.4388686458646035E-3</v>
      </c>
      <c r="J4433" s="22" t="str">
        <f t="shared" si="140"/>
        <v/>
      </c>
    </row>
    <row r="4434" spans="1:10">
      <c r="A4434" s="1">
        <v>41060</v>
      </c>
      <c r="B4434">
        <v>4.95</v>
      </c>
      <c r="C4434">
        <v>5.24</v>
      </c>
      <c r="D4434">
        <v>4.8600000000000003</v>
      </c>
      <c r="E4434">
        <v>5.23</v>
      </c>
      <c r="F4434">
        <v>15175700</v>
      </c>
      <c r="G4434">
        <v>5.23</v>
      </c>
      <c r="H4434" t="s">
        <v>17</v>
      </c>
      <c r="I4434" s="22">
        <f t="shared" si="139"/>
        <v>9.4163609833502984E-2</v>
      </c>
      <c r="J4434" s="22" t="str">
        <f t="shared" si="140"/>
        <v/>
      </c>
    </row>
    <row r="4435" spans="1:10">
      <c r="A4435" s="1">
        <v>41061</v>
      </c>
      <c r="B4435">
        <v>5.07</v>
      </c>
      <c r="C4435">
        <v>5.24</v>
      </c>
      <c r="D4435">
        <v>5.04</v>
      </c>
      <c r="E4435">
        <v>5.15</v>
      </c>
      <c r="F4435">
        <v>8041000</v>
      </c>
      <c r="G4435">
        <v>5.15</v>
      </c>
      <c r="H4435" t="s">
        <v>17</v>
      </c>
      <c r="I4435" s="22">
        <f t="shared" si="139"/>
        <v>-1.5414563401186731E-2</v>
      </c>
      <c r="J4435" s="22" t="str">
        <f t="shared" si="140"/>
        <v/>
      </c>
    </row>
    <row r="4436" spans="1:10">
      <c r="A4436" s="1">
        <v>41064</v>
      </c>
      <c r="B4436">
        <v>5.17</v>
      </c>
      <c r="C4436">
        <v>5.18</v>
      </c>
      <c r="D4436">
        <v>4.8600000000000003</v>
      </c>
      <c r="E4436">
        <v>4.93</v>
      </c>
      <c r="F4436">
        <v>6646300</v>
      </c>
      <c r="G4436">
        <v>4.93</v>
      </c>
      <c r="H4436" t="s">
        <v>17</v>
      </c>
      <c r="I4436" s="22">
        <f t="shared" si="139"/>
        <v>-4.3657726621046201E-2</v>
      </c>
      <c r="J4436" s="22" t="str">
        <f t="shared" si="140"/>
        <v>lost money</v>
      </c>
    </row>
    <row r="4437" spans="1:10">
      <c r="A4437" s="1">
        <v>41065</v>
      </c>
      <c r="B4437">
        <v>4.9000000000000004</v>
      </c>
      <c r="C4437">
        <v>5.07</v>
      </c>
      <c r="D4437">
        <v>4.8899999999999997</v>
      </c>
      <c r="E4437">
        <v>5.01</v>
      </c>
      <c r="F4437">
        <v>4670300</v>
      </c>
      <c r="G4437">
        <v>5.01</v>
      </c>
      <c r="H4437" t="s">
        <v>17</v>
      </c>
      <c r="I4437" s="22">
        <f t="shared" si="139"/>
        <v>1.6096927042174799E-2</v>
      </c>
      <c r="J4437" s="22" t="str">
        <f t="shared" si="140"/>
        <v/>
      </c>
    </row>
    <row r="4438" spans="1:10">
      <c r="A4438" s="1">
        <v>41066</v>
      </c>
      <c r="B4438">
        <v>5.05</v>
      </c>
      <c r="C4438">
        <v>5.16</v>
      </c>
      <c r="D4438">
        <v>5.04</v>
      </c>
      <c r="E4438">
        <v>5.14</v>
      </c>
      <c r="F4438">
        <v>3806900</v>
      </c>
      <c r="G4438">
        <v>5.14</v>
      </c>
      <c r="H4438" t="s">
        <v>17</v>
      </c>
      <c r="I4438" s="22">
        <f t="shared" si="139"/>
        <v>2.5617164370300326E-2</v>
      </c>
      <c r="J4438" s="22" t="str">
        <f t="shared" si="140"/>
        <v/>
      </c>
    </row>
    <row r="4439" spans="1:10">
      <c r="A4439" s="1">
        <v>41067</v>
      </c>
      <c r="B4439">
        <v>5.23</v>
      </c>
      <c r="C4439">
        <v>5.25</v>
      </c>
      <c r="D4439">
        <v>5.09</v>
      </c>
      <c r="E4439">
        <v>5.09</v>
      </c>
      <c r="F4439">
        <v>4600200</v>
      </c>
      <c r="G4439">
        <v>5.09</v>
      </c>
      <c r="H4439" t="s">
        <v>17</v>
      </c>
      <c r="I4439" s="22">
        <f t="shared" si="139"/>
        <v>-9.7752489046423301E-3</v>
      </c>
      <c r="J4439" s="22" t="str">
        <f t="shared" si="140"/>
        <v>lost money</v>
      </c>
    </row>
    <row r="4440" spans="1:10">
      <c r="A4440" s="1">
        <v>41068</v>
      </c>
      <c r="B4440">
        <v>5.15</v>
      </c>
      <c r="C4440">
        <v>5.25</v>
      </c>
      <c r="D4440">
        <v>5.07</v>
      </c>
      <c r="E4440">
        <v>5.23</v>
      </c>
      <c r="F4440">
        <v>6194400</v>
      </c>
      <c r="G4440">
        <v>5.23</v>
      </c>
      <c r="H4440" t="s">
        <v>17</v>
      </c>
      <c r="I4440" s="22">
        <f t="shared" si="139"/>
        <v>2.7133447514400263E-2</v>
      </c>
      <c r="J4440" s="22" t="str">
        <f t="shared" si="140"/>
        <v/>
      </c>
    </row>
    <row r="4441" spans="1:10">
      <c r="A4441" s="1">
        <v>41071</v>
      </c>
      <c r="B4441">
        <v>5.27</v>
      </c>
      <c r="C4441">
        <v>5.33</v>
      </c>
      <c r="D4441">
        <v>5.19</v>
      </c>
      <c r="E4441">
        <v>5.22</v>
      </c>
      <c r="F4441">
        <v>5868900</v>
      </c>
      <c r="G4441">
        <v>5.22</v>
      </c>
      <c r="H4441" t="s">
        <v>17</v>
      </c>
      <c r="I4441" s="22">
        <f t="shared" si="139"/>
        <v>-1.9138761822842757E-3</v>
      </c>
      <c r="J4441" s="22" t="str">
        <f t="shared" si="140"/>
        <v>lost money</v>
      </c>
    </row>
    <row r="4442" spans="1:10">
      <c r="A4442" s="1">
        <v>41072</v>
      </c>
      <c r="B4442">
        <v>5.25</v>
      </c>
      <c r="C4442">
        <v>5.34</v>
      </c>
      <c r="D4442">
        <v>5.01</v>
      </c>
      <c r="E4442">
        <v>5.07</v>
      </c>
      <c r="F4442">
        <v>6934500</v>
      </c>
      <c r="G4442">
        <v>5.07</v>
      </c>
      <c r="H4442" t="s">
        <v>17</v>
      </c>
      <c r="I4442" s="22">
        <f t="shared" si="139"/>
        <v>-2.9156584291455463E-2</v>
      </c>
      <c r="J4442" s="22" t="str">
        <f t="shared" si="140"/>
        <v>lost money</v>
      </c>
    </row>
    <row r="4443" spans="1:10">
      <c r="A4443" s="1">
        <v>41073</v>
      </c>
      <c r="B4443">
        <v>5.08</v>
      </c>
      <c r="C4443">
        <v>5.17</v>
      </c>
      <c r="D4443">
        <v>4.96</v>
      </c>
      <c r="E4443">
        <v>5.08</v>
      </c>
      <c r="F4443">
        <v>7772300</v>
      </c>
      <c r="G4443">
        <v>5.08</v>
      </c>
      <c r="H4443" t="s">
        <v>17</v>
      </c>
      <c r="I4443" s="22">
        <f t="shared" si="139"/>
        <v>1.9704439872987385E-3</v>
      </c>
      <c r="J4443" s="22" t="str">
        <f t="shared" si="140"/>
        <v/>
      </c>
    </row>
    <row r="4444" spans="1:10">
      <c r="A4444" s="1">
        <v>41074</v>
      </c>
      <c r="B4444">
        <v>5.0999999999999996</v>
      </c>
      <c r="C4444">
        <v>5.18</v>
      </c>
      <c r="D4444">
        <v>5.03</v>
      </c>
      <c r="E4444">
        <v>5.1100000000000003</v>
      </c>
      <c r="F4444">
        <v>4857000</v>
      </c>
      <c r="G4444">
        <v>5.1100000000000003</v>
      </c>
      <c r="H4444" t="s">
        <v>17</v>
      </c>
      <c r="I4444" s="22">
        <f t="shared" si="139"/>
        <v>5.8881426252225316E-3</v>
      </c>
      <c r="J4444" s="22" t="str">
        <f t="shared" si="140"/>
        <v/>
      </c>
    </row>
    <row r="4445" spans="1:10">
      <c r="A4445" s="1">
        <v>41075</v>
      </c>
      <c r="B4445">
        <v>5.0999999999999996</v>
      </c>
      <c r="C4445">
        <v>5.15</v>
      </c>
      <c r="D4445">
        <v>4.91</v>
      </c>
      <c r="E4445">
        <v>4.99</v>
      </c>
      <c r="F4445">
        <v>9034500</v>
      </c>
      <c r="G4445">
        <v>4.99</v>
      </c>
      <c r="H4445" t="s">
        <v>17</v>
      </c>
      <c r="I4445" s="22">
        <f t="shared" si="139"/>
        <v>-2.3763494452185768E-2</v>
      </c>
      <c r="J4445" s="22" t="str">
        <f t="shared" si="140"/>
        <v>lost money</v>
      </c>
    </row>
    <row r="4446" spans="1:10">
      <c r="A4446" s="1">
        <v>41078</v>
      </c>
      <c r="B4446">
        <v>4.99</v>
      </c>
      <c r="C4446">
        <v>5.08</v>
      </c>
      <c r="D4446">
        <v>4.92</v>
      </c>
      <c r="E4446">
        <v>5.05</v>
      </c>
      <c r="F4446">
        <v>4631600</v>
      </c>
      <c r="G4446">
        <v>5.05</v>
      </c>
      <c r="H4446" t="s">
        <v>17</v>
      </c>
      <c r="I4446" s="22">
        <f t="shared" si="139"/>
        <v>1.1952333523841173E-2</v>
      </c>
      <c r="J4446" s="22" t="str">
        <f t="shared" si="140"/>
        <v/>
      </c>
    </row>
    <row r="4447" spans="1:10">
      <c r="A4447" s="1">
        <v>41079</v>
      </c>
      <c r="B4447">
        <v>5.05</v>
      </c>
      <c r="C4447">
        <v>5.17</v>
      </c>
      <c r="D4447">
        <v>4.97</v>
      </c>
      <c r="E4447">
        <v>5.1100000000000003</v>
      </c>
      <c r="F4447">
        <v>4172200</v>
      </c>
      <c r="G4447">
        <v>5.1100000000000003</v>
      </c>
      <c r="H4447" t="s">
        <v>17</v>
      </c>
      <c r="I4447" s="22">
        <f t="shared" si="139"/>
        <v>1.1811160928344619E-2</v>
      </c>
      <c r="J4447" s="22" t="str">
        <f t="shared" si="140"/>
        <v/>
      </c>
    </row>
    <row r="4448" spans="1:10">
      <c r="A4448" s="1">
        <v>41080</v>
      </c>
      <c r="B4448">
        <v>5.13</v>
      </c>
      <c r="C4448">
        <v>5.34</v>
      </c>
      <c r="D4448">
        <v>5.07</v>
      </c>
      <c r="E4448">
        <v>5.3</v>
      </c>
      <c r="F4448">
        <v>5575700</v>
      </c>
      <c r="G4448">
        <v>5.3</v>
      </c>
      <c r="H4448" t="s">
        <v>17</v>
      </c>
      <c r="I4448" s="22">
        <f t="shared" si="139"/>
        <v>3.650741634246292E-2</v>
      </c>
      <c r="J4448" s="22" t="str">
        <f t="shared" si="140"/>
        <v/>
      </c>
    </row>
    <row r="4449" spans="1:10">
      <c r="A4449" s="1">
        <v>41081</v>
      </c>
      <c r="B4449">
        <v>5.32</v>
      </c>
      <c r="C4449">
        <v>5.41</v>
      </c>
      <c r="D4449">
        <v>5.26</v>
      </c>
      <c r="E4449">
        <v>5.29</v>
      </c>
      <c r="F4449">
        <v>4143700</v>
      </c>
      <c r="G4449">
        <v>5.29</v>
      </c>
      <c r="H4449" t="s">
        <v>17</v>
      </c>
      <c r="I4449" s="22">
        <f t="shared" si="139"/>
        <v>-1.8885746878681362E-3</v>
      </c>
      <c r="J4449" s="22" t="str">
        <f t="shared" si="140"/>
        <v>lost money</v>
      </c>
    </row>
    <row r="4450" spans="1:10">
      <c r="A4450" s="1">
        <v>41082</v>
      </c>
      <c r="B4450">
        <v>5.34</v>
      </c>
      <c r="C4450">
        <v>5.44</v>
      </c>
      <c r="D4450">
        <v>5.2</v>
      </c>
      <c r="E4450">
        <v>5.31</v>
      </c>
      <c r="F4450">
        <v>8215900</v>
      </c>
      <c r="G4450">
        <v>5.31</v>
      </c>
      <c r="H4450" t="s">
        <v>17</v>
      </c>
      <c r="I4450" s="22">
        <f t="shared" si="139"/>
        <v>3.7735893836392666E-3</v>
      </c>
      <c r="J4450" s="22" t="str">
        <f t="shared" si="140"/>
        <v>lost money</v>
      </c>
    </row>
    <row r="4451" spans="1:10">
      <c r="A4451" s="1">
        <v>41085</v>
      </c>
      <c r="B4451">
        <v>5.25</v>
      </c>
      <c r="C4451">
        <v>5.28</v>
      </c>
      <c r="D4451">
        <v>5.07</v>
      </c>
      <c r="E4451">
        <v>5.19</v>
      </c>
      <c r="F4451">
        <v>5327900</v>
      </c>
      <c r="G4451">
        <v>5.19</v>
      </c>
      <c r="H4451" t="s">
        <v>17</v>
      </c>
      <c r="I4451" s="22">
        <f t="shared" si="139"/>
        <v>-2.2858138076050097E-2</v>
      </c>
      <c r="J4451" s="22" t="str">
        <f t="shared" si="140"/>
        <v>lost money</v>
      </c>
    </row>
    <row r="4452" spans="1:10">
      <c r="A4452" s="1">
        <v>41086</v>
      </c>
      <c r="B4452">
        <v>5.2</v>
      </c>
      <c r="C4452">
        <v>5.29</v>
      </c>
      <c r="D4452">
        <v>5.13</v>
      </c>
      <c r="E4452">
        <v>5.25</v>
      </c>
      <c r="F4452">
        <v>4508800</v>
      </c>
      <c r="G4452">
        <v>5.25</v>
      </c>
      <c r="H4452" t="s">
        <v>17</v>
      </c>
      <c r="I4452" s="22">
        <f t="shared" si="139"/>
        <v>1.1494379425734991E-2</v>
      </c>
      <c r="J4452" s="22" t="str">
        <f t="shared" si="140"/>
        <v/>
      </c>
    </row>
    <row r="4453" spans="1:10">
      <c r="A4453" s="1">
        <v>41087</v>
      </c>
      <c r="B4453">
        <v>5.3</v>
      </c>
      <c r="C4453">
        <v>5.34</v>
      </c>
      <c r="D4453">
        <v>5.15</v>
      </c>
      <c r="E4453">
        <v>5.33</v>
      </c>
      <c r="F4453">
        <v>3982600</v>
      </c>
      <c r="G4453">
        <v>5.33</v>
      </c>
      <c r="H4453" t="s">
        <v>17</v>
      </c>
      <c r="I4453" s="22">
        <f t="shared" si="139"/>
        <v>1.5123161574220828E-2</v>
      </c>
      <c r="J4453" s="22" t="str">
        <f t="shared" si="140"/>
        <v/>
      </c>
    </row>
    <row r="4454" spans="1:10">
      <c r="A4454" s="1">
        <v>41088</v>
      </c>
      <c r="B4454">
        <v>5.3</v>
      </c>
      <c r="C4454">
        <v>5.35</v>
      </c>
      <c r="D4454">
        <v>5.15</v>
      </c>
      <c r="E4454">
        <v>5.2</v>
      </c>
      <c r="F4454">
        <v>7379100</v>
      </c>
      <c r="G4454">
        <v>5.2</v>
      </c>
      <c r="H4454" t="s">
        <v>17</v>
      </c>
      <c r="I4454" s="22">
        <f t="shared" si="139"/>
        <v>-2.4692612590371522E-2</v>
      </c>
      <c r="J4454" s="22" t="str">
        <f t="shared" si="140"/>
        <v>lost money</v>
      </c>
    </row>
    <row r="4455" spans="1:10">
      <c r="A4455" s="1">
        <v>41089</v>
      </c>
      <c r="B4455">
        <v>5.32</v>
      </c>
      <c r="C4455">
        <v>5.37</v>
      </c>
      <c r="D4455">
        <v>5.21</v>
      </c>
      <c r="E4455">
        <v>5.3</v>
      </c>
      <c r="F4455">
        <v>5818100</v>
      </c>
      <c r="G4455">
        <v>5.3</v>
      </c>
      <c r="H4455" t="s">
        <v>17</v>
      </c>
      <c r="I4455" s="22">
        <f t="shared" si="139"/>
        <v>1.9048194970694411E-2</v>
      </c>
      <c r="J4455" s="22" t="str">
        <f t="shared" si="140"/>
        <v>lost money</v>
      </c>
    </row>
    <row r="4456" spans="1:10">
      <c r="A4456" s="1">
        <v>41092</v>
      </c>
      <c r="B4456">
        <v>5.35</v>
      </c>
      <c r="C4456">
        <v>5.44</v>
      </c>
      <c r="D4456">
        <v>5.28</v>
      </c>
      <c r="E4456">
        <v>5.43</v>
      </c>
      <c r="F4456">
        <v>4350200</v>
      </c>
      <c r="G4456">
        <v>5.43</v>
      </c>
      <c r="H4456" t="s">
        <v>17</v>
      </c>
      <c r="I4456" s="22">
        <f t="shared" si="139"/>
        <v>2.4232313387767806E-2</v>
      </c>
      <c r="J4456" s="22" t="str">
        <f t="shared" si="140"/>
        <v/>
      </c>
    </row>
    <row r="4457" spans="1:10">
      <c r="A4457" s="1">
        <v>41093</v>
      </c>
      <c r="B4457">
        <v>5.45</v>
      </c>
      <c r="C4457">
        <v>5.5</v>
      </c>
      <c r="D4457">
        <v>5.38</v>
      </c>
      <c r="E4457">
        <v>5.5</v>
      </c>
      <c r="F4457">
        <v>3024900</v>
      </c>
      <c r="G4457">
        <v>5.5</v>
      </c>
      <c r="H4457" t="s">
        <v>17</v>
      </c>
      <c r="I4457" s="22">
        <f t="shared" si="139"/>
        <v>1.2808958292581241E-2</v>
      </c>
      <c r="J4457" s="22" t="str">
        <f t="shared" si="140"/>
        <v/>
      </c>
    </row>
    <row r="4458" spans="1:10">
      <c r="A4458" s="1">
        <v>41095</v>
      </c>
      <c r="B4458">
        <v>5.45</v>
      </c>
      <c r="C4458">
        <v>5.5</v>
      </c>
      <c r="D4458">
        <v>5.38</v>
      </c>
      <c r="E4458">
        <v>5.49</v>
      </c>
      <c r="F4458">
        <v>3914200</v>
      </c>
      <c r="G4458">
        <v>5.49</v>
      </c>
      <c r="H4458" t="s">
        <v>17</v>
      </c>
      <c r="I4458" s="22">
        <f t="shared" si="139"/>
        <v>-1.8198367169859828E-3</v>
      </c>
      <c r="J4458" s="22" t="str">
        <f t="shared" si="140"/>
        <v/>
      </c>
    </row>
    <row r="4459" spans="1:10">
      <c r="A4459" s="1">
        <v>41096</v>
      </c>
      <c r="B4459">
        <v>5.44</v>
      </c>
      <c r="C4459">
        <v>5.59</v>
      </c>
      <c r="D4459">
        <v>5.44</v>
      </c>
      <c r="E4459">
        <v>5.57</v>
      </c>
      <c r="F4459">
        <v>4461700</v>
      </c>
      <c r="G4459">
        <v>5.57</v>
      </c>
      <c r="H4459" t="s">
        <v>17</v>
      </c>
      <c r="I4459" s="22">
        <f t="shared" si="139"/>
        <v>1.4466798417753479E-2</v>
      </c>
      <c r="J4459" s="22" t="str">
        <f t="shared" si="140"/>
        <v/>
      </c>
    </row>
    <row r="4460" spans="1:10">
      <c r="A4460" s="1">
        <v>41099</v>
      </c>
      <c r="B4460">
        <v>5.58</v>
      </c>
      <c r="C4460">
        <v>5.61</v>
      </c>
      <c r="D4460">
        <v>5.5</v>
      </c>
      <c r="E4460">
        <v>5.54</v>
      </c>
      <c r="F4460">
        <v>4769700</v>
      </c>
      <c r="G4460">
        <v>5.54</v>
      </c>
      <c r="H4460" t="s">
        <v>17</v>
      </c>
      <c r="I4460" s="22">
        <f t="shared" si="139"/>
        <v>-5.4005531800002775E-3</v>
      </c>
      <c r="J4460" s="22" t="str">
        <f t="shared" si="140"/>
        <v>lost money</v>
      </c>
    </row>
    <row r="4461" spans="1:10">
      <c r="A4461" s="1">
        <v>41100</v>
      </c>
      <c r="B4461">
        <v>5.59</v>
      </c>
      <c r="C4461">
        <v>5.65</v>
      </c>
      <c r="D4461">
        <v>5.5</v>
      </c>
      <c r="E4461">
        <v>5.61</v>
      </c>
      <c r="F4461">
        <v>4155100</v>
      </c>
      <c r="G4461">
        <v>5.61</v>
      </c>
      <c r="H4461" t="s">
        <v>17</v>
      </c>
      <c r="I4461" s="22">
        <f t="shared" si="139"/>
        <v>1.2556218775412464E-2</v>
      </c>
      <c r="J4461" s="22" t="str">
        <f t="shared" si="140"/>
        <v/>
      </c>
    </row>
    <row r="4462" spans="1:10">
      <c r="A4462" s="1">
        <v>41101</v>
      </c>
      <c r="B4462">
        <v>5.59</v>
      </c>
      <c r="C4462">
        <v>5.77</v>
      </c>
      <c r="D4462">
        <v>5.57</v>
      </c>
      <c r="E4462">
        <v>5.74</v>
      </c>
      <c r="F4462">
        <v>6169200</v>
      </c>
      <c r="G4462">
        <v>5.74</v>
      </c>
      <c r="H4462" t="s">
        <v>17</v>
      </c>
      <c r="I4462" s="22">
        <f t="shared" si="139"/>
        <v>2.2908490796870122E-2</v>
      </c>
      <c r="J4462" s="22" t="str">
        <f t="shared" si="140"/>
        <v/>
      </c>
    </row>
    <row r="4463" spans="1:10">
      <c r="A4463" s="1">
        <v>41102</v>
      </c>
      <c r="B4463">
        <v>5.68</v>
      </c>
      <c r="C4463">
        <v>5.81</v>
      </c>
      <c r="D4463">
        <v>5.55</v>
      </c>
      <c r="E4463">
        <v>5.67</v>
      </c>
      <c r="F4463">
        <v>7054500</v>
      </c>
      <c r="G4463">
        <v>5.67</v>
      </c>
      <c r="H4463" t="s">
        <v>17</v>
      </c>
      <c r="I4463" s="22">
        <f t="shared" si="139"/>
        <v>-1.2270092591814359E-2</v>
      </c>
      <c r="J4463" s="22" t="str">
        <f t="shared" si="140"/>
        <v>lost money</v>
      </c>
    </row>
    <row r="4464" spans="1:10">
      <c r="A4464" s="1">
        <v>41103</v>
      </c>
      <c r="B4464">
        <v>5.71</v>
      </c>
      <c r="C4464">
        <v>5.79</v>
      </c>
      <c r="D4464">
        <v>5.67</v>
      </c>
      <c r="E4464">
        <v>5.76</v>
      </c>
      <c r="F4464">
        <v>3892600</v>
      </c>
      <c r="G4464">
        <v>5.76</v>
      </c>
      <c r="H4464" t="s">
        <v>17</v>
      </c>
      <c r="I4464" s="22">
        <f t="shared" si="139"/>
        <v>1.5748356968139112E-2</v>
      </c>
      <c r="J4464" s="22" t="str">
        <f t="shared" si="140"/>
        <v/>
      </c>
    </row>
    <row r="4465" spans="1:10">
      <c r="A4465" s="1">
        <v>41106</v>
      </c>
      <c r="B4465">
        <v>5.76</v>
      </c>
      <c r="C4465">
        <v>5.94</v>
      </c>
      <c r="D4465">
        <v>5.75</v>
      </c>
      <c r="E4465">
        <v>5.86</v>
      </c>
      <c r="F4465">
        <v>4203000</v>
      </c>
      <c r="G4465">
        <v>5.86</v>
      </c>
      <c r="H4465" t="s">
        <v>17</v>
      </c>
      <c r="I4465" s="22">
        <f t="shared" si="139"/>
        <v>1.7212128881121426E-2</v>
      </c>
      <c r="J4465" s="22" t="str">
        <f t="shared" si="140"/>
        <v/>
      </c>
    </row>
    <row r="4466" spans="1:10">
      <c r="A4466" s="1">
        <v>41107</v>
      </c>
      <c r="B4466">
        <v>5.89</v>
      </c>
      <c r="C4466">
        <v>5.91</v>
      </c>
      <c r="D4466">
        <v>5.66</v>
      </c>
      <c r="E4466">
        <v>5.77</v>
      </c>
      <c r="F4466">
        <v>6062800</v>
      </c>
      <c r="G4466">
        <v>5.77</v>
      </c>
      <c r="H4466" t="s">
        <v>17</v>
      </c>
      <c r="I4466" s="22">
        <f t="shared" si="139"/>
        <v>-1.5477523068913174E-2</v>
      </c>
      <c r="J4466" s="22" t="str">
        <f t="shared" si="140"/>
        <v>lost money</v>
      </c>
    </row>
    <row r="4467" spans="1:10">
      <c r="A4467" s="1">
        <v>41108</v>
      </c>
      <c r="B4467">
        <v>5.77</v>
      </c>
      <c r="C4467">
        <v>5.89</v>
      </c>
      <c r="D4467">
        <v>5.6</v>
      </c>
      <c r="E4467">
        <v>5.65</v>
      </c>
      <c r="F4467">
        <v>4479400</v>
      </c>
      <c r="G4467">
        <v>5.65</v>
      </c>
      <c r="H4467" t="s">
        <v>17</v>
      </c>
      <c r="I4467" s="22">
        <f t="shared" si="139"/>
        <v>-2.1016535361658439E-2</v>
      </c>
      <c r="J4467" s="22" t="str">
        <f t="shared" si="140"/>
        <v>lost money</v>
      </c>
    </row>
    <row r="4468" spans="1:10">
      <c r="A4468" s="1">
        <v>41109</v>
      </c>
      <c r="B4468">
        <v>5.68</v>
      </c>
      <c r="C4468">
        <v>5.75</v>
      </c>
      <c r="D4468">
        <v>5.43</v>
      </c>
      <c r="E4468">
        <v>5.48</v>
      </c>
      <c r="F4468">
        <v>4573100</v>
      </c>
      <c r="G4468">
        <v>5.48</v>
      </c>
      <c r="H4468" t="s">
        <v>17</v>
      </c>
      <c r="I4468" s="22">
        <f t="shared" si="139"/>
        <v>-3.0550444198425366E-2</v>
      </c>
      <c r="J4468" s="22" t="str">
        <f t="shared" si="140"/>
        <v>lost money</v>
      </c>
    </row>
    <row r="4469" spans="1:10">
      <c r="A4469" s="1">
        <v>41110</v>
      </c>
      <c r="B4469">
        <v>5.46</v>
      </c>
      <c r="C4469">
        <v>5.49</v>
      </c>
      <c r="D4469">
        <v>5.25</v>
      </c>
      <c r="E4469">
        <v>5.26</v>
      </c>
      <c r="F4469">
        <v>5231900</v>
      </c>
      <c r="G4469">
        <v>5.26</v>
      </c>
      <c r="H4469" t="s">
        <v>17</v>
      </c>
      <c r="I4469" s="22">
        <f t="shared" si="139"/>
        <v>-4.0974074210305793E-2</v>
      </c>
      <c r="J4469" s="22" t="str">
        <f t="shared" si="140"/>
        <v>lost money</v>
      </c>
    </row>
    <row r="4470" spans="1:10">
      <c r="A4470" s="1">
        <v>41113</v>
      </c>
      <c r="B4470">
        <v>5.21</v>
      </c>
      <c r="C4470">
        <v>5.4</v>
      </c>
      <c r="D4470">
        <v>5.16</v>
      </c>
      <c r="E4470">
        <v>5.37</v>
      </c>
      <c r="F4470">
        <v>4984500</v>
      </c>
      <c r="G4470">
        <v>5.37</v>
      </c>
      <c r="H4470" t="s">
        <v>17</v>
      </c>
      <c r="I4470" s="22">
        <f t="shared" si="139"/>
        <v>2.0696881771154949E-2</v>
      </c>
      <c r="J4470" s="22" t="str">
        <f t="shared" si="140"/>
        <v/>
      </c>
    </row>
    <row r="4471" spans="1:10">
      <c r="A4471" s="1">
        <v>41114</v>
      </c>
      <c r="B4471">
        <v>5.42</v>
      </c>
      <c r="C4471">
        <v>5.42</v>
      </c>
      <c r="D4471">
        <v>5.17</v>
      </c>
      <c r="E4471">
        <v>5.27</v>
      </c>
      <c r="F4471">
        <v>7044900</v>
      </c>
      <c r="G4471">
        <v>5.27</v>
      </c>
      <c r="H4471" t="s">
        <v>17</v>
      </c>
      <c r="I4471" s="22">
        <f t="shared" si="139"/>
        <v>-1.8797545967502455E-2</v>
      </c>
      <c r="J4471" s="22" t="str">
        <f t="shared" si="140"/>
        <v>lost money</v>
      </c>
    </row>
    <row r="4472" spans="1:10">
      <c r="A4472" s="1">
        <v>41115</v>
      </c>
      <c r="B4472">
        <v>5.33</v>
      </c>
      <c r="C4472">
        <v>5.34</v>
      </c>
      <c r="D4472">
        <v>5.12</v>
      </c>
      <c r="E4472">
        <v>5.26</v>
      </c>
      <c r="F4472">
        <v>6821000</v>
      </c>
      <c r="G4472">
        <v>5.26</v>
      </c>
      <c r="H4472" t="s">
        <v>17</v>
      </c>
      <c r="I4472" s="22">
        <f t="shared" si="139"/>
        <v>-1.8993358036524051E-3</v>
      </c>
      <c r="J4472" s="22" t="str">
        <f t="shared" si="140"/>
        <v>lost money</v>
      </c>
    </row>
    <row r="4473" spans="1:10">
      <c r="A4473" s="1">
        <v>41116</v>
      </c>
      <c r="B4473">
        <v>5.3</v>
      </c>
      <c r="C4473">
        <v>5.31</v>
      </c>
      <c r="D4473">
        <v>5.15</v>
      </c>
      <c r="E4473">
        <v>5.2</v>
      </c>
      <c r="F4473">
        <v>4027800</v>
      </c>
      <c r="G4473">
        <v>5.2</v>
      </c>
      <c r="H4473" t="s">
        <v>17</v>
      </c>
      <c r="I4473" s="22">
        <f t="shared" si="139"/>
        <v>-1.1472401162236696E-2</v>
      </c>
      <c r="J4473" s="22" t="str">
        <f t="shared" si="140"/>
        <v>lost money</v>
      </c>
    </row>
    <row r="4474" spans="1:10">
      <c r="A4474" s="1">
        <v>41117</v>
      </c>
      <c r="B4474">
        <v>5.27</v>
      </c>
      <c r="C4474">
        <v>5.48</v>
      </c>
      <c r="D4474">
        <v>5.22</v>
      </c>
      <c r="E4474">
        <v>5.44</v>
      </c>
      <c r="F4474">
        <v>5144800</v>
      </c>
      <c r="G4474">
        <v>5.44</v>
      </c>
      <c r="H4474" t="s">
        <v>17</v>
      </c>
      <c r="I4474" s="22">
        <f t="shared" si="139"/>
        <v>4.5120435280469641E-2</v>
      </c>
      <c r="J4474" s="22" t="str">
        <f t="shared" si="140"/>
        <v/>
      </c>
    </row>
    <row r="4475" spans="1:10">
      <c r="A4475" s="1">
        <v>41120</v>
      </c>
      <c r="B4475">
        <v>5.46</v>
      </c>
      <c r="C4475">
        <v>5.51</v>
      </c>
      <c r="D4475">
        <v>5.31</v>
      </c>
      <c r="E4475">
        <v>5.41</v>
      </c>
      <c r="F4475">
        <v>3886300</v>
      </c>
      <c r="G4475">
        <v>5.41</v>
      </c>
      <c r="H4475" t="s">
        <v>17</v>
      </c>
      <c r="I4475" s="22">
        <f t="shared" si="139"/>
        <v>-5.529968009461198E-3</v>
      </c>
      <c r="J4475" s="22" t="str">
        <f t="shared" si="140"/>
        <v>lost money</v>
      </c>
    </row>
    <row r="4476" spans="1:10">
      <c r="A4476" s="1">
        <v>41121</v>
      </c>
      <c r="B4476">
        <v>5.41</v>
      </c>
      <c r="C4476">
        <v>5.54</v>
      </c>
      <c r="D4476">
        <v>5.36</v>
      </c>
      <c r="E4476">
        <v>5.51</v>
      </c>
      <c r="F4476">
        <v>3659700</v>
      </c>
      <c r="G4476">
        <v>5.51</v>
      </c>
      <c r="H4476" t="s">
        <v>17</v>
      </c>
      <c r="I4476" s="22">
        <f t="shared" si="139"/>
        <v>1.8315530306432976E-2</v>
      </c>
      <c r="J4476" s="22" t="str">
        <f t="shared" si="140"/>
        <v/>
      </c>
    </row>
    <row r="4477" spans="1:10">
      <c r="A4477" s="1">
        <v>41122</v>
      </c>
      <c r="B4477">
        <v>5.43</v>
      </c>
      <c r="C4477">
        <v>5.43</v>
      </c>
      <c r="D4477">
        <v>5.03</v>
      </c>
      <c r="E4477">
        <v>5.07</v>
      </c>
      <c r="F4477">
        <v>9377900</v>
      </c>
      <c r="G4477">
        <v>5.07</v>
      </c>
      <c r="H4477" t="s">
        <v>17</v>
      </c>
      <c r="I4477" s="22">
        <f t="shared" si="139"/>
        <v>-8.3223805561731173E-2</v>
      </c>
      <c r="J4477" s="22" t="str">
        <f t="shared" si="140"/>
        <v>lost money</v>
      </c>
    </row>
    <row r="4478" spans="1:10">
      <c r="A4478" s="1">
        <v>41123</v>
      </c>
      <c r="B4478">
        <v>5.03</v>
      </c>
      <c r="C4478">
        <v>5.14</v>
      </c>
      <c r="D4478">
        <v>5</v>
      </c>
      <c r="E4478">
        <v>5.0999999999999996</v>
      </c>
      <c r="F4478">
        <v>4834200</v>
      </c>
      <c r="G4478">
        <v>5.0999999999999996</v>
      </c>
      <c r="H4478" t="s">
        <v>17</v>
      </c>
      <c r="I4478" s="22">
        <f t="shared" si="139"/>
        <v>5.8997221271881017E-3</v>
      </c>
      <c r="J4478" s="22" t="str">
        <f t="shared" si="140"/>
        <v/>
      </c>
    </row>
    <row r="4479" spans="1:10">
      <c r="A4479" s="1">
        <v>41124</v>
      </c>
      <c r="B4479">
        <v>5.18</v>
      </c>
      <c r="C4479">
        <v>5.21</v>
      </c>
      <c r="D4479">
        <v>5</v>
      </c>
      <c r="E4479">
        <v>5.07</v>
      </c>
      <c r="F4479">
        <v>6585500</v>
      </c>
      <c r="G4479">
        <v>5.07</v>
      </c>
      <c r="H4479" t="s">
        <v>17</v>
      </c>
      <c r="I4479" s="22">
        <f t="shared" si="139"/>
        <v>-5.8997221271881598E-3</v>
      </c>
      <c r="J4479" s="22" t="str">
        <f t="shared" si="140"/>
        <v>lost money</v>
      </c>
    </row>
    <row r="4480" spans="1:10">
      <c r="A4480" s="1">
        <v>41127</v>
      </c>
      <c r="B4480">
        <v>5.16</v>
      </c>
      <c r="C4480">
        <v>5.16</v>
      </c>
      <c r="D4480">
        <v>5.03</v>
      </c>
      <c r="E4480">
        <v>5.13</v>
      </c>
      <c r="F4480">
        <v>5873100</v>
      </c>
      <c r="G4480">
        <v>5.13</v>
      </c>
      <c r="H4480" t="s">
        <v>17</v>
      </c>
      <c r="I4480" s="22">
        <f t="shared" si="139"/>
        <v>1.176484157958621E-2</v>
      </c>
      <c r="J4480" s="22" t="str">
        <f t="shared" si="140"/>
        <v>lost money</v>
      </c>
    </row>
    <row r="4481" spans="1:10">
      <c r="A4481" s="1">
        <v>41128</v>
      </c>
      <c r="B4481">
        <v>5.14</v>
      </c>
      <c r="C4481">
        <v>5.17</v>
      </c>
      <c r="D4481">
        <v>5.03</v>
      </c>
      <c r="E4481">
        <v>5.07</v>
      </c>
      <c r="F4481">
        <v>3549300</v>
      </c>
      <c r="G4481">
        <v>5.07</v>
      </c>
      <c r="H4481" t="s">
        <v>17</v>
      </c>
      <c r="I4481" s="22">
        <f t="shared" si="139"/>
        <v>-1.1764841579586257E-2</v>
      </c>
      <c r="J4481" s="22" t="str">
        <f t="shared" si="140"/>
        <v>lost money</v>
      </c>
    </row>
    <row r="4482" spans="1:10">
      <c r="A4482" s="1">
        <v>41129</v>
      </c>
      <c r="B4482">
        <v>5.07</v>
      </c>
      <c r="C4482">
        <v>5.15</v>
      </c>
      <c r="D4482">
        <v>5.05</v>
      </c>
      <c r="E4482">
        <v>5.13</v>
      </c>
      <c r="F4482">
        <v>2793400</v>
      </c>
      <c r="G4482">
        <v>5.13</v>
      </c>
      <c r="H4482" t="s">
        <v>17</v>
      </c>
      <c r="I4482" s="22">
        <f t="shared" si="139"/>
        <v>1.176484157958621E-2</v>
      </c>
      <c r="J4482" s="22" t="str">
        <f t="shared" si="140"/>
        <v/>
      </c>
    </row>
    <row r="4483" spans="1:10">
      <c r="A4483" s="1">
        <v>41130</v>
      </c>
      <c r="B4483">
        <v>5.0999999999999996</v>
      </c>
      <c r="C4483">
        <v>5.13</v>
      </c>
      <c r="D4483">
        <v>5.01</v>
      </c>
      <c r="E4483">
        <v>5.0199999999999996</v>
      </c>
      <c r="F4483">
        <v>2538700</v>
      </c>
      <c r="G4483">
        <v>5.0199999999999996</v>
      </c>
      <c r="H4483" t="s">
        <v>17</v>
      </c>
      <c r="I4483" s="22">
        <f t="shared" ref="I4483:I4546" si="141">IF(A4483=$A$2,"",LN(G4483/G4482))</f>
        <v>-2.1675725479040394E-2</v>
      </c>
      <c r="J4483" s="22" t="str">
        <f t="shared" ref="J4483:J4546" si="142">IF(B4483&gt;E4483,"lost money","")</f>
        <v>lost money</v>
      </c>
    </row>
    <row r="4484" spans="1:10">
      <c r="A4484" s="1">
        <v>41131</v>
      </c>
      <c r="B4484">
        <v>5.01</v>
      </c>
      <c r="C4484">
        <v>5.04</v>
      </c>
      <c r="D4484">
        <v>4.97</v>
      </c>
      <c r="E4484">
        <v>5</v>
      </c>
      <c r="F4484">
        <v>4100500</v>
      </c>
      <c r="G4484">
        <v>5</v>
      </c>
      <c r="H4484" t="s">
        <v>17</v>
      </c>
      <c r="I4484" s="22">
        <f t="shared" si="141"/>
        <v>-3.9920212695373379E-3</v>
      </c>
      <c r="J4484" s="22" t="str">
        <f t="shared" si="142"/>
        <v>lost money</v>
      </c>
    </row>
    <row r="4485" spans="1:10">
      <c r="A4485" s="1">
        <v>41134</v>
      </c>
      <c r="B4485">
        <v>5.01</v>
      </c>
      <c r="C4485">
        <v>5.0599999999999996</v>
      </c>
      <c r="D4485">
        <v>4.9800000000000004</v>
      </c>
      <c r="E4485">
        <v>5.01</v>
      </c>
      <c r="F4485">
        <v>4176300</v>
      </c>
      <c r="G4485">
        <v>5.01</v>
      </c>
      <c r="H4485" t="s">
        <v>17</v>
      </c>
      <c r="I4485" s="22">
        <f t="shared" si="141"/>
        <v>1.9980026626730579E-3</v>
      </c>
      <c r="J4485" s="22" t="str">
        <f t="shared" si="142"/>
        <v/>
      </c>
    </row>
    <row r="4486" spans="1:10">
      <c r="A4486" s="1">
        <v>41135</v>
      </c>
      <c r="B4486">
        <v>5.03</v>
      </c>
      <c r="C4486">
        <v>5.09</v>
      </c>
      <c r="D4486">
        <v>4.99</v>
      </c>
      <c r="E4486">
        <v>5.04</v>
      </c>
      <c r="F4486">
        <v>3556800</v>
      </c>
      <c r="G4486">
        <v>5.04</v>
      </c>
      <c r="H4486" t="s">
        <v>17</v>
      </c>
      <c r="I4486" s="22">
        <f t="shared" si="141"/>
        <v>5.9701669865039747E-3</v>
      </c>
      <c r="J4486" s="22" t="str">
        <f t="shared" si="142"/>
        <v/>
      </c>
    </row>
    <row r="4487" spans="1:10">
      <c r="A4487" s="1">
        <v>41136</v>
      </c>
      <c r="B4487">
        <v>5</v>
      </c>
      <c r="C4487">
        <v>5.09</v>
      </c>
      <c r="D4487">
        <v>5</v>
      </c>
      <c r="E4487">
        <v>5.08</v>
      </c>
      <c r="F4487">
        <v>1532200</v>
      </c>
      <c r="G4487">
        <v>5.08</v>
      </c>
      <c r="H4487" t="s">
        <v>17</v>
      </c>
      <c r="I4487" s="22">
        <f t="shared" si="141"/>
        <v>7.9051795071132473E-3</v>
      </c>
      <c r="J4487" s="22" t="str">
        <f t="shared" si="142"/>
        <v/>
      </c>
    </row>
    <row r="4488" spans="1:10">
      <c r="A4488" s="1">
        <v>41137</v>
      </c>
      <c r="B4488">
        <v>5.08</v>
      </c>
      <c r="C4488">
        <v>5.13</v>
      </c>
      <c r="D4488">
        <v>5.03</v>
      </c>
      <c r="E4488">
        <v>5.0999999999999996</v>
      </c>
      <c r="F4488">
        <v>2453000</v>
      </c>
      <c r="G4488">
        <v>5.0999999999999996</v>
      </c>
      <c r="H4488" t="s">
        <v>17</v>
      </c>
      <c r="I4488" s="22">
        <f t="shared" si="141"/>
        <v>3.929278139889557E-3</v>
      </c>
      <c r="J4488" s="22" t="str">
        <f t="shared" si="142"/>
        <v/>
      </c>
    </row>
    <row r="4489" spans="1:10">
      <c r="A4489" s="1">
        <v>41138</v>
      </c>
      <c r="B4489">
        <v>5.08</v>
      </c>
      <c r="C4489">
        <v>5.1100000000000003</v>
      </c>
      <c r="D4489">
        <v>5.03</v>
      </c>
      <c r="E4489">
        <v>5.0599999999999996</v>
      </c>
      <c r="F4489">
        <v>3733900</v>
      </c>
      <c r="G4489">
        <v>5.0599999999999996</v>
      </c>
      <c r="H4489" t="s">
        <v>17</v>
      </c>
      <c r="I4489" s="22">
        <f t="shared" si="141"/>
        <v>-7.874056430905883E-3</v>
      </c>
      <c r="J4489" s="22" t="str">
        <f t="shared" si="142"/>
        <v>lost money</v>
      </c>
    </row>
    <row r="4490" spans="1:10">
      <c r="A4490" s="1">
        <v>41141</v>
      </c>
      <c r="B4490">
        <v>5.03</v>
      </c>
      <c r="C4490">
        <v>5.33</v>
      </c>
      <c r="D4490">
        <v>5.03</v>
      </c>
      <c r="E4490">
        <v>5.27</v>
      </c>
      <c r="F4490">
        <v>4714100</v>
      </c>
      <c r="G4490">
        <v>5.27</v>
      </c>
      <c r="H4490" t="s">
        <v>17</v>
      </c>
      <c r="I4490" s="22">
        <f t="shared" si="141"/>
        <v>4.0663879253896765E-2</v>
      </c>
      <c r="J4490" s="22" t="str">
        <f t="shared" si="142"/>
        <v/>
      </c>
    </row>
    <row r="4491" spans="1:10">
      <c r="A4491" s="1">
        <v>41142</v>
      </c>
      <c r="B4491">
        <v>5.33</v>
      </c>
      <c r="C4491">
        <v>5.4</v>
      </c>
      <c r="D4491">
        <v>5.22</v>
      </c>
      <c r="E4491">
        <v>5.27</v>
      </c>
      <c r="F4491">
        <v>3193900</v>
      </c>
      <c r="G4491">
        <v>5.27</v>
      </c>
      <c r="H4491" t="s">
        <v>17</v>
      </c>
      <c r="I4491" s="22">
        <f t="shared" si="141"/>
        <v>0</v>
      </c>
      <c r="J4491" s="22" t="str">
        <f t="shared" si="142"/>
        <v>lost money</v>
      </c>
    </row>
    <row r="4492" spans="1:10">
      <c r="A4492" s="1">
        <v>41143</v>
      </c>
      <c r="B4492">
        <v>5.25</v>
      </c>
      <c r="C4492">
        <v>5.26</v>
      </c>
      <c r="D4492">
        <v>5.15</v>
      </c>
      <c r="E4492">
        <v>5.18</v>
      </c>
      <c r="F4492">
        <v>2076100</v>
      </c>
      <c r="G4492">
        <v>5.18</v>
      </c>
      <c r="H4492" t="s">
        <v>17</v>
      </c>
      <c r="I4492" s="22">
        <f t="shared" si="141"/>
        <v>-1.722530628187928E-2</v>
      </c>
      <c r="J4492" s="22" t="str">
        <f t="shared" si="142"/>
        <v>lost money</v>
      </c>
    </row>
    <row r="4493" spans="1:10">
      <c r="A4493" s="1">
        <v>41144</v>
      </c>
      <c r="B4493">
        <v>5.15</v>
      </c>
      <c r="C4493">
        <v>5.18</v>
      </c>
      <c r="D4493">
        <v>5.05</v>
      </c>
      <c r="E4493">
        <v>5.08</v>
      </c>
      <c r="F4493">
        <v>2584300</v>
      </c>
      <c r="G4493">
        <v>5.08</v>
      </c>
      <c r="H4493" t="s">
        <v>17</v>
      </c>
      <c r="I4493" s="22">
        <f t="shared" si="141"/>
        <v>-1.9493794681001129E-2</v>
      </c>
      <c r="J4493" s="22" t="str">
        <f t="shared" si="142"/>
        <v>lost money</v>
      </c>
    </row>
    <row r="4494" spans="1:10">
      <c r="A4494" s="1">
        <v>41145</v>
      </c>
      <c r="B4494">
        <v>5.05</v>
      </c>
      <c r="C4494">
        <v>5.0999999999999996</v>
      </c>
      <c r="D4494">
        <v>5.04</v>
      </c>
      <c r="E4494">
        <v>5.07</v>
      </c>
      <c r="F4494">
        <v>1672100</v>
      </c>
      <c r="G4494">
        <v>5.07</v>
      </c>
      <c r="H4494" t="s">
        <v>17</v>
      </c>
      <c r="I4494" s="22">
        <f t="shared" si="141"/>
        <v>-1.9704439872987251E-3</v>
      </c>
      <c r="J4494" s="22" t="str">
        <f t="shared" si="142"/>
        <v/>
      </c>
    </row>
    <row r="4495" spans="1:10">
      <c r="A4495" s="1">
        <v>41148</v>
      </c>
      <c r="B4495">
        <v>5.08</v>
      </c>
      <c r="C4495">
        <v>5.08</v>
      </c>
      <c r="D4495">
        <v>5.01</v>
      </c>
      <c r="E4495">
        <v>5.0199999999999996</v>
      </c>
      <c r="F4495">
        <v>1715700</v>
      </c>
      <c r="G4495">
        <v>5.0199999999999996</v>
      </c>
      <c r="H4495" t="s">
        <v>17</v>
      </c>
      <c r="I4495" s="22">
        <f t="shared" si="141"/>
        <v>-9.9108838994541315E-3</v>
      </c>
      <c r="J4495" s="22" t="str">
        <f t="shared" si="142"/>
        <v>lost money</v>
      </c>
    </row>
    <row r="4496" spans="1:10">
      <c r="A4496" s="1">
        <v>41149</v>
      </c>
      <c r="B4496">
        <v>5</v>
      </c>
      <c r="C4496">
        <v>5.0199999999999996</v>
      </c>
      <c r="D4496">
        <v>4.8600000000000003</v>
      </c>
      <c r="E4496">
        <v>4.8899999999999997</v>
      </c>
      <c r="F4496">
        <v>3874200</v>
      </c>
      <c r="G4496">
        <v>4.8899999999999997</v>
      </c>
      <c r="H4496" t="s">
        <v>17</v>
      </c>
      <c r="I4496" s="22">
        <f t="shared" si="141"/>
        <v>-2.6237630216857148E-2</v>
      </c>
      <c r="J4496" s="22" t="str">
        <f t="shared" si="142"/>
        <v>lost money</v>
      </c>
    </row>
    <row r="4497" spans="1:10">
      <c r="A4497" s="1">
        <v>41150</v>
      </c>
      <c r="B4497">
        <v>4.8899999999999997</v>
      </c>
      <c r="C4497">
        <v>4.93</v>
      </c>
      <c r="D4497">
        <v>4.8499999999999996</v>
      </c>
      <c r="E4497">
        <v>4.8899999999999997</v>
      </c>
      <c r="F4497">
        <v>2663900</v>
      </c>
      <c r="G4497">
        <v>4.8899999999999997</v>
      </c>
      <c r="H4497" t="s">
        <v>17</v>
      </c>
      <c r="I4497" s="22">
        <f t="shared" si="141"/>
        <v>0</v>
      </c>
      <c r="J4497" s="22" t="str">
        <f t="shared" si="142"/>
        <v/>
      </c>
    </row>
    <row r="4498" spans="1:10">
      <c r="A4498" s="1">
        <v>41151</v>
      </c>
      <c r="B4498">
        <v>4.87</v>
      </c>
      <c r="C4498">
        <v>4.9800000000000004</v>
      </c>
      <c r="D4498">
        <v>4.8600000000000003</v>
      </c>
      <c r="E4498">
        <v>4.9400000000000004</v>
      </c>
      <c r="F4498">
        <v>1845300</v>
      </c>
      <c r="G4498">
        <v>4.9400000000000004</v>
      </c>
      <c r="H4498" t="s">
        <v>17</v>
      </c>
      <c r="I4498" s="22">
        <f t="shared" si="141"/>
        <v>1.0173027713050568E-2</v>
      </c>
      <c r="J4498" s="22" t="str">
        <f t="shared" si="142"/>
        <v/>
      </c>
    </row>
    <row r="4499" spans="1:10">
      <c r="A4499" s="1">
        <v>41152</v>
      </c>
      <c r="B4499">
        <v>4.99</v>
      </c>
      <c r="C4499">
        <v>4.99</v>
      </c>
      <c r="D4499">
        <v>4.88</v>
      </c>
      <c r="E4499">
        <v>4.9000000000000004</v>
      </c>
      <c r="F4499">
        <v>1960700</v>
      </c>
      <c r="G4499">
        <v>4.9000000000000004</v>
      </c>
      <c r="H4499" t="s">
        <v>17</v>
      </c>
      <c r="I4499" s="22">
        <f t="shared" si="141"/>
        <v>-8.1301260832501755E-3</v>
      </c>
      <c r="J4499" s="22" t="str">
        <f t="shared" si="142"/>
        <v>lost money</v>
      </c>
    </row>
    <row r="4500" spans="1:10">
      <c r="A4500" s="1">
        <v>41156</v>
      </c>
      <c r="B4500">
        <v>4.92</v>
      </c>
      <c r="C4500">
        <v>4.93</v>
      </c>
      <c r="D4500">
        <v>4.83</v>
      </c>
      <c r="E4500">
        <v>4.8899999999999997</v>
      </c>
      <c r="F4500">
        <v>2698500</v>
      </c>
      <c r="G4500">
        <v>4.8899999999999997</v>
      </c>
      <c r="H4500" t="s">
        <v>17</v>
      </c>
      <c r="I4500" s="22">
        <f t="shared" si="141"/>
        <v>-2.0429016298004047E-3</v>
      </c>
      <c r="J4500" s="22" t="str">
        <f t="shared" si="142"/>
        <v>lost money</v>
      </c>
    </row>
    <row r="4501" spans="1:10">
      <c r="A4501" s="1">
        <v>41157</v>
      </c>
      <c r="B4501">
        <v>4.91</v>
      </c>
      <c r="C4501">
        <v>4.99</v>
      </c>
      <c r="D4501">
        <v>4.8600000000000003</v>
      </c>
      <c r="E4501">
        <v>4.9000000000000004</v>
      </c>
      <c r="F4501">
        <v>4143800</v>
      </c>
      <c r="G4501">
        <v>4.9000000000000004</v>
      </c>
      <c r="H4501" t="s">
        <v>17</v>
      </c>
      <c r="I4501" s="22">
        <f t="shared" si="141"/>
        <v>2.042901629800331E-3</v>
      </c>
      <c r="J4501" s="22" t="str">
        <f t="shared" si="142"/>
        <v>lost money</v>
      </c>
    </row>
    <row r="4502" spans="1:10">
      <c r="A4502" s="1">
        <v>41158</v>
      </c>
      <c r="B4502">
        <v>4.9400000000000004</v>
      </c>
      <c r="C4502">
        <v>5</v>
      </c>
      <c r="D4502">
        <v>4.91</v>
      </c>
      <c r="E4502">
        <v>5</v>
      </c>
      <c r="F4502">
        <v>4084500</v>
      </c>
      <c r="G4502">
        <v>5</v>
      </c>
      <c r="H4502" t="s">
        <v>17</v>
      </c>
      <c r="I4502" s="22">
        <f t="shared" si="141"/>
        <v>2.0202707317519469E-2</v>
      </c>
      <c r="J4502" s="22" t="str">
        <f t="shared" si="142"/>
        <v/>
      </c>
    </row>
    <row r="4503" spans="1:10">
      <c r="A4503" s="1">
        <v>41159</v>
      </c>
      <c r="B4503">
        <v>5</v>
      </c>
      <c r="C4503">
        <v>5.14</v>
      </c>
      <c r="D4503">
        <v>4.9400000000000004</v>
      </c>
      <c r="E4503">
        <v>5.0999999999999996</v>
      </c>
      <c r="F4503">
        <v>2964400</v>
      </c>
      <c r="G4503">
        <v>5.0999999999999996</v>
      </c>
      <c r="H4503" t="s">
        <v>17</v>
      </c>
      <c r="I4503" s="22">
        <f t="shared" si="141"/>
        <v>1.980262729617973E-2</v>
      </c>
      <c r="J4503" s="22" t="str">
        <f t="shared" si="142"/>
        <v/>
      </c>
    </row>
    <row r="4504" spans="1:10">
      <c r="A4504" s="1">
        <v>41162</v>
      </c>
      <c r="B4504">
        <v>5.08</v>
      </c>
      <c r="C4504">
        <v>5.18</v>
      </c>
      <c r="D4504">
        <v>5.0199999999999996</v>
      </c>
      <c r="E4504">
        <v>5.04</v>
      </c>
      <c r="F4504">
        <v>5925800</v>
      </c>
      <c r="G4504">
        <v>5.04</v>
      </c>
      <c r="H4504" t="s">
        <v>17</v>
      </c>
      <c r="I4504" s="22">
        <f t="shared" si="141"/>
        <v>-1.1834457647002796E-2</v>
      </c>
      <c r="J4504" s="22" t="str">
        <f t="shared" si="142"/>
        <v>lost money</v>
      </c>
    </row>
    <row r="4505" spans="1:10">
      <c r="A4505" s="1">
        <v>41163</v>
      </c>
      <c r="B4505">
        <v>5.03</v>
      </c>
      <c r="C4505">
        <v>5.13</v>
      </c>
      <c r="D4505">
        <v>4.96</v>
      </c>
      <c r="E4505">
        <v>4.99</v>
      </c>
      <c r="F4505">
        <v>2941700</v>
      </c>
      <c r="G4505">
        <v>4.99</v>
      </c>
      <c r="H4505" t="s">
        <v>17</v>
      </c>
      <c r="I4505" s="22">
        <f t="shared" si="141"/>
        <v>-9.970172319849915E-3</v>
      </c>
      <c r="J4505" s="22" t="str">
        <f t="shared" si="142"/>
        <v>lost money</v>
      </c>
    </row>
    <row r="4506" spans="1:10">
      <c r="A4506" s="1">
        <v>41164</v>
      </c>
      <c r="B4506">
        <v>5.07</v>
      </c>
      <c r="C4506">
        <v>5.09</v>
      </c>
      <c r="D4506">
        <v>4.97</v>
      </c>
      <c r="E4506">
        <v>5.09</v>
      </c>
      <c r="F4506">
        <v>2602600</v>
      </c>
      <c r="G4506">
        <v>5.09</v>
      </c>
      <c r="H4506" t="s">
        <v>17</v>
      </c>
      <c r="I4506" s="22">
        <f t="shared" si="141"/>
        <v>1.9841920799004098E-2</v>
      </c>
      <c r="J4506" s="22" t="str">
        <f t="shared" si="142"/>
        <v/>
      </c>
    </row>
    <row r="4507" spans="1:10">
      <c r="A4507" s="1">
        <v>41165</v>
      </c>
      <c r="B4507">
        <v>5.07</v>
      </c>
      <c r="C4507">
        <v>5.15</v>
      </c>
      <c r="D4507">
        <v>4.92</v>
      </c>
      <c r="E4507">
        <v>5.05</v>
      </c>
      <c r="F4507">
        <v>5826300</v>
      </c>
      <c r="G4507">
        <v>5.05</v>
      </c>
      <c r="H4507" t="s">
        <v>17</v>
      </c>
      <c r="I4507" s="22">
        <f t="shared" si="141"/>
        <v>-7.8895872751629324E-3</v>
      </c>
      <c r="J4507" s="22" t="str">
        <f t="shared" si="142"/>
        <v>lost money</v>
      </c>
    </row>
    <row r="4508" spans="1:10">
      <c r="A4508" s="1">
        <v>41166</v>
      </c>
      <c r="B4508">
        <v>5.04</v>
      </c>
      <c r="C4508">
        <v>5.0599999999999996</v>
      </c>
      <c r="D4508">
        <v>4.93</v>
      </c>
      <c r="E4508">
        <v>4.95</v>
      </c>
      <c r="F4508">
        <v>3455000</v>
      </c>
      <c r="G4508">
        <v>4.95</v>
      </c>
      <c r="H4508" t="s">
        <v>17</v>
      </c>
      <c r="I4508" s="22">
        <f t="shared" si="141"/>
        <v>-2.0000666706669428E-2</v>
      </c>
      <c r="J4508" s="22" t="str">
        <f t="shared" si="142"/>
        <v>lost money</v>
      </c>
    </row>
    <row r="4509" spans="1:10">
      <c r="A4509" s="1">
        <v>41169</v>
      </c>
      <c r="B4509">
        <v>4.91</v>
      </c>
      <c r="C4509">
        <v>5</v>
      </c>
      <c r="D4509">
        <v>4.8899999999999997</v>
      </c>
      <c r="E4509">
        <v>4.93</v>
      </c>
      <c r="F4509">
        <v>3899600</v>
      </c>
      <c r="G4509">
        <v>4.93</v>
      </c>
      <c r="H4509" t="s">
        <v>17</v>
      </c>
      <c r="I4509" s="22">
        <f t="shared" si="141"/>
        <v>-4.0485885260003315E-3</v>
      </c>
      <c r="J4509" s="22" t="str">
        <f t="shared" si="142"/>
        <v/>
      </c>
    </row>
    <row r="4510" spans="1:10">
      <c r="A4510" s="1">
        <v>41170</v>
      </c>
      <c r="B4510">
        <v>4.9000000000000004</v>
      </c>
      <c r="C4510">
        <v>4.93</v>
      </c>
      <c r="D4510">
        <v>4.83</v>
      </c>
      <c r="E4510">
        <v>4.87</v>
      </c>
      <c r="F4510">
        <v>3726500</v>
      </c>
      <c r="G4510">
        <v>4.87</v>
      </c>
      <c r="H4510" t="s">
        <v>17</v>
      </c>
      <c r="I4510" s="22">
        <f t="shared" si="141"/>
        <v>-1.2245050960100288E-2</v>
      </c>
      <c r="J4510" s="22" t="str">
        <f t="shared" si="142"/>
        <v>lost money</v>
      </c>
    </row>
    <row r="4511" spans="1:10">
      <c r="A4511" s="1">
        <v>41171</v>
      </c>
      <c r="B4511">
        <v>4.91</v>
      </c>
      <c r="C4511">
        <v>5.1100000000000003</v>
      </c>
      <c r="D4511">
        <v>4.9000000000000004</v>
      </c>
      <c r="E4511">
        <v>5.09</v>
      </c>
      <c r="F4511">
        <v>5905000</v>
      </c>
      <c r="G4511">
        <v>5.09</v>
      </c>
      <c r="H4511" t="s">
        <v>17</v>
      </c>
      <c r="I4511" s="22">
        <f t="shared" si="141"/>
        <v>4.4183893467932847E-2</v>
      </c>
      <c r="J4511" s="22" t="str">
        <f t="shared" si="142"/>
        <v/>
      </c>
    </row>
    <row r="4512" spans="1:10">
      <c r="A4512" s="1">
        <v>41172</v>
      </c>
      <c r="B4512">
        <v>5.0599999999999996</v>
      </c>
      <c r="C4512">
        <v>5.1100000000000003</v>
      </c>
      <c r="D4512">
        <v>4.97</v>
      </c>
      <c r="E4512">
        <v>5</v>
      </c>
      <c r="F4512">
        <v>3609700</v>
      </c>
      <c r="G4512">
        <v>5</v>
      </c>
      <c r="H4512" t="s">
        <v>17</v>
      </c>
      <c r="I4512" s="22">
        <f t="shared" si="141"/>
        <v>-1.7839918128331005E-2</v>
      </c>
      <c r="J4512" s="22" t="str">
        <f t="shared" si="142"/>
        <v>lost money</v>
      </c>
    </row>
    <row r="4513" spans="1:10">
      <c r="A4513" s="1">
        <v>41173</v>
      </c>
      <c r="B4513">
        <v>5.05</v>
      </c>
      <c r="C4513">
        <v>5.0599999999999996</v>
      </c>
      <c r="D4513">
        <v>4.95</v>
      </c>
      <c r="E4513">
        <v>4.97</v>
      </c>
      <c r="F4513">
        <v>3631300</v>
      </c>
      <c r="G4513">
        <v>4.97</v>
      </c>
      <c r="H4513" t="s">
        <v>17</v>
      </c>
      <c r="I4513" s="22">
        <f t="shared" si="141"/>
        <v>-6.0180723255630212E-3</v>
      </c>
      <c r="J4513" s="22" t="str">
        <f t="shared" si="142"/>
        <v>lost money</v>
      </c>
    </row>
    <row r="4514" spans="1:10">
      <c r="A4514" s="1">
        <v>41176</v>
      </c>
      <c r="B4514">
        <v>5</v>
      </c>
      <c r="C4514">
        <v>5.01</v>
      </c>
      <c r="D4514">
        <v>4.9000000000000004</v>
      </c>
      <c r="E4514">
        <v>4.96</v>
      </c>
      <c r="F4514">
        <v>2439100</v>
      </c>
      <c r="G4514">
        <v>4.96</v>
      </c>
      <c r="H4514" t="s">
        <v>17</v>
      </c>
      <c r="I4514" s="22">
        <f t="shared" si="141"/>
        <v>-2.0140993717011448E-3</v>
      </c>
      <c r="J4514" s="22" t="str">
        <f t="shared" si="142"/>
        <v>lost money</v>
      </c>
    </row>
    <row r="4515" spans="1:10">
      <c r="A4515" s="1">
        <v>41177</v>
      </c>
      <c r="B4515">
        <v>4.9800000000000004</v>
      </c>
      <c r="C4515">
        <v>5.03</v>
      </c>
      <c r="D4515">
        <v>4.88</v>
      </c>
      <c r="E4515">
        <v>4.8899999999999997</v>
      </c>
      <c r="F4515">
        <v>5839600</v>
      </c>
      <c r="G4515">
        <v>4.8899999999999997</v>
      </c>
      <c r="H4515" t="s">
        <v>17</v>
      </c>
      <c r="I4515" s="22">
        <f t="shared" si="141"/>
        <v>-1.4213437250055501E-2</v>
      </c>
      <c r="J4515" s="22" t="str">
        <f t="shared" si="142"/>
        <v>lost money</v>
      </c>
    </row>
    <row r="4516" spans="1:10">
      <c r="A4516" s="1">
        <v>41178</v>
      </c>
      <c r="B4516">
        <v>4.9000000000000004</v>
      </c>
      <c r="C4516">
        <v>4.93</v>
      </c>
      <c r="D4516">
        <v>4.8099999999999996</v>
      </c>
      <c r="E4516">
        <v>4.9000000000000004</v>
      </c>
      <c r="F4516">
        <v>3953200</v>
      </c>
      <c r="G4516">
        <v>4.9000000000000004</v>
      </c>
      <c r="H4516" t="s">
        <v>17</v>
      </c>
      <c r="I4516" s="22">
        <f t="shared" si="141"/>
        <v>2.042901629800331E-3</v>
      </c>
      <c r="J4516" s="22" t="str">
        <f t="shared" si="142"/>
        <v/>
      </c>
    </row>
    <row r="4517" spans="1:10">
      <c r="A4517" s="1">
        <v>41179</v>
      </c>
      <c r="B4517">
        <v>4.9000000000000004</v>
      </c>
      <c r="C4517">
        <v>4.9000000000000004</v>
      </c>
      <c r="D4517">
        <v>4.76</v>
      </c>
      <c r="E4517">
        <v>4.84</v>
      </c>
      <c r="F4517">
        <v>4489600</v>
      </c>
      <c r="G4517">
        <v>4.84</v>
      </c>
      <c r="H4517" t="s">
        <v>17</v>
      </c>
      <c r="I4517" s="22">
        <f t="shared" si="141"/>
        <v>-1.2320484388040736E-2</v>
      </c>
      <c r="J4517" s="22" t="str">
        <f t="shared" si="142"/>
        <v>lost money</v>
      </c>
    </row>
    <row r="4518" spans="1:10">
      <c r="A4518" s="1">
        <v>41180</v>
      </c>
      <c r="B4518">
        <v>4.88</v>
      </c>
      <c r="C4518">
        <v>4.9000000000000004</v>
      </c>
      <c r="D4518">
        <v>4.7699999999999996</v>
      </c>
      <c r="E4518">
        <v>4.8</v>
      </c>
      <c r="F4518">
        <v>2887800</v>
      </c>
      <c r="G4518">
        <v>4.8</v>
      </c>
      <c r="H4518" t="s">
        <v>17</v>
      </c>
      <c r="I4518" s="22">
        <f t="shared" si="141"/>
        <v>-8.2988028146950658E-3</v>
      </c>
      <c r="J4518" s="22" t="str">
        <f t="shared" si="142"/>
        <v>lost money</v>
      </c>
    </row>
    <row r="4519" spans="1:10">
      <c r="A4519" s="1">
        <v>41183</v>
      </c>
      <c r="B4519">
        <v>4.83</v>
      </c>
      <c r="C4519">
        <v>4.8899999999999997</v>
      </c>
      <c r="D4519">
        <v>4.7699999999999996</v>
      </c>
      <c r="E4519">
        <v>4.87</v>
      </c>
      <c r="F4519">
        <v>3832000</v>
      </c>
      <c r="G4519">
        <v>4.87</v>
      </c>
      <c r="H4519" t="s">
        <v>17</v>
      </c>
      <c r="I4519" s="22">
        <f t="shared" si="141"/>
        <v>1.4478019180653235E-2</v>
      </c>
      <c r="J4519" s="22" t="str">
        <f t="shared" si="142"/>
        <v/>
      </c>
    </row>
    <row r="4520" spans="1:10">
      <c r="A4520" s="1">
        <v>41184</v>
      </c>
      <c r="B4520">
        <v>4.9000000000000004</v>
      </c>
      <c r="C4520">
        <v>4.99</v>
      </c>
      <c r="D4520">
        <v>4.87</v>
      </c>
      <c r="E4520">
        <v>4.9800000000000004</v>
      </c>
      <c r="F4520">
        <v>3497600</v>
      </c>
      <c r="G4520">
        <v>4.9800000000000004</v>
      </c>
      <c r="H4520" t="s">
        <v>17</v>
      </c>
      <c r="I4520" s="22">
        <f t="shared" si="141"/>
        <v>2.2335953942063298E-2</v>
      </c>
      <c r="J4520" s="22" t="str">
        <f t="shared" si="142"/>
        <v/>
      </c>
    </row>
    <row r="4521" spans="1:10">
      <c r="A4521" s="1">
        <v>41185</v>
      </c>
      <c r="B4521">
        <v>5</v>
      </c>
      <c r="C4521">
        <v>5.18</v>
      </c>
      <c r="D4521">
        <v>4.93</v>
      </c>
      <c r="E4521">
        <v>5.13</v>
      </c>
      <c r="F4521">
        <v>6715600</v>
      </c>
      <c r="G4521">
        <v>5.13</v>
      </c>
      <c r="H4521" t="s">
        <v>17</v>
      </c>
      <c r="I4521" s="22">
        <f t="shared" si="141"/>
        <v>2.9675768146116541E-2</v>
      </c>
      <c r="J4521" s="22" t="str">
        <f t="shared" si="142"/>
        <v/>
      </c>
    </row>
    <row r="4522" spans="1:10">
      <c r="A4522" s="1">
        <v>41186</v>
      </c>
      <c r="B4522">
        <v>5.13</v>
      </c>
      <c r="C4522">
        <v>5.2</v>
      </c>
      <c r="D4522">
        <v>5.09</v>
      </c>
      <c r="E4522">
        <v>5.14</v>
      </c>
      <c r="F4522">
        <v>3559200</v>
      </c>
      <c r="G4522">
        <v>5.14</v>
      </c>
      <c r="H4522" t="s">
        <v>17</v>
      </c>
      <c r="I4522" s="22">
        <f t="shared" si="141"/>
        <v>1.9474202843956288E-3</v>
      </c>
      <c r="J4522" s="22" t="str">
        <f t="shared" si="142"/>
        <v/>
      </c>
    </row>
    <row r="4523" spans="1:10">
      <c r="A4523" s="1">
        <v>41187</v>
      </c>
      <c r="B4523">
        <v>5.17</v>
      </c>
      <c r="C4523">
        <v>5.25</v>
      </c>
      <c r="D4523">
        <v>5.0999999999999996</v>
      </c>
      <c r="E4523">
        <v>5.15</v>
      </c>
      <c r="F4523">
        <v>3341500</v>
      </c>
      <c r="G4523">
        <v>5.15</v>
      </c>
      <c r="H4523" t="s">
        <v>17</v>
      </c>
      <c r="I4523" s="22">
        <f t="shared" si="141"/>
        <v>1.9436352085712523E-3</v>
      </c>
      <c r="J4523" s="22" t="str">
        <f t="shared" si="142"/>
        <v>lost money</v>
      </c>
    </row>
    <row r="4524" spans="1:10">
      <c r="A4524" s="1">
        <v>41190</v>
      </c>
      <c r="B4524">
        <v>5.14</v>
      </c>
      <c r="C4524">
        <v>5.2</v>
      </c>
      <c r="D4524">
        <v>5.09</v>
      </c>
      <c r="E4524">
        <v>5.09</v>
      </c>
      <c r="F4524">
        <v>2276200</v>
      </c>
      <c r="G4524">
        <v>5.09</v>
      </c>
      <c r="H4524" t="s">
        <v>17</v>
      </c>
      <c r="I4524" s="22">
        <f t="shared" si="141"/>
        <v>-1.1718884113213488E-2</v>
      </c>
      <c r="J4524" s="22" t="str">
        <f t="shared" si="142"/>
        <v>lost money</v>
      </c>
    </row>
    <row r="4525" spans="1:10">
      <c r="A4525" s="1">
        <v>41191</v>
      </c>
      <c r="B4525">
        <v>5.0999999999999996</v>
      </c>
      <c r="C4525">
        <v>5.1100000000000003</v>
      </c>
      <c r="D4525">
        <v>4.97</v>
      </c>
      <c r="E4525">
        <v>5</v>
      </c>
      <c r="F4525">
        <v>2672000</v>
      </c>
      <c r="G4525">
        <v>5</v>
      </c>
      <c r="H4525" t="s">
        <v>17</v>
      </c>
      <c r="I4525" s="22">
        <f t="shared" si="141"/>
        <v>-1.7839918128331005E-2</v>
      </c>
      <c r="J4525" s="22" t="str">
        <f t="shared" si="142"/>
        <v>lost money</v>
      </c>
    </row>
    <row r="4526" spans="1:10">
      <c r="A4526" s="1">
        <v>41192</v>
      </c>
      <c r="B4526">
        <v>5</v>
      </c>
      <c r="C4526">
        <v>5.0999999999999996</v>
      </c>
      <c r="D4526">
        <v>4.95</v>
      </c>
      <c r="E4526">
        <v>5.09</v>
      </c>
      <c r="F4526">
        <v>3810000</v>
      </c>
      <c r="G4526">
        <v>5.09</v>
      </c>
      <c r="H4526" t="s">
        <v>17</v>
      </c>
      <c r="I4526" s="22">
        <f t="shared" si="141"/>
        <v>1.7839918128331016E-2</v>
      </c>
      <c r="J4526" s="22" t="str">
        <f t="shared" si="142"/>
        <v/>
      </c>
    </row>
    <row r="4527" spans="1:10">
      <c r="A4527" s="1">
        <v>41193</v>
      </c>
      <c r="B4527">
        <v>5.1100000000000003</v>
      </c>
      <c r="C4527">
        <v>5.13</v>
      </c>
      <c r="D4527">
        <v>5.04</v>
      </c>
      <c r="E4527">
        <v>5.07</v>
      </c>
      <c r="F4527">
        <v>2843100</v>
      </c>
      <c r="G4527">
        <v>5.07</v>
      </c>
      <c r="H4527" t="s">
        <v>17</v>
      </c>
      <c r="I4527" s="22">
        <f t="shared" si="141"/>
        <v>-3.9370129593395316E-3</v>
      </c>
      <c r="J4527" s="22" t="str">
        <f t="shared" si="142"/>
        <v>lost money</v>
      </c>
    </row>
    <row r="4528" spans="1:10">
      <c r="A4528" s="1">
        <v>41194</v>
      </c>
      <c r="B4528">
        <v>5.0599999999999996</v>
      </c>
      <c r="C4528">
        <v>5.14</v>
      </c>
      <c r="D4528">
        <v>5.0199999999999996</v>
      </c>
      <c r="E4528">
        <v>5.09</v>
      </c>
      <c r="F4528">
        <v>2639300</v>
      </c>
      <c r="G4528">
        <v>5.09</v>
      </c>
      <c r="H4528" t="s">
        <v>17</v>
      </c>
      <c r="I4528" s="22">
        <f t="shared" si="141"/>
        <v>3.9370129593395992E-3</v>
      </c>
      <c r="J4528" s="22" t="str">
        <f t="shared" si="142"/>
        <v/>
      </c>
    </row>
    <row r="4529" spans="1:10">
      <c r="A4529" s="1">
        <v>41197</v>
      </c>
      <c r="B4529">
        <v>5.0999999999999996</v>
      </c>
      <c r="C4529">
        <v>5.22</v>
      </c>
      <c r="D4529">
        <v>5.08</v>
      </c>
      <c r="E4529">
        <v>5.19</v>
      </c>
      <c r="F4529">
        <v>3272700</v>
      </c>
      <c r="G4529">
        <v>5.19</v>
      </c>
      <c r="H4529" t="s">
        <v>17</v>
      </c>
      <c r="I4529" s="22">
        <f t="shared" si="141"/>
        <v>1.9455866615366097E-2</v>
      </c>
      <c r="J4529" s="22" t="str">
        <f t="shared" si="142"/>
        <v/>
      </c>
    </row>
    <row r="4530" spans="1:10">
      <c r="A4530" s="1">
        <v>41198</v>
      </c>
      <c r="B4530">
        <v>5.24</v>
      </c>
      <c r="C4530">
        <v>5.28</v>
      </c>
      <c r="D4530">
        <v>5.18</v>
      </c>
      <c r="E4530">
        <v>5.2</v>
      </c>
      <c r="F4530">
        <v>3120100</v>
      </c>
      <c r="G4530">
        <v>5.2</v>
      </c>
      <c r="H4530" t="s">
        <v>17</v>
      </c>
      <c r="I4530" s="22">
        <f t="shared" si="141"/>
        <v>1.924928409584418E-3</v>
      </c>
      <c r="J4530" s="22" t="str">
        <f t="shared" si="142"/>
        <v>lost money</v>
      </c>
    </row>
    <row r="4531" spans="1:10">
      <c r="A4531" s="1">
        <v>41199</v>
      </c>
      <c r="B4531">
        <v>5.19</v>
      </c>
      <c r="C4531">
        <v>5.28</v>
      </c>
      <c r="D4531">
        <v>5.16</v>
      </c>
      <c r="E4531">
        <v>5.26</v>
      </c>
      <c r="F4531">
        <v>2248500</v>
      </c>
      <c r="G4531">
        <v>5.26</v>
      </c>
      <c r="H4531" t="s">
        <v>17</v>
      </c>
      <c r="I4531" s="22">
        <f t="shared" si="141"/>
        <v>1.1472401162236781E-2</v>
      </c>
      <c r="J4531" s="22" t="str">
        <f t="shared" si="142"/>
        <v/>
      </c>
    </row>
    <row r="4532" spans="1:10">
      <c r="A4532" s="1">
        <v>41200</v>
      </c>
      <c r="B4532">
        <v>5.24</v>
      </c>
      <c r="C4532">
        <v>5.36</v>
      </c>
      <c r="D4532">
        <v>5.2</v>
      </c>
      <c r="E4532">
        <v>5.31</v>
      </c>
      <c r="F4532">
        <v>3562500</v>
      </c>
      <c r="G4532">
        <v>5.31</v>
      </c>
      <c r="H4532" t="s">
        <v>17</v>
      </c>
      <c r="I4532" s="22">
        <f t="shared" si="141"/>
        <v>9.4608085042288889E-3</v>
      </c>
      <c r="J4532" s="22" t="str">
        <f t="shared" si="142"/>
        <v/>
      </c>
    </row>
    <row r="4533" spans="1:10">
      <c r="A4533" s="1">
        <v>41201</v>
      </c>
      <c r="B4533">
        <v>5.26</v>
      </c>
      <c r="C4533">
        <v>5.29</v>
      </c>
      <c r="D4533">
        <v>5.12</v>
      </c>
      <c r="E4533">
        <v>5.2</v>
      </c>
      <c r="F4533">
        <v>2465800</v>
      </c>
      <c r="G4533">
        <v>5.2</v>
      </c>
      <c r="H4533" t="s">
        <v>17</v>
      </c>
      <c r="I4533" s="22">
        <f t="shared" si="141"/>
        <v>-2.0933209666465676E-2</v>
      </c>
      <c r="J4533" s="22" t="str">
        <f t="shared" si="142"/>
        <v>lost money</v>
      </c>
    </row>
    <row r="4534" spans="1:10">
      <c r="A4534" s="1">
        <v>41204</v>
      </c>
      <c r="B4534">
        <v>5.2</v>
      </c>
      <c r="C4534">
        <v>5.24</v>
      </c>
      <c r="D4534">
        <v>5.16</v>
      </c>
      <c r="E4534">
        <v>5.21</v>
      </c>
      <c r="F4534">
        <v>1716900</v>
      </c>
      <c r="G4534">
        <v>5.21</v>
      </c>
      <c r="H4534" t="s">
        <v>17</v>
      </c>
      <c r="I4534" s="22">
        <f t="shared" si="141"/>
        <v>1.9212301778938723E-3</v>
      </c>
      <c r="J4534" s="22" t="str">
        <f t="shared" si="142"/>
        <v/>
      </c>
    </row>
    <row r="4535" spans="1:10">
      <c r="A4535" s="1">
        <v>41205</v>
      </c>
      <c r="B4535">
        <v>5.17</v>
      </c>
      <c r="C4535">
        <v>5.26</v>
      </c>
      <c r="D4535">
        <v>5.14</v>
      </c>
      <c r="E4535">
        <v>5.24</v>
      </c>
      <c r="F4535">
        <v>2658900</v>
      </c>
      <c r="G4535">
        <v>5.24</v>
      </c>
      <c r="H4535" t="s">
        <v>17</v>
      </c>
      <c r="I4535" s="22">
        <f t="shared" si="141"/>
        <v>5.7416425676751828E-3</v>
      </c>
      <c r="J4535" s="22" t="str">
        <f t="shared" si="142"/>
        <v/>
      </c>
    </row>
    <row r="4536" spans="1:10">
      <c r="A4536" s="1">
        <v>41206</v>
      </c>
      <c r="B4536">
        <v>5.27</v>
      </c>
      <c r="C4536">
        <v>5.3</v>
      </c>
      <c r="D4536">
        <v>5.15</v>
      </c>
      <c r="E4536">
        <v>5.2</v>
      </c>
      <c r="F4536">
        <v>2070700</v>
      </c>
      <c r="G4536">
        <v>5.2</v>
      </c>
      <c r="H4536" t="s">
        <v>17</v>
      </c>
      <c r="I4536" s="22">
        <f t="shared" si="141"/>
        <v>-7.6628727455691371E-3</v>
      </c>
      <c r="J4536" s="22" t="str">
        <f t="shared" si="142"/>
        <v>lost money</v>
      </c>
    </row>
    <row r="4537" spans="1:10">
      <c r="A4537" s="1">
        <v>41207</v>
      </c>
      <c r="B4537">
        <v>5.19</v>
      </c>
      <c r="C4537">
        <v>5.26</v>
      </c>
      <c r="D4537">
        <v>5.17</v>
      </c>
      <c r="E4537">
        <v>5.25</v>
      </c>
      <c r="F4537">
        <v>3469700</v>
      </c>
      <c r="G4537">
        <v>5.25</v>
      </c>
      <c r="H4537" t="s">
        <v>17</v>
      </c>
      <c r="I4537" s="22">
        <f t="shared" si="141"/>
        <v>9.5694510161506725E-3</v>
      </c>
      <c r="J4537" s="22" t="str">
        <f t="shared" si="142"/>
        <v/>
      </c>
    </row>
    <row r="4538" spans="1:10">
      <c r="A4538" s="1">
        <v>41208</v>
      </c>
      <c r="B4538">
        <v>5.2</v>
      </c>
      <c r="C4538">
        <v>5.27</v>
      </c>
      <c r="D4538">
        <v>5.13</v>
      </c>
      <c r="E4538">
        <v>5.22</v>
      </c>
      <c r="F4538">
        <v>3238600</v>
      </c>
      <c r="G4538">
        <v>5.22</v>
      </c>
      <c r="H4538" t="s">
        <v>17</v>
      </c>
      <c r="I4538" s="22">
        <f t="shared" si="141"/>
        <v>-5.7306747089850953E-3</v>
      </c>
      <c r="J4538" s="22" t="str">
        <f t="shared" si="142"/>
        <v/>
      </c>
    </row>
    <row r="4539" spans="1:10">
      <c r="A4539" s="1">
        <v>41213</v>
      </c>
      <c r="B4539">
        <v>5.2</v>
      </c>
      <c r="C4539">
        <v>5.29</v>
      </c>
      <c r="D4539">
        <v>5.09</v>
      </c>
      <c r="E4539">
        <v>5.29</v>
      </c>
      <c r="F4539">
        <v>3205300</v>
      </c>
      <c r="G4539">
        <v>5.29</v>
      </c>
      <c r="H4539" t="s">
        <v>17</v>
      </c>
      <c r="I4539" s="22">
        <f t="shared" si="141"/>
        <v>1.3320843975660773E-2</v>
      </c>
      <c r="J4539" s="22" t="str">
        <f t="shared" si="142"/>
        <v/>
      </c>
    </row>
    <row r="4540" spans="1:10">
      <c r="A4540" s="1">
        <v>41214</v>
      </c>
      <c r="B4540">
        <v>5.27</v>
      </c>
      <c r="C4540">
        <v>5.37</v>
      </c>
      <c r="D4540">
        <v>5.21</v>
      </c>
      <c r="E4540">
        <v>5.35</v>
      </c>
      <c r="F4540">
        <v>3695100</v>
      </c>
      <c r="G4540">
        <v>5.35</v>
      </c>
      <c r="H4540" t="s">
        <v>17</v>
      </c>
      <c r="I4540" s="22">
        <f t="shared" si="141"/>
        <v>1.1278315037707053E-2</v>
      </c>
      <c r="J4540" s="22" t="str">
        <f t="shared" si="142"/>
        <v/>
      </c>
    </row>
    <row r="4541" spans="1:10">
      <c r="A4541" s="1">
        <v>41215</v>
      </c>
      <c r="B4541">
        <v>5.34</v>
      </c>
      <c r="C4541">
        <v>5.35</v>
      </c>
      <c r="D4541">
        <v>5.26</v>
      </c>
      <c r="E4541">
        <v>5.33</v>
      </c>
      <c r="F4541">
        <v>3454400</v>
      </c>
      <c r="G4541">
        <v>5.33</v>
      </c>
      <c r="H4541" t="s">
        <v>17</v>
      </c>
      <c r="I4541" s="22">
        <f t="shared" si="141"/>
        <v>-3.7453227301619415E-3</v>
      </c>
      <c r="J4541" s="22" t="str">
        <f t="shared" si="142"/>
        <v>lost money</v>
      </c>
    </row>
    <row r="4542" spans="1:10">
      <c r="A4542" s="1">
        <v>41218</v>
      </c>
      <c r="B4542">
        <v>5.31</v>
      </c>
      <c r="C4542">
        <v>5.35</v>
      </c>
      <c r="D4542">
        <v>5.28</v>
      </c>
      <c r="E4542">
        <v>5.29</v>
      </c>
      <c r="F4542">
        <v>2700800</v>
      </c>
      <c r="G4542">
        <v>5.29</v>
      </c>
      <c r="H4542" t="s">
        <v>17</v>
      </c>
      <c r="I4542" s="22">
        <f t="shared" si="141"/>
        <v>-7.5329923075451478E-3</v>
      </c>
      <c r="J4542" s="22" t="str">
        <f t="shared" si="142"/>
        <v>lost money</v>
      </c>
    </row>
    <row r="4543" spans="1:10">
      <c r="A4543" s="1">
        <v>41219</v>
      </c>
      <c r="B4543">
        <v>5.31</v>
      </c>
      <c r="C4543">
        <v>5.4</v>
      </c>
      <c r="D4543">
        <v>5.31</v>
      </c>
      <c r="E4543">
        <v>5.35</v>
      </c>
      <c r="F4543">
        <v>2355200</v>
      </c>
      <c r="G4543">
        <v>5.35</v>
      </c>
      <c r="H4543" t="s">
        <v>17</v>
      </c>
      <c r="I4543" s="22">
        <f t="shared" si="141"/>
        <v>1.1278315037707053E-2</v>
      </c>
      <c r="J4543" s="22" t="str">
        <f t="shared" si="142"/>
        <v/>
      </c>
    </row>
    <row r="4544" spans="1:10">
      <c r="A4544" s="1">
        <v>41220</v>
      </c>
      <c r="B4544">
        <v>5.28</v>
      </c>
      <c r="C4544">
        <v>5.31</v>
      </c>
      <c r="D4544">
        <v>5.17</v>
      </c>
      <c r="E4544">
        <v>5.21</v>
      </c>
      <c r="F4544">
        <v>5053000</v>
      </c>
      <c r="G4544">
        <v>5.21</v>
      </c>
      <c r="H4544" t="s">
        <v>17</v>
      </c>
      <c r="I4544" s="22">
        <f t="shared" si="141"/>
        <v>-2.651670514263961E-2</v>
      </c>
      <c r="J4544" s="22" t="str">
        <f t="shared" si="142"/>
        <v>lost money</v>
      </c>
    </row>
    <row r="4545" spans="1:10">
      <c r="A4545" s="1">
        <v>41221</v>
      </c>
      <c r="B4545">
        <v>5.21</v>
      </c>
      <c r="C4545">
        <v>5.42</v>
      </c>
      <c r="D4545">
        <v>5.18</v>
      </c>
      <c r="E4545">
        <v>5.4</v>
      </c>
      <c r="F4545">
        <v>4643800</v>
      </c>
      <c r="G4545">
        <v>5.4</v>
      </c>
      <c r="H4545" t="s">
        <v>17</v>
      </c>
      <c r="I4545" s="22">
        <f t="shared" si="141"/>
        <v>3.5819097804953272E-2</v>
      </c>
      <c r="J4545" s="22" t="str">
        <f t="shared" si="142"/>
        <v/>
      </c>
    </row>
    <row r="4546" spans="1:10">
      <c r="A4546" s="1">
        <v>41222</v>
      </c>
      <c r="B4546">
        <v>5.37</v>
      </c>
      <c r="C4546">
        <v>5.48</v>
      </c>
      <c r="D4546">
        <v>5.31</v>
      </c>
      <c r="E4546">
        <v>5.31</v>
      </c>
      <c r="F4546">
        <v>2740800</v>
      </c>
      <c r="G4546">
        <v>5.31</v>
      </c>
      <c r="H4546" t="s">
        <v>17</v>
      </c>
      <c r="I4546" s="22">
        <f t="shared" si="141"/>
        <v>-1.68071183163814E-2</v>
      </c>
      <c r="J4546" s="22" t="str">
        <f t="shared" si="142"/>
        <v>lost money</v>
      </c>
    </row>
    <row r="4547" spans="1:10">
      <c r="A4547" s="1">
        <v>41225</v>
      </c>
      <c r="B4547">
        <v>5.32</v>
      </c>
      <c r="C4547">
        <v>5.36</v>
      </c>
      <c r="D4547">
        <v>5.24</v>
      </c>
      <c r="E4547">
        <v>5.33</v>
      </c>
      <c r="F4547">
        <v>2244100</v>
      </c>
      <c r="G4547">
        <v>5.33</v>
      </c>
      <c r="H4547" t="s">
        <v>17</v>
      </c>
      <c r="I4547" s="22">
        <f t="shared" ref="I4547:I4610" si="143">IF(A4547=$A$2,"",LN(G4547/G4546))</f>
        <v>3.7594029239057455E-3</v>
      </c>
      <c r="J4547" s="22" t="str">
        <f t="shared" ref="J4547:J4610" si="144">IF(B4547&gt;E4547,"lost money","")</f>
        <v/>
      </c>
    </row>
    <row r="4548" spans="1:10">
      <c r="A4548" s="1">
        <v>41226</v>
      </c>
      <c r="B4548">
        <v>5.32</v>
      </c>
      <c r="C4548">
        <v>5.44</v>
      </c>
      <c r="D4548">
        <v>5.25</v>
      </c>
      <c r="E4548">
        <v>5.28</v>
      </c>
      <c r="F4548">
        <v>2482000</v>
      </c>
      <c r="G4548">
        <v>5.28</v>
      </c>
      <c r="H4548" t="s">
        <v>17</v>
      </c>
      <c r="I4548" s="22">
        <f t="shared" si="143"/>
        <v>-9.4251404595829969E-3</v>
      </c>
      <c r="J4548" s="22" t="str">
        <f t="shared" si="144"/>
        <v>lost money</v>
      </c>
    </row>
    <row r="4549" spans="1:10">
      <c r="A4549" s="1">
        <v>41227</v>
      </c>
      <c r="B4549">
        <v>5.28</v>
      </c>
      <c r="C4549">
        <v>5.32</v>
      </c>
      <c r="D4549">
        <v>4.96</v>
      </c>
      <c r="E4549">
        <v>4.9800000000000004</v>
      </c>
      <c r="F4549">
        <v>4075100</v>
      </c>
      <c r="G4549">
        <v>4.9800000000000004</v>
      </c>
      <c r="H4549" t="s">
        <v>17</v>
      </c>
      <c r="I4549" s="22">
        <f t="shared" si="143"/>
        <v>-5.8496206681608494E-2</v>
      </c>
      <c r="J4549" s="22" t="str">
        <f t="shared" si="144"/>
        <v>lost money</v>
      </c>
    </row>
    <row r="4550" spans="1:10">
      <c r="A4550" s="1">
        <v>41228</v>
      </c>
      <c r="B4550">
        <v>4.96</v>
      </c>
      <c r="C4550">
        <v>5.18</v>
      </c>
      <c r="D4550">
        <v>4.95</v>
      </c>
      <c r="E4550">
        <v>5.03</v>
      </c>
      <c r="F4550">
        <v>4760100</v>
      </c>
      <c r="G4550">
        <v>5.03</v>
      </c>
      <c r="H4550" t="s">
        <v>17</v>
      </c>
      <c r="I4550" s="22">
        <f t="shared" si="143"/>
        <v>9.9900930750861858E-3</v>
      </c>
      <c r="J4550" s="22" t="str">
        <f t="shared" si="144"/>
        <v/>
      </c>
    </row>
    <row r="4551" spans="1:10">
      <c r="A4551" s="1">
        <v>41229</v>
      </c>
      <c r="B4551">
        <v>4.9000000000000004</v>
      </c>
      <c r="C4551">
        <v>4.97</v>
      </c>
      <c r="D4551">
        <v>4.8</v>
      </c>
      <c r="E4551">
        <v>4.96</v>
      </c>
      <c r="F4551">
        <v>5751300</v>
      </c>
      <c r="G4551">
        <v>4.96</v>
      </c>
      <c r="H4551" t="s">
        <v>17</v>
      </c>
      <c r="I4551" s="22">
        <f t="shared" si="143"/>
        <v>-1.401424337481179E-2</v>
      </c>
      <c r="J4551" s="22" t="str">
        <f t="shared" si="144"/>
        <v/>
      </c>
    </row>
    <row r="4552" spans="1:10">
      <c r="A4552" s="1">
        <v>41232</v>
      </c>
      <c r="B4552">
        <v>4.95</v>
      </c>
      <c r="C4552">
        <v>5.0199999999999996</v>
      </c>
      <c r="D4552">
        <v>4.8899999999999997</v>
      </c>
      <c r="E4552">
        <v>5</v>
      </c>
      <c r="F4552">
        <v>1954200</v>
      </c>
      <c r="G4552">
        <v>5</v>
      </c>
      <c r="H4552" t="s">
        <v>17</v>
      </c>
      <c r="I4552" s="22">
        <f t="shared" si="143"/>
        <v>8.0321716972642527E-3</v>
      </c>
      <c r="J4552" s="22" t="str">
        <f t="shared" si="144"/>
        <v/>
      </c>
    </row>
    <row r="4553" spans="1:10">
      <c r="A4553" s="1">
        <v>41233</v>
      </c>
      <c r="B4553">
        <v>4.9800000000000004</v>
      </c>
      <c r="C4553">
        <v>5.0999999999999996</v>
      </c>
      <c r="D4553">
        <v>4.9800000000000004</v>
      </c>
      <c r="E4553">
        <v>5.0199999999999996</v>
      </c>
      <c r="F4553">
        <v>2660100</v>
      </c>
      <c r="G4553">
        <v>5.0199999999999996</v>
      </c>
      <c r="H4553" t="s">
        <v>17</v>
      </c>
      <c r="I4553" s="22">
        <f t="shared" si="143"/>
        <v>3.9920212695374567E-3</v>
      </c>
      <c r="J4553" s="22" t="str">
        <f t="shared" si="144"/>
        <v/>
      </c>
    </row>
    <row r="4554" spans="1:10">
      <c r="A4554" s="1">
        <v>41234</v>
      </c>
      <c r="B4554">
        <v>5.05</v>
      </c>
      <c r="C4554">
        <v>5.09</v>
      </c>
      <c r="D4554">
        <v>4.93</v>
      </c>
      <c r="E4554">
        <v>5.0599999999999996</v>
      </c>
      <c r="F4554">
        <v>1933900</v>
      </c>
      <c r="G4554">
        <v>5.0599999999999996</v>
      </c>
      <c r="H4554" t="s">
        <v>17</v>
      </c>
      <c r="I4554" s="22">
        <f t="shared" si="143"/>
        <v>7.9365495957363415E-3</v>
      </c>
      <c r="J4554" s="22" t="str">
        <f t="shared" si="144"/>
        <v/>
      </c>
    </row>
    <row r="4555" spans="1:10">
      <c r="A4555" s="1">
        <v>41236</v>
      </c>
      <c r="B4555">
        <v>5.08</v>
      </c>
      <c r="C4555">
        <v>5.1100000000000003</v>
      </c>
      <c r="D4555">
        <v>5.01</v>
      </c>
      <c r="E4555">
        <v>5.0999999999999996</v>
      </c>
      <c r="F4555">
        <v>1077800</v>
      </c>
      <c r="G4555">
        <v>5.0999999999999996</v>
      </c>
      <c r="H4555" t="s">
        <v>17</v>
      </c>
      <c r="I4555" s="22">
        <f t="shared" si="143"/>
        <v>7.8740564309058656E-3</v>
      </c>
      <c r="J4555" s="22" t="str">
        <f t="shared" si="144"/>
        <v/>
      </c>
    </row>
    <row r="4556" spans="1:10">
      <c r="A4556" s="1">
        <v>41239</v>
      </c>
      <c r="B4556">
        <v>5.08</v>
      </c>
      <c r="C4556">
        <v>5.08</v>
      </c>
      <c r="D4556">
        <v>4.9400000000000004</v>
      </c>
      <c r="E4556">
        <v>5.08</v>
      </c>
      <c r="F4556">
        <v>3096700</v>
      </c>
      <c r="G4556">
        <v>5.08</v>
      </c>
      <c r="H4556" t="s">
        <v>17</v>
      </c>
      <c r="I4556" s="22">
        <f t="shared" si="143"/>
        <v>-3.9292781398894382E-3</v>
      </c>
      <c r="J4556" s="22" t="str">
        <f t="shared" si="144"/>
        <v/>
      </c>
    </row>
    <row r="4557" spans="1:10">
      <c r="A4557" s="1">
        <v>41240</v>
      </c>
      <c r="B4557">
        <v>5.0999999999999996</v>
      </c>
      <c r="C4557">
        <v>5.12</v>
      </c>
      <c r="D4557">
        <v>5</v>
      </c>
      <c r="E4557">
        <v>5.0599999999999996</v>
      </c>
      <c r="F4557">
        <v>2307300</v>
      </c>
      <c r="G4557">
        <v>5.0599999999999996</v>
      </c>
      <c r="H4557" t="s">
        <v>17</v>
      </c>
      <c r="I4557" s="22">
        <f t="shared" si="143"/>
        <v>-3.9447782910164517E-3</v>
      </c>
      <c r="J4557" s="22" t="str">
        <f t="shared" si="144"/>
        <v>lost money</v>
      </c>
    </row>
    <row r="4558" spans="1:10">
      <c r="A4558" s="1">
        <v>41241</v>
      </c>
      <c r="B4558">
        <v>5.07</v>
      </c>
      <c r="C4558">
        <v>5.09</v>
      </c>
      <c r="D4558">
        <v>4.8899999999999997</v>
      </c>
      <c r="E4558">
        <v>5.08</v>
      </c>
      <c r="F4558">
        <v>3433600</v>
      </c>
      <c r="G4558">
        <v>5.08</v>
      </c>
      <c r="H4558" t="s">
        <v>17</v>
      </c>
      <c r="I4558" s="22">
        <f t="shared" si="143"/>
        <v>3.9447782910165463E-3</v>
      </c>
      <c r="J4558" s="22" t="str">
        <f t="shared" si="144"/>
        <v/>
      </c>
    </row>
    <row r="4559" spans="1:10">
      <c r="A4559" s="1">
        <v>41242</v>
      </c>
      <c r="B4559">
        <v>5.08</v>
      </c>
      <c r="C4559">
        <v>5.15</v>
      </c>
      <c r="D4559">
        <v>5.04</v>
      </c>
      <c r="E4559">
        <v>5.13</v>
      </c>
      <c r="F4559">
        <v>2534600</v>
      </c>
      <c r="G4559">
        <v>5.13</v>
      </c>
      <c r="H4559" t="s">
        <v>17</v>
      </c>
      <c r="I4559" s="22">
        <f t="shared" si="143"/>
        <v>9.794397592287625E-3</v>
      </c>
      <c r="J4559" s="22" t="str">
        <f t="shared" si="144"/>
        <v/>
      </c>
    </row>
    <row r="4560" spans="1:10">
      <c r="A4560" s="1">
        <v>41243</v>
      </c>
      <c r="B4560">
        <v>5.13</v>
      </c>
      <c r="C4560">
        <v>5.16</v>
      </c>
      <c r="D4560">
        <v>5.0999999999999996</v>
      </c>
      <c r="E4560">
        <v>5.14</v>
      </c>
      <c r="F4560">
        <v>2138100</v>
      </c>
      <c r="G4560">
        <v>5.14</v>
      </c>
      <c r="H4560" t="s">
        <v>17</v>
      </c>
      <c r="I4560" s="22">
        <f t="shared" si="143"/>
        <v>1.9474202843956288E-3</v>
      </c>
      <c r="J4560" s="22" t="str">
        <f t="shared" si="144"/>
        <v/>
      </c>
    </row>
    <row r="4561" spans="1:10">
      <c r="A4561" s="1">
        <v>41246</v>
      </c>
      <c r="B4561">
        <v>5.14</v>
      </c>
      <c r="C4561">
        <v>5.2</v>
      </c>
      <c r="D4561">
        <v>5.0999999999999996</v>
      </c>
      <c r="E4561">
        <v>5.13</v>
      </c>
      <c r="F4561">
        <v>2686800</v>
      </c>
      <c r="G4561">
        <v>5.13</v>
      </c>
      <c r="H4561" t="s">
        <v>17</v>
      </c>
      <c r="I4561" s="22">
        <f t="shared" si="143"/>
        <v>-1.9474202843955666E-3</v>
      </c>
      <c r="J4561" s="22" t="str">
        <f t="shared" si="144"/>
        <v>lost money</v>
      </c>
    </row>
    <row r="4562" spans="1:10">
      <c r="A4562" s="1">
        <v>41247</v>
      </c>
      <c r="B4562">
        <v>5.15</v>
      </c>
      <c r="C4562">
        <v>5.18</v>
      </c>
      <c r="D4562">
        <v>5.04</v>
      </c>
      <c r="E4562">
        <v>5.17</v>
      </c>
      <c r="F4562">
        <v>2004400</v>
      </c>
      <c r="G4562">
        <v>5.17</v>
      </c>
      <c r="H4562" t="s">
        <v>17</v>
      </c>
      <c r="I4562" s="22">
        <f t="shared" si="143"/>
        <v>7.7670293376595964E-3</v>
      </c>
      <c r="J4562" s="22" t="str">
        <f t="shared" si="144"/>
        <v/>
      </c>
    </row>
    <row r="4563" spans="1:10">
      <c r="A4563" s="1">
        <v>41248</v>
      </c>
      <c r="B4563">
        <v>5.19</v>
      </c>
      <c r="C4563">
        <v>5.29</v>
      </c>
      <c r="D4563">
        <v>5.12</v>
      </c>
      <c r="E4563">
        <v>5.22</v>
      </c>
      <c r="F4563">
        <v>2632400</v>
      </c>
      <c r="G4563">
        <v>5.22</v>
      </c>
      <c r="H4563" t="s">
        <v>17</v>
      </c>
      <c r="I4563" s="22">
        <f t="shared" si="143"/>
        <v>9.6247133742094725E-3</v>
      </c>
      <c r="J4563" s="22" t="str">
        <f t="shared" si="144"/>
        <v/>
      </c>
    </row>
    <row r="4564" spans="1:10">
      <c r="A4564" s="1">
        <v>41249</v>
      </c>
      <c r="B4564">
        <v>5.2</v>
      </c>
      <c r="C4564">
        <v>5.29</v>
      </c>
      <c r="D4564">
        <v>5.17</v>
      </c>
      <c r="E4564">
        <v>5.23</v>
      </c>
      <c r="F4564">
        <v>1856800</v>
      </c>
      <c r="G4564">
        <v>5.23</v>
      </c>
      <c r="H4564" t="s">
        <v>17</v>
      </c>
      <c r="I4564" s="22">
        <f t="shared" si="143"/>
        <v>1.9138761822844192E-3</v>
      </c>
      <c r="J4564" s="22" t="str">
        <f t="shared" si="144"/>
        <v/>
      </c>
    </row>
    <row r="4565" spans="1:10">
      <c r="A4565" s="1">
        <v>41250</v>
      </c>
      <c r="B4565">
        <v>5.24</v>
      </c>
      <c r="C4565">
        <v>5.32</v>
      </c>
      <c r="D4565">
        <v>5.2</v>
      </c>
      <c r="E4565">
        <v>5.24</v>
      </c>
      <c r="F4565">
        <v>2479200</v>
      </c>
      <c r="G4565">
        <v>5.24</v>
      </c>
      <c r="H4565" t="s">
        <v>17</v>
      </c>
      <c r="I4565" s="22">
        <f t="shared" si="143"/>
        <v>1.9102202561192452E-3</v>
      </c>
      <c r="J4565" s="22" t="str">
        <f t="shared" si="144"/>
        <v/>
      </c>
    </row>
    <row r="4566" spans="1:10">
      <c r="A4566" s="1">
        <v>41253</v>
      </c>
      <c r="B4566">
        <v>5.23</v>
      </c>
      <c r="C4566">
        <v>5.32</v>
      </c>
      <c r="D4566">
        <v>5.21</v>
      </c>
      <c r="E4566">
        <v>5.27</v>
      </c>
      <c r="F4566">
        <v>2056400</v>
      </c>
      <c r="G4566">
        <v>5.27</v>
      </c>
      <c r="H4566" t="s">
        <v>17</v>
      </c>
      <c r="I4566" s="22">
        <f t="shared" si="143"/>
        <v>5.7088642203199794E-3</v>
      </c>
      <c r="J4566" s="22" t="str">
        <f t="shared" si="144"/>
        <v/>
      </c>
    </row>
    <row r="4567" spans="1:10">
      <c r="A4567" s="1">
        <v>41254</v>
      </c>
      <c r="B4567">
        <v>5.31</v>
      </c>
      <c r="C4567">
        <v>5.45</v>
      </c>
      <c r="D4567">
        <v>5.29</v>
      </c>
      <c r="E4567">
        <v>5.43</v>
      </c>
      <c r="F4567">
        <v>4430900</v>
      </c>
      <c r="G4567">
        <v>5.43</v>
      </c>
      <c r="H4567" t="s">
        <v>17</v>
      </c>
      <c r="I4567" s="22">
        <f t="shared" si="143"/>
        <v>2.9908771392573034E-2</v>
      </c>
      <c r="J4567" s="22" t="str">
        <f t="shared" si="144"/>
        <v/>
      </c>
    </row>
    <row r="4568" spans="1:10">
      <c r="A4568" s="1">
        <v>41255</v>
      </c>
      <c r="B4568">
        <v>5.43</v>
      </c>
      <c r="C4568">
        <v>5.51</v>
      </c>
      <c r="D4568">
        <v>5.33</v>
      </c>
      <c r="E4568">
        <v>5.43</v>
      </c>
      <c r="F4568">
        <v>6450500</v>
      </c>
      <c r="G4568">
        <v>5.43</v>
      </c>
      <c r="H4568" t="s">
        <v>17</v>
      </c>
      <c r="I4568" s="22">
        <f t="shared" si="143"/>
        <v>0</v>
      </c>
      <c r="J4568" s="22" t="str">
        <f t="shared" si="144"/>
        <v/>
      </c>
    </row>
    <row r="4569" spans="1:10">
      <c r="A4569" s="1">
        <v>41256</v>
      </c>
      <c r="B4569">
        <v>5.45</v>
      </c>
      <c r="C4569">
        <v>5.65</v>
      </c>
      <c r="D4569">
        <v>5.45</v>
      </c>
      <c r="E4569">
        <v>5.58</v>
      </c>
      <c r="F4569">
        <v>3964200</v>
      </c>
      <c r="G4569">
        <v>5.58</v>
      </c>
      <c r="H4569" t="s">
        <v>17</v>
      </c>
      <c r="I4569" s="22">
        <f t="shared" si="143"/>
        <v>2.724964244737554E-2</v>
      </c>
      <c r="J4569" s="22" t="str">
        <f t="shared" si="144"/>
        <v/>
      </c>
    </row>
    <row r="4570" spans="1:10">
      <c r="A4570" s="1">
        <v>41257</v>
      </c>
      <c r="B4570">
        <v>5.53</v>
      </c>
      <c r="C4570">
        <v>5.65</v>
      </c>
      <c r="D4570">
        <v>5.5</v>
      </c>
      <c r="E4570">
        <v>5.53</v>
      </c>
      <c r="F4570">
        <v>2810800</v>
      </c>
      <c r="G4570">
        <v>5.53</v>
      </c>
      <c r="H4570" t="s">
        <v>17</v>
      </c>
      <c r="I4570" s="22">
        <f t="shared" si="143"/>
        <v>-9.0009608589760558E-3</v>
      </c>
      <c r="J4570" s="22" t="str">
        <f t="shared" si="144"/>
        <v/>
      </c>
    </row>
    <row r="4571" spans="1:10">
      <c r="A4571" s="1">
        <v>41260</v>
      </c>
      <c r="B4571">
        <v>5.61</v>
      </c>
      <c r="C4571">
        <v>5.79</v>
      </c>
      <c r="D4571">
        <v>5.6</v>
      </c>
      <c r="E4571">
        <v>5.71</v>
      </c>
      <c r="F4571">
        <v>5513100</v>
      </c>
      <c r="G4571">
        <v>5.71</v>
      </c>
      <c r="H4571" t="s">
        <v>17</v>
      </c>
      <c r="I4571" s="22">
        <f t="shared" si="143"/>
        <v>3.2031208133675278E-2</v>
      </c>
      <c r="J4571" s="22" t="str">
        <f t="shared" si="144"/>
        <v/>
      </c>
    </row>
    <row r="4572" spans="1:10">
      <c r="A4572" s="1">
        <v>41261</v>
      </c>
      <c r="B4572">
        <v>5.75</v>
      </c>
      <c r="C4572">
        <v>5.85</v>
      </c>
      <c r="D4572">
        <v>5.7</v>
      </c>
      <c r="E4572">
        <v>5.83</v>
      </c>
      <c r="F4572">
        <v>4327600</v>
      </c>
      <c r="G4572">
        <v>5.83</v>
      </c>
      <c r="H4572" t="s">
        <v>17</v>
      </c>
      <c r="I4572" s="22">
        <f t="shared" si="143"/>
        <v>2.0797976694482134E-2</v>
      </c>
      <c r="J4572" s="22" t="str">
        <f t="shared" si="144"/>
        <v/>
      </c>
    </row>
    <row r="4573" spans="1:10">
      <c r="A4573" s="1">
        <v>41262</v>
      </c>
      <c r="B4573">
        <v>5.88</v>
      </c>
      <c r="C4573">
        <v>5.94</v>
      </c>
      <c r="D4573">
        <v>5.8</v>
      </c>
      <c r="E4573">
        <v>5.87</v>
      </c>
      <c r="F4573">
        <v>4463000</v>
      </c>
      <c r="G4573">
        <v>5.87</v>
      </c>
      <c r="H4573" t="s">
        <v>17</v>
      </c>
      <c r="I4573" s="22">
        <f t="shared" si="143"/>
        <v>6.8376334776039686E-3</v>
      </c>
      <c r="J4573" s="22" t="str">
        <f t="shared" si="144"/>
        <v>lost money</v>
      </c>
    </row>
    <row r="4574" spans="1:10">
      <c r="A4574" s="1">
        <v>41263</v>
      </c>
      <c r="B4574">
        <v>5.88</v>
      </c>
      <c r="C4574">
        <v>5.99</v>
      </c>
      <c r="D4574">
        <v>5.81</v>
      </c>
      <c r="E4574">
        <v>5.94</v>
      </c>
      <c r="F4574">
        <v>6243600</v>
      </c>
      <c r="G4574">
        <v>5.94</v>
      </c>
      <c r="H4574" t="s">
        <v>17</v>
      </c>
      <c r="I4574" s="22">
        <f t="shared" si="143"/>
        <v>1.1854499534548599E-2</v>
      </c>
      <c r="J4574" s="22" t="str">
        <f t="shared" si="144"/>
        <v/>
      </c>
    </row>
    <row r="4575" spans="1:10">
      <c r="A4575" s="1">
        <v>41264</v>
      </c>
      <c r="B4575">
        <v>5.87</v>
      </c>
      <c r="C4575">
        <v>5.88</v>
      </c>
      <c r="D4575">
        <v>5.75</v>
      </c>
      <c r="E4575">
        <v>5.8</v>
      </c>
      <c r="F4575">
        <v>4647900</v>
      </c>
      <c r="G4575">
        <v>5.8</v>
      </c>
      <c r="H4575" t="s">
        <v>17</v>
      </c>
      <c r="I4575" s="22">
        <f t="shared" si="143"/>
        <v>-2.3851215822180024E-2</v>
      </c>
      <c r="J4575" s="22" t="str">
        <f t="shared" si="144"/>
        <v>lost money</v>
      </c>
    </row>
    <row r="4576" spans="1:10">
      <c r="A4576" s="1">
        <v>41267</v>
      </c>
      <c r="B4576">
        <v>5.8</v>
      </c>
      <c r="C4576">
        <v>5.85</v>
      </c>
      <c r="D4576">
        <v>5.74</v>
      </c>
      <c r="E4576">
        <v>5.75</v>
      </c>
      <c r="F4576">
        <v>1016900</v>
      </c>
      <c r="G4576">
        <v>5.75</v>
      </c>
      <c r="H4576" t="s">
        <v>17</v>
      </c>
      <c r="I4576" s="22">
        <f t="shared" si="143"/>
        <v>-8.6580627431145415E-3</v>
      </c>
      <c r="J4576" s="22" t="str">
        <f t="shared" si="144"/>
        <v>lost money</v>
      </c>
    </row>
    <row r="4577" spans="1:10">
      <c r="A4577" s="1">
        <v>41269</v>
      </c>
      <c r="B4577">
        <v>5.75</v>
      </c>
      <c r="C4577">
        <v>5.84</v>
      </c>
      <c r="D4577">
        <v>5.71</v>
      </c>
      <c r="E4577">
        <v>5.73</v>
      </c>
      <c r="F4577">
        <v>1919700</v>
      </c>
      <c r="G4577">
        <v>5.73</v>
      </c>
      <c r="H4577" t="s">
        <v>17</v>
      </c>
      <c r="I4577" s="22">
        <f t="shared" si="143"/>
        <v>-3.484324082610811E-3</v>
      </c>
      <c r="J4577" s="22" t="str">
        <f t="shared" si="144"/>
        <v>lost money</v>
      </c>
    </row>
    <row r="4578" spans="1:10">
      <c r="A4578" s="1">
        <v>41270</v>
      </c>
      <c r="B4578">
        <v>5.72</v>
      </c>
      <c r="C4578">
        <v>5.8</v>
      </c>
      <c r="D4578">
        <v>5.62</v>
      </c>
      <c r="E4578">
        <v>5.68</v>
      </c>
      <c r="F4578">
        <v>2982700</v>
      </c>
      <c r="G4578">
        <v>5.68</v>
      </c>
      <c r="H4578" t="s">
        <v>17</v>
      </c>
      <c r="I4578" s="22">
        <f t="shared" si="143"/>
        <v>-8.7642979935883547E-3</v>
      </c>
      <c r="J4578" s="22" t="str">
        <f t="shared" si="144"/>
        <v>lost money</v>
      </c>
    </row>
    <row r="4579" spans="1:10">
      <c r="A4579" s="1">
        <v>41271</v>
      </c>
      <c r="B4579">
        <v>5.62</v>
      </c>
      <c r="C4579">
        <v>5.69</v>
      </c>
      <c r="D4579">
        <v>5.56</v>
      </c>
      <c r="E4579">
        <v>5.58</v>
      </c>
      <c r="F4579">
        <v>2651400</v>
      </c>
      <c r="G4579">
        <v>5.58</v>
      </c>
      <c r="H4579" t="s">
        <v>17</v>
      </c>
      <c r="I4579" s="22">
        <f t="shared" si="143"/>
        <v>-1.7762456339840388E-2</v>
      </c>
      <c r="J4579" s="22" t="str">
        <f t="shared" si="144"/>
        <v>lost money</v>
      </c>
    </row>
    <row r="4580" spans="1:10">
      <c r="A4580" s="1">
        <v>41274</v>
      </c>
      <c r="B4580">
        <v>5.57</v>
      </c>
      <c r="C4580">
        <v>5.73</v>
      </c>
      <c r="D4580">
        <v>5.55</v>
      </c>
      <c r="E4580">
        <v>5.72</v>
      </c>
      <c r="F4580">
        <v>2858600</v>
      </c>
      <c r="G4580">
        <v>5.72</v>
      </c>
      <c r="H4580" t="s">
        <v>17</v>
      </c>
      <c r="I4580" s="22">
        <f t="shared" si="143"/>
        <v>2.4780028998486865E-2</v>
      </c>
      <c r="J4580" s="22" t="str">
        <f t="shared" si="144"/>
        <v/>
      </c>
    </row>
    <row r="4581" spans="1:10">
      <c r="A4581" s="1">
        <v>41276</v>
      </c>
      <c r="B4581">
        <v>5.89</v>
      </c>
      <c r="C4581">
        <v>5.95</v>
      </c>
      <c r="D4581">
        <v>5.79</v>
      </c>
      <c r="E4581">
        <v>5.9</v>
      </c>
      <c r="F4581">
        <v>5014500</v>
      </c>
      <c r="G4581">
        <v>5.9</v>
      </c>
      <c r="H4581" t="s">
        <v>17</v>
      </c>
      <c r="I4581" s="22">
        <f t="shared" si="143"/>
        <v>3.0983545519967442E-2</v>
      </c>
      <c r="J4581" s="22" t="str">
        <f t="shared" si="144"/>
        <v/>
      </c>
    </row>
    <row r="4582" spans="1:10">
      <c r="A4582" s="1">
        <v>41277</v>
      </c>
      <c r="B4582">
        <v>5.91</v>
      </c>
      <c r="C4582">
        <v>5.97</v>
      </c>
      <c r="D4582">
        <v>5.8</v>
      </c>
      <c r="E4582">
        <v>5.95</v>
      </c>
      <c r="F4582">
        <v>3664000</v>
      </c>
      <c r="G4582">
        <v>5.95</v>
      </c>
      <c r="H4582" t="s">
        <v>17</v>
      </c>
      <c r="I4582" s="22">
        <f t="shared" si="143"/>
        <v>8.4388686458646035E-3</v>
      </c>
      <c r="J4582" s="22" t="str">
        <f t="shared" si="144"/>
        <v/>
      </c>
    </row>
    <row r="4583" spans="1:10">
      <c r="A4583" s="1">
        <v>41278</v>
      </c>
      <c r="B4583">
        <v>5.97</v>
      </c>
      <c r="C4583">
        <v>5.99</v>
      </c>
      <c r="D4583">
        <v>5.88</v>
      </c>
      <c r="E4583">
        <v>5.95</v>
      </c>
      <c r="F4583">
        <v>2989300</v>
      </c>
      <c r="G4583">
        <v>5.95</v>
      </c>
      <c r="H4583" t="s">
        <v>17</v>
      </c>
      <c r="I4583" s="22">
        <f t="shared" si="143"/>
        <v>0</v>
      </c>
      <c r="J4583" s="22" t="str">
        <f t="shared" si="144"/>
        <v>lost money</v>
      </c>
    </row>
    <row r="4584" spans="1:10">
      <c r="A4584" s="1">
        <v>41281</v>
      </c>
      <c r="B4584">
        <v>5.95</v>
      </c>
      <c r="C4584">
        <v>6.02</v>
      </c>
      <c r="D4584">
        <v>5.92</v>
      </c>
      <c r="E4584">
        <v>5.97</v>
      </c>
      <c r="F4584">
        <v>3047300</v>
      </c>
      <c r="G4584">
        <v>5.97</v>
      </c>
      <c r="H4584" t="s">
        <v>17</v>
      </c>
      <c r="I4584" s="22">
        <f t="shared" si="143"/>
        <v>3.3557078469723151E-3</v>
      </c>
      <c r="J4584" s="22" t="str">
        <f t="shared" si="144"/>
        <v/>
      </c>
    </row>
    <row r="4585" spans="1:10">
      <c r="A4585" s="1">
        <v>41282</v>
      </c>
      <c r="B4585">
        <v>5.81</v>
      </c>
      <c r="C4585">
        <v>5.95</v>
      </c>
      <c r="D4585">
        <v>5.78</v>
      </c>
      <c r="E4585">
        <v>5.94</v>
      </c>
      <c r="F4585">
        <v>5606800</v>
      </c>
      <c r="G4585">
        <v>5.94</v>
      </c>
      <c r="H4585" t="s">
        <v>17</v>
      </c>
      <c r="I4585" s="22">
        <f t="shared" si="143"/>
        <v>-5.0377940299570698E-3</v>
      </c>
      <c r="J4585" s="22" t="str">
        <f t="shared" si="144"/>
        <v/>
      </c>
    </row>
    <row r="4586" spans="1:10">
      <c r="A4586" s="1">
        <v>41283</v>
      </c>
      <c r="B4586">
        <v>5.95</v>
      </c>
      <c r="C4586">
        <v>6.03</v>
      </c>
      <c r="D4586">
        <v>5.83</v>
      </c>
      <c r="E4586">
        <v>5.87</v>
      </c>
      <c r="F4586">
        <v>3519800</v>
      </c>
      <c r="G4586">
        <v>5.87</v>
      </c>
      <c r="H4586" t="s">
        <v>17</v>
      </c>
      <c r="I4586" s="22">
        <f t="shared" si="143"/>
        <v>-1.1854499534548481E-2</v>
      </c>
      <c r="J4586" s="22" t="str">
        <f t="shared" si="144"/>
        <v>lost money</v>
      </c>
    </row>
    <row r="4587" spans="1:10">
      <c r="A4587" s="1">
        <v>41284</v>
      </c>
      <c r="B4587">
        <v>5.91</v>
      </c>
      <c r="C4587">
        <v>5.97</v>
      </c>
      <c r="D4587">
        <v>5.78</v>
      </c>
      <c r="E4587">
        <v>5.81</v>
      </c>
      <c r="F4587">
        <v>3970100</v>
      </c>
      <c r="G4587">
        <v>5.81</v>
      </c>
      <c r="H4587" t="s">
        <v>17</v>
      </c>
      <c r="I4587" s="22">
        <f t="shared" si="143"/>
        <v>-1.027406297618534E-2</v>
      </c>
      <c r="J4587" s="22" t="str">
        <f t="shared" si="144"/>
        <v>lost money</v>
      </c>
    </row>
    <row r="4588" spans="1:10">
      <c r="A4588" s="1">
        <v>41285</v>
      </c>
      <c r="B4588">
        <v>5.87</v>
      </c>
      <c r="C4588">
        <v>5.91</v>
      </c>
      <c r="D4588">
        <v>5.8</v>
      </c>
      <c r="E4588">
        <v>5.87</v>
      </c>
      <c r="F4588">
        <v>2069700</v>
      </c>
      <c r="G4588">
        <v>5.87</v>
      </c>
      <c r="H4588" t="s">
        <v>17</v>
      </c>
      <c r="I4588" s="22">
        <f t="shared" si="143"/>
        <v>1.0274062976185284E-2</v>
      </c>
      <c r="J4588" s="22" t="str">
        <f t="shared" si="144"/>
        <v/>
      </c>
    </row>
    <row r="4589" spans="1:10">
      <c r="A4589" s="1">
        <v>41288</v>
      </c>
      <c r="B4589">
        <v>5.89</v>
      </c>
      <c r="C4589">
        <v>5.97</v>
      </c>
      <c r="D4589">
        <v>5.83</v>
      </c>
      <c r="E4589">
        <v>5.9</v>
      </c>
      <c r="F4589">
        <v>2032000</v>
      </c>
      <c r="G4589">
        <v>5.9</v>
      </c>
      <c r="H4589" t="s">
        <v>17</v>
      </c>
      <c r="I4589" s="22">
        <f t="shared" si="143"/>
        <v>5.097717071668801E-3</v>
      </c>
      <c r="J4589" s="22" t="str">
        <f t="shared" si="144"/>
        <v/>
      </c>
    </row>
    <row r="4590" spans="1:10">
      <c r="A4590" s="1">
        <v>41289</v>
      </c>
      <c r="B4590">
        <v>5.88</v>
      </c>
      <c r="C4590">
        <v>5.96</v>
      </c>
      <c r="D4590">
        <v>5.81</v>
      </c>
      <c r="E4590">
        <v>5.95</v>
      </c>
      <c r="F4590">
        <v>3174500</v>
      </c>
      <c r="G4590">
        <v>5.95</v>
      </c>
      <c r="H4590" t="s">
        <v>17</v>
      </c>
      <c r="I4590" s="22">
        <f t="shared" si="143"/>
        <v>8.4388686458646035E-3</v>
      </c>
      <c r="J4590" s="22" t="str">
        <f t="shared" si="144"/>
        <v/>
      </c>
    </row>
    <row r="4591" spans="1:10">
      <c r="A4591" s="1">
        <v>41290</v>
      </c>
      <c r="B4591">
        <v>5.95</v>
      </c>
      <c r="C4591">
        <v>6.26</v>
      </c>
      <c r="D4591">
        <v>5.92</v>
      </c>
      <c r="E4591">
        <v>6.18</v>
      </c>
      <c r="F4591">
        <v>10254100</v>
      </c>
      <c r="G4591">
        <v>6.18</v>
      </c>
      <c r="H4591" t="s">
        <v>17</v>
      </c>
      <c r="I4591" s="22">
        <f t="shared" si="143"/>
        <v>3.7927051912060882E-2</v>
      </c>
      <c r="J4591" s="22" t="str">
        <f t="shared" si="144"/>
        <v/>
      </c>
    </row>
    <row r="4592" spans="1:10">
      <c r="A4592" s="1">
        <v>41291</v>
      </c>
      <c r="B4592">
        <v>6.2</v>
      </c>
      <c r="C4592">
        <v>6.21</v>
      </c>
      <c r="D4592">
        <v>6.07</v>
      </c>
      <c r="E4592">
        <v>6.19</v>
      </c>
      <c r="F4592">
        <v>6382200</v>
      </c>
      <c r="G4592">
        <v>6.19</v>
      </c>
      <c r="H4592" t="s">
        <v>17</v>
      </c>
      <c r="I4592" s="22">
        <f t="shared" si="143"/>
        <v>1.6168152269054777E-3</v>
      </c>
      <c r="J4592" s="22" t="str">
        <f t="shared" si="144"/>
        <v>lost money</v>
      </c>
    </row>
    <row r="4593" spans="1:10">
      <c r="A4593" s="1">
        <v>41292</v>
      </c>
      <c r="B4593">
        <v>6.16</v>
      </c>
      <c r="C4593">
        <v>6.17</v>
      </c>
      <c r="D4593">
        <v>6.04</v>
      </c>
      <c r="E4593">
        <v>6.12</v>
      </c>
      <c r="F4593">
        <v>3435600</v>
      </c>
      <c r="G4593">
        <v>6.12</v>
      </c>
      <c r="H4593" t="s">
        <v>17</v>
      </c>
      <c r="I4593" s="22">
        <f t="shared" si="143"/>
        <v>-1.1372990172270024E-2</v>
      </c>
      <c r="J4593" s="22" t="str">
        <f t="shared" si="144"/>
        <v>lost money</v>
      </c>
    </row>
    <row r="4594" spans="1:10">
      <c r="A4594" s="1">
        <v>41296</v>
      </c>
      <c r="B4594">
        <v>6.11</v>
      </c>
      <c r="C4594">
        <v>6.34</v>
      </c>
      <c r="D4594">
        <v>6.09</v>
      </c>
      <c r="E4594">
        <v>6.33</v>
      </c>
      <c r="F4594">
        <v>7027500</v>
      </c>
      <c r="G4594">
        <v>6.33</v>
      </c>
      <c r="H4594" t="s">
        <v>17</v>
      </c>
      <c r="I4594" s="22">
        <f t="shared" si="143"/>
        <v>3.3738139631850204E-2</v>
      </c>
      <c r="J4594" s="22" t="str">
        <f t="shared" si="144"/>
        <v/>
      </c>
    </row>
    <row r="4595" spans="1:10">
      <c r="A4595" s="1">
        <v>41297</v>
      </c>
      <c r="B4595">
        <v>6.35</v>
      </c>
      <c r="C4595">
        <v>6.37</v>
      </c>
      <c r="D4595">
        <v>6.24</v>
      </c>
      <c r="E4595">
        <v>6.28</v>
      </c>
      <c r="F4595">
        <v>3780400</v>
      </c>
      <c r="G4595">
        <v>6.28</v>
      </c>
      <c r="H4595" t="s">
        <v>17</v>
      </c>
      <c r="I4595" s="22">
        <f t="shared" si="143"/>
        <v>-7.9302556759774431E-3</v>
      </c>
      <c r="J4595" s="22" t="str">
        <f t="shared" si="144"/>
        <v>lost money</v>
      </c>
    </row>
    <row r="4596" spans="1:10">
      <c r="A4596" s="1">
        <v>41298</v>
      </c>
      <c r="B4596">
        <v>6.26</v>
      </c>
      <c r="C4596">
        <v>6.39</v>
      </c>
      <c r="D4596">
        <v>6.21</v>
      </c>
      <c r="E4596">
        <v>6.29</v>
      </c>
      <c r="F4596">
        <v>5985400</v>
      </c>
      <c r="G4596">
        <v>6.29</v>
      </c>
      <c r="H4596" t="s">
        <v>17</v>
      </c>
      <c r="I4596" s="22">
        <f t="shared" si="143"/>
        <v>1.5910902322419035E-3</v>
      </c>
      <c r="J4596" s="22" t="str">
        <f t="shared" si="144"/>
        <v/>
      </c>
    </row>
    <row r="4597" spans="1:10">
      <c r="A4597" s="1">
        <v>41299</v>
      </c>
      <c r="B4597">
        <v>6.33</v>
      </c>
      <c r="C4597">
        <v>6.42</v>
      </c>
      <c r="D4597">
        <v>6.25</v>
      </c>
      <c r="E4597">
        <v>6.35</v>
      </c>
      <c r="F4597">
        <v>5547800</v>
      </c>
      <c r="G4597">
        <v>6.35</v>
      </c>
      <c r="H4597" t="s">
        <v>17</v>
      </c>
      <c r="I4597" s="22">
        <f t="shared" si="143"/>
        <v>9.4937421922511433E-3</v>
      </c>
      <c r="J4597" s="22" t="str">
        <f t="shared" si="144"/>
        <v/>
      </c>
    </row>
    <row r="4598" spans="1:10">
      <c r="A4598" s="1">
        <v>41302</v>
      </c>
      <c r="B4598">
        <v>6.36</v>
      </c>
      <c r="C4598">
        <v>6.39</v>
      </c>
      <c r="D4598">
        <v>6.22</v>
      </c>
      <c r="E4598">
        <v>6.23</v>
      </c>
      <c r="F4598">
        <v>4131100</v>
      </c>
      <c r="G4598">
        <v>6.23</v>
      </c>
      <c r="H4598" t="s">
        <v>17</v>
      </c>
      <c r="I4598" s="22">
        <f t="shared" si="143"/>
        <v>-1.9078480105238334E-2</v>
      </c>
      <c r="J4598" s="22" t="str">
        <f t="shared" si="144"/>
        <v>lost money</v>
      </c>
    </row>
    <row r="4599" spans="1:10">
      <c r="A4599" s="1">
        <v>41303</v>
      </c>
      <c r="B4599">
        <v>5.95</v>
      </c>
      <c r="C4599">
        <v>6.12</v>
      </c>
      <c r="D4599">
        <v>5.89</v>
      </c>
      <c r="E4599">
        <v>6.07</v>
      </c>
      <c r="F4599">
        <v>9283700</v>
      </c>
      <c r="G4599">
        <v>6.07</v>
      </c>
      <c r="H4599" t="s">
        <v>17</v>
      </c>
      <c r="I4599" s="22">
        <f t="shared" si="143"/>
        <v>-2.6017727727954913E-2</v>
      </c>
      <c r="J4599" s="22" t="str">
        <f t="shared" si="144"/>
        <v/>
      </c>
    </row>
    <row r="4600" spans="1:10">
      <c r="A4600" s="1">
        <v>41304</v>
      </c>
      <c r="B4600">
        <v>5.91</v>
      </c>
      <c r="C4600">
        <v>5.97</v>
      </c>
      <c r="D4600">
        <v>5.73</v>
      </c>
      <c r="E4600">
        <v>5.8</v>
      </c>
      <c r="F4600">
        <v>6324900</v>
      </c>
      <c r="G4600">
        <v>5.8</v>
      </c>
      <c r="H4600" t="s">
        <v>17</v>
      </c>
      <c r="I4600" s="22">
        <f t="shared" si="143"/>
        <v>-4.5500687519033377E-2</v>
      </c>
      <c r="J4600" s="22" t="str">
        <f t="shared" si="144"/>
        <v>lost money</v>
      </c>
    </row>
    <row r="4601" spans="1:10">
      <c r="A4601" s="1">
        <v>41305</v>
      </c>
      <c r="B4601">
        <v>5.79</v>
      </c>
      <c r="C4601">
        <v>5.86</v>
      </c>
      <c r="D4601">
        <v>5.73</v>
      </c>
      <c r="E4601">
        <v>5.81</v>
      </c>
      <c r="F4601">
        <v>3985000</v>
      </c>
      <c r="G4601">
        <v>5.81</v>
      </c>
      <c r="H4601" t="s">
        <v>17</v>
      </c>
      <c r="I4601" s="22">
        <f t="shared" si="143"/>
        <v>1.722653311446156E-3</v>
      </c>
      <c r="J4601" s="22" t="str">
        <f t="shared" si="144"/>
        <v/>
      </c>
    </row>
    <row r="4602" spans="1:10">
      <c r="A4602" s="1">
        <v>41306</v>
      </c>
      <c r="B4602">
        <v>5.8</v>
      </c>
      <c r="C4602">
        <v>5.9</v>
      </c>
      <c r="D4602">
        <v>5.75</v>
      </c>
      <c r="E4602">
        <v>5.8</v>
      </c>
      <c r="F4602">
        <v>3260300</v>
      </c>
      <c r="G4602">
        <v>5.8</v>
      </c>
      <c r="H4602" t="s">
        <v>17</v>
      </c>
      <c r="I4602" s="22">
        <f t="shared" si="143"/>
        <v>-1.7226533114461818E-3</v>
      </c>
      <c r="J4602" s="22" t="str">
        <f t="shared" si="144"/>
        <v/>
      </c>
    </row>
    <row r="4603" spans="1:10">
      <c r="A4603" s="1">
        <v>41309</v>
      </c>
      <c r="B4603">
        <v>5.81</v>
      </c>
      <c r="C4603">
        <v>5.86</v>
      </c>
      <c r="D4603">
        <v>5.7</v>
      </c>
      <c r="E4603">
        <v>5.74</v>
      </c>
      <c r="F4603">
        <v>3544900</v>
      </c>
      <c r="G4603">
        <v>5.74</v>
      </c>
      <c r="H4603" t="s">
        <v>17</v>
      </c>
      <c r="I4603" s="22">
        <f t="shared" si="143"/>
        <v>-1.0398707220898511E-2</v>
      </c>
      <c r="J4603" s="22" t="str">
        <f t="shared" si="144"/>
        <v>lost money</v>
      </c>
    </row>
    <row r="4604" spans="1:10">
      <c r="A4604" s="1">
        <v>41310</v>
      </c>
      <c r="B4604">
        <v>5.75</v>
      </c>
      <c r="C4604">
        <v>5.8</v>
      </c>
      <c r="D4604">
        <v>5.74</v>
      </c>
      <c r="E4604">
        <v>5.75</v>
      </c>
      <c r="F4604">
        <v>2083100</v>
      </c>
      <c r="G4604">
        <v>5.75</v>
      </c>
      <c r="H4604" t="s">
        <v>17</v>
      </c>
      <c r="I4604" s="22">
        <f t="shared" si="143"/>
        <v>1.7406444777838966E-3</v>
      </c>
      <c r="J4604" s="22" t="str">
        <f t="shared" si="144"/>
        <v/>
      </c>
    </row>
    <row r="4605" spans="1:10">
      <c r="A4605" s="1">
        <v>41311</v>
      </c>
      <c r="B4605">
        <v>5.74</v>
      </c>
      <c r="C4605">
        <v>5.97</v>
      </c>
      <c r="D4605">
        <v>5.73</v>
      </c>
      <c r="E4605">
        <v>5.88</v>
      </c>
      <c r="F4605">
        <v>4603200</v>
      </c>
      <c r="G4605">
        <v>5.88</v>
      </c>
      <c r="H4605" t="s">
        <v>17</v>
      </c>
      <c r="I4605" s="22">
        <f t="shared" si="143"/>
        <v>2.2356907101276396E-2</v>
      </c>
      <c r="J4605" s="22" t="str">
        <f t="shared" si="144"/>
        <v/>
      </c>
    </row>
    <row r="4606" spans="1:10">
      <c r="A4606" s="1">
        <v>41312</v>
      </c>
      <c r="B4606">
        <v>5.89</v>
      </c>
      <c r="C4606">
        <v>5.95</v>
      </c>
      <c r="D4606">
        <v>5.82</v>
      </c>
      <c r="E4606">
        <v>5.89</v>
      </c>
      <c r="F4606">
        <v>3348200</v>
      </c>
      <c r="G4606">
        <v>5.89</v>
      </c>
      <c r="H4606" t="s">
        <v>17</v>
      </c>
      <c r="I4606" s="22">
        <f t="shared" si="143"/>
        <v>1.6992357529598428E-3</v>
      </c>
      <c r="J4606" s="22" t="str">
        <f t="shared" si="144"/>
        <v/>
      </c>
    </row>
    <row r="4607" spans="1:10">
      <c r="A4607" s="1">
        <v>41313</v>
      </c>
      <c r="B4607">
        <v>5.91</v>
      </c>
      <c r="C4607">
        <v>5.95</v>
      </c>
      <c r="D4607">
        <v>5.86</v>
      </c>
      <c r="E4607">
        <v>5.92</v>
      </c>
      <c r="F4607">
        <v>1964700</v>
      </c>
      <c r="G4607">
        <v>5.92</v>
      </c>
      <c r="H4607" t="s">
        <v>17</v>
      </c>
      <c r="I4607" s="22">
        <f t="shared" si="143"/>
        <v>5.0804512324189137E-3</v>
      </c>
      <c r="J4607" s="22" t="str">
        <f t="shared" si="144"/>
        <v/>
      </c>
    </row>
    <row r="4608" spans="1:10">
      <c r="A4608" s="1">
        <v>41316</v>
      </c>
      <c r="B4608">
        <v>5.9</v>
      </c>
      <c r="C4608">
        <v>5.95</v>
      </c>
      <c r="D4608">
        <v>5.86</v>
      </c>
      <c r="E4608">
        <v>5.88</v>
      </c>
      <c r="F4608">
        <v>2120800</v>
      </c>
      <c r="G4608">
        <v>5.88</v>
      </c>
      <c r="H4608" t="s">
        <v>17</v>
      </c>
      <c r="I4608" s="22">
        <f t="shared" si="143"/>
        <v>-6.7796869853788038E-3</v>
      </c>
      <c r="J4608" s="22" t="str">
        <f t="shared" si="144"/>
        <v>lost money</v>
      </c>
    </row>
    <row r="4609" spans="1:10">
      <c r="A4609" s="1">
        <v>41317</v>
      </c>
      <c r="B4609">
        <v>5.88</v>
      </c>
      <c r="C4609">
        <v>5.93</v>
      </c>
      <c r="D4609">
        <v>5.84</v>
      </c>
      <c r="E4609">
        <v>5.9</v>
      </c>
      <c r="F4609">
        <v>3418500</v>
      </c>
      <c r="G4609">
        <v>5.9</v>
      </c>
      <c r="H4609" t="s">
        <v>17</v>
      </c>
      <c r="I4609" s="22">
        <f t="shared" si="143"/>
        <v>3.3955890011383287E-3</v>
      </c>
      <c r="J4609" s="22" t="str">
        <f t="shared" si="144"/>
        <v/>
      </c>
    </row>
    <row r="4610" spans="1:10">
      <c r="A4610" s="1">
        <v>41318</v>
      </c>
      <c r="B4610">
        <v>5.91</v>
      </c>
      <c r="C4610">
        <v>5.99</v>
      </c>
      <c r="D4610">
        <v>5.88</v>
      </c>
      <c r="E4610">
        <v>5.98</v>
      </c>
      <c r="F4610">
        <v>2524700</v>
      </c>
      <c r="G4610">
        <v>5.98</v>
      </c>
      <c r="H4610" t="s">
        <v>17</v>
      </c>
      <c r="I4610" s="22">
        <f t="shared" si="143"/>
        <v>1.3468217050866611E-2</v>
      </c>
      <c r="J4610" s="22" t="str">
        <f t="shared" si="144"/>
        <v/>
      </c>
    </row>
    <row r="4611" spans="1:10">
      <c r="A4611" s="1">
        <v>41319</v>
      </c>
      <c r="B4611">
        <v>5.95</v>
      </c>
      <c r="C4611">
        <v>5.98</v>
      </c>
      <c r="D4611">
        <v>5.84</v>
      </c>
      <c r="E4611">
        <v>5.91</v>
      </c>
      <c r="F4611">
        <v>3202700</v>
      </c>
      <c r="G4611">
        <v>5.91</v>
      </c>
      <c r="H4611" t="s">
        <v>17</v>
      </c>
      <c r="I4611" s="22">
        <f t="shared" ref="I4611:I4674" si="145">IF(A4611=$A$2,"",LN(G4611/G4610))</f>
        <v>-1.177473654453353E-2</v>
      </c>
      <c r="J4611" s="22" t="str">
        <f t="shared" ref="J4611:J4674" si="146">IF(B4611&gt;E4611,"lost money","")</f>
        <v>lost money</v>
      </c>
    </row>
    <row r="4612" spans="1:10">
      <c r="A4612" s="1">
        <v>41320</v>
      </c>
      <c r="B4612">
        <v>5.97</v>
      </c>
      <c r="C4612">
        <v>6.09</v>
      </c>
      <c r="D4612">
        <v>5.93</v>
      </c>
      <c r="E4612">
        <v>6.03</v>
      </c>
      <c r="F4612">
        <v>2620800</v>
      </c>
      <c r="G4612">
        <v>6.03</v>
      </c>
      <c r="H4612" t="s">
        <v>17</v>
      </c>
      <c r="I4612" s="22">
        <f t="shared" si="145"/>
        <v>2.0101179321087303E-2</v>
      </c>
      <c r="J4612" s="22" t="str">
        <f t="shared" si="146"/>
        <v/>
      </c>
    </row>
    <row r="4613" spans="1:10">
      <c r="A4613" s="1">
        <v>41324</v>
      </c>
      <c r="B4613">
        <v>6.05</v>
      </c>
      <c r="C4613">
        <v>6.15</v>
      </c>
      <c r="D4613">
        <v>6.05</v>
      </c>
      <c r="E4613">
        <v>6.12</v>
      </c>
      <c r="F4613">
        <v>2807400</v>
      </c>
      <c r="G4613">
        <v>6.12</v>
      </c>
      <c r="H4613" t="s">
        <v>17</v>
      </c>
      <c r="I4613" s="22">
        <f t="shared" si="145"/>
        <v>1.4815085785140682E-2</v>
      </c>
      <c r="J4613" s="22" t="str">
        <f t="shared" si="146"/>
        <v/>
      </c>
    </row>
    <row r="4614" spans="1:10">
      <c r="A4614" s="1">
        <v>41325</v>
      </c>
      <c r="B4614">
        <v>6.11</v>
      </c>
      <c r="C4614">
        <v>6.13</v>
      </c>
      <c r="D4614">
        <v>6.02</v>
      </c>
      <c r="E4614">
        <v>6.02</v>
      </c>
      <c r="F4614">
        <v>3590300</v>
      </c>
      <c r="G4614">
        <v>6.02</v>
      </c>
      <c r="H4614" t="s">
        <v>17</v>
      </c>
      <c r="I4614" s="22">
        <f t="shared" si="145"/>
        <v>-1.6474837203505097E-2</v>
      </c>
      <c r="J4614" s="22" t="str">
        <f t="shared" si="146"/>
        <v>lost money</v>
      </c>
    </row>
    <row r="4615" spans="1:10">
      <c r="A4615" s="1">
        <v>41326</v>
      </c>
      <c r="B4615">
        <v>6.04</v>
      </c>
      <c r="C4615">
        <v>6.06</v>
      </c>
      <c r="D4615">
        <v>5.92</v>
      </c>
      <c r="E4615">
        <v>5.96</v>
      </c>
      <c r="F4615">
        <v>3284000</v>
      </c>
      <c r="G4615">
        <v>5.96</v>
      </c>
      <c r="H4615" t="s">
        <v>17</v>
      </c>
      <c r="I4615" s="22">
        <f t="shared" si="145"/>
        <v>-1.0016778243471232E-2</v>
      </c>
      <c r="J4615" s="22" t="str">
        <f t="shared" si="146"/>
        <v>lost money</v>
      </c>
    </row>
    <row r="4616" spans="1:10">
      <c r="A4616" s="1">
        <v>41327</v>
      </c>
      <c r="B4616">
        <v>5.99</v>
      </c>
      <c r="C4616">
        <v>6.1</v>
      </c>
      <c r="D4616">
        <v>5.9</v>
      </c>
      <c r="E4616">
        <v>6.08</v>
      </c>
      <c r="F4616">
        <v>2818400</v>
      </c>
      <c r="G4616">
        <v>6.08</v>
      </c>
      <c r="H4616" t="s">
        <v>17</v>
      </c>
      <c r="I4616" s="22">
        <f t="shared" si="145"/>
        <v>1.9934214900817329E-2</v>
      </c>
      <c r="J4616" s="22" t="str">
        <f t="shared" si="146"/>
        <v/>
      </c>
    </row>
    <row r="4617" spans="1:10">
      <c r="A4617" s="1">
        <v>41330</v>
      </c>
      <c r="B4617">
        <v>6.09</v>
      </c>
      <c r="C4617">
        <v>6.15</v>
      </c>
      <c r="D4617">
        <v>5.95</v>
      </c>
      <c r="E4617">
        <v>5.95</v>
      </c>
      <c r="F4617">
        <v>3352500</v>
      </c>
      <c r="G4617">
        <v>5.95</v>
      </c>
      <c r="H4617" t="s">
        <v>17</v>
      </c>
      <c r="I4617" s="22">
        <f t="shared" si="145"/>
        <v>-2.1613476420537188E-2</v>
      </c>
      <c r="J4617" s="22" t="str">
        <f t="shared" si="146"/>
        <v>lost money</v>
      </c>
    </row>
    <row r="4618" spans="1:10">
      <c r="A4618" s="1">
        <v>41331</v>
      </c>
      <c r="B4618">
        <v>5.98</v>
      </c>
      <c r="C4618">
        <v>6.02</v>
      </c>
      <c r="D4618">
        <v>5.92</v>
      </c>
      <c r="E4618">
        <v>5.98</v>
      </c>
      <c r="F4618">
        <v>2168700</v>
      </c>
      <c r="G4618">
        <v>5.98</v>
      </c>
      <c r="H4618" t="s">
        <v>17</v>
      </c>
      <c r="I4618" s="22">
        <f t="shared" si="145"/>
        <v>5.0293484050019585E-3</v>
      </c>
      <c r="J4618" s="22" t="str">
        <f t="shared" si="146"/>
        <v/>
      </c>
    </row>
    <row r="4619" spans="1:10">
      <c r="A4619" s="1">
        <v>41332</v>
      </c>
      <c r="B4619">
        <v>5.98</v>
      </c>
      <c r="C4619">
        <v>6.21</v>
      </c>
      <c r="D4619">
        <v>5.97</v>
      </c>
      <c r="E4619">
        <v>6.18</v>
      </c>
      <c r="F4619">
        <v>3385000</v>
      </c>
      <c r="G4619">
        <v>6.18</v>
      </c>
      <c r="H4619" t="s">
        <v>17</v>
      </c>
      <c r="I4619" s="22">
        <f t="shared" si="145"/>
        <v>3.2897703507059013E-2</v>
      </c>
      <c r="J4619" s="22" t="str">
        <f t="shared" si="146"/>
        <v/>
      </c>
    </row>
    <row r="4620" spans="1:10">
      <c r="A4620" s="1">
        <v>41333</v>
      </c>
      <c r="B4620">
        <v>6.16</v>
      </c>
      <c r="C4620">
        <v>6.2</v>
      </c>
      <c r="D4620">
        <v>6.05</v>
      </c>
      <c r="E4620">
        <v>6.05</v>
      </c>
      <c r="F4620">
        <v>3327300</v>
      </c>
      <c r="G4620">
        <v>6.05</v>
      </c>
      <c r="H4620" t="s">
        <v>17</v>
      </c>
      <c r="I4620" s="22">
        <f t="shared" si="145"/>
        <v>-2.1259999426849339E-2</v>
      </c>
      <c r="J4620" s="22" t="str">
        <f t="shared" si="146"/>
        <v>lost money</v>
      </c>
    </row>
    <row r="4621" spans="1:10">
      <c r="A4621" s="1">
        <v>41334</v>
      </c>
      <c r="B4621">
        <v>6.05</v>
      </c>
      <c r="C4621">
        <v>6.22</v>
      </c>
      <c r="D4621">
        <v>6</v>
      </c>
      <c r="E4621">
        <v>6.15</v>
      </c>
      <c r="F4621">
        <v>4093000</v>
      </c>
      <c r="G4621">
        <v>6.15</v>
      </c>
      <c r="H4621" t="s">
        <v>17</v>
      </c>
      <c r="I4621" s="22">
        <f t="shared" si="145"/>
        <v>1.639380977567657E-2</v>
      </c>
      <c r="J4621" s="22" t="str">
        <f t="shared" si="146"/>
        <v/>
      </c>
    </row>
    <row r="4622" spans="1:10">
      <c r="A4622" s="1">
        <v>41337</v>
      </c>
      <c r="B4622">
        <v>6.14</v>
      </c>
      <c r="C4622">
        <v>6.37</v>
      </c>
      <c r="D4622">
        <v>6.11</v>
      </c>
      <c r="E4622">
        <v>6.34</v>
      </c>
      <c r="F4622">
        <v>5468000</v>
      </c>
      <c r="G4622">
        <v>6.34</v>
      </c>
      <c r="H4622" t="s">
        <v>17</v>
      </c>
      <c r="I4622" s="22">
        <f t="shared" si="145"/>
        <v>3.0426686630707935E-2</v>
      </c>
      <c r="J4622" s="22" t="str">
        <f t="shared" si="146"/>
        <v/>
      </c>
    </row>
    <row r="4623" spans="1:10">
      <c r="A4623" s="1">
        <v>41338</v>
      </c>
      <c r="B4623">
        <v>6.35</v>
      </c>
      <c r="C4623">
        <v>6.4</v>
      </c>
      <c r="D4623">
        <v>6.26</v>
      </c>
      <c r="E4623">
        <v>6.36</v>
      </c>
      <c r="F4623">
        <v>3104100</v>
      </c>
      <c r="G4623">
        <v>6.36</v>
      </c>
      <c r="H4623" t="s">
        <v>17</v>
      </c>
      <c r="I4623" s="22">
        <f t="shared" si="145"/>
        <v>3.1496089028962013E-3</v>
      </c>
      <c r="J4623" s="22" t="str">
        <f t="shared" si="146"/>
        <v/>
      </c>
    </row>
    <row r="4624" spans="1:10">
      <c r="A4624" s="1">
        <v>41339</v>
      </c>
      <c r="B4624">
        <v>6.39</v>
      </c>
      <c r="C4624">
        <v>6.47</v>
      </c>
      <c r="D4624">
        <v>6.36</v>
      </c>
      <c r="E4624">
        <v>6.38</v>
      </c>
      <c r="F4624">
        <v>2910000</v>
      </c>
      <c r="G4624">
        <v>6.38</v>
      </c>
      <c r="H4624" t="s">
        <v>17</v>
      </c>
      <c r="I4624" s="22">
        <f t="shared" si="145"/>
        <v>3.1397200046676247E-3</v>
      </c>
      <c r="J4624" s="22" t="str">
        <f t="shared" si="146"/>
        <v>lost money</v>
      </c>
    </row>
    <row r="4625" spans="1:10">
      <c r="A4625" s="1">
        <v>41340</v>
      </c>
      <c r="B4625">
        <v>6.37</v>
      </c>
      <c r="C4625">
        <v>6.43</v>
      </c>
      <c r="D4625">
        <v>6.28</v>
      </c>
      <c r="E4625">
        <v>6.42</v>
      </c>
      <c r="F4625">
        <v>1902900</v>
      </c>
      <c r="G4625">
        <v>6.42</v>
      </c>
      <c r="H4625" t="s">
        <v>17</v>
      </c>
      <c r="I4625" s="22">
        <f t="shared" si="145"/>
        <v>6.2500203451713258E-3</v>
      </c>
      <c r="J4625" s="22" t="str">
        <f t="shared" si="146"/>
        <v/>
      </c>
    </row>
    <row r="4626" spans="1:10">
      <c r="A4626" s="1">
        <v>41341</v>
      </c>
      <c r="B4626">
        <v>6.48</v>
      </c>
      <c r="C4626">
        <v>6.53</v>
      </c>
      <c r="D4626">
        <v>6.38</v>
      </c>
      <c r="E4626">
        <v>6.5</v>
      </c>
      <c r="F4626">
        <v>3871900</v>
      </c>
      <c r="G4626">
        <v>6.5</v>
      </c>
      <c r="H4626" t="s">
        <v>17</v>
      </c>
      <c r="I4626" s="22">
        <f t="shared" si="145"/>
        <v>1.2384059199721622E-2</v>
      </c>
      <c r="J4626" s="22" t="str">
        <f t="shared" si="146"/>
        <v/>
      </c>
    </row>
    <row r="4627" spans="1:10">
      <c r="A4627" s="1">
        <v>41344</v>
      </c>
      <c r="B4627">
        <v>6.46</v>
      </c>
      <c r="C4627">
        <v>6.64</v>
      </c>
      <c r="D4627">
        <v>6.4</v>
      </c>
      <c r="E4627">
        <v>6.64</v>
      </c>
      <c r="F4627">
        <v>4164500</v>
      </c>
      <c r="G4627">
        <v>6.64</v>
      </c>
      <c r="H4627" t="s">
        <v>17</v>
      </c>
      <c r="I4627" s="22">
        <f t="shared" si="145"/>
        <v>2.1309786586751027E-2</v>
      </c>
      <c r="J4627" s="22" t="str">
        <f t="shared" si="146"/>
        <v/>
      </c>
    </row>
    <row r="4628" spans="1:10">
      <c r="A4628" s="1">
        <v>41345</v>
      </c>
      <c r="B4628">
        <v>6.75</v>
      </c>
      <c r="C4628">
        <v>6.76</v>
      </c>
      <c r="D4628">
        <v>6.61</v>
      </c>
      <c r="E4628">
        <v>6.65</v>
      </c>
      <c r="F4628">
        <v>4114000</v>
      </c>
      <c r="G4628">
        <v>6.65</v>
      </c>
      <c r="H4628" t="s">
        <v>17</v>
      </c>
      <c r="I4628" s="22">
        <f t="shared" si="145"/>
        <v>1.5048911794203067E-3</v>
      </c>
      <c r="J4628" s="22" t="str">
        <f t="shared" si="146"/>
        <v>lost money</v>
      </c>
    </row>
    <row r="4629" spans="1:10">
      <c r="A4629" s="1">
        <v>41346</v>
      </c>
      <c r="B4629">
        <v>6.64</v>
      </c>
      <c r="C4629">
        <v>6.92</v>
      </c>
      <c r="D4629">
        <v>6.64</v>
      </c>
      <c r="E4629">
        <v>6.82</v>
      </c>
      <c r="F4629">
        <v>4179800</v>
      </c>
      <c r="G4629">
        <v>6.82</v>
      </c>
      <c r="H4629" t="s">
        <v>17</v>
      </c>
      <c r="I4629" s="22">
        <f t="shared" si="145"/>
        <v>2.5242617187607883E-2</v>
      </c>
      <c r="J4629" s="22" t="str">
        <f t="shared" si="146"/>
        <v/>
      </c>
    </row>
    <row r="4630" spans="1:10">
      <c r="A4630" s="1">
        <v>41347</v>
      </c>
      <c r="B4630">
        <v>6.84</v>
      </c>
      <c r="C4630">
        <v>6.86</v>
      </c>
      <c r="D4630">
        <v>6.75</v>
      </c>
      <c r="E4630">
        <v>6.85</v>
      </c>
      <c r="F4630">
        <v>2505900</v>
      </c>
      <c r="G4630">
        <v>6.85</v>
      </c>
      <c r="H4630" t="s">
        <v>17</v>
      </c>
      <c r="I4630" s="22">
        <f t="shared" si="145"/>
        <v>4.3891804187631868E-3</v>
      </c>
      <c r="J4630" s="22" t="str">
        <f t="shared" si="146"/>
        <v/>
      </c>
    </row>
    <row r="4631" spans="1:10">
      <c r="A4631" s="1">
        <v>41348</v>
      </c>
      <c r="B4631">
        <v>6.87</v>
      </c>
      <c r="C4631">
        <v>6.89</v>
      </c>
      <c r="D4631">
        <v>6.7</v>
      </c>
      <c r="E4631">
        <v>6.72</v>
      </c>
      <c r="F4631">
        <v>5272900</v>
      </c>
      <c r="G4631">
        <v>6.72</v>
      </c>
      <c r="H4631" t="s">
        <v>17</v>
      </c>
      <c r="I4631" s="22">
        <f t="shared" si="145"/>
        <v>-1.9160497739075744E-2</v>
      </c>
      <c r="J4631" s="22" t="str">
        <f t="shared" si="146"/>
        <v>lost money</v>
      </c>
    </row>
    <row r="4632" spans="1:10">
      <c r="A4632" s="1">
        <v>41351</v>
      </c>
      <c r="B4632">
        <v>6.68</v>
      </c>
      <c r="C4632">
        <v>6.9</v>
      </c>
      <c r="D4632">
        <v>6.66</v>
      </c>
      <c r="E4632">
        <v>6.9</v>
      </c>
      <c r="F4632">
        <v>4983200</v>
      </c>
      <c r="G4632">
        <v>6.9</v>
      </c>
      <c r="H4632" t="s">
        <v>17</v>
      </c>
      <c r="I4632" s="22">
        <f t="shared" si="145"/>
        <v>2.6433257068155646E-2</v>
      </c>
      <c r="J4632" s="22" t="str">
        <f t="shared" si="146"/>
        <v/>
      </c>
    </row>
    <row r="4633" spans="1:10">
      <c r="A4633" s="1">
        <v>41352</v>
      </c>
      <c r="B4633">
        <v>6.91</v>
      </c>
      <c r="C4633">
        <v>6.98</v>
      </c>
      <c r="D4633">
        <v>6.82</v>
      </c>
      <c r="E4633">
        <v>6.87</v>
      </c>
      <c r="F4633">
        <v>5141700</v>
      </c>
      <c r="G4633">
        <v>6.87</v>
      </c>
      <c r="H4633" t="s">
        <v>17</v>
      </c>
      <c r="I4633" s="22">
        <f t="shared" si="145"/>
        <v>-4.3573053689558126E-3</v>
      </c>
      <c r="J4633" s="22" t="str">
        <f t="shared" si="146"/>
        <v>lost money</v>
      </c>
    </row>
    <row r="4634" spans="1:10">
      <c r="A4634" s="1">
        <v>41353</v>
      </c>
      <c r="B4634">
        <v>6.93</v>
      </c>
      <c r="C4634">
        <v>6.96</v>
      </c>
      <c r="D4634">
        <v>6.85</v>
      </c>
      <c r="E4634">
        <v>6.94</v>
      </c>
      <c r="F4634">
        <v>3570900</v>
      </c>
      <c r="G4634">
        <v>6.94</v>
      </c>
      <c r="H4634" t="s">
        <v>17</v>
      </c>
      <c r="I4634" s="22">
        <f t="shared" si="145"/>
        <v>1.0137668284455222E-2</v>
      </c>
      <c r="J4634" s="22" t="str">
        <f t="shared" si="146"/>
        <v/>
      </c>
    </row>
    <row r="4635" spans="1:10">
      <c r="A4635" s="1">
        <v>41354</v>
      </c>
      <c r="B4635">
        <v>6.91</v>
      </c>
      <c r="C4635">
        <v>7</v>
      </c>
      <c r="D4635">
        <v>6.86</v>
      </c>
      <c r="E4635">
        <v>6.93</v>
      </c>
      <c r="F4635">
        <v>3517100</v>
      </c>
      <c r="G4635">
        <v>6.93</v>
      </c>
      <c r="H4635" t="s">
        <v>17</v>
      </c>
      <c r="I4635" s="22">
        <f t="shared" si="145"/>
        <v>-1.4419613169014062E-3</v>
      </c>
      <c r="J4635" s="22" t="str">
        <f t="shared" si="146"/>
        <v/>
      </c>
    </row>
    <row r="4636" spans="1:10">
      <c r="A4636" s="1">
        <v>41355</v>
      </c>
      <c r="B4636">
        <v>6.95</v>
      </c>
      <c r="C4636">
        <v>6.98</v>
      </c>
      <c r="D4636">
        <v>6.86</v>
      </c>
      <c r="E4636">
        <v>6.97</v>
      </c>
      <c r="F4636">
        <v>2324100</v>
      </c>
      <c r="G4636">
        <v>6.97</v>
      </c>
      <c r="H4636" t="s">
        <v>17</v>
      </c>
      <c r="I4636" s="22">
        <f t="shared" si="145"/>
        <v>5.7554115706207522E-3</v>
      </c>
      <c r="J4636" s="22" t="str">
        <f t="shared" si="146"/>
        <v/>
      </c>
    </row>
    <row r="4637" spans="1:10">
      <c r="A4637" s="1">
        <v>41358</v>
      </c>
      <c r="B4637">
        <v>6.98</v>
      </c>
      <c r="C4637">
        <v>7</v>
      </c>
      <c r="D4637">
        <v>6.76</v>
      </c>
      <c r="E4637">
        <v>6.85</v>
      </c>
      <c r="F4637">
        <v>2991900</v>
      </c>
      <c r="G4637">
        <v>6.85</v>
      </c>
      <c r="H4637" t="s">
        <v>17</v>
      </c>
      <c r="I4637" s="22">
        <f t="shared" si="145"/>
        <v>-1.736657249829859E-2</v>
      </c>
      <c r="J4637" s="22" t="str">
        <f t="shared" si="146"/>
        <v>lost money</v>
      </c>
    </row>
    <row r="4638" spans="1:10">
      <c r="A4638" s="1">
        <v>41359</v>
      </c>
      <c r="B4638">
        <v>6.91</v>
      </c>
      <c r="C4638">
        <v>6.94</v>
      </c>
      <c r="D4638">
        <v>6.72</v>
      </c>
      <c r="E4638">
        <v>6.82</v>
      </c>
      <c r="F4638">
        <v>2844400</v>
      </c>
      <c r="G4638">
        <v>6.82</v>
      </c>
      <c r="H4638" t="s">
        <v>17</v>
      </c>
      <c r="I4638" s="22">
        <f t="shared" si="145"/>
        <v>-4.3891804187630957E-3</v>
      </c>
      <c r="J4638" s="22" t="str">
        <f t="shared" si="146"/>
        <v>lost money</v>
      </c>
    </row>
    <row r="4639" spans="1:10">
      <c r="A4639" s="1">
        <v>41360</v>
      </c>
      <c r="B4639">
        <v>6.8</v>
      </c>
      <c r="C4639">
        <v>6.91</v>
      </c>
      <c r="D4639">
        <v>6.74</v>
      </c>
      <c r="E4639">
        <v>6.9</v>
      </c>
      <c r="F4639">
        <v>2785300</v>
      </c>
      <c r="G4639">
        <v>6.9</v>
      </c>
      <c r="H4639" t="s">
        <v>17</v>
      </c>
      <c r="I4639" s="22">
        <f t="shared" si="145"/>
        <v>1.1661939747842957E-2</v>
      </c>
      <c r="J4639" s="22" t="str">
        <f t="shared" si="146"/>
        <v/>
      </c>
    </row>
    <row r="4640" spans="1:10">
      <c r="A4640" s="1">
        <v>41361</v>
      </c>
      <c r="B4640">
        <v>6.95</v>
      </c>
      <c r="C4640">
        <v>7.01</v>
      </c>
      <c r="D4640">
        <v>6.88</v>
      </c>
      <c r="E4640">
        <v>6.9</v>
      </c>
      <c r="F4640">
        <v>3632900</v>
      </c>
      <c r="G4640">
        <v>6.9</v>
      </c>
      <c r="H4640" t="s">
        <v>17</v>
      </c>
      <c r="I4640" s="22">
        <f t="shared" si="145"/>
        <v>0</v>
      </c>
      <c r="J4640" s="22" t="str">
        <f t="shared" si="146"/>
        <v>lost money</v>
      </c>
    </row>
    <row r="4641" spans="1:10">
      <c r="A4641" s="1">
        <v>41365</v>
      </c>
      <c r="B4641">
        <v>6.89</v>
      </c>
      <c r="C4641">
        <v>6.94</v>
      </c>
      <c r="D4641">
        <v>6.67</v>
      </c>
      <c r="E4641">
        <v>6.74</v>
      </c>
      <c r="F4641">
        <v>2951200</v>
      </c>
      <c r="G4641">
        <v>6.74</v>
      </c>
      <c r="H4641" t="s">
        <v>17</v>
      </c>
      <c r="I4641" s="22">
        <f t="shared" si="145"/>
        <v>-2.3461486678998045E-2</v>
      </c>
      <c r="J4641" s="22" t="str">
        <f t="shared" si="146"/>
        <v>lost money</v>
      </c>
    </row>
    <row r="4642" spans="1:10">
      <c r="A4642" s="1">
        <v>41366</v>
      </c>
      <c r="B4642">
        <v>6.73</v>
      </c>
      <c r="C4642">
        <v>6.73</v>
      </c>
      <c r="D4642">
        <v>6.34</v>
      </c>
      <c r="E4642">
        <v>6.34</v>
      </c>
      <c r="F4642">
        <v>5354200</v>
      </c>
      <c r="G4642">
        <v>6.34</v>
      </c>
      <c r="H4642" t="s">
        <v>17</v>
      </c>
      <c r="I4642" s="22">
        <f t="shared" si="145"/>
        <v>-6.1181156475081162E-2</v>
      </c>
      <c r="J4642" s="22" t="str">
        <f t="shared" si="146"/>
        <v>lost money</v>
      </c>
    </row>
    <row r="4643" spans="1:10">
      <c r="A4643" s="1">
        <v>41367</v>
      </c>
      <c r="B4643">
        <v>6.38</v>
      </c>
      <c r="C4643">
        <v>6.46</v>
      </c>
      <c r="D4643">
        <v>6.14</v>
      </c>
      <c r="E4643">
        <v>6.16</v>
      </c>
      <c r="F4643">
        <v>6593600</v>
      </c>
      <c r="G4643">
        <v>6.16</v>
      </c>
      <c r="H4643" t="s">
        <v>17</v>
      </c>
      <c r="I4643" s="22">
        <f t="shared" si="145"/>
        <v>-2.8801990903706078E-2</v>
      </c>
      <c r="J4643" s="22" t="str">
        <f t="shared" si="146"/>
        <v>lost money</v>
      </c>
    </row>
    <row r="4644" spans="1:10">
      <c r="A4644" s="1">
        <v>41368</v>
      </c>
      <c r="B4644">
        <v>6.19</v>
      </c>
      <c r="C4644">
        <v>6.51</v>
      </c>
      <c r="D4644">
        <v>6.18</v>
      </c>
      <c r="E4644">
        <v>6.49</v>
      </c>
      <c r="F4644">
        <v>9439200</v>
      </c>
      <c r="G4644">
        <v>6.49</v>
      </c>
      <c r="H4644" t="s">
        <v>17</v>
      </c>
      <c r="I4644" s="22">
        <f t="shared" si="145"/>
        <v>5.2185753170570247E-2</v>
      </c>
      <c r="J4644" s="22" t="str">
        <f t="shared" si="146"/>
        <v/>
      </c>
    </row>
    <row r="4645" spans="1:10">
      <c r="A4645" s="1">
        <v>41369</v>
      </c>
      <c r="B4645">
        <v>6.37</v>
      </c>
      <c r="C4645">
        <v>6.61</v>
      </c>
      <c r="D4645">
        <v>6.25</v>
      </c>
      <c r="E4645">
        <v>6.54</v>
      </c>
      <c r="F4645">
        <v>4549200</v>
      </c>
      <c r="G4645">
        <v>6.54</v>
      </c>
      <c r="H4645" t="s">
        <v>17</v>
      </c>
      <c r="I4645" s="22">
        <f t="shared" si="145"/>
        <v>7.6746347531086662E-3</v>
      </c>
      <c r="J4645" s="22" t="str">
        <f t="shared" si="146"/>
        <v/>
      </c>
    </row>
    <row r="4646" spans="1:10">
      <c r="A4646" s="1">
        <v>41372</v>
      </c>
      <c r="B4646">
        <v>6.57</v>
      </c>
      <c r="C4646">
        <v>6.72</v>
      </c>
      <c r="D4646">
        <v>6.5</v>
      </c>
      <c r="E4646">
        <v>6.71</v>
      </c>
      <c r="F4646">
        <v>2969900</v>
      </c>
      <c r="G4646">
        <v>6.71</v>
      </c>
      <c r="H4646" t="s">
        <v>17</v>
      </c>
      <c r="I4646" s="22">
        <f t="shared" si="145"/>
        <v>2.5661785514482977E-2</v>
      </c>
      <c r="J4646" s="22" t="str">
        <f t="shared" si="146"/>
        <v/>
      </c>
    </row>
    <row r="4647" spans="1:10">
      <c r="A4647" s="1">
        <v>41373</v>
      </c>
      <c r="B4647">
        <v>6.74</v>
      </c>
      <c r="C4647">
        <v>6.81</v>
      </c>
      <c r="D4647">
        <v>6.65</v>
      </c>
      <c r="E4647">
        <v>6.7</v>
      </c>
      <c r="F4647">
        <v>3717100</v>
      </c>
      <c r="G4647">
        <v>6.7</v>
      </c>
      <c r="H4647" t="s">
        <v>17</v>
      </c>
      <c r="I4647" s="22">
        <f t="shared" si="145"/>
        <v>-1.4914245866700204E-3</v>
      </c>
      <c r="J4647" s="22" t="str">
        <f t="shared" si="146"/>
        <v>lost money</v>
      </c>
    </row>
    <row r="4648" spans="1:10">
      <c r="A4648" s="1">
        <v>41374</v>
      </c>
      <c r="B4648">
        <v>6.69</v>
      </c>
      <c r="C4648">
        <v>7.07</v>
      </c>
      <c r="D4648">
        <v>6.66</v>
      </c>
      <c r="E4648">
        <v>6.99</v>
      </c>
      <c r="F4648">
        <v>6167100</v>
      </c>
      <c r="G4648">
        <v>6.99</v>
      </c>
      <c r="H4648" t="s">
        <v>17</v>
      </c>
      <c r="I4648" s="22">
        <f t="shared" si="145"/>
        <v>4.2373029848798566E-2</v>
      </c>
      <c r="J4648" s="22" t="str">
        <f t="shared" si="146"/>
        <v/>
      </c>
    </row>
    <row r="4649" spans="1:10">
      <c r="A4649" s="1">
        <v>41375</v>
      </c>
      <c r="B4649">
        <v>7.04</v>
      </c>
      <c r="C4649">
        <v>7.24</v>
      </c>
      <c r="D4649">
        <v>6.97</v>
      </c>
      <c r="E4649">
        <v>7.18</v>
      </c>
      <c r="F4649">
        <v>6544800</v>
      </c>
      <c r="G4649">
        <v>7.18</v>
      </c>
      <c r="H4649" t="s">
        <v>17</v>
      </c>
      <c r="I4649" s="22">
        <f t="shared" si="145"/>
        <v>2.6818826814413957E-2</v>
      </c>
      <c r="J4649" s="22" t="str">
        <f t="shared" si="146"/>
        <v/>
      </c>
    </row>
    <row r="4650" spans="1:10">
      <c r="A4650" s="1">
        <v>41376</v>
      </c>
      <c r="B4650">
        <v>7.17</v>
      </c>
      <c r="C4650">
        <v>7.28</v>
      </c>
      <c r="D4650">
        <v>7.06</v>
      </c>
      <c r="E4650">
        <v>7.2</v>
      </c>
      <c r="F4650">
        <v>4995500</v>
      </c>
      <c r="G4650">
        <v>7.2</v>
      </c>
      <c r="H4650" t="s">
        <v>17</v>
      </c>
      <c r="I4650" s="22">
        <f t="shared" si="145"/>
        <v>2.7816429618767705E-3</v>
      </c>
      <c r="J4650" s="22" t="str">
        <f t="shared" si="146"/>
        <v/>
      </c>
    </row>
    <row r="4651" spans="1:10">
      <c r="A4651" s="1">
        <v>41379</v>
      </c>
      <c r="B4651">
        <v>7.21</v>
      </c>
      <c r="C4651">
        <v>7.28</v>
      </c>
      <c r="D4651">
        <v>6.67</v>
      </c>
      <c r="E4651">
        <v>6.73</v>
      </c>
      <c r="F4651">
        <v>7928600</v>
      </c>
      <c r="G4651">
        <v>6.73</v>
      </c>
      <c r="H4651" t="s">
        <v>17</v>
      </c>
      <c r="I4651" s="22">
        <f t="shared" si="145"/>
        <v>-6.7505882365373179E-2</v>
      </c>
      <c r="J4651" s="22" t="str">
        <f t="shared" si="146"/>
        <v>lost money</v>
      </c>
    </row>
    <row r="4652" spans="1:10">
      <c r="A4652" s="1">
        <v>41380</v>
      </c>
      <c r="B4652">
        <v>6.9</v>
      </c>
      <c r="C4652">
        <v>7.03</v>
      </c>
      <c r="D4652">
        <v>6.88</v>
      </c>
      <c r="E4652">
        <v>7</v>
      </c>
      <c r="F4652">
        <v>4468000</v>
      </c>
      <c r="G4652">
        <v>7</v>
      </c>
      <c r="H4652" t="s">
        <v>17</v>
      </c>
      <c r="I4652" s="22">
        <f t="shared" si="145"/>
        <v>3.933500539867673E-2</v>
      </c>
      <c r="J4652" s="22" t="str">
        <f t="shared" si="146"/>
        <v/>
      </c>
    </row>
    <row r="4653" spans="1:10">
      <c r="A4653" s="1">
        <v>41381</v>
      </c>
      <c r="B4653">
        <v>6.97</v>
      </c>
      <c r="C4653">
        <v>7.01</v>
      </c>
      <c r="D4653">
        <v>6.86</v>
      </c>
      <c r="E4653">
        <v>6.98</v>
      </c>
      <c r="F4653">
        <v>5040700</v>
      </c>
      <c r="G4653">
        <v>6.98</v>
      </c>
      <c r="H4653" t="s">
        <v>17</v>
      </c>
      <c r="I4653" s="22">
        <f t="shared" si="145"/>
        <v>-2.8612322810321234E-3</v>
      </c>
      <c r="J4653" s="22" t="str">
        <f t="shared" si="146"/>
        <v/>
      </c>
    </row>
    <row r="4654" spans="1:10">
      <c r="A4654" s="1">
        <v>41382</v>
      </c>
      <c r="B4654">
        <v>7</v>
      </c>
      <c r="C4654">
        <v>7.08</v>
      </c>
      <c r="D4654">
        <v>6.88</v>
      </c>
      <c r="E4654">
        <v>6.97</v>
      </c>
      <c r="F4654">
        <v>3989400</v>
      </c>
      <c r="G4654">
        <v>6.97</v>
      </c>
      <c r="H4654" t="s">
        <v>17</v>
      </c>
      <c r="I4654" s="22">
        <f t="shared" si="145"/>
        <v>-1.4336920018486968E-3</v>
      </c>
      <c r="J4654" s="22" t="str">
        <f t="shared" si="146"/>
        <v>lost money</v>
      </c>
    </row>
    <row r="4655" spans="1:10">
      <c r="A4655" s="1">
        <v>41383</v>
      </c>
      <c r="B4655">
        <v>7.01</v>
      </c>
      <c r="C4655">
        <v>7.22</v>
      </c>
      <c r="D4655">
        <v>6.92</v>
      </c>
      <c r="E4655">
        <v>7.16</v>
      </c>
      <c r="F4655">
        <v>3447400</v>
      </c>
      <c r="G4655">
        <v>7.16</v>
      </c>
      <c r="H4655" t="s">
        <v>17</v>
      </c>
      <c r="I4655" s="22">
        <f t="shared" si="145"/>
        <v>2.6894756200121807E-2</v>
      </c>
      <c r="J4655" s="22" t="str">
        <f t="shared" si="146"/>
        <v/>
      </c>
    </row>
    <row r="4656" spans="1:10">
      <c r="A4656" s="1">
        <v>41386</v>
      </c>
      <c r="B4656">
        <v>7.17</v>
      </c>
      <c r="C4656">
        <v>7.25</v>
      </c>
      <c r="D4656">
        <v>6.96</v>
      </c>
      <c r="E4656">
        <v>7.06</v>
      </c>
      <c r="F4656">
        <v>2696000</v>
      </c>
      <c r="G4656">
        <v>7.06</v>
      </c>
      <c r="H4656" t="s">
        <v>17</v>
      </c>
      <c r="I4656" s="22">
        <f t="shared" si="145"/>
        <v>-1.4064929467403665E-2</v>
      </c>
      <c r="J4656" s="22" t="str">
        <f t="shared" si="146"/>
        <v>lost money</v>
      </c>
    </row>
    <row r="4657" spans="1:10">
      <c r="A4657" s="1">
        <v>41387</v>
      </c>
      <c r="B4657">
        <v>7.08</v>
      </c>
      <c r="C4657">
        <v>7.23</v>
      </c>
      <c r="D4657">
        <v>7.03</v>
      </c>
      <c r="E4657">
        <v>7.19</v>
      </c>
      <c r="F4657">
        <v>3949300</v>
      </c>
      <c r="G4657">
        <v>7.19</v>
      </c>
      <c r="H4657" t="s">
        <v>17</v>
      </c>
      <c r="I4657" s="22">
        <f t="shared" si="145"/>
        <v>1.8246120227804766E-2</v>
      </c>
      <c r="J4657" s="22" t="str">
        <f t="shared" si="146"/>
        <v/>
      </c>
    </row>
    <row r="4658" spans="1:10">
      <c r="A4658" s="1">
        <v>41388</v>
      </c>
      <c r="B4658">
        <v>7.17</v>
      </c>
      <c r="C4658">
        <v>7.2</v>
      </c>
      <c r="D4658">
        <v>7.09</v>
      </c>
      <c r="E4658">
        <v>7.18</v>
      </c>
      <c r="F4658">
        <v>2337300</v>
      </c>
      <c r="G4658">
        <v>7.18</v>
      </c>
      <c r="H4658" t="s">
        <v>17</v>
      </c>
      <c r="I4658" s="22">
        <f t="shared" si="145"/>
        <v>-1.3917886728226083E-3</v>
      </c>
      <c r="J4658" s="22" t="str">
        <f t="shared" si="146"/>
        <v/>
      </c>
    </row>
    <row r="4659" spans="1:10">
      <c r="A4659" s="1">
        <v>41389</v>
      </c>
      <c r="B4659">
        <v>7.02</v>
      </c>
      <c r="C4659">
        <v>7.08</v>
      </c>
      <c r="D4659">
        <v>6.83</v>
      </c>
      <c r="E4659">
        <v>6.85</v>
      </c>
      <c r="F4659">
        <v>6723100</v>
      </c>
      <c r="G4659">
        <v>6.85</v>
      </c>
      <c r="H4659" t="s">
        <v>17</v>
      </c>
      <c r="I4659" s="22">
        <f t="shared" si="145"/>
        <v>-4.7050730785998862E-2</v>
      </c>
      <c r="J4659" s="22" t="str">
        <f t="shared" si="146"/>
        <v>lost money</v>
      </c>
    </row>
    <row r="4660" spans="1:10">
      <c r="A4660" s="1">
        <v>41390</v>
      </c>
      <c r="B4660">
        <v>6.87</v>
      </c>
      <c r="C4660">
        <v>6.94</v>
      </c>
      <c r="D4660">
        <v>6.8</v>
      </c>
      <c r="E4660">
        <v>6.92</v>
      </c>
      <c r="F4660">
        <v>3273700</v>
      </c>
      <c r="G4660">
        <v>6.92</v>
      </c>
      <c r="H4660" t="s">
        <v>17</v>
      </c>
      <c r="I4660" s="22">
        <f t="shared" si="145"/>
        <v>1.0167117355444242E-2</v>
      </c>
      <c r="J4660" s="22" t="str">
        <f t="shared" si="146"/>
        <v/>
      </c>
    </row>
    <row r="4661" spans="1:10">
      <c r="A4661" s="1">
        <v>41393</v>
      </c>
      <c r="B4661">
        <v>6.77</v>
      </c>
      <c r="C4661">
        <v>6.89</v>
      </c>
      <c r="D4661">
        <v>6.74</v>
      </c>
      <c r="E4661">
        <v>6.76</v>
      </c>
      <c r="F4661">
        <v>5597600</v>
      </c>
      <c r="G4661">
        <v>6.76</v>
      </c>
      <c r="H4661" t="s">
        <v>17</v>
      </c>
      <c r="I4661" s="22">
        <f t="shared" si="145"/>
        <v>-2.3392879574705462E-2</v>
      </c>
      <c r="J4661" s="22" t="str">
        <f t="shared" si="146"/>
        <v>lost money</v>
      </c>
    </row>
    <row r="4662" spans="1:10">
      <c r="A4662" s="1">
        <v>41394</v>
      </c>
      <c r="B4662">
        <v>6.8</v>
      </c>
      <c r="C4662">
        <v>6.97</v>
      </c>
      <c r="D4662">
        <v>6.71</v>
      </c>
      <c r="E4662">
        <v>6.89</v>
      </c>
      <c r="F4662">
        <v>4204900</v>
      </c>
      <c r="G4662">
        <v>6.89</v>
      </c>
      <c r="H4662" t="s">
        <v>17</v>
      </c>
      <c r="I4662" s="22">
        <f t="shared" si="145"/>
        <v>1.9048194970694411E-2</v>
      </c>
      <c r="J4662" s="22" t="str">
        <f t="shared" si="146"/>
        <v/>
      </c>
    </row>
    <row r="4663" spans="1:10">
      <c r="A4663" s="1">
        <v>41395</v>
      </c>
      <c r="B4663">
        <v>6.85</v>
      </c>
      <c r="C4663">
        <v>6.92</v>
      </c>
      <c r="D4663">
        <v>6.62</v>
      </c>
      <c r="E4663">
        <v>6.62</v>
      </c>
      <c r="F4663">
        <v>5311200</v>
      </c>
      <c r="G4663">
        <v>6.62</v>
      </c>
      <c r="H4663" t="s">
        <v>17</v>
      </c>
      <c r="I4663" s="22">
        <f t="shared" si="145"/>
        <v>-3.9975715076650313E-2</v>
      </c>
      <c r="J4663" s="22" t="str">
        <f t="shared" si="146"/>
        <v>lost money</v>
      </c>
    </row>
    <row r="4664" spans="1:10">
      <c r="A4664" s="1">
        <v>41396</v>
      </c>
      <c r="B4664">
        <v>6.67</v>
      </c>
      <c r="C4664">
        <v>6.81</v>
      </c>
      <c r="D4664">
        <v>6.6</v>
      </c>
      <c r="E4664">
        <v>6.67</v>
      </c>
      <c r="F4664">
        <v>4913200</v>
      </c>
      <c r="G4664">
        <v>6.67</v>
      </c>
      <c r="H4664" t="s">
        <v>17</v>
      </c>
      <c r="I4664" s="22">
        <f t="shared" si="145"/>
        <v>7.5244899786155008E-3</v>
      </c>
      <c r="J4664" s="22" t="str">
        <f t="shared" si="146"/>
        <v/>
      </c>
    </row>
    <row r="4665" spans="1:10">
      <c r="A4665" s="1">
        <v>41397</v>
      </c>
      <c r="B4665">
        <v>6.78</v>
      </c>
      <c r="C4665">
        <v>6.97</v>
      </c>
      <c r="D4665">
        <v>6.75</v>
      </c>
      <c r="E4665">
        <v>6.87</v>
      </c>
      <c r="F4665">
        <v>4483300</v>
      </c>
      <c r="G4665">
        <v>6.87</v>
      </c>
      <c r="H4665" t="s">
        <v>17</v>
      </c>
      <c r="I4665" s="22">
        <f t="shared" si="145"/>
        <v>2.9544246306725735E-2</v>
      </c>
      <c r="J4665" s="22" t="str">
        <f t="shared" si="146"/>
        <v/>
      </c>
    </row>
    <row r="4666" spans="1:10">
      <c r="A4666" s="1">
        <v>41400</v>
      </c>
      <c r="B4666">
        <v>6.89</v>
      </c>
      <c r="C4666">
        <v>7</v>
      </c>
      <c r="D4666">
        <v>6.85</v>
      </c>
      <c r="E4666">
        <v>6.92</v>
      </c>
      <c r="F4666">
        <v>2903300</v>
      </c>
      <c r="G4666">
        <v>6.92</v>
      </c>
      <c r="H4666" t="s">
        <v>17</v>
      </c>
      <c r="I4666" s="22">
        <f t="shared" si="145"/>
        <v>7.2516633953202065E-3</v>
      </c>
      <c r="J4666" s="22" t="str">
        <f t="shared" si="146"/>
        <v/>
      </c>
    </row>
    <row r="4667" spans="1:10">
      <c r="A4667" s="1">
        <v>41401</v>
      </c>
      <c r="B4667">
        <v>6.96</v>
      </c>
      <c r="C4667">
        <v>6.98</v>
      </c>
      <c r="D4667">
        <v>6.9</v>
      </c>
      <c r="E4667">
        <v>6.93</v>
      </c>
      <c r="F4667">
        <v>2070400</v>
      </c>
      <c r="G4667">
        <v>6.93</v>
      </c>
      <c r="H4667" t="s">
        <v>17</v>
      </c>
      <c r="I4667" s="22">
        <f t="shared" si="145"/>
        <v>1.4440435722336239E-3</v>
      </c>
      <c r="J4667" s="22" t="str">
        <f t="shared" si="146"/>
        <v>lost money</v>
      </c>
    </row>
    <row r="4668" spans="1:10">
      <c r="A4668" s="1">
        <v>41402</v>
      </c>
      <c r="B4668">
        <v>6.92</v>
      </c>
      <c r="C4668">
        <v>6.99</v>
      </c>
      <c r="D4668">
        <v>6.72</v>
      </c>
      <c r="E4668">
        <v>6.72</v>
      </c>
      <c r="F4668">
        <v>5724900</v>
      </c>
      <c r="G4668">
        <v>6.72</v>
      </c>
      <c r="H4668" t="s">
        <v>17</v>
      </c>
      <c r="I4668" s="22">
        <f t="shared" si="145"/>
        <v>-3.077165866675366E-2</v>
      </c>
      <c r="J4668" s="22" t="str">
        <f t="shared" si="146"/>
        <v>lost money</v>
      </c>
    </row>
    <row r="4669" spans="1:10">
      <c r="A4669" s="1">
        <v>41403</v>
      </c>
      <c r="B4669">
        <v>6.75</v>
      </c>
      <c r="C4669">
        <v>6.82</v>
      </c>
      <c r="D4669">
        <v>6.64</v>
      </c>
      <c r="E4669">
        <v>6.65</v>
      </c>
      <c r="F4669">
        <v>2641000</v>
      </c>
      <c r="G4669">
        <v>6.65</v>
      </c>
      <c r="H4669" t="s">
        <v>17</v>
      </c>
      <c r="I4669" s="22">
        <f t="shared" si="145"/>
        <v>-1.0471299867295366E-2</v>
      </c>
      <c r="J4669" s="22" t="str">
        <f t="shared" si="146"/>
        <v>lost money</v>
      </c>
    </row>
    <row r="4670" spans="1:10">
      <c r="A4670" s="1">
        <v>41404</v>
      </c>
      <c r="B4670">
        <v>6.74</v>
      </c>
      <c r="C4670">
        <v>6.85</v>
      </c>
      <c r="D4670">
        <v>6.69</v>
      </c>
      <c r="E4670">
        <v>6.75</v>
      </c>
      <c r="F4670">
        <v>2723800</v>
      </c>
      <c r="G4670">
        <v>6.75</v>
      </c>
      <c r="H4670" t="s">
        <v>17</v>
      </c>
      <c r="I4670" s="22">
        <f t="shared" si="145"/>
        <v>1.4925650216675574E-2</v>
      </c>
      <c r="J4670" s="22" t="str">
        <f t="shared" si="146"/>
        <v/>
      </c>
    </row>
    <row r="4671" spans="1:10">
      <c r="A4671" s="1">
        <v>41407</v>
      </c>
      <c r="B4671">
        <v>6.72</v>
      </c>
      <c r="C4671">
        <v>6.75</v>
      </c>
      <c r="D4671">
        <v>6.59</v>
      </c>
      <c r="E4671">
        <v>6.61</v>
      </c>
      <c r="F4671">
        <v>2859500</v>
      </c>
      <c r="G4671">
        <v>6.61</v>
      </c>
      <c r="H4671" t="s">
        <v>17</v>
      </c>
      <c r="I4671" s="22">
        <f t="shared" si="145"/>
        <v>-2.0958851020843522E-2</v>
      </c>
      <c r="J4671" s="22" t="str">
        <f t="shared" si="146"/>
        <v>lost money</v>
      </c>
    </row>
    <row r="4672" spans="1:10">
      <c r="A4672" s="1">
        <v>41408</v>
      </c>
      <c r="B4672">
        <v>6.62</v>
      </c>
      <c r="C4672">
        <v>6.63</v>
      </c>
      <c r="D4672">
        <v>6.51</v>
      </c>
      <c r="E4672">
        <v>6.54</v>
      </c>
      <c r="F4672">
        <v>5299700</v>
      </c>
      <c r="G4672">
        <v>6.54</v>
      </c>
      <c r="H4672" t="s">
        <v>17</v>
      </c>
      <c r="I4672" s="22">
        <f t="shared" si="145"/>
        <v>-1.0646488394487577E-2</v>
      </c>
      <c r="J4672" s="22" t="str">
        <f t="shared" si="146"/>
        <v>lost money</v>
      </c>
    </row>
    <row r="4673" spans="1:10">
      <c r="A4673" s="1">
        <v>41409</v>
      </c>
      <c r="B4673">
        <v>6.49</v>
      </c>
      <c r="C4673">
        <v>6.79</v>
      </c>
      <c r="D4673">
        <v>6.49</v>
      </c>
      <c r="E4673">
        <v>6.53</v>
      </c>
      <c r="F4673">
        <v>10088200</v>
      </c>
      <c r="G4673">
        <v>6.53</v>
      </c>
      <c r="H4673" t="s">
        <v>17</v>
      </c>
      <c r="I4673" s="22">
        <f t="shared" si="145"/>
        <v>-1.5302221807675935E-3</v>
      </c>
      <c r="J4673" s="22" t="str">
        <f t="shared" si="146"/>
        <v/>
      </c>
    </row>
    <row r="4674" spans="1:10">
      <c r="A4674" s="1">
        <v>41410</v>
      </c>
      <c r="B4674">
        <v>6.53</v>
      </c>
      <c r="C4674">
        <v>6.64</v>
      </c>
      <c r="D4674">
        <v>6.49</v>
      </c>
      <c r="E4674">
        <v>6.52</v>
      </c>
      <c r="F4674">
        <v>4503400</v>
      </c>
      <c r="G4674">
        <v>6.52</v>
      </c>
      <c r="H4674" t="s">
        <v>17</v>
      </c>
      <c r="I4674" s="22">
        <f t="shared" si="145"/>
        <v>-1.5325673497782273E-3</v>
      </c>
      <c r="J4674" s="22" t="str">
        <f t="shared" si="146"/>
        <v>lost money</v>
      </c>
    </row>
    <row r="4675" spans="1:10">
      <c r="A4675" s="1">
        <v>41411</v>
      </c>
      <c r="B4675">
        <v>6.53</v>
      </c>
      <c r="C4675">
        <v>6.54</v>
      </c>
      <c r="D4675">
        <v>6.38</v>
      </c>
      <c r="E4675">
        <v>6.44</v>
      </c>
      <c r="F4675">
        <v>4466000</v>
      </c>
      <c r="G4675">
        <v>6.44</v>
      </c>
      <c r="H4675" t="s">
        <v>17</v>
      </c>
      <c r="I4675" s="22">
        <f t="shared" ref="I4675:I4738" si="147">IF(A4675=$A$2,"",LN(G4675/G4674))</f>
        <v>-1.2345835822299266E-2</v>
      </c>
      <c r="J4675" s="22" t="str">
        <f t="shared" ref="J4675:J4738" si="148">IF(B4675&gt;E4675,"lost money","")</f>
        <v>lost money</v>
      </c>
    </row>
    <row r="4676" spans="1:10">
      <c r="A4676" s="1">
        <v>41414</v>
      </c>
      <c r="B4676">
        <v>6.44</v>
      </c>
      <c r="C4676">
        <v>6.51</v>
      </c>
      <c r="D4676">
        <v>6.34</v>
      </c>
      <c r="E4676">
        <v>6.36</v>
      </c>
      <c r="F4676">
        <v>2540800</v>
      </c>
      <c r="G4676">
        <v>6.36</v>
      </c>
      <c r="H4676" t="s">
        <v>17</v>
      </c>
      <c r="I4676" s="22">
        <f t="shared" si="147"/>
        <v>-1.2500162764231494E-2</v>
      </c>
      <c r="J4676" s="22" t="str">
        <f t="shared" si="148"/>
        <v>lost money</v>
      </c>
    </row>
    <row r="4677" spans="1:10">
      <c r="A4677" s="1">
        <v>41415</v>
      </c>
      <c r="B4677">
        <v>6.38</v>
      </c>
      <c r="C4677">
        <v>6.47</v>
      </c>
      <c r="D4677">
        <v>6.29</v>
      </c>
      <c r="E4677">
        <v>6.37</v>
      </c>
      <c r="F4677">
        <v>5494000</v>
      </c>
      <c r="G4677">
        <v>6.37</v>
      </c>
      <c r="H4677" t="s">
        <v>17</v>
      </c>
      <c r="I4677" s="22">
        <f t="shared" si="147"/>
        <v>1.5710922320411461E-3</v>
      </c>
      <c r="J4677" s="22" t="str">
        <f t="shared" si="148"/>
        <v>lost money</v>
      </c>
    </row>
    <row r="4678" spans="1:10">
      <c r="A4678" s="1">
        <v>41416</v>
      </c>
      <c r="B4678">
        <v>6.39</v>
      </c>
      <c r="C4678">
        <v>6.45</v>
      </c>
      <c r="D4678">
        <v>6.25</v>
      </c>
      <c r="E4678">
        <v>6.26</v>
      </c>
      <c r="F4678">
        <v>5012800</v>
      </c>
      <c r="G4678">
        <v>6.26</v>
      </c>
      <c r="H4678" t="s">
        <v>17</v>
      </c>
      <c r="I4678" s="22">
        <f t="shared" si="147"/>
        <v>-1.7419284472064821E-2</v>
      </c>
      <c r="J4678" s="22" t="str">
        <f t="shared" si="148"/>
        <v>lost money</v>
      </c>
    </row>
    <row r="4679" spans="1:10">
      <c r="A4679" s="1">
        <v>41417</v>
      </c>
      <c r="B4679">
        <v>6.22</v>
      </c>
      <c r="C4679">
        <v>6.41</v>
      </c>
      <c r="D4679">
        <v>6.2</v>
      </c>
      <c r="E4679">
        <v>6.37</v>
      </c>
      <c r="F4679">
        <v>3121200</v>
      </c>
      <c r="G4679">
        <v>6.37</v>
      </c>
      <c r="H4679" t="s">
        <v>17</v>
      </c>
      <c r="I4679" s="22">
        <f t="shared" si="147"/>
        <v>1.741928447206488E-2</v>
      </c>
      <c r="J4679" s="22" t="str">
        <f t="shared" si="148"/>
        <v/>
      </c>
    </row>
    <row r="4680" spans="1:10">
      <c r="A4680" s="1">
        <v>41418</v>
      </c>
      <c r="B4680">
        <v>6.31</v>
      </c>
      <c r="C4680">
        <v>6.44</v>
      </c>
      <c r="D4680">
        <v>6.28</v>
      </c>
      <c r="E4680">
        <v>6.38</v>
      </c>
      <c r="F4680">
        <v>2566500</v>
      </c>
      <c r="G4680">
        <v>6.38</v>
      </c>
      <c r="H4680" t="s">
        <v>17</v>
      </c>
      <c r="I4680" s="22">
        <f t="shared" si="147"/>
        <v>1.5686277726264339E-3</v>
      </c>
      <c r="J4680" s="22" t="str">
        <f t="shared" si="148"/>
        <v/>
      </c>
    </row>
    <row r="4681" spans="1:10">
      <c r="A4681" s="1">
        <v>41422</v>
      </c>
      <c r="B4681">
        <v>6.47</v>
      </c>
      <c r="C4681">
        <v>6.48</v>
      </c>
      <c r="D4681">
        <v>6.28</v>
      </c>
      <c r="E4681">
        <v>6.29</v>
      </c>
      <c r="F4681">
        <v>3520200</v>
      </c>
      <c r="G4681">
        <v>6.29</v>
      </c>
      <c r="H4681" t="s">
        <v>17</v>
      </c>
      <c r="I4681" s="22">
        <f t="shared" si="147"/>
        <v>-1.4207026644349374E-2</v>
      </c>
      <c r="J4681" s="22" t="str">
        <f t="shared" si="148"/>
        <v>lost money</v>
      </c>
    </row>
    <row r="4682" spans="1:10">
      <c r="A4682" s="1">
        <v>41423</v>
      </c>
      <c r="B4682">
        <v>6.26</v>
      </c>
      <c r="C4682">
        <v>6.3</v>
      </c>
      <c r="D4682">
        <v>6.12</v>
      </c>
      <c r="E4682">
        <v>6.17</v>
      </c>
      <c r="F4682">
        <v>3681500</v>
      </c>
      <c r="G4682">
        <v>6.17</v>
      </c>
      <c r="H4682" t="s">
        <v>17</v>
      </c>
      <c r="I4682" s="22">
        <f t="shared" si="147"/>
        <v>-1.926223279505275E-2</v>
      </c>
      <c r="J4682" s="22" t="str">
        <f t="shared" si="148"/>
        <v>lost money</v>
      </c>
    </row>
    <row r="4683" spans="1:10">
      <c r="A4683" s="1">
        <v>41424</v>
      </c>
      <c r="B4683">
        <v>6.21</v>
      </c>
      <c r="C4683">
        <v>6.28</v>
      </c>
      <c r="D4683">
        <v>6.16</v>
      </c>
      <c r="E4683">
        <v>6.21</v>
      </c>
      <c r="F4683">
        <v>2292500</v>
      </c>
      <c r="G4683">
        <v>6.21</v>
      </c>
      <c r="H4683" t="s">
        <v>17</v>
      </c>
      <c r="I4683" s="22">
        <f t="shared" si="147"/>
        <v>6.462058028091024E-3</v>
      </c>
      <c r="J4683" s="22" t="str">
        <f t="shared" si="148"/>
        <v/>
      </c>
    </row>
    <row r="4684" spans="1:10">
      <c r="A4684" s="1">
        <v>41425</v>
      </c>
      <c r="B4684">
        <v>6.2</v>
      </c>
      <c r="C4684">
        <v>6.26</v>
      </c>
      <c r="D4684">
        <v>6.17</v>
      </c>
      <c r="E4684">
        <v>6.21</v>
      </c>
      <c r="F4684">
        <v>1991100</v>
      </c>
      <c r="G4684">
        <v>6.21</v>
      </c>
      <c r="H4684" t="s">
        <v>17</v>
      </c>
      <c r="I4684" s="22">
        <f t="shared" si="147"/>
        <v>0</v>
      </c>
      <c r="J4684" s="22" t="str">
        <f t="shared" si="148"/>
        <v/>
      </c>
    </row>
    <row r="4685" spans="1:10">
      <c r="A4685" s="1">
        <v>41428</v>
      </c>
      <c r="B4685">
        <v>6.22</v>
      </c>
      <c r="C4685">
        <v>6.29</v>
      </c>
      <c r="D4685">
        <v>6.13</v>
      </c>
      <c r="E4685">
        <v>6.2</v>
      </c>
      <c r="F4685">
        <v>3524000</v>
      </c>
      <c r="G4685">
        <v>6.2</v>
      </c>
      <c r="H4685" t="s">
        <v>17</v>
      </c>
      <c r="I4685" s="22">
        <f t="shared" si="147"/>
        <v>-1.6116038943415328E-3</v>
      </c>
      <c r="J4685" s="22" t="str">
        <f t="shared" si="148"/>
        <v>lost money</v>
      </c>
    </row>
    <row r="4686" spans="1:10">
      <c r="A4686" s="1">
        <v>41429</v>
      </c>
      <c r="B4686">
        <v>6.21</v>
      </c>
      <c r="C4686">
        <v>6.36</v>
      </c>
      <c r="D4686">
        <v>6.17</v>
      </c>
      <c r="E4686">
        <v>6.2</v>
      </c>
      <c r="F4686">
        <v>4391400</v>
      </c>
      <c r="G4686">
        <v>6.2</v>
      </c>
      <c r="H4686" t="s">
        <v>17</v>
      </c>
      <c r="I4686" s="22">
        <f t="shared" si="147"/>
        <v>0</v>
      </c>
      <c r="J4686" s="22" t="str">
        <f t="shared" si="148"/>
        <v>lost money</v>
      </c>
    </row>
    <row r="4687" spans="1:10">
      <c r="A4687" s="1">
        <v>41430</v>
      </c>
      <c r="B4687">
        <v>6.21</v>
      </c>
      <c r="C4687">
        <v>6.23</v>
      </c>
      <c r="D4687">
        <v>6.03</v>
      </c>
      <c r="E4687">
        <v>6.08</v>
      </c>
      <c r="F4687">
        <v>3445800</v>
      </c>
      <c r="G4687">
        <v>6.08</v>
      </c>
      <c r="H4687" t="s">
        <v>17</v>
      </c>
      <c r="I4687" s="22">
        <f t="shared" si="147"/>
        <v>-1.9544596072970283E-2</v>
      </c>
      <c r="J4687" s="22" t="str">
        <f t="shared" si="148"/>
        <v>lost money</v>
      </c>
    </row>
    <row r="4688" spans="1:10">
      <c r="A4688" s="1">
        <v>41431</v>
      </c>
      <c r="B4688">
        <v>6.1</v>
      </c>
      <c r="C4688">
        <v>6.21</v>
      </c>
      <c r="D4688">
        <v>6.05</v>
      </c>
      <c r="E4688">
        <v>6.14</v>
      </c>
      <c r="F4688">
        <v>5090200</v>
      </c>
      <c r="G4688">
        <v>6.14</v>
      </c>
      <c r="H4688" t="s">
        <v>17</v>
      </c>
      <c r="I4688" s="22">
        <f t="shared" si="147"/>
        <v>9.8200461809752945E-3</v>
      </c>
      <c r="J4688" s="22" t="str">
        <f t="shared" si="148"/>
        <v/>
      </c>
    </row>
    <row r="4689" spans="1:10">
      <c r="A4689" s="1">
        <v>41432</v>
      </c>
      <c r="B4689">
        <v>6.18</v>
      </c>
      <c r="C4689">
        <v>6.45</v>
      </c>
      <c r="D4689">
        <v>6.16</v>
      </c>
      <c r="E4689">
        <v>6.43</v>
      </c>
      <c r="F4689">
        <v>4504200</v>
      </c>
      <c r="G4689">
        <v>6.43</v>
      </c>
      <c r="H4689" t="s">
        <v>17</v>
      </c>
      <c r="I4689" s="22">
        <f t="shared" si="147"/>
        <v>4.6149796090476945E-2</v>
      </c>
      <c r="J4689" s="22" t="str">
        <f t="shared" si="148"/>
        <v/>
      </c>
    </row>
    <row r="4690" spans="1:10">
      <c r="A4690" s="1">
        <v>41435</v>
      </c>
      <c r="B4690">
        <v>6.41</v>
      </c>
      <c r="C4690">
        <v>6.44</v>
      </c>
      <c r="D4690">
        <v>6.33</v>
      </c>
      <c r="E4690">
        <v>6.4</v>
      </c>
      <c r="F4690">
        <v>2631100</v>
      </c>
      <c r="G4690">
        <v>6.4</v>
      </c>
      <c r="H4690" t="s">
        <v>17</v>
      </c>
      <c r="I4690" s="22">
        <f t="shared" si="147"/>
        <v>-4.6765478839017934E-3</v>
      </c>
      <c r="J4690" s="22" t="str">
        <f t="shared" si="148"/>
        <v>lost money</v>
      </c>
    </row>
    <row r="4691" spans="1:10">
      <c r="A4691" s="1">
        <v>41436</v>
      </c>
      <c r="B4691">
        <v>6.29</v>
      </c>
      <c r="C4691">
        <v>6.38</v>
      </c>
      <c r="D4691">
        <v>6.21</v>
      </c>
      <c r="E4691">
        <v>6.34</v>
      </c>
      <c r="F4691">
        <v>2328700</v>
      </c>
      <c r="G4691">
        <v>6.34</v>
      </c>
      <c r="H4691" t="s">
        <v>17</v>
      </c>
      <c r="I4691" s="22">
        <f t="shared" si="147"/>
        <v>-9.4192219164916397E-3</v>
      </c>
      <c r="J4691" s="22" t="str">
        <f t="shared" si="148"/>
        <v/>
      </c>
    </row>
    <row r="4692" spans="1:10">
      <c r="A4692" s="1">
        <v>41437</v>
      </c>
      <c r="B4692">
        <v>6.37</v>
      </c>
      <c r="C4692">
        <v>6.49</v>
      </c>
      <c r="D4692">
        <v>6.34</v>
      </c>
      <c r="E4692">
        <v>6.37</v>
      </c>
      <c r="F4692">
        <v>2523400</v>
      </c>
      <c r="G4692">
        <v>6.37</v>
      </c>
      <c r="H4692" t="s">
        <v>17</v>
      </c>
      <c r="I4692" s="22">
        <f t="shared" si="147"/>
        <v>4.7207011349373936E-3</v>
      </c>
      <c r="J4692" s="22" t="str">
        <f t="shared" si="148"/>
        <v/>
      </c>
    </row>
    <row r="4693" spans="1:10">
      <c r="A4693" s="1">
        <v>41438</v>
      </c>
      <c r="B4693">
        <v>6.35</v>
      </c>
      <c r="C4693">
        <v>6.41</v>
      </c>
      <c r="D4693">
        <v>6.27</v>
      </c>
      <c r="E4693">
        <v>6.39</v>
      </c>
      <c r="F4693">
        <v>2646000</v>
      </c>
      <c r="G4693">
        <v>6.39</v>
      </c>
      <c r="H4693" t="s">
        <v>17</v>
      </c>
      <c r="I4693" s="22">
        <f t="shared" si="147"/>
        <v>3.1347988053714785E-3</v>
      </c>
      <c r="J4693" s="22" t="str">
        <f t="shared" si="148"/>
        <v/>
      </c>
    </row>
    <row r="4694" spans="1:10">
      <c r="A4694" s="1">
        <v>41439</v>
      </c>
      <c r="B4694">
        <v>6.39</v>
      </c>
      <c r="C4694">
        <v>6.44</v>
      </c>
      <c r="D4694">
        <v>6.27</v>
      </c>
      <c r="E4694">
        <v>6.29</v>
      </c>
      <c r="F4694">
        <v>2601400</v>
      </c>
      <c r="G4694">
        <v>6.29</v>
      </c>
      <c r="H4694" t="s">
        <v>17</v>
      </c>
      <c r="I4694" s="22">
        <f t="shared" si="147"/>
        <v>-1.5773197677094172E-2</v>
      </c>
      <c r="J4694" s="22" t="str">
        <f t="shared" si="148"/>
        <v>lost money</v>
      </c>
    </row>
    <row r="4695" spans="1:10">
      <c r="A4695" s="1">
        <v>41442</v>
      </c>
      <c r="B4695">
        <v>6.36</v>
      </c>
      <c r="C4695">
        <v>6.37</v>
      </c>
      <c r="D4695">
        <v>6.25</v>
      </c>
      <c r="E4695">
        <v>6.31</v>
      </c>
      <c r="F4695">
        <v>2034100</v>
      </c>
      <c r="G4695">
        <v>6.31</v>
      </c>
      <c r="H4695" t="s">
        <v>17</v>
      </c>
      <c r="I4695" s="22">
        <f t="shared" si="147"/>
        <v>3.1746058407726395E-3</v>
      </c>
      <c r="J4695" s="22" t="str">
        <f t="shared" si="148"/>
        <v>lost money</v>
      </c>
    </row>
    <row r="4696" spans="1:10">
      <c r="A4696" s="1">
        <v>41443</v>
      </c>
      <c r="B4696">
        <v>6.33</v>
      </c>
      <c r="C4696">
        <v>6.41</v>
      </c>
      <c r="D4696">
        <v>6.26</v>
      </c>
      <c r="E4696">
        <v>6.4</v>
      </c>
      <c r="F4696">
        <v>3518400</v>
      </c>
      <c r="G4696">
        <v>6.4</v>
      </c>
      <c r="H4696" t="s">
        <v>17</v>
      </c>
      <c r="I4696" s="22">
        <f t="shared" si="147"/>
        <v>1.4162313812504421E-2</v>
      </c>
      <c r="J4696" s="22" t="str">
        <f t="shared" si="148"/>
        <v/>
      </c>
    </row>
    <row r="4697" spans="1:10">
      <c r="A4697" s="1">
        <v>41444</v>
      </c>
      <c r="B4697">
        <v>6.38</v>
      </c>
      <c r="C4697">
        <v>6.39</v>
      </c>
      <c r="D4697">
        <v>6.2</v>
      </c>
      <c r="E4697">
        <v>6.21</v>
      </c>
      <c r="F4697">
        <v>2227500</v>
      </c>
      <c r="G4697">
        <v>6.21</v>
      </c>
      <c r="H4697" t="s">
        <v>17</v>
      </c>
      <c r="I4697" s="22">
        <f t="shared" si="147"/>
        <v>-3.0137094420238868E-2</v>
      </c>
      <c r="J4697" s="22" t="str">
        <f t="shared" si="148"/>
        <v>lost money</v>
      </c>
    </row>
    <row r="4698" spans="1:10">
      <c r="A4698" s="1">
        <v>41445</v>
      </c>
      <c r="B4698">
        <v>6.16</v>
      </c>
      <c r="C4698">
        <v>6.16</v>
      </c>
      <c r="D4698">
        <v>6.08</v>
      </c>
      <c r="E4698">
        <v>6.13</v>
      </c>
      <c r="F4698">
        <v>3125000</v>
      </c>
      <c r="G4698">
        <v>6.13</v>
      </c>
      <c r="H4698" t="s">
        <v>17</v>
      </c>
      <c r="I4698" s="22">
        <f t="shared" si="147"/>
        <v>-1.2966145997267423E-2</v>
      </c>
      <c r="J4698" s="22" t="str">
        <f t="shared" si="148"/>
        <v>lost money</v>
      </c>
    </row>
    <row r="4699" spans="1:10">
      <c r="A4699" s="1">
        <v>41446</v>
      </c>
      <c r="B4699">
        <v>6.15</v>
      </c>
      <c r="C4699">
        <v>6.22</v>
      </c>
      <c r="D4699">
        <v>6.06</v>
      </c>
      <c r="E4699">
        <v>6.19</v>
      </c>
      <c r="F4699">
        <v>4789700</v>
      </c>
      <c r="G4699">
        <v>6.19</v>
      </c>
      <c r="H4699" t="s">
        <v>17</v>
      </c>
      <c r="I4699" s="22">
        <f t="shared" si="147"/>
        <v>9.7403367483848043E-3</v>
      </c>
      <c r="J4699" s="22" t="str">
        <f t="shared" si="148"/>
        <v/>
      </c>
    </row>
    <row r="4700" spans="1:10">
      <c r="A4700" s="1">
        <v>41449</v>
      </c>
      <c r="B4700">
        <v>6.13</v>
      </c>
      <c r="C4700">
        <v>6.15</v>
      </c>
      <c r="D4700">
        <v>5.95</v>
      </c>
      <c r="E4700">
        <v>6.02</v>
      </c>
      <c r="F4700">
        <v>4135900</v>
      </c>
      <c r="G4700">
        <v>6.02</v>
      </c>
      <c r="H4700" t="s">
        <v>17</v>
      </c>
      <c r="I4700" s="22">
        <f t="shared" si="147"/>
        <v>-2.7847827375775153E-2</v>
      </c>
      <c r="J4700" s="22" t="str">
        <f t="shared" si="148"/>
        <v>lost money</v>
      </c>
    </row>
    <row r="4701" spans="1:10">
      <c r="A4701" s="1">
        <v>41450</v>
      </c>
      <c r="B4701">
        <v>6.05</v>
      </c>
      <c r="C4701">
        <v>6.15</v>
      </c>
      <c r="D4701">
        <v>6.02</v>
      </c>
      <c r="E4701">
        <v>6.09</v>
      </c>
      <c r="F4701">
        <v>2310600</v>
      </c>
      <c r="G4701">
        <v>6.09</v>
      </c>
      <c r="H4701" t="s">
        <v>17</v>
      </c>
      <c r="I4701" s="22">
        <f t="shared" si="147"/>
        <v>1.1560822401076006E-2</v>
      </c>
      <c r="J4701" s="22" t="str">
        <f t="shared" si="148"/>
        <v/>
      </c>
    </row>
    <row r="4702" spans="1:10">
      <c r="A4702" s="1">
        <v>41451</v>
      </c>
      <c r="B4702">
        <v>6.14</v>
      </c>
      <c r="C4702">
        <v>6.14</v>
      </c>
      <c r="D4702">
        <v>6.03</v>
      </c>
      <c r="E4702">
        <v>6.05</v>
      </c>
      <c r="F4702">
        <v>2458800</v>
      </c>
      <c r="G4702">
        <v>6.05</v>
      </c>
      <c r="H4702" t="s">
        <v>17</v>
      </c>
      <c r="I4702" s="22">
        <f t="shared" si="147"/>
        <v>-6.5898096790555525E-3</v>
      </c>
      <c r="J4702" s="22" t="str">
        <f t="shared" si="148"/>
        <v>lost money</v>
      </c>
    </row>
    <row r="4703" spans="1:10">
      <c r="A4703" s="1">
        <v>41452</v>
      </c>
      <c r="B4703">
        <v>6.08</v>
      </c>
      <c r="C4703">
        <v>6.1</v>
      </c>
      <c r="D4703">
        <v>6</v>
      </c>
      <c r="E4703">
        <v>6.08</v>
      </c>
      <c r="F4703">
        <v>1995100</v>
      </c>
      <c r="G4703">
        <v>6.08</v>
      </c>
      <c r="H4703" t="s">
        <v>17</v>
      </c>
      <c r="I4703" s="22">
        <f t="shared" si="147"/>
        <v>4.9464239353256166E-3</v>
      </c>
      <c r="J4703" s="22" t="str">
        <f t="shared" si="148"/>
        <v/>
      </c>
    </row>
    <row r="4704" spans="1:10">
      <c r="A4704" s="1">
        <v>41453</v>
      </c>
      <c r="B4704">
        <v>6.3</v>
      </c>
      <c r="C4704">
        <v>6.63</v>
      </c>
      <c r="D4704">
        <v>6.22</v>
      </c>
      <c r="E4704">
        <v>6.29</v>
      </c>
      <c r="F4704">
        <v>13086000</v>
      </c>
      <c r="G4704">
        <v>6.29</v>
      </c>
      <c r="H4704" t="s">
        <v>17</v>
      </c>
      <c r="I4704" s="22">
        <f t="shared" si="147"/>
        <v>3.3956374734273605E-2</v>
      </c>
      <c r="J4704" s="22" t="str">
        <f t="shared" si="148"/>
        <v>lost money</v>
      </c>
    </row>
    <row r="4705" spans="1:10">
      <c r="A4705" s="1">
        <v>41456</v>
      </c>
      <c r="B4705">
        <v>6.3</v>
      </c>
      <c r="C4705">
        <v>6.5</v>
      </c>
      <c r="D4705">
        <v>6.3</v>
      </c>
      <c r="E4705">
        <v>6.38</v>
      </c>
      <c r="F4705">
        <v>2622200</v>
      </c>
      <c r="G4705">
        <v>6.38</v>
      </c>
      <c r="H4705" t="s">
        <v>17</v>
      </c>
      <c r="I4705" s="22">
        <f t="shared" si="147"/>
        <v>1.4207026644349276E-2</v>
      </c>
      <c r="J4705" s="22" t="str">
        <f t="shared" si="148"/>
        <v/>
      </c>
    </row>
    <row r="4706" spans="1:10">
      <c r="A4706" s="1">
        <v>41457</v>
      </c>
      <c r="B4706">
        <v>6.39</v>
      </c>
      <c r="C4706">
        <v>6.45</v>
      </c>
      <c r="D4706">
        <v>6.16</v>
      </c>
      <c r="E4706">
        <v>6.22</v>
      </c>
      <c r="F4706">
        <v>2264200</v>
      </c>
      <c r="G4706">
        <v>6.22</v>
      </c>
      <c r="H4706" t="s">
        <v>17</v>
      </c>
      <c r="I4706" s="22">
        <f t="shared" si="147"/>
        <v>-2.5398190605610459E-2</v>
      </c>
      <c r="J4706" s="22" t="str">
        <f t="shared" si="148"/>
        <v>lost money</v>
      </c>
    </row>
    <row r="4707" spans="1:10">
      <c r="A4707" s="1">
        <v>41458</v>
      </c>
      <c r="B4707">
        <v>6.2</v>
      </c>
      <c r="C4707">
        <v>6.23</v>
      </c>
      <c r="D4707">
        <v>6.13</v>
      </c>
      <c r="E4707">
        <v>6.16</v>
      </c>
      <c r="F4707">
        <v>1402800</v>
      </c>
      <c r="G4707">
        <v>6.16</v>
      </c>
      <c r="H4707" t="s">
        <v>17</v>
      </c>
      <c r="I4707" s="22">
        <f t="shared" si="147"/>
        <v>-9.6931292056595692E-3</v>
      </c>
      <c r="J4707" s="22" t="str">
        <f t="shared" si="148"/>
        <v>lost money</v>
      </c>
    </row>
    <row r="4708" spans="1:10">
      <c r="A4708" s="1">
        <v>41460</v>
      </c>
      <c r="B4708">
        <v>6.28</v>
      </c>
      <c r="C4708">
        <v>6.29</v>
      </c>
      <c r="D4708">
        <v>6.14</v>
      </c>
      <c r="E4708">
        <v>6.24</v>
      </c>
      <c r="F4708">
        <v>2361300</v>
      </c>
      <c r="G4708">
        <v>6.24</v>
      </c>
      <c r="H4708" t="s">
        <v>17</v>
      </c>
      <c r="I4708" s="22">
        <f t="shared" si="147"/>
        <v>1.2903404835908001E-2</v>
      </c>
      <c r="J4708" s="22" t="str">
        <f t="shared" si="148"/>
        <v>lost money</v>
      </c>
    </row>
    <row r="4709" spans="1:10">
      <c r="A4709" s="1">
        <v>41463</v>
      </c>
      <c r="B4709">
        <v>6.27</v>
      </c>
      <c r="C4709">
        <v>6.33</v>
      </c>
      <c r="D4709">
        <v>6.24</v>
      </c>
      <c r="E4709">
        <v>6.33</v>
      </c>
      <c r="F4709">
        <v>1842600</v>
      </c>
      <c r="G4709">
        <v>6.33</v>
      </c>
      <c r="H4709" t="s">
        <v>17</v>
      </c>
      <c r="I4709" s="22">
        <f t="shared" si="147"/>
        <v>1.4320053774748471E-2</v>
      </c>
      <c r="J4709" s="22" t="str">
        <f t="shared" si="148"/>
        <v/>
      </c>
    </row>
    <row r="4710" spans="1:10">
      <c r="A4710" s="1">
        <v>41464</v>
      </c>
      <c r="B4710">
        <v>6.38</v>
      </c>
      <c r="C4710">
        <v>6.53</v>
      </c>
      <c r="D4710">
        <v>6.34</v>
      </c>
      <c r="E4710">
        <v>6.49</v>
      </c>
      <c r="F4710">
        <v>3752800</v>
      </c>
      <c r="G4710">
        <v>6.49</v>
      </c>
      <c r="H4710" t="s">
        <v>17</v>
      </c>
      <c r="I4710" s="22">
        <f t="shared" si="147"/>
        <v>2.4962294559913775E-2</v>
      </c>
      <c r="J4710" s="22" t="str">
        <f t="shared" si="148"/>
        <v/>
      </c>
    </row>
    <row r="4711" spans="1:10">
      <c r="A4711" s="1">
        <v>41465</v>
      </c>
      <c r="B4711">
        <v>6.47</v>
      </c>
      <c r="C4711">
        <v>6.51</v>
      </c>
      <c r="D4711">
        <v>6.36</v>
      </c>
      <c r="E4711">
        <v>6.41</v>
      </c>
      <c r="F4711">
        <v>3173400</v>
      </c>
      <c r="G4711">
        <v>6.41</v>
      </c>
      <c r="H4711" t="s">
        <v>17</v>
      </c>
      <c r="I4711" s="22">
        <f t="shared" si="147"/>
        <v>-1.2403259783419912E-2</v>
      </c>
      <c r="J4711" s="22" t="str">
        <f t="shared" si="148"/>
        <v>lost money</v>
      </c>
    </row>
    <row r="4712" spans="1:10">
      <c r="A4712" s="1">
        <v>41466</v>
      </c>
      <c r="B4712">
        <v>6.49</v>
      </c>
      <c r="C4712">
        <v>6.49</v>
      </c>
      <c r="D4712">
        <v>6.29</v>
      </c>
      <c r="E4712">
        <v>6.43</v>
      </c>
      <c r="F4712">
        <v>3029700</v>
      </c>
      <c r="G4712">
        <v>6.43</v>
      </c>
      <c r="H4712" t="s">
        <v>17</v>
      </c>
      <c r="I4712" s="22">
        <f t="shared" si="147"/>
        <v>3.1152673169492786E-3</v>
      </c>
      <c r="J4712" s="22" t="str">
        <f t="shared" si="148"/>
        <v>lost money</v>
      </c>
    </row>
    <row r="4713" spans="1:10">
      <c r="A4713" s="1">
        <v>41467</v>
      </c>
      <c r="B4713">
        <v>6.4</v>
      </c>
      <c r="C4713">
        <v>6.5</v>
      </c>
      <c r="D4713">
        <v>6.37</v>
      </c>
      <c r="E4713">
        <v>6.46</v>
      </c>
      <c r="F4713">
        <v>2502400</v>
      </c>
      <c r="G4713">
        <v>6.46</v>
      </c>
      <c r="H4713" t="s">
        <v>17</v>
      </c>
      <c r="I4713" s="22">
        <f t="shared" si="147"/>
        <v>4.6547795449825196E-3</v>
      </c>
      <c r="J4713" s="22" t="str">
        <f t="shared" si="148"/>
        <v/>
      </c>
    </row>
    <row r="4714" spans="1:10">
      <c r="A4714" s="1">
        <v>41470</v>
      </c>
      <c r="B4714">
        <v>6.48</v>
      </c>
      <c r="C4714">
        <v>6.51</v>
      </c>
      <c r="D4714">
        <v>6.42</v>
      </c>
      <c r="E4714">
        <v>6.48</v>
      </c>
      <c r="F4714">
        <v>1933100</v>
      </c>
      <c r="G4714">
        <v>6.48</v>
      </c>
      <c r="H4714" t="s">
        <v>17</v>
      </c>
      <c r="I4714" s="22">
        <f t="shared" si="147"/>
        <v>3.0911925696728796E-3</v>
      </c>
      <c r="J4714" s="22" t="str">
        <f t="shared" si="148"/>
        <v/>
      </c>
    </row>
    <row r="4715" spans="1:10">
      <c r="A4715" s="1">
        <v>41471</v>
      </c>
      <c r="B4715">
        <v>6.49</v>
      </c>
      <c r="C4715">
        <v>6.64</v>
      </c>
      <c r="D4715">
        <v>6.46</v>
      </c>
      <c r="E4715">
        <v>6.62</v>
      </c>
      <c r="F4715">
        <v>5540900</v>
      </c>
      <c r="G4715">
        <v>6.62</v>
      </c>
      <c r="H4715" t="s">
        <v>17</v>
      </c>
      <c r="I4715" s="22">
        <f t="shared" si="147"/>
        <v>2.1374859584733393E-2</v>
      </c>
      <c r="J4715" s="22" t="str">
        <f t="shared" si="148"/>
        <v/>
      </c>
    </row>
    <row r="4716" spans="1:10">
      <c r="A4716" s="1">
        <v>41472</v>
      </c>
      <c r="B4716">
        <v>6.65</v>
      </c>
      <c r="C4716">
        <v>6.81</v>
      </c>
      <c r="D4716">
        <v>6.49</v>
      </c>
      <c r="E4716">
        <v>6.73</v>
      </c>
      <c r="F4716">
        <v>9192300</v>
      </c>
      <c r="G4716">
        <v>6.73</v>
      </c>
      <c r="H4716" t="s">
        <v>17</v>
      </c>
      <c r="I4716" s="22">
        <f t="shared" si="147"/>
        <v>1.6479773707719622E-2</v>
      </c>
      <c r="J4716" s="22" t="str">
        <f t="shared" si="148"/>
        <v/>
      </c>
    </row>
    <row r="4717" spans="1:10">
      <c r="A4717" s="1">
        <v>41473</v>
      </c>
      <c r="B4717">
        <v>6.72</v>
      </c>
      <c r="C4717">
        <v>6.93</v>
      </c>
      <c r="D4717">
        <v>6.71</v>
      </c>
      <c r="E4717">
        <v>6.83</v>
      </c>
      <c r="F4717">
        <v>5493800</v>
      </c>
      <c r="G4717">
        <v>6.83</v>
      </c>
      <c r="H4717" t="s">
        <v>17</v>
      </c>
      <c r="I4717" s="22">
        <f t="shared" si="147"/>
        <v>1.4749529926062207E-2</v>
      </c>
      <c r="J4717" s="22" t="str">
        <f t="shared" si="148"/>
        <v/>
      </c>
    </row>
    <row r="4718" spans="1:10">
      <c r="A4718" s="1">
        <v>41474</v>
      </c>
      <c r="B4718">
        <v>6.81</v>
      </c>
      <c r="C4718">
        <v>6.9</v>
      </c>
      <c r="D4718">
        <v>6.73</v>
      </c>
      <c r="E4718">
        <v>6.78</v>
      </c>
      <c r="F4718">
        <v>1941100</v>
      </c>
      <c r="G4718">
        <v>6.78</v>
      </c>
      <c r="H4718" t="s">
        <v>17</v>
      </c>
      <c r="I4718" s="22">
        <f t="shared" si="147"/>
        <v>-7.347571630394522E-3</v>
      </c>
      <c r="J4718" s="22" t="str">
        <f t="shared" si="148"/>
        <v>lost money</v>
      </c>
    </row>
    <row r="4719" spans="1:10">
      <c r="A4719" s="1">
        <v>41477</v>
      </c>
      <c r="B4719">
        <v>6.75</v>
      </c>
      <c r="C4719">
        <v>6.8</v>
      </c>
      <c r="D4719">
        <v>6.71</v>
      </c>
      <c r="E4719">
        <v>6.76</v>
      </c>
      <c r="F4719">
        <v>1502900</v>
      </c>
      <c r="G4719">
        <v>6.76</v>
      </c>
      <c r="H4719" t="s">
        <v>17</v>
      </c>
      <c r="I4719" s="22">
        <f t="shared" si="147"/>
        <v>-2.9542118974315201E-3</v>
      </c>
      <c r="J4719" s="22" t="str">
        <f t="shared" si="148"/>
        <v/>
      </c>
    </row>
    <row r="4720" spans="1:10">
      <c r="A4720" s="1">
        <v>41478</v>
      </c>
      <c r="B4720">
        <v>6.79</v>
      </c>
      <c r="C4720">
        <v>6.8</v>
      </c>
      <c r="D4720">
        <v>6.69</v>
      </c>
      <c r="E4720">
        <v>6.72</v>
      </c>
      <c r="F4720">
        <v>1734500</v>
      </c>
      <c r="G4720">
        <v>6.72</v>
      </c>
      <c r="H4720" t="s">
        <v>17</v>
      </c>
      <c r="I4720" s="22">
        <f t="shared" si="147"/>
        <v>-5.9347355198145777E-3</v>
      </c>
      <c r="J4720" s="22" t="str">
        <f t="shared" si="148"/>
        <v>lost money</v>
      </c>
    </row>
    <row r="4721" spans="1:10">
      <c r="A4721" s="1">
        <v>41479</v>
      </c>
      <c r="B4721">
        <v>6.77</v>
      </c>
      <c r="C4721">
        <v>6.83</v>
      </c>
      <c r="D4721">
        <v>6.58</v>
      </c>
      <c r="E4721">
        <v>6.63</v>
      </c>
      <c r="F4721">
        <v>3591600</v>
      </c>
      <c r="G4721">
        <v>6.63</v>
      </c>
      <c r="H4721" t="s">
        <v>17</v>
      </c>
      <c r="I4721" s="22">
        <f t="shared" si="147"/>
        <v>-1.3483350337286988E-2</v>
      </c>
      <c r="J4721" s="22" t="str">
        <f t="shared" si="148"/>
        <v>lost money</v>
      </c>
    </row>
    <row r="4722" spans="1:10">
      <c r="A4722" s="1">
        <v>41480</v>
      </c>
      <c r="B4722">
        <v>6.62</v>
      </c>
      <c r="C4722">
        <v>6.76</v>
      </c>
      <c r="D4722">
        <v>6.55</v>
      </c>
      <c r="E4722">
        <v>6.76</v>
      </c>
      <c r="F4722">
        <v>3058200</v>
      </c>
      <c r="G4722">
        <v>6.76</v>
      </c>
      <c r="H4722" t="s">
        <v>17</v>
      </c>
      <c r="I4722" s="22">
        <f t="shared" si="147"/>
        <v>1.9418085857101516E-2</v>
      </c>
      <c r="J4722" s="22" t="str">
        <f t="shared" si="148"/>
        <v/>
      </c>
    </row>
    <row r="4723" spans="1:10">
      <c r="A4723" s="1">
        <v>41481</v>
      </c>
      <c r="B4723">
        <v>6.7</v>
      </c>
      <c r="C4723">
        <v>6.8</v>
      </c>
      <c r="D4723">
        <v>6.66</v>
      </c>
      <c r="E4723">
        <v>6.76</v>
      </c>
      <c r="F4723">
        <v>2606400</v>
      </c>
      <c r="G4723">
        <v>6.76</v>
      </c>
      <c r="H4723" t="s">
        <v>17</v>
      </c>
      <c r="I4723" s="22">
        <f t="shared" si="147"/>
        <v>0</v>
      </c>
      <c r="J4723" s="22" t="str">
        <f t="shared" si="148"/>
        <v/>
      </c>
    </row>
    <row r="4724" spans="1:10">
      <c r="A4724" s="1">
        <v>41484</v>
      </c>
      <c r="B4724">
        <v>6.74</v>
      </c>
      <c r="C4724">
        <v>6.76</v>
      </c>
      <c r="D4724">
        <v>6.6</v>
      </c>
      <c r="E4724">
        <v>6.65</v>
      </c>
      <c r="F4724">
        <v>2255700</v>
      </c>
      <c r="G4724">
        <v>6.65</v>
      </c>
      <c r="H4724" t="s">
        <v>17</v>
      </c>
      <c r="I4724" s="22">
        <f t="shared" si="147"/>
        <v>-1.6406035387109868E-2</v>
      </c>
      <c r="J4724" s="22" t="str">
        <f t="shared" si="148"/>
        <v>lost money</v>
      </c>
    </row>
    <row r="4725" spans="1:10">
      <c r="A4725" s="1">
        <v>41485</v>
      </c>
      <c r="B4725">
        <v>6.48</v>
      </c>
      <c r="C4725">
        <v>6.66</v>
      </c>
      <c r="D4725">
        <v>6.36</v>
      </c>
      <c r="E4725">
        <v>6.5</v>
      </c>
      <c r="F4725">
        <v>4300900</v>
      </c>
      <c r="G4725">
        <v>6.5</v>
      </c>
      <c r="H4725" t="s">
        <v>17</v>
      </c>
      <c r="I4725" s="22">
        <f t="shared" si="147"/>
        <v>-2.2814677766171399E-2</v>
      </c>
      <c r="J4725" s="22" t="str">
        <f t="shared" si="148"/>
        <v/>
      </c>
    </row>
    <row r="4726" spans="1:10">
      <c r="A4726" s="1">
        <v>41486</v>
      </c>
      <c r="B4726">
        <v>6.49</v>
      </c>
      <c r="C4726">
        <v>6.62</v>
      </c>
      <c r="D4726">
        <v>6.44</v>
      </c>
      <c r="E4726">
        <v>6.54</v>
      </c>
      <c r="F4726">
        <v>1925700</v>
      </c>
      <c r="G4726">
        <v>6.54</v>
      </c>
      <c r="H4726" t="s">
        <v>17</v>
      </c>
      <c r="I4726" s="22">
        <f t="shared" si="147"/>
        <v>6.1349885675159293E-3</v>
      </c>
      <c r="J4726" s="22" t="str">
        <f t="shared" si="148"/>
        <v/>
      </c>
    </row>
    <row r="4727" spans="1:10">
      <c r="A4727" s="1">
        <v>41487</v>
      </c>
      <c r="B4727">
        <v>6.59</v>
      </c>
      <c r="C4727">
        <v>6.67</v>
      </c>
      <c r="D4727">
        <v>6.53</v>
      </c>
      <c r="E4727">
        <v>6.59</v>
      </c>
      <c r="F4727">
        <v>3314500</v>
      </c>
      <c r="G4727">
        <v>6.59</v>
      </c>
      <c r="H4727" t="s">
        <v>17</v>
      </c>
      <c r="I4727" s="22">
        <f t="shared" si="147"/>
        <v>7.616183045308509E-3</v>
      </c>
      <c r="J4727" s="22" t="str">
        <f t="shared" si="148"/>
        <v/>
      </c>
    </row>
    <row r="4728" spans="1:10">
      <c r="A4728" s="1">
        <v>41488</v>
      </c>
      <c r="B4728">
        <v>6.58</v>
      </c>
      <c r="C4728">
        <v>6.59</v>
      </c>
      <c r="D4728">
        <v>6.46</v>
      </c>
      <c r="E4728">
        <v>6.5</v>
      </c>
      <c r="F4728">
        <v>1913600</v>
      </c>
      <c r="G4728">
        <v>6.5</v>
      </c>
      <c r="H4728" t="s">
        <v>17</v>
      </c>
      <c r="I4728" s="22">
        <f t="shared" si="147"/>
        <v>-1.3751171612824409E-2</v>
      </c>
      <c r="J4728" s="22" t="str">
        <f t="shared" si="148"/>
        <v>lost money</v>
      </c>
    </row>
    <row r="4729" spans="1:10">
      <c r="A4729" s="1">
        <v>41491</v>
      </c>
      <c r="B4729">
        <v>6.5</v>
      </c>
      <c r="C4729">
        <v>6.57</v>
      </c>
      <c r="D4729">
        <v>6.43</v>
      </c>
      <c r="E4729">
        <v>6.51</v>
      </c>
      <c r="F4729">
        <v>2524200</v>
      </c>
      <c r="G4729">
        <v>6.51</v>
      </c>
      <c r="H4729" t="s">
        <v>17</v>
      </c>
      <c r="I4729" s="22">
        <f t="shared" si="147"/>
        <v>1.5372793188863979E-3</v>
      </c>
      <c r="J4729" s="22" t="str">
        <f t="shared" si="148"/>
        <v/>
      </c>
    </row>
    <row r="4730" spans="1:10">
      <c r="A4730" s="1">
        <v>41492</v>
      </c>
      <c r="B4730">
        <v>6.52</v>
      </c>
      <c r="C4730">
        <v>6.52</v>
      </c>
      <c r="D4730">
        <v>6.35</v>
      </c>
      <c r="E4730">
        <v>6.38</v>
      </c>
      <c r="F4730">
        <v>1694000</v>
      </c>
      <c r="G4730">
        <v>6.38</v>
      </c>
      <c r="H4730" t="s">
        <v>17</v>
      </c>
      <c r="I4730" s="22">
        <f t="shared" si="147"/>
        <v>-2.0171358863779312E-2</v>
      </c>
      <c r="J4730" s="22" t="str">
        <f t="shared" si="148"/>
        <v>lost money</v>
      </c>
    </row>
    <row r="4731" spans="1:10">
      <c r="A4731" s="1">
        <v>41493</v>
      </c>
      <c r="B4731">
        <v>6.37</v>
      </c>
      <c r="C4731">
        <v>6.45</v>
      </c>
      <c r="D4731">
        <v>6.3</v>
      </c>
      <c r="E4731">
        <v>6.37</v>
      </c>
      <c r="F4731">
        <v>2052900</v>
      </c>
      <c r="G4731">
        <v>6.37</v>
      </c>
      <c r="H4731" t="s">
        <v>17</v>
      </c>
      <c r="I4731" s="22">
        <f t="shared" si="147"/>
        <v>-1.568627772626487E-3</v>
      </c>
      <c r="J4731" s="22" t="str">
        <f t="shared" si="148"/>
        <v/>
      </c>
    </row>
    <row r="4732" spans="1:10">
      <c r="A4732" s="1">
        <v>41494</v>
      </c>
      <c r="B4732">
        <v>6.42</v>
      </c>
      <c r="C4732">
        <v>6.5</v>
      </c>
      <c r="D4732">
        <v>6.35</v>
      </c>
      <c r="E4732">
        <v>6.37</v>
      </c>
      <c r="F4732">
        <v>1565200</v>
      </c>
      <c r="G4732">
        <v>6.37</v>
      </c>
      <c r="H4732" t="s">
        <v>17</v>
      </c>
      <c r="I4732" s="22">
        <f t="shared" si="147"/>
        <v>0</v>
      </c>
      <c r="J4732" s="22" t="str">
        <f t="shared" si="148"/>
        <v>lost money</v>
      </c>
    </row>
    <row r="4733" spans="1:10">
      <c r="A4733" s="1">
        <v>41495</v>
      </c>
      <c r="B4733">
        <v>6.37</v>
      </c>
      <c r="C4733">
        <v>6.4</v>
      </c>
      <c r="D4733">
        <v>6.27</v>
      </c>
      <c r="E4733">
        <v>6.28</v>
      </c>
      <c r="F4733">
        <v>1940900</v>
      </c>
      <c r="G4733">
        <v>6.28</v>
      </c>
      <c r="H4733" t="s">
        <v>17</v>
      </c>
      <c r="I4733" s="22">
        <f t="shared" si="147"/>
        <v>-1.4229489103964651E-2</v>
      </c>
      <c r="J4733" s="22" t="str">
        <f t="shared" si="148"/>
        <v>lost money</v>
      </c>
    </row>
    <row r="4734" spans="1:10">
      <c r="A4734" s="1">
        <v>41498</v>
      </c>
      <c r="B4734">
        <v>6.23</v>
      </c>
      <c r="C4734">
        <v>6.36</v>
      </c>
      <c r="D4734">
        <v>6.22</v>
      </c>
      <c r="E4734">
        <v>6.36</v>
      </c>
      <c r="F4734">
        <v>2044500</v>
      </c>
      <c r="G4734">
        <v>6.36</v>
      </c>
      <c r="H4734" t="s">
        <v>17</v>
      </c>
      <c r="I4734" s="22">
        <f t="shared" si="147"/>
        <v>1.2658396871923465E-2</v>
      </c>
      <c r="J4734" s="22" t="str">
        <f t="shared" si="148"/>
        <v/>
      </c>
    </row>
    <row r="4735" spans="1:10">
      <c r="A4735" s="1">
        <v>41499</v>
      </c>
      <c r="B4735">
        <v>6.39</v>
      </c>
      <c r="C4735">
        <v>6.4</v>
      </c>
      <c r="D4735">
        <v>6.08</v>
      </c>
      <c r="E4735">
        <v>6.27</v>
      </c>
      <c r="F4735">
        <v>7540700</v>
      </c>
      <c r="G4735">
        <v>6.27</v>
      </c>
      <c r="H4735" t="s">
        <v>17</v>
      </c>
      <c r="I4735" s="22">
        <f t="shared" si="147"/>
        <v>-1.4252022707201615E-2</v>
      </c>
      <c r="J4735" s="22" t="str">
        <f t="shared" si="148"/>
        <v>lost money</v>
      </c>
    </row>
    <row r="4736" spans="1:10">
      <c r="A4736" s="1">
        <v>41500</v>
      </c>
      <c r="B4736">
        <v>6.25</v>
      </c>
      <c r="C4736">
        <v>6.43</v>
      </c>
      <c r="D4736">
        <v>6.15</v>
      </c>
      <c r="E4736">
        <v>6.36</v>
      </c>
      <c r="F4736">
        <v>3850000</v>
      </c>
      <c r="G4736">
        <v>6.36</v>
      </c>
      <c r="H4736" t="s">
        <v>17</v>
      </c>
      <c r="I4736" s="22">
        <f t="shared" si="147"/>
        <v>1.4252022707201632E-2</v>
      </c>
      <c r="J4736" s="22" t="str">
        <f t="shared" si="148"/>
        <v/>
      </c>
    </row>
    <row r="4737" spans="1:10">
      <c r="A4737" s="1">
        <v>41501</v>
      </c>
      <c r="B4737">
        <v>6.3</v>
      </c>
      <c r="C4737">
        <v>6.36</v>
      </c>
      <c r="D4737">
        <v>6.23</v>
      </c>
      <c r="E4737">
        <v>6.25</v>
      </c>
      <c r="F4737">
        <v>3349600</v>
      </c>
      <c r="G4737">
        <v>6.25</v>
      </c>
      <c r="H4737" t="s">
        <v>17</v>
      </c>
      <c r="I4737" s="22">
        <f t="shared" si="147"/>
        <v>-1.74469136037207E-2</v>
      </c>
      <c r="J4737" s="22" t="str">
        <f t="shared" si="148"/>
        <v>lost money</v>
      </c>
    </row>
    <row r="4738" spans="1:10">
      <c r="A4738" s="1">
        <v>41502</v>
      </c>
      <c r="B4738">
        <v>6.34</v>
      </c>
      <c r="C4738">
        <v>6.54</v>
      </c>
      <c r="D4738">
        <v>6.31</v>
      </c>
      <c r="E4738">
        <v>6.37</v>
      </c>
      <c r="F4738">
        <v>4895200</v>
      </c>
      <c r="G4738">
        <v>6.37</v>
      </c>
      <c r="H4738" t="s">
        <v>17</v>
      </c>
      <c r="I4738" s="22">
        <f t="shared" si="147"/>
        <v>1.901800583576195E-2</v>
      </c>
      <c r="J4738" s="22" t="str">
        <f t="shared" si="148"/>
        <v/>
      </c>
    </row>
    <row r="4739" spans="1:10">
      <c r="A4739" s="1">
        <v>41505</v>
      </c>
      <c r="B4739">
        <v>6.37</v>
      </c>
      <c r="C4739">
        <v>6.4</v>
      </c>
      <c r="D4739">
        <v>6.18</v>
      </c>
      <c r="E4739">
        <v>6.22</v>
      </c>
      <c r="F4739">
        <v>2479400</v>
      </c>
      <c r="G4739">
        <v>6.22</v>
      </c>
      <c r="H4739" t="s">
        <v>17</v>
      </c>
      <c r="I4739" s="22">
        <f t="shared" ref="I4739:I4802" si="149">IF(A4739=$A$2,"",LN(G4739/G4738))</f>
        <v>-2.3829562832983948E-2</v>
      </c>
      <c r="J4739" s="22" t="str">
        <f t="shared" ref="J4739:J4802" si="150">IF(B4739&gt;E4739,"lost money","")</f>
        <v>lost money</v>
      </c>
    </row>
    <row r="4740" spans="1:10">
      <c r="A4740" s="1">
        <v>41506</v>
      </c>
      <c r="B4740">
        <v>6.24</v>
      </c>
      <c r="C4740">
        <v>6.34</v>
      </c>
      <c r="D4740">
        <v>6.16</v>
      </c>
      <c r="E4740">
        <v>6.26</v>
      </c>
      <c r="F4740">
        <v>1879300</v>
      </c>
      <c r="G4740">
        <v>6.26</v>
      </c>
      <c r="H4740" t="s">
        <v>17</v>
      </c>
      <c r="I4740" s="22">
        <f t="shared" si="149"/>
        <v>6.4102783609190188E-3</v>
      </c>
      <c r="J4740" s="22" t="str">
        <f t="shared" si="150"/>
        <v/>
      </c>
    </row>
    <row r="4741" spans="1:10">
      <c r="A4741" s="1">
        <v>41507</v>
      </c>
      <c r="B4741">
        <v>6.22</v>
      </c>
      <c r="C4741">
        <v>6.33</v>
      </c>
      <c r="D4741">
        <v>6.2</v>
      </c>
      <c r="E4741">
        <v>6.27</v>
      </c>
      <c r="F4741">
        <v>3069100</v>
      </c>
      <c r="G4741">
        <v>6.27</v>
      </c>
      <c r="H4741" t="s">
        <v>17</v>
      </c>
      <c r="I4741" s="22">
        <f t="shared" si="149"/>
        <v>1.5961695328221347E-3</v>
      </c>
      <c r="J4741" s="22" t="str">
        <f t="shared" si="150"/>
        <v/>
      </c>
    </row>
    <row r="4742" spans="1:10">
      <c r="A4742" s="1">
        <v>41508</v>
      </c>
      <c r="B4742">
        <v>6.27</v>
      </c>
      <c r="C4742">
        <v>6.38</v>
      </c>
      <c r="D4742">
        <v>6.26</v>
      </c>
      <c r="E4742">
        <v>6.35</v>
      </c>
      <c r="F4742">
        <v>2191900</v>
      </c>
      <c r="G4742">
        <v>6.35</v>
      </c>
      <c r="H4742" t="s">
        <v>17</v>
      </c>
      <c r="I4742" s="22">
        <f t="shared" si="149"/>
        <v>1.2678458259770872E-2</v>
      </c>
      <c r="J4742" s="22" t="str">
        <f t="shared" si="150"/>
        <v/>
      </c>
    </row>
    <row r="4743" spans="1:10">
      <c r="A4743" s="1">
        <v>41509</v>
      </c>
      <c r="B4743">
        <v>6.38</v>
      </c>
      <c r="C4743">
        <v>6.39</v>
      </c>
      <c r="D4743">
        <v>6.3</v>
      </c>
      <c r="E4743">
        <v>6.36</v>
      </c>
      <c r="F4743">
        <v>2267300</v>
      </c>
      <c r="G4743">
        <v>6.36</v>
      </c>
      <c r="H4743" t="s">
        <v>17</v>
      </c>
      <c r="I4743" s="22">
        <f t="shared" si="149"/>
        <v>1.5735644474305383E-3</v>
      </c>
      <c r="J4743" s="22" t="str">
        <f t="shared" si="150"/>
        <v>lost money</v>
      </c>
    </row>
    <row r="4744" spans="1:10">
      <c r="A4744" s="1">
        <v>41512</v>
      </c>
      <c r="B4744">
        <v>6.39</v>
      </c>
      <c r="C4744">
        <v>6.4</v>
      </c>
      <c r="D4744">
        <v>6.33</v>
      </c>
      <c r="E4744">
        <v>6.37</v>
      </c>
      <c r="F4744">
        <v>1923900</v>
      </c>
      <c r="G4744">
        <v>6.37</v>
      </c>
      <c r="H4744" t="s">
        <v>17</v>
      </c>
      <c r="I4744" s="22">
        <f t="shared" si="149"/>
        <v>1.5710922320411461E-3</v>
      </c>
      <c r="J4744" s="22" t="str">
        <f t="shared" si="150"/>
        <v>lost money</v>
      </c>
    </row>
    <row r="4745" spans="1:10">
      <c r="A4745" s="1">
        <v>41513</v>
      </c>
      <c r="B4745">
        <v>6.31</v>
      </c>
      <c r="C4745">
        <v>6.39</v>
      </c>
      <c r="D4745">
        <v>6.22</v>
      </c>
      <c r="E4745">
        <v>6.23</v>
      </c>
      <c r="F4745">
        <v>3837800</v>
      </c>
      <c r="G4745">
        <v>6.23</v>
      </c>
      <c r="H4745" t="s">
        <v>17</v>
      </c>
      <c r="I4745" s="22">
        <f t="shared" si="149"/>
        <v>-2.2223136784710124E-2</v>
      </c>
      <c r="J4745" s="22" t="str">
        <f t="shared" si="150"/>
        <v>lost money</v>
      </c>
    </row>
    <row r="4746" spans="1:10">
      <c r="A4746" s="1">
        <v>41514</v>
      </c>
      <c r="B4746">
        <v>6.25</v>
      </c>
      <c r="C4746">
        <v>6.29</v>
      </c>
      <c r="D4746">
        <v>6.13</v>
      </c>
      <c r="E4746">
        <v>6.22</v>
      </c>
      <c r="F4746">
        <v>3139200</v>
      </c>
      <c r="G4746">
        <v>6.22</v>
      </c>
      <c r="H4746" t="s">
        <v>17</v>
      </c>
      <c r="I4746" s="22">
        <f t="shared" si="149"/>
        <v>-1.606426048273799E-3</v>
      </c>
      <c r="J4746" s="22" t="str">
        <f t="shared" si="150"/>
        <v>lost money</v>
      </c>
    </row>
    <row r="4747" spans="1:10">
      <c r="A4747" s="1">
        <v>41515</v>
      </c>
      <c r="B4747">
        <v>6.22</v>
      </c>
      <c r="C4747">
        <v>6.3</v>
      </c>
      <c r="D4747">
        <v>6.18</v>
      </c>
      <c r="E4747">
        <v>6.19</v>
      </c>
      <c r="F4747">
        <v>3127500</v>
      </c>
      <c r="G4747">
        <v>6.19</v>
      </c>
      <c r="H4747" t="s">
        <v>17</v>
      </c>
      <c r="I4747" s="22">
        <f t="shared" si="149"/>
        <v>-4.8348200545832928E-3</v>
      </c>
      <c r="J4747" s="22" t="str">
        <f t="shared" si="150"/>
        <v>lost money</v>
      </c>
    </row>
    <row r="4748" spans="1:10">
      <c r="A4748" s="1">
        <v>41516</v>
      </c>
      <c r="B4748">
        <v>6.17</v>
      </c>
      <c r="C4748">
        <v>6.25</v>
      </c>
      <c r="D4748">
        <v>6.1</v>
      </c>
      <c r="E4748">
        <v>6.15</v>
      </c>
      <c r="F4748">
        <v>2695400</v>
      </c>
      <c r="G4748">
        <v>6.15</v>
      </c>
      <c r="H4748" t="s">
        <v>17</v>
      </c>
      <c r="I4748" s="22">
        <f t="shared" si="149"/>
        <v>-6.483004878078266E-3</v>
      </c>
      <c r="J4748" s="22" t="str">
        <f t="shared" si="150"/>
        <v>lost money</v>
      </c>
    </row>
    <row r="4749" spans="1:10">
      <c r="A4749" s="1">
        <v>41520</v>
      </c>
      <c r="B4749">
        <v>6.22</v>
      </c>
      <c r="C4749">
        <v>6.27</v>
      </c>
      <c r="D4749">
        <v>6.05</v>
      </c>
      <c r="E4749">
        <v>6.1</v>
      </c>
      <c r="F4749">
        <v>4284800</v>
      </c>
      <c r="G4749">
        <v>6.1</v>
      </c>
      <c r="H4749" t="s">
        <v>17</v>
      </c>
      <c r="I4749" s="22">
        <f t="shared" si="149"/>
        <v>-8.1633106391610939E-3</v>
      </c>
      <c r="J4749" s="22" t="str">
        <f t="shared" si="150"/>
        <v>lost money</v>
      </c>
    </row>
    <row r="4750" spans="1:10">
      <c r="A4750" s="1">
        <v>41521</v>
      </c>
      <c r="B4750">
        <v>6.13</v>
      </c>
      <c r="C4750">
        <v>6.28</v>
      </c>
      <c r="D4750">
        <v>6.09</v>
      </c>
      <c r="E4750">
        <v>6.23</v>
      </c>
      <c r="F4750">
        <v>2952400</v>
      </c>
      <c r="G4750">
        <v>6.23</v>
      </c>
      <c r="H4750" t="s">
        <v>17</v>
      </c>
      <c r="I4750" s="22">
        <f t="shared" si="149"/>
        <v>2.1087561620096385E-2</v>
      </c>
      <c r="J4750" s="22" t="str">
        <f t="shared" si="150"/>
        <v/>
      </c>
    </row>
    <row r="4751" spans="1:10">
      <c r="A4751" s="1">
        <v>41522</v>
      </c>
      <c r="B4751">
        <v>6.21</v>
      </c>
      <c r="C4751">
        <v>6.28</v>
      </c>
      <c r="D4751">
        <v>6.18</v>
      </c>
      <c r="E4751">
        <v>6.18</v>
      </c>
      <c r="F4751">
        <v>1413700</v>
      </c>
      <c r="G4751">
        <v>6.18</v>
      </c>
      <c r="H4751" t="s">
        <v>17</v>
      </c>
      <c r="I4751" s="22">
        <f t="shared" si="149"/>
        <v>-8.058061329762535E-3</v>
      </c>
      <c r="J4751" s="22" t="str">
        <f t="shared" si="150"/>
        <v>lost money</v>
      </c>
    </row>
    <row r="4752" spans="1:10">
      <c r="A4752" s="1">
        <v>41523</v>
      </c>
      <c r="B4752">
        <v>6.2</v>
      </c>
      <c r="C4752">
        <v>6.25</v>
      </c>
      <c r="D4752">
        <v>6.04</v>
      </c>
      <c r="E4752">
        <v>6.12</v>
      </c>
      <c r="F4752">
        <v>3283700</v>
      </c>
      <c r="G4752">
        <v>6.12</v>
      </c>
      <c r="H4752" t="s">
        <v>17</v>
      </c>
      <c r="I4752" s="22">
        <f t="shared" si="149"/>
        <v>-9.7561749453645725E-3</v>
      </c>
      <c r="J4752" s="22" t="str">
        <f t="shared" si="150"/>
        <v>lost money</v>
      </c>
    </row>
    <row r="4753" spans="1:10">
      <c r="A4753" s="1">
        <v>41526</v>
      </c>
      <c r="B4753">
        <v>6.11</v>
      </c>
      <c r="C4753">
        <v>6.27</v>
      </c>
      <c r="D4753">
        <v>6.11</v>
      </c>
      <c r="E4753">
        <v>6.27</v>
      </c>
      <c r="F4753">
        <v>3160700</v>
      </c>
      <c r="G4753">
        <v>6.27</v>
      </c>
      <c r="H4753" t="s">
        <v>17</v>
      </c>
      <c r="I4753" s="22">
        <f t="shared" si="149"/>
        <v>2.421425812059453E-2</v>
      </c>
      <c r="J4753" s="22" t="str">
        <f t="shared" si="150"/>
        <v/>
      </c>
    </row>
    <row r="4754" spans="1:10">
      <c r="A4754" s="1">
        <v>41527</v>
      </c>
      <c r="B4754">
        <v>6.33</v>
      </c>
      <c r="C4754">
        <v>6.62</v>
      </c>
      <c r="D4754">
        <v>6.33</v>
      </c>
      <c r="E4754">
        <v>6.62</v>
      </c>
      <c r="F4754">
        <v>6310700</v>
      </c>
      <c r="G4754">
        <v>6.62</v>
      </c>
      <c r="H4754" t="s">
        <v>17</v>
      </c>
      <c r="I4754" s="22">
        <f t="shared" si="149"/>
        <v>5.4319015304087545E-2</v>
      </c>
      <c r="J4754" s="22" t="str">
        <f t="shared" si="150"/>
        <v/>
      </c>
    </row>
    <row r="4755" spans="1:10">
      <c r="A4755" s="1">
        <v>41528</v>
      </c>
      <c r="B4755">
        <v>6.61</v>
      </c>
      <c r="C4755">
        <v>6.61</v>
      </c>
      <c r="D4755">
        <v>6.43</v>
      </c>
      <c r="E4755">
        <v>6.48</v>
      </c>
      <c r="F4755">
        <v>3586000</v>
      </c>
      <c r="G4755">
        <v>6.48</v>
      </c>
      <c r="H4755" t="s">
        <v>17</v>
      </c>
      <c r="I4755" s="22">
        <f t="shared" si="149"/>
        <v>-2.1374859584733449E-2</v>
      </c>
      <c r="J4755" s="22" t="str">
        <f t="shared" si="150"/>
        <v>lost money</v>
      </c>
    </row>
    <row r="4756" spans="1:10">
      <c r="A4756" s="1">
        <v>41529</v>
      </c>
      <c r="B4756">
        <v>6.47</v>
      </c>
      <c r="C4756">
        <v>6.49</v>
      </c>
      <c r="D4756">
        <v>6.36</v>
      </c>
      <c r="E4756">
        <v>6.36</v>
      </c>
      <c r="F4756">
        <v>2310700</v>
      </c>
      <c r="G4756">
        <v>6.36</v>
      </c>
      <c r="H4756" t="s">
        <v>17</v>
      </c>
      <c r="I4756" s="22">
        <f t="shared" si="149"/>
        <v>-1.8692133012152522E-2</v>
      </c>
      <c r="J4756" s="22" t="str">
        <f t="shared" si="150"/>
        <v>lost money</v>
      </c>
    </row>
    <row r="4757" spans="1:10">
      <c r="A4757" s="1">
        <v>41530</v>
      </c>
      <c r="B4757">
        <v>6.44</v>
      </c>
      <c r="C4757">
        <v>6.51</v>
      </c>
      <c r="D4757">
        <v>6.37</v>
      </c>
      <c r="E4757">
        <v>6.5</v>
      </c>
      <c r="F4757">
        <v>2548500</v>
      </c>
      <c r="G4757">
        <v>6.5</v>
      </c>
      <c r="H4757" t="s">
        <v>17</v>
      </c>
      <c r="I4757" s="22">
        <f t="shared" si="149"/>
        <v>2.1773799549560536E-2</v>
      </c>
      <c r="J4757" s="22" t="str">
        <f t="shared" si="150"/>
        <v/>
      </c>
    </row>
    <row r="4758" spans="1:10">
      <c r="A4758" s="1">
        <v>41533</v>
      </c>
      <c r="B4758">
        <v>6.61</v>
      </c>
      <c r="C4758">
        <v>6.64</v>
      </c>
      <c r="D4758">
        <v>6.51</v>
      </c>
      <c r="E4758">
        <v>6.53</v>
      </c>
      <c r="F4758">
        <v>3625300</v>
      </c>
      <c r="G4758">
        <v>6.53</v>
      </c>
      <c r="H4758" t="s">
        <v>17</v>
      </c>
      <c r="I4758" s="22">
        <f t="shared" si="149"/>
        <v>4.6047663867483388E-3</v>
      </c>
      <c r="J4758" s="22" t="str">
        <f t="shared" si="150"/>
        <v>lost money</v>
      </c>
    </row>
    <row r="4759" spans="1:10">
      <c r="A4759" s="1">
        <v>41534</v>
      </c>
      <c r="B4759">
        <v>6.59</v>
      </c>
      <c r="C4759">
        <v>6.64</v>
      </c>
      <c r="D4759">
        <v>6.54</v>
      </c>
      <c r="E4759">
        <v>6.6</v>
      </c>
      <c r="F4759">
        <v>3247700</v>
      </c>
      <c r="G4759">
        <v>6.6</v>
      </c>
      <c r="H4759" t="s">
        <v>17</v>
      </c>
      <c r="I4759" s="22">
        <f t="shared" si="149"/>
        <v>1.0662705744040111E-2</v>
      </c>
      <c r="J4759" s="22" t="str">
        <f t="shared" si="150"/>
        <v/>
      </c>
    </row>
    <row r="4760" spans="1:10">
      <c r="A4760" s="1">
        <v>41535</v>
      </c>
      <c r="B4760">
        <v>6.62</v>
      </c>
      <c r="C4760">
        <v>6.69</v>
      </c>
      <c r="D4760">
        <v>6.52</v>
      </c>
      <c r="E4760">
        <v>6.67</v>
      </c>
      <c r="F4760">
        <v>3480400</v>
      </c>
      <c r="G4760">
        <v>6.67</v>
      </c>
      <c r="H4760" t="s">
        <v>17</v>
      </c>
      <c r="I4760" s="22">
        <f t="shared" si="149"/>
        <v>1.0550210895152611E-2</v>
      </c>
      <c r="J4760" s="22" t="str">
        <f t="shared" si="150"/>
        <v/>
      </c>
    </row>
    <row r="4761" spans="1:10">
      <c r="A4761" s="1">
        <v>41536</v>
      </c>
      <c r="B4761">
        <v>6.7</v>
      </c>
      <c r="C4761">
        <v>6.76</v>
      </c>
      <c r="D4761">
        <v>6.62</v>
      </c>
      <c r="E4761">
        <v>6.7</v>
      </c>
      <c r="F4761">
        <v>3166400</v>
      </c>
      <c r="G4761">
        <v>6.7</v>
      </c>
      <c r="H4761" t="s">
        <v>17</v>
      </c>
      <c r="I4761" s="22">
        <f t="shared" si="149"/>
        <v>4.4876664693879768E-3</v>
      </c>
      <c r="J4761" s="22" t="str">
        <f t="shared" si="150"/>
        <v/>
      </c>
    </row>
    <row r="4762" spans="1:10">
      <c r="A4762" s="1">
        <v>41537</v>
      </c>
      <c r="B4762">
        <v>6.69</v>
      </c>
      <c r="C4762">
        <v>6.78</v>
      </c>
      <c r="D4762">
        <v>6.63</v>
      </c>
      <c r="E4762">
        <v>6.67</v>
      </c>
      <c r="F4762">
        <v>6618100</v>
      </c>
      <c r="G4762">
        <v>6.67</v>
      </c>
      <c r="H4762" t="s">
        <v>17</v>
      </c>
      <c r="I4762" s="22">
        <f t="shared" si="149"/>
        <v>-4.4876664693880167E-3</v>
      </c>
      <c r="J4762" s="22" t="str">
        <f t="shared" si="150"/>
        <v>lost money</v>
      </c>
    </row>
    <row r="4763" spans="1:10">
      <c r="A4763" s="1">
        <v>41540</v>
      </c>
      <c r="B4763">
        <v>6.69</v>
      </c>
      <c r="C4763">
        <v>6.77</v>
      </c>
      <c r="D4763">
        <v>6.6</v>
      </c>
      <c r="E4763">
        <v>6.69</v>
      </c>
      <c r="F4763">
        <v>2937300</v>
      </c>
      <c r="G4763">
        <v>6.69</v>
      </c>
      <c r="H4763" t="s">
        <v>17</v>
      </c>
      <c r="I4763" s="22">
        <f t="shared" si="149"/>
        <v>2.9940142126046996E-3</v>
      </c>
      <c r="J4763" s="22" t="str">
        <f t="shared" si="150"/>
        <v/>
      </c>
    </row>
    <row r="4764" spans="1:10">
      <c r="A4764" s="1">
        <v>41541</v>
      </c>
      <c r="B4764">
        <v>6.7</v>
      </c>
      <c r="C4764">
        <v>6.89</v>
      </c>
      <c r="D4764">
        <v>6.69</v>
      </c>
      <c r="E4764">
        <v>6.76</v>
      </c>
      <c r="F4764">
        <v>7155100</v>
      </c>
      <c r="G4764">
        <v>6.76</v>
      </c>
      <c r="H4764" t="s">
        <v>17</v>
      </c>
      <c r="I4764" s="22">
        <f t="shared" si="149"/>
        <v>1.0409015914735524E-2</v>
      </c>
      <c r="J4764" s="22" t="str">
        <f t="shared" si="150"/>
        <v/>
      </c>
    </row>
    <row r="4765" spans="1:10">
      <c r="A4765" s="1">
        <v>41542</v>
      </c>
      <c r="B4765">
        <v>6.81</v>
      </c>
      <c r="C4765">
        <v>6.88</v>
      </c>
      <c r="D4765">
        <v>6.7</v>
      </c>
      <c r="E4765">
        <v>6.79</v>
      </c>
      <c r="F4765">
        <v>3005200</v>
      </c>
      <c r="G4765">
        <v>6.79</v>
      </c>
      <c r="H4765" t="s">
        <v>17</v>
      </c>
      <c r="I4765" s="22">
        <f t="shared" si="149"/>
        <v>4.4280515157320037E-3</v>
      </c>
      <c r="J4765" s="22" t="str">
        <f t="shared" si="150"/>
        <v>lost money</v>
      </c>
    </row>
    <row r="4766" spans="1:10">
      <c r="A4766" s="1">
        <v>41543</v>
      </c>
      <c r="B4766">
        <v>6.82</v>
      </c>
      <c r="C4766">
        <v>6.85</v>
      </c>
      <c r="D4766">
        <v>6.73</v>
      </c>
      <c r="E4766">
        <v>6.8</v>
      </c>
      <c r="F4766">
        <v>3696100</v>
      </c>
      <c r="G4766">
        <v>6.8</v>
      </c>
      <c r="H4766" t="s">
        <v>17</v>
      </c>
      <c r="I4766" s="22">
        <f t="shared" si="149"/>
        <v>1.4716706114562507E-3</v>
      </c>
      <c r="J4766" s="22" t="str">
        <f t="shared" si="150"/>
        <v>lost money</v>
      </c>
    </row>
    <row r="4767" spans="1:10">
      <c r="A4767" s="1">
        <v>41544</v>
      </c>
      <c r="B4767">
        <v>6.74</v>
      </c>
      <c r="C4767">
        <v>6.76</v>
      </c>
      <c r="D4767">
        <v>6.64</v>
      </c>
      <c r="E4767">
        <v>6.67</v>
      </c>
      <c r="F4767">
        <v>2710300</v>
      </c>
      <c r="G4767">
        <v>6.67</v>
      </c>
      <c r="H4767" t="s">
        <v>17</v>
      </c>
      <c r="I4767" s="22">
        <f t="shared" si="149"/>
        <v>-1.9302752254528596E-2</v>
      </c>
      <c r="J4767" s="22" t="str">
        <f t="shared" si="150"/>
        <v>lost money</v>
      </c>
    </row>
    <row r="4768" spans="1:10">
      <c r="A4768" s="1">
        <v>41547</v>
      </c>
      <c r="B4768">
        <v>6.6</v>
      </c>
      <c r="C4768">
        <v>6.72</v>
      </c>
      <c r="D4768">
        <v>6.52</v>
      </c>
      <c r="E4768">
        <v>6.67</v>
      </c>
      <c r="F4768">
        <v>3429300</v>
      </c>
      <c r="G4768">
        <v>6.67</v>
      </c>
      <c r="H4768" t="s">
        <v>17</v>
      </c>
      <c r="I4768" s="22">
        <f t="shared" si="149"/>
        <v>0</v>
      </c>
      <c r="J4768" s="22" t="str">
        <f t="shared" si="150"/>
        <v/>
      </c>
    </row>
    <row r="4769" spans="1:10">
      <c r="A4769" s="1">
        <v>41548</v>
      </c>
      <c r="B4769">
        <v>6.66</v>
      </c>
      <c r="C4769">
        <v>6.86</v>
      </c>
      <c r="D4769">
        <v>6.64</v>
      </c>
      <c r="E4769">
        <v>6.72</v>
      </c>
      <c r="F4769">
        <v>4894700</v>
      </c>
      <c r="G4769">
        <v>6.72</v>
      </c>
      <c r="H4769" t="s">
        <v>17</v>
      </c>
      <c r="I4769" s="22">
        <f t="shared" si="149"/>
        <v>7.4682946075257444E-3</v>
      </c>
      <c r="J4769" s="22" t="str">
        <f t="shared" si="150"/>
        <v/>
      </c>
    </row>
    <row r="4770" spans="1:10">
      <c r="A4770" s="1">
        <v>41549</v>
      </c>
      <c r="B4770">
        <v>6.71</v>
      </c>
      <c r="C4770">
        <v>6.76</v>
      </c>
      <c r="D4770">
        <v>6.63</v>
      </c>
      <c r="E4770">
        <v>6.66</v>
      </c>
      <c r="F4770">
        <v>2967200</v>
      </c>
      <c r="G4770">
        <v>6.66</v>
      </c>
      <c r="H4770" t="s">
        <v>17</v>
      </c>
      <c r="I4770" s="22">
        <f t="shared" si="149"/>
        <v>-8.9686699827603751E-3</v>
      </c>
      <c r="J4770" s="22" t="str">
        <f t="shared" si="150"/>
        <v>lost money</v>
      </c>
    </row>
    <row r="4771" spans="1:10">
      <c r="A4771" s="1">
        <v>41550</v>
      </c>
      <c r="B4771">
        <v>6.66</v>
      </c>
      <c r="C4771">
        <v>6.75</v>
      </c>
      <c r="D4771">
        <v>6.58</v>
      </c>
      <c r="E4771">
        <v>6.67</v>
      </c>
      <c r="F4771">
        <v>4547400</v>
      </c>
      <c r="G4771">
        <v>6.67</v>
      </c>
      <c r="H4771" t="s">
        <v>17</v>
      </c>
      <c r="I4771" s="22">
        <f t="shared" si="149"/>
        <v>1.5003753752344921E-3</v>
      </c>
      <c r="J4771" s="22" t="str">
        <f t="shared" si="150"/>
        <v/>
      </c>
    </row>
    <row r="4772" spans="1:10">
      <c r="A4772" s="1">
        <v>41551</v>
      </c>
      <c r="B4772">
        <v>6.65</v>
      </c>
      <c r="C4772">
        <v>6.8</v>
      </c>
      <c r="D4772">
        <v>6.61</v>
      </c>
      <c r="E4772">
        <v>6.69</v>
      </c>
      <c r="F4772">
        <v>3451800</v>
      </c>
      <c r="G4772">
        <v>6.69</v>
      </c>
      <c r="H4772" t="s">
        <v>17</v>
      </c>
      <c r="I4772" s="22">
        <f t="shared" si="149"/>
        <v>2.9940142126046996E-3</v>
      </c>
      <c r="J4772" s="22" t="str">
        <f t="shared" si="150"/>
        <v/>
      </c>
    </row>
    <row r="4773" spans="1:10">
      <c r="A4773" s="1">
        <v>41554</v>
      </c>
      <c r="B4773">
        <v>6.66</v>
      </c>
      <c r="C4773">
        <v>6.89</v>
      </c>
      <c r="D4773">
        <v>6.61</v>
      </c>
      <c r="E4773">
        <v>6.81</v>
      </c>
      <c r="F4773">
        <v>4189900</v>
      </c>
      <c r="G4773">
        <v>6.81</v>
      </c>
      <c r="H4773" t="s">
        <v>17</v>
      </c>
      <c r="I4773" s="22">
        <f t="shared" si="149"/>
        <v>1.777824602128375E-2</v>
      </c>
      <c r="J4773" s="22" t="str">
        <f t="shared" si="150"/>
        <v/>
      </c>
    </row>
    <row r="4774" spans="1:10">
      <c r="A4774" s="1">
        <v>41555</v>
      </c>
      <c r="B4774">
        <v>6.84</v>
      </c>
      <c r="C4774">
        <v>6.84</v>
      </c>
      <c r="D4774">
        <v>6.61</v>
      </c>
      <c r="E4774">
        <v>6.63</v>
      </c>
      <c r="F4774">
        <v>3545700</v>
      </c>
      <c r="G4774">
        <v>6.63</v>
      </c>
      <c r="H4774" t="s">
        <v>17</v>
      </c>
      <c r="I4774" s="22">
        <f t="shared" si="149"/>
        <v>-2.6787315963649843E-2</v>
      </c>
      <c r="J4774" s="22" t="str">
        <f t="shared" si="150"/>
        <v>lost money</v>
      </c>
    </row>
    <row r="4775" spans="1:10">
      <c r="A4775" s="1">
        <v>41556</v>
      </c>
      <c r="B4775">
        <v>6.68</v>
      </c>
      <c r="C4775">
        <v>6.72</v>
      </c>
      <c r="D4775">
        <v>6.57</v>
      </c>
      <c r="E4775">
        <v>6.66</v>
      </c>
      <c r="F4775">
        <v>3464700</v>
      </c>
      <c r="G4775">
        <v>6.66</v>
      </c>
      <c r="H4775" t="s">
        <v>17</v>
      </c>
      <c r="I4775" s="22">
        <f t="shared" si="149"/>
        <v>4.514680354526613E-3</v>
      </c>
      <c r="J4775" s="22" t="str">
        <f t="shared" si="150"/>
        <v>lost money</v>
      </c>
    </row>
    <row r="4776" spans="1:10">
      <c r="A4776" s="1">
        <v>41557</v>
      </c>
      <c r="B4776">
        <v>6.74</v>
      </c>
      <c r="C4776">
        <v>6.8</v>
      </c>
      <c r="D4776">
        <v>6.68</v>
      </c>
      <c r="E4776">
        <v>6.78</v>
      </c>
      <c r="F4776">
        <v>3302300</v>
      </c>
      <c r="G4776">
        <v>6.78</v>
      </c>
      <c r="H4776" t="s">
        <v>17</v>
      </c>
      <c r="I4776" s="22">
        <f t="shared" si="149"/>
        <v>1.7857617400006472E-2</v>
      </c>
      <c r="J4776" s="22" t="str">
        <f t="shared" si="150"/>
        <v/>
      </c>
    </row>
    <row r="4777" spans="1:10">
      <c r="A4777" s="1">
        <v>41558</v>
      </c>
      <c r="B4777">
        <v>6.79</v>
      </c>
      <c r="C4777">
        <v>7.05</v>
      </c>
      <c r="D4777">
        <v>6.77</v>
      </c>
      <c r="E4777">
        <v>6.99</v>
      </c>
      <c r="F4777">
        <v>5585600</v>
      </c>
      <c r="G4777">
        <v>6.99</v>
      </c>
      <c r="H4777" t="s">
        <v>17</v>
      </c>
      <c r="I4777" s="22">
        <f t="shared" si="149"/>
        <v>3.0503454293414625E-2</v>
      </c>
      <c r="J4777" s="22" t="str">
        <f t="shared" si="150"/>
        <v/>
      </c>
    </row>
    <row r="4778" spans="1:10">
      <c r="A4778" s="1">
        <v>41561</v>
      </c>
      <c r="B4778">
        <v>6.96</v>
      </c>
      <c r="C4778">
        <v>7.03</v>
      </c>
      <c r="D4778">
        <v>6.88</v>
      </c>
      <c r="E4778">
        <v>6.98</v>
      </c>
      <c r="F4778">
        <v>6815800</v>
      </c>
      <c r="G4778">
        <v>6.98</v>
      </c>
      <c r="H4778" t="s">
        <v>17</v>
      </c>
      <c r="I4778" s="22">
        <f t="shared" si="149"/>
        <v>-1.4316394714377388E-3</v>
      </c>
      <c r="J4778" s="22" t="str">
        <f t="shared" si="150"/>
        <v/>
      </c>
    </row>
    <row r="4779" spans="1:10">
      <c r="A4779" s="1">
        <v>41562</v>
      </c>
      <c r="B4779">
        <v>6.97</v>
      </c>
      <c r="C4779">
        <v>7.07</v>
      </c>
      <c r="D4779">
        <v>6.85</v>
      </c>
      <c r="E4779">
        <v>6.89</v>
      </c>
      <c r="F4779">
        <v>4793100</v>
      </c>
      <c r="G4779">
        <v>6.89</v>
      </c>
      <c r="H4779" t="s">
        <v>17</v>
      </c>
      <c r="I4779" s="22">
        <f t="shared" si="149"/>
        <v>-1.2977831748713989E-2</v>
      </c>
      <c r="J4779" s="22" t="str">
        <f t="shared" si="150"/>
        <v>lost money</v>
      </c>
    </row>
    <row r="4780" spans="1:10">
      <c r="A4780" s="1">
        <v>41563</v>
      </c>
      <c r="B4780">
        <v>6.96</v>
      </c>
      <c r="C4780">
        <v>7.08</v>
      </c>
      <c r="D4780">
        <v>6.9</v>
      </c>
      <c r="E4780">
        <v>7.04</v>
      </c>
      <c r="F4780">
        <v>4913600</v>
      </c>
      <c r="G4780">
        <v>7.04</v>
      </c>
      <c r="H4780" t="s">
        <v>17</v>
      </c>
      <c r="I4780" s="22">
        <f t="shared" si="149"/>
        <v>2.1537085144383974E-2</v>
      </c>
      <c r="J4780" s="22" t="str">
        <f t="shared" si="150"/>
        <v/>
      </c>
    </row>
    <row r="4781" spans="1:10">
      <c r="A4781" s="1">
        <v>41564</v>
      </c>
      <c r="B4781">
        <v>7.04</v>
      </c>
      <c r="C4781">
        <v>7.3</v>
      </c>
      <c r="D4781">
        <v>7.03</v>
      </c>
      <c r="E4781">
        <v>7.28</v>
      </c>
      <c r="F4781">
        <v>5711400</v>
      </c>
      <c r="G4781">
        <v>7.28</v>
      </c>
      <c r="H4781" t="s">
        <v>17</v>
      </c>
      <c r="I4781" s="22">
        <f t="shared" si="149"/>
        <v>3.3522692038643644E-2</v>
      </c>
      <c r="J4781" s="22" t="str">
        <f t="shared" si="150"/>
        <v/>
      </c>
    </row>
    <row r="4782" spans="1:10">
      <c r="A4782" s="1">
        <v>41565</v>
      </c>
      <c r="B4782">
        <v>7.32</v>
      </c>
      <c r="C4782">
        <v>7.34</v>
      </c>
      <c r="D4782">
        <v>7.23</v>
      </c>
      <c r="E4782">
        <v>7.28</v>
      </c>
      <c r="F4782">
        <v>4337900</v>
      </c>
      <c r="G4782">
        <v>7.28</v>
      </c>
      <c r="H4782" t="s">
        <v>17</v>
      </c>
      <c r="I4782" s="22">
        <f t="shared" si="149"/>
        <v>0</v>
      </c>
      <c r="J4782" s="22" t="str">
        <f t="shared" si="150"/>
        <v>lost money</v>
      </c>
    </row>
    <row r="4783" spans="1:10">
      <c r="A4783" s="1">
        <v>41568</v>
      </c>
      <c r="B4783">
        <v>7.31</v>
      </c>
      <c r="C4783">
        <v>7.36</v>
      </c>
      <c r="D4783">
        <v>7.21</v>
      </c>
      <c r="E4783">
        <v>7.27</v>
      </c>
      <c r="F4783">
        <v>3072400</v>
      </c>
      <c r="G4783">
        <v>7.27</v>
      </c>
      <c r="H4783" t="s">
        <v>17</v>
      </c>
      <c r="I4783" s="22">
        <f t="shared" si="149"/>
        <v>-1.3745706631667098E-3</v>
      </c>
      <c r="J4783" s="22" t="str">
        <f t="shared" si="150"/>
        <v>lost money</v>
      </c>
    </row>
    <row r="4784" spans="1:10">
      <c r="A4784" s="1">
        <v>41569</v>
      </c>
      <c r="B4784">
        <v>7.35</v>
      </c>
      <c r="C4784">
        <v>7.5</v>
      </c>
      <c r="D4784">
        <v>7.29</v>
      </c>
      <c r="E4784">
        <v>7.34</v>
      </c>
      <c r="F4784">
        <v>12410200</v>
      </c>
      <c r="G4784">
        <v>7.34</v>
      </c>
      <c r="H4784" t="s">
        <v>17</v>
      </c>
      <c r="I4784" s="22">
        <f t="shared" si="149"/>
        <v>9.5825510809961559E-3</v>
      </c>
      <c r="J4784" s="22" t="str">
        <f t="shared" si="150"/>
        <v>lost money</v>
      </c>
    </row>
    <row r="4785" spans="1:10">
      <c r="A4785" s="1">
        <v>41570</v>
      </c>
      <c r="B4785">
        <v>7.34</v>
      </c>
      <c r="C4785">
        <v>7.45</v>
      </c>
      <c r="D4785">
        <v>7.3</v>
      </c>
      <c r="E4785">
        <v>7.39</v>
      </c>
      <c r="F4785">
        <v>6187900</v>
      </c>
      <c r="G4785">
        <v>7.39</v>
      </c>
      <c r="H4785" t="s">
        <v>17</v>
      </c>
      <c r="I4785" s="22">
        <f t="shared" si="149"/>
        <v>6.7888923336861277E-3</v>
      </c>
      <c r="J4785" s="22" t="str">
        <f t="shared" si="150"/>
        <v/>
      </c>
    </row>
    <row r="4786" spans="1:10">
      <c r="A4786" s="1">
        <v>41571</v>
      </c>
      <c r="B4786">
        <v>7.49</v>
      </c>
      <c r="C4786">
        <v>7.6</v>
      </c>
      <c r="D4786">
        <v>7.45</v>
      </c>
      <c r="E4786">
        <v>7.6</v>
      </c>
      <c r="F4786">
        <v>8562800</v>
      </c>
      <c r="G4786">
        <v>7.6</v>
      </c>
      <c r="H4786" t="s">
        <v>17</v>
      </c>
      <c r="I4786" s="22">
        <f t="shared" si="149"/>
        <v>2.80205123321749E-2</v>
      </c>
      <c r="J4786" s="22" t="str">
        <f t="shared" si="150"/>
        <v/>
      </c>
    </row>
    <row r="4787" spans="1:10">
      <c r="A4787" s="1">
        <v>41572</v>
      </c>
      <c r="B4787">
        <v>7.69</v>
      </c>
      <c r="C4787">
        <v>7.69</v>
      </c>
      <c r="D4787">
        <v>7.51</v>
      </c>
      <c r="E4787">
        <v>7.58</v>
      </c>
      <c r="F4787">
        <v>4995700</v>
      </c>
      <c r="G4787">
        <v>7.58</v>
      </c>
      <c r="H4787" t="s">
        <v>17</v>
      </c>
      <c r="I4787" s="22">
        <f t="shared" si="149"/>
        <v>-2.6350476380050023E-3</v>
      </c>
      <c r="J4787" s="22" t="str">
        <f t="shared" si="150"/>
        <v>lost money</v>
      </c>
    </row>
    <row r="4788" spans="1:10">
      <c r="A4788" s="1">
        <v>41575</v>
      </c>
      <c r="B4788">
        <v>7.6</v>
      </c>
      <c r="C4788">
        <v>7.69</v>
      </c>
      <c r="D4788">
        <v>7.49</v>
      </c>
      <c r="E4788">
        <v>7.53</v>
      </c>
      <c r="F4788">
        <v>6687400</v>
      </c>
      <c r="G4788">
        <v>7.53</v>
      </c>
      <c r="H4788" t="s">
        <v>17</v>
      </c>
      <c r="I4788" s="22">
        <f t="shared" si="149"/>
        <v>-6.6181578424780053E-3</v>
      </c>
      <c r="J4788" s="22" t="str">
        <f t="shared" si="150"/>
        <v>lost money</v>
      </c>
    </row>
    <row r="4789" spans="1:10">
      <c r="A4789" s="1">
        <v>41576</v>
      </c>
      <c r="B4789">
        <v>7.6</v>
      </c>
      <c r="C4789">
        <v>7.64</v>
      </c>
      <c r="D4789">
        <v>7.16</v>
      </c>
      <c r="E4789">
        <v>7.24</v>
      </c>
      <c r="F4789">
        <v>10666700</v>
      </c>
      <c r="G4789">
        <v>7.24</v>
      </c>
      <c r="H4789" t="s">
        <v>17</v>
      </c>
      <c r="I4789" s="22">
        <f t="shared" si="149"/>
        <v>-3.9273835414177179E-2</v>
      </c>
      <c r="J4789" s="22" t="str">
        <f t="shared" si="150"/>
        <v>lost money</v>
      </c>
    </row>
    <row r="4790" spans="1:10">
      <c r="A4790" s="1">
        <v>41577</v>
      </c>
      <c r="B4790">
        <v>7.25</v>
      </c>
      <c r="C4790">
        <v>7.31</v>
      </c>
      <c r="D4790">
        <v>7.05</v>
      </c>
      <c r="E4790">
        <v>7.21</v>
      </c>
      <c r="F4790">
        <v>7968000</v>
      </c>
      <c r="G4790">
        <v>7.21</v>
      </c>
      <c r="H4790" t="s">
        <v>17</v>
      </c>
      <c r="I4790" s="22">
        <f t="shared" si="149"/>
        <v>-4.1522551007673074E-3</v>
      </c>
      <c r="J4790" s="22" t="str">
        <f t="shared" si="150"/>
        <v>lost money</v>
      </c>
    </row>
    <row r="4791" spans="1:10">
      <c r="A4791" s="1">
        <v>41578</v>
      </c>
      <c r="B4791">
        <v>7.21</v>
      </c>
      <c r="C4791">
        <v>7.23</v>
      </c>
      <c r="D4791">
        <v>7.09</v>
      </c>
      <c r="E4791">
        <v>7.09</v>
      </c>
      <c r="F4791">
        <v>2887800</v>
      </c>
      <c r="G4791">
        <v>7.09</v>
      </c>
      <c r="H4791" t="s">
        <v>17</v>
      </c>
      <c r="I4791" s="22">
        <f t="shared" si="149"/>
        <v>-1.678361075282157E-2</v>
      </c>
      <c r="J4791" s="22" t="str">
        <f t="shared" si="150"/>
        <v>lost money</v>
      </c>
    </row>
    <row r="4792" spans="1:10">
      <c r="A4792" s="1">
        <v>41579</v>
      </c>
      <c r="B4792">
        <v>7.07</v>
      </c>
      <c r="C4792">
        <v>7.28</v>
      </c>
      <c r="D4792">
        <v>7.05</v>
      </c>
      <c r="E4792">
        <v>7.27</v>
      </c>
      <c r="F4792">
        <v>4271300</v>
      </c>
      <c r="G4792">
        <v>7.27</v>
      </c>
      <c r="H4792" t="s">
        <v>17</v>
      </c>
      <c r="I4792" s="22">
        <f t="shared" si="149"/>
        <v>2.5070951001391829E-2</v>
      </c>
      <c r="J4792" s="22" t="str">
        <f t="shared" si="150"/>
        <v/>
      </c>
    </row>
    <row r="4793" spans="1:10">
      <c r="A4793" s="1">
        <v>41582</v>
      </c>
      <c r="B4793">
        <v>7.47</v>
      </c>
      <c r="C4793">
        <v>7.57</v>
      </c>
      <c r="D4793">
        <v>7.29</v>
      </c>
      <c r="E4793">
        <v>7.55</v>
      </c>
      <c r="F4793">
        <v>6161000</v>
      </c>
      <c r="G4793">
        <v>7.55</v>
      </c>
      <c r="H4793" t="s">
        <v>17</v>
      </c>
      <c r="I4793" s="22">
        <f t="shared" si="149"/>
        <v>3.7791271715505323E-2</v>
      </c>
      <c r="J4793" s="22" t="str">
        <f t="shared" si="150"/>
        <v/>
      </c>
    </row>
    <row r="4794" spans="1:10">
      <c r="A4794" s="1">
        <v>41583</v>
      </c>
      <c r="B4794">
        <v>7.55</v>
      </c>
      <c r="C4794">
        <v>7.61</v>
      </c>
      <c r="D4794">
        <v>7.47</v>
      </c>
      <c r="E4794">
        <v>7.52</v>
      </c>
      <c r="F4794">
        <v>5219400</v>
      </c>
      <c r="G4794">
        <v>7.52</v>
      </c>
      <c r="H4794" t="s">
        <v>17</v>
      </c>
      <c r="I4794" s="22">
        <f t="shared" si="149"/>
        <v>-3.9814252991849219E-3</v>
      </c>
      <c r="J4794" s="22" t="str">
        <f t="shared" si="150"/>
        <v>lost money</v>
      </c>
    </row>
    <row r="4795" spans="1:10">
      <c r="A4795" s="1">
        <v>41584</v>
      </c>
      <c r="B4795">
        <v>7.55</v>
      </c>
      <c r="C4795">
        <v>7.68</v>
      </c>
      <c r="D4795">
        <v>7.53</v>
      </c>
      <c r="E4795">
        <v>7.64</v>
      </c>
      <c r="F4795">
        <v>5287700</v>
      </c>
      <c r="G4795">
        <v>7.64</v>
      </c>
      <c r="H4795" t="s">
        <v>17</v>
      </c>
      <c r="I4795" s="22">
        <f t="shared" si="149"/>
        <v>1.5831465216680662E-2</v>
      </c>
      <c r="J4795" s="22" t="str">
        <f t="shared" si="150"/>
        <v/>
      </c>
    </row>
    <row r="4796" spans="1:10">
      <c r="A4796" s="1">
        <v>41585</v>
      </c>
      <c r="B4796">
        <v>7.63</v>
      </c>
      <c r="C4796">
        <v>7.76</v>
      </c>
      <c r="D4796">
        <v>7.47</v>
      </c>
      <c r="E4796">
        <v>7.51</v>
      </c>
      <c r="F4796">
        <v>9707000</v>
      </c>
      <c r="G4796">
        <v>7.51</v>
      </c>
      <c r="H4796" t="s">
        <v>17</v>
      </c>
      <c r="I4796" s="22">
        <f t="shared" si="149"/>
        <v>-1.7162137402385751E-2</v>
      </c>
      <c r="J4796" s="22" t="str">
        <f t="shared" si="150"/>
        <v>lost money</v>
      </c>
    </row>
    <row r="4797" spans="1:10">
      <c r="A4797" s="1">
        <v>41586</v>
      </c>
      <c r="B4797">
        <v>7.51</v>
      </c>
      <c r="C4797">
        <v>7.75</v>
      </c>
      <c r="D4797">
        <v>7.46</v>
      </c>
      <c r="E4797">
        <v>7.71</v>
      </c>
      <c r="F4797">
        <v>4160300</v>
      </c>
      <c r="G4797">
        <v>7.71</v>
      </c>
      <c r="H4797" t="s">
        <v>17</v>
      </c>
      <c r="I4797" s="22">
        <f t="shared" si="149"/>
        <v>2.6282721799194813E-2</v>
      </c>
      <c r="J4797" s="22" t="str">
        <f t="shared" si="150"/>
        <v/>
      </c>
    </row>
    <row r="4798" spans="1:10">
      <c r="A4798" s="1">
        <v>41589</v>
      </c>
      <c r="B4798">
        <v>7.71</v>
      </c>
      <c r="C4798">
        <v>7.75</v>
      </c>
      <c r="D4798">
        <v>7.65</v>
      </c>
      <c r="E4798">
        <v>7.69</v>
      </c>
      <c r="F4798">
        <v>3074100</v>
      </c>
      <c r="G4798">
        <v>7.69</v>
      </c>
      <c r="H4798" t="s">
        <v>17</v>
      </c>
      <c r="I4798" s="22">
        <f t="shared" si="149"/>
        <v>-2.5974040576855059E-3</v>
      </c>
      <c r="J4798" s="22" t="str">
        <f t="shared" si="150"/>
        <v>lost money</v>
      </c>
    </row>
    <row r="4799" spans="1:10">
      <c r="A4799" s="1">
        <v>41590</v>
      </c>
      <c r="B4799">
        <v>7.69</v>
      </c>
      <c r="C4799">
        <v>8.57</v>
      </c>
      <c r="D4799">
        <v>7.63</v>
      </c>
      <c r="E4799">
        <v>8.16</v>
      </c>
      <c r="F4799">
        <v>23621700</v>
      </c>
      <c r="G4799">
        <v>8.16</v>
      </c>
      <c r="H4799" t="s">
        <v>17</v>
      </c>
      <c r="I4799" s="22">
        <f t="shared" si="149"/>
        <v>5.9323385458462996E-2</v>
      </c>
      <c r="J4799" s="22" t="str">
        <f t="shared" si="150"/>
        <v/>
      </c>
    </row>
    <row r="4800" spans="1:10">
      <c r="A4800" s="1">
        <v>41591</v>
      </c>
      <c r="B4800">
        <v>8.27</v>
      </c>
      <c r="C4800">
        <v>8.68</v>
      </c>
      <c r="D4800">
        <v>8.2100000000000009</v>
      </c>
      <c r="E4800">
        <v>8.68</v>
      </c>
      <c r="F4800">
        <v>23438100</v>
      </c>
      <c r="G4800">
        <v>8.68</v>
      </c>
      <c r="H4800" t="s">
        <v>17</v>
      </c>
      <c r="I4800" s="22">
        <f t="shared" si="149"/>
        <v>6.1777359696243157E-2</v>
      </c>
      <c r="J4800" s="22" t="str">
        <f t="shared" si="150"/>
        <v/>
      </c>
    </row>
    <row r="4801" spans="1:10">
      <c r="A4801" s="1">
        <v>41592</v>
      </c>
      <c r="B4801">
        <v>8.7899999999999991</v>
      </c>
      <c r="C4801">
        <v>8.82</v>
      </c>
      <c r="D4801">
        <v>8.58</v>
      </c>
      <c r="E4801">
        <v>8.65</v>
      </c>
      <c r="F4801">
        <v>13573800</v>
      </c>
      <c r="G4801">
        <v>8.65</v>
      </c>
      <c r="H4801" t="s">
        <v>17</v>
      </c>
      <c r="I4801" s="22">
        <f t="shared" si="149"/>
        <v>-3.4622077284707496E-3</v>
      </c>
      <c r="J4801" s="22" t="str">
        <f t="shared" si="150"/>
        <v>lost money</v>
      </c>
    </row>
    <row r="4802" spans="1:10">
      <c r="A4802" s="1">
        <v>41593</v>
      </c>
      <c r="B4802">
        <v>8.65</v>
      </c>
      <c r="C4802">
        <v>8.7899999999999991</v>
      </c>
      <c r="D4802">
        <v>8.5399999999999991</v>
      </c>
      <c r="E4802">
        <v>8.7799999999999994</v>
      </c>
      <c r="F4802">
        <v>6814900</v>
      </c>
      <c r="G4802">
        <v>8.7799999999999994</v>
      </c>
      <c r="H4802" t="s">
        <v>17</v>
      </c>
      <c r="I4802" s="22">
        <f t="shared" si="149"/>
        <v>1.4917086703237166E-2</v>
      </c>
      <c r="J4802" s="22" t="str">
        <f t="shared" si="150"/>
        <v/>
      </c>
    </row>
    <row r="4803" spans="1:10">
      <c r="A4803" s="1">
        <v>41596</v>
      </c>
      <c r="B4803">
        <v>8.85</v>
      </c>
      <c r="C4803">
        <v>8.89</v>
      </c>
      <c r="D4803">
        <v>8.68</v>
      </c>
      <c r="E4803">
        <v>8.6999999999999993</v>
      </c>
      <c r="F4803">
        <v>5873400</v>
      </c>
      <c r="G4803">
        <v>8.6999999999999993</v>
      </c>
      <c r="H4803" t="s">
        <v>17</v>
      </c>
      <c r="I4803" s="22">
        <f t="shared" ref="I4803:I4866" si="151">IF(A4803=$A$2,"",LN(G4803/G4802))</f>
        <v>-9.1533819864872482E-3</v>
      </c>
      <c r="J4803" s="22" t="str">
        <f t="shared" ref="J4803:J4866" si="152">IF(B4803&gt;E4803,"lost money","")</f>
        <v>lost money</v>
      </c>
    </row>
    <row r="4804" spans="1:10">
      <c r="A4804" s="1">
        <v>41597</v>
      </c>
      <c r="B4804">
        <v>8.68</v>
      </c>
      <c r="C4804">
        <v>8.77</v>
      </c>
      <c r="D4804">
        <v>8.65</v>
      </c>
      <c r="E4804">
        <v>8.75</v>
      </c>
      <c r="F4804">
        <v>4775600</v>
      </c>
      <c r="G4804">
        <v>8.75</v>
      </c>
      <c r="H4804" t="s">
        <v>17</v>
      </c>
      <c r="I4804" s="22">
        <f t="shared" si="151"/>
        <v>5.7306747089850745E-3</v>
      </c>
      <c r="J4804" s="22" t="str">
        <f t="shared" si="152"/>
        <v/>
      </c>
    </row>
    <row r="4805" spans="1:10">
      <c r="A4805" s="1">
        <v>41598</v>
      </c>
      <c r="B4805">
        <v>8.76</v>
      </c>
      <c r="C4805">
        <v>8.85</v>
      </c>
      <c r="D4805">
        <v>8.6999999999999993</v>
      </c>
      <c r="E4805">
        <v>8.7799999999999994</v>
      </c>
      <c r="F4805">
        <v>4909100</v>
      </c>
      <c r="G4805">
        <v>8.7799999999999994</v>
      </c>
      <c r="H4805" t="s">
        <v>17</v>
      </c>
      <c r="I4805" s="22">
        <f t="shared" si="151"/>
        <v>3.4227072775021385E-3</v>
      </c>
      <c r="J4805" s="22" t="str">
        <f t="shared" si="152"/>
        <v/>
      </c>
    </row>
    <row r="4806" spans="1:10">
      <c r="A4806" s="1">
        <v>41599</v>
      </c>
      <c r="B4806">
        <v>8.81</v>
      </c>
      <c r="C4806">
        <v>8.89</v>
      </c>
      <c r="D4806">
        <v>8.76</v>
      </c>
      <c r="E4806">
        <v>8.89</v>
      </c>
      <c r="F4806">
        <v>3865700</v>
      </c>
      <c r="G4806">
        <v>8.89</v>
      </c>
      <c r="H4806" t="s">
        <v>17</v>
      </c>
      <c r="I4806" s="22">
        <f t="shared" si="151"/>
        <v>1.2450641878787961E-2</v>
      </c>
      <c r="J4806" s="22" t="str">
        <f t="shared" si="152"/>
        <v/>
      </c>
    </row>
    <row r="4807" spans="1:10">
      <c r="A4807" s="1">
        <v>41600</v>
      </c>
      <c r="B4807">
        <v>8.93</v>
      </c>
      <c r="C4807">
        <v>9.1999999999999993</v>
      </c>
      <c r="D4807">
        <v>8.86</v>
      </c>
      <c r="E4807">
        <v>9.09</v>
      </c>
      <c r="F4807">
        <v>8927700</v>
      </c>
      <c r="G4807">
        <v>9.09</v>
      </c>
      <c r="H4807" t="s">
        <v>17</v>
      </c>
      <c r="I4807" s="22">
        <f t="shared" si="151"/>
        <v>2.2247858663574246E-2</v>
      </c>
      <c r="J4807" s="22" t="str">
        <f t="shared" si="152"/>
        <v/>
      </c>
    </row>
    <row r="4808" spans="1:10">
      <c r="A4808" s="1">
        <v>41603</v>
      </c>
      <c r="B4808">
        <v>8.9499999999999993</v>
      </c>
      <c r="C4808">
        <v>9.15</v>
      </c>
      <c r="D4808">
        <v>8.91</v>
      </c>
      <c r="E4808">
        <v>8.94</v>
      </c>
      <c r="F4808">
        <v>6872700</v>
      </c>
      <c r="G4808">
        <v>8.94</v>
      </c>
      <c r="H4808" t="s">
        <v>17</v>
      </c>
      <c r="I4808" s="22">
        <f t="shared" si="151"/>
        <v>-1.6639319003964783E-2</v>
      </c>
      <c r="J4808" s="22" t="str">
        <f t="shared" si="152"/>
        <v>lost money</v>
      </c>
    </row>
    <row r="4809" spans="1:10">
      <c r="A4809" s="1">
        <v>41604</v>
      </c>
      <c r="B4809">
        <v>8.93</v>
      </c>
      <c r="C4809">
        <v>8.9700000000000006</v>
      </c>
      <c r="D4809">
        <v>8.64</v>
      </c>
      <c r="E4809">
        <v>8.73</v>
      </c>
      <c r="F4809">
        <v>7428500</v>
      </c>
      <c r="G4809">
        <v>8.73</v>
      </c>
      <c r="H4809" t="s">
        <v>17</v>
      </c>
      <c r="I4809" s="22">
        <f t="shared" si="151"/>
        <v>-2.3770219333911845E-2</v>
      </c>
      <c r="J4809" s="22" t="str">
        <f t="shared" si="152"/>
        <v>lost money</v>
      </c>
    </row>
    <row r="4810" spans="1:10">
      <c r="A4810" s="1">
        <v>41605</v>
      </c>
      <c r="B4810">
        <v>8.7899999999999991</v>
      </c>
      <c r="C4810">
        <v>9.0500000000000007</v>
      </c>
      <c r="D4810">
        <v>8.77</v>
      </c>
      <c r="E4810">
        <v>9</v>
      </c>
      <c r="F4810">
        <v>4790000</v>
      </c>
      <c r="G4810">
        <v>9</v>
      </c>
      <c r="H4810" t="s">
        <v>17</v>
      </c>
      <c r="I4810" s="22">
        <f t="shared" si="151"/>
        <v>3.0459207484708439E-2</v>
      </c>
      <c r="J4810" s="22" t="str">
        <f t="shared" si="152"/>
        <v/>
      </c>
    </row>
    <row r="4811" spans="1:10">
      <c r="A4811" s="1">
        <v>41607</v>
      </c>
      <c r="B4811">
        <v>9.0399999999999991</v>
      </c>
      <c r="C4811">
        <v>9.1199999999999992</v>
      </c>
      <c r="D4811">
        <v>8.85</v>
      </c>
      <c r="E4811">
        <v>8.89</v>
      </c>
      <c r="F4811">
        <v>2293600</v>
      </c>
      <c r="G4811">
        <v>8.89</v>
      </c>
      <c r="H4811" t="s">
        <v>17</v>
      </c>
      <c r="I4811" s="22">
        <f t="shared" si="151"/>
        <v>-1.2297527810406083E-2</v>
      </c>
      <c r="J4811" s="22" t="str">
        <f t="shared" si="152"/>
        <v>lost money</v>
      </c>
    </row>
    <row r="4812" spans="1:10">
      <c r="A4812" s="1">
        <v>40911</v>
      </c>
      <c r="B4812">
        <v>34.06</v>
      </c>
      <c r="C4812">
        <v>35.19</v>
      </c>
      <c r="D4812">
        <v>34.01</v>
      </c>
      <c r="E4812">
        <v>34.979999999999997</v>
      </c>
      <c r="F4812">
        <v>44102800</v>
      </c>
      <c r="G4812">
        <v>32.83</v>
      </c>
      <c r="H4812" t="s">
        <v>9</v>
      </c>
      <c r="I4812" s="22" t="str">
        <f t="shared" si="151"/>
        <v/>
      </c>
      <c r="J4812" s="22" t="str">
        <f t="shared" si="152"/>
        <v/>
      </c>
    </row>
    <row r="4813" spans="1:10">
      <c r="A4813" s="1">
        <v>40912</v>
      </c>
      <c r="B4813">
        <v>34.44</v>
      </c>
      <c r="C4813">
        <v>35.15</v>
      </c>
      <c r="D4813">
        <v>34.33</v>
      </c>
      <c r="E4813">
        <v>34.950000000000003</v>
      </c>
      <c r="F4813">
        <v>36571200</v>
      </c>
      <c r="G4813">
        <v>33.03</v>
      </c>
      <c r="H4813" t="s">
        <v>9</v>
      </c>
      <c r="I4813" s="22">
        <f t="shared" si="151"/>
        <v>6.0735078891970109E-3</v>
      </c>
      <c r="J4813" s="22" t="str">
        <f t="shared" si="152"/>
        <v/>
      </c>
    </row>
    <row r="4814" spans="1:10">
      <c r="A4814" s="1">
        <v>40913</v>
      </c>
      <c r="B4814">
        <v>34.71</v>
      </c>
      <c r="C4814">
        <v>35.92</v>
      </c>
      <c r="D4814">
        <v>34.4</v>
      </c>
      <c r="E4814">
        <v>35.68</v>
      </c>
      <c r="F4814">
        <v>38381400</v>
      </c>
      <c r="G4814">
        <v>33.72</v>
      </c>
      <c r="H4814" t="s">
        <v>9</v>
      </c>
      <c r="I4814" s="22">
        <f t="shared" si="151"/>
        <v>2.0674893730956396E-2</v>
      </c>
      <c r="J4814" s="22" t="str">
        <f t="shared" si="152"/>
        <v/>
      </c>
    </row>
    <row r="4815" spans="1:10">
      <c r="A4815" s="1">
        <v>40914</v>
      </c>
      <c r="B4815">
        <v>35.69</v>
      </c>
      <c r="C4815">
        <v>35.770000000000003</v>
      </c>
      <c r="D4815">
        <v>35.14</v>
      </c>
      <c r="E4815">
        <v>35.36</v>
      </c>
      <c r="F4815">
        <v>33160600</v>
      </c>
      <c r="G4815">
        <v>33.42</v>
      </c>
      <c r="H4815" t="s">
        <v>9</v>
      </c>
      <c r="I4815" s="22">
        <f t="shared" si="151"/>
        <v>-8.9366099664069682E-3</v>
      </c>
      <c r="J4815" s="22" t="str">
        <f t="shared" si="152"/>
        <v>lost money</v>
      </c>
    </row>
    <row r="4816" spans="1:10">
      <c r="A4816" s="1">
        <v>40917</v>
      </c>
      <c r="B4816">
        <v>35.44</v>
      </c>
      <c r="C4816">
        <v>35.68</v>
      </c>
      <c r="D4816">
        <v>34.99</v>
      </c>
      <c r="E4816">
        <v>35.299999999999997</v>
      </c>
      <c r="F4816">
        <v>23001800</v>
      </c>
      <c r="G4816">
        <v>33.36</v>
      </c>
      <c r="H4816" t="s">
        <v>9</v>
      </c>
      <c r="I4816" s="22">
        <f t="shared" si="151"/>
        <v>-1.7969456767017416E-3</v>
      </c>
      <c r="J4816" s="22" t="str">
        <f t="shared" si="152"/>
        <v>lost money</v>
      </c>
    </row>
    <row r="4817" spans="1:10">
      <c r="A4817" s="1">
        <v>40918</v>
      </c>
      <c r="B4817">
        <v>36.07</v>
      </c>
      <c r="C4817">
        <v>36.35</v>
      </c>
      <c r="D4817">
        <v>35.76</v>
      </c>
      <c r="E4817">
        <v>36.049999999999997</v>
      </c>
      <c r="F4817">
        <v>35972800</v>
      </c>
      <c r="G4817">
        <v>34.07</v>
      </c>
      <c r="H4817" t="s">
        <v>9</v>
      </c>
      <c r="I4817" s="22">
        <f t="shared" si="151"/>
        <v>2.1059654182329166E-2</v>
      </c>
      <c r="J4817" s="22" t="str">
        <f t="shared" si="152"/>
        <v>lost money</v>
      </c>
    </row>
    <row r="4818" spans="1:10">
      <c r="A4818" s="1">
        <v>40919</v>
      </c>
      <c r="B4818">
        <v>35.799999999999997</v>
      </c>
      <c r="C4818">
        <v>36.74</v>
      </c>
      <c r="D4818">
        <v>35.659999999999997</v>
      </c>
      <c r="E4818">
        <v>36.659999999999997</v>
      </c>
      <c r="F4818">
        <v>29852900</v>
      </c>
      <c r="G4818">
        <v>34.65</v>
      </c>
      <c r="H4818" t="s">
        <v>9</v>
      </c>
      <c r="I4818" s="22">
        <f t="shared" si="151"/>
        <v>1.6880493963036994E-2</v>
      </c>
      <c r="J4818" s="22" t="str">
        <f t="shared" si="152"/>
        <v/>
      </c>
    </row>
    <row r="4819" spans="1:10">
      <c r="A4819" s="1">
        <v>40920</v>
      </c>
      <c r="B4819">
        <v>36.82</v>
      </c>
      <c r="C4819">
        <v>37.049999999999997</v>
      </c>
      <c r="D4819">
        <v>36.17</v>
      </c>
      <c r="E4819">
        <v>36.85</v>
      </c>
      <c r="F4819">
        <v>39420700</v>
      </c>
      <c r="G4819">
        <v>34.83</v>
      </c>
      <c r="H4819" t="s">
        <v>9</v>
      </c>
      <c r="I4819" s="22">
        <f t="shared" si="151"/>
        <v>5.1813587419975845E-3</v>
      </c>
      <c r="J4819" s="22" t="str">
        <f t="shared" si="152"/>
        <v/>
      </c>
    </row>
    <row r="4820" spans="1:10">
      <c r="A4820" s="1">
        <v>40921</v>
      </c>
      <c r="B4820">
        <v>35.26</v>
      </c>
      <c r="C4820">
        <v>35.92</v>
      </c>
      <c r="D4820">
        <v>35.130000000000003</v>
      </c>
      <c r="E4820">
        <v>35.92</v>
      </c>
      <c r="F4820">
        <v>61571500</v>
      </c>
      <c r="G4820">
        <v>33.950000000000003</v>
      </c>
      <c r="H4820" t="s">
        <v>9</v>
      </c>
      <c r="I4820" s="22">
        <f t="shared" si="151"/>
        <v>-2.5590230373204577E-2</v>
      </c>
      <c r="J4820" s="22" t="str">
        <f t="shared" si="152"/>
        <v/>
      </c>
    </row>
    <row r="4821" spans="1:10">
      <c r="A4821" s="1">
        <v>40925</v>
      </c>
      <c r="B4821">
        <v>34.85</v>
      </c>
      <c r="C4821">
        <v>35.68</v>
      </c>
      <c r="D4821">
        <v>34.5</v>
      </c>
      <c r="E4821">
        <v>34.909999999999997</v>
      </c>
      <c r="F4821">
        <v>55115100</v>
      </c>
      <c r="G4821">
        <v>33</v>
      </c>
      <c r="H4821" t="s">
        <v>9</v>
      </c>
      <c r="I4821" s="22">
        <f t="shared" si="151"/>
        <v>-2.8381292538225026E-2</v>
      </c>
      <c r="J4821" s="22" t="str">
        <f t="shared" si="152"/>
        <v/>
      </c>
    </row>
    <row r="4822" spans="1:10">
      <c r="A4822" s="1">
        <v>40926</v>
      </c>
      <c r="B4822">
        <v>34.54</v>
      </c>
      <c r="C4822">
        <v>36.68</v>
      </c>
      <c r="D4822">
        <v>34.53</v>
      </c>
      <c r="E4822">
        <v>36.54</v>
      </c>
      <c r="F4822">
        <v>55502100</v>
      </c>
      <c r="G4822">
        <v>34.54</v>
      </c>
      <c r="H4822" t="s">
        <v>9</v>
      </c>
      <c r="I4822" s="22">
        <f t="shared" si="151"/>
        <v>4.5610511252052274E-2</v>
      </c>
      <c r="J4822" s="22" t="str">
        <f t="shared" si="152"/>
        <v/>
      </c>
    </row>
    <row r="4823" spans="1:10">
      <c r="A4823" s="1">
        <v>40927</v>
      </c>
      <c r="B4823">
        <v>36.840000000000003</v>
      </c>
      <c r="C4823">
        <v>37.15</v>
      </c>
      <c r="D4823">
        <v>36.71</v>
      </c>
      <c r="E4823">
        <v>36.93</v>
      </c>
      <c r="F4823">
        <v>37000400</v>
      </c>
      <c r="G4823">
        <v>34.909999999999997</v>
      </c>
      <c r="H4823" t="s">
        <v>9</v>
      </c>
      <c r="I4823" s="22">
        <f t="shared" si="151"/>
        <v>1.0655248398411971E-2</v>
      </c>
      <c r="J4823" s="22" t="str">
        <f t="shared" si="152"/>
        <v/>
      </c>
    </row>
    <row r="4824" spans="1:10">
      <c r="A4824" s="1">
        <v>40928</v>
      </c>
      <c r="B4824">
        <v>36.78</v>
      </c>
      <c r="C4824">
        <v>37.4</v>
      </c>
      <c r="D4824">
        <v>36.619999999999997</v>
      </c>
      <c r="E4824">
        <v>37.36</v>
      </c>
      <c r="F4824">
        <v>34716500</v>
      </c>
      <c r="G4824">
        <v>35.31</v>
      </c>
      <c r="H4824" t="s">
        <v>9</v>
      </c>
      <c r="I4824" s="22">
        <f t="shared" si="151"/>
        <v>1.1392888823350596E-2</v>
      </c>
      <c r="J4824" s="22" t="str">
        <f t="shared" si="152"/>
        <v/>
      </c>
    </row>
    <row r="4825" spans="1:10">
      <c r="A4825" s="1">
        <v>40931</v>
      </c>
      <c r="B4825">
        <v>37.31</v>
      </c>
      <c r="C4825">
        <v>37.94</v>
      </c>
      <c r="D4825">
        <v>37.270000000000003</v>
      </c>
      <c r="E4825">
        <v>37.659999999999997</v>
      </c>
      <c r="F4825">
        <v>27499200</v>
      </c>
      <c r="G4825">
        <v>35.6</v>
      </c>
      <c r="H4825" t="s">
        <v>9</v>
      </c>
      <c r="I4825" s="22">
        <f t="shared" si="151"/>
        <v>8.1794279176898039E-3</v>
      </c>
      <c r="J4825" s="22" t="str">
        <f t="shared" si="152"/>
        <v/>
      </c>
    </row>
    <row r="4826" spans="1:10">
      <c r="A4826" s="1">
        <v>40932</v>
      </c>
      <c r="B4826">
        <v>37.18</v>
      </c>
      <c r="C4826">
        <v>37.89</v>
      </c>
      <c r="D4826">
        <v>36.799999999999997</v>
      </c>
      <c r="E4826">
        <v>37.659999999999997</v>
      </c>
      <c r="F4826">
        <v>25403800</v>
      </c>
      <c r="G4826">
        <v>35.6</v>
      </c>
      <c r="H4826" t="s">
        <v>9</v>
      </c>
      <c r="I4826" s="22">
        <f t="shared" si="151"/>
        <v>0</v>
      </c>
      <c r="J4826" s="22" t="str">
        <f t="shared" si="152"/>
        <v/>
      </c>
    </row>
    <row r="4827" spans="1:10">
      <c r="A4827" s="1">
        <v>40933</v>
      </c>
      <c r="B4827">
        <v>37.36</v>
      </c>
      <c r="C4827">
        <v>37.82</v>
      </c>
      <c r="D4827">
        <v>37.119999999999997</v>
      </c>
      <c r="E4827">
        <v>37.6</v>
      </c>
      <c r="F4827">
        <v>29860700</v>
      </c>
      <c r="G4827">
        <v>35.54</v>
      </c>
      <c r="H4827" t="s">
        <v>9</v>
      </c>
      <c r="I4827" s="22">
        <f t="shared" si="151"/>
        <v>-1.6868151314795138E-3</v>
      </c>
      <c r="J4827" s="22" t="str">
        <f t="shared" si="152"/>
        <v/>
      </c>
    </row>
    <row r="4828" spans="1:10">
      <c r="A4828" s="1">
        <v>40934</v>
      </c>
      <c r="B4828">
        <v>37.880000000000003</v>
      </c>
      <c r="C4828">
        <v>38.1</v>
      </c>
      <c r="D4828">
        <v>37.25</v>
      </c>
      <c r="E4828">
        <v>37.49</v>
      </c>
      <c r="F4828">
        <v>33284600</v>
      </c>
      <c r="G4828">
        <v>35.43</v>
      </c>
      <c r="H4828" t="s">
        <v>9</v>
      </c>
      <c r="I4828" s="22">
        <f t="shared" si="151"/>
        <v>-3.0999038491246285E-3</v>
      </c>
      <c r="J4828" s="22" t="str">
        <f t="shared" si="152"/>
        <v>lost money</v>
      </c>
    </row>
    <row r="4829" spans="1:10">
      <c r="A4829" s="1">
        <v>40935</v>
      </c>
      <c r="B4829">
        <v>37.229999999999997</v>
      </c>
      <c r="C4829">
        <v>37.659999999999997</v>
      </c>
      <c r="D4829">
        <v>37.15</v>
      </c>
      <c r="E4829">
        <v>37.21</v>
      </c>
      <c r="F4829">
        <v>27674600</v>
      </c>
      <c r="G4829">
        <v>35.17</v>
      </c>
      <c r="H4829" t="s">
        <v>9</v>
      </c>
      <c r="I4829" s="22">
        <f t="shared" si="151"/>
        <v>-7.3654723914894672E-3</v>
      </c>
      <c r="J4829" s="22" t="str">
        <f t="shared" si="152"/>
        <v>lost money</v>
      </c>
    </row>
    <row r="4830" spans="1:10">
      <c r="A4830" s="1">
        <v>40938</v>
      </c>
      <c r="B4830">
        <v>36.659999999999997</v>
      </c>
      <c r="C4830">
        <v>37.17</v>
      </c>
      <c r="D4830">
        <v>36.36</v>
      </c>
      <c r="E4830">
        <v>37.01</v>
      </c>
      <c r="F4830">
        <v>24423600</v>
      </c>
      <c r="G4830">
        <v>34.979999999999997</v>
      </c>
      <c r="H4830" t="s">
        <v>9</v>
      </c>
      <c r="I4830" s="22">
        <f t="shared" si="151"/>
        <v>-5.4169768954352359E-3</v>
      </c>
      <c r="J4830" s="22" t="str">
        <f t="shared" si="152"/>
        <v/>
      </c>
    </row>
    <row r="4831" spans="1:10">
      <c r="A4831" s="1">
        <v>40939</v>
      </c>
      <c r="B4831">
        <v>37.53</v>
      </c>
      <c r="C4831">
        <v>37.54</v>
      </c>
      <c r="D4831">
        <v>36.93</v>
      </c>
      <c r="E4831">
        <v>37.299999999999997</v>
      </c>
      <c r="F4831">
        <v>29649500</v>
      </c>
      <c r="G4831">
        <v>35.25</v>
      </c>
      <c r="H4831" t="s">
        <v>9</v>
      </c>
      <c r="I4831" s="22">
        <f t="shared" si="151"/>
        <v>7.6890596678218367E-3</v>
      </c>
      <c r="J4831" s="22" t="str">
        <f t="shared" si="152"/>
        <v>lost money</v>
      </c>
    </row>
    <row r="4832" spans="1:10">
      <c r="A4832" s="1">
        <v>40940</v>
      </c>
      <c r="B4832">
        <v>37.89</v>
      </c>
      <c r="C4832">
        <v>38.03</v>
      </c>
      <c r="D4832">
        <v>37.5</v>
      </c>
      <c r="E4832">
        <v>37.6</v>
      </c>
      <c r="F4832">
        <v>41957800</v>
      </c>
      <c r="G4832">
        <v>35.54</v>
      </c>
      <c r="H4832" t="s">
        <v>9</v>
      </c>
      <c r="I4832" s="22">
        <f t="shared" si="151"/>
        <v>8.1932934682276484E-3</v>
      </c>
      <c r="J4832" s="22" t="str">
        <f t="shared" si="152"/>
        <v>lost money</v>
      </c>
    </row>
    <row r="4833" spans="1:10">
      <c r="A4833" s="1">
        <v>40941</v>
      </c>
      <c r="B4833">
        <v>37.69</v>
      </c>
      <c r="C4833">
        <v>38.159999999999997</v>
      </c>
      <c r="D4833">
        <v>37.42</v>
      </c>
      <c r="E4833">
        <v>37.549999999999997</v>
      </c>
      <c r="F4833">
        <v>26784200</v>
      </c>
      <c r="G4833">
        <v>35.49</v>
      </c>
      <c r="H4833" t="s">
        <v>9</v>
      </c>
      <c r="I4833" s="22">
        <f t="shared" si="151"/>
        <v>-1.4078560681000851E-3</v>
      </c>
      <c r="J4833" s="22" t="str">
        <f t="shared" si="152"/>
        <v>lost money</v>
      </c>
    </row>
    <row r="4834" spans="1:10">
      <c r="A4834" s="1">
        <v>40942</v>
      </c>
      <c r="B4834">
        <v>38.270000000000003</v>
      </c>
      <c r="C4834">
        <v>38.5</v>
      </c>
      <c r="D4834">
        <v>38.049999999999997</v>
      </c>
      <c r="E4834">
        <v>38.28</v>
      </c>
      <c r="F4834">
        <v>41074400</v>
      </c>
      <c r="G4834">
        <v>36.18</v>
      </c>
      <c r="H4834" t="s">
        <v>9</v>
      </c>
      <c r="I4834" s="22">
        <f t="shared" si="151"/>
        <v>1.9255513308743824E-2</v>
      </c>
      <c r="J4834" s="22" t="str">
        <f t="shared" si="152"/>
        <v/>
      </c>
    </row>
    <row r="4835" spans="1:10">
      <c r="A4835" s="1">
        <v>40945</v>
      </c>
      <c r="B4835">
        <v>38.06</v>
      </c>
      <c r="C4835">
        <v>38.32</v>
      </c>
      <c r="D4835">
        <v>37.81</v>
      </c>
      <c r="E4835">
        <v>38.14</v>
      </c>
      <c r="F4835">
        <v>23106200</v>
      </c>
      <c r="G4835">
        <v>36.049999999999997</v>
      </c>
      <c r="H4835" t="s">
        <v>9</v>
      </c>
      <c r="I4835" s="22">
        <f t="shared" si="151"/>
        <v>-3.5996162361910319E-3</v>
      </c>
      <c r="J4835" s="22" t="str">
        <f t="shared" si="152"/>
        <v/>
      </c>
    </row>
    <row r="4836" spans="1:10">
      <c r="A4836" s="1">
        <v>40946</v>
      </c>
      <c r="B4836">
        <v>37.86</v>
      </c>
      <c r="C4836">
        <v>38.119999999999997</v>
      </c>
      <c r="D4836">
        <v>37.700000000000003</v>
      </c>
      <c r="E4836">
        <v>37.869999999999997</v>
      </c>
      <c r="F4836">
        <v>21091900</v>
      </c>
      <c r="G4836">
        <v>35.79</v>
      </c>
      <c r="H4836" t="s">
        <v>9</v>
      </c>
      <c r="I4836" s="22">
        <f t="shared" si="151"/>
        <v>-7.2383389530235754E-3</v>
      </c>
      <c r="J4836" s="22" t="str">
        <f t="shared" si="152"/>
        <v/>
      </c>
    </row>
    <row r="4837" spans="1:10">
      <c r="A4837" s="1">
        <v>40947</v>
      </c>
      <c r="B4837">
        <v>38.049999999999997</v>
      </c>
      <c r="C4837">
        <v>38.35</v>
      </c>
      <c r="D4837">
        <v>37.97</v>
      </c>
      <c r="E4837">
        <v>38.299999999999997</v>
      </c>
      <c r="F4837">
        <v>23258700</v>
      </c>
      <c r="G4837">
        <v>36.200000000000003</v>
      </c>
      <c r="H4837" t="s">
        <v>9</v>
      </c>
      <c r="I4837" s="22">
        <f t="shared" si="151"/>
        <v>1.1390594053790969E-2</v>
      </c>
      <c r="J4837" s="22" t="str">
        <f t="shared" si="152"/>
        <v/>
      </c>
    </row>
    <row r="4838" spans="1:10">
      <c r="A4838" s="1">
        <v>40948</v>
      </c>
      <c r="B4838">
        <v>38.6</v>
      </c>
      <c r="C4838">
        <v>38.68</v>
      </c>
      <c r="D4838">
        <v>37.840000000000003</v>
      </c>
      <c r="E4838">
        <v>37.86</v>
      </c>
      <c r="F4838">
        <v>28608400</v>
      </c>
      <c r="G4838">
        <v>35.78</v>
      </c>
      <c r="H4838" t="s">
        <v>9</v>
      </c>
      <c r="I4838" s="22">
        <f t="shared" si="151"/>
        <v>-1.1670040751152364E-2</v>
      </c>
      <c r="J4838" s="22" t="str">
        <f t="shared" si="152"/>
        <v>lost money</v>
      </c>
    </row>
    <row r="4839" spans="1:10">
      <c r="A4839" s="1">
        <v>40949</v>
      </c>
      <c r="B4839">
        <v>37.22</v>
      </c>
      <c r="C4839">
        <v>37.770000000000003</v>
      </c>
      <c r="D4839">
        <v>37.11</v>
      </c>
      <c r="E4839">
        <v>37.61</v>
      </c>
      <c r="F4839">
        <v>22618800</v>
      </c>
      <c r="G4839">
        <v>35.549999999999997</v>
      </c>
      <c r="H4839" t="s">
        <v>9</v>
      </c>
      <c r="I4839" s="22">
        <f t="shared" si="151"/>
        <v>-6.4489218313233234E-3</v>
      </c>
      <c r="J4839" s="22" t="str">
        <f t="shared" si="152"/>
        <v/>
      </c>
    </row>
    <row r="4840" spans="1:10">
      <c r="A4840" s="1">
        <v>40952</v>
      </c>
      <c r="B4840">
        <v>38.08</v>
      </c>
      <c r="C4840">
        <v>38.340000000000003</v>
      </c>
      <c r="D4840">
        <v>37.78</v>
      </c>
      <c r="E4840">
        <v>38.299999999999997</v>
      </c>
      <c r="F4840">
        <v>24828000</v>
      </c>
      <c r="G4840">
        <v>36.200000000000003</v>
      </c>
      <c r="H4840" t="s">
        <v>9</v>
      </c>
      <c r="I4840" s="22">
        <f t="shared" si="151"/>
        <v>1.811896258247556E-2</v>
      </c>
      <c r="J4840" s="22" t="str">
        <f t="shared" si="152"/>
        <v/>
      </c>
    </row>
    <row r="4841" spans="1:10">
      <c r="A4841" s="1">
        <v>40953</v>
      </c>
      <c r="B4841">
        <v>38.229999999999997</v>
      </c>
      <c r="C4841">
        <v>38.26</v>
      </c>
      <c r="D4841">
        <v>37.44</v>
      </c>
      <c r="E4841">
        <v>37.92</v>
      </c>
      <c r="F4841">
        <v>27031900</v>
      </c>
      <c r="G4841">
        <v>35.840000000000003</v>
      </c>
      <c r="H4841" t="s">
        <v>9</v>
      </c>
      <c r="I4841" s="22">
        <f t="shared" si="151"/>
        <v>-9.9945307249956015E-3</v>
      </c>
      <c r="J4841" s="22" t="str">
        <f t="shared" si="152"/>
        <v>lost money</v>
      </c>
    </row>
    <row r="4842" spans="1:10">
      <c r="A4842" s="1">
        <v>40954</v>
      </c>
      <c r="B4842">
        <v>38.08</v>
      </c>
      <c r="C4842">
        <v>38.4</v>
      </c>
      <c r="D4842">
        <v>37.31</v>
      </c>
      <c r="E4842">
        <v>37.4</v>
      </c>
      <c r="F4842">
        <v>26534900</v>
      </c>
      <c r="G4842">
        <v>35.35</v>
      </c>
      <c r="H4842" t="s">
        <v>9</v>
      </c>
      <c r="I4842" s="22">
        <f t="shared" si="151"/>
        <v>-1.3766195764147959E-2</v>
      </c>
      <c r="J4842" s="22" t="str">
        <f t="shared" si="152"/>
        <v>lost money</v>
      </c>
    </row>
    <row r="4843" spans="1:10">
      <c r="A4843" s="1">
        <v>40955</v>
      </c>
      <c r="B4843">
        <v>37.15</v>
      </c>
      <c r="C4843">
        <v>38.119999999999997</v>
      </c>
      <c r="D4843">
        <v>37.049999999999997</v>
      </c>
      <c r="E4843">
        <v>38</v>
      </c>
      <c r="F4843">
        <v>22139600</v>
      </c>
      <c r="G4843">
        <v>35.92</v>
      </c>
      <c r="H4843" t="s">
        <v>9</v>
      </c>
      <c r="I4843" s="22">
        <f t="shared" si="151"/>
        <v>1.5995851091417136E-2</v>
      </c>
      <c r="J4843" s="22" t="str">
        <f t="shared" si="152"/>
        <v/>
      </c>
    </row>
    <row r="4844" spans="1:10">
      <c r="A4844" s="1">
        <v>40956</v>
      </c>
      <c r="B4844">
        <v>38.6</v>
      </c>
      <c r="C4844">
        <v>38.64</v>
      </c>
      <c r="D4844">
        <v>38.229999999999997</v>
      </c>
      <c r="E4844">
        <v>38.47</v>
      </c>
      <c r="F4844">
        <v>28009300</v>
      </c>
      <c r="G4844">
        <v>36.36</v>
      </c>
      <c r="H4844" t="s">
        <v>9</v>
      </c>
      <c r="I4844" s="22">
        <f t="shared" si="151"/>
        <v>1.2175025875279235E-2</v>
      </c>
      <c r="J4844" s="22" t="str">
        <f t="shared" si="152"/>
        <v>lost money</v>
      </c>
    </row>
    <row r="4845" spans="1:10">
      <c r="A4845" s="1">
        <v>40960</v>
      </c>
      <c r="B4845">
        <v>38.65</v>
      </c>
      <c r="C4845">
        <v>38.97</v>
      </c>
      <c r="D4845">
        <v>38.409999999999997</v>
      </c>
      <c r="E4845">
        <v>38.46</v>
      </c>
      <c r="F4845">
        <v>22804200</v>
      </c>
      <c r="G4845">
        <v>36.35</v>
      </c>
      <c r="H4845" t="s">
        <v>9</v>
      </c>
      <c r="I4845" s="22">
        <f t="shared" si="151"/>
        <v>-2.7506532974965056E-4</v>
      </c>
      <c r="J4845" s="22" t="str">
        <f t="shared" si="152"/>
        <v>lost money</v>
      </c>
    </row>
    <row r="4846" spans="1:10">
      <c r="A4846" s="1">
        <v>40961</v>
      </c>
      <c r="B4846">
        <v>38.299999999999997</v>
      </c>
      <c r="C4846">
        <v>38.39</v>
      </c>
      <c r="D4846">
        <v>37.9</v>
      </c>
      <c r="E4846">
        <v>38.07</v>
      </c>
      <c r="F4846">
        <v>23416900</v>
      </c>
      <c r="G4846">
        <v>35.979999999999997</v>
      </c>
      <c r="H4846" t="s">
        <v>9</v>
      </c>
      <c r="I4846" s="22">
        <f t="shared" si="151"/>
        <v>-1.0230975457141408E-2</v>
      </c>
      <c r="J4846" s="22" t="str">
        <f t="shared" si="152"/>
        <v>lost money</v>
      </c>
    </row>
    <row r="4847" spans="1:10">
      <c r="A4847" s="1">
        <v>40962</v>
      </c>
      <c r="B4847">
        <v>38.06</v>
      </c>
      <c r="C4847">
        <v>38.520000000000003</v>
      </c>
      <c r="D4847">
        <v>37.75</v>
      </c>
      <c r="E4847">
        <v>38.49</v>
      </c>
      <c r="F4847">
        <v>31361400</v>
      </c>
      <c r="G4847">
        <v>36.380000000000003</v>
      </c>
      <c r="H4847" t="s">
        <v>9</v>
      </c>
      <c r="I4847" s="22">
        <f t="shared" si="151"/>
        <v>1.1055944567589331E-2</v>
      </c>
      <c r="J4847" s="22" t="str">
        <f t="shared" si="152"/>
        <v/>
      </c>
    </row>
    <row r="4848" spans="1:10">
      <c r="A4848" s="1">
        <v>40963</v>
      </c>
      <c r="B4848">
        <v>38.659999999999997</v>
      </c>
      <c r="C4848">
        <v>38.68</v>
      </c>
      <c r="D4848">
        <v>38.19</v>
      </c>
      <c r="E4848">
        <v>38.28</v>
      </c>
      <c r="F4848">
        <v>17586400</v>
      </c>
      <c r="G4848">
        <v>36.18</v>
      </c>
      <c r="H4848" t="s">
        <v>9</v>
      </c>
      <c r="I4848" s="22">
        <f t="shared" si="151"/>
        <v>-5.5126931228272448E-3</v>
      </c>
      <c r="J4848" s="22" t="str">
        <f t="shared" si="152"/>
        <v>lost money</v>
      </c>
    </row>
    <row r="4849" spans="1:10">
      <c r="A4849" s="1">
        <v>40966</v>
      </c>
      <c r="B4849">
        <v>38.07</v>
      </c>
      <c r="C4849">
        <v>39.229999999999997</v>
      </c>
      <c r="D4849">
        <v>37.79</v>
      </c>
      <c r="E4849">
        <v>39.06</v>
      </c>
      <c r="F4849">
        <v>34030400</v>
      </c>
      <c r="G4849">
        <v>36.92</v>
      </c>
      <c r="H4849" t="s">
        <v>9</v>
      </c>
      <c r="I4849" s="22">
        <f t="shared" si="151"/>
        <v>2.0246929667502349E-2</v>
      </c>
      <c r="J4849" s="22" t="str">
        <f t="shared" si="152"/>
        <v/>
      </c>
    </row>
    <row r="4850" spans="1:10">
      <c r="A4850" s="1">
        <v>40967</v>
      </c>
      <c r="B4850">
        <v>39.130000000000003</v>
      </c>
      <c r="C4850">
        <v>39.549999999999997</v>
      </c>
      <c r="D4850">
        <v>38.85</v>
      </c>
      <c r="E4850">
        <v>39.21</v>
      </c>
      <c r="F4850">
        <v>37900900</v>
      </c>
      <c r="G4850">
        <v>37.06</v>
      </c>
      <c r="H4850" t="s">
        <v>9</v>
      </c>
      <c r="I4850" s="22">
        <f t="shared" si="151"/>
        <v>3.7848112225623938E-3</v>
      </c>
      <c r="J4850" s="22" t="str">
        <f t="shared" si="152"/>
        <v/>
      </c>
    </row>
    <row r="4851" spans="1:10">
      <c r="A4851" s="1">
        <v>40968</v>
      </c>
      <c r="B4851">
        <v>39.33</v>
      </c>
      <c r="C4851">
        <v>39.94</v>
      </c>
      <c r="D4851">
        <v>39.020000000000003</v>
      </c>
      <c r="E4851">
        <v>39.24</v>
      </c>
      <c r="F4851">
        <v>41187700</v>
      </c>
      <c r="G4851">
        <v>37.090000000000003</v>
      </c>
      <c r="H4851" t="s">
        <v>9</v>
      </c>
      <c r="I4851" s="22">
        <f t="shared" si="151"/>
        <v>8.091706442856756E-4</v>
      </c>
      <c r="J4851" s="22" t="str">
        <f t="shared" si="152"/>
        <v>lost money</v>
      </c>
    </row>
    <row r="4852" spans="1:10">
      <c r="A4852" s="1">
        <v>40969</v>
      </c>
      <c r="B4852">
        <v>39.51</v>
      </c>
      <c r="C4852">
        <v>40.450000000000003</v>
      </c>
      <c r="D4852">
        <v>39.47</v>
      </c>
      <c r="E4852">
        <v>40.369999999999997</v>
      </c>
      <c r="F4852">
        <v>44376700</v>
      </c>
      <c r="G4852">
        <v>38.159999999999997</v>
      </c>
      <c r="H4852" t="s">
        <v>9</v>
      </c>
      <c r="I4852" s="22">
        <f t="shared" si="151"/>
        <v>2.8440455078586151E-2</v>
      </c>
      <c r="J4852" s="22" t="str">
        <f t="shared" si="152"/>
        <v/>
      </c>
    </row>
    <row r="4853" spans="1:10">
      <c r="A4853" s="1">
        <v>40970</v>
      </c>
      <c r="B4853">
        <v>40.43</v>
      </c>
      <c r="C4853">
        <v>40.880000000000003</v>
      </c>
      <c r="D4853">
        <v>40.229999999999997</v>
      </c>
      <c r="E4853">
        <v>40.630000000000003</v>
      </c>
      <c r="F4853">
        <v>34897900</v>
      </c>
      <c r="G4853">
        <v>38.4</v>
      </c>
      <c r="H4853" t="s">
        <v>9</v>
      </c>
      <c r="I4853" s="22">
        <f t="shared" si="151"/>
        <v>6.269613013595395E-3</v>
      </c>
      <c r="J4853" s="22" t="str">
        <f t="shared" si="152"/>
        <v/>
      </c>
    </row>
    <row r="4854" spans="1:10">
      <c r="A4854" s="1">
        <v>40973</v>
      </c>
      <c r="B4854">
        <v>40.700000000000003</v>
      </c>
      <c r="C4854">
        <v>40.71</v>
      </c>
      <c r="D4854">
        <v>40</v>
      </c>
      <c r="E4854">
        <v>40.4</v>
      </c>
      <c r="F4854">
        <v>30806900</v>
      </c>
      <c r="G4854">
        <v>38.18</v>
      </c>
      <c r="H4854" t="s">
        <v>9</v>
      </c>
      <c r="I4854" s="22">
        <f t="shared" si="151"/>
        <v>-5.7456412960796253E-3</v>
      </c>
      <c r="J4854" s="22" t="str">
        <f t="shared" si="152"/>
        <v>lost money</v>
      </c>
    </row>
    <row r="4855" spans="1:10">
      <c r="A4855" s="1">
        <v>40974</v>
      </c>
      <c r="B4855">
        <v>39.450000000000003</v>
      </c>
      <c r="C4855">
        <v>39.869999999999997</v>
      </c>
      <c r="D4855">
        <v>39.119999999999997</v>
      </c>
      <c r="E4855">
        <v>39.32</v>
      </c>
      <c r="F4855">
        <v>33927500</v>
      </c>
      <c r="G4855">
        <v>37.159999999999997</v>
      </c>
      <c r="H4855" t="s">
        <v>9</v>
      </c>
      <c r="I4855" s="22">
        <f t="shared" si="151"/>
        <v>-2.7078904351963872E-2</v>
      </c>
      <c r="J4855" s="22" t="str">
        <f t="shared" si="152"/>
        <v>lost money</v>
      </c>
    </row>
    <row r="4856" spans="1:10">
      <c r="A4856" s="1">
        <v>40975</v>
      </c>
      <c r="B4856">
        <v>39.46</v>
      </c>
      <c r="C4856">
        <v>40.06</v>
      </c>
      <c r="D4856">
        <v>39.380000000000003</v>
      </c>
      <c r="E4856">
        <v>39.950000000000003</v>
      </c>
      <c r="F4856">
        <v>22875100</v>
      </c>
      <c r="G4856">
        <v>37.76</v>
      </c>
      <c r="H4856" t="s">
        <v>9</v>
      </c>
      <c r="I4856" s="22">
        <f t="shared" si="151"/>
        <v>1.6017427331662261E-2</v>
      </c>
      <c r="J4856" s="22" t="str">
        <f t="shared" si="152"/>
        <v/>
      </c>
    </row>
    <row r="4857" spans="1:10">
      <c r="A4857" s="1">
        <v>40976</v>
      </c>
      <c r="B4857">
        <v>40.47</v>
      </c>
      <c r="C4857">
        <v>40.75</v>
      </c>
      <c r="D4857">
        <v>40.22</v>
      </c>
      <c r="E4857">
        <v>40.44</v>
      </c>
      <c r="F4857">
        <v>22052300</v>
      </c>
      <c r="G4857">
        <v>38.22</v>
      </c>
      <c r="H4857" t="s">
        <v>9</v>
      </c>
      <c r="I4857" s="22">
        <f t="shared" si="151"/>
        <v>1.210859753482698E-2</v>
      </c>
      <c r="J4857" s="22" t="str">
        <f t="shared" si="152"/>
        <v>lost money</v>
      </c>
    </row>
    <row r="4858" spans="1:10">
      <c r="A4858" s="1">
        <v>40977</v>
      </c>
      <c r="B4858">
        <v>40.75</v>
      </c>
      <c r="C4858">
        <v>41.44</v>
      </c>
      <c r="D4858">
        <v>40.5</v>
      </c>
      <c r="E4858">
        <v>41.03</v>
      </c>
      <c r="F4858">
        <v>33494200</v>
      </c>
      <c r="G4858">
        <v>38.78</v>
      </c>
      <c r="H4858" t="s">
        <v>9</v>
      </c>
      <c r="I4858" s="22">
        <f t="shared" si="151"/>
        <v>1.4545711002378935E-2</v>
      </c>
      <c r="J4858" s="22" t="str">
        <f t="shared" si="152"/>
        <v/>
      </c>
    </row>
    <row r="4859" spans="1:10">
      <c r="A4859" s="1">
        <v>40980</v>
      </c>
      <c r="B4859">
        <v>40.86</v>
      </c>
      <c r="C4859">
        <v>40.98</v>
      </c>
      <c r="D4859">
        <v>40.200000000000003</v>
      </c>
      <c r="E4859">
        <v>40.54</v>
      </c>
      <c r="F4859">
        <v>30763800</v>
      </c>
      <c r="G4859">
        <v>38.32</v>
      </c>
      <c r="H4859" t="s">
        <v>9</v>
      </c>
      <c r="I4859" s="22">
        <f t="shared" si="151"/>
        <v>-1.1932696711845962E-2</v>
      </c>
      <c r="J4859" s="22" t="str">
        <f t="shared" si="152"/>
        <v>lost money</v>
      </c>
    </row>
    <row r="4860" spans="1:10">
      <c r="A4860" s="1">
        <v>40981</v>
      </c>
      <c r="B4860">
        <v>41.02</v>
      </c>
      <c r="C4860">
        <v>43.73</v>
      </c>
      <c r="D4860">
        <v>40.82</v>
      </c>
      <c r="E4860">
        <v>43.39</v>
      </c>
      <c r="F4860">
        <v>77277600</v>
      </c>
      <c r="G4860">
        <v>41.01</v>
      </c>
      <c r="H4860" t="s">
        <v>9</v>
      </c>
      <c r="I4860" s="22">
        <f t="shared" si="151"/>
        <v>6.7843986301308085E-2</v>
      </c>
      <c r="J4860" s="22" t="str">
        <f t="shared" si="152"/>
        <v/>
      </c>
    </row>
    <row r="4861" spans="1:10">
      <c r="A4861" s="1">
        <v>40982</v>
      </c>
      <c r="B4861">
        <v>43.62</v>
      </c>
      <c r="C4861">
        <v>44</v>
      </c>
      <c r="D4861">
        <v>43.07</v>
      </c>
      <c r="E4861">
        <v>43.58</v>
      </c>
      <c r="F4861">
        <v>68028700</v>
      </c>
      <c r="G4861">
        <v>41.19</v>
      </c>
      <c r="H4861" t="s">
        <v>9</v>
      </c>
      <c r="I4861" s="22">
        <f t="shared" si="151"/>
        <v>4.3795690440215128E-3</v>
      </c>
      <c r="J4861" s="22" t="str">
        <f t="shared" si="152"/>
        <v>lost money</v>
      </c>
    </row>
    <row r="4862" spans="1:10">
      <c r="A4862" s="1">
        <v>40983</v>
      </c>
      <c r="B4862">
        <v>43.64</v>
      </c>
      <c r="C4862">
        <v>44.92</v>
      </c>
      <c r="D4862">
        <v>42.93</v>
      </c>
      <c r="E4862">
        <v>44.7</v>
      </c>
      <c r="F4862">
        <v>57117700</v>
      </c>
      <c r="G4862">
        <v>42.25</v>
      </c>
      <c r="H4862" t="s">
        <v>9</v>
      </c>
      <c r="I4862" s="22">
        <f t="shared" si="151"/>
        <v>2.5408845355193554E-2</v>
      </c>
      <c r="J4862" s="22" t="str">
        <f t="shared" si="152"/>
        <v/>
      </c>
    </row>
    <row r="4863" spans="1:10">
      <c r="A4863" s="1">
        <v>40984</v>
      </c>
      <c r="B4863">
        <v>44.87</v>
      </c>
      <c r="C4863">
        <v>44.92</v>
      </c>
      <c r="D4863">
        <v>44.22</v>
      </c>
      <c r="E4863">
        <v>44.57</v>
      </c>
      <c r="F4863">
        <v>48844500</v>
      </c>
      <c r="G4863">
        <v>42.13</v>
      </c>
      <c r="H4863" t="s">
        <v>9</v>
      </c>
      <c r="I4863" s="22">
        <f t="shared" si="151"/>
        <v>-2.844277812257595E-3</v>
      </c>
      <c r="J4863" s="22" t="str">
        <f t="shared" si="152"/>
        <v>lost money</v>
      </c>
    </row>
    <row r="4864" spans="1:10">
      <c r="A4864" s="1">
        <v>40987</v>
      </c>
      <c r="B4864">
        <v>44.44</v>
      </c>
      <c r="C4864">
        <v>45.35</v>
      </c>
      <c r="D4864">
        <v>44.21</v>
      </c>
      <c r="E4864">
        <v>45</v>
      </c>
      <c r="F4864">
        <v>41509300</v>
      </c>
      <c r="G4864">
        <v>42.53</v>
      </c>
      <c r="H4864" t="s">
        <v>9</v>
      </c>
      <c r="I4864" s="22">
        <f t="shared" si="151"/>
        <v>9.4496332746168681E-3</v>
      </c>
      <c r="J4864" s="22" t="str">
        <f t="shared" si="152"/>
        <v/>
      </c>
    </row>
    <row r="4865" spans="1:10">
      <c r="A4865" s="1">
        <v>40988</v>
      </c>
      <c r="B4865">
        <v>44.53</v>
      </c>
      <c r="C4865">
        <v>45.6</v>
      </c>
      <c r="D4865">
        <v>44.37</v>
      </c>
      <c r="E4865">
        <v>45.38</v>
      </c>
      <c r="F4865">
        <v>34796200</v>
      </c>
      <c r="G4865">
        <v>42.89</v>
      </c>
      <c r="H4865" t="s">
        <v>9</v>
      </c>
      <c r="I4865" s="22">
        <f t="shared" si="151"/>
        <v>8.428989263246851E-3</v>
      </c>
      <c r="J4865" s="22" t="str">
        <f t="shared" si="152"/>
        <v/>
      </c>
    </row>
    <row r="4866" spans="1:10">
      <c r="A4866" s="1">
        <v>40989</v>
      </c>
      <c r="B4866">
        <v>45.53</v>
      </c>
      <c r="C4866">
        <v>45.67</v>
      </c>
      <c r="D4866">
        <v>44.86</v>
      </c>
      <c r="E4866">
        <v>45.12</v>
      </c>
      <c r="F4866">
        <v>27267900</v>
      </c>
      <c r="G4866">
        <v>42.65</v>
      </c>
      <c r="H4866" t="s">
        <v>9</v>
      </c>
      <c r="I4866" s="22">
        <f t="shared" si="151"/>
        <v>-5.6114245911010269E-3</v>
      </c>
      <c r="J4866" s="22" t="str">
        <f t="shared" si="152"/>
        <v>lost money</v>
      </c>
    </row>
    <row r="4867" spans="1:10">
      <c r="A4867" s="1">
        <v>40990</v>
      </c>
      <c r="B4867">
        <v>44.72</v>
      </c>
      <c r="C4867">
        <v>45.1</v>
      </c>
      <c r="D4867">
        <v>44.41</v>
      </c>
      <c r="E4867">
        <v>44.65</v>
      </c>
      <c r="F4867">
        <v>27457200</v>
      </c>
      <c r="G4867">
        <v>42.2</v>
      </c>
      <c r="H4867" t="s">
        <v>9</v>
      </c>
      <c r="I4867" s="22">
        <f t="shared" ref="I4867:I4930" si="153">IF(A4867=$A$2,"",LN(G4867/G4866))</f>
        <v>-1.0607052895721893E-2</v>
      </c>
      <c r="J4867" s="22" t="str">
        <f t="shared" ref="J4867:J4930" si="154">IF(B4867&gt;E4867,"lost money","")</f>
        <v>lost money</v>
      </c>
    </row>
    <row r="4868" spans="1:10">
      <c r="A4868" s="1">
        <v>40991</v>
      </c>
      <c r="B4868">
        <v>44.45</v>
      </c>
      <c r="C4868">
        <v>45.25</v>
      </c>
      <c r="D4868">
        <v>44.44</v>
      </c>
      <c r="E4868">
        <v>45.16</v>
      </c>
      <c r="F4868">
        <v>30639300</v>
      </c>
      <c r="G4868">
        <v>42.68</v>
      </c>
      <c r="H4868" t="s">
        <v>9</v>
      </c>
      <c r="I4868" s="22">
        <f t="shared" si="153"/>
        <v>1.1310205391586392E-2</v>
      </c>
      <c r="J4868" s="22" t="str">
        <f t="shared" si="154"/>
        <v/>
      </c>
    </row>
    <row r="4869" spans="1:10">
      <c r="A4869" s="1">
        <v>40994</v>
      </c>
      <c r="B4869">
        <v>45.48</v>
      </c>
      <c r="C4869">
        <v>46.17</v>
      </c>
      <c r="D4869">
        <v>45.4</v>
      </c>
      <c r="E4869">
        <v>46.17</v>
      </c>
      <c r="F4869">
        <v>33529400</v>
      </c>
      <c r="G4869">
        <v>43.64</v>
      </c>
      <c r="H4869" t="s">
        <v>9</v>
      </c>
      <c r="I4869" s="22">
        <f t="shared" si="153"/>
        <v>2.2243734531317571E-2</v>
      </c>
      <c r="J4869" s="22" t="str">
        <f t="shared" si="154"/>
        <v/>
      </c>
    </row>
    <row r="4870" spans="1:10">
      <c r="A4870" s="1">
        <v>40995</v>
      </c>
      <c r="B4870">
        <v>45.92</v>
      </c>
      <c r="C4870">
        <v>46.49</v>
      </c>
      <c r="D4870">
        <v>45.83</v>
      </c>
      <c r="E4870">
        <v>45.89</v>
      </c>
      <c r="F4870">
        <v>33026400</v>
      </c>
      <c r="G4870">
        <v>43.37</v>
      </c>
      <c r="H4870" t="s">
        <v>9</v>
      </c>
      <c r="I4870" s="22">
        <f t="shared" si="153"/>
        <v>-6.2062031175953124E-3</v>
      </c>
      <c r="J4870" s="22" t="str">
        <f t="shared" si="154"/>
        <v>lost money</v>
      </c>
    </row>
    <row r="4871" spans="1:10">
      <c r="A4871" s="1">
        <v>40996</v>
      </c>
      <c r="B4871">
        <v>45.76</v>
      </c>
      <c r="C4871">
        <v>46.31</v>
      </c>
      <c r="D4871">
        <v>45.36</v>
      </c>
      <c r="E4871">
        <v>46.27</v>
      </c>
      <c r="F4871">
        <v>29755800</v>
      </c>
      <c r="G4871">
        <v>43.73</v>
      </c>
      <c r="H4871" t="s">
        <v>9</v>
      </c>
      <c r="I4871" s="22">
        <f t="shared" si="153"/>
        <v>8.2664075775543792E-3</v>
      </c>
      <c r="J4871" s="22" t="str">
        <f t="shared" si="154"/>
        <v/>
      </c>
    </row>
    <row r="4872" spans="1:10">
      <c r="A4872" s="1">
        <v>40997</v>
      </c>
      <c r="B4872">
        <v>45.92</v>
      </c>
      <c r="C4872">
        <v>46.02</v>
      </c>
      <c r="D4872">
        <v>45.27</v>
      </c>
      <c r="E4872">
        <v>45.67</v>
      </c>
      <c r="F4872">
        <v>32262300</v>
      </c>
      <c r="G4872">
        <v>43.17</v>
      </c>
      <c r="H4872" t="s">
        <v>9</v>
      </c>
      <c r="I4872" s="22">
        <f t="shared" si="153"/>
        <v>-1.2888555857442944E-2</v>
      </c>
      <c r="J4872" s="22" t="str">
        <f t="shared" si="154"/>
        <v>lost money</v>
      </c>
    </row>
    <row r="4873" spans="1:10">
      <c r="A4873" s="1">
        <v>40998</v>
      </c>
      <c r="B4873">
        <v>46.08</v>
      </c>
      <c r="C4873">
        <v>46.13</v>
      </c>
      <c r="D4873">
        <v>45.5</v>
      </c>
      <c r="E4873">
        <v>45.98</v>
      </c>
      <c r="F4873">
        <v>25945800</v>
      </c>
      <c r="G4873">
        <v>43.46</v>
      </c>
      <c r="H4873" t="s">
        <v>9</v>
      </c>
      <c r="I4873" s="22">
        <f t="shared" si="153"/>
        <v>6.6951652608973162E-3</v>
      </c>
      <c r="J4873" s="22" t="str">
        <f t="shared" si="154"/>
        <v>lost money</v>
      </c>
    </row>
    <row r="4874" spans="1:10">
      <c r="A4874" s="1">
        <v>41001</v>
      </c>
      <c r="B4874">
        <v>45.75</v>
      </c>
      <c r="C4874">
        <v>46.35</v>
      </c>
      <c r="D4874">
        <v>45.46</v>
      </c>
      <c r="E4874">
        <v>46.13</v>
      </c>
      <c r="F4874">
        <v>27669300</v>
      </c>
      <c r="G4874">
        <v>43.6</v>
      </c>
      <c r="H4874" t="s">
        <v>9</v>
      </c>
      <c r="I4874" s="22">
        <f t="shared" si="153"/>
        <v>3.2161755267051629E-3</v>
      </c>
      <c r="J4874" s="22" t="str">
        <f t="shared" si="154"/>
        <v/>
      </c>
    </row>
    <row r="4875" spans="1:10">
      <c r="A4875" s="1">
        <v>41002</v>
      </c>
      <c r="B4875">
        <v>45.74</v>
      </c>
      <c r="C4875">
        <v>45.99</v>
      </c>
      <c r="D4875">
        <v>44.97</v>
      </c>
      <c r="E4875">
        <v>45.42</v>
      </c>
      <c r="F4875">
        <v>31036400</v>
      </c>
      <c r="G4875">
        <v>43.21</v>
      </c>
      <c r="H4875" t="s">
        <v>9</v>
      </c>
      <c r="I4875" s="22">
        <f t="shared" si="153"/>
        <v>-8.9852004111468983E-3</v>
      </c>
      <c r="J4875" s="22" t="str">
        <f t="shared" si="154"/>
        <v>lost money</v>
      </c>
    </row>
    <row r="4876" spans="1:10">
      <c r="A4876" s="1">
        <v>41003</v>
      </c>
      <c r="B4876">
        <v>44.68</v>
      </c>
      <c r="C4876">
        <v>44.86</v>
      </c>
      <c r="D4876">
        <v>43.96</v>
      </c>
      <c r="E4876">
        <v>44.41</v>
      </c>
      <c r="F4876">
        <v>41342900</v>
      </c>
      <c r="G4876">
        <v>42.25</v>
      </c>
      <c r="H4876" t="s">
        <v>9</v>
      </c>
      <c r="I4876" s="22">
        <f t="shared" si="153"/>
        <v>-2.2467596140658987E-2</v>
      </c>
      <c r="J4876" s="22" t="str">
        <f t="shared" si="154"/>
        <v>lost money</v>
      </c>
    </row>
    <row r="4877" spans="1:10">
      <c r="A4877" s="1">
        <v>41004</v>
      </c>
      <c r="B4877">
        <v>44.13</v>
      </c>
      <c r="C4877">
        <v>44.73</v>
      </c>
      <c r="D4877">
        <v>43.81</v>
      </c>
      <c r="E4877">
        <v>44.34</v>
      </c>
      <c r="F4877">
        <v>28832300</v>
      </c>
      <c r="G4877">
        <v>42.18</v>
      </c>
      <c r="H4877" t="s">
        <v>9</v>
      </c>
      <c r="I4877" s="22">
        <f t="shared" si="153"/>
        <v>-1.6581787525543736E-3</v>
      </c>
      <c r="J4877" s="22" t="str">
        <f t="shared" si="154"/>
        <v/>
      </c>
    </row>
    <row r="4878" spans="1:10">
      <c r="A4878" s="1">
        <v>41008</v>
      </c>
      <c r="B4878">
        <v>43.19</v>
      </c>
      <c r="C4878">
        <v>44.28</v>
      </c>
      <c r="D4878">
        <v>43.07</v>
      </c>
      <c r="E4878">
        <v>43.89</v>
      </c>
      <c r="F4878">
        <v>29376400</v>
      </c>
      <c r="G4878">
        <v>41.76</v>
      </c>
      <c r="H4878" t="s">
        <v>9</v>
      </c>
      <c r="I4878" s="22">
        <f t="shared" si="153"/>
        <v>-1.0007231476245243E-2</v>
      </c>
      <c r="J4878" s="22" t="str">
        <f t="shared" si="154"/>
        <v/>
      </c>
    </row>
    <row r="4879" spans="1:10">
      <c r="A4879" s="1">
        <v>41009</v>
      </c>
      <c r="B4879">
        <v>43.88</v>
      </c>
      <c r="C4879">
        <v>44.01</v>
      </c>
      <c r="D4879">
        <v>42.66</v>
      </c>
      <c r="E4879">
        <v>42.96</v>
      </c>
      <c r="F4879">
        <v>38841000</v>
      </c>
      <c r="G4879">
        <v>40.869999999999997</v>
      </c>
      <c r="H4879" t="s">
        <v>9</v>
      </c>
      <c r="I4879" s="22">
        <f t="shared" si="153"/>
        <v>-2.1542645998197326E-2</v>
      </c>
      <c r="J4879" s="22" t="str">
        <f t="shared" si="154"/>
        <v>lost money</v>
      </c>
    </row>
    <row r="4880" spans="1:10">
      <c r="A4880" s="1">
        <v>41010</v>
      </c>
      <c r="B4880">
        <v>43.59</v>
      </c>
      <c r="C4880">
        <v>44.21</v>
      </c>
      <c r="D4880">
        <v>43.57</v>
      </c>
      <c r="E4880">
        <v>44.01</v>
      </c>
      <c r="F4880">
        <v>32142200</v>
      </c>
      <c r="G4880">
        <v>41.87</v>
      </c>
      <c r="H4880" t="s">
        <v>9</v>
      </c>
      <c r="I4880" s="22">
        <f t="shared" si="153"/>
        <v>2.4173282454866121E-2</v>
      </c>
      <c r="J4880" s="22" t="str">
        <f t="shared" si="154"/>
        <v/>
      </c>
    </row>
    <row r="4881" spans="1:10">
      <c r="A4881" s="1">
        <v>41011</v>
      </c>
      <c r="B4881">
        <v>44.12</v>
      </c>
      <c r="C4881">
        <v>44.99</v>
      </c>
      <c r="D4881">
        <v>44</v>
      </c>
      <c r="E4881">
        <v>44.84</v>
      </c>
      <c r="F4881">
        <v>33631100</v>
      </c>
      <c r="G4881">
        <v>42.66</v>
      </c>
      <c r="H4881" t="s">
        <v>9</v>
      </c>
      <c r="I4881" s="22">
        <f t="shared" si="153"/>
        <v>1.8692133012152546E-2</v>
      </c>
      <c r="J4881" s="22" t="str">
        <f t="shared" si="154"/>
        <v/>
      </c>
    </row>
    <row r="4882" spans="1:10">
      <c r="A4882" s="1">
        <v>41012</v>
      </c>
      <c r="B4882">
        <v>44.95</v>
      </c>
      <c r="C4882">
        <v>44.95</v>
      </c>
      <c r="D4882">
        <v>43.06</v>
      </c>
      <c r="E4882">
        <v>43.21</v>
      </c>
      <c r="F4882">
        <v>58183900</v>
      </c>
      <c r="G4882">
        <v>41.11</v>
      </c>
      <c r="H4882" t="s">
        <v>9</v>
      </c>
      <c r="I4882" s="22">
        <f t="shared" si="153"/>
        <v>-3.7010312133417378E-2</v>
      </c>
      <c r="J4882" s="22" t="str">
        <f t="shared" si="154"/>
        <v>lost money</v>
      </c>
    </row>
    <row r="4883" spans="1:10">
      <c r="A4883" s="1">
        <v>41015</v>
      </c>
      <c r="B4883">
        <v>43.38</v>
      </c>
      <c r="C4883">
        <v>43.8</v>
      </c>
      <c r="D4883">
        <v>42.84</v>
      </c>
      <c r="E4883">
        <v>43.33</v>
      </c>
      <c r="F4883">
        <v>40387600</v>
      </c>
      <c r="G4883">
        <v>41.22</v>
      </c>
      <c r="H4883" t="s">
        <v>9</v>
      </c>
      <c r="I4883" s="22">
        <f t="shared" si="153"/>
        <v>2.6721745525258508E-3</v>
      </c>
      <c r="J4883" s="22" t="str">
        <f t="shared" si="154"/>
        <v>lost money</v>
      </c>
    </row>
    <row r="4884" spans="1:10">
      <c r="A4884" s="1">
        <v>41016</v>
      </c>
      <c r="B4884">
        <v>43.69</v>
      </c>
      <c r="C4884">
        <v>44</v>
      </c>
      <c r="D4884">
        <v>43.16</v>
      </c>
      <c r="E4884">
        <v>43.9</v>
      </c>
      <c r="F4884">
        <v>26887000</v>
      </c>
      <c r="G4884">
        <v>41.76</v>
      </c>
      <c r="H4884" t="s">
        <v>9</v>
      </c>
      <c r="I4884" s="22">
        <f t="shared" si="153"/>
        <v>1.3015368112070227E-2</v>
      </c>
      <c r="J4884" s="22" t="str">
        <f t="shared" si="154"/>
        <v/>
      </c>
    </row>
    <row r="4885" spans="1:10">
      <c r="A4885" s="1">
        <v>41017</v>
      </c>
      <c r="B4885">
        <v>43.62</v>
      </c>
      <c r="C4885">
        <v>43.91</v>
      </c>
      <c r="D4885">
        <v>43.27</v>
      </c>
      <c r="E4885">
        <v>43.29</v>
      </c>
      <c r="F4885">
        <v>20242900</v>
      </c>
      <c r="G4885">
        <v>41.18</v>
      </c>
      <c r="H4885" t="s">
        <v>9</v>
      </c>
      <c r="I4885" s="22">
        <f t="shared" si="153"/>
        <v>-1.3986241974739839E-2</v>
      </c>
      <c r="J4885" s="22" t="str">
        <f t="shared" si="154"/>
        <v>lost money</v>
      </c>
    </row>
    <row r="4886" spans="1:10">
      <c r="A4886" s="1">
        <v>41018</v>
      </c>
      <c r="B4886">
        <v>43.44</v>
      </c>
      <c r="C4886">
        <v>43.69</v>
      </c>
      <c r="D4886">
        <v>42.77</v>
      </c>
      <c r="E4886">
        <v>43.22</v>
      </c>
      <c r="F4886">
        <v>25961800</v>
      </c>
      <c r="G4886">
        <v>41.12</v>
      </c>
      <c r="H4886" t="s">
        <v>9</v>
      </c>
      <c r="I4886" s="22">
        <f t="shared" si="153"/>
        <v>-1.4580804527338236E-3</v>
      </c>
      <c r="J4886" s="22" t="str">
        <f t="shared" si="154"/>
        <v>lost money</v>
      </c>
    </row>
    <row r="4887" spans="1:10">
      <c r="A4887" s="1">
        <v>41019</v>
      </c>
      <c r="B4887">
        <v>43.51</v>
      </c>
      <c r="C4887">
        <v>43.58</v>
      </c>
      <c r="D4887">
        <v>42.71</v>
      </c>
      <c r="E4887">
        <v>42.72</v>
      </c>
      <c r="F4887">
        <v>26178100</v>
      </c>
      <c r="G4887">
        <v>40.64</v>
      </c>
      <c r="H4887" t="s">
        <v>9</v>
      </c>
      <c r="I4887" s="22">
        <f t="shared" si="153"/>
        <v>-1.1741817876683174E-2</v>
      </c>
      <c r="J4887" s="22" t="str">
        <f t="shared" si="154"/>
        <v>lost money</v>
      </c>
    </row>
    <row r="4888" spans="1:10">
      <c r="A4888" s="1">
        <v>41022</v>
      </c>
      <c r="B4888">
        <v>41.92</v>
      </c>
      <c r="C4888">
        <v>42.96</v>
      </c>
      <c r="D4888">
        <v>41.8</v>
      </c>
      <c r="E4888">
        <v>42.85</v>
      </c>
      <c r="F4888">
        <v>25536300</v>
      </c>
      <c r="G4888">
        <v>40.770000000000003</v>
      </c>
      <c r="H4888" t="s">
        <v>9</v>
      </c>
      <c r="I4888" s="22">
        <f t="shared" si="153"/>
        <v>3.1937135609357431E-3</v>
      </c>
      <c r="J4888" s="22" t="str">
        <f t="shared" si="154"/>
        <v/>
      </c>
    </row>
    <row r="4889" spans="1:10">
      <c r="A4889" s="1">
        <v>41023</v>
      </c>
      <c r="B4889">
        <v>42.98</v>
      </c>
      <c r="C4889">
        <v>43.31</v>
      </c>
      <c r="D4889">
        <v>42.81</v>
      </c>
      <c r="E4889">
        <v>43.28</v>
      </c>
      <c r="F4889">
        <v>21420400</v>
      </c>
      <c r="G4889">
        <v>41.17</v>
      </c>
      <c r="H4889" t="s">
        <v>9</v>
      </c>
      <c r="I4889" s="22">
        <f t="shared" si="153"/>
        <v>9.763318950651162E-3</v>
      </c>
      <c r="J4889" s="22" t="str">
        <f t="shared" si="154"/>
        <v/>
      </c>
    </row>
    <row r="4890" spans="1:10">
      <c r="A4890" s="1">
        <v>41024</v>
      </c>
      <c r="B4890">
        <v>43.65</v>
      </c>
      <c r="C4890">
        <v>43.89</v>
      </c>
      <c r="D4890">
        <v>42.98</v>
      </c>
      <c r="E4890">
        <v>43.16</v>
      </c>
      <c r="F4890">
        <v>31694000</v>
      </c>
      <c r="G4890">
        <v>41.06</v>
      </c>
      <c r="H4890" t="s">
        <v>9</v>
      </c>
      <c r="I4890" s="22">
        <f t="shared" si="153"/>
        <v>-2.6754241910258107E-3</v>
      </c>
      <c r="J4890" s="22" t="str">
        <f t="shared" si="154"/>
        <v>lost money</v>
      </c>
    </row>
    <row r="4891" spans="1:10">
      <c r="A4891" s="1">
        <v>41025</v>
      </c>
      <c r="B4891">
        <v>43.22</v>
      </c>
      <c r="C4891">
        <v>43.89</v>
      </c>
      <c r="D4891">
        <v>43.06</v>
      </c>
      <c r="E4891">
        <v>43.8</v>
      </c>
      <c r="F4891">
        <v>28100300</v>
      </c>
      <c r="G4891">
        <v>41.67</v>
      </c>
      <c r="H4891" t="s">
        <v>9</v>
      </c>
      <c r="I4891" s="22">
        <f t="shared" si="153"/>
        <v>1.4747033843574574E-2</v>
      </c>
      <c r="J4891" s="22" t="str">
        <f t="shared" si="154"/>
        <v/>
      </c>
    </row>
    <row r="4892" spans="1:10">
      <c r="A4892" s="1">
        <v>41026</v>
      </c>
      <c r="B4892">
        <v>43.94</v>
      </c>
      <c r="C4892">
        <v>43.99</v>
      </c>
      <c r="D4892">
        <v>43.23</v>
      </c>
      <c r="E4892">
        <v>43.34</v>
      </c>
      <c r="F4892">
        <v>26242900</v>
      </c>
      <c r="G4892">
        <v>41.23</v>
      </c>
      <c r="H4892" t="s">
        <v>9</v>
      </c>
      <c r="I4892" s="22">
        <f t="shared" si="153"/>
        <v>-1.0615298715553521E-2</v>
      </c>
      <c r="J4892" s="22" t="str">
        <f t="shared" si="154"/>
        <v>lost money</v>
      </c>
    </row>
    <row r="4893" spans="1:10">
      <c r="A4893" s="1">
        <v>41029</v>
      </c>
      <c r="B4893">
        <v>43.33</v>
      </c>
      <c r="C4893">
        <v>43.37</v>
      </c>
      <c r="D4893">
        <v>42.54</v>
      </c>
      <c r="E4893">
        <v>42.98</v>
      </c>
      <c r="F4893">
        <v>23518000</v>
      </c>
      <c r="G4893">
        <v>40.89</v>
      </c>
      <c r="H4893" t="s">
        <v>9</v>
      </c>
      <c r="I4893" s="22">
        <f t="shared" si="153"/>
        <v>-8.2806123422576403E-3</v>
      </c>
      <c r="J4893" s="22" t="str">
        <f t="shared" si="154"/>
        <v>lost money</v>
      </c>
    </row>
    <row r="4894" spans="1:10">
      <c r="A4894" s="1">
        <v>41030</v>
      </c>
      <c r="B4894">
        <v>43</v>
      </c>
      <c r="C4894">
        <v>44.24</v>
      </c>
      <c r="D4894">
        <v>42.96</v>
      </c>
      <c r="E4894">
        <v>43.79</v>
      </c>
      <c r="F4894">
        <v>26359700</v>
      </c>
      <c r="G4894">
        <v>41.66</v>
      </c>
      <c r="H4894" t="s">
        <v>9</v>
      </c>
      <c r="I4894" s="22">
        <f t="shared" si="153"/>
        <v>1.8655901456274909E-2</v>
      </c>
      <c r="J4894" s="22" t="str">
        <f t="shared" si="154"/>
        <v/>
      </c>
    </row>
    <row r="4895" spans="1:10">
      <c r="A4895" s="1">
        <v>41031</v>
      </c>
      <c r="B4895">
        <v>43.46</v>
      </c>
      <c r="C4895">
        <v>43.53</v>
      </c>
      <c r="D4895">
        <v>42.84</v>
      </c>
      <c r="E4895">
        <v>43.2</v>
      </c>
      <c r="F4895">
        <v>22462200</v>
      </c>
      <c r="G4895">
        <v>41.1</v>
      </c>
      <c r="H4895" t="s">
        <v>9</v>
      </c>
      <c r="I4895" s="22">
        <f t="shared" si="153"/>
        <v>-1.3533314330636871E-2</v>
      </c>
      <c r="J4895" s="22" t="str">
        <f t="shared" si="154"/>
        <v>lost money</v>
      </c>
    </row>
    <row r="4896" spans="1:10">
      <c r="A4896" s="1">
        <v>41032</v>
      </c>
      <c r="B4896">
        <v>43.38</v>
      </c>
      <c r="C4896">
        <v>43.39</v>
      </c>
      <c r="D4896">
        <v>42.67</v>
      </c>
      <c r="E4896">
        <v>43.01</v>
      </c>
      <c r="F4896">
        <v>19536400</v>
      </c>
      <c r="G4896">
        <v>40.92</v>
      </c>
      <c r="H4896" t="s">
        <v>9</v>
      </c>
      <c r="I4896" s="22">
        <f t="shared" si="153"/>
        <v>-4.3891804187632076E-3</v>
      </c>
      <c r="J4896" s="22" t="str">
        <f t="shared" si="154"/>
        <v>lost money</v>
      </c>
    </row>
    <row r="4897" spans="1:10">
      <c r="A4897" s="1">
        <v>41033</v>
      </c>
      <c r="B4897">
        <v>42.33</v>
      </c>
      <c r="C4897">
        <v>42.68</v>
      </c>
      <c r="D4897">
        <v>41.71</v>
      </c>
      <c r="E4897">
        <v>41.75</v>
      </c>
      <c r="F4897">
        <v>31279900</v>
      </c>
      <c r="G4897">
        <v>39.72</v>
      </c>
      <c r="H4897" t="s">
        <v>9</v>
      </c>
      <c r="I4897" s="22">
        <f t="shared" si="153"/>
        <v>-2.9764101906453976E-2</v>
      </c>
      <c r="J4897" s="22" t="str">
        <f t="shared" si="154"/>
        <v>lost money</v>
      </c>
    </row>
    <row r="4898" spans="1:10">
      <c r="A4898" s="1">
        <v>41036</v>
      </c>
      <c r="B4898">
        <v>41.43</v>
      </c>
      <c r="C4898">
        <v>42.4</v>
      </c>
      <c r="D4898">
        <v>41.37</v>
      </c>
      <c r="E4898">
        <v>41.78</v>
      </c>
      <c r="F4898">
        <v>25910100</v>
      </c>
      <c r="G4898">
        <v>39.75</v>
      </c>
      <c r="H4898" t="s">
        <v>9</v>
      </c>
      <c r="I4898" s="22">
        <f t="shared" si="153"/>
        <v>7.5500192336908523E-4</v>
      </c>
      <c r="J4898" s="22" t="str">
        <f t="shared" si="154"/>
        <v/>
      </c>
    </row>
    <row r="4899" spans="1:10">
      <c r="A4899" s="1">
        <v>41037</v>
      </c>
      <c r="B4899">
        <v>41.5</v>
      </c>
      <c r="C4899">
        <v>41.84</v>
      </c>
      <c r="D4899">
        <v>40.950000000000003</v>
      </c>
      <c r="E4899">
        <v>41.38</v>
      </c>
      <c r="F4899">
        <v>28049700</v>
      </c>
      <c r="G4899">
        <v>39.369999999999997</v>
      </c>
      <c r="H4899" t="s">
        <v>9</v>
      </c>
      <c r="I4899" s="22">
        <f t="shared" si="153"/>
        <v>-9.605736144694843E-3</v>
      </c>
      <c r="J4899" s="22" t="str">
        <f t="shared" si="154"/>
        <v>lost money</v>
      </c>
    </row>
    <row r="4900" spans="1:10">
      <c r="A4900" s="1">
        <v>41038</v>
      </c>
      <c r="B4900">
        <v>40.72</v>
      </c>
      <c r="C4900">
        <v>41.02</v>
      </c>
      <c r="D4900">
        <v>40.119999999999997</v>
      </c>
      <c r="E4900">
        <v>40.64</v>
      </c>
      <c r="F4900">
        <v>38769900</v>
      </c>
      <c r="G4900">
        <v>38.659999999999997</v>
      </c>
      <c r="H4900" t="s">
        <v>9</v>
      </c>
      <c r="I4900" s="22">
        <f t="shared" si="153"/>
        <v>-1.8198631175461367E-2</v>
      </c>
      <c r="J4900" s="22" t="str">
        <f t="shared" si="154"/>
        <v>lost money</v>
      </c>
    </row>
    <row r="4901" spans="1:10">
      <c r="A4901" s="1">
        <v>41039</v>
      </c>
      <c r="B4901">
        <v>41.23</v>
      </c>
      <c r="C4901">
        <v>41.4</v>
      </c>
      <c r="D4901">
        <v>40.54</v>
      </c>
      <c r="E4901">
        <v>40.74</v>
      </c>
      <c r="F4901">
        <v>35827100</v>
      </c>
      <c r="G4901">
        <v>38.76</v>
      </c>
      <c r="H4901" t="s">
        <v>9</v>
      </c>
      <c r="I4901" s="22">
        <f t="shared" si="153"/>
        <v>2.5833132423806037E-3</v>
      </c>
      <c r="J4901" s="22" t="str">
        <f t="shared" si="154"/>
        <v>lost money</v>
      </c>
    </row>
    <row r="4902" spans="1:10">
      <c r="A4902" s="1">
        <v>41040</v>
      </c>
      <c r="B4902">
        <v>37.14</v>
      </c>
      <c r="C4902">
        <v>37.99</v>
      </c>
      <c r="D4902">
        <v>36.619999999999997</v>
      </c>
      <c r="E4902">
        <v>36.96</v>
      </c>
      <c r="F4902">
        <v>217294200</v>
      </c>
      <c r="G4902">
        <v>35.159999999999997</v>
      </c>
      <c r="H4902" t="s">
        <v>9</v>
      </c>
      <c r="I4902" s="22">
        <f t="shared" si="153"/>
        <v>-9.7479714205589318E-2</v>
      </c>
      <c r="J4902" s="22" t="str">
        <f t="shared" si="154"/>
        <v>lost money</v>
      </c>
    </row>
    <row r="4903" spans="1:10">
      <c r="A4903" s="1">
        <v>41043</v>
      </c>
      <c r="B4903">
        <v>36.1</v>
      </c>
      <c r="C4903">
        <v>36.47</v>
      </c>
      <c r="D4903">
        <v>35.76</v>
      </c>
      <c r="E4903">
        <v>35.79</v>
      </c>
      <c r="F4903">
        <v>96488500</v>
      </c>
      <c r="G4903">
        <v>34.049999999999997</v>
      </c>
      <c r="H4903" t="s">
        <v>9</v>
      </c>
      <c r="I4903" s="22">
        <f t="shared" si="153"/>
        <v>-3.2079040221454844E-2</v>
      </c>
      <c r="J4903" s="22" t="str">
        <f t="shared" si="154"/>
        <v>lost money</v>
      </c>
    </row>
    <row r="4904" spans="1:10">
      <c r="A4904" s="1">
        <v>41044</v>
      </c>
      <c r="B4904">
        <v>36.19</v>
      </c>
      <c r="C4904">
        <v>37.270000000000003</v>
      </c>
      <c r="D4904">
        <v>36.119999999999997</v>
      </c>
      <c r="E4904">
        <v>36.24</v>
      </c>
      <c r="F4904">
        <v>89903700</v>
      </c>
      <c r="G4904">
        <v>34.479999999999997</v>
      </c>
      <c r="H4904" t="s">
        <v>9</v>
      </c>
      <c r="I4904" s="22">
        <f t="shared" si="153"/>
        <v>1.254941319997094E-2</v>
      </c>
      <c r="J4904" s="22" t="str">
        <f t="shared" si="154"/>
        <v/>
      </c>
    </row>
    <row r="4905" spans="1:10">
      <c r="A4905" s="1">
        <v>41045</v>
      </c>
      <c r="B4905">
        <v>36.79</v>
      </c>
      <c r="C4905">
        <v>36.979999999999997</v>
      </c>
      <c r="D4905">
        <v>35.46</v>
      </c>
      <c r="E4905">
        <v>35.46</v>
      </c>
      <c r="F4905">
        <v>68729600</v>
      </c>
      <c r="G4905">
        <v>33.74</v>
      </c>
      <c r="H4905" t="s">
        <v>9</v>
      </c>
      <c r="I4905" s="22">
        <f t="shared" si="153"/>
        <v>-2.1695368677669996E-2</v>
      </c>
      <c r="J4905" s="22" t="str">
        <f t="shared" si="154"/>
        <v>lost money</v>
      </c>
    </row>
    <row r="4906" spans="1:10">
      <c r="A4906" s="1">
        <v>41046</v>
      </c>
      <c r="B4906">
        <v>35.04</v>
      </c>
      <c r="C4906">
        <v>35.1</v>
      </c>
      <c r="D4906">
        <v>33.880000000000003</v>
      </c>
      <c r="E4906">
        <v>33.93</v>
      </c>
      <c r="F4906">
        <v>95429200</v>
      </c>
      <c r="G4906">
        <v>32.28</v>
      </c>
      <c r="H4906" t="s">
        <v>9</v>
      </c>
      <c r="I4906" s="22">
        <f t="shared" si="153"/>
        <v>-4.4236233716074262E-2</v>
      </c>
      <c r="J4906" s="22" t="str">
        <f t="shared" si="154"/>
        <v>lost money</v>
      </c>
    </row>
    <row r="4907" spans="1:10">
      <c r="A4907" s="1">
        <v>41047</v>
      </c>
      <c r="B4907">
        <v>33.99</v>
      </c>
      <c r="C4907">
        <v>33.99</v>
      </c>
      <c r="D4907">
        <v>32.97</v>
      </c>
      <c r="E4907">
        <v>33.49</v>
      </c>
      <c r="F4907">
        <v>82650100</v>
      </c>
      <c r="G4907">
        <v>31.86</v>
      </c>
      <c r="H4907" t="s">
        <v>9</v>
      </c>
      <c r="I4907" s="22">
        <f t="shared" si="153"/>
        <v>-1.309653891984568E-2</v>
      </c>
      <c r="J4907" s="22" t="str">
        <f t="shared" si="154"/>
        <v>lost money</v>
      </c>
    </row>
    <row r="4908" spans="1:10">
      <c r="A4908" s="1">
        <v>41050</v>
      </c>
      <c r="B4908">
        <v>33.520000000000003</v>
      </c>
      <c r="C4908">
        <v>33.71</v>
      </c>
      <c r="D4908">
        <v>32.26</v>
      </c>
      <c r="E4908">
        <v>32.51</v>
      </c>
      <c r="F4908">
        <v>99554800</v>
      </c>
      <c r="G4908">
        <v>30.93</v>
      </c>
      <c r="H4908" t="s">
        <v>9</v>
      </c>
      <c r="I4908" s="22">
        <f t="shared" si="153"/>
        <v>-2.962471778492419E-2</v>
      </c>
      <c r="J4908" s="22" t="str">
        <f t="shared" si="154"/>
        <v>lost money</v>
      </c>
    </row>
    <row r="4909" spans="1:10">
      <c r="A4909" s="1">
        <v>41051</v>
      </c>
      <c r="B4909">
        <v>33.32</v>
      </c>
      <c r="C4909">
        <v>34.58</v>
      </c>
      <c r="D4909">
        <v>32.99</v>
      </c>
      <c r="E4909">
        <v>34.01</v>
      </c>
      <c r="F4909">
        <v>84721000</v>
      </c>
      <c r="G4909">
        <v>32.36</v>
      </c>
      <c r="H4909" t="s">
        <v>9</v>
      </c>
      <c r="I4909" s="22">
        <f t="shared" si="153"/>
        <v>4.519650549331259E-2</v>
      </c>
      <c r="J4909" s="22" t="str">
        <f t="shared" si="154"/>
        <v/>
      </c>
    </row>
    <row r="4910" spans="1:10">
      <c r="A4910" s="1">
        <v>41052</v>
      </c>
      <c r="B4910">
        <v>33.619999999999997</v>
      </c>
      <c r="C4910">
        <v>34.42</v>
      </c>
      <c r="D4910">
        <v>33.21</v>
      </c>
      <c r="E4910">
        <v>34.26</v>
      </c>
      <c r="F4910">
        <v>52512900</v>
      </c>
      <c r="G4910">
        <v>32.590000000000003</v>
      </c>
      <c r="H4910" t="s">
        <v>9</v>
      </c>
      <c r="I4910" s="22">
        <f t="shared" si="153"/>
        <v>7.0824006591794532E-3</v>
      </c>
      <c r="J4910" s="22" t="str">
        <f t="shared" si="154"/>
        <v/>
      </c>
    </row>
    <row r="4911" spans="1:10">
      <c r="A4911" s="1">
        <v>41053</v>
      </c>
      <c r="B4911">
        <v>34.44</v>
      </c>
      <c r="C4911">
        <v>34.479999999999997</v>
      </c>
      <c r="D4911">
        <v>33.619999999999997</v>
      </c>
      <c r="E4911">
        <v>33.97</v>
      </c>
      <c r="F4911">
        <v>37843800</v>
      </c>
      <c r="G4911">
        <v>32.32</v>
      </c>
      <c r="H4911" t="s">
        <v>9</v>
      </c>
      <c r="I4911" s="22">
        <f t="shared" si="153"/>
        <v>-8.3192591965756176E-3</v>
      </c>
      <c r="J4911" s="22" t="str">
        <f t="shared" si="154"/>
        <v>lost money</v>
      </c>
    </row>
    <row r="4912" spans="1:10">
      <c r="A4912" s="1">
        <v>41054</v>
      </c>
      <c r="B4912">
        <v>34</v>
      </c>
      <c r="C4912">
        <v>34.130000000000003</v>
      </c>
      <c r="D4912">
        <v>33.29</v>
      </c>
      <c r="E4912">
        <v>33.5</v>
      </c>
      <c r="F4912">
        <v>28796400</v>
      </c>
      <c r="G4912">
        <v>31.87</v>
      </c>
      <c r="H4912" t="s">
        <v>9</v>
      </c>
      <c r="I4912" s="22">
        <f t="shared" si="153"/>
        <v>-1.402110522364957E-2</v>
      </c>
      <c r="J4912" s="22" t="str">
        <f t="shared" si="154"/>
        <v>lost money</v>
      </c>
    </row>
    <row r="4913" spans="1:10">
      <c r="A4913" s="1">
        <v>41058</v>
      </c>
      <c r="B4913">
        <v>33.979999999999997</v>
      </c>
      <c r="C4913">
        <v>34</v>
      </c>
      <c r="D4913">
        <v>33.36</v>
      </c>
      <c r="E4913">
        <v>33.630000000000003</v>
      </c>
      <c r="F4913">
        <v>35855200</v>
      </c>
      <c r="G4913">
        <v>31.99</v>
      </c>
      <c r="H4913" t="s">
        <v>9</v>
      </c>
      <c r="I4913" s="22">
        <f t="shared" si="153"/>
        <v>3.7582255321815406E-3</v>
      </c>
      <c r="J4913" s="22" t="str">
        <f t="shared" si="154"/>
        <v>lost money</v>
      </c>
    </row>
    <row r="4914" spans="1:10">
      <c r="A4914" s="1">
        <v>41059</v>
      </c>
      <c r="B4914">
        <v>33.299999999999997</v>
      </c>
      <c r="C4914">
        <v>33.44</v>
      </c>
      <c r="D4914">
        <v>32.950000000000003</v>
      </c>
      <c r="E4914">
        <v>32.96</v>
      </c>
      <c r="F4914">
        <v>34203600</v>
      </c>
      <c r="G4914">
        <v>31.36</v>
      </c>
      <c r="H4914" t="s">
        <v>9</v>
      </c>
      <c r="I4914" s="22">
        <f t="shared" si="153"/>
        <v>-1.9890158479219461E-2</v>
      </c>
      <c r="J4914" s="22" t="str">
        <f t="shared" si="154"/>
        <v>lost money</v>
      </c>
    </row>
    <row r="4915" spans="1:10">
      <c r="A4915" s="1">
        <v>41060</v>
      </c>
      <c r="B4915">
        <v>32.96</v>
      </c>
      <c r="C4915">
        <v>33.47</v>
      </c>
      <c r="D4915">
        <v>32.909999999999997</v>
      </c>
      <c r="E4915">
        <v>33.15</v>
      </c>
      <c r="F4915">
        <v>42124900</v>
      </c>
      <c r="G4915">
        <v>31.54</v>
      </c>
      <c r="H4915" t="s">
        <v>9</v>
      </c>
      <c r="I4915" s="22">
        <f t="shared" si="153"/>
        <v>5.7233860526852533E-3</v>
      </c>
      <c r="J4915" s="22" t="str">
        <f t="shared" si="154"/>
        <v/>
      </c>
    </row>
    <row r="4916" spans="1:10">
      <c r="A4916" s="1">
        <v>41061</v>
      </c>
      <c r="B4916">
        <v>32.409999999999997</v>
      </c>
      <c r="C4916">
        <v>32.65</v>
      </c>
      <c r="D4916">
        <v>31.77</v>
      </c>
      <c r="E4916">
        <v>31.93</v>
      </c>
      <c r="F4916">
        <v>50472200</v>
      </c>
      <c r="G4916">
        <v>30.38</v>
      </c>
      <c r="H4916" t="s">
        <v>9</v>
      </c>
      <c r="I4916" s="22">
        <f t="shared" si="153"/>
        <v>-3.7472084367265582E-2</v>
      </c>
      <c r="J4916" s="22" t="str">
        <f t="shared" si="154"/>
        <v>lost money</v>
      </c>
    </row>
    <row r="4917" spans="1:10">
      <c r="A4917" s="1">
        <v>41064</v>
      </c>
      <c r="B4917">
        <v>32.159999999999997</v>
      </c>
      <c r="C4917">
        <v>32.17</v>
      </c>
      <c r="D4917">
        <v>30.83</v>
      </c>
      <c r="E4917">
        <v>31</v>
      </c>
      <c r="F4917">
        <v>60492400</v>
      </c>
      <c r="G4917">
        <v>29.49</v>
      </c>
      <c r="H4917" t="s">
        <v>9</v>
      </c>
      <c r="I4917" s="22">
        <f t="shared" si="153"/>
        <v>-2.9733274340441963E-2</v>
      </c>
      <c r="J4917" s="22" t="str">
        <f t="shared" si="154"/>
        <v>lost money</v>
      </c>
    </row>
    <row r="4918" spans="1:10">
      <c r="A4918" s="1">
        <v>41065</v>
      </c>
      <c r="B4918">
        <v>30.89</v>
      </c>
      <c r="C4918">
        <v>32.130000000000003</v>
      </c>
      <c r="D4918">
        <v>30.86</v>
      </c>
      <c r="E4918">
        <v>31.99</v>
      </c>
      <c r="F4918">
        <v>46502800</v>
      </c>
      <c r="G4918">
        <v>30.43</v>
      </c>
      <c r="H4918" t="s">
        <v>9</v>
      </c>
      <c r="I4918" s="22">
        <f t="shared" si="153"/>
        <v>3.1377741081694797E-2</v>
      </c>
      <c r="J4918" s="22" t="str">
        <f t="shared" si="154"/>
        <v/>
      </c>
    </row>
    <row r="4919" spans="1:10">
      <c r="A4919" s="1">
        <v>41066</v>
      </c>
      <c r="B4919">
        <v>32.71</v>
      </c>
      <c r="C4919">
        <v>33.31</v>
      </c>
      <c r="D4919">
        <v>32.270000000000003</v>
      </c>
      <c r="E4919">
        <v>33.07</v>
      </c>
      <c r="F4919">
        <v>47980500</v>
      </c>
      <c r="G4919">
        <v>31.46</v>
      </c>
      <c r="H4919" t="s">
        <v>9</v>
      </c>
      <c r="I4919" s="22">
        <f t="shared" si="153"/>
        <v>3.3287933721252008E-2</v>
      </c>
      <c r="J4919" s="22" t="str">
        <f t="shared" si="154"/>
        <v/>
      </c>
    </row>
    <row r="4920" spans="1:10">
      <c r="A4920" s="1">
        <v>41067</v>
      </c>
      <c r="B4920">
        <v>33.770000000000003</v>
      </c>
      <c r="C4920">
        <v>33.83</v>
      </c>
      <c r="D4920">
        <v>32.799999999999997</v>
      </c>
      <c r="E4920">
        <v>32.81</v>
      </c>
      <c r="F4920">
        <v>53888800</v>
      </c>
      <c r="G4920">
        <v>31.21</v>
      </c>
      <c r="H4920" t="s">
        <v>9</v>
      </c>
      <c r="I4920" s="22">
        <f t="shared" si="153"/>
        <v>-7.9783413474436519E-3</v>
      </c>
      <c r="J4920" s="22" t="str">
        <f t="shared" si="154"/>
        <v>lost money</v>
      </c>
    </row>
    <row r="4921" spans="1:10">
      <c r="A4921" s="1">
        <v>41068</v>
      </c>
      <c r="B4921">
        <v>32.770000000000003</v>
      </c>
      <c r="C4921">
        <v>33.68</v>
      </c>
      <c r="D4921">
        <v>32.549999999999997</v>
      </c>
      <c r="E4921">
        <v>33.68</v>
      </c>
      <c r="F4921">
        <v>34238200</v>
      </c>
      <c r="G4921">
        <v>32.04</v>
      </c>
      <c r="H4921" t="s">
        <v>9</v>
      </c>
      <c r="I4921" s="22">
        <f t="shared" si="153"/>
        <v>2.624656591747045E-2</v>
      </c>
      <c r="J4921" s="22" t="str">
        <f t="shared" si="154"/>
        <v/>
      </c>
    </row>
    <row r="4922" spans="1:10">
      <c r="A4922" s="1">
        <v>41071</v>
      </c>
      <c r="B4922">
        <v>34.369999999999997</v>
      </c>
      <c r="C4922">
        <v>34.44</v>
      </c>
      <c r="D4922">
        <v>32.78</v>
      </c>
      <c r="E4922">
        <v>32.82</v>
      </c>
      <c r="F4922">
        <v>46404900</v>
      </c>
      <c r="G4922">
        <v>31.22</v>
      </c>
      <c r="H4922" t="s">
        <v>9</v>
      </c>
      <c r="I4922" s="22">
        <f t="shared" si="153"/>
        <v>-2.592620711287253E-2</v>
      </c>
      <c r="J4922" s="22" t="str">
        <f t="shared" si="154"/>
        <v>lost money</v>
      </c>
    </row>
    <row r="4923" spans="1:10">
      <c r="A4923" s="1">
        <v>41072</v>
      </c>
      <c r="B4923">
        <v>32.880000000000003</v>
      </c>
      <c r="C4923">
        <v>33.78</v>
      </c>
      <c r="D4923">
        <v>32.51</v>
      </c>
      <c r="E4923">
        <v>33.770000000000003</v>
      </c>
      <c r="F4923">
        <v>43334400</v>
      </c>
      <c r="G4923">
        <v>32.130000000000003</v>
      </c>
      <c r="H4923" t="s">
        <v>9</v>
      </c>
      <c r="I4923" s="22">
        <f t="shared" si="153"/>
        <v>2.8731258040481277E-2</v>
      </c>
      <c r="J4923" s="22" t="str">
        <f t="shared" si="154"/>
        <v/>
      </c>
    </row>
    <row r="4924" spans="1:10">
      <c r="A4924" s="1">
        <v>41073</v>
      </c>
      <c r="B4924">
        <v>33.69</v>
      </c>
      <c r="C4924">
        <v>35.07</v>
      </c>
      <c r="D4924">
        <v>33.630000000000003</v>
      </c>
      <c r="E4924">
        <v>34.299999999999997</v>
      </c>
      <c r="F4924">
        <v>98936900</v>
      </c>
      <c r="G4924">
        <v>32.630000000000003</v>
      </c>
      <c r="H4924" t="s">
        <v>9</v>
      </c>
      <c r="I4924" s="22">
        <f t="shared" si="153"/>
        <v>1.5441937477462182E-2</v>
      </c>
      <c r="J4924" s="22" t="str">
        <f t="shared" si="154"/>
        <v/>
      </c>
    </row>
    <row r="4925" spans="1:10">
      <c r="A4925" s="1">
        <v>41074</v>
      </c>
      <c r="B4925">
        <v>34.409999999999997</v>
      </c>
      <c r="C4925">
        <v>34.89</v>
      </c>
      <c r="D4925">
        <v>34.07</v>
      </c>
      <c r="E4925">
        <v>34.65</v>
      </c>
      <c r="F4925">
        <v>44428000</v>
      </c>
      <c r="G4925">
        <v>32.96</v>
      </c>
      <c r="H4925" t="s">
        <v>9</v>
      </c>
      <c r="I4925" s="22">
        <f t="shared" si="153"/>
        <v>1.0062594436041551E-2</v>
      </c>
      <c r="J4925" s="22" t="str">
        <f t="shared" si="154"/>
        <v/>
      </c>
    </row>
    <row r="4926" spans="1:10">
      <c r="A4926" s="1">
        <v>41075</v>
      </c>
      <c r="B4926">
        <v>34.89</v>
      </c>
      <c r="C4926">
        <v>35.07</v>
      </c>
      <c r="D4926">
        <v>34.409999999999997</v>
      </c>
      <c r="E4926">
        <v>35.03</v>
      </c>
      <c r="F4926">
        <v>40917100</v>
      </c>
      <c r="G4926">
        <v>33.33</v>
      </c>
      <c r="H4926" t="s">
        <v>9</v>
      </c>
      <c r="I4926" s="22">
        <f t="shared" si="153"/>
        <v>1.1163187278377186E-2</v>
      </c>
      <c r="J4926" s="22" t="str">
        <f t="shared" si="154"/>
        <v/>
      </c>
    </row>
    <row r="4927" spans="1:10">
      <c r="A4927" s="1">
        <v>41078</v>
      </c>
      <c r="B4927">
        <v>34.71</v>
      </c>
      <c r="C4927">
        <v>35.299999999999997</v>
      </c>
      <c r="D4927">
        <v>34.5</v>
      </c>
      <c r="E4927">
        <v>34.619999999999997</v>
      </c>
      <c r="F4927">
        <v>31084400</v>
      </c>
      <c r="G4927">
        <v>32.94</v>
      </c>
      <c r="H4927" t="s">
        <v>9</v>
      </c>
      <c r="I4927" s="22">
        <f t="shared" si="153"/>
        <v>-1.1770167570154125E-2</v>
      </c>
      <c r="J4927" s="22" t="str">
        <f t="shared" si="154"/>
        <v>lost money</v>
      </c>
    </row>
    <row r="4928" spans="1:10">
      <c r="A4928" s="1">
        <v>41079</v>
      </c>
      <c r="B4928">
        <v>34.99</v>
      </c>
      <c r="C4928">
        <v>35.630000000000003</v>
      </c>
      <c r="D4928">
        <v>34.729999999999997</v>
      </c>
      <c r="E4928">
        <v>35.380000000000003</v>
      </c>
      <c r="F4928">
        <v>32489000</v>
      </c>
      <c r="G4928">
        <v>33.659999999999997</v>
      </c>
      <c r="H4928" t="s">
        <v>9</v>
      </c>
      <c r="I4928" s="22">
        <f t="shared" si="153"/>
        <v>2.1622464013165709E-2</v>
      </c>
      <c r="J4928" s="22" t="str">
        <f t="shared" si="154"/>
        <v/>
      </c>
    </row>
    <row r="4929" spans="1:10">
      <c r="A4929" s="1">
        <v>41080</v>
      </c>
      <c r="B4929">
        <v>36.03</v>
      </c>
      <c r="C4929">
        <v>36.94</v>
      </c>
      <c r="D4929">
        <v>35.83</v>
      </c>
      <c r="E4929">
        <v>36.450000000000003</v>
      </c>
      <c r="F4929">
        <v>61149600</v>
      </c>
      <c r="G4929">
        <v>34.68</v>
      </c>
      <c r="H4929" t="s">
        <v>9</v>
      </c>
      <c r="I4929" s="22">
        <f t="shared" si="153"/>
        <v>2.9852963149681343E-2</v>
      </c>
      <c r="J4929" s="22" t="str">
        <f t="shared" si="154"/>
        <v/>
      </c>
    </row>
    <row r="4930" spans="1:10">
      <c r="A4930" s="1">
        <v>41081</v>
      </c>
      <c r="B4930">
        <v>36.49</v>
      </c>
      <c r="C4930">
        <v>37.03</v>
      </c>
      <c r="D4930">
        <v>35.43</v>
      </c>
      <c r="E4930">
        <v>35.51</v>
      </c>
      <c r="F4930">
        <v>95637000</v>
      </c>
      <c r="G4930">
        <v>33.78</v>
      </c>
      <c r="H4930" t="s">
        <v>9</v>
      </c>
      <c r="I4930" s="22">
        <f t="shared" si="153"/>
        <v>-2.629424053268704E-2</v>
      </c>
      <c r="J4930" s="22" t="str">
        <f t="shared" si="154"/>
        <v>lost money</v>
      </c>
    </row>
    <row r="4931" spans="1:10">
      <c r="A4931" s="1">
        <v>41082</v>
      </c>
      <c r="B4931">
        <v>36.020000000000003</v>
      </c>
      <c r="C4931">
        <v>36.49</v>
      </c>
      <c r="D4931">
        <v>35.96</v>
      </c>
      <c r="E4931">
        <v>35.99</v>
      </c>
      <c r="F4931">
        <v>44193500</v>
      </c>
      <c r="G4931">
        <v>34.24</v>
      </c>
      <c r="H4931" t="s">
        <v>9</v>
      </c>
      <c r="I4931" s="22">
        <f t="shared" ref="I4931:I4994" si="155">IF(A4931=$A$2,"",LN(G4931/G4930))</f>
        <v>1.3525639893887434E-2</v>
      </c>
      <c r="J4931" s="22" t="str">
        <f t="shared" ref="J4931:J4994" si="156">IF(B4931&gt;E4931,"lost money","")</f>
        <v>lost money</v>
      </c>
    </row>
    <row r="4932" spans="1:10">
      <c r="A4932" s="1">
        <v>41085</v>
      </c>
      <c r="B4932">
        <v>35.26</v>
      </c>
      <c r="C4932">
        <v>35.47</v>
      </c>
      <c r="D4932">
        <v>34.64</v>
      </c>
      <c r="E4932">
        <v>35.32</v>
      </c>
      <c r="F4932">
        <v>33115800</v>
      </c>
      <c r="G4932">
        <v>33.6</v>
      </c>
      <c r="H4932" t="s">
        <v>9</v>
      </c>
      <c r="I4932" s="22">
        <f t="shared" si="155"/>
        <v>-1.8868484304382805E-2</v>
      </c>
      <c r="J4932" s="22" t="str">
        <f t="shared" si="156"/>
        <v/>
      </c>
    </row>
    <row r="4933" spans="1:10">
      <c r="A4933" s="1">
        <v>41086</v>
      </c>
      <c r="B4933">
        <v>36.06</v>
      </c>
      <c r="C4933">
        <v>36.119999999999997</v>
      </c>
      <c r="D4933">
        <v>35.58</v>
      </c>
      <c r="E4933">
        <v>35.71</v>
      </c>
      <c r="F4933">
        <v>35053600</v>
      </c>
      <c r="G4933">
        <v>33.97</v>
      </c>
      <c r="H4933" t="s">
        <v>9</v>
      </c>
      <c r="I4933" s="22">
        <f t="shared" si="155"/>
        <v>1.0951715203333851E-2</v>
      </c>
      <c r="J4933" s="22" t="str">
        <f t="shared" si="156"/>
        <v>lost money</v>
      </c>
    </row>
    <row r="4934" spans="1:10">
      <c r="A4934" s="1">
        <v>41087</v>
      </c>
      <c r="B4934">
        <v>35.64</v>
      </c>
      <c r="C4934">
        <v>36.82</v>
      </c>
      <c r="D4934">
        <v>35.5</v>
      </c>
      <c r="E4934">
        <v>36.78</v>
      </c>
      <c r="F4934">
        <v>34156800</v>
      </c>
      <c r="G4934">
        <v>34.99</v>
      </c>
      <c r="H4934" t="s">
        <v>9</v>
      </c>
      <c r="I4934" s="22">
        <f t="shared" si="155"/>
        <v>2.9584524207104109E-2</v>
      </c>
      <c r="J4934" s="22" t="str">
        <f t="shared" si="156"/>
        <v/>
      </c>
    </row>
    <row r="4935" spans="1:10">
      <c r="A4935" s="1">
        <v>41088</v>
      </c>
      <c r="B4935">
        <v>35.32</v>
      </c>
      <c r="C4935">
        <v>35.93</v>
      </c>
      <c r="D4935">
        <v>34.85</v>
      </c>
      <c r="E4935">
        <v>35.880000000000003</v>
      </c>
      <c r="F4935">
        <v>69904800</v>
      </c>
      <c r="G4935">
        <v>34.130000000000003</v>
      </c>
      <c r="H4935" t="s">
        <v>9</v>
      </c>
      <c r="I4935" s="22">
        <f t="shared" si="155"/>
        <v>-2.4885543460980968E-2</v>
      </c>
      <c r="J4935" s="22" t="str">
        <f t="shared" si="156"/>
        <v/>
      </c>
    </row>
    <row r="4936" spans="1:10">
      <c r="A4936" s="1">
        <v>41089</v>
      </c>
      <c r="B4936">
        <v>36.700000000000003</v>
      </c>
      <c r="C4936">
        <v>36.799999999999997</v>
      </c>
      <c r="D4936">
        <v>35.25</v>
      </c>
      <c r="E4936">
        <v>35.729999999999997</v>
      </c>
      <c r="F4936">
        <v>56063200</v>
      </c>
      <c r="G4936">
        <v>33.99</v>
      </c>
      <c r="H4936" t="s">
        <v>9</v>
      </c>
      <c r="I4936" s="22">
        <f t="shared" si="155"/>
        <v>-4.1103992105910141E-3</v>
      </c>
      <c r="J4936" s="22" t="str">
        <f t="shared" si="156"/>
        <v>lost money</v>
      </c>
    </row>
    <row r="4937" spans="1:10">
      <c r="A4937" s="1">
        <v>41092</v>
      </c>
      <c r="B4937">
        <v>36.270000000000003</v>
      </c>
      <c r="C4937">
        <v>36.36</v>
      </c>
      <c r="D4937">
        <v>35.590000000000003</v>
      </c>
      <c r="E4937">
        <v>36.28</v>
      </c>
      <c r="F4937">
        <v>34274900</v>
      </c>
      <c r="G4937">
        <v>34.520000000000003</v>
      </c>
      <c r="H4937" t="s">
        <v>9</v>
      </c>
      <c r="I4937" s="22">
        <f t="shared" si="155"/>
        <v>1.5472502507202486E-2</v>
      </c>
      <c r="J4937" s="22" t="str">
        <f t="shared" si="156"/>
        <v/>
      </c>
    </row>
    <row r="4938" spans="1:10">
      <c r="A4938" s="1">
        <v>41093</v>
      </c>
      <c r="B4938">
        <v>35.96</v>
      </c>
      <c r="C4938">
        <v>36.14</v>
      </c>
      <c r="D4938">
        <v>35.54</v>
      </c>
      <c r="E4938">
        <v>35.880000000000003</v>
      </c>
      <c r="F4938">
        <v>26705900</v>
      </c>
      <c r="G4938">
        <v>34.42</v>
      </c>
      <c r="H4938" t="s">
        <v>9</v>
      </c>
      <c r="I4938" s="22">
        <f t="shared" si="155"/>
        <v>-2.901075431833875E-3</v>
      </c>
      <c r="J4938" s="22" t="str">
        <f t="shared" si="156"/>
        <v>lost money</v>
      </c>
    </row>
    <row r="4939" spans="1:10">
      <c r="A4939" s="1">
        <v>41095</v>
      </c>
      <c r="B4939">
        <v>35.61</v>
      </c>
      <c r="C4939">
        <v>35.659999999999997</v>
      </c>
      <c r="D4939">
        <v>34.22</v>
      </c>
      <c r="E4939">
        <v>34.380000000000003</v>
      </c>
      <c r="F4939">
        <v>58519800</v>
      </c>
      <c r="G4939">
        <v>32.979999999999997</v>
      </c>
      <c r="H4939" t="s">
        <v>9</v>
      </c>
      <c r="I4939" s="22">
        <f t="shared" si="155"/>
        <v>-4.2736473651940679E-2</v>
      </c>
      <c r="J4939" s="22" t="str">
        <f t="shared" si="156"/>
        <v>lost money</v>
      </c>
    </row>
    <row r="4940" spans="1:10">
      <c r="A4940" s="1">
        <v>41096</v>
      </c>
      <c r="B4940">
        <v>33.92</v>
      </c>
      <c r="C4940">
        <v>34.119999999999997</v>
      </c>
      <c r="D4940">
        <v>33.729999999999997</v>
      </c>
      <c r="E4940">
        <v>33.9</v>
      </c>
      <c r="F4940">
        <v>32057200</v>
      </c>
      <c r="G4940">
        <v>32.520000000000003</v>
      </c>
      <c r="H4940" t="s">
        <v>9</v>
      </c>
      <c r="I4940" s="22">
        <f t="shared" si="155"/>
        <v>-1.4046032451842839E-2</v>
      </c>
      <c r="J4940" s="22" t="str">
        <f t="shared" si="156"/>
        <v>lost money</v>
      </c>
    </row>
    <row r="4941" spans="1:10">
      <c r="A4941" s="1">
        <v>41099</v>
      </c>
      <c r="B4941">
        <v>33.81</v>
      </c>
      <c r="C4941">
        <v>34.119999999999997</v>
      </c>
      <c r="D4941">
        <v>33.54</v>
      </c>
      <c r="E4941">
        <v>33.96</v>
      </c>
      <c r="F4941">
        <v>30545000</v>
      </c>
      <c r="G4941">
        <v>32.58</v>
      </c>
      <c r="H4941" t="s">
        <v>9</v>
      </c>
      <c r="I4941" s="22">
        <f t="shared" si="155"/>
        <v>1.843318494289093E-3</v>
      </c>
      <c r="J4941" s="22" t="str">
        <f t="shared" si="156"/>
        <v/>
      </c>
    </row>
    <row r="4942" spans="1:10">
      <c r="A4942" s="1">
        <v>41100</v>
      </c>
      <c r="B4942">
        <v>34.22</v>
      </c>
      <c r="C4942">
        <v>34.450000000000003</v>
      </c>
      <c r="D4942">
        <v>33.81</v>
      </c>
      <c r="E4942">
        <v>34.25</v>
      </c>
      <c r="F4942">
        <v>33175500</v>
      </c>
      <c r="G4942">
        <v>32.86</v>
      </c>
      <c r="H4942" t="s">
        <v>9</v>
      </c>
      <c r="I4942" s="22">
        <f t="shared" si="155"/>
        <v>8.5575094352229285E-3</v>
      </c>
      <c r="J4942" s="22" t="str">
        <f t="shared" si="156"/>
        <v/>
      </c>
    </row>
    <row r="4943" spans="1:10">
      <c r="A4943" s="1">
        <v>41101</v>
      </c>
      <c r="B4943">
        <v>34.21</v>
      </c>
      <c r="C4943">
        <v>34.799999999999997</v>
      </c>
      <c r="D4943">
        <v>34.119999999999997</v>
      </c>
      <c r="E4943">
        <v>34.590000000000003</v>
      </c>
      <c r="F4943">
        <v>35144300</v>
      </c>
      <c r="G4943">
        <v>33.18</v>
      </c>
      <c r="H4943" t="s">
        <v>9</v>
      </c>
      <c r="I4943" s="22">
        <f t="shared" si="155"/>
        <v>9.6911721531763723E-3</v>
      </c>
      <c r="J4943" s="22" t="str">
        <f t="shared" si="156"/>
        <v/>
      </c>
    </row>
    <row r="4944" spans="1:10">
      <c r="A4944" s="1">
        <v>41102</v>
      </c>
      <c r="B4944">
        <v>34.33</v>
      </c>
      <c r="C4944">
        <v>34.57</v>
      </c>
      <c r="D4944">
        <v>33.94</v>
      </c>
      <c r="E4944">
        <v>34.04</v>
      </c>
      <c r="F4944">
        <v>39301500</v>
      </c>
      <c r="G4944">
        <v>32.65</v>
      </c>
      <c r="H4944" t="s">
        <v>9</v>
      </c>
      <c r="I4944" s="22">
        <f t="shared" si="155"/>
        <v>-1.6102429039858358E-2</v>
      </c>
      <c r="J4944" s="22" t="str">
        <f t="shared" si="156"/>
        <v>lost money</v>
      </c>
    </row>
    <row r="4945" spans="1:10">
      <c r="A4945" s="1">
        <v>41103</v>
      </c>
      <c r="B4945">
        <v>35.06</v>
      </c>
      <c r="C4945">
        <v>36.200000000000003</v>
      </c>
      <c r="D4945">
        <v>34.86</v>
      </c>
      <c r="E4945">
        <v>36.07</v>
      </c>
      <c r="F4945">
        <v>83001000</v>
      </c>
      <c r="G4945">
        <v>34.6</v>
      </c>
      <c r="H4945" t="s">
        <v>9</v>
      </c>
      <c r="I4945" s="22">
        <f t="shared" si="155"/>
        <v>5.8008826341238683E-2</v>
      </c>
      <c r="J4945" s="22" t="str">
        <f t="shared" si="156"/>
        <v/>
      </c>
    </row>
    <row r="4946" spans="1:10">
      <c r="A4946" s="1">
        <v>41106</v>
      </c>
      <c r="B4946">
        <v>35.76</v>
      </c>
      <c r="C4946">
        <v>35.85</v>
      </c>
      <c r="D4946">
        <v>34.729999999999997</v>
      </c>
      <c r="E4946">
        <v>35.090000000000003</v>
      </c>
      <c r="F4946">
        <v>52368300</v>
      </c>
      <c r="G4946">
        <v>33.659999999999997</v>
      </c>
      <c r="H4946" t="s">
        <v>9</v>
      </c>
      <c r="I4946" s="22">
        <f t="shared" si="155"/>
        <v>-2.7543493301018809E-2</v>
      </c>
      <c r="J4946" s="22" t="str">
        <f t="shared" si="156"/>
        <v>lost money</v>
      </c>
    </row>
    <row r="4947" spans="1:10">
      <c r="A4947" s="1">
        <v>41107</v>
      </c>
      <c r="B4947">
        <v>35.44</v>
      </c>
      <c r="C4947">
        <v>35.479999999999997</v>
      </c>
      <c r="D4947">
        <v>34.270000000000003</v>
      </c>
      <c r="E4947">
        <v>34.99</v>
      </c>
      <c r="F4947">
        <v>43998300</v>
      </c>
      <c r="G4947">
        <v>33.57</v>
      </c>
      <c r="H4947" t="s">
        <v>9</v>
      </c>
      <c r="I4947" s="22">
        <f t="shared" si="155"/>
        <v>-2.6773777707162919E-3</v>
      </c>
      <c r="J4947" s="22" t="str">
        <f t="shared" si="156"/>
        <v>lost money</v>
      </c>
    </row>
    <row r="4948" spans="1:10">
      <c r="A4948" s="1">
        <v>41108</v>
      </c>
      <c r="B4948">
        <v>34.75</v>
      </c>
      <c r="C4948">
        <v>35.229999999999997</v>
      </c>
      <c r="D4948">
        <v>34.65</v>
      </c>
      <c r="E4948">
        <v>34.96</v>
      </c>
      <c r="F4948">
        <v>28944900</v>
      </c>
      <c r="G4948">
        <v>33.54</v>
      </c>
      <c r="H4948" t="s">
        <v>9</v>
      </c>
      <c r="I4948" s="22">
        <f t="shared" si="155"/>
        <v>-8.9405459688080143E-4</v>
      </c>
      <c r="J4948" s="22" t="str">
        <f t="shared" si="156"/>
        <v/>
      </c>
    </row>
    <row r="4949" spans="1:10">
      <c r="A4949" s="1">
        <v>41109</v>
      </c>
      <c r="B4949">
        <v>35.020000000000003</v>
      </c>
      <c r="C4949">
        <v>35.17</v>
      </c>
      <c r="D4949">
        <v>34.31</v>
      </c>
      <c r="E4949">
        <v>34.46</v>
      </c>
      <c r="F4949">
        <v>34384700</v>
      </c>
      <c r="G4949">
        <v>33.06</v>
      </c>
      <c r="H4949" t="s">
        <v>9</v>
      </c>
      <c r="I4949" s="22">
        <f t="shared" si="155"/>
        <v>-1.4414664002184541E-2</v>
      </c>
      <c r="J4949" s="22" t="str">
        <f t="shared" si="156"/>
        <v>lost money</v>
      </c>
    </row>
    <row r="4950" spans="1:10">
      <c r="A4950" s="1">
        <v>41110</v>
      </c>
      <c r="B4950">
        <v>34.049999999999997</v>
      </c>
      <c r="C4950">
        <v>34.130000000000003</v>
      </c>
      <c r="D4950">
        <v>33.9</v>
      </c>
      <c r="E4950">
        <v>33.9</v>
      </c>
      <c r="F4950">
        <v>36301200</v>
      </c>
      <c r="G4950">
        <v>32.520000000000003</v>
      </c>
      <c r="H4950" t="s">
        <v>9</v>
      </c>
      <c r="I4950" s="22">
        <f t="shared" si="155"/>
        <v>-1.6468807713268252E-2</v>
      </c>
      <c r="J4950" s="22" t="str">
        <f t="shared" si="156"/>
        <v>lost money</v>
      </c>
    </row>
    <row r="4951" spans="1:10">
      <c r="A4951" s="1">
        <v>41113</v>
      </c>
      <c r="B4951">
        <v>33.24</v>
      </c>
      <c r="C4951">
        <v>34.5</v>
      </c>
      <c r="D4951">
        <v>33.1</v>
      </c>
      <c r="E4951">
        <v>34.44</v>
      </c>
      <c r="F4951">
        <v>41248300</v>
      </c>
      <c r="G4951">
        <v>33.04</v>
      </c>
      <c r="H4951" t="s">
        <v>9</v>
      </c>
      <c r="I4951" s="22">
        <f t="shared" si="155"/>
        <v>1.5863663973167262E-2</v>
      </c>
      <c r="J4951" s="22" t="str">
        <f t="shared" si="156"/>
        <v/>
      </c>
    </row>
    <row r="4952" spans="1:10">
      <c r="A4952" s="1">
        <v>41114</v>
      </c>
      <c r="B4952">
        <v>34.58</v>
      </c>
      <c r="C4952">
        <v>34.89</v>
      </c>
      <c r="D4952">
        <v>34.22</v>
      </c>
      <c r="E4952">
        <v>34.729999999999997</v>
      </c>
      <c r="F4952">
        <v>29920400</v>
      </c>
      <c r="G4952">
        <v>33.32</v>
      </c>
      <c r="H4952" t="s">
        <v>9</v>
      </c>
      <c r="I4952" s="22">
        <f t="shared" si="155"/>
        <v>8.4388686458646035E-3</v>
      </c>
      <c r="J4952" s="22" t="str">
        <f t="shared" si="156"/>
        <v/>
      </c>
    </row>
    <row r="4953" spans="1:10">
      <c r="A4953" s="1">
        <v>41115</v>
      </c>
      <c r="B4953">
        <v>34.979999999999997</v>
      </c>
      <c r="C4953">
        <v>35.450000000000003</v>
      </c>
      <c r="D4953">
        <v>34.79</v>
      </c>
      <c r="E4953">
        <v>35.17</v>
      </c>
      <c r="F4953">
        <v>32127700</v>
      </c>
      <c r="G4953">
        <v>33.74</v>
      </c>
      <c r="H4953" t="s">
        <v>9</v>
      </c>
      <c r="I4953" s="22">
        <f t="shared" si="155"/>
        <v>1.2526259819180256E-2</v>
      </c>
      <c r="J4953" s="22" t="str">
        <f t="shared" si="156"/>
        <v/>
      </c>
    </row>
    <row r="4954" spans="1:10">
      <c r="A4954" s="1">
        <v>41116</v>
      </c>
      <c r="B4954">
        <v>35.78</v>
      </c>
      <c r="C4954">
        <v>35.94</v>
      </c>
      <c r="D4954">
        <v>35.340000000000003</v>
      </c>
      <c r="E4954">
        <v>35.81</v>
      </c>
      <c r="F4954">
        <v>28900500</v>
      </c>
      <c r="G4954">
        <v>34.35</v>
      </c>
      <c r="H4954" t="s">
        <v>9</v>
      </c>
      <c r="I4954" s="22">
        <f t="shared" si="155"/>
        <v>1.791794155053604E-2</v>
      </c>
      <c r="J4954" s="22" t="str">
        <f t="shared" si="156"/>
        <v/>
      </c>
    </row>
    <row r="4955" spans="1:10">
      <c r="A4955" s="1">
        <v>41117</v>
      </c>
      <c r="B4955">
        <v>36.01</v>
      </c>
      <c r="C4955">
        <v>37.200000000000003</v>
      </c>
      <c r="D4955">
        <v>35.51</v>
      </c>
      <c r="E4955">
        <v>36.89</v>
      </c>
      <c r="F4955">
        <v>63636200</v>
      </c>
      <c r="G4955">
        <v>35.39</v>
      </c>
      <c r="H4955" t="s">
        <v>9</v>
      </c>
      <c r="I4955" s="22">
        <f t="shared" si="155"/>
        <v>2.9827275689013534E-2</v>
      </c>
      <c r="J4955" s="22" t="str">
        <f t="shared" si="156"/>
        <v/>
      </c>
    </row>
    <row r="4956" spans="1:10">
      <c r="A4956" s="1">
        <v>41120</v>
      </c>
      <c r="B4956">
        <v>36.5</v>
      </c>
      <c r="C4956">
        <v>36.520000000000003</v>
      </c>
      <c r="D4956">
        <v>35.94</v>
      </c>
      <c r="E4956">
        <v>36.14</v>
      </c>
      <c r="F4956">
        <v>30698200</v>
      </c>
      <c r="G4956">
        <v>34.67</v>
      </c>
      <c r="H4956" t="s">
        <v>9</v>
      </c>
      <c r="I4956" s="22">
        <f t="shared" si="155"/>
        <v>-2.0554534660439921E-2</v>
      </c>
      <c r="J4956" s="22" t="str">
        <f t="shared" si="156"/>
        <v>lost money</v>
      </c>
    </row>
    <row r="4957" spans="1:10">
      <c r="A4957" s="1">
        <v>41121</v>
      </c>
      <c r="B4957">
        <v>36.11</v>
      </c>
      <c r="C4957">
        <v>36.33</v>
      </c>
      <c r="D4957">
        <v>35.909999999999997</v>
      </c>
      <c r="E4957">
        <v>36</v>
      </c>
      <c r="F4957">
        <v>19681600</v>
      </c>
      <c r="G4957">
        <v>34.53</v>
      </c>
      <c r="H4957" t="s">
        <v>9</v>
      </c>
      <c r="I4957" s="22">
        <f t="shared" si="155"/>
        <v>-4.046248295031073E-3</v>
      </c>
      <c r="J4957" s="22" t="str">
        <f t="shared" si="156"/>
        <v>lost money</v>
      </c>
    </row>
    <row r="4958" spans="1:10">
      <c r="A4958" s="1">
        <v>41122</v>
      </c>
      <c r="B4958">
        <v>36.19</v>
      </c>
      <c r="C4958">
        <v>36.4</v>
      </c>
      <c r="D4958">
        <v>35.82</v>
      </c>
      <c r="E4958">
        <v>36</v>
      </c>
      <c r="F4958">
        <v>22180200</v>
      </c>
      <c r="G4958">
        <v>34.53</v>
      </c>
      <c r="H4958" t="s">
        <v>9</v>
      </c>
      <c r="I4958" s="22">
        <f t="shared" si="155"/>
        <v>0</v>
      </c>
      <c r="J4958" s="22" t="str">
        <f t="shared" si="156"/>
        <v>lost money</v>
      </c>
    </row>
    <row r="4959" spans="1:10">
      <c r="A4959" s="1">
        <v>41123</v>
      </c>
      <c r="B4959">
        <v>35.619999999999997</v>
      </c>
      <c r="C4959">
        <v>35.840000000000003</v>
      </c>
      <c r="D4959">
        <v>34.76</v>
      </c>
      <c r="E4959">
        <v>35.17</v>
      </c>
      <c r="F4959">
        <v>36675000</v>
      </c>
      <c r="G4959">
        <v>33.74</v>
      </c>
      <c r="H4959" t="s">
        <v>9</v>
      </c>
      <c r="I4959" s="22">
        <f t="shared" si="155"/>
        <v>-2.3144434284078693E-2</v>
      </c>
      <c r="J4959" s="22" t="str">
        <f t="shared" si="156"/>
        <v>lost money</v>
      </c>
    </row>
    <row r="4960" spans="1:10">
      <c r="A4960" s="1">
        <v>41124</v>
      </c>
      <c r="B4960">
        <v>35.82</v>
      </c>
      <c r="C4960">
        <v>36.29</v>
      </c>
      <c r="D4960">
        <v>35.5</v>
      </c>
      <c r="E4960">
        <v>36.090000000000003</v>
      </c>
      <c r="F4960">
        <v>24516300</v>
      </c>
      <c r="G4960">
        <v>34.619999999999997</v>
      </c>
      <c r="H4960" t="s">
        <v>9</v>
      </c>
      <c r="I4960" s="22">
        <f t="shared" si="155"/>
        <v>2.5747472630240863E-2</v>
      </c>
      <c r="J4960" s="22" t="str">
        <f t="shared" si="156"/>
        <v/>
      </c>
    </row>
    <row r="4961" spans="1:10">
      <c r="A4961" s="1">
        <v>41127</v>
      </c>
      <c r="B4961">
        <v>36.24</v>
      </c>
      <c r="C4961">
        <v>36.799999999999997</v>
      </c>
      <c r="D4961">
        <v>36.11</v>
      </c>
      <c r="E4961">
        <v>36.299999999999997</v>
      </c>
      <c r="F4961">
        <v>18979200</v>
      </c>
      <c r="G4961">
        <v>34.82</v>
      </c>
      <c r="H4961" t="s">
        <v>9</v>
      </c>
      <c r="I4961" s="22">
        <f t="shared" si="155"/>
        <v>5.7603845919798145E-3</v>
      </c>
      <c r="J4961" s="22" t="str">
        <f t="shared" si="156"/>
        <v/>
      </c>
    </row>
    <row r="4962" spans="1:10">
      <c r="A4962" s="1">
        <v>41128</v>
      </c>
      <c r="B4962">
        <v>36.57</v>
      </c>
      <c r="C4962">
        <v>37.869999999999997</v>
      </c>
      <c r="D4962">
        <v>36.57</v>
      </c>
      <c r="E4962">
        <v>37.01</v>
      </c>
      <c r="F4962">
        <v>37225800</v>
      </c>
      <c r="G4962">
        <v>35.5</v>
      </c>
      <c r="H4962" t="s">
        <v>9</v>
      </c>
      <c r="I4962" s="22">
        <f t="shared" si="155"/>
        <v>1.9340762141327069E-2</v>
      </c>
      <c r="J4962" s="22" t="str">
        <f t="shared" si="156"/>
        <v/>
      </c>
    </row>
    <row r="4963" spans="1:10">
      <c r="A4963" s="1">
        <v>41129</v>
      </c>
      <c r="B4963">
        <v>36.85</v>
      </c>
      <c r="C4963">
        <v>37.479999999999997</v>
      </c>
      <c r="D4963">
        <v>36.75</v>
      </c>
      <c r="E4963">
        <v>37.159999999999997</v>
      </c>
      <c r="F4963">
        <v>18672400</v>
      </c>
      <c r="G4963">
        <v>35.65</v>
      </c>
      <c r="H4963" t="s">
        <v>9</v>
      </c>
      <c r="I4963" s="22">
        <f t="shared" si="155"/>
        <v>4.2164503789348254E-3</v>
      </c>
      <c r="J4963" s="22" t="str">
        <f t="shared" si="156"/>
        <v/>
      </c>
    </row>
    <row r="4964" spans="1:10">
      <c r="A4964" s="1">
        <v>41130</v>
      </c>
      <c r="B4964">
        <v>36.72</v>
      </c>
      <c r="C4964">
        <v>37.26</v>
      </c>
      <c r="D4964">
        <v>36.590000000000003</v>
      </c>
      <c r="E4964">
        <v>36.92</v>
      </c>
      <c r="F4964">
        <v>23406700</v>
      </c>
      <c r="G4964">
        <v>35.42</v>
      </c>
      <c r="H4964" t="s">
        <v>9</v>
      </c>
      <c r="I4964" s="22">
        <f t="shared" si="155"/>
        <v>-6.4725145056173669E-3</v>
      </c>
      <c r="J4964" s="22" t="str">
        <f t="shared" si="156"/>
        <v/>
      </c>
    </row>
    <row r="4965" spans="1:10">
      <c r="A4965" s="1">
        <v>41131</v>
      </c>
      <c r="B4965">
        <v>36.76</v>
      </c>
      <c r="C4965">
        <v>37</v>
      </c>
      <c r="D4965">
        <v>36.4</v>
      </c>
      <c r="E4965">
        <v>36.97</v>
      </c>
      <c r="F4965">
        <v>15492700</v>
      </c>
      <c r="G4965">
        <v>35.46</v>
      </c>
      <c r="H4965" t="s">
        <v>9</v>
      </c>
      <c r="I4965" s="22">
        <f t="shared" si="155"/>
        <v>1.1286682913743114E-3</v>
      </c>
      <c r="J4965" s="22" t="str">
        <f t="shared" si="156"/>
        <v/>
      </c>
    </row>
    <row r="4966" spans="1:10">
      <c r="A4966" s="1">
        <v>41134</v>
      </c>
      <c r="B4966">
        <v>36.869999999999997</v>
      </c>
      <c r="C4966">
        <v>37.090000000000003</v>
      </c>
      <c r="D4966">
        <v>36.65</v>
      </c>
      <c r="E4966">
        <v>36.99</v>
      </c>
      <c r="F4966">
        <v>14453500</v>
      </c>
      <c r="G4966">
        <v>35.479999999999997</v>
      </c>
      <c r="H4966" t="s">
        <v>9</v>
      </c>
      <c r="I4966" s="22">
        <f t="shared" si="155"/>
        <v>5.6385679531675164E-4</v>
      </c>
      <c r="J4966" s="22" t="str">
        <f t="shared" si="156"/>
        <v/>
      </c>
    </row>
    <row r="4967" spans="1:10">
      <c r="A4967" s="1">
        <v>41135</v>
      </c>
      <c r="B4967">
        <v>37.42</v>
      </c>
      <c r="C4967">
        <v>37.64</v>
      </c>
      <c r="D4967">
        <v>36.979999999999997</v>
      </c>
      <c r="E4967">
        <v>37.1</v>
      </c>
      <c r="F4967">
        <v>18065100</v>
      </c>
      <c r="G4967">
        <v>35.590000000000003</v>
      </c>
      <c r="H4967" t="s">
        <v>9</v>
      </c>
      <c r="I4967" s="22">
        <f t="shared" si="155"/>
        <v>3.0955420807227125E-3</v>
      </c>
      <c r="J4967" s="22" t="str">
        <f t="shared" si="156"/>
        <v>lost money</v>
      </c>
    </row>
    <row r="4968" spans="1:10">
      <c r="A4968" s="1">
        <v>41136</v>
      </c>
      <c r="B4968">
        <v>37.07</v>
      </c>
      <c r="C4968">
        <v>37.409999999999997</v>
      </c>
      <c r="D4968">
        <v>36.950000000000003</v>
      </c>
      <c r="E4968">
        <v>37.07</v>
      </c>
      <c r="F4968">
        <v>17521300</v>
      </c>
      <c r="G4968">
        <v>35.56</v>
      </c>
      <c r="H4968" t="s">
        <v>9</v>
      </c>
      <c r="I4968" s="22">
        <f t="shared" si="155"/>
        <v>-8.4328887639753547E-4</v>
      </c>
      <c r="J4968" s="22" t="str">
        <f t="shared" si="156"/>
        <v/>
      </c>
    </row>
    <row r="4969" spans="1:10">
      <c r="A4969" s="1">
        <v>41137</v>
      </c>
      <c r="B4969">
        <v>37.18</v>
      </c>
      <c r="C4969">
        <v>37.35</v>
      </c>
      <c r="D4969">
        <v>36.799999999999997</v>
      </c>
      <c r="E4969">
        <v>37.1</v>
      </c>
      <c r="F4969">
        <v>15894100</v>
      </c>
      <c r="G4969">
        <v>35.590000000000003</v>
      </c>
      <c r="H4969" t="s">
        <v>9</v>
      </c>
      <c r="I4969" s="22">
        <f t="shared" si="155"/>
        <v>8.432888763975088E-4</v>
      </c>
      <c r="J4969" s="22" t="str">
        <f t="shared" si="156"/>
        <v>lost money</v>
      </c>
    </row>
    <row r="4970" spans="1:10">
      <c r="A4970" s="1">
        <v>41138</v>
      </c>
      <c r="B4970">
        <v>37.200000000000003</v>
      </c>
      <c r="C4970">
        <v>37.200000000000003</v>
      </c>
      <c r="D4970">
        <v>36.799999999999997</v>
      </c>
      <c r="E4970">
        <v>36.979999999999997</v>
      </c>
      <c r="F4970">
        <v>17079800</v>
      </c>
      <c r="G4970">
        <v>35.47</v>
      </c>
      <c r="H4970" t="s">
        <v>9</v>
      </c>
      <c r="I4970" s="22">
        <f t="shared" si="155"/>
        <v>-3.3774307365709616E-3</v>
      </c>
      <c r="J4970" s="22" t="str">
        <f t="shared" si="156"/>
        <v>lost money</v>
      </c>
    </row>
    <row r="4971" spans="1:10">
      <c r="A4971" s="1">
        <v>41141</v>
      </c>
      <c r="B4971">
        <v>36.92</v>
      </c>
      <c r="C4971">
        <v>37.5</v>
      </c>
      <c r="D4971">
        <v>36.799999999999997</v>
      </c>
      <c r="E4971">
        <v>37.369999999999997</v>
      </c>
      <c r="F4971">
        <v>17922100</v>
      </c>
      <c r="G4971">
        <v>35.85</v>
      </c>
      <c r="H4971" t="s">
        <v>9</v>
      </c>
      <c r="I4971" s="22">
        <f t="shared" si="155"/>
        <v>1.0656298260098991E-2</v>
      </c>
      <c r="J4971" s="22" t="str">
        <f t="shared" si="156"/>
        <v/>
      </c>
    </row>
    <row r="4972" spans="1:10">
      <c r="A4972" s="1">
        <v>41142</v>
      </c>
      <c r="B4972">
        <v>37.630000000000003</v>
      </c>
      <c r="C4972">
        <v>38.86</v>
      </c>
      <c r="D4972">
        <v>37.56</v>
      </c>
      <c r="E4972">
        <v>38.04</v>
      </c>
      <c r="F4972">
        <v>36880600</v>
      </c>
      <c r="G4972">
        <v>36.49</v>
      </c>
      <c r="H4972" t="s">
        <v>9</v>
      </c>
      <c r="I4972" s="22">
        <f t="shared" si="155"/>
        <v>1.7694683402726823E-2</v>
      </c>
      <c r="J4972" s="22" t="str">
        <f t="shared" si="156"/>
        <v/>
      </c>
    </row>
    <row r="4973" spans="1:10">
      <c r="A4973" s="1">
        <v>41143</v>
      </c>
      <c r="B4973">
        <v>37.880000000000003</v>
      </c>
      <c r="C4973">
        <v>38.18</v>
      </c>
      <c r="D4973">
        <v>37.56</v>
      </c>
      <c r="E4973">
        <v>37.83</v>
      </c>
      <c r="F4973">
        <v>16899400</v>
      </c>
      <c r="G4973">
        <v>36.29</v>
      </c>
      <c r="H4973" t="s">
        <v>9</v>
      </c>
      <c r="I4973" s="22">
        <f t="shared" si="155"/>
        <v>-5.4960292233774376E-3</v>
      </c>
      <c r="J4973" s="22" t="str">
        <f t="shared" si="156"/>
        <v>lost money</v>
      </c>
    </row>
    <row r="4974" spans="1:10">
      <c r="A4974" s="1">
        <v>41144</v>
      </c>
      <c r="B4974">
        <v>37.81</v>
      </c>
      <c r="C4974">
        <v>37.89</v>
      </c>
      <c r="D4974">
        <v>37.200000000000003</v>
      </c>
      <c r="E4974">
        <v>37.229999999999997</v>
      </c>
      <c r="F4974">
        <v>16429500</v>
      </c>
      <c r="G4974">
        <v>35.71</v>
      </c>
      <c r="H4974" t="s">
        <v>9</v>
      </c>
      <c r="I4974" s="22">
        <f t="shared" si="155"/>
        <v>-1.6111459618621846E-2</v>
      </c>
      <c r="J4974" s="22" t="str">
        <f t="shared" si="156"/>
        <v>lost money</v>
      </c>
    </row>
    <row r="4975" spans="1:10">
      <c r="A4975" s="1">
        <v>41145</v>
      </c>
      <c r="B4975">
        <v>36.94</v>
      </c>
      <c r="C4975">
        <v>37.44</v>
      </c>
      <c r="D4975">
        <v>36.67</v>
      </c>
      <c r="E4975">
        <v>37.17</v>
      </c>
      <c r="F4975">
        <v>20019300</v>
      </c>
      <c r="G4975">
        <v>35.659999999999997</v>
      </c>
      <c r="H4975" t="s">
        <v>9</v>
      </c>
      <c r="I4975" s="22">
        <f t="shared" si="155"/>
        <v>-1.4011491713628249E-3</v>
      </c>
      <c r="J4975" s="22" t="str">
        <f t="shared" si="156"/>
        <v/>
      </c>
    </row>
    <row r="4976" spans="1:10">
      <c r="A4976" s="1">
        <v>41148</v>
      </c>
      <c r="B4976">
        <v>37.31</v>
      </c>
      <c r="C4976">
        <v>37.44</v>
      </c>
      <c r="D4976">
        <v>36.9</v>
      </c>
      <c r="E4976">
        <v>37.229999999999997</v>
      </c>
      <c r="F4976">
        <v>17618200</v>
      </c>
      <c r="G4976">
        <v>35.71</v>
      </c>
      <c r="H4976" t="s">
        <v>9</v>
      </c>
      <c r="I4976" s="22">
        <f t="shared" si="155"/>
        <v>1.4011491713627833E-3</v>
      </c>
      <c r="J4976" s="22" t="str">
        <f t="shared" si="156"/>
        <v>lost money</v>
      </c>
    </row>
    <row r="4977" spans="1:10">
      <c r="A4977" s="1">
        <v>41149</v>
      </c>
      <c r="B4977">
        <v>37.1</v>
      </c>
      <c r="C4977">
        <v>37.49</v>
      </c>
      <c r="D4977">
        <v>36.9</v>
      </c>
      <c r="E4977">
        <v>37.130000000000003</v>
      </c>
      <c r="F4977">
        <v>18050500</v>
      </c>
      <c r="G4977">
        <v>35.619999999999997</v>
      </c>
      <c r="H4977" t="s">
        <v>9</v>
      </c>
      <c r="I4977" s="22">
        <f t="shared" si="155"/>
        <v>-2.5234837448415495E-3</v>
      </c>
      <c r="J4977" s="22" t="str">
        <f t="shared" si="156"/>
        <v/>
      </c>
    </row>
    <row r="4978" spans="1:10">
      <c r="A4978" s="1">
        <v>41150</v>
      </c>
      <c r="B4978">
        <v>37.32</v>
      </c>
      <c r="C4978">
        <v>37.49</v>
      </c>
      <c r="D4978">
        <v>37.06</v>
      </c>
      <c r="E4978">
        <v>37.299999999999997</v>
      </c>
      <c r="F4978">
        <v>13681900</v>
      </c>
      <c r="G4978">
        <v>35.78</v>
      </c>
      <c r="H4978" t="s">
        <v>9</v>
      </c>
      <c r="I4978" s="22">
        <f t="shared" si="155"/>
        <v>4.4818002190575197E-3</v>
      </c>
      <c r="J4978" s="22" t="str">
        <f t="shared" si="156"/>
        <v>lost money</v>
      </c>
    </row>
    <row r="4979" spans="1:10">
      <c r="A4979" s="1">
        <v>41151</v>
      </c>
      <c r="B4979">
        <v>37.06</v>
      </c>
      <c r="C4979">
        <v>37.130000000000003</v>
      </c>
      <c r="D4979">
        <v>36.71</v>
      </c>
      <c r="E4979">
        <v>36.9</v>
      </c>
      <c r="F4979">
        <v>13700700</v>
      </c>
      <c r="G4979">
        <v>35.4</v>
      </c>
      <c r="H4979" t="s">
        <v>9</v>
      </c>
      <c r="I4979" s="22">
        <f t="shared" si="155"/>
        <v>-1.0677257940844363E-2</v>
      </c>
      <c r="J4979" s="22" t="str">
        <f t="shared" si="156"/>
        <v>lost money</v>
      </c>
    </row>
    <row r="4980" spans="1:10">
      <c r="A4980" s="1">
        <v>41152</v>
      </c>
      <c r="B4980">
        <v>37.14</v>
      </c>
      <c r="C4980">
        <v>37.4</v>
      </c>
      <c r="D4980">
        <v>36.86</v>
      </c>
      <c r="E4980">
        <v>37.14</v>
      </c>
      <c r="F4980">
        <v>16771600</v>
      </c>
      <c r="G4980">
        <v>35.630000000000003</v>
      </c>
      <c r="H4980" t="s">
        <v>9</v>
      </c>
      <c r="I4980" s="22">
        <f t="shared" si="155"/>
        <v>6.4761594780160126E-3</v>
      </c>
      <c r="J4980" s="22" t="str">
        <f t="shared" si="156"/>
        <v/>
      </c>
    </row>
    <row r="4981" spans="1:10">
      <c r="A4981" s="1">
        <v>41156</v>
      </c>
      <c r="B4981">
        <v>36.979999999999997</v>
      </c>
      <c r="C4981">
        <v>37.24</v>
      </c>
      <c r="D4981">
        <v>36.78</v>
      </c>
      <c r="E4981">
        <v>37.01</v>
      </c>
      <c r="F4981">
        <v>13631400</v>
      </c>
      <c r="G4981">
        <v>35.5</v>
      </c>
      <c r="H4981" t="s">
        <v>9</v>
      </c>
      <c r="I4981" s="22">
        <f t="shared" si="155"/>
        <v>-3.655283136374587E-3</v>
      </c>
      <c r="J4981" s="22" t="str">
        <f t="shared" si="156"/>
        <v/>
      </c>
    </row>
    <row r="4982" spans="1:10">
      <c r="A4982" s="1">
        <v>41157</v>
      </c>
      <c r="B4982">
        <v>37.08</v>
      </c>
      <c r="C4982">
        <v>37.29</v>
      </c>
      <c r="D4982">
        <v>36.94</v>
      </c>
      <c r="E4982">
        <v>37.11</v>
      </c>
      <c r="F4982">
        <v>13537500</v>
      </c>
      <c r="G4982">
        <v>35.6</v>
      </c>
      <c r="H4982" t="s">
        <v>9</v>
      </c>
      <c r="I4982" s="22">
        <f t="shared" si="155"/>
        <v>2.8129413766146577E-3</v>
      </c>
      <c r="J4982" s="22" t="str">
        <f t="shared" si="156"/>
        <v/>
      </c>
    </row>
    <row r="4983" spans="1:10">
      <c r="A4983" s="1">
        <v>41158</v>
      </c>
      <c r="B4983">
        <v>37.58</v>
      </c>
      <c r="C4983">
        <v>38.869999999999997</v>
      </c>
      <c r="D4983">
        <v>37.5</v>
      </c>
      <c r="E4983">
        <v>38.69</v>
      </c>
      <c r="F4983">
        <v>41346800</v>
      </c>
      <c r="G4983">
        <v>37.11</v>
      </c>
      <c r="H4983" t="s">
        <v>9</v>
      </c>
      <c r="I4983" s="22">
        <f t="shared" si="155"/>
        <v>4.1540837214521481E-2</v>
      </c>
      <c r="J4983" s="22" t="str">
        <f t="shared" si="156"/>
        <v/>
      </c>
    </row>
    <row r="4984" spans="1:10">
      <c r="A4984" s="1">
        <v>41159</v>
      </c>
      <c r="B4984">
        <v>39.04</v>
      </c>
      <c r="C4984">
        <v>39.53</v>
      </c>
      <c r="D4984">
        <v>39</v>
      </c>
      <c r="E4984">
        <v>39.299999999999997</v>
      </c>
      <c r="F4984">
        <v>28082400</v>
      </c>
      <c r="G4984">
        <v>37.700000000000003</v>
      </c>
      <c r="H4984" t="s">
        <v>9</v>
      </c>
      <c r="I4984" s="22">
        <f t="shared" si="155"/>
        <v>1.577361938145893E-2</v>
      </c>
      <c r="J4984" s="22" t="str">
        <f t="shared" si="156"/>
        <v/>
      </c>
    </row>
    <row r="4985" spans="1:10">
      <c r="A4985" s="1">
        <v>41162</v>
      </c>
      <c r="B4985">
        <v>39.229999999999997</v>
      </c>
      <c r="C4985">
        <v>39.78</v>
      </c>
      <c r="D4985">
        <v>38.729999999999997</v>
      </c>
      <c r="E4985">
        <v>38.76</v>
      </c>
      <c r="F4985">
        <v>20853500</v>
      </c>
      <c r="G4985">
        <v>37.18</v>
      </c>
      <c r="H4985" t="s">
        <v>9</v>
      </c>
      <c r="I4985" s="22">
        <f t="shared" si="155"/>
        <v>-1.388911216066715E-2</v>
      </c>
      <c r="J4985" s="22" t="str">
        <f t="shared" si="156"/>
        <v>lost money</v>
      </c>
    </row>
    <row r="4986" spans="1:10">
      <c r="A4986" s="1">
        <v>41163</v>
      </c>
      <c r="B4986">
        <v>38.799999999999997</v>
      </c>
      <c r="C4986">
        <v>39.630000000000003</v>
      </c>
      <c r="D4986">
        <v>38.729999999999997</v>
      </c>
      <c r="E4986">
        <v>39.6</v>
      </c>
      <c r="F4986">
        <v>22378900</v>
      </c>
      <c r="G4986">
        <v>37.99</v>
      </c>
      <c r="H4986" t="s">
        <v>9</v>
      </c>
      <c r="I4986" s="22">
        <f t="shared" si="155"/>
        <v>2.1551984906236304E-2</v>
      </c>
      <c r="J4986" s="22" t="str">
        <f t="shared" si="156"/>
        <v/>
      </c>
    </row>
    <row r="4987" spans="1:10">
      <c r="A4987" s="1">
        <v>41164</v>
      </c>
      <c r="B4987">
        <v>39.880000000000003</v>
      </c>
      <c r="C4987">
        <v>40.25</v>
      </c>
      <c r="D4987">
        <v>39.79</v>
      </c>
      <c r="E4987">
        <v>39.92</v>
      </c>
      <c r="F4987">
        <v>29882200</v>
      </c>
      <c r="G4987">
        <v>38.29</v>
      </c>
      <c r="H4987" t="s">
        <v>9</v>
      </c>
      <c r="I4987" s="22">
        <f t="shared" si="155"/>
        <v>7.8657982896687545E-3</v>
      </c>
      <c r="J4987" s="22" t="str">
        <f t="shared" si="156"/>
        <v/>
      </c>
    </row>
    <row r="4988" spans="1:10">
      <c r="A4988" s="1">
        <v>41165</v>
      </c>
      <c r="B4988">
        <v>39.840000000000003</v>
      </c>
      <c r="C4988">
        <v>41.58</v>
      </c>
      <c r="D4988">
        <v>39.590000000000003</v>
      </c>
      <c r="E4988">
        <v>41.4</v>
      </c>
      <c r="F4988">
        <v>47018600</v>
      </c>
      <c r="G4988">
        <v>39.71</v>
      </c>
      <c r="H4988" t="s">
        <v>9</v>
      </c>
      <c r="I4988" s="22">
        <f t="shared" si="155"/>
        <v>3.6414279653957063E-2</v>
      </c>
      <c r="J4988" s="22" t="str">
        <f t="shared" si="156"/>
        <v/>
      </c>
    </row>
    <row r="4989" spans="1:10">
      <c r="A4989" s="1">
        <v>41166</v>
      </c>
      <c r="B4989">
        <v>41.96</v>
      </c>
      <c r="C4989">
        <v>42.09</v>
      </c>
      <c r="D4989">
        <v>41.23</v>
      </c>
      <c r="E4989">
        <v>41.57</v>
      </c>
      <c r="F4989">
        <v>43471600</v>
      </c>
      <c r="G4989">
        <v>39.880000000000003</v>
      </c>
      <c r="H4989" t="s">
        <v>9</v>
      </c>
      <c r="I4989" s="22">
        <f t="shared" si="155"/>
        <v>4.2718999504775248E-3</v>
      </c>
      <c r="J4989" s="22" t="str">
        <f t="shared" si="156"/>
        <v>lost money</v>
      </c>
    </row>
    <row r="4990" spans="1:10">
      <c r="A4990" s="1">
        <v>41169</v>
      </c>
      <c r="B4990">
        <v>41</v>
      </c>
      <c r="C4990">
        <v>41.44</v>
      </c>
      <c r="D4990">
        <v>40.950000000000003</v>
      </c>
      <c r="E4990">
        <v>41.19</v>
      </c>
      <c r="F4990">
        <v>19740100</v>
      </c>
      <c r="G4990">
        <v>39.51</v>
      </c>
      <c r="H4990" t="s">
        <v>9</v>
      </c>
      <c r="I4990" s="22">
        <f t="shared" si="155"/>
        <v>-9.3211406703383112E-3</v>
      </c>
      <c r="J4990" s="22" t="str">
        <f t="shared" si="156"/>
        <v/>
      </c>
    </row>
    <row r="4991" spans="1:10">
      <c r="A4991" s="1">
        <v>41170</v>
      </c>
      <c r="B4991">
        <v>41.05</v>
      </c>
      <c r="C4991">
        <v>41.33</v>
      </c>
      <c r="D4991">
        <v>40.659999999999997</v>
      </c>
      <c r="E4991">
        <v>41.26</v>
      </c>
      <c r="F4991">
        <v>25186600</v>
      </c>
      <c r="G4991">
        <v>39.58</v>
      </c>
      <c r="H4991" t="s">
        <v>9</v>
      </c>
      <c r="I4991" s="22">
        <f t="shared" si="155"/>
        <v>1.7701357511202404E-3</v>
      </c>
      <c r="J4991" s="22" t="str">
        <f t="shared" si="156"/>
        <v/>
      </c>
    </row>
    <row r="4992" spans="1:10">
      <c r="A4992" s="1">
        <v>41171</v>
      </c>
      <c r="B4992">
        <v>41.33</v>
      </c>
      <c r="C4992">
        <v>41.76</v>
      </c>
      <c r="D4992">
        <v>41.04</v>
      </c>
      <c r="E4992">
        <v>41.34</v>
      </c>
      <c r="F4992">
        <v>22887200</v>
      </c>
      <c r="G4992">
        <v>39.659999999999997</v>
      </c>
      <c r="H4992" t="s">
        <v>9</v>
      </c>
      <c r="I4992" s="22">
        <f t="shared" si="155"/>
        <v>2.0191829172301425E-3</v>
      </c>
      <c r="J4992" s="22" t="str">
        <f t="shared" si="156"/>
        <v/>
      </c>
    </row>
    <row r="4993" spans="1:10">
      <c r="A4993" s="1">
        <v>41172</v>
      </c>
      <c r="B4993">
        <v>40.96</v>
      </c>
      <c r="C4993">
        <v>41.28</v>
      </c>
      <c r="D4993">
        <v>40.549999999999997</v>
      </c>
      <c r="E4993">
        <v>41.25</v>
      </c>
      <c r="F4993">
        <v>20997400</v>
      </c>
      <c r="G4993">
        <v>39.57</v>
      </c>
      <c r="H4993" t="s">
        <v>9</v>
      </c>
      <c r="I4993" s="22">
        <f t="shared" si="155"/>
        <v>-2.2718676943169077E-3</v>
      </c>
      <c r="J4993" s="22" t="str">
        <f t="shared" si="156"/>
        <v/>
      </c>
    </row>
    <row r="4994" spans="1:10">
      <c r="A4994" s="1">
        <v>41173</v>
      </c>
      <c r="B4994">
        <v>41.53</v>
      </c>
      <c r="C4994">
        <v>41.7</v>
      </c>
      <c r="D4994">
        <v>40.770000000000003</v>
      </c>
      <c r="E4994">
        <v>40.880000000000003</v>
      </c>
      <c r="F4994">
        <v>28287400</v>
      </c>
      <c r="G4994">
        <v>39.22</v>
      </c>
      <c r="H4994" t="s">
        <v>9</v>
      </c>
      <c r="I4994" s="22">
        <f t="shared" si="155"/>
        <v>-8.8844346291327061E-3</v>
      </c>
      <c r="J4994" s="22" t="str">
        <f t="shared" si="156"/>
        <v>lost money</v>
      </c>
    </row>
    <row r="4995" spans="1:10">
      <c r="A4995" s="1">
        <v>41176</v>
      </c>
      <c r="B4995">
        <v>40.61</v>
      </c>
      <c r="C4995">
        <v>41.47</v>
      </c>
      <c r="D4995">
        <v>40.590000000000003</v>
      </c>
      <c r="E4995">
        <v>41.23</v>
      </c>
      <c r="F4995">
        <v>20499500</v>
      </c>
      <c r="G4995">
        <v>39.549999999999997</v>
      </c>
      <c r="H4995" t="s">
        <v>9</v>
      </c>
      <c r="I4995" s="22">
        <f t="shared" ref="I4995:I5058" si="157">IF(A4995=$A$2,"",LN(G4995/G4994))</f>
        <v>8.3788734454625542E-3</v>
      </c>
      <c r="J4995" s="22" t="str">
        <f t="shared" ref="J4995:J5058" si="158">IF(B4995&gt;E4995,"lost money","")</f>
        <v/>
      </c>
    </row>
    <row r="4996" spans="1:10">
      <c r="A4996" s="1">
        <v>41177</v>
      </c>
      <c r="B4996">
        <v>41.55</v>
      </c>
      <c r="C4996">
        <v>41.55</v>
      </c>
      <c r="D4996">
        <v>40.53</v>
      </c>
      <c r="E4996">
        <v>40.549999999999997</v>
      </c>
      <c r="F4996">
        <v>21988200</v>
      </c>
      <c r="G4996">
        <v>38.9</v>
      </c>
      <c r="H4996" t="s">
        <v>9</v>
      </c>
      <c r="I4996" s="22">
        <f t="shared" si="157"/>
        <v>-1.6571443589262248E-2</v>
      </c>
      <c r="J4996" s="22" t="str">
        <f t="shared" si="158"/>
        <v>lost money</v>
      </c>
    </row>
    <row r="4997" spans="1:10">
      <c r="A4997" s="1">
        <v>41178</v>
      </c>
      <c r="B4997">
        <v>40.15</v>
      </c>
      <c r="C4997">
        <v>40.630000000000003</v>
      </c>
      <c r="D4997">
        <v>39.700000000000003</v>
      </c>
      <c r="E4997">
        <v>40.24</v>
      </c>
      <c r="F4997">
        <v>23782700</v>
      </c>
      <c r="G4997">
        <v>38.6</v>
      </c>
      <c r="H4997" t="s">
        <v>9</v>
      </c>
      <c r="I4997" s="22">
        <f t="shared" si="157"/>
        <v>-7.7419741536153969E-3</v>
      </c>
      <c r="J4997" s="22" t="str">
        <f t="shared" si="158"/>
        <v/>
      </c>
    </row>
    <row r="4998" spans="1:10">
      <c r="A4998" s="1">
        <v>41179</v>
      </c>
      <c r="B4998">
        <v>40.4</v>
      </c>
      <c r="C4998">
        <v>40.99</v>
      </c>
      <c r="D4998">
        <v>40.21</v>
      </c>
      <c r="E4998">
        <v>40.68</v>
      </c>
      <c r="F4998">
        <v>20843400</v>
      </c>
      <c r="G4998">
        <v>39.020000000000003</v>
      </c>
      <c r="H4998" t="s">
        <v>9</v>
      </c>
      <c r="I4998" s="22">
        <f t="shared" si="157"/>
        <v>1.0822058724179925E-2</v>
      </c>
      <c r="J4998" s="22" t="str">
        <f t="shared" si="158"/>
        <v/>
      </c>
    </row>
    <row r="4999" spans="1:10">
      <c r="A4999" s="1">
        <v>41180</v>
      </c>
      <c r="B4999">
        <v>40.42</v>
      </c>
      <c r="C4999">
        <v>40.630000000000003</v>
      </c>
      <c r="D4999">
        <v>40.159999999999997</v>
      </c>
      <c r="E4999">
        <v>40.479999999999997</v>
      </c>
      <c r="F4999">
        <v>21380700</v>
      </c>
      <c r="G4999">
        <v>38.83</v>
      </c>
      <c r="H4999" t="s">
        <v>9</v>
      </c>
      <c r="I4999" s="22">
        <f t="shared" si="157"/>
        <v>-4.8811914513893625E-3</v>
      </c>
      <c r="J4999" s="22" t="str">
        <f t="shared" si="158"/>
        <v/>
      </c>
    </row>
    <row r="5000" spans="1:10">
      <c r="A5000" s="1">
        <v>41183</v>
      </c>
      <c r="B5000">
        <v>40.880000000000003</v>
      </c>
      <c r="C5000">
        <v>41.5</v>
      </c>
      <c r="D5000">
        <v>40.799999999999997</v>
      </c>
      <c r="E5000">
        <v>40.97</v>
      </c>
      <c r="F5000">
        <v>21956400</v>
      </c>
      <c r="G5000">
        <v>39.299999999999997</v>
      </c>
      <c r="H5000" t="s">
        <v>9</v>
      </c>
      <c r="I5000" s="22">
        <f t="shared" si="157"/>
        <v>1.2031375131639649E-2</v>
      </c>
      <c r="J5000" s="22" t="str">
        <f t="shared" si="158"/>
        <v/>
      </c>
    </row>
    <row r="5001" spans="1:10">
      <c r="A5001" s="1">
        <v>41184</v>
      </c>
      <c r="B5001">
        <v>41.14</v>
      </c>
      <c r="C5001">
        <v>41.24</v>
      </c>
      <c r="D5001">
        <v>40.56</v>
      </c>
      <c r="E5001">
        <v>40.92</v>
      </c>
      <c r="F5001">
        <v>26946100</v>
      </c>
      <c r="G5001">
        <v>39.25</v>
      </c>
      <c r="H5001" t="s">
        <v>9</v>
      </c>
      <c r="I5001" s="22">
        <f t="shared" si="157"/>
        <v>-1.2730746467979853E-3</v>
      </c>
      <c r="J5001" s="22" t="str">
        <f t="shared" si="158"/>
        <v>lost money</v>
      </c>
    </row>
    <row r="5002" spans="1:10">
      <c r="A5002" s="1">
        <v>41185</v>
      </c>
      <c r="B5002">
        <v>40.83</v>
      </c>
      <c r="C5002">
        <v>41</v>
      </c>
      <c r="D5002">
        <v>40.42</v>
      </c>
      <c r="E5002">
        <v>40.86</v>
      </c>
      <c r="F5002">
        <v>22419100</v>
      </c>
      <c r="G5002">
        <v>39.49</v>
      </c>
      <c r="H5002" t="s">
        <v>9</v>
      </c>
      <c r="I5002" s="22">
        <f t="shared" si="157"/>
        <v>6.0960310701406971E-3</v>
      </c>
      <c r="J5002" s="22" t="str">
        <f t="shared" si="158"/>
        <v/>
      </c>
    </row>
    <row r="5003" spans="1:10">
      <c r="A5003" s="1">
        <v>41186</v>
      </c>
      <c r="B5003">
        <v>41.16</v>
      </c>
      <c r="C5003">
        <v>41.99</v>
      </c>
      <c r="D5003">
        <v>40.909999999999997</v>
      </c>
      <c r="E5003">
        <v>41.82</v>
      </c>
      <c r="F5003">
        <v>24326500</v>
      </c>
      <c r="G5003">
        <v>40.409999999999997</v>
      </c>
      <c r="H5003" t="s">
        <v>9</v>
      </c>
      <c r="I5003" s="22">
        <f t="shared" si="157"/>
        <v>2.302980379182417E-2</v>
      </c>
      <c r="J5003" s="22" t="str">
        <f t="shared" si="158"/>
        <v/>
      </c>
    </row>
    <row r="5004" spans="1:10">
      <c r="A5004" s="1">
        <v>41187</v>
      </c>
      <c r="B5004">
        <v>42.04</v>
      </c>
      <c r="C5004">
        <v>42.44</v>
      </c>
      <c r="D5004">
        <v>41.46</v>
      </c>
      <c r="E5004">
        <v>41.71</v>
      </c>
      <c r="F5004">
        <v>22774400</v>
      </c>
      <c r="G5004">
        <v>40.31</v>
      </c>
      <c r="H5004" t="s">
        <v>9</v>
      </c>
      <c r="I5004" s="22">
        <f t="shared" si="157"/>
        <v>-2.4777019613077115E-3</v>
      </c>
      <c r="J5004" s="22" t="str">
        <f t="shared" si="158"/>
        <v>lost money</v>
      </c>
    </row>
    <row r="5005" spans="1:10">
      <c r="A5005" s="1">
        <v>41190</v>
      </c>
      <c r="B5005">
        <v>41.33</v>
      </c>
      <c r="C5005">
        <v>41.84</v>
      </c>
      <c r="D5005">
        <v>41.11</v>
      </c>
      <c r="E5005">
        <v>41.66</v>
      </c>
      <c r="F5005">
        <v>18631300</v>
      </c>
      <c r="G5005">
        <v>40.26</v>
      </c>
      <c r="H5005" t="s">
        <v>9</v>
      </c>
      <c r="I5005" s="22">
        <f t="shared" si="157"/>
        <v>-1.2411569174291173E-3</v>
      </c>
      <c r="J5005" s="22" t="str">
        <f t="shared" si="158"/>
        <v/>
      </c>
    </row>
    <row r="5006" spans="1:10">
      <c r="A5006" s="1">
        <v>41191</v>
      </c>
      <c r="B5006">
        <v>41.77</v>
      </c>
      <c r="C5006">
        <v>41.95</v>
      </c>
      <c r="D5006">
        <v>41.3</v>
      </c>
      <c r="E5006">
        <v>41.38</v>
      </c>
      <c r="F5006">
        <v>19947500</v>
      </c>
      <c r="G5006">
        <v>39.99</v>
      </c>
      <c r="H5006" t="s">
        <v>9</v>
      </c>
      <c r="I5006" s="22">
        <f t="shared" si="157"/>
        <v>-6.728997352918359E-3</v>
      </c>
      <c r="J5006" s="22" t="str">
        <f t="shared" si="158"/>
        <v>lost money</v>
      </c>
    </row>
    <row r="5007" spans="1:10">
      <c r="A5007" s="1">
        <v>41192</v>
      </c>
      <c r="B5007">
        <v>41.55</v>
      </c>
      <c r="C5007">
        <v>42</v>
      </c>
      <c r="D5007">
        <v>41.33</v>
      </c>
      <c r="E5007">
        <v>41.77</v>
      </c>
      <c r="F5007">
        <v>25797600</v>
      </c>
      <c r="G5007">
        <v>40.369999999999997</v>
      </c>
      <c r="H5007" t="s">
        <v>9</v>
      </c>
      <c r="I5007" s="22">
        <f t="shared" si="157"/>
        <v>9.4575120061223088E-3</v>
      </c>
      <c r="J5007" s="22" t="str">
        <f t="shared" si="158"/>
        <v/>
      </c>
    </row>
    <row r="5008" spans="1:10">
      <c r="A5008" s="1">
        <v>41193</v>
      </c>
      <c r="B5008">
        <v>42.37</v>
      </c>
      <c r="C5008">
        <v>42.64</v>
      </c>
      <c r="D5008">
        <v>41.85</v>
      </c>
      <c r="E5008">
        <v>42.1</v>
      </c>
      <c r="F5008">
        <v>27755000</v>
      </c>
      <c r="G5008">
        <v>40.68</v>
      </c>
      <c r="H5008" t="s">
        <v>9</v>
      </c>
      <c r="I5008" s="22">
        <f t="shared" si="157"/>
        <v>7.6496363155098574E-3</v>
      </c>
      <c r="J5008" s="22" t="str">
        <f t="shared" si="158"/>
        <v>lost money</v>
      </c>
    </row>
    <row r="5009" spans="1:10">
      <c r="A5009" s="1">
        <v>41194</v>
      </c>
      <c r="B5009">
        <v>41.6</v>
      </c>
      <c r="C5009">
        <v>42.43</v>
      </c>
      <c r="D5009">
        <v>41.15</v>
      </c>
      <c r="E5009">
        <v>41.62</v>
      </c>
      <c r="F5009">
        <v>44564000</v>
      </c>
      <c r="G5009">
        <v>40.22</v>
      </c>
      <c r="H5009" t="s">
        <v>9</v>
      </c>
      <c r="I5009" s="22">
        <f t="shared" si="157"/>
        <v>-1.1372186835853282E-2</v>
      </c>
      <c r="J5009" s="22" t="str">
        <f t="shared" si="158"/>
        <v/>
      </c>
    </row>
    <row r="5010" spans="1:10">
      <c r="A5010" s="1">
        <v>41197</v>
      </c>
      <c r="B5010">
        <v>41.91</v>
      </c>
      <c r="C5010">
        <v>42.41</v>
      </c>
      <c r="D5010">
        <v>41.73</v>
      </c>
      <c r="E5010">
        <v>42.38</v>
      </c>
      <c r="F5010">
        <v>26268000</v>
      </c>
      <c r="G5010">
        <v>40.950000000000003</v>
      </c>
      <c r="H5010" t="s">
        <v>9</v>
      </c>
      <c r="I5010" s="22">
        <f t="shared" si="157"/>
        <v>1.7987425954572624E-2</v>
      </c>
      <c r="J5010" s="22" t="str">
        <f t="shared" si="158"/>
        <v/>
      </c>
    </row>
    <row r="5011" spans="1:10">
      <c r="A5011" s="1">
        <v>41198</v>
      </c>
      <c r="B5011">
        <v>42.79</v>
      </c>
      <c r="C5011">
        <v>43.11</v>
      </c>
      <c r="D5011">
        <v>42.27</v>
      </c>
      <c r="E5011">
        <v>42.83</v>
      </c>
      <c r="F5011">
        <v>28588100</v>
      </c>
      <c r="G5011">
        <v>41.39</v>
      </c>
      <c r="H5011" t="s">
        <v>9</v>
      </c>
      <c r="I5011" s="22">
        <f t="shared" si="157"/>
        <v>1.0687495461562568E-2</v>
      </c>
      <c r="J5011" s="22" t="str">
        <f t="shared" si="158"/>
        <v/>
      </c>
    </row>
    <row r="5012" spans="1:10">
      <c r="A5012" s="1">
        <v>41199</v>
      </c>
      <c r="B5012">
        <v>42.93</v>
      </c>
      <c r="C5012">
        <v>43.54</v>
      </c>
      <c r="D5012">
        <v>42.77</v>
      </c>
      <c r="E5012">
        <v>43.32</v>
      </c>
      <c r="F5012">
        <v>26177500</v>
      </c>
      <c r="G5012">
        <v>41.86</v>
      </c>
      <c r="H5012" t="s">
        <v>9</v>
      </c>
      <c r="I5012" s="22">
        <f t="shared" si="157"/>
        <v>1.1291411257212716E-2</v>
      </c>
      <c r="J5012" s="22" t="str">
        <f t="shared" si="158"/>
        <v/>
      </c>
    </row>
    <row r="5013" spans="1:10">
      <c r="A5013" s="1">
        <v>41200</v>
      </c>
      <c r="B5013">
        <v>43.09</v>
      </c>
      <c r="C5013">
        <v>43.35</v>
      </c>
      <c r="D5013">
        <v>42.75</v>
      </c>
      <c r="E5013">
        <v>43.01</v>
      </c>
      <c r="F5013">
        <v>23630400</v>
      </c>
      <c r="G5013">
        <v>41.56</v>
      </c>
      <c r="H5013" t="s">
        <v>9</v>
      </c>
      <c r="I5013" s="22">
        <f t="shared" si="157"/>
        <v>-7.1925507868270087E-3</v>
      </c>
      <c r="J5013" s="22" t="str">
        <f t="shared" si="158"/>
        <v>lost money</v>
      </c>
    </row>
    <row r="5014" spans="1:10">
      <c r="A5014" s="1">
        <v>41201</v>
      </c>
      <c r="B5014">
        <v>42.8</v>
      </c>
      <c r="C5014">
        <v>42.82</v>
      </c>
      <c r="D5014">
        <v>42.06</v>
      </c>
      <c r="E5014">
        <v>42.32</v>
      </c>
      <c r="F5014">
        <v>29747500</v>
      </c>
      <c r="G5014">
        <v>40.9</v>
      </c>
      <c r="H5014" t="s">
        <v>9</v>
      </c>
      <c r="I5014" s="22">
        <f t="shared" si="157"/>
        <v>-1.6008103182270691E-2</v>
      </c>
      <c r="J5014" s="22" t="str">
        <f t="shared" si="158"/>
        <v>lost money</v>
      </c>
    </row>
    <row r="5015" spans="1:10">
      <c r="A5015" s="1">
        <v>41204</v>
      </c>
      <c r="B5015">
        <v>42.25</v>
      </c>
      <c r="C5015">
        <v>42.52</v>
      </c>
      <c r="D5015">
        <v>41.5</v>
      </c>
      <c r="E5015">
        <v>42.09</v>
      </c>
      <c r="F5015">
        <v>27993000</v>
      </c>
      <c r="G5015">
        <v>40.67</v>
      </c>
      <c r="H5015" t="s">
        <v>9</v>
      </c>
      <c r="I5015" s="22">
        <f t="shared" si="157"/>
        <v>-5.6393431296228721E-3</v>
      </c>
      <c r="J5015" s="22" t="str">
        <f t="shared" si="158"/>
        <v>lost money</v>
      </c>
    </row>
    <row r="5016" spans="1:10">
      <c r="A5016" s="1">
        <v>41205</v>
      </c>
      <c r="B5016">
        <v>41.47</v>
      </c>
      <c r="C5016">
        <v>41.74</v>
      </c>
      <c r="D5016">
        <v>41.05</v>
      </c>
      <c r="E5016">
        <v>41.33</v>
      </c>
      <c r="F5016">
        <v>22896400</v>
      </c>
      <c r="G5016">
        <v>39.94</v>
      </c>
      <c r="H5016" t="s">
        <v>9</v>
      </c>
      <c r="I5016" s="22">
        <f t="shared" si="157"/>
        <v>-1.8112391931464071E-2</v>
      </c>
      <c r="J5016" s="22" t="str">
        <f t="shared" si="158"/>
        <v>lost money</v>
      </c>
    </row>
    <row r="5017" spans="1:10">
      <c r="A5017" s="1">
        <v>41206</v>
      </c>
      <c r="B5017">
        <v>41.68</v>
      </c>
      <c r="C5017">
        <v>41.88</v>
      </c>
      <c r="D5017">
        <v>41.34</v>
      </c>
      <c r="E5017">
        <v>41.71</v>
      </c>
      <c r="F5017">
        <v>18918900</v>
      </c>
      <c r="G5017">
        <v>40.31</v>
      </c>
      <c r="H5017" t="s">
        <v>9</v>
      </c>
      <c r="I5017" s="22">
        <f t="shared" si="157"/>
        <v>9.2212491414054663E-3</v>
      </c>
      <c r="J5017" s="22" t="str">
        <f t="shared" si="158"/>
        <v/>
      </c>
    </row>
    <row r="5018" spans="1:10">
      <c r="A5018" s="1">
        <v>41207</v>
      </c>
      <c r="B5018">
        <v>42.24</v>
      </c>
      <c r="C5018">
        <v>42.28</v>
      </c>
      <c r="D5018">
        <v>41.4</v>
      </c>
      <c r="E5018">
        <v>41.67</v>
      </c>
      <c r="F5018">
        <v>17311700</v>
      </c>
      <c r="G5018">
        <v>40.270000000000003</v>
      </c>
      <c r="H5018" t="s">
        <v>9</v>
      </c>
      <c r="I5018" s="22">
        <f t="shared" si="157"/>
        <v>-9.9280226571160754E-4</v>
      </c>
      <c r="J5018" s="22" t="str">
        <f t="shared" si="158"/>
        <v>lost money</v>
      </c>
    </row>
    <row r="5019" spans="1:10">
      <c r="A5019" s="1">
        <v>41208</v>
      </c>
      <c r="B5019">
        <v>41.42</v>
      </c>
      <c r="C5019">
        <v>41.66</v>
      </c>
      <c r="D5019">
        <v>40.869999999999997</v>
      </c>
      <c r="E5019">
        <v>41.16</v>
      </c>
      <c r="F5019">
        <v>21892700</v>
      </c>
      <c r="G5019">
        <v>39.78</v>
      </c>
      <c r="H5019" t="s">
        <v>9</v>
      </c>
      <c r="I5019" s="22">
        <f t="shared" si="157"/>
        <v>-1.224250143753673E-2</v>
      </c>
      <c r="J5019" s="22" t="str">
        <f t="shared" si="158"/>
        <v>lost money</v>
      </c>
    </row>
    <row r="5020" spans="1:10">
      <c r="A5020" s="1">
        <v>41213</v>
      </c>
      <c r="B5020">
        <v>41.45</v>
      </c>
      <c r="C5020">
        <v>41.79</v>
      </c>
      <c r="D5020">
        <v>41.15</v>
      </c>
      <c r="E5020">
        <v>41.68</v>
      </c>
      <c r="F5020">
        <v>19423500</v>
      </c>
      <c r="G5020">
        <v>40.28</v>
      </c>
      <c r="H5020" t="s">
        <v>9</v>
      </c>
      <c r="I5020" s="22">
        <f t="shared" si="157"/>
        <v>1.2490794424535361E-2</v>
      </c>
      <c r="J5020" s="22" t="str">
        <f t="shared" si="158"/>
        <v/>
      </c>
    </row>
    <row r="5021" spans="1:10">
      <c r="A5021" s="1">
        <v>41214</v>
      </c>
      <c r="B5021">
        <v>41.7</v>
      </c>
      <c r="C5021">
        <v>42.9</v>
      </c>
      <c r="D5021">
        <v>41.58</v>
      </c>
      <c r="E5021">
        <v>42.84</v>
      </c>
      <c r="F5021">
        <v>23325400</v>
      </c>
      <c r="G5021">
        <v>41.4</v>
      </c>
      <c r="H5021" t="s">
        <v>9</v>
      </c>
      <c r="I5021" s="22">
        <f t="shared" si="157"/>
        <v>2.7425812980907033E-2</v>
      </c>
      <c r="J5021" s="22" t="str">
        <f t="shared" si="158"/>
        <v/>
      </c>
    </row>
    <row r="5022" spans="1:10">
      <c r="A5022" s="1">
        <v>41215</v>
      </c>
      <c r="B5022">
        <v>43.04</v>
      </c>
      <c r="C5022">
        <v>43.07</v>
      </c>
      <c r="D5022">
        <v>42.33</v>
      </c>
      <c r="E5022">
        <v>42.42</v>
      </c>
      <c r="F5022">
        <v>17029200</v>
      </c>
      <c r="G5022">
        <v>40.99</v>
      </c>
      <c r="H5022" t="s">
        <v>9</v>
      </c>
      <c r="I5022" s="22">
        <f t="shared" si="157"/>
        <v>-9.9527463150224614E-3</v>
      </c>
      <c r="J5022" s="22" t="str">
        <f t="shared" si="158"/>
        <v>lost money</v>
      </c>
    </row>
    <row r="5023" spans="1:10">
      <c r="A5023" s="1">
        <v>41218</v>
      </c>
      <c r="B5023">
        <v>42.33</v>
      </c>
      <c r="C5023">
        <v>42.36</v>
      </c>
      <c r="D5023">
        <v>41.86</v>
      </c>
      <c r="E5023">
        <v>42.27</v>
      </c>
      <c r="F5023">
        <v>13252500</v>
      </c>
      <c r="G5023">
        <v>40.85</v>
      </c>
      <c r="H5023" t="s">
        <v>9</v>
      </c>
      <c r="I5023" s="22">
        <f t="shared" si="157"/>
        <v>-3.4213132102343187E-3</v>
      </c>
      <c r="J5023" s="22" t="str">
        <f t="shared" si="158"/>
        <v>lost money</v>
      </c>
    </row>
    <row r="5024" spans="1:10">
      <c r="A5024" s="1">
        <v>41219</v>
      </c>
      <c r="B5024">
        <v>42.57</v>
      </c>
      <c r="C5024">
        <v>43.05</v>
      </c>
      <c r="D5024">
        <v>42.41</v>
      </c>
      <c r="E5024">
        <v>42.88</v>
      </c>
      <c r="F5024">
        <v>17190900</v>
      </c>
      <c r="G5024">
        <v>41.44</v>
      </c>
      <c r="H5024" t="s">
        <v>9</v>
      </c>
      <c r="I5024" s="22">
        <f t="shared" si="157"/>
        <v>1.4339776645215647E-2</v>
      </c>
      <c r="J5024" s="22" t="str">
        <f t="shared" si="158"/>
        <v/>
      </c>
    </row>
    <row r="5025" spans="1:10">
      <c r="A5025" s="1">
        <v>41220</v>
      </c>
      <c r="B5025">
        <v>42.01</v>
      </c>
      <c r="C5025">
        <v>42.01</v>
      </c>
      <c r="D5025">
        <v>40.31</v>
      </c>
      <c r="E5025">
        <v>40.479999999999997</v>
      </c>
      <c r="F5025">
        <v>47631200</v>
      </c>
      <c r="G5025">
        <v>39.119999999999997</v>
      </c>
      <c r="H5025" t="s">
        <v>9</v>
      </c>
      <c r="I5025" s="22">
        <f t="shared" si="157"/>
        <v>-5.7612752784611032E-2</v>
      </c>
      <c r="J5025" s="22" t="str">
        <f t="shared" si="158"/>
        <v>lost money</v>
      </c>
    </row>
    <row r="5026" spans="1:10">
      <c r="A5026" s="1">
        <v>41221</v>
      </c>
      <c r="B5026">
        <v>41.28</v>
      </c>
      <c r="C5026">
        <v>41.5</v>
      </c>
      <c r="D5026">
        <v>40.4</v>
      </c>
      <c r="E5026">
        <v>40.4</v>
      </c>
      <c r="F5026">
        <v>27830900</v>
      </c>
      <c r="G5026">
        <v>39.04</v>
      </c>
      <c r="H5026" t="s">
        <v>9</v>
      </c>
      <c r="I5026" s="22">
        <f t="shared" si="157"/>
        <v>-2.0470836217247996E-3</v>
      </c>
      <c r="J5026" s="22" t="str">
        <f t="shared" si="158"/>
        <v>lost money</v>
      </c>
    </row>
    <row r="5027" spans="1:10">
      <c r="A5027" s="1">
        <v>41222</v>
      </c>
      <c r="B5027">
        <v>40.31</v>
      </c>
      <c r="C5027">
        <v>41.23</v>
      </c>
      <c r="D5027">
        <v>39.86</v>
      </c>
      <c r="E5027">
        <v>40.619999999999997</v>
      </c>
      <c r="F5027">
        <v>27553200</v>
      </c>
      <c r="G5027">
        <v>39.25</v>
      </c>
      <c r="H5027" t="s">
        <v>9</v>
      </c>
      <c r="I5027" s="22">
        <f t="shared" si="157"/>
        <v>5.3646826835258279E-3</v>
      </c>
      <c r="J5027" s="22" t="str">
        <f t="shared" si="158"/>
        <v/>
      </c>
    </row>
    <row r="5028" spans="1:10">
      <c r="A5028" s="1">
        <v>41225</v>
      </c>
      <c r="B5028">
        <v>40.85</v>
      </c>
      <c r="C5028">
        <v>40.909999999999997</v>
      </c>
      <c r="D5028">
        <v>40.299999999999997</v>
      </c>
      <c r="E5028">
        <v>40.58</v>
      </c>
      <c r="F5028">
        <v>12816000</v>
      </c>
      <c r="G5028">
        <v>39.22</v>
      </c>
      <c r="H5028" t="s">
        <v>9</v>
      </c>
      <c r="I5028" s="22">
        <f t="shared" si="157"/>
        <v>-7.6462346021728515E-4</v>
      </c>
      <c r="J5028" s="22" t="str">
        <f t="shared" si="158"/>
        <v>lost money</v>
      </c>
    </row>
    <row r="5029" spans="1:10">
      <c r="A5029" s="1">
        <v>41226</v>
      </c>
      <c r="B5029">
        <v>40.18</v>
      </c>
      <c r="C5029">
        <v>40.520000000000003</v>
      </c>
      <c r="D5029">
        <v>40</v>
      </c>
      <c r="E5029">
        <v>40.04</v>
      </c>
      <c r="F5029">
        <v>19793500</v>
      </c>
      <c r="G5029">
        <v>38.69</v>
      </c>
      <c r="H5029" t="s">
        <v>9</v>
      </c>
      <c r="I5029" s="22">
        <f t="shared" si="157"/>
        <v>-1.3605652055778709E-2</v>
      </c>
      <c r="J5029" s="22" t="str">
        <f t="shared" si="158"/>
        <v>lost money</v>
      </c>
    </row>
    <row r="5030" spans="1:10">
      <c r="A5030" s="1">
        <v>41227</v>
      </c>
      <c r="B5030">
        <v>40.21</v>
      </c>
      <c r="C5030">
        <v>40.369999999999997</v>
      </c>
      <c r="D5030">
        <v>39.130000000000003</v>
      </c>
      <c r="E5030">
        <v>39.29</v>
      </c>
      <c r="F5030">
        <v>30986600</v>
      </c>
      <c r="G5030">
        <v>37.97</v>
      </c>
      <c r="H5030" t="s">
        <v>9</v>
      </c>
      <c r="I5030" s="22">
        <f t="shared" si="157"/>
        <v>-1.8784794468710602E-2</v>
      </c>
      <c r="J5030" s="22" t="str">
        <f t="shared" si="158"/>
        <v>lost money</v>
      </c>
    </row>
    <row r="5031" spans="1:10">
      <c r="A5031" s="1">
        <v>41228</v>
      </c>
      <c r="B5031">
        <v>39.06</v>
      </c>
      <c r="C5031">
        <v>39.72</v>
      </c>
      <c r="D5031">
        <v>38.97</v>
      </c>
      <c r="E5031">
        <v>39.39</v>
      </c>
      <c r="F5031">
        <v>24858700</v>
      </c>
      <c r="G5031">
        <v>38.07</v>
      </c>
      <c r="H5031" t="s">
        <v>9</v>
      </c>
      <c r="I5031" s="22">
        <f t="shared" si="157"/>
        <v>2.630196150695163E-3</v>
      </c>
      <c r="J5031" s="22" t="str">
        <f t="shared" si="158"/>
        <v/>
      </c>
    </row>
    <row r="5032" spans="1:10">
      <c r="A5032" s="1">
        <v>41229</v>
      </c>
      <c r="B5032">
        <v>39.43</v>
      </c>
      <c r="C5032">
        <v>39.67</v>
      </c>
      <c r="D5032">
        <v>38.83</v>
      </c>
      <c r="E5032">
        <v>39.53</v>
      </c>
      <c r="F5032">
        <v>32458000</v>
      </c>
      <c r="G5032">
        <v>38.200000000000003</v>
      </c>
      <c r="H5032" t="s">
        <v>9</v>
      </c>
      <c r="I5032" s="22">
        <f t="shared" si="157"/>
        <v>3.408945218123482E-3</v>
      </c>
      <c r="J5032" s="22" t="str">
        <f t="shared" si="158"/>
        <v/>
      </c>
    </row>
    <row r="5033" spans="1:10">
      <c r="A5033" s="1">
        <v>41232</v>
      </c>
      <c r="B5033">
        <v>40.090000000000003</v>
      </c>
      <c r="C5033">
        <v>40.700000000000003</v>
      </c>
      <c r="D5033">
        <v>40.090000000000003</v>
      </c>
      <c r="E5033">
        <v>40.590000000000003</v>
      </c>
      <c r="F5033">
        <v>26781200</v>
      </c>
      <c r="G5033">
        <v>39.229999999999997</v>
      </c>
      <c r="H5033" t="s">
        <v>9</v>
      </c>
      <c r="I5033" s="22">
        <f t="shared" si="157"/>
        <v>2.6606244608931566E-2</v>
      </c>
      <c r="J5033" s="22" t="str">
        <f t="shared" si="158"/>
        <v/>
      </c>
    </row>
    <row r="5034" spans="1:10">
      <c r="A5034" s="1">
        <v>41233</v>
      </c>
      <c r="B5034">
        <v>40.33</v>
      </c>
      <c r="C5034">
        <v>41.18</v>
      </c>
      <c r="D5034">
        <v>40.25</v>
      </c>
      <c r="E5034">
        <v>40.700000000000003</v>
      </c>
      <c r="F5034">
        <v>19375900</v>
      </c>
      <c r="G5034">
        <v>39.33</v>
      </c>
      <c r="H5034" t="s">
        <v>9</v>
      </c>
      <c r="I5034" s="22">
        <f t="shared" si="157"/>
        <v>2.545826222256947E-3</v>
      </c>
      <c r="J5034" s="22" t="str">
        <f t="shared" si="158"/>
        <v/>
      </c>
    </row>
    <row r="5035" spans="1:10">
      <c r="A5035" s="1">
        <v>41234</v>
      </c>
      <c r="B5035">
        <v>40.94</v>
      </c>
      <c r="C5035">
        <v>40.98</v>
      </c>
      <c r="D5035">
        <v>40.35</v>
      </c>
      <c r="E5035">
        <v>40.729999999999997</v>
      </c>
      <c r="F5035">
        <v>13030200</v>
      </c>
      <c r="G5035">
        <v>39.36</v>
      </c>
      <c r="H5035" t="s">
        <v>9</v>
      </c>
      <c r="I5035" s="22">
        <f t="shared" si="157"/>
        <v>7.6248574033461721E-4</v>
      </c>
      <c r="J5035" s="22" t="str">
        <f t="shared" si="158"/>
        <v>lost money</v>
      </c>
    </row>
    <row r="5036" spans="1:10">
      <c r="A5036" s="1">
        <v>41236</v>
      </c>
      <c r="B5036">
        <v>41.1</v>
      </c>
      <c r="C5036">
        <v>41.22</v>
      </c>
      <c r="D5036">
        <v>40.97</v>
      </c>
      <c r="E5036">
        <v>41.09</v>
      </c>
      <c r="F5036">
        <v>8316700</v>
      </c>
      <c r="G5036">
        <v>39.71</v>
      </c>
      <c r="H5036" t="s">
        <v>9</v>
      </c>
      <c r="I5036" s="22">
        <f t="shared" si="157"/>
        <v>8.8529729591075492E-3</v>
      </c>
      <c r="J5036" s="22" t="str">
        <f t="shared" si="158"/>
        <v>lost money</v>
      </c>
    </row>
    <row r="5037" spans="1:10">
      <c r="A5037" s="1">
        <v>41239</v>
      </c>
      <c r="B5037">
        <v>40.79</v>
      </c>
      <c r="C5037">
        <v>40.880000000000003</v>
      </c>
      <c r="D5037">
        <v>40.090000000000003</v>
      </c>
      <c r="E5037">
        <v>40.880000000000003</v>
      </c>
      <c r="F5037">
        <v>20376600</v>
      </c>
      <c r="G5037">
        <v>39.51</v>
      </c>
      <c r="H5037" t="s">
        <v>9</v>
      </c>
      <c r="I5037" s="22">
        <f t="shared" si="157"/>
        <v>-5.0492407198608046E-3</v>
      </c>
      <c r="J5037" s="22" t="str">
        <f t="shared" si="158"/>
        <v/>
      </c>
    </row>
    <row r="5038" spans="1:10">
      <c r="A5038" s="1">
        <v>41240</v>
      </c>
      <c r="B5038">
        <v>40.869999999999997</v>
      </c>
      <c r="C5038">
        <v>41.2</v>
      </c>
      <c r="D5038">
        <v>40.64</v>
      </c>
      <c r="E5038">
        <v>40.75</v>
      </c>
      <c r="F5038">
        <v>19875000</v>
      </c>
      <c r="G5038">
        <v>39.380000000000003</v>
      </c>
      <c r="H5038" t="s">
        <v>9</v>
      </c>
      <c r="I5038" s="22">
        <f t="shared" si="157"/>
        <v>-3.2957312123197808E-3</v>
      </c>
      <c r="J5038" s="22" t="str">
        <f t="shared" si="158"/>
        <v>lost money</v>
      </c>
    </row>
    <row r="5039" spans="1:10">
      <c r="A5039" s="1">
        <v>41241</v>
      </c>
      <c r="B5039">
        <v>40.49</v>
      </c>
      <c r="C5039">
        <v>40.880000000000003</v>
      </c>
      <c r="D5039">
        <v>39.880000000000003</v>
      </c>
      <c r="E5039">
        <v>40.83</v>
      </c>
      <c r="F5039">
        <v>26106900</v>
      </c>
      <c r="G5039">
        <v>39.46</v>
      </c>
      <c r="H5039" t="s">
        <v>9</v>
      </c>
      <c r="I5039" s="22">
        <f t="shared" si="157"/>
        <v>2.029427383489824E-3</v>
      </c>
      <c r="J5039" s="22" t="str">
        <f t="shared" si="158"/>
        <v/>
      </c>
    </row>
    <row r="5040" spans="1:10">
      <c r="A5040" s="1">
        <v>41242</v>
      </c>
      <c r="B5040">
        <v>41.15</v>
      </c>
      <c r="C5040">
        <v>41.35</v>
      </c>
      <c r="D5040">
        <v>40.909999999999997</v>
      </c>
      <c r="E5040">
        <v>41.22</v>
      </c>
      <c r="F5040">
        <v>18915000</v>
      </c>
      <c r="G5040">
        <v>39.83</v>
      </c>
      <c r="H5040" t="s">
        <v>9</v>
      </c>
      <c r="I5040" s="22">
        <f t="shared" si="157"/>
        <v>9.3328965990834723E-3</v>
      </c>
      <c r="J5040" s="22" t="str">
        <f t="shared" si="158"/>
        <v/>
      </c>
    </row>
    <row r="5041" spans="1:10">
      <c r="A5041" s="1">
        <v>41243</v>
      </c>
      <c r="B5041">
        <v>40.99</v>
      </c>
      <c r="C5041">
        <v>41.34</v>
      </c>
      <c r="D5041">
        <v>40.85</v>
      </c>
      <c r="E5041">
        <v>41.08</v>
      </c>
      <c r="F5041">
        <v>20066600</v>
      </c>
      <c r="G5041">
        <v>39.700000000000003</v>
      </c>
      <c r="H5041" t="s">
        <v>9</v>
      </c>
      <c r="I5041" s="22">
        <f t="shared" si="157"/>
        <v>-3.2692095004080101E-3</v>
      </c>
      <c r="J5041" s="22" t="str">
        <f t="shared" si="158"/>
        <v/>
      </c>
    </row>
    <row r="5042" spans="1:10">
      <c r="A5042" s="1">
        <v>41246</v>
      </c>
      <c r="B5042">
        <v>41.27</v>
      </c>
      <c r="C5042">
        <v>41.37</v>
      </c>
      <c r="D5042">
        <v>40.75</v>
      </c>
      <c r="E5042">
        <v>40.81</v>
      </c>
      <c r="F5042">
        <v>18955500</v>
      </c>
      <c r="G5042">
        <v>39.44</v>
      </c>
      <c r="H5042" t="s">
        <v>9</v>
      </c>
      <c r="I5042" s="22">
        <f t="shared" si="157"/>
        <v>-6.5706579587102455E-3</v>
      </c>
      <c r="J5042" s="22" t="str">
        <f t="shared" si="158"/>
        <v>lost money</v>
      </c>
    </row>
    <row r="5043" spans="1:10">
      <c r="A5043" s="1">
        <v>41247</v>
      </c>
      <c r="B5043">
        <v>40.78</v>
      </c>
      <c r="C5043">
        <v>40.92</v>
      </c>
      <c r="D5043">
        <v>40.200000000000003</v>
      </c>
      <c r="E5043">
        <v>40.57</v>
      </c>
      <c r="F5043">
        <v>24031100</v>
      </c>
      <c r="G5043">
        <v>39.21</v>
      </c>
      <c r="H5043" t="s">
        <v>9</v>
      </c>
      <c r="I5043" s="22">
        <f t="shared" si="157"/>
        <v>-5.8487134301943178E-3</v>
      </c>
      <c r="J5043" s="22" t="str">
        <f t="shared" si="158"/>
        <v>lost money</v>
      </c>
    </row>
    <row r="5044" spans="1:10">
      <c r="A5044" s="1">
        <v>41248</v>
      </c>
      <c r="B5044">
        <v>40.69</v>
      </c>
      <c r="C5044">
        <v>41.49</v>
      </c>
      <c r="D5044">
        <v>40.5</v>
      </c>
      <c r="E5044">
        <v>41.2</v>
      </c>
      <c r="F5044">
        <v>25515600</v>
      </c>
      <c r="G5044">
        <v>39.81</v>
      </c>
      <c r="H5044" t="s">
        <v>9</v>
      </c>
      <c r="I5044" s="22">
        <f t="shared" si="157"/>
        <v>1.5186320707985519E-2</v>
      </c>
      <c r="J5044" s="22" t="str">
        <f t="shared" si="158"/>
        <v/>
      </c>
    </row>
    <row r="5045" spans="1:10">
      <c r="A5045" s="1">
        <v>41249</v>
      </c>
      <c r="B5045">
        <v>41.25</v>
      </c>
      <c r="C5045">
        <v>41.55</v>
      </c>
      <c r="D5045">
        <v>41.11</v>
      </c>
      <c r="E5045">
        <v>41.47</v>
      </c>
      <c r="F5045">
        <v>20541700</v>
      </c>
      <c r="G5045">
        <v>40.08</v>
      </c>
      <c r="H5045" t="s">
        <v>9</v>
      </c>
      <c r="I5045" s="22">
        <f t="shared" si="157"/>
        <v>6.7593197643833619E-3</v>
      </c>
      <c r="J5045" s="22" t="str">
        <f t="shared" si="158"/>
        <v/>
      </c>
    </row>
    <row r="5046" spans="1:10">
      <c r="A5046" s="1">
        <v>41250</v>
      </c>
      <c r="B5046">
        <v>41.84</v>
      </c>
      <c r="C5046">
        <v>42.57</v>
      </c>
      <c r="D5046">
        <v>41.73</v>
      </c>
      <c r="E5046">
        <v>42.56</v>
      </c>
      <c r="F5046">
        <v>34552900</v>
      </c>
      <c r="G5046">
        <v>41.13</v>
      </c>
      <c r="H5046" t="s">
        <v>9</v>
      </c>
      <c r="I5046" s="22">
        <f t="shared" si="157"/>
        <v>2.5860325465723515E-2</v>
      </c>
      <c r="J5046" s="22" t="str">
        <f t="shared" si="158"/>
        <v/>
      </c>
    </row>
    <row r="5047" spans="1:10">
      <c r="A5047" s="1">
        <v>41253</v>
      </c>
      <c r="B5047">
        <v>42.54</v>
      </c>
      <c r="C5047">
        <v>42.67</v>
      </c>
      <c r="D5047">
        <v>42.01</v>
      </c>
      <c r="E5047">
        <v>42.31</v>
      </c>
      <c r="F5047">
        <v>22394500</v>
      </c>
      <c r="G5047">
        <v>40.89</v>
      </c>
      <c r="H5047" t="s">
        <v>9</v>
      </c>
      <c r="I5047" s="22">
        <f t="shared" si="157"/>
        <v>-5.8522478657818365E-3</v>
      </c>
      <c r="J5047" s="22" t="str">
        <f t="shared" si="158"/>
        <v>lost money</v>
      </c>
    </row>
    <row r="5048" spans="1:10">
      <c r="A5048" s="1">
        <v>41254</v>
      </c>
      <c r="B5048">
        <v>42.6</v>
      </c>
      <c r="C5048">
        <v>43.09</v>
      </c>
      <c r="D5048">
        <v>42.42</v>
      </c>
      <c r="E5048">
        <v>42.64</v>
      </c>
      <c r="F5048">
        <v>21955000</v>
      </c>
      <c r="G5048">
        <v>41.21</v>
      </c>
      <c r="H5048" t="s">
        <v>9</v>
      </c>
      <c r="I5048" s="22">
        <f t="shared" si="157"/>
        <v>7.7954109741751243E-3</v>
      </c>
      <c r="J5048" s="22" t="str">
        <f t="shared" si="158"/>
        <v/>
      </c>
    </row>
    <row r="5049" spans="1:10">
      <c r="A5049" s="1">
        <v>41255</v>
      </c>
      <c r="B5049">
        <v>43</v>
      </c>
      <c r="C5049">
        <v>43.38</v>
      </c>
      <c r="D5049">
        <v>42.7</v>
      </c>
      <c r="E5049">
        <v>42.77</v>
      </c>
      <c r="F5049">
        <v>23110600</v>
      </c>
      <c r="G5049">
        <v>41.33</v>
      </c>
      <c r="H5049" t="s">
        <v>9</v>
      </c>
      <c r="I5049" s="22">
        <f t="shared" si="157"/>
        <v>2.9076831729149058E-3</v>
      </c>
      <c r="J5049" s="22" t="str">
        <f t="shared" si="158"/>
        <v>lost money</v>
      </c>
    </row>
    <row r="5050" spans="1:10">
      <c r="A5050" s="1">
        <v>41256</v>
      </c>
      <c r="B5050">
        <v>42.65</v>
      </c>
      <c r="C5050">
        <v>42.92</v>
      </c>
      <c r="D5050">
        <v>42.5</v>
      </c>
      <c r="E5050">
        <v>42.78</v>
      </c>
      <c r="F5050">
        <v>18457000</v>
      </c>
      <c r="G5050">
        <v>41.34</v>
      </c>
      <c r="H5050" t="s">
        <v>9</v>
      </c>
      <c r="I5050" s="22">
        <f t="shared" si="157"/>
        <v>2.419257299813444E-4</v>
      </c>
      <c r="J5050" s="22" t="str">
        <f t="shared" si="158"/>
        <v/>
      </c>
    </row>
    <row r="5051" spans="1:10">
      <c r="A5051" s="1">
        <v>41257</v>
      </c>
      <c r="B5051">
        <v>42.77</v>
      </c>
      <c r="C5051">
        <v>43.11</v>
      </c>
      <c r="D5051">
        <v>42.71</v>
      </c>
      <c r="E5051">
        <v>42.81</v>
      </c>
      <c r="F5051">
        <v>16208600</v>
      </c>
      <c r="G5051">
        <v>41.37</v>
      </c>
      <c r="H5051" t="s">
        <v>9</v>
      </c>
      <c r="I5051" s="22">
        <f t="shared" si="157"/>
        <v>7.2542621969780405E-4</v>
      </c>
      <c r="J5051" s="22" t="str">
        <f t="shared" si="158"/>
        <v/>
      </c>
    </row>
    <row r="5052" spans="1:10">
      <c r="A5052" s="1">
        <v>41260</v>
      </c>
      <c r="B5052">
        <v>43</v>
      </c>
      <c r="C5052">
        <v>43.51</v>
      </c>
      <c r="D5052">
        <v>42.81</v>
      </c>
      <c r="E5052">
        <v>43.48</v>
      </c>
      <c r="F5052">
        <v>23879800</v>
      </c>
      <c r="G5052">
        <v>42.02</v>
      </c>
      <c r="H5052" t="s">
        <v>9</v>
      </c>
      <c r="I5052" s="22">
        <f t="shared" si="157"/>
        <v>1.5589714943534274E-2</v>
      </c>
      <c r="J5052" s="22" t="str">
        <f t="shared" si="158"/>
        <v/>
      </c>
    </row>
    <row r="5053" spans="1:10">
      <c r="A5053" s="1">
        <v>41261</v>
      </c>
      <c r="B5053">
        <v>43.83</v>
      </c>
      <c r="C5053">
        <v>43.94</v>
      </c>
      <c r="D5053">
        <v>43.31</v>
      </c>
      <c r="E5053">
        <v>43.87</v>
      </c>
      <c r="F5053">
        <v>33858600</v>
      </c>
      <c r="G5053">
        <v>42.39</v>
      </c>
      <c r="H5053" t="s">
        <v>9</v>
      </c>
      <c r="I5053" s="22">
        <f t="shared" si="157"/>
        <v>8.7667899476912715E-3</v>
      </c>
      <c r="J5053" s="22" t="str">
        <f t="shared" si="158"/>
        <v/>
      </c>
    </row>
    <row r="5054" spans="1:10">
      <c r="A5054" s="1">
        <v>41262</v>
      </c>
      <c r="B5054">
        <v>43.99</v>
      </c>
      <c r="C5054">
        <v>44.39</v>
      </c>
      <c r="D5054">
        <v>43.42</v>
      </c>
      <c r="E5054">
        <v>43.53</v>
      </c>
      <c r="F5054">
        <v>34348500</v>
      </c>
      <c r="G5054">
        <v>42.07</v>
      </c>
      <c r="H5054" t="s">
        <v>9</v>
      </c>
      <c r="I5054" s="22">
        <f t="shared" si="157"/>
        <v>-7.5775877621162956E-3</v>
      </c>
      <c r="J5054" s="22" t="str">
        <f t="shared" si="158"/>
        <v>lost money</v>
      </c>
    </row>
    <row r="5055" spans="1:10">
      <c r="A5055" s="1">
        <v>41263</v>
      </c>
      <c r="B5055">
        <v>43.69</v>
      </c>
      <c r="C5055">
        <v>44.54</v>
      </c>
      <c r="D5055">
        <v>43.41</v>
      </c>
      <c r="E5055">
        <v>44.53</v>
      </c>
      <c r="F5055">
        <v>25014900</v>
      </c>
      <c r="G5055">
        <v>43.03</v>
      </c>
      <c r="H5055" t="s">
        <v>9</v>
      </c>
      <c r="I5055" s="22">
        <f t="shared" si="157"/>
        <v>2.2562649248078857E-2</v>
      </c>
      <c r="J5055" s="22" t="str">
        <f t="shared" si="158"/>
        <v/>
      </c>
    </row>
    <row r="5056" spans="1:10">
      <c r="A5056" s="1">
        <v>41264</v>
      </c>
      <c r="B5056">
        <v>43.82</v>
      </c>
      <c r="C5056">
        <v>44.2</v>
      </c>
      <c r="D5056">
        <v>43.34</v>
      </c>
      <c r="E5056">
        <v>44</v>
      </c>
      <c r="F5056">
        <v>38973500</v>
      </c>
      <c r="G5056">
        <v>42.52</v>
      </c>
      <c r="H5056" t="s">
        <v>9</v>
      </c>
      <c r="I5056" s="22">
        <f t="shared" si="157"/>
        <v>-1.192299337676106E-2</v>
      </c>
      <c r="J5056" s="22" t="str">
        <f t="shared" si="158"/>
        <v/>
      </c>
    </row>
    <row r="5057" spans="1:10">
      <c r="A5057" s="1">
        <v>41267</v>
      </c>
      <c r="B5057">
        <v>43.72</v>
      </c>
      <c r="C5057">
        <v>44.02</v>
      </c>
      <c r="D5057">
        <v>43.71</v>
      </c>
      <c r="E5057">
        <v>43.92</v>
      </c>
      <c r="F5057">
        <v>8621200</v>
      </c>
      <c r="G5057">
        <v>42.44</v>
      </c>
      <c r="H5057" t="s">
        <v>9</v>
      </c>
      <c r="I5057" s="22">
        <f t="shared" si="157"/>
        <v>-1.8832397279649287E-3</v>
      </c>
      <c r="J5057" s="22" t="str">
        <f t="shared" si="158"/>
        <v/>
      </c>
    </row>
    <row r="5058" spans="1:10">
      <c r="A5058" s="1">
        <v>41269</v>
      </c>
      <c r="B5058">
        <v>43.95</v>
      </c>
      <c r="C5058">
        <v>44.18</v>
      </c>
      <c r="D5058">
        <v>43.72</v>
      </c>
      <c r="E5058">
        <v>43.96</v>
      </c>
      <c r="F5058">
        <v>11498900</v>
      </c>
      <c r="G5058">
        <v>42.48</v>
      </c>
      <c r="H5058" t="s">
        <v>9</v>
      </c>
      <c r="I5058" s="22">
        <f t="shared" si="157"/>
        <v>9.4206318790093649E-4</v>
      </c>
      <c r="J5058" s="22" t="str">
        <f t="shared" si="158"/>
        <v/>
      </c>
    </row>
    <row r="5059" spans="1:10">
      <c r="A5059" s="1">
        <v>41270</v>
      </c>
      <c r="B5059">
        <v>43.96</v>
      </c>
      <c r="C5059">
        <v>44.02</v>
      </c>
      <c r="D5059">
        <v>42.9</v>
      </c>
      <c r="E5059">
        <v>43.63</v>
      </c>
      <c r="F5059">
        <v>19567000</v>
      </c>
      <c r="G5059">
        <v>42.16</v>
      </c>
      <c r="H5059" t="s">
        <v>9</v>
      </c>
      <c r="I5059" s="22">
        <f t="shared" ref="I5059:I5122" si="159">IF(A5059=$A$2,"",LN(G5059/G5058))</f>
        <v>-7.5614727005764749E-3</v>
      </c>
      <c r="J5059" s="22" t="str">
        <f t="shared" ref="J5059:J5122" si="160">IF(B5059&gt;E5059,"lost money","")</f>
        <v>lost money</v>
      </c>
    </row>
    <row r="5060" spans="1:10">
      <c r="A5060" s="1">
        <v>41271</v>
      </c>
      <c r="B5060">
        <v>43.1</v>
      </c>
      <c r="C5060">
        <v>43.69</v>
      </c>
      <c r="D5060">
        <v>43.09</v>
      </c>
      <c r="E5060">
        <v>43.24</v>
      </c>
      <c r="F5060">
        <v>15401200</v>
      </c>
      <c r="G5060">
        <v>41.79</v>
      </c>
      <c r="H5060" t="s">
        <v>9</v>
      </c>
      <c r="I5060" s="22">
        <f t="shared" si="159"/>
        <v>-8.8148277732827632E-3</v>
      </c>
      <c r="J5060" s="22" t="str">
        <f t="shared" si="160"/>
        <v/>
      </c>
    </row>
    <row r="5061" spans="1:10">
      <c r="A5061" s="1">
        <v>41274</v>
      </c>
      <c r="B5061">
        <v>43.1</v>
      </c>
      <c r="C5061">
        <v>44</v>
      </c>
      <c r="D5061">
        <v>43.05</v>
      </c>
      <c r="E5061">
        <v>43.97</v>
      </c>
      <c r="F5061">
        <v>24209600</v>
      </c>
      <c r="G5061">
        <v>42.49</v>
      </c>
      <c r="H5061" t="s">
        <v>9</v>
      </c>
      <c r="I5061" s="22">
        <f t="shared" si="159"/>
        <v>1.6611677666896175E-2</v>
      </c>
      <c r="J5061" s="22" t="str">
        <f t="shared" si="160"/>
        <v/>
      </c>
    </row>
    <row r="5062" spans="1:10">
      <c r="A5062" s="1">
        <v>41276</v>
      </c>
      <c r="B5062">
        <v>44.98</v>
      </c>
      <c r="C5062">
        <v>45</v>
      </c>
      <c r="D5062">
        <v>44.22</v>
      </c>
      <c r="E5062">
        <v>44.66</v>
      </c>
      <c r="F5062">
        <v>31413000</v>
      </c>
      <c r="G5062">
        <v>43.45</v>
      </c>
      <c r="H5062" t="s">
        <v>9</v>
      </c>
      <c r="I5062" s="22">
        <f t="shared" si="159"/>
        <v>2.234209758468084E-2</v>
      </c>
      <c r="J5062" s="22" t="str">
        <f t="shared" si="160"/>
        <v>lost money</v>
      </c>
    </row>
    <row r="5063" spans="1:10">
      <c r="A5063" s="1">
        <v>41277</v>
      </c>
      <c r="B5063">
        <v>44.74</v>
      </c>
      <c r="C5063">
        <v>44.75</v>
      </c>
      <c r="D5063">
        <v>44.2</v>
      </c>
      <c r="E5063">
        <v>44.57</v>
      </c>
      <c r="F5063">
        <v>24227700</v>
      </c>
      <c r="G5063">
        <v>43.37</v>
      </c>
      <c r="H5063" t="s">
        <v>9</v>
      </c>
      <c r="I5063" s="22">
        <f t="shared" si="159"/>
        <v>-1.8428938641262679E-3</v>
      </c>
      <c r="J5063" s="22" t="str">
        <f t="shared" si="160"/>
        <v>lost money</v>
      </c>
    </row>
    <row r="5064" spans="1:10">
      <c r="A5064" s="1">
        <v>41278</v>
      </c>
      <c r="B5064">
        <v>44.45</v>
      </c>
      <c r="C5064">
        <v>45.43</v>
      </c>
      <c r="D5064">
        <v>44.44</v>
      </c>
      <c r="E5064">
        <v>45.36</v>
      </c>
      <c r="F5064">
        <v>24487700</v>
      </c>
      <c r="G5064">
        <v>44.14</v>
      </c>
      <c r="H5064" t="s">
        <v>9</v>
      </c>
      <c r="I5064" s="22">
        <f t="shared" si="159"/>
        <v>1.7598442981315566E-2</v>
      </c>
      <c r="J5064" s="22" t="str">
        <f t="shared" si="160"/>
        <v/>
      </c>
    </row>
    <row r="5065" spans="1:10">
      <c r="A5065" s="1">
        <v>41281</v>
      </c>
      <c r="B5065">
        <v>45.09</v>
      </c>
      <c r="C5065">
        <v>45.49</v>
      </c>
      <c r="D5065">
        <v>45.02</v>
      </c>
      <c r="E5065">
        <v>45.41</v>
      </c>
      <c r="F5065">
        <v>24456900</v>
      </c>
      <c r="G5065">
        <v>44.18</v>
      </c>
      <c r="H5065" t="s">
        <v>9</v>
      </c>
      <c r="I5065" s="22">
        <f t="shared" si="159"/>
        <v>9.0579716338082912E-4</v>
      </c>
      <c r="J5065" s="22" t="str">
        <f t="shared" si="160"/>
        <v/>
      </c>
    </row>
    <row r="5066" spans="1:10">
      <c r="A5066" s="1">
        <v>41282</v>
      </c>
      <c r="B5066">
        <v>45.4</v>
      </c>
      <c r="C5066">
        <v>45.5</v>
      </c>
      <c r="D5066">
        <v>44.96</v>
      </c>
      <c r="E5066">
        <v>45.5</v>
      </c>
      <c r="F5066">
        <v>19624200</v>
      </c>
      <c r="G5066">
        <v>44.27</v>
      </c>
      <c r="H5066" t="s">
        <v>9</v>
      </c>
      <c r="I5066" s="22">
        <f t="shared" si="159"/>
        <v>2.0350487520785984E-3</v>
      </c>
      <c r="J5066" s="22" t="str">
        <f t="shared" si="160"/>
        <v/>
      </c>
    </row>
    <row r="5067" spans="1:10">
      <c r="A5067" s="1">
        <v>41283</v>
      </c>
      <c r="B5067">
        <v>45.56</v>
      </c>
      <c r="C5067">
        <v>46.2</v>
      </c>
      <c r="D5067">
        <v>45.14</v>
      </c>
      <c r="E5067">
        <v>45.47</v>
      </c>
      <c r="F5067">
        <v>25920600</v>
      </c>
      <c r="G5067">
        <v>44.24</v>
      </c>
      <c r="H5067" t="s">
        <v>9</v>
      </c>
      <c r="I5067" s="22">
        <f t="shared" si="159"/>
        <v>-6.7788952997028227E-4</v>
      </c>
      <c r="J5067" s="22" t="str">
        <f t="shared" si="160"/>
        <v>lost money</v>
      </c>
    </row>
    <row r="5068" spans="1:10">
      <c r="A5068" s="1">
        <v>41284</v>
      </c>
      <c r="B5068">
        <v>45.89</v>
      </c>
      <c r="C5068">
        <v>46.16</v>
      </c>
      <c r="D5068">
        <v>45.53</v>
      </c>
      <c r="E5068">
        <v>46.15</v>
      </c>
      <c r="F5068">
        <v>23413600</v>
      </c>
      <c r="G5068">
        <v>44.9</v>
      </c>
      <c r="H5068" t="s">
        <v>9</v>
      </c>
      <c r="I5068" s="22">
        <f t="shared" si="159"/>
        <v>1.4808437534129203E-2</v>
      </c>
      <c r="J5068" s="22" t="str">
        <f t="shared" si="160"/>
        <v/>
      </c>
    </row>
    <row r="5069" spans="1:10">
      <c r="A5069" s="1">
        <v>41285</v>
      </c>
      <c r="B5069">
        <v>45.97</v>
      </c>
      <c r="C5069">
        <v>46.15</v>
      </c>
      <c r="D5069">
        <v>45.47</v>
      </c>
      <c r="E5069">
        <v>46.14</v>
      </c>
      <c r="F5069">
        <v>19723900</v>
      </c>
      <c r="G5069">
        <v>44.89</v>
      </c>
      <c r="H5069" t="s">
        <v>9</v>
      </c>
      <c r="I5069" s="22">
        <f t="shared" si="159"/>
        <v>-2.2274195436776514E-4</v>
      </c>
      <c r="J5069" s="22" t="str">
        <f t="shared" si="160"/>
        <v/>
      </c>
    </row>
    <row r="5070" spans="1:10">
      <c r="A5070" s="1">
        <v>41288</v>
      </c>
      <c r="B5070">
        <v>45.89</v>
      </c>
      <c r="C5070">
        <v>46.18</v>
      </c>
      <c r="D5070">
        <v>45.48</v>
      </c>
      <c r="E5070">
        <v>45.88</v>
      </c>
      <c r="F5070">
        <v>19079500</v>
      </c>
      <c r="G5070">
        <v>44.64</v>
      </c>
      <c r="H5070" t="s">
        <v>9</v>
      </c>
      <c r="I5070" s="22">
        <f t="shared" si="159"/>
        <v>-5.5847347207852761E-3</v>
      </c>
      <c r="J5070" s="22" t="str">
        <f t="shared" si="160"/>
        <v>lost money</v>
      </c>
    </row>
    <row r="5071" spans="1:10">
      <c r="A5071" s="1">
        <v>41289</v>
      </c>
      <c r="B5071">
        <v>45.49</v>
      </c>
      <c r="C5071">
        <v>46.47</v>
      </c>
      <c r="D5071">
        <v>45.35</v>
      </c>
      <c r="E5071">
        <v>46.35</v>
      </c>
      <c r="F5071">
        <v>29898000</v>
      </c>
      <c r="G5071">
        <v>45.1</v>
      </c>
      <c r="H5071" t="s">
        <v>9</v>
      </c>
      <c r="I5071" s="22">
        <f t="shared" si="159"/>
        <v>1.0251928435577193E-2</v>
      </c>
      <c r="J5071" s="22" t="str">
        <f t="shared" si="160"/>
        <v/>
      </c>
    </row>
    <row r="5072" spans="1:10">
      <c r="A5072" s="1">
        <v>41290</v>
      </c>
      <c r="B5072">
        <v>45.91</v>
      </c>
      <c r="C5072">
        <v>46.83</v>
      </c>
      <c r="D5072">
        <v>45.57</v>
      </c>
      <c r="E5072">
        <v>46.82</v>
      </c>
      <c r="F5072">
        <v>43453600</v>
      </c>
      <c r="G5072">
        <v>45.56</v>
      </c>
      <c r="H5072" t="s">
        <v>9</v>
      </c>
      <c r="I5072" s="22">
        <f t="shared" si="159"/>
        <v>1.0147892070348776E-2</v>
      </c>
      <c r="J5072" s="22" t="str">
        <f t="shared" si="160"/>
        <v/>
      </c>
    </row>
    <row r="5073" spans="1:10">
      <c r="A5073" s="1">
        <v>41291</v>
      </c>
      <c r="B5073">
        <v>46.4</v>
      </c>
      <c r="C5073">
        <v>46.87</v>
      </c>
      <c r="D5073">
        <v>46.29</v>
      </c>
      <c r="E5073">
        <v>46.44</v>
      </c>
      <c r="F5073">
        <v>41086800</v>
      </c>
      <c r="G5073">
        <v>45.19</v>
      </c>
      <c r="H5073" t="s">
        <v>9</v>
      </c>
      <c r="I5073" s="22">
        <f t="shared" si="159"/>
        <v>-8.1543151557931619E-3</v>
      </c>
      <c r="J5073" s="22" t="str">
        <f t="shared" si="160"/>
        <v/>
      </c>
    </row>
    <row r="5074" spans="1:10">
      <c r="A5074" s="1">
        <v>41292</v>
      </c>
      <c r="B5074">
        <v>46.38</v>
      </c>
      <c r="C5074">
        <v>46.6</v>
      </c>
      <c r="D5074">
        <v>46.18</v>
      </c>
      <c r="E5074">
        <v>46.46</v>
      </c>
      <c r="F5074">
        <v>28679100</v>
      </c>
      <c r="G5074">
        <v>45.21</v>
      </c>
      <c r="H5074" t="s">
        <v>9</v>
      </c>
      <c r="I5074" s="22">
        <f t="shared" si="159"/>
        <v>4.4247788332564558E-4</v>
      </c>
      <c r="J5074" s="22" t="str">
        <f t="shared" si="160"/>
        <v/>
      </c>
    </row>
    <row r="5075" spans="1:10">
      <c r="A5075" s="1">
        <v>41296</v>
      </c>
      <c r="B5075">
        <v>46.25</v>
      </c>
      <c r="C5075">
        <v>46.55</v>
      </c>
      <c r="D5075">
        <v>46.13</v>
      </c>
      <c r="E5075">
        <v>46.54</v>
      </c>
      <c r="F5075">
        <v>24257300</v>
      </c>
      <c r="G5075">
        <v>45.28</v>
      </c>
      <c r="H5075" t="s">
        <v>9</v>
      </c>
      <c r="I5075" s="22">
        <f t="shared" si="159"/>
        <v>1.5471325884136794E-3</v>
      </c>
      <c r="J5075" s="22" t="str">
        <f t="shared" si="160"/>
        <v/>
      </c>
    </row>
    <row r="5076" spans="1:10">
      <c r="A5076" s="1">
        <v>41297</v>
      </c>
      <c r="B5076">
        <v>46.23</v>
      </c>
      <c r="C5076">
        <v>46.44</v>
      </c>
      <c r="D5076">
        <v>45.92</v>
      </c>
      <c r="E5076">
        <v>46.23</v>
      </c>
      <c r="F5076">
        <v>19105100</v>
      </c>
      <c r="G5076">
        <v>44.98</v>
      </c>
      <c r="H5076" t="s">
        <v>9</v>
      </c>
      <c r="I5076" s="22">
        <f t="shared" si="159"/>
        <v>-6.6474873637579176E-3</v>
      </c>
      <c r="J5076" s="22" t="str">
        <f t="shared" si="160"/>
        <v/>
      </c>
    </row>
    <row r="5077" spans="1:10">
      <c r="A5077" s="1">
        <v>41298</v>
      </c>
      <c r="B5077">
        <v>46.24</v>
      </c>
      <c r="C5077">
        <v>46.8</v>
      </c>
      <c r="D5077">
        <v>46.08</v>
      </c>
      <c r="E5077">
        <v>46.37</v>
      </c>
      <c r="F5077">
        <v>20008200</v>
      </c>
      <c r="G5077">
        <v>45.12</v>
      </c>
      <c r="H5077" t="s">
        <v>9</v>
      </c>
      <c r="I5077" s="22">
        <f t="shared" si="159"/>
        <v>3.1076606586338783E-3</v>
      </c>
      <c r="J5077" s="22" t="str">
        <f t="shared" si="160"/>
        <v/>
      </c>
    </row>
    <row r="5078" spans="1:10">
      <c r="A5078" s="1">
        <v>41299</v>
      </c>
      <c r="B5078">
        <v>46.74</v>
      </c>
      <c r="C5078">
        <v>47.16</v>
      </c>
      <c r="D5078">
        <v>46.61</v>
      </c>
      <c r="E5078">
        <v>47.16</v>
      </c>
      <c r="F5078">
        <v>26009100</v>
      </c>
      <c r="G5078">
        <v>45.89</v>
      </c>
      <c r="H5078" t="s">
        <v>9</v>
      </c>
      <c r="I5078" s="22">
        <f t="shared" si="159"/>
        <v>1.6921621216938659E-2</v>
      </c>
      <c r="J5078" s="22" t="str">
        <f t="shared" si="160"/>
        <v/>
      </c>
    </row>
    <row r="5079" spans="1:10">
      <c r="A5079" s="1">
        <v>41302</v>
      </c>
      <c r="B5079">
        <v>46.84</v>
      </c>
      <c r="C5079">
        <v>47</v>
      </c>
      <c r="D5079">
        <v>46.48</v>
      </c>
      <c r="E5079">
        <v>46.64</v>
      </c>
      <c r="F5079">
        <v>19706800</v>
      </c>
      <c r="G5079">
        <v>45.38</v>
      </c>
      <c r="H5079" t="s">
        <v>9</v>
      </c>
      <c r="I5079" s="22">
        <f t="shared" si="159"/>
        <v>-1.1175749055046423E-2</v>
      </c>
      <c r="J5079" s="22" t="str">
        <f t="shared" si="160"/>
        <v>lost money</v>
      </c>
    </row>
    <row r="5080" spans="1:10">
      <c r="A5080" s="1">
        <v>41303</v>
      </c>
      <c r="B5080">
        <v>46.28</v>
      </c>
      <c r="C5080">
        <v>47.16</v>
      </c>
      <c r="D5080">
        <v>46.25</v>
      </c>
      <c r="E5080">
        <v>47.12</v>
      </c>
      <c r="F5080">
        <v>19907400</v>
      </c>
      <c r="G5080">
        <v>45.85</v>
      </c>
      <c r="H5080" t="s">
        <v>9</v>
      </c>
      <c r="I5080" s="22">
        <f t="shared" si="159"/>
        <v>1.0303719350778154E-2</v>
      </c>
      <c r="J5080" s="22" t="str">
        <f t="shared" si="160"/>
        <v/>
      </c>
    </row>
    <row r="5081" spans="1:10">
      <c r="A5081" s="1">
        <v>41304</v>
      </c>
      <c r="B5081">
        <v>47.04</v>
      </c>
      <c r="C5081">
        <v>47.35</v>
      </c>
      <c r="D5081">
        <v>46.96</v>
      </c>
      <c r="E5081">
        <v>47.13</v>
      </c>
      <c r="F5081">
        <v>18631300</v>
      </c>
      <c r="G5081">
        <v>45.86</v>
      </c>
      <c r="H5081" t="s">
        <v>9</v>
      </c>
      <c r="I5081" s="22">
        <f t="shared" si="159"/>
        <v>2.1807872728456766E-4</v>
      </c>
      <c r="J5081" s="22" t="str">
        <f t="shared" si="160"/>
        <v/>
      </c>
    </row>
    <row r="5082" spans="1:10">
      <c r="A5082" s="1">
        <v>41305</v>
      </c>
      <c r="B5082">
        <v>47.01</v>
      </c>
      <c r="C5082">
        <v>47.22</v>
      </c>
      <c r="D5082">
        <v>46.88</v>
      </c>
      <c r="E5082">
        <v>47.05</v>
      </c>
      <c r="F5082">
        <v>19536000</v>
      </c>
      <c r="G5082">
        <v>45.78</v>
      </c>
      <c r="H5082" t="s">
        <v>9</v>
      </c>
      <c r="I5082" s="22">
        <f t="shared" si="159"/>
        <v>-1.7459629053377533E-3</v>
      </c>
      <c r="J5082" s="22" t="str">
        <f t="shared" si="160"/>
        <v/>
      </c>
    </row>
    <row r="5083" spans="1:10">
      <c r="A5083" s="1">
        <v>41306</v>
      </c>
      <c r="B5083">
        <v>47.4</v>
      </c>
      <c r="C5083">
        <v>48</v>
      </c>
      <c r="D5083">
        <v>47.21</v>
      </c>
      <c r="E5083">
        <v>47.85</v>
      </c>
      <c r="F5083">
        <v>24520000</v>
      </c>
      <c r="G5083">
        <v>46.56</v>
      </c>
      <c r="H5083" t="s">
        <v>9</v>
      </c>
      <c r="I5083" s="22">
        <f t="shared" si="159"/>
        <v>1.6894488898761831E-2</v>
      </c>
      <c r="J5083" s="22" t="str">
        <f t="shared" si="160"/>
        <v/>
      </c>
    </row>
    <row r="5084" spans="1:10">
      <c r="A5084" s="1">
        <v>41309</v>
      </c>
      <c r="B5084">
        <v>47.54</v>
      </c>
      <c r="C5084">
        <v>47.81</v>
      </c>
      <c r="D5084">
        <v>47.38</v>
      </c>
      <c r="E5084">
        <v>47.68</v>
      </c>
      <c r="F5084">
        <v>20822600</v>
      </c>
      <c r="G5084">
        <v>46.39</v>
      </c>
      <c r="H5084" t="s">
        <v>9</v>
      </c>
      <c r="I5084" s="22">
        <f t="shared" si="159"/>
        <v>-3.6578846595300635E-3</v>
      </c>
      <c r="J5084" s="22" t="str">
        <f t="shared" si="160"/>
        <v/>
      </c>
    </row>
    <row r="5085" spans="1:10">
      <c r="A5085" s="1">
        <v>41310</v>
      </c>
      <c r="B5085">
        <v>47.94</v>
      </c>
      <c r="C5085">
        <v>48.8</v>
      </c>
      <c r="D5085">
        <v>47.93</v>
      </c>
      <c r="E5085">
        <v>48.79</v>
      </c>
      <c r="F5085">
        <v>28067500</v>
      </c>
      <c r="G5085">
        <v>47.47</v>
      </c>
      <c r="H5085" t="s">
        <v>9</v>
      </c>
      <c r="I5085" s="22">
        <f t="shared" si="159"/>
        <v>2.3014013799574361E-2</v>
      </c>
      <c r="J5085" s="22" t="str">
        <f t="shared" si="160"/>
        <v/>
      </c>
    </row>
    <row r="5086" spans="1:10">
      <c r="A5086" s="1">
        <v>41311</v>
      </c>
      <c r="B5086">
        <v>48.42</v>
      </c>
      <c r="C5086">
        <v>48.83</v>
      </c>
      <c r="D5086">
        <v>48.32</v>
      </c>
      <c r="E5086">
        <v>48.61</v>
      </c>
      <c r="F5086">
        <v>28282600</v>
      </c>
      <c r="G5086">
        <v>47.3</v>
      </c>
      <c r="H5086" t="s">
        <v>9</v>
      </c>
      <c r="I5086" s="22">
        <f t="shared" si="159"/>
        <v>-3.5876370653393705E-3</v>
      </c>
      <c r="J5086" s="22" t="str">
        <f t="shared" si="160"/>
        <v/>
      </c>
    </row>
    <row r="5087" spans="1:10">
      <c r="A5087" s="1">
        <v>41312</v>
      </c>
      <c r="B5087">
        <v>48.65</v>
      </c>
      <c r="C5087">
        <v>48.75</v>
      </c>
      <c r="D5087">
        <v>47.9</v>
      </c>
      <c r="E5087">
        <v>48.23</v>
      </c>
      <c r="F5087">
        <v>21429600</v>
      </c>
      <c r="G5087">
        <v>46.93</v>
      </c>
      <c r="H5087" t="s">
        <v>9</v>
      </c>
      <c r="I5087" s="22">
        <f t="shared" si="159"/>
        <v>-7.8531656915609063E-3</v>
      </c>
      <c r="J5087" s="22" t="str">
        <f t="shared" si="160"/>
        <v>lost money</v>
      </c>
    </row>
    <row r="5088" spans="1:10">
      <c r="A5088" s="1">
        <v>41313</v>
      </c>
      <c r="B5088">
        <v>48.33</v>
      </c>
      <c r="C5088">
        <v>48.69</v>
      </c>
      <c r="D5088">
        <v>48.26</v>
      </c>
      <c r="E5088">
        <v>48.63</v>
      </c>
      <c r="F5088">
        <v>15218300</v>
      </c>
      <c r="G5088">
        <v>47.32</v>
      </c>
      <c r="H5088" t="s">
        <v>9</v>
      </c>
      <c r="I5088" s="22">
        <f t="shared" si="159"/>
        <v>8.2759093038596611E-3</v>
      </c>
      <c r="J5088" s="22" t="str">
        <f t="shared" si="160"/>
        <v/>
      </c>
    </row>
    <row r="5089" spans="1:10">
      <c r="A5089" s="1">
        <v>41316</v>
      </c>
      <c r="B5089">
        <v>48.51</v>
      </c>
      <c r="C5089">
        <v>48.9</v>
      </c>
      <c r="D5089">
        <v>48.38</v>
      </c>
      <c r="E5089">
        <v>48.66</v>
      </c>
      <c r="F5089">
        <v>13935900</v>
      </c>
      <c r="G5089">
        <v>47.35</v>
      </c>
      <c r="H5089" t="s">
        <v>9</v>
      </c>
      <c r="I5089" s="22">
        <f t="shared" si="159"/>
        <v>6.3378052190118613E-4</v>
      </c>
      <c r="J5089" s="22" t="str">
        <f t="shared" si="160"/>
        <v/>
      </c>
    </row>
    <row r="5090" spans="1:10">
      <c r="A5090" s="1">
        <v>41317</v>
      </c>
      <c r="B5090">
        <v>48.8</v>
      </c>
      <c r="C5090">
        <v>49.31</v>
      </c>
      <c r="D5090">
        <v>48.6</v>
      </c>
      <c r="E5090">
        <v>49.14</v>
      </c>
      <c r="F5090">
        <v>16388000</v>
      </c>
      <c r="G5090">
        <v>47.81</v>
      </c>
      <c r="H5090" t="s">
        <v>9</v>
      </c>
      <c r="I5090" s="22">
        <f t="shared" si="159"/>
        <v>9.6680030059248228E-3</v>
      </c>
      <c r="J5090" s="22" t="str">
        <f t="shared" si="160"/>
        <v/>
      </c>
    </row>
    <row r="5091" spans="1:10">
      <c r="A5091" s="1">
        <v>41318</v>
      </c>
      <c r="B5091">
        <v>49.35</v>
      </c>
      <c r="C5091">
        <v>49.45</v>
      </c>
      <c r="D5091">
        <v>48.5</v>
      </c>
      <c r="E5091">
        <v>48.68</v>
      </c>
      <c r="F5091">
        <v>21635600</v>
      </c>
      <c r="G5091">
        <v>47.37</v>
      </c>
      <c r="H5091" t="s">
        <v>9</v>
      </c>
      <c r="I5091" s="22">
        <f t="shared" si="159"/>
        <v>-9.2457057023516507E-3</v>
      </c>
      <c r="J5091" s="22" t="str">
        <f t="shared" si="160"/>
        <v>lost money</v>
      </c>
    </row>
    <row r="5092" spans="1:10">
      <c r="A5092" s="1">
        <v>41319</v>
      </c>
      <c r="B5092">
        <v>48.4</v>
      </c>
      <c r="C5092">
        <v>49.29</v>
      </c>
      <c r="D5092">
        <v>48.37</v>
      </c>
      <c r="E5092">
        <v>49.22</v>
      </c>
      <c r="F5092">
        <v>18017800</v>
      </c>
      <c r="G5092">
        <v>47.89</v>
      </c>
      <c r="H5092" t="s">
        <v>9</v>
      </c>
      <c r="I5092" s="22">
        <f t="shared" si="159"/>
        <v>1.0917597418857707E-2</v>
      </c>
      <c r="J5092" s="22" t="str">
        <f t="shared" si="160"/>
        <v/>
      </c>
    </row>
    <row r="5093" spans="1:10">
      <c r="A5093" s="1">
        <v>41320</v>
      </c>
      <c r="B5093">
        <v>49.35</v>
      </c>
      <c r="C5093">
        <v>49.46</v>
      </c>
      <c r="D5093">
        <v>48.57</v>
      </c>
      <c r="E5093">
        <v>48.88</v>
      </c>
      <c r="F5093">
        <v>20016200</v>
      </c>
      <c r="G5093">
        <v>47.56</v>
      </c>
      <c r="H5093" t="s">
        <v>9</v>
      </c>
      <c r="I5093" s="22">
        <f t="shared" si="159"/>
        <v>-6.9146425319368231E-3</v>
      </c>
      <c r="J5093" s="22" t="str">
        <f t="shared" si="160"/>
        <v>lost money</v>
      </c>
    </row>
    <row r="5094" spans="1:10">
      <c r="A5094" s="1">
        <v>41324</v>
      </c>
      <c r="B5094">
        <v>49.12</v>
      </c>
      <c r="C5094">
        <v>49.68</v>
      </c>
      <c r="D5094">
        <v>49.12</v>
      </c>
      <c r="E5094">
        <v>49.45</v>
      </c>
      <c r="F5094">
        <v>20445900</v>
      </c>
      <c r="G5094">
        <v>48.12</v>
      </c>
      <c r="H5094" t="s">
        <v>9</v>
      </c>
      <c r="I5094" s="22">
        <f t="shared" si="159"/>
        <v>1.1705819283896845E-2</v>
      </c>
      <c r="J5094" s="22" t="str">
        <f t="shared" si="160"/>
        <v/>
      </c>
    </row>
    <row r="5095" spans="1:10">
      <c r="A5095" s="1">
        <v>41325</v>
      </c>
      <c r="B5095">
        <v>49.35</v>
      </c>
      <c r="C5095">
        <v>49.54</v>
      </c>
      <c r="D5095">
        <v>48.36</v>
      </c>
      <c r="E5095">
        <v>48.61</v>
      </c>
      <c r="F5095">
        <v>24786700</v>
      </c>
      <c r="G5095">
        <v>47.3</v>
      </c>
      <c r="H5095" t="s">
        <v>9</v>
      </c>
      <c r="I5095" s="22">
        <f t="shared" si="159"/>
        <v>-1.7187595608590799E-2</v>
      </c>
      <c r="J5095" s="22" t="str">
        <f t="shared" si="160"/>
        <v>lost money</v>
      </c>
    </row>
    <row r="5096" spans="1:10">
      <c r="A5096" s="1">
        <v>41326</v>
      </c>
      <c r="B5096">
        <v>48.41</v>
      </c>
      <c r="C5096">
        <v>48.45</v>
      </c>
      <c r="D5096">
        <v>47.83</v>
      </c>
      <c r="E5096">
        <v>48.25</v>
      </c>
      <c r="F5096">
        <v>24437700</v>
      </c>
      <c r="G5096">
        <v>46.95</v>
      </c>
      <c r="H5096" t="s">
        <v>9</v>
      </c>
      <c r="I5096" s="22">
        <f t="shared" si="159"/>
        <v>-7.4270898436152293E-3</v>
      </c>
      <c r="J5096" s="22" t="str">
        <f t="shared" si="160"/>
        <v>lost money</v>
      </c>
    </row>
    <row r="5097" spans="1:10">
      <c r="A5097" s="1">
        <v>41327</v>
      </c>
      <c r="B5097">
        <v>48.63</v>
      </c>
      <c r="C5097">
        <v>48.91</v>
      </c>
      <c r="D5097">
        <v>48.41</v>
      </c>
      <c r="E5097">
        <v>48.91</v>
      </c>
      <c r="F5097">
        <v>23584100</v>
      </c>
      <c r="G5097">
        <v>47.59</v>
      </c>
      <c r="H5097" t="s">
        <v>9</v>
      </c>
      <c r="I5097" s="22">
        <f t="shared" si="159"/>
        <v>1.3539449478747117E-2</v>
      </c>
      <c r="J5097" s="22" t="str">
        <f t="shared" si="160"/>
        <v/>
      </c>
    </row>
    <row r="5098" spans="1:10">
      <c r="A5098" s="1">
        <v>41330</v>
      </c>
      <c r="B5098">
        <v>49.1</v>
      </c>
      <c r="C5098">
        <v>49.2</v>
      </c>
      <c r="D5098">
        <v>47.65</v>
      </c>
      <c r="E5098">
        <v>47.7</v>
      </c>
      <c r="F5098">
        <v>32775500</v>
      </c>
      <c r="G5098">
        <v>46.41</v>
      </c>
      <c r="H5098" t="s">
        <v>9</v>
      </c>
      <c r="I5098" s="22">
        <f t="shared" si="159"/>
        <v>-2.5107701879934757E-2</v>
      </c>
      <c r="J5098" s="22" t="str">
        <f t="shared" si="160"/>
        <v>lost money</v>
      </c>
    </row>
    <row r="5099" spans="1:10">
      <c r="A5099" s="1">
        <v>41331</v>
      </c>
      <c r="B5099">
        <v>48.22</v>
      </c>
      <c r="C5099">
        <v>48.26</v>
      </c>
      <c r="D5099">
        <v>46.85</v>
      </c>
      <c r="E5099">
        <v>47.6</v>
      </c>
      <c r="F5099">
        <v>39401400</v>
      </c>
      <c r="G5099">
        <v>46.32</v>
      </c>
      <c r="H5099" t="s">
        <v>9</v>
      </c>
      <c r="I5099" s="22">
        <f t="shared" si="159"/>
        <v>-1.9411199883445232E-3</v>
      </c>
      <c r="J5099" s="22" t="str">
        <f t="shared" si="160"/>
        <v>lost money</v>
      </c>
    </row>
    <row r="5100" spans="1:10">
      <c r="A5100" s="1">
        <v>41332</v>
      </c>
      <c r="B5100">
        <v>47.85</v>
      </c>
      <c r="C5100">
        <v>49.4</v>
      </c>
      <c r="D5100">
        <v>47.76</v>
      </c>
      <c r="E5100">
        <v>49.28</v>
      </c>
      <c r="F5100">
        <v>31921200</v>
      </c>
      <c r="G5100">
        <v>47.95</v>
      </c>
      <c r="H5100" t="s">
        <v>9</v>
      </c>
      <c r="I5100" s="22">
        <f t="shared" si="159"/>
        <v>3.4584968064707476E-2</v>
      </c>
      <c r="J5100" s="22" t="str">
        <f t="shared" si="160"/>
        <v/>
      </c>
    </row>
    <row r="5101" spans="1:10">
      <c r="A5101" s="1">
        <v>41333</v>
      </c>
      <c r="B5101">
        <v>49.16</v>
      </c>
      <c r="C5101">
        <v>49.55</v>
      </c>
      <c r="D5101">
        <v>48.75</v>
      </c>
      <c r="E5101">
        <v>48.92</v>
      </c>
      <c r="F5101">
        <v>24711500</v>
      </c>
      <c r="G5101">
        <v>47.6</v>
      </c>
      <c r="H5101" t="s">
        <v>9</v>
      </c>
      <c r="I5101" s="22">
        <f t="shared" si="159"/>
        <v>-7.3260400920728977E-3</v>
      </c>
      <c r="J5101" s="22" t="str">
        <f t="shared" si="160"/>
        <v>lost money</v>
      </c>
    </row>
    <row r="5102" spans="1:10">
      <c r="A5102" s="1">
        <v>41334</v>
      </c>
      <c r="B5102">
        <v>48.6</v>
      </c>
      <c r="C5102">
        <v>49.42</v>
      </c>
      <c r="D5102">
        <v>48.37</v>
      </c>
      <c r="E5102">
        <v>48.91</v>
      </c>
      <c r="F5102">
        <v>25923400</v>
      </c>
      <c r="G5102">
        <v>47.59</v>
      </c>
      <c r="H5102" t="s">
        <v>9</v>
      </c>
      <c r="I5102" s="22">
        <f t="shared" si="159"/>
        <v>-2.1010610435522872E-4</v>
      </c>
      <c r="J5102" s="22" t="str">
        <f t="shared" si="160"/>
        <v/>
      </c>
    </row>
    <row r="5103" spans="1:10">
      <c r="A5103" s="1">
        <v>41337</v>
      </c>
      <c r="B5103">
        <v>48.73</v>
      </c>
      <c r="C5103">
        <v>49.14</v>
      </c>
      <c r="D5103">
        <v>48.33</v>
      </c>
      <c r="E5103">
        <v>49.1</v>
      </c>
      <c r="F5103">
        <v>17695200</v>
      </c>
      <c r="G5103">
        <v>47.77</v>
      </c>
      <c r="H5103" t="s">
        <v>9</v>
      </c>
      <c r="I5103" s="22">
        <f t="shared" si="159"/>
        <v>3.7751722688514591E-3</v>
      </c>
      <c r="J5103" s="22" t="str">
        <f t="shared" si="160"/>
        <v/>
      </c>
    </row>
    <row r="5104" spans="1:10">
      <c r="A5104" s="1">
        <v>41338</v>
      </c>
      <c r="B5104">
        <v>49.49</v>
      </c>
      <c r="C5104">
        <v>50.11</v>
      </c>
      <c r="D5104">
        <v>49.31</v>
      </c>
      <c r="E5104">
        <v>49.49</v>
      </c>
      <c r="F5104">
        <v>25561100</v>
      </c>
      <c r="G5104">
        <v>48.15</v>
      </c>
      <c r="H5104" t="s">
        <v>9</v>
      </c>
      <c r="I5104" s="22">
        <f t="shared" si="159"/>
        <v>7.9233108422639038E-3</v>
      </c>
      <c r="J5104" s="22" t="str">
        <f t="shared" si="160"/>
        <v/>
      </c>
    </row>
    <row r="5105" spans="1:10">
      <c r="A5105" s="1">
        <v>41339</v>
      </c>
      <c r="B5105">
        <v>49.88</v>
      </c>
      <c r="C5105">
        <v>50.19</v>
      </c>
      <c r="D5105">
        <v>49.62</v>
      </c>
      <c r="E5105">
        <v>50.03</v>
      </c>
      <c r="F5105">
        <v>19607900</v>
      </c>
      <c r="G5105">
        <v>48.68</v>
      </c>
      <c r="H5105" t="s">
        <v>9</v>
      </c>
      <c r="I5105" s="22">
        <f t="shared" si="159"/>
        <v>1.094712987519187E-2</v>
      </c>
      <c r="J5105" s="22" t="str">
        <f t="shared" si="160"/>
        <v/>
      </c>
    </row>
    <row r="5106" spans="1:10">
      <c r="A5106" s="1">
        <v>41340</v>
      </c>
      <c r="B5106">
        <v>50.05</v>
      </c>
      <c r="C5106">
        <v>50.86</v>
      </c>
      <c r="D5106">
        <v>50.01</v>
      </c>
      <c r="E5106">
        <v>50.63</v>
      </c>
      <c r="F5106">
        <v>24245400</v>
      </c>
      <c r="G5106">
        <v>49.26</v>
      </c>
      <c r="H5106" t="s">
        <v>9</v>
      </c>
      <c r="I5106" s="22">
        <f t="shared" si="159"/>
        <v>1.1844124573065478E-2</v>
      </c>
      <c r="J5106" s="22" t="str">
        <f t="shared" si="160"/>
        <v/>
      </c>
    </row>
    <row r="5107" spans="1:10">
      <c r="A5107" s="1">
        <v>41341</v>
      </c>
      <c r="B5107">
        <v>50.59</v>
      </c>
      <c r="C5107">
        <v>50.85</v>
      </c>
      <c r="D5107">
        <v>49.61</v>
      </c>
      <c r="E5107">
        <v>50.2</v>
      </c>
      <c r="F5107">
        <v>32711900</v>
      </c>
      <c r="G5107">
        <v>48.85</v>
      </c>
      <c r="H5107" t="s">
        <v>9</v>
      </c>
      <c r="I5107" s="22">
        <f t="shared" si="159"/>
        <v>-8.3580142036000175E-3</v>
      </c>
      <c r="J5107" s="22" t="str">
        <f t="shared" si="160"/>
        <v>lost money</v>
      </c>
    </row>
    <row r="5108" spans="1:10">
      <c r="A5108" s="1">
        <v>41344</v>
      </c>
      <c r="B5108">
        <v>50.23</v>
      </c>
      <c r="C5108">
        <v>50.77</v>
      </c>
      <c r="D5108">
        <v>49.91</v>
      </c>
      <c r="E5108">
        <v>50.48</v>
      </c>
      <c r="F5108">
        <v>19473000</v>
      </c>
      <c r="G5108">
        <v>49.12</v>
      </c>
      <c r="H5108" t="s">
        <v>9</v>
      </c>
      <c r="I5108" s="22">
        <f t="shared" si="159"/>
        <v>5.511905350095137E-3</v>
      </c>
      <c r="J5108" s="22" t="str">
        <f t="shared" si="160"/>
        <v/>
      </c>
    </row>
    <row r="5109" spans="1:10">
      <c r="A5109" s="1">
        <v>41345</v>
      </c>
      <c r="B5109">
        <v>50.35</v>
      </c>
      <c r="C5109">
        <v>50.67</v>
      </c>
      <c r="D5109">
        <v>50.05</v>
      </c>
      <c r="E5109">
        <v>50.28</v>
      </c>
      <c r="F5109">
        <v>18003400</v>
      </c>
      <c r="G5109">
        <v>48.92</v>
      </c>
      <c r="H5109" t="s">
        <v>9</v>
      </c>
      <c r="I5109" s="22">
        <f t="shared" si="159"/>
        <v>-4.0799730199153079E-3</v>
      </c>
      <c r="J5109" s="22" t="str">
        <f t="shared" si="160"/>
        <v>lost money</v>
      </c>
    </row>
    <row r="5110" spans="1:10">
      <c r="A5110" s="1">
        <v>41346</v>
      </c>
      <c r="B5110">
        <v>50.29</v>
      </c>
      <c r="C5110">
        <v>50.43</v>
      </c>
      <c r="D5110">
        <v>50.11</v>
      </c>
      <c r="E5110">
        <v>50.16</v>
      </c>
      <c r="F5110">
        <v>16680200</v>
      </c>
      <c r="G5110">
        <v>48.81</v>
      </c>
      <c r="H5110" t="s">
        <v>9</v>
      </c>
      <c r="I5110" s="22">
        <f t="shared" si="159"/>
        <v>-2.2511009199155272E-3</v>
      </c>
      <c r="J5110" s="22" t="str">
        <f t="shared" si="160"/>
        <v>lost money</v>
      </c>
    </row>
    <row r="5111" spans="1:10">
      <c r="A5111" s="1">
        <v>41347</v>
      </c>
      <c r="B5111">
        <v>50.25</v>
      </c>
      <c r="C5111">
        <v>51</v>
      </c>
      <c r="D5111">
        <v>50.19</v>
      </c>
      <c r="E5111">
        <v>51</v>
      </c>
      <c r="F5111">
        <v>26378700</v>
      </c>
      <c r="G5111">
        <v>49.62</v>
      </c>
      <c r="H5111" t="s">
        <v>9</v>
      </c>
      <c r="I5111" s="22">
        <f t="shared" si="159"/>
        <v>1.6458768364598735E-2</v>
      </c>
      <c r="J5111" s="22" t="str">
        <f t="shared" si="160"/>
        <v/>
      </c>
    </row>
    <row r="5112" spans="1:10">
      <c r="A5112" s="1">
        <v>41348</v>
      </c>
      <c r="B5112">
        <v>49.97</v>
      </c>
      <c r="C5112">
        <v>50.29</v>
      </c>
      <c r="D5112">
        <v>49.15</v>
      </c>
      <c r="E5112">
        <v>50.02</v>
      </c>
      <c r="F5112">
        <v>60880800</v>
      </c>
      <c r="G5112">
        <v>48.67</v>
      </c>
      <c r="H5112" t="s">
        <v>9</v>
      </c>
      <c r="I5112" s="22">
        <f t="shared" si="159"/>
        <v>-1.9331154418291981E-2</v>
      </c>
      <c r="J5112" s="22" t="str">
        <f t="shared" si="160"/>
        <v/>
      </c>
    </row>
    <row r="5113" spans="1:10">
      <c r="A5113" s="1">
        <v>41351</v>
      </c>
      <c r="B5113">
        <v>49.19</v>
      </c>
      <c r="C5113">
        <v>49.66</v>
      </c>
      <c r="D5113">
        <v>48.95</v>
      </c>
      <c r="E5113">
        <v>49.51</v>
      </c>
      <c r="F5113">
        <v>28011400</v>
      </c>
      <c r="G5113">
        <v>48.17</v>
      </c>
      <c r="H5113" t="s">
        <v>9</v>
      </c>
      <c r="I5113" s="22">
        <f t="shared" si="159"/>
        <v>-1.0326403203233529E-2</v>
      </c>
      <c r="J5113" s="22" t="str">
        <f t="shared" si="160"/>
        <v/>
      </c>
    </row>
    <row r="5114" spans="1:10">
      <c r="A5114" s="1">
        <v>41352</v>
      </c>
      <c r="B5114">
        <v>49.65</v>
      </c>
      <c r="C5114">
        <v>49.99</v>
      </c>
      <c r="D5114">
        <v>48.68</v>
      </c>
      <c r="E5114">
        <v>49.2</v>
      </c>
      <c r="F5114">
        <v>24411500</v>
      </c>
      <c r="G5114">
        <v>47.87</v>
      </c>
      <c r="H5114" t="s">
        <v>9</v>
      </c>
      <c r="I5114" s="22">
        <f t="shared" si="159"/>
        <v>-6.2474172377118883E-3</v>
      </c>
      <c r="J5114" s="22" t="str">
        <f t="shared" si="160"/>
        <v>lost money</v>
      </c>
    </row>
    <row r="5115" spans="1:10">
      <c r="A5115" s="1">
        <v>41353</v>
      </c>
      <c r="B5115">
        <v>49.57</v>
      </c>
      <c r="C5115">
        <v>49.64</v>
      </c>
      <c r="D5115">
        <v>49.04</v>
      </c>
      <c r="E5115">
        <v>49.12</v>
      </c>
      <c r="F5115">
        <v>19385300</v>
      </c>
      <c r="G5115">
        <v>47.79</v>
      </c>
      <c r="H5115" t="s">
        <v>9</v>
      </c>
      <c r="I5115" s="22">
        <f t="shared" si="159"/>
        <v>-1.6725908143507594E-3</v>
      </c>
      <c r="J5115" s="22" t="str">
        <f t="shared" si="160"/>
        <v>lost money</v>
      </c>
    </row>
    <row r="5116" spans="1:10">
      <c r="A5116" s="1">
        <v>41354</v>
      </c>
      <c r="B5116">
        <v>48.79</v>
      </c>
      <c r="C5116">
        <v>49.23</v>
      </c>
      <c r="D5116">
        <v>48.35</v>
      </c>
      <c r="E5116">
        <v>48.35</v>
      </c>
      <c r="F5116">
        <v>23535900</v>
      </c>
      <c r="G5116">
        <v>47.05</v>
      </c>
      <c r="H5116" t="s">
        <v>9</v>
      </c>
      <c r="I5116" s="22">
        <f t="shared" si="159"/>
        <v>-1.5605546558678296E-2</v>
      </c>
      <c r="J5116" s="22" t="str">
        <f t="shared" si="160"/>
        <v>lost money</v>
      </c>
    </row>
    <row r="5117" spans="1:10">
      <c r="A5117" s="1">
        <v>41355</v>
      </c>
      <c r="B5117">
        <v>48.63</v>
      </c>
      <c r="C5117">
        <v>49</v>
      </c>
      <c r="D5117">
        <v>48.34</v>
      </c>
      <c r="E5117">
        <v>48.78</v>
      </c>
      <c r="F5117">
        <v>22791500</v>
      </c>
      <c r="G5117">
        <v>47.46</v>
      </c>
      <c r="H5117" t="s">
        <v>9</v>
      </c>
      <c r="I5117" s="22">
        <f t="shared" si="159"/>
        <v>8.6763849762290408E-3</v>
      </c>
      <c r="J5117" s="22" t="str">
        <f t="shared" si="160"/>
        <v/>
      </c>
    </row>
    <row r="5118" spans="1:10">
      <c r="A5118" s="1">
        <v>41358</v>
      </c>
      <c r="B5118">
        <v>49.04</v>
      </c>
      <c r="C5118">
        <v>49.32</v>
      </c>
      <c r="D5118">
        <v>48.16</v>
      </c>
      <c r="E5118">
        <v>48.52</v>
      </c>
      <c r="F5118">
        <v>23581400</v>
      </c>
      <c r="G5118">
        <v>47.21</v>
      </c>
      <c r="H5118" t="s">
        <v>9</v>
      </c>
      <c r="I5118" s="22">
        <f t="shared" si="159"/>
        <v>-5.2815164494221349E-3</v>
      </c>
      <c r="J5118" s="22" t="str">
        <f t="shared" si="160"/>
        <v>lost money</v>
      </c>
    </row>
    <row r="5119" spans="1:10">
      <c r="A5119" s="1">
        <v>41359</v>
      </c>
      <c r="B5119">
        <v>48.74</v>
      </c>
      <c r="C5119">
        <v>48.97</v>
      </c>
      <c r="D5119">
        <v>48.32</v>
      </c>
      <c r="E5119">
        <v>48.64</v>
      </c>
      <c r="F5119">
        <v>16417500</v>
      </c>
      <c r="G5119">
        <v>47.33</v>
      </c>
      <c r="H5119" t="s">
        <v>9</v>
      </c>
      <c r="I5119" s="22">
        <f t="shared" si="159"/>
        <v>2.5386093599612516E-3</v>
      </c>
      <c r="J5119" s="22" t="str">
        <f t="shared" si="160"/>
        <v>lost money</v>
      </c>
    </row>
    <row r="5120" spans="1:10">
      <c r="A5120" s="1">
        <v>41360</v>
      </c>
      <c r="B5120">
        <v>48.2</v>
      </c>
      <c r="C5120">
        <v>48.31</v>
      </c>
      <c r="D5120">
        <v>47.56</v>
      </c>
      <c r="E5120">
        <v>47.77</v>
      </c>
      <c r="F5120">
        <v>26530100</v>
      </c>
      <c r="G5120">
        <v>46.48</v>
      </c>
      <c r="H5120" t="s">
        <v>9</v>
      </c>
      <c r="I5120" s="22">
        <f t="shared" si="159"/>
        <v>-1.812223137450086E-2</v>
      </c>
      <c r="J5120" s="22" t="str">
        <f t="shared" si="160"/>
        <v>lost money</v>
      </c>
    </row>
    <row r="5121" spans="1:10">
      <c r="A5121" s="1">
        <v>41361</v>
      </c>
      <c r="B5121">
        <v>47.84</v>
      </c>
      <c r="C5121">
        <v>47.93</v>
      </c>
      <c r="D5121">
        <v>47.28</v>
      </c>
      <c r="E5121">
        <v>47.46</v>
      </c>
      <c r="F5121">
        <v>27506700</v>
      </c>
      <c r="G5121">
        <v>46.18</v>
      </c>
      <c r="H5121" t="s">
        <v>9</v>
      </c>
      <c r="I5121" s="22">
        <f t="shared" si="159"/>
        <v>-6.475308617306475E-3</v>
      </c>
      <c r="J5121" s="22" t="str">
        <f t="shared" si="160"/>
        <v>lost money</v>
      </c>
    </row>
    <row r="5122" spans="1:10">
      <c r="A5122" s="1">
        <v>41365</v>
      </c>
      <c r="B5122">
        <v>47.55</v>
      </c>
      <c r="C5122">
        <v>47.99</v>
      </c>
      <c r="D5122">
        <v>47.49</v>
      </c>
      <c r="E5122">
        <v>47.83</v>
      </c>
      <c r="F5122">
        <v>17442200</v>
      </c>
      <c r="G5122">
        <v>46.54</v>
      </c>
      <c r="H5122" t="s">
        <v>9</v>
      </c>
      <c r="I5122" s="22">
        <f t="shared" si="159"/>
        <v>7.7653539477962937E-3</v>
      </c>
      <c r="J5122" s="22" t="str">
        <f t="shared" si="160"/>
        <v/>
      </c>
    </row>
    <row r="5123" spans="1:10">
      <c r="A5123" s="1">
        <v>41366</v>
      </c>
      <c r="B5123">
        <v>48.01</v>
      </c>
      <c r="C5123">
        <v>48.38</v>
      </c>
      <c r="D5123">
        <v>47.88</v>
      </c>
      <c r="E5123">
        <v>48.28</v>
      </c>
      <c r="F5123">
        <v>17273700</v>
      </c>
      <c r="G5123">
        <v>46.98</v>
      </c>
      <c r="H5123" t="s">
        <v>9</v>
      </c>
      <c r="I5123" s="22">
        <f t="shared" ref="I5123:I5186" si="161">IF(A5123=$A$2,"",LN(G5123/G5122))</f>
        <v>9.4098213566209069E-3</v>
      </c>
      <c r="J5123" s="22" t="str">
        <f t="shared" ref="J5123:J5186" si="162">IF(B5123&gt;E5123,"lost money","")</f>
        <v/>
      </c>
    </row>
    <row r="5124" spans="1:10">
      <c r="A5124" s="1">
        <v>41367</v>
      </c>
      <c r="B5124">
        <v>48.03</v>
      </c>
      <c r="C5124">
        <v>48.07</v>
      </c>
      <c r="D5124">
        <v>46.53</v>
      </c>
      <c r="E5124">
        <v>46.85</v>
      </c>
      <c r="F5124">
        <v>33467400</v>
      </c>
      <c r="G5124">
        <v>45.87</v>
      </c>
      <c r="H5124" t="s">
        <v>9</v>
      </c>
      <c r="I5124" s="22">
        <f t="shared" si="161"/>
        <v>-2.3910670621686048E-2</v>
      </c>
      <c r="J5124" s="22" t="str">
        <f t="shared" si="162"/>
        <v>lost money</v>
      </c>
    </row>
    <row r="5125" spans="1:10">
      <c r="A5125" s="1">
        <v>41368</v>
      </c>
      <c r="B5125">
        <v>46.96</v>
      </c>
      <c r="C5125">
        <v>47.54</v>
      </c>
      <c r="D5125">
        <v>46.9</v>
      </c>
      <c r="E5125">
        <v>47.49</v>
      </c>
      <c r="F5125">
        <v>21514000</v>
      </c>
      <c r="G5125">
        <v>46.5</v>
      </c>
      <c r="H5125" t="s">
        <v>9</v>
      </c>
      <c r="I5125" s="22">
        <f t="shared" si="161"/>
        <v>1.3641003984230038E-2</v>
      </c>
      <c r="J5125" s="22" t="str">
        <f t="shared" si="162"/>
        <v/>
      </c>
    </row>
    <row r="5126" spans="1:10">
      <c r="A5126" s="1">
        <v>41369</v>
      </c>
      <c r="B5126">
        <v>46.79</v>
      </c>
      <c r="C5126">
        <v>48.04</v>
      </c>
      <c r="D5126">
        <v>46.75</v>
      </c>
      <c r="E5126">
        <v>47.91</v>
      </c>
      <c r="F5126">
        <v>22961500</v>
      </c>
      <c r="G5126">
        <v>46.91</v>
      </c>
      <c r="H5126" t="s">
        <v>9</v>
      </c>
      <c r="I5126" s="22">
        <f t="shared" si="161"/>
        <v>8.7785597470560073E-3</v>
      </c>
      <c r="J5126" s="22" t="str">
        <f t="shared" si="162"/>
        <v/>
      </c>
    </row>
    <row r="5127" spans="1:10">
      <c r="A5127" s="1">
        <v>41372</v>
      </c>
      <c r="B5127">
        <v>47.88</v>
      </c>
      <c r="C5127">
        <v>48.59</v>
      </c>
      <c r="D5127">
        <v>47.59</v>
      </c>
      <c r="E5127">
        <v>48.58</v>
      </c>
      <c r="F5127">
        <v>18672300</v>
      </c>
      <c r="G5127">
        <v>47.56</v>
      </c>
      <c r="H5127" t="s">
        <v>9</v>
      </c>
      <c r="I5127" s="22">
        <f t="shared" si="161"/>
        <v>1.3761199482214537E-2</v>
      </c>
      <c r="J5127" s="22" t="str">
        <f t="shared" si="162"/>
        <v/>
      </c>
    </row>
    <row r="5128" spans="1:10">
      <c r="A5128" s="1">
        <v>41373</v>
      </c>
      <c r="B5128">
        <v>48.74</v>
      </c>
      <c r="C5128">
        <v>48.96</v>
      </c>
      <c r="D5128">
        <v>48.46</v>
      </c>
      <c r="E5128">
        <v>48.68</v>
      </c>
      <c r="F5128">
        <v>20066700</v>
      </c>
      <c r="G5128">
        <v>47.66</v>
      </c>
      <c r="H5128" t="s">
        <v>9</v>
      </c>
      <c r="I5128" s="22">
        <f t="shared" si="161"/>
        <v>2.1003998480149462E-3</v>
      </c>
      <c r="J5128" s="22" t="str">
        <f t="shared" si="162"/>
        <v>lost money</v>
      </c>
    </row>
    <row r="5129" spans="1:10">
      <c r="A5129" s="1">
        <v>41374</v>
      </c>
      <c r="B5129">
        <v>48.94</v>
      </c>
      <c r="C5129">
        <v>49.56</v>
      </c>
      <c r="D5129">
        <v>48.88</v>
      </c>
      <c r="E5129">
        <v>49.25</v>
      </c>
      <c r="F5129">
        <v>20388900</v>
      </c>
      <c r="G5129">
        <v>48.22</v>
      </c>
      <c r="H5129" t="s">
        <v>9</v>
      </c>
      <c r="I5129" s="22">
        <f t="shared" si="161"/>
        <v>1.1681401082428914E-2</v>
      </c>
      <c r="J5129" s="22" t="str">
        <f t="shared" si="162"/>
        <v/>
      </c>
    </row>
    <row r="5130" spans="1:10">
      <c r="A5130" s="1">
        <v>41375</v>
      </c>
      <c r="B5130">
        <v>49.21</v>
      </c>
      <c r="C5130">
        <v>49.6</v>
      </c>
      <c r="D5130">
        <v>48.83</v>
      </c>
      <c r="E5130">
        <v>49.31</v>
      </c>
      <c r="F5130">
        <v>22584700</v>
      </c>
      <c r="G5130">
        <v>48.28</v>
      </c>
      <c r="H5130" t="s">
        <v>9</v>
      </c>
      <c r="I5130" s="22">
        <f t="shared" si="161"/>
        <v>1.2435234763059056E-3</v>
      </c>
      <c r="J5130" s="22" t="str">
        <f t="shared" si="162"/>
        <v/>
      </c>
    </row>
    <row r="5131" spans="1:10">
      <c r="A5131" s="1">
        <v>41376</v>
      </c>
      <c r="B5131">
        <v>48.9</v>
      </c>
      <c r="C5131">
        <v>49.58</v>
      </c>
      <c r="D5131">
        <v>48.45</v>
      </c>
      <c r="E5131">
        <v>49.01</v>
      </c>
      <c r="F5131">
        <v>37805900</v>
      </c>
      <c r="G5131">
        <v>47.99</v>
      </c>
      <c r="H5131" t="s">
        <v>9</v>
      </c>
      <c r="I5131" s="22">
        <f t="shared" si="161"/>
        <v>-6.0247403591765702E-3</v>
      </c>
      <c r="J5131" s="22" t="str">
        <f t="shared" si="162"/>
        <v/>
      </c>
    </row>
    <row r="5132" spans="1:10">
      <c r="A5132" s="1">
        <v>41379</v>
      </c>
      <c r="B5132">
        <v>48.39</v>
      </c>
      <c r="C5132">
        <v>49.34</v>
      </c>
      <c r="D5132">
        <v>47.9</v>
      </c>
      <c r="E5132">
        <v>47.93</v>
      </c>
      <c r="F5132">
        <v>31527300</v>
      </c>
      <c r="G5132">
        <v>46.93</v>
      </c>
      <c r="H5132" t="s">
        <v>9</v>
      </c>
      <c r="I5132" s="22">
        <f t="shared" si="161"/>
        <v>-2.2335526063827917E-2</v>
      </c>
      <c r="J5132" s="22" t="str">
        <f t="shared" si="162"/>
        <v>lost money</v>
      </c>
    </row>
    <row r="5133" spans="1:10">
      <c r="A5133" s="1">
        <v>41380</v>
      </c>
      <c r="B5133">
        <v>48.43</v>
      </c>
      <c r="C5133">
        <v>48.52</v>
      </c>
      <c r="D5133">
        <v>47.59</v>
      </c>
      <c r="E5133">
        <v>48.49</v>
      </c>
      <c r="F5133">
        <v>23865500</v>
      </c>
      <c r="G5133">
        <v>47.48</v>
      </c>
      <c r="H5133" t="s">
        <v>9</v>
      </c>
      <c r="I5133" s="22">
        <f t="shared" si="161"/>
        <v>1.1651439935140872E-2</v>
      </c>
      <c r="J5133" s="22" t="str">
        <f t="shared" si="162"/>
        <v/>
      </c>
    </row>
    <row r="5134" spans="1:10">
      <c r="A5134" s="1">
        <v>41381</v>
      </c>
      <c r="B5134">
        <v>48.11</v>
      </c>
      <c r="C5134">
        <v>48.18</v>
      </c>
      <c r="D5134">
        <v>46.38</v>
      </c>
      <c r="E5134">
        <v>46.79</v>
      </c>
      <c r="F5134">
        <v>43466300</v>
      </c>
      <c r="G5134">
        <v>45.81</v>
      </c>
      <c r="H5134" t="s">
        <v>9</v>
      </c>
      <c r="I5134" s="22">
        <f t="shared" si="161"/>
        <v>-3.5806161842816459E-2</v>
      </c>
      <c r="J5134" s="22" t="str">
        <f t="shared" si="162"/>
        <v>lost money</v>
      </c>
    </row>
    <row r="5135" spans="1:10">
      <c r="A5135" s="1">
        <v>41382</v>
      </c>
      <c r="B5135">
        <v>46.8</v>
      </c>
      <c r="C5135">
        <v>47.33</v>
      </c>
      <c r="D5135">
        <v>46.05</v>
      </c>
      <c r="E5135">
        <v>46.64</v>
      </c>
      <c r="F5135">
        <v>26106800</v>
      </c>
      <c r="G5135">
        <v>45.67</v>
      </c>
      <c r="H5135" t="s">
        <v>9</v>
      </c>
      <c r="I5135" s="22">
        <f t="shared" si="161"/>
        <v>-3.0607807017431969E-3</v>
      </c>
      <c r="J5135" s="22" t="str">
        <f t="shared" si="162"/>
        <v>lost money</v>
      </c>
    </row>
    <row r="5136" spans="1:10">
      <c r="A5136" s="1">
        <v>41383</v>
      </c>
      <c r="B5136">
        <v>47.15</v>
      </c>
      <c r="C5136">
        <v>47.36</v>
      </c>
      <c r="D5136">
        <v>46.7</v>
      </c>
      <c r="E5136">
        <v>47.23</v>
      </c>
      <c r="F5136">
        <v>19746100</v>
      </c>
      <c r="G5136">
        <v>46.24</v>
      </c>
      <c r="H5136" t="s">
        <v>9</v>
      </c>
      <c r="I5136" s="22">
        <f t="shared" si="161"/>
        <v>1.2403597167214498E-2</v>
      </c>
      <c r="J5136" s="22" t="str">
        <f t="shared" si="162"/>
        <v/>
      </c>
    </row>
    <row r="5137" spans="1:10">
      <c r="A5137" s="1">
        <v>41386</v>
      </c>
      <c r="B5137">
        <v>47.4</v>
      </c>
      <c r="C5137">
        <v>47.49</v>
      </c>
      <c r="D5137">
        <v>46.87</v>
      </c>
      <c r="E5137">
        <v>47.35</v>
      </c>
      <c r="F5137">
        <v>15230100</v>
      </c>
      <c r="G5137">
        <v>46.36</v>
      </c>
      <c r="H5137" t="s">
        <v>9</v>
      </c>
      <c r="I5137" s="22">
        <f t="shared" si="161"/>
        <v>2.591794107428803E-3</v>
      </c>
      <c r="J5137" s="22" t="str">
        <f t="shared" si="162"/>
        <v>lost money</v>
      </c>
    </row>
    <row r="5138" spans="1:10">
      <c r="A5138" s="1">
        <v>41387</v>
      </c>
      <c r="B5138">
        <v>47.68</v>
      </c>
      <c r="C5138">
        <v>48.24</v>
      </c>
      <c r="D5138">
        <v>47.39</v>
      </c>
      <c r="E5138">
        <v>48.17</v>
      </c>
      <c r="F5138">
        <v>20568500</v>
      </c>
      <c r="G5138">
        <v>47.16</v>
      </c>
      <c r="H5138" t="s">
        <v>9</v>
      </c>
      <c r="I5138" s="22">
        <f t="shared" si="161"/>
        <v>1.7109057197619099E-2</v>
      </c>
      <c r="J5138" s="22" t="str">
        <f t="shared" si="162"/>
        <v/>
      </c>
    </row>
    <row r="5139" spans="1:10">
      <c r="A5139" s="1">
        <v>41388</v>
      </c>
      <c r="B5139">
        <v>48.32</v>
      </c>
      <c r="C5139">
        <v>48.92</v>
      </c>
      <c r="D5139">
        <v>48.16</v>
      </c>
      <c r="E5139">
        <v>48.72</v>
      </c>
      <c r="F5139">
        <v>16459300</v>
      </c>
      <c r="G5139">
        <v>47.7</v>
      </c>
      <c r="H5139" t="s">
        <v>9</v>
      </c>
      <c r="I5139" s="22">
        <f t="shared" si="161"/>
        <v>1.1385322225125429E-2</v>
      </c>
      <c r="J5139" s="22" t="str">
        <f t="shared" si="162"/>
        <v/>
      </c>
    </row>
    <row r="5140" spans="1:10">
      <c r="A5140" s="1">
        <v>41389</v>
      </c>
      <c r="B5140">
        <v>49.02</v>
      </c>
      <c r="C5140">
        <v>49.63</v>
      </c>
      <c r="D5140">
        <v>48.89</v>
      </c>
      <c r="E5140">
        <v>49</v>
      </c>
      <c r="F5140">
        <v>19058800</v>
      </c>
      <c r="G5140">
        <v>47.98</v>
      </c>
      <c r="H5140" t="s">
        <v>9</v>
      </c>
      <c r="I5140" s="22">
        <f t="shared" si="161"/>
        <v>5.8528595172529074E-3</v>
      </c>
      <c r="J5140" s="22" t="str">
        <f t="shared" si="162"/>
        <v>lost money</v>
      </c>
    </row>
    <row r="5141" spans="1:10">
      <c r="A5141" s="1">
        <v>41390</v>
      </c>
      <c r="B5141">
        <v>48.86</v>
      </c>
      <c r="C5141">
        <v>49.09</v>
      </c>
      <c r="D5141">
        <v>48.61</v>
      </c>
      <c r="E5141">
        <v>48.88</v>
      </c>
      <c r="F5141">
        <v>13929000</v>
      </c>
      <c r="G5141">
        <v>47.86</v>
      </c>
      <c r="H5141" t="s">
        <v>9</v>
      </c>
      <c r="I5141" s="22">
        <f t="shared" si="161"/>
        <v>-2.5041749313212025E-3</v>
      </c>
      <c r="J5141" s="22" t="str">
        <f t="shared" si="162"/>
        <v/>
      </c>
    </row>
    <row r="5142" spans="1:10">
      <c r="A5142" s="1">
        <v>41393</v>
      </c>
      <c r="B5142">
        <v>49.08</v>
      </c>
      <c r="C5142">
        <v>49.1</v>
      </c>
      <c r="D5142">
        <v>48.65</v>
      </c>
      <c r="E5142">
        <v>48.92</v>
      </c>
      <c r="F5142">
        <v>13496300</v>
      </c>
      <c r="G5142">
        <v>47.9</v>
      </c>
      <c r="H5142" t="s">
        <v>9</v>
      </c>
      <c r="I5142" s="22">
        <f t="shared" si="161"/>
        <v>8.3542193664226444E-4</v>
      </c>
      <c r="J5142" s="22" t="str">
        <f t="shared" si="162"/>
        <v>lost money</v>
      </c>
    </row>
    <row r="5143" spans="1:10">
      <c r="A5143" s="1">
        <v>41394</v>
      </c>
      <c r="B5143">
        <v>48.96</v>
      </c>
      <c r="C5143">
        <v>49.25</v>
      </c>
      <c r="D5143">
        <v>48.72</v>
      </c>
      <c r="E5143">
        <v>49.01</v>
      </c>
      <c r="F5143">
        <v>13802600</v>
      </c>
      <c r="G5143">
        <v>47.99</v>
      </c>
      <c r="H5143" t="s">
        <v>9</v>
      </c>
      <c r="I5143" s="22">
        <f t="shared" si="161"/>
        <v>1.8771514532845879E-3</v>
      </c>
      <c r="J5143" s="22" t="str">
        <f t="shared" si="162"/>
        <v/>
      </c>
    </row>
    <row r="5144" spans="1:10">
      <c r="A5144" s="1">
        <v>41395</v>
      </c>
      <c r="B5144">
        <v>48.76</v>
      </c>
      <c r="C5144">
        <v>48.91</v>
      </c>
      <c r="D5144">
        <v>47.85</v>
      </c>
      <c r="E5144">
        <v>48.01</v>
      </c>
      <c r="F5144">
        <v>17686400</v>
      </c>
      <c r="G5144">
        <v>47.01</v>
      </c>
      <c r="H5144" t="s">
        <v>9</v>
      </c>
      <c r="I5144" s="22">
        <f t="shared" si="161"/>
        <v>-2.0632310834115063E-2</v>
      </c>
      <c r="J5144" s="22" t="str">
        <f t="shared" si="162"/>
        <v>lost money</v>
      </c>
    </row>
    <row r="5145" spans="1:10">
      <c r="A5145" s="1">
        <v>41396</v>
      </c>
      <c r="B5145">
        <v>48.25</v>
      </c>
      <c r="C5145">
        <v>48.25</v>
      </c>
      <c r="D5145">
        <v>47.71</v>
      </c>
      <c r="E5145">
        <v>48.08</v>
      </c>
      <c r="F5145">
        <v>15529300</v>
      </c>
      <c r="G5145">
        <v>47.07</v>
      </c>
      <c r="H5145" t="s">
        <v>9</v>
      </c>
      <c r="I5145" s="22">
        <f t="shared" si="161"/>
        <v>1.2755103770118134E-3</v>
      </c>
      <c r="J5145" s="22" t="str">
        <f t="shared" si="162"/>
        <v>lost money</v>
      </c>
    </row>
    <row r="5146" spans="1:10">
      <c r="A5146" s="1">
        <v>41397</v>
      </c>
      <c r="B5146">
        <v>48.63</v>
      </c>
      <c r="C5146">
        <v>48.7</v>
      </c>
      <c r="D5146">
        <v>46.98</v>
      </c>
      <c r="E5146">
        <v>47.57</v>
      </c>
      <c r="F5146">
        <v>43257900</v>
      </c>
      <c r="G5146">
        <v>46.58</v>
      </c>
      <c r="H5146" t="s">
        <v>9</v>
      </c>
      <c r="I5146" s="22">
        <f t="shared" si="161"/>
        <v>-1.0464590956856035E-2</v>
      </c>
      <c r="J5146" s="22" t="str">
        <f t="shared" si="162"/>
        <v>lost money</v>
      </c>
    </row>
    <row r="5147" spans="1:10">
      <c r="A5147" s="1">
        <v>41400</v>
      </c>
      <c r="B5147">
        <v>47.71</v>
      </c>
      <c r="C5147">
        <v>48.39</v>
      </c>
      <c r="D5147">
        <v>47.57</v>
      </c>
      <c r="E5147">
        <v>48.18</v>
      </c>
      <c r="F5147">
        <v>20829500</v>
      </c>
      <c r="G5147">
        <v>47.17</v>
      </c>
      <c r="H5147" t="s">
        <v>9</v>
      </c>
      <c r="I5147" s="22">
        <f t="shared" si="161"/>
        <v>1.2586832839975522E-2</v>
      </c>
      <c r="J5147" s="22" t="str">
        <f t="shared" si="162"/>
        <v/>
      </c>
    </row>
    <row r="5148" spans="1:10">
      <c r="A5148" s="1">
        <v>41401</v>
      </c>
      <c r="B5148">
        <v>48.57</v>
      </c>
      <c r="C5148">
        <v>49.39</v>
      </c>
      <c r="D5148">
        <v>48.26</v>
      </c>
      <c r="E5148">
        <v>49.14</v>
      </c>
      <c r="F5148">
        <v>24291600</v>
      </c>
      <c r="G5148">
        <v>48.11</v>
      </c>
      <c r="H5148" t="s">
        <v>9</v>
      </c>
      <c r="I5148" s="22">
        <f t="shared" si="161"/>
        <v>1.9731958415191878E-2</v>
      </c>
      <c r="J5148" s="22" t="str">
        <f t="shared" si="162"/>
        <v/>
      </c>
    </row>
    <row r="5149" spans="1:10">
      <c r="A5149" s="1">
        <v>41402</v>
      </c>
      <c r="B5149">
        <v>49.22</v>
      </c>
      <c r="C5149">
        <v>49.99</v>
      </c>
      <c r="D5149">
        <v>49.11</v>
      </c>
      <c r="E5149">
        <v>49.76</v>
      </c>
      <c r="F5149">
        <v>23559300</v>
      </c>
      <c r="G5149">
        <v>48.72</v>
      </c>
      <c r="H5149" t="s">
        <v>9</v>
      </c>
      <c r="I5149" s="22">
        <f t="shared" si="161"/>
        <v>1.2599567690279272E-2</v>
      </c>
      <c r="J5149" s="22" t="str">
        <f t="shared" si="162"/>
        <v/>
      </c>
    </row>
    <row r="5150" spans="1:10">
      <c r="A5150" s="1">
        <v>41403</v>
      </c>
      <c r="B5150">
        <v>49.7</v>
      </c>
      <c r="C5150">
        <v>49.81</v>
      </c>
      <c r="D5150">
        <v>48.92</v>
      </c>
      <c r="E5150">
        <v>49.04</v>
      </c>
      <c r="F5150">
        <v>18103100</v>
      </c>
      <c r="G5150">
        <v>48.01</v>
      </c>
      <c r="H5150" t="s">
        <v>9</v>
      </c>
      <c r="I5150" s="22">
        <f t="shared" si="161"/>
        <v>-1.4680300858792652E-2</v>
      </c>
      <c r="J5150" s="22" t="str">
        <f t="shared" si="162"/>
        <v>lost money</v>
      </c>
    </row>
    <row r="5151" spans="1:10">
      <c r="A5151" s="1">
        <v>41404</v>
      </c>
      <c r="B5151">
        <v>49.05</v>
      </c>
      <c r="C5151">
        <v>49.23</v>
      </c>
      <c r="D5151">
        <v>48.64</v>
      </c>
      <c r="E5151">
        <v>48.96</v>
      </c>
      <c r="F5151">
        <v>16199600</v>
      </c>
      <c r="G5151">
        <v>47.94</v>
      </c>
      <c r="H5151" t="s">
        <v>9</v>
      </c>
      <c r="I5151" s="22">
        <f t="shared" si="161"/>
        <v>-1.459093536610711E-3</v>
      </c>
      <c r="J5151" s="22" t="str">
        <f t="shared" si="162"/>
        <v>lost money</v>
      </c>
    </row>
    <row r="5152" spans="1:10">
      <c r="A5152" s="1">
        <v>41407</v>
      </c>
      <c r="B5152">
        <v>48.84</v>
      </c>
      <c r="C5152">
        <v>49.7</v>
      </c>
      <c r="D5152">
        <v>48.61</v>
      </c>
      <c r="E5152">
        <v>49.67</v>
      </c>
      <c r="F5152">
        <v>23979500</v>
      </c>
      <c r="G5152">
        <v>48.63</v>
      </c>
      <c r="H5152" t="s">
        <v>9</v>
      </c>
      <c r="I5152" s="22">
        <f t="shared" si="161"/>
        <v>1.4290395409456117E-2</v>
      </c>
      <c r="J5152" s="22" t="str">
        <f t="shared" si="162"/>
        <v/>
      </c>
    </row>
    <row r="5153" spans="1:10">
      <c r="A5153" s="1">
        <v>41408</v>
      </c>
      <c r="B5153">
        <v>49.77</v>
      </c>
      <c r="C5153">
        <v>50.42</v>
      </c>
      <c r="D5153">
        <v>49.66</v>
      </c>
      <c r="E5153">
        <v>50.23</v>
      </c>
      <c r="F5153">
        <v>24188400</v>
      </c>
      <c r="G5153">
        <v>49.18</v>
      </c>
      <c r="H5153" t="s">
        <v>9</v>
      </c>
      <c r="I5153" s="22">
        <f t="shared" si="161"/>
        <v>1.1246412372352018E-2</v>
      </c>
      <c r="J5153" s="22" t="str">
        <f t="shared" si="162"/>
        <v/>
      </c>
    </row>
    <row r="5154" spans="1:10">
      <c r="A5154" s="1">
        <v>41409</v>
      </c>
      <c r="B5154">
        <v>50.2</v>
      </c>
      <c r="C5154">
        <v>51.43</v>
      </c>
      <c r="D5154">
        <v>50.15</v>
      </c>
      <c r="E5154">
        <v>51.09</v>
      </c>
      <c r="F5154">
        <v>27467000</v>
      </c>
      <c r="G5154">
        <v>50.02</v>
      </c>
      <c r="H5154" t="s">
        <v>9</v>
      </c>
      <c r="I5154" s="22">
        <f t="shared" si="161"/>
        <v>1.6935888661426618E-2</v>
      </c>
      <c r="J5154" s="22" t="str">
        <f t="shared" si="162"/>
        <v/>
      </c>
    </row>
    <row r="5155" spans="1:10">
      <c r="A5155" s="1">
        <v>41410</v>
      </c>
      <c r="B5155">
        <v>50.87</v>
      </c>
      <c r="C5155">
        <v>51.66</v>
      </c>
      <c r="D5155">
        <v>50.84</v>
      </c>
      <c r="E5155">
        <v>50.97</v>
      </c>
      <c r="F5155">
        <v>21389500</v>
      </c>
      <c r="G5155">
        <v>49.9</v>
      </c>
      <c r="H5155" t="s">
        <v>9</v>
      </c>
      <c r="I5155" s="22">
        <f t="shared" si="161"/>
        <v>-2.4019226920000804E-3</v>
      </c>
      <c r="J5155" s="22" t="str">
        <f t="shared" si="162"/>
        <v/>
      </c>
    </row>
    <row r="5156" spans="1:10">
      <c r="A5156" s="1">
        <v>41411</v>
      </c>
      <c r="B5156">
        <v>51.26</v>
      </c>
      <c r="C5156">
        <v>52.33</v>
      </c>
      <c r="D5156">
        <v>51.25</v>
      </c>
      <c r="E5156">
        <v>52.3</v>
      </c>
      <c r="F5156">
        <v>26080300</v>
      </c>
      <c r="G5156">
        <v>51.21</v>
      </c>
      <c r="H5156" t="s">
        <v>9</v>
      </c>
      <c r="I5156" s="22">
        <f t="shared" si="161"/>
        <v>2.5913822716986099E-2</v>
      </c>
      <c r="J5156" s="22" t="str">
        <f t="shared" si="162"/>
        <v/>
      </c>
    </row>
    <row r="5157" spans="1:10">
      <c r="A5157" s="1">
        <v>41414</v>
      </c>
      <c r="B5157">
        <v>52.28</v>
      </c>
      <c r="C5157">
        <v>52.63</v>
      </c>
      <c r="D5157">
        <v>51.91</v>
      </c>
      <c r="E5157">
        <v>52.29</v>
      </c>
      <c r="F5157">
        <v>22020000</v>
      </c>
      <c r="G5157">
        <v>51.2</v>
      </c>
      <c r="H5157" t="s">
        <v>9</v>
      </c>
      <c r="I5157" s="22">
        <f t="shared" si="161"/>
        <v>-1.9529342899675956E-4</v>
      </c>
      <c r="J5157" s="22" t="str">
        <f t="shared" si="162"/>
        <v/>
      </c>
    </row>
    <row r="5158" spans="1:10">
      <c r="A5158" s="1">
        <v>41415</v>
      </c>
      <c r="B5158">
        <v>52.53</v>
      </c>
      <c r="C5158">
        <v>53.67</v>
      </c>
      <c r="D5158">
        <v>52.45</v>
      </c>
      <c r="E5158">
        <v>53.02</v>
      </c>
      <c r="F5158">
        <v>37112600</v>
      </c>
      <c r="G5158">
        <v>51.91</v>
      </c>
      <c r="H5158" t="s">
        <v>9</v>
      </c>
      <c r="I5158" s="22">
        <f t="shared" si="161"/>
        <v>1.3771917793675379E-2</v>
      </c>
      <c r="J5158" s="22" t="str">
        <f t="shared" si="162"/>
        <v/>
      </c>
    </row>
    <row r="5159" spans="1:10">
      <c r="A5159" s="1">
        <v>41416</v>
      </c>
      <c r="B5159">
        <v>53.43</v>
      </c>
      <c r="C5159">
        <v>54.96</v>
      </c>
      <c r="D5159">
        <v>53.29</v>
      </c>
      <c r="E5159">
        <v>53.63</v>
      </c>
      <c r="F5159">
        <v>46968300</v>
      </c>
      <c r="G5159">
        <v>52.51</v>
      </c>
      <c r="H5159" t="s">
        <v>9</v>
      </c>
      <c r="I5159" s="22">
        <f t="shared" si="161"/>
        <v>1.1492177810630185E-2</v>
      </c>
      <c r="J5159" s="22" t="str">
        <f t="shared" si="162"/>
        <v/>
      </c>
    </row>
    <row r="5160" spans="1:10">
      <c r="A5160" s="1">
        <v>41417</v>
      </c>
      <c r="B5160">
        <v>52.82</v>
      </c>
      <c r="C5160">
        <v>53.79</v>
      </c>
      <c r="D5160">
        <v>52.66</v>
      </c>
      <c r="E5160">
        <v>53.35</v>
      </c>
      <c r="F5160">
        <v>25294200</v>
      </c>
      <c r="G5160">
        <v>52.23</v>
      </c>
      <c r="H5160" t="s">
        <v>9</v>
      </c>
      <c r="I5160" s="22">
        <f t="shared" si="161"/>
        <v>-5.3465852015606068E-3</v>
      </c>
      <c r="J5160" s="22" t="str">
        <f t="shared" si="162"/>
        <v/>
      </c>
    </row>
    <row r="5161" spans="1:10">
      <c r="A5161" s="1">
        <v>41418</v>
      </c>
      <c r="B5161">
        <v>52.9</v>
      </c>
      <c r="C5161">
        <v>53.66</v>
      </c>
      <c r="D5161">
        <v>52.72</v>
      </c>
      <c r="E5161">
        <v>53.66</v>
      </c>
      <c r="F5161">
        <v>18342300</v>
      </c>
      <c r="G5161">
        <v>52.54</v>
      </c>
      <c r="H5161" t="s">
        <v>9</v>
      </c>
      <c r="I5161" s="22">
        <f t="shared" si="161"/>
        <v>5.9177418091865075E-3</v>
      </c>
      <c r="J5161" s="22" t="str">
        <f t="shared" si="162"/>
        <v/>
      </c>
    </row>
    <row r="5162" spans="1:10">
      <c r="A5162" s="1">
        <v>41422</v>
      </c>
      <c r="B5162">
        <v>54.56</v>
      </c>
      <c r="C5162">
        <v>54.65</v>
      </c>
      <c r="D5162">
        <v>54.03</v>
      </c>
      <c r="E5162">
        <v>54.6</v>
      </c>
      <c r="F5162">
        <v>27162300</v>
      </c>
      <c r="G5162">
        <v>53.46</v>
      </c>
      <c r="H5162" t="s">
        <v>9</v>
      </c>
      <c r="I5162" s="22">
        <f t="shared" si="161"/>
        <v>1.7358926453379164E-2</v>
      </c>
      <c r="J5162" s="22" t="str">
        <f t="shared" si="162"/>
        <v/>
      </c>
    </row>
    <row r="5163" spans="1:10">
      <c r="A5163" s="1">
        <v>41423</v>
      </c>
      <c r="B5163">
        <v>54.09</v>
      </c>
      <c r="C5163">
        <v>54.96</v>
      </c>
      <c r="D5163">
        <v>53.91</v>
      </c>
      <c r="E5163">
        <v>54.67</v>
      </c>
      <c r="F5163">
        <v>20482600</v>
      </c>
      <c r="G5163">
        <v>53.53</v>
      </c>
      <c r="H5163" t="s">
        <v>9</v>
      </c>
      <c r="I5163" s="22">
        <f t="shared" si="161"/>
        <v>1.3085336945169131E-3</v>
      </c>
      <c r="J5163" s="22" t="str">
        <f t="shared" si="162"/>
        <v/>
      </c>
    </row>
    <row r="5164" spans="1:10">
      <c r="A5164" s="1">
        <v>41424</v>
      </c>
      <c r="B5164">
        <v>54.6</v>
      </c>
      <c r="C5164">
        <v>55.9</v>
      </c>
      <c r="D5164">
        <v>54.53</v>
      </c>
      <c r="E5164">
        <v>55.62</v>
      </c>
      <c r="F5164">
        <v>24890800</v>
      </c>
      <c r="G5164">
        <v>54.46</v>
      </c>
      <c r="H5164" t="s">
        <v>9</v>
      </c>
      <c r="I5164" s="22">
        <f t="shared" si="161"/>
        <v>1.7224242840323582E-2</v>
      </c>
      <c r="J5164" s="22" t="str">
        <f t="shared" si="162"/>
        <v/>
      </c>
    </row>
    <row r="5165" spans="1:10">
      <c r="A5165" s="1">
        <v>41425</v>
      </c>
      <c r="B5165">
        <v>55.71</v>
      </c>
      <c r="C5165">
        <v>55.83</v>
      </c>
      <c r="D5165">
        <v>54.59</v>
      </c>
      <c r="E5165">
        <v>54.59</v>
      </c>
      <c r="F5165">
        <v>24990100</v>
      </c>
      <c r="G5165">
        <v>53.45</v>
      </c>
      <c r="H5165" t="s">
        <v>9</v>
      </c>
      <c r="I5165" s="22">
        <f t="shared" si="161"/>
        <v>-1.8719849774559226E-2</v>
      </c>
      <c r="J5165" s="22" t="str">
        <f t="shared" si="162"/>
        <v>lost money</v>
      </c>
    </row>
    <row r="5166" spans="1:10">
      <c r="A5166" s="1">
        <v>41428</v>
      </c>
      <c r="B5166">
        <v>54.6</v>
      </c>
      <c r="C5166">
        <v>54.86</v>
      </c>
      <c r="D5166">
        <v>53.04</v>
      </c>
      <c r="E5166">
        <v>54.49</v>
      </c>
      <c r="F5166">
        <v>28279600</v>
      </c>
      <c r="G5166">
        <v>53.35</v>
      </c>
      <c r="H5166" t="s">
        <v>9</v>
      </c>
      <c r="I5166" s="22">
        <f t="shared" si="161"/>
        <v>-1.8726597232918884E-3</v>
      </c>
      <c r="J5166" s="22" t="str">
        <f t="shared" si="162"/>
        <v>lost money</v>
      </c>
    </row>
    <row r="5167" spans="1:10">
      <c r="A5167" s="1">
        <v>41429</v>
      </c>
      <c r="B5167">
        <v>54.54</v>
      </c>
      <c r="C5167">
        <v>55.39</v>
      </c>
      <c r="D5167">
        <v>53.87</v>
      </c>
      <c r="E5167">
        <v>54.04</v>
      </c>
      <c r="F5167">
        <v>22022600</v>
      </c>
      <c r="G5167">
        <v>52.91</v>
      </c>
      <c r="H5167" t="s">
        <v>9</v>
      </c>
      <c r="I5167" s="22">
        <f t="shared" si="161"/>
        <v>-8.2816208317220991E-3</v>
      </c>
      <c r="J5167" s="22" t="str">
        <f t="shared" si="162"/>
        <v>lost money</v>
      </c>
    </row>
    <row r="5168" spans="1:10">
      <c r="A5168" s="1">
        <v>41430</v>
      </c>
      <c r="B5168">
        <v>53.78</v>
      </c>
      <c r="C5168">
        <v>54.27</v>
      </c>
      <c r="D5168">
        <v>52.7</v>
      </c>
      <c r="E5168">
        <v>53.03</v>
      </c>
      <c r="F5168">
        <v>24326000</v>
      </c>
      <c r="G5168">
        <v>51.92</v>
      </c>
      <c r="H5168" t="s">
        <v>9</v>
      </c>
      <c r="I5168" s="22">
        <f t="shared" si="161"/>
        <v>-1.8888284520205745E-2</v>
      </c>
      <c r="J5168" s="22" t="str">
        <f t="shared" si="162"/>
        <v>lost money</v>
      </c>
    </row>
    <row r="5169" spans="1:10">
      <c r="A5169" s="1">
        <v>41431</v>
      </c>
      <c r="B5169">
        <v>52.84</v>
      </c>
      <c r="C5169">
        <v>53.52</v>
      </c>
      <c r="D5169">
        <v>52.27</v>
      </c>
      <c r="E5169">
        <v>53.5</v>
      </c>
      <c r="F5169">
        <v>23940900</v>
      </c>
      <c r="G5169">
        <v>52.38</v>
      </c>
      <c r="H5169" t="s">
        <v>9</v>
      </c>
      <c r="I5169" s="22">
        <f t="shared" si="161"/>
        <v>8.8207666837313795E-3</v>
      </c>
      <c r="J5169" s="22" t="str">
        <f t="shared" si="162"/>
        <v/>
      </c>
    </row>
    <row r="5170" spans="1:10">
      <c r="A5170" s="1">
        <v>41432</v>
      </c>
      <c r="B5170">
        <v>53.77</v>
      </c>
      <c r="C5170">
        <v>54.48</v>
      </c>
      <c r="D5170">
        <v>53.41</v>
      </c>
      <c r="E5170">
        <v>54.27</v>
      </c>
      <c r="F5170">
        <v>21691000</v>
      </c>
      <c r="G5170">
        <v>53.14</v>
      </c>
      <c r="H5170" t="s">
        <v>9</v>
      </c>
      <c r="I5170" s="22">
        <f t="shared" si="161"/>
        <v>1.4405101252101486E-2</v>
      </c>
      <c r="J5170" s="22" t="str">
        <f t="shared" si="162"/>
        <v/>
      </c>
    </row>
    <row r="5171" spans="1:10">
      <c r="A5171" s="1">
        <v>41435</v>
      </c>
      <c r="B5171">
        <v>54.64</v>
      </c>
      <c r="C5171">
        <v>54.84</v>
      </c>
      <c r="D5171">
        <v>54.02</v>
      </c>
      <c r="E5171">
        <v>54.36</v>
      </c>
      <c r="F5171">
        <v>16007000</v>
      </c>
      <c r="G5171">
        <v>53.22</v>
      </c>
      <c r="H5171" t="s">
        <v>9</v>
      </c>
      <c r="I5171" s="22">
        <f t="shared" si="161"/>
        <v>1.504325217875686E-3</v>
      </c>
      <c r="J5171" s="22" t="str">
        <f t="shared" si="162"/>
        <v>lost money</v>
      </c>
    </row>
    <row r="5172" spans="1:10">
      <c r="A5172" s="1">
        <v>41436</v>
      </c>
      <c r="B5172">
        <v>53.46</v>
      </c>
      <c r="C5172">
        <v>54.05</v>
      </c>
      <c r="D5172">
        <v>53.11</v>
      </c>
      <c r="E5172">
        <v>53.49</v>
      </c>
      <c r="F5172">
        <v>17600800</v>
      </c>
      <c r="G5172">
        <v>52.37</v>
      </c>
      <c r="H5172" t="s">
        <v>9</v>
      </c>
      <c r="I5172" s="22">
        <f t="shared" si="161"/>
        <v>-1.6100357258146802E-2</v>
      </c>
      <c r="J5172" s="22" t="str">
        <f t="shared" si="162"/>
        <v/>
      </c>
    </row>
    <row r="5173" spans="1:10">
      <c r="A5173" s="1">
        <v>41437</v>
      </c>
      <c r="B5173">
        <v>53.9</v>
      </c>
      <c r="C5173">
        <v>54.1</v>
      </c>
      <c r="D5173">
        <v>52.97</v>
      </c>
      <c r="E5173">
        <v>53.18</v>
      </c>
      <c r="F5173">
        <v>18479100</v>
      </c>
      <c r="G5173">
        <v>52.07</v>
      </c>
      <c r="H5173" t="s">
        <v>9</v>
      </c>
      <c r="I5173" s="22">
        <f t="shared" si="161"/>
        <v>-5.7449411165885521E-3</v>
      </c>
      <c r="J5173" s="22" t="str">
        <f t="shared" si="162"/>
        <v>lost money</v>
      </c>
    </row>
    <row r="5174" spans="1:10">
      <c r="A5174" s="1">
        <v>41438</v>
      </c>
      <c r="B5174">
        <v>53</v>
      </c>
      <c r="C5174">
        <v>54.24</v>
      </c>
      <c r="D5174">
        <v>52.97</v>
      </c>
      <c r="E5174">
        <v>54.17</v>
      </c>
      <c r="F5174">
        <v>17090200</v>
      </c>
      <c r="G5174">
        <v>53.04</v>
      </c>
      <c r="H5174" t="s">
        <v>9</v>
      </c>
      <c r="I5174" s="22">
        <f t="shared" si="161"/>
        <v>1.8457378702799346E-2</v>
      </c>
      <c r="J5174" s="22" t="str">
        <f t="shared" si="162"/>
        <v/>
      </c>
    </row>
    <row r="5175" spans="1:10">
      <c r="A5175" s="1">
        <v>41439</v>
      </c>
      <c r="B5175">
        <v>54.04</v>
      </c>
      <c r="C5175">
        <v>54.13</v>
      </c>
      <c r="D5175">
        <v>52.91</v>
      </c>
      <c r="E5175">
        <v>53.13</v>
      </c>
      <c r="F5175">
        <v>17185300</v>
      </c>
      <c r="G5175">
        <v>52.02</v>
      </c>
      <c r="H5175" t="s">
        <v>9</v>
      </c>
      <c r="I5175" s="22">
        <f t="shared" si="161"/>
        <v>-1.9418085857101513E-2</v>
      </c>
      <c r="J5175" s="22" t="str">
        <f t="shared" si="162"/>
        <v>lost money</v>
      </c>
    </row>
    <row r="5176" spans="1:10">
      <c r="A5176" s="1">
        <v>41442</v>
      </c>
      <c r="B5176">
        <v>53.7</v>
      </c>
      <c r="C5176">
        <v>54.26</v>
      </c>
      <c r="D5176">
        <v>53.54</v>
      </c>
      <c r="E5176">
        <v>53.85</v>
      </c>
      <c r="F5176">
        <v>16856600</v>
      </c>
      <c r="G5176">
        <v>52.72</v>
      </c>
      <c r="H5176" t="s">
        <v>9</v>
      </c>
      <c r="I5176" s="22">
        <f t="shared" si="161"/>
        <v>1.3366630173746157E-2</v>
      </c>
      <c r="J5176" s="22" t="str">
        <f t="shared" si="162"/>
        <v/>
      </c>
    </row>
    <row r="5177" spans="1:10">
      <c r="A5177" s="1">
        <v>41443</v>
      </c>
      <c r="B5177">
        <v>54.03</v>
      </c>
      <c r="C5177">
        <v>54.27</v>
      </c>
      <c r="D5177">
        <v>53.72</v>
      </c>
      <c r="E5177">
        <v>54.11</v>
      </c>
      <c r="F5177">
        <v>13259100</v>
      </c>
      <c r="G5177">
        <v>52.98</v>
      </c>
      <c r="H5177" t="s">
        <v>9</v>
      </c>
      <c r="I5177" s="22">
        <f t="shared" si="161"/>
        <v>4.9195936496718058E-3</v>
      </c>
      <c r="J5177" s="22" t="str">
        <f t="shared" si="162"/>
        <v/>
      </c>
    </row>
    <row r="5178" spans="1:10">
      <c r="A5178" s="1">
        <v>41444</v>
      </c>
      <c r="B5178">
        <v>53.99</v>
      </c>
      <c r="C5178">
        <v>54.51</v>
      </c>
      <c r="D5178">
        <v>53.52</v>
      </c>
      <c r="E5178">
        <v>53.55</v>
      </c>
      <c r="F5178">
        <v>20840000</v>
      </c>
      <c r="G5178">
        <v>52.43</v>
      </c>
      <c r="H5178" t="s">
        <v>9</v>
      </c>
      <c r="I5178" s="22">
        <f t="shared" si="161"/>
        <v>-1.0435537259482175E-2</v>
      </c>
      <c r="J5178" s="22" t="str">
        <f t="shared" si="162"/>
        <v>lost money</v>
      </c>
    </row>
    <row r="5179" spans="1:10">
      <c r="A5179" s="1">
        <v>41445</v>
      </c>
      <c r="B5179">
        <v>53.08</v>
      </c>
      <c r="C5179">
        <v>53.18</v>
      </c>
      <c r="D5179">
        <v>52.27</v>
      </c>
      <c r="E5179">
        <v>52.48</v>
      </c>
      <c r="F5179">
        <v>31857100</v>
      </c>
      <c r="G5179">
        <v>51.38</v>
      </c>
      <c r="H5179" t="s">
        <v>9</v>
      </c>
      <c r="I5179" s="22">
        <f t="shared" si="161"/>
        <v>-2.0229954902703802E-2</v>
      </c>
      <c r="J5179" s="22" t="str">
        <f t="shared" si="162"/>
        <v>lost money</v>
      </c>
    </row>
    <row r="5180" spans="1:10">
      <c r="A5180" s="1">
        <v>41446</v>
      </c>
      <c r="B5180">
        <v>52.96</v>
      </c>
      <c r="C5180">
        <v>52.98</v>
      </c>
      <c r="D5180">
        <v>51.69</v>
      </c>
      <c r="E5180">
        <v>51.96</v>
      </c>
      <c r="F5180">
        <v>44412200</v>
      </c>
      <c r="G5180">
        <v>50.87</v>
      </c>
      <c r="H5180" t="s">
        <v>9</v>
      </c>
      <c r="I5180" s="22">
        <f t="shared" si="161"/>
        <v>-9.9756328470639744E-3</v>
      </c>
      <c r="J5180" s="22" t="str">
        <f t="shared" si="162"/>
        <v>lost money</v>
      </c>
    </row>
    <row r="5181" spans="1:10">
      <c r="A5181" s="1">
        <v>41449</v>
      </c>
      <c r="B5181">
        <v>50.88</v>
      </c>
      <c r="C5181">
        <v>51.45</v>
      </c>
      <c r="D5181">
        <v>50.11</v>
      </c>
      <c r="E5181">
        <v>50.92</v>
      </c>
      <c r="F5181">
        <v>30736500</v>
      </c>
      <c r="G5181">
        <v>49.86</v>
      </c>
      <c r="H5181" t="s">
        <v>9</v>
      </c>
      <c r="I5181" s="22">
        <f t="shared" si="161"/>
        <v>-2.0054280739261771E-2</v>
      </c>
      <c r="J5181" s="22" t="str">
        <f t="shared" si="162"/>
        <v/>
      </c>
    </row>
    <row r="5182" spans="1:10">
      <c r="A5182" s="1">
        <v>41450</v>
      </c>
      <c r="B5182">
        <v>51.51</v>
      </c>
      <c r="C5182">
        <v>52.56</v>
      </c>
      <c r="D5182">
        <v>51.51</v>
      </c>
      <c r="E5182">
        <v>52.08</v>
      </c>
      <c r="F5182">
        <v>20951400</v>
      </c>
      <c r="G5182">
        <v>50.99</v>
      </c>
      <c r="H5182" t="s">
        <v>9</v>
      </c>
      <c r="I5182" s="22">
        <f t="shared" si="161"/>
        <v>2.2410456971652667E-2</v>
      </c>
      <c r="J5182" s="22" t="str">
        <f t="shared" si="162"/>
        <v/>
      </c>
    </row>
    <row r="5183" spans="1:10">
      <c r="A5183" s="1">
        <v>41451</v>
      </c>
      <c r="B5183">
        <v>52.65</v>
      </c>
      <c r="C5183">
        <v>52.8</v>
      </c>
      <c r="D5183">
        <v>51.88</v>
      </c>
      <c r="E5183">
        <v>52.5</v>
      </c>
      <c r="F5183">
        <v>19332000</v>
      </c>
      <c r="G5183">
        <v>51.4</v>
      </c>
      <c r="H5183" t="s">
        <v>9</v>
      </c>
      <c r="I5183" s="22">
        <f t="shared" si="161"/>
        <v>8.0086373940550758E-3</v>
      </c>
      <c r="J5183" s="22" t="str">
        <f t="shared" si="162"/>
        <v>lost money</v>
      </c>
    </row>
    <row r="5184" spans="1:10">
      <c r="A5184" s="1">
        <v>41452</v>
      </c>
      <c r="B5184">
        <v>53.03</v>
      </c>
      <c r="C5184">
        <v>53.49</v>
      </c>
      <c r="D5184">
        <v>52.88</v>
      </c>
      <c r="E5184">
        <v>53.15</v>
      </c>
      <c r="F5184">
        <v>17093600</v>
      </c>
      <c r="G5184">
        <v>52.04</v>
      </c>
      <c r="H5184" t="s">
        <v>9</v>
      </c>
      <c r="I5184" s="22">
        <f t="shared" si="161"/>
        <v>1.2374481183185059E-2</v>
      </c>
      <c r="J5184" s="22" t="str">
        <f t="shared" si="162"/>
        <v/>
      </c>
    </row>
    <row r="5185" spans="1:10">
      <c r="A5185" s="1">
        <v>41453</v>
      </c>
      <c r="B5185">
        <v>53.12</v>
      </c>
      <c r="C5185">
        <v>53.13</v>
      </c>
      <c r="D5185">
        <v>52.58</v>
      </c>
      <c r="E5185">
        <v>52.79</v>
      </c>
      <c r="F5185">
        <v>18256000</v>
      </c>
      <c r="G5185">
        <v>51.69</v>
      </c>
      <c r="H5185" t="s">
        <v>9</v>
      </c>
      <c r="I5185" s="22">
        <f t="shared" si="161"/>
        <v>-6.7483144363566392E-3</v>
      </c>
      <c r="J5185" s="22" t="str">
        <f t="shared" si="162"/>
        <v>lost money</v>
      </c>
    </row>
    <row r="5186" spans="1:10">
      <c r="A5186" s="1">
        <v>41456</v>
      </c>
      <c r="B5186">
        <v>53.22</v>
      </c>
      <c r="C5186">
        <v>53.63</v>
      </c>
      <c r="D5186">
        <v>52.43</v>
      </c>
      <c r="E5186">
        <v>52.49</v>
      </c>
      <c r="F5186">
        <v>23511100</v>
      </c>
      <c r="G5186">
        <v>51.39</v>
      </c>
      <c r="H5186" t="s">
        <v>9</v>
      </c>
      <c r="I5186" s="22">
        <f t="shared" si="161"/>
        <v>-5.8207382038096139E-3</v>
      </c>
      <c r="J5186" s="22" t="str">
        <f t="shared" si="162"/>
        <v>lost money</v>
      </c>
    </row>
    <row r="5187" spans="1:10">
      <c r="A5187" s="1">
        <v>41457</v>
      </c>
      <c r="B5187">
        <v>52.57</v>
      </c>
      <c r="C5187">
        <v>53.53</v>
      </c>
      <c r="D5187">
        <v>52.12</v>
      </c>
      <c r="E5187">
        <v>52.8</v>
      </c>
      <c r="F5187">
        <v>23935300</v>
      </c>
      <c r="G5187">
        <v>52.07</v>
      </c>
      <c r="H5187" t="s">
        <v>9</v>
      </c>
      <c r="I5187" s="22">
        <f t="shared" ref="I5187:I5250" si="163">IF(A5187=$A$2,"",LN(G5187/G5186))</f>
        <v>1.3145366170669396E-2</v>
      </c>
      <c r="J5187" s="22" t="str">
        <f t="shared" ref="J5187:J5250" si="164">IF(B5187&gt;E5187,"lost money","")</f>
        <v/>
      </c>
    </row>
    <row r="5188" spans="1:10">
      <c r="A5188" s="1">
        <v>41458</v>
      </c>
      <c r="B5188">
        <v>52.31</v>
      </c>
      <c r="C5188">
        <v>52.81</v>
      </c>
      <c r="D5188">
        <v>52.21</v>
      </c>
      <c r="E5188">
        <v>52.77</v>
      </c>
      <c r="F5188">
        <v>10442300</v>
      </c>
      <c r="G5188">
        <v>52.04</v>
      </c>
      <c r="H5188" t="s">
        <v>9</v>
      </c>
      <c r="I5188" s="22">
        <f t="shared" si="163"/>
        <v>-5.7631353050323114E-4</v>
      </c>
      <c r="J5188" s="22" t="str">
        <f t="shared" si="164"/>
        <v/>
      </c>
    </row>
    <row r="5189" spans="1:10">
      <c r="A5189" s="1">
        <v>41460</v>
      </c>
      <c r="B5189">
        <v>53.36</v>
      </c>
      <c r="C5189">
        <v>54</v>
      </c>
      <c r="D5189">
        <v>53.11</v>
      </c>
      <c r="E5189">
        <v>53.99</v>
      </c>
      <c r="F5189">
        <v>17070200</v>
      </c>
      <c r="G5189">
        <v>53.25</v>
      </c>
      <c r="H5189" t="s">
        <v>9</v>
      </c>
      <c r="I5189" s="22">
        <f t="shared" si="163"/>
        <v>2.2985150945230022E-2</v>
      </c>
      <c r="J5189" s="22" t="str">
        <f t="shared" si="164"/>
        <v/>
      </c>
    </row>
    <row r="5190" spans="1:10">
      <c r="A5190" s="1">
        <v>41463</v>
      </c>
      <c r="B5190">
        <v>54.54</v>
      </c>
      <c r="C5190">
        <v>54.91</v>
      </c>
      <c r="D5190">
        <v>54.05</v>
      </c>
      <c r="E5190">
        <v>54.7</v>
      </c>
      <c r="F5190">
        <v>21786900</v>
      </c>
      <c r="G5190">
        <v>53.95</v>
      </c>
      <c r="H5190" t="s">
        <v>9</v>
      </c>
      <c r="I5190" s="22">
        <f t="shared" si="163"/>
        <v>1.3059887114609228E-2</v>
      </c>
      <c r="J5190" s="22" t="str">
        <f t="shared" si="164"/>
        <v/>
      </c>
    </row>
    <row r="5191" spans="1:10">
      <c r="A5191" s="1">
        <v>41464</v>
      </c>
      <c r="B5191">
        <v>55.07</v>
      </c>
      <c r="C5191">
        <v>55.17</v>
      </c>
      <c r="D5191">
        <v>54.19</v>
      </c>
      <c r="E5191">
        <v>54.89</v>
      </c>
      <c r="F5191">
        <v>20508700</v>
      </c>
      <c r="G5191">
        <v>54.13</v>
      </c>
      <c r="H5191" t="s">
        <v>9</v>
      </c>
      <c r="I5191" s="22">
        <f t="shared" si="163"/>
        <v>3.3308691047428769E-3</v>
      </c>
      <c r="J5191" s="22" t="str">
        <f t="shared" si="164"/>
        <v>lost money</v>
      </c>
    </row>
    <row r="5192" spans="1:10">
      <c r="A5192" s="1">
        <v>41465</v>
      </c>
      <c r="B5192">
        <v>54.77</v>
      </c>
      <c r="C5192">
        <v>55.15</v>
      </c>
      <c r="D5192">
        <v>54.44</v>
      </c>
      <c r="E5192">
        <v>54.83</v>
      </c>
      <c r="F5192">
        <v>16915000</v>
      </c>
      <c r="G5192">
        <v>54.08</v>
      </c>
      <c r="H5192" t="s">
        <v>9</v>
      </c>
      <c r="I5192" s="22">
        <f t="shared" si="163"/>
        <v>-9.2412907417795576E-4</v>
      </c>
      <c r="J5192" s="22" t="str">
        <f t="shared" si="164"/>
        <v/>
      </c>
    </row>
    <row r="5193" spans="1:10">
      <c r="A5193" s="1">
        <v>41466</v>
      </c>
      <c r="B5193">
        <v>55.84</v>
      </c>
      <c r="C5193">
        <v>55.87</v>
      </c>
      <c r="D5193">
        <v>54.55</v>
      </c>
      <c r="E5193">
        <v>55.14</v>
      </c>
      <c r="F5193">
        <v>21322600</v>
      </c>
      <c r="G5193">
        <v>54.38</v>
      </c>
      <c r="H5193" t="s">
        <v>9</v>
      </c>
      <c r="I5193" s="22">
        <f t="shared" si="163"/>
        <v>5.5320074696160182E-3</v>
      </c>
      <c r="J5193" s="22" t="str">
        <f t="shared" si="164"/>
        <v>lost money</v>
      </c>
    </row>
    <row r="5194" spans="1:10">
      <c r="A5194" s="1">
        <v>41467</v>
      </c>
      <c r="B5194">
        <v>55.51</v>
      </c>
      <c r="C5194">
        <v>55.85</v>
      </c>
      <c r="D5194">
        <v>54.75</v>
      </c>
      <c r="E5194">
        <v>54.97</v>
      </c>
      <c r="F5194">
        <v>32569200</v>
      </c>
      <c r="G5194">
        <v>54.21</v>
      </c>
      <c r="H5194" t="s">
        <v>9</v>
      </c>
      <c r="I5194" s="22">
        <f t="shared" si="163"/>
        <v>-3.1310459320779099E-3</v>
      </c>
      <c r="J5194" s="22" t="str">
        <f t="shared" si="164"/>
        <v>lost money</v>
      </c>
    </row>
    <row r="5195" spans="1:10">
      <c r="A5195" s="1">
        <v>41470</v>
      </c>
      <c r="B5195">
        <v>55.49</v>
      </c>
      <c r="C5195">
        <v>55.5</v>
      </c>
      <c r="D5195">
        <v>54.6</v>
      </c>
      <c r="E5195">
        <v>54.89</v>
      </c>
      <c r="F5195">
        <v>28292000</v>
      </c>
      <c r="G5195">
        <v>54.13</v>
      </c>
      <c r="H5195" t="s">
        <v>9</v>
      </c>
      <c r="I5195" s="22">
        <f t="shared" si="163"/>
        <v>-1.4768324633602564E-3</v>
      </c>
      <c r="J5195" s="22" t="str">
        <f t="shared" si="164"/>
        <v>lost money</v>
      </c>
    </row>
    <row r="5196" spans="1:10">
      <c r="A5196" s="1">
        <v>41471</v>
      </c>
      <c r="B5196">
        <v>54.9</v>
      </c>
      <c r="C5196">
        <v>55.41</v>
      </c>
      <c r="D5196">
        <v>54.78</v>
      </c>
      <c r="E5196">
        <v>55.01</v>
      </c>
      <c r="F5196">
        <v>19222700</v>
      </c>
      <c r="G5196">
        <v>54.25</v>
      </c>
      <c r="H5196" t="s">
        <v>9</v>
      </c>
      <c r="I5196" s="22">
        <f t="shared" si="163"/>
        <v>2.2144316116824688E-3</v>
      </c>
      <c r="J5196" s="22" t="str">
        <f t="shared" si="164"/>
        <v/>
      </c>
    </row>
    <row r="5197" spans="1:10">
      <c r="A5197" s="1">
        <v>41472</v>
      </c>
      <c r="B5197">
        <v>55.05</v>
      </c>
      <c r="C5197">
        <v>55.58</v>
      </c>
      <c r="D5197">
        <v>54.84</v>
      </c>
      <c r="E5197">
        <v>55.27</v>
      </c>
      <c r="F5197">
        <v>19166600</v>
      </c>
      <c r="G5197">
        <v>54.51</v>
      </c>
      <c r="H5197" t="s">
        <v>9</v>
      </c>
      <c r="I5197" s="22">
        <f t="shared" si="163"/>
        <v>4.781178655620626E-3</v>
      </c>
      <c r="J5197" s="22" t="str">
        <f t="shared" si="164"/>
        <v/>
      </c>
    </row>
    <row r="5198" spans="1:10">
      <c r="A5198" s="1">
        <v>41473</v>
      </c>
      <c r="B5198">
        <v>55.51</v>
      </c>
      <c r="C5198">
        <v>56.53</v>
      </c>
      <c r="D5198">
        <v>55.49</v>
      </c>
      <c r="E5198">
        <v>56.37</v>
      </c>
      <c r="F5198">
        <v>24563100</v>
      </c>
      <c r="G5198">
        <v>55.59</v>
      </c>
      <c r="H5198" t="s">
        <v>9</v>
      </c>
      <c r="I5198" s="22">
        <f t="shared" si="163"/>
        <v>1.9619157889188738E-2</v>
      </c>
      <c r="J5198" s="22" t="str">
        <f t="shared" si="164"/>
        <v/>
      </c>
    </row>
    <row r="5199" spans="1:10">
      <c r="A5199" s="1">
        <v>41474</v>
      </c>
      <c r="B5199">
        <v>56.51</v>
      </c>
      <c r="C5199">
        <v>56.56</v>
      </c>
      <c r="D5199">
        <v>55.91</v>
      </c>
      <c r="E5199">
        <v>56.16</v>
      </c>
      <c r="F5199">
        <v>17762600</v>
      </c>
      <c r="G5199">
        <v>55.39</v>
      </c>
      <c r="H5199" t="s">
        <v>9</v>
      </c>
      <c r="I5199" s="22">
        <f t="shared" si="163"/>
        <v>-3.6042569203656397E-3</v>
      </c>
      <c r="J5199" s="22" t="str">
        <f t="shared" si="164"/>
        <v>lost money</v>
      </c>
    </row>
    <row r="5200" spans="1:10">
      <c r="A5200" s="1">
        <v>41477</v>
      </c>
      <c r="B5200">
        <v>56.17</v>
      </c>
      <c r="C5200">
        <v>56.67</v>
      </c>
      <c r="D5200">
        <v>55.95</v>
      </c>
      <c r="E5200">
        <v>56.56</v>
      </c>
      <c r="F5200">
        <v>15999700</v>
      </c>
      <c r="G5200">
        <v>55.78</v>
      </c>
      <c r="H5200" t="s">
        <v>9</v>
      </c>
      <c r="I5200" s="22">
        <f t="shared" si="163"/>
        <v>7.0163101543303337E-3</v>
      </c>
      <c r="J5200" s="22" t="str">
        <f t="shared" si="164"/>
        <v/>
      </c>
    </row>
    <row r="5201" spans="1:10">
      <c r="A5201" s="1">
        <v>41478</v>
      </c>
      <c r="B5201">
        <v>56.72</v>
      </c>
      <c r="C5201">
        <v>56.89</v>
      </c>
      <c r="D5201">
        <v>56.47</v>
      </c>
      <c r="E5201">
        <v>56.67</v>
      </c>
      <c r="F5201">
        <v>10577100</v>
      </c>
      <c r="G5201">
        <v>55.89</v>
      </c>
      <c r="H5201" t="s">
        <v>9</v>
      </c>
      <c r="I5201" s="22">
        <f t="shared" si="163"/>
        <v>1.9700910822639407E-3</v>
      </c>
      <c r="J5201" s="22" t="str">
        <f t="shared" si="164"/>
        <v>lost money</v>
      </c>
    </row>
    <row r="5202" spans="1:10">
      <c r="A5202" s="1">
        <v>41479</v>
      </c>
      <c r="B5202">
        <v>56.92</v>
      </c>
      <c r="C5202">
        <v>56.93</v>
      </c>
      <c r="D5202">
        <v>56.38</v>
      </c>
      <c r="E5202">
        <v>56.63</v>
      </c>
      <c r="F5202">
        <v>16665000</v>
      </c>
      <c r="G5202">
        <v>55.85</v>
      </c>
      <c r="H5202" t="s">
        <v>9</v>
      </c>
      <c r="I5202" s="22">
        <f t="shared" si="163"/>
        <v>-7.1594776639710483E-4</v>
      </c>
      <c r="J5202" s="22" t="str">
        <f t="shared" si="164"/>
        <v>lost money</v>
      </c>
    </row>
    <row r="5203" spans="1:10">
      <c r="A5203" s="1">
        <v>41480</v>
      </c>
      <c r="B5203">
        <v>56.45</v>
      </c>
      <c r="C5203">
        <v>56.5</v>
      </c>
      <c r="D5203">
        <v>55.89</v>
      </c>
      <c r="E5203">
        <v>56.5</v>
      </c>
      <c r="F5203">
        <v>13870200</v>
      </c>
      <c r="G5203">
        <v>55.72</v>
      </c>
      <c r="H5203" t="s">
        <v>9</v>
      </c>
      <c r="I5203" s="22">
        <f t="shared" si="163"/>
        <v>-2.3303766036048435E-3</v>
      </c>
      <c r="J5203" s="22" t="str">
        <f t="shared" si="164"/>
        <v/>
      </c>
    </row>
    <row r="5204" spans="1:10">
      <c r="A5204" s="1">
        <v>41481</v>
      </c>
      <c r="B5204">
        <v>56.06</v>
      </c>
      <c r="C5204">
        <v>56.22</v>
      </c>
      <c r="D5204">
        <v>55.6</v>
      </c>
      <c r="E5204">
        <v>56.05</v>
      </c>
      <c r="F5204">
        <v>16762300</v>
      </c>
      <c r="G5204">
        <v>55.28</v>
      </c>
      <c r="H5204" t="s">
        <v>9</v>
      </c>
      <c r="I5204" s="22">
        <f t="shared" si="163"/>
        <v>-7.9279694521904327E-3</v>
      </c>
      <c r="J5204" s="22" t="str">
        <f t="shared" si="164"/>
        <v>lost money</v>
      </c>
    </row>
    <row r="5205" spans="1:10">
      <c r="A5205" s="1">
        <v>41484</v>
      </c>
      <c r="B5205">
        <v>55.98</v>
      </c>
      <c r="C5205">
        <v>56</v>
      </c>
      <c r="D5205">
        <v>55.38</v>
      </c>
      <c r="E5205">
        <v>55.69</v>
      </c>
      <c r="F5205">
        <v>10049100</v>
      </c>
      <c r="G5205">
        <v>54.92</v>
      </c>
      <c r="H5205" t="s">
        <v>9</v>
      </c>
      <c r="I5205" s="22">
        <f t="shared" si="163"/>
        <v>-6.5335985596441338E-3</v>
      </c>
      <c r="J5205" s="22" t="str">
        <f t="shared" si="164"/>
        <v>lost money</v>
      </c>
    </row>
    <row r="5206" spans="1:10">
      <c r="A5206" s="1">
        <v>41485</v>
      </c>
      <c r="B5206">
        <v>55.87</v>
      </c>
      <c r="C5206">
        <v>55.99</v>
      </c>
      <c r="D5206">
        <v>55.08</v>
      </c>
      <c r="E5206">
        <v>55.33</v>
      </c>
      <c r="F5206">
        <v>14207400</v>
      </c>
      <c r="G5206">
        <v>54.57</v>
      </c>
      <c r="H5206" t="s">
        <v>9</v>
      </c>
      <c r="I5206" s="22">
        <f t="shared" si="163"/>
        <v>-6.3932997016297446E-3</v>
      </c>
      <c r="J5206" s="22" t="str">
        <f t="shared" si="164"/>
        <v>lost money</v>
      </c>
    </row>
    <row r="5207" spans="1:10">
      <c r="A5207" s="1">
        <v>41486</v>
      </c>
      <c r="B5207">
        <v>55.58</v>
      </c>
      <c r="C5207">
        <v>56.27</v>
      </c>
      <c r="D5207">
        <v>55.51</v>
      </c>
      <c r="E5207">
        <v>55.73</v>
      </c>
      <c r="F5207">
        <v>19404900</v>
      </c>
      <c r="G5207">
        <v>54.96</v>
      </c>
      <c r="H5207" t="s">
        <v>9</v>
      </c>
      <c r="I5207" s="22">
        <f t="shared" si="163"/>
        <v>7.1213667159532529E-3</v>
      </c>
      <c r="J5207" s="22" t="str">
        <f t="shared" si="164"/>
        <v/>
      </c>
    </row>
    <row r="5208" spans="1:10">
      <c r="A5208" s="1">
        <v>41487</v>
      </c>
      <c r="B5208">
        <v>56.36</v>
      </c>
      <c r="C5208">
        <v>56.78</v>
      </c>
      <c r="D5208">
        <v>56.2</v>
      </c>
      <c r="E5208">
        <v>56.54</v>
      </c>
      <c r="F5208">
        <v>15979400</v>
      </c>
      <c r="G5208">
        <v>55.76</v>
      </c>
      <c r="H5208" t="s">
        <v>9</v>
      </c>
      <c r="I5208" s="22">
        <f t="shared" si="163"/>
        <v>1.4451118538174506E-2</v>
      </c>
      <c r="J5208" s="22" t="str">
        <f t="shared" si="164"/>
        <v/>
      </c>
    </row>
    <row r="5209" spans="1:10">
      <c r="A5209" s="1">
        <v>41488</v>
      </c>
      <c r="B5209">
        <v>56.27</v>
      </c>
      <c r="C5209">
        <v>56.52</v>
      </c>
      <c r="D5209">
        <v>56.01</v>
      </c>
      <c r="E5209">
        <v>56.49</v>
      </c>
      <c r="F5209">
        <v>11007300</v>
      </c>
      <c r="G5209">
        <v>55.71</v>
      </c>
      <c r="H5209" t="s">
        <v>9</v>
      </c>
      <c r="I5209" s="22">
        <f t="shared" si="163"/>
        <v>-8.9710241954428895E-4</v>
      </c>
      <c r="J5209" s="22" t="str">
        <f t="shared" si="164"/>
        <v/>
      </c>
    </row>
    <row r="5210" spans="1:10">
      <c r="A5210" s="1">
        <v>41491</v>
      </c>
      <c r="B5210">
        <v>56.33</v>
      </c>
      <c r="C5210">
        <v>56.58</v>
      </c>
      <c r="D5210">
        <v>56.01</v>
      </c>
      <c r="E5210">
        <v>56.1</v>
      </c>
      <c r="F5210">
        <v>9370200</v>
      </c>
      <c r="G5210">
        <v>55.33</v>
      </c>
      <c r="H5210" t="s">
        <v>9</v>
      </c>
      <c r="I5210" s="22">
        <f t="shared" si="163"/>
        <v>-6.8444071227057946E-3</v>
      </c>
      <c r="J5210" s="22" t="str">
        <f t="shared" si="164"/>
        <v>lost money</v>
      </c>
    </row>
    <row r="5211" spans="1:10">
      <c r="A5211" s="1">
        <v>41492</v>
      </c>
      <c r="B5211">
        <v>55.99</v>
      </c>
      <c r="C5211">
        <v>56.1</v>
      </c>
      <c r="D5211">
        <v>55.31</v>
      </c>
      <c r="E5211">
        <v>55.49</v>
      </c>
      <c r="F5211">
        <v>10588600</v>
      </c>
      <c r="G5211">
        <v>54.73</v>
      </c>
      <c r="H5211" t="s">
        <v>9</v>
      </c>
      <c r="I5211" s="22">
        <f t="shared" si="163"/>
        <v>-1.0903251754191583E-2</v>
      </c>
      <c r="J5211" s="22" t="str">
        <f t="shared" si="164"/>
        <v>lost money</v>
      </c>
    </row>
    <row r="5212" spans="1:10">
      <c r="A5212" s="1">
        <v>41493</v>
      </c>
      <c r="B5212">
        <v>55.06</v>
      </c>
      <c r="C5212">
        <v>55.47</v>
      </c>
      <c r="D5212">
        <v>54.78</v>
      </c>
      <c r="E5212">
        <v>55.3</v>
      </c>
      <c r="F5212">
        <v>12828400</v>
      </c>
      <c r="G5212">
        <v>54.54</v>
      </c>
      <c r="H5212" t="s">
        <v>9</v>
      </c>
      <c r="I5212" s="22">
        <f t="shared" si="163"/>
        <v>-3.477627738384228E-3</v>
      </c>
      <c r="J5212" s="22" t="str">
        <f t="shared" si="164"/>
        <v/>
      </c>
    </row>
    <row r="5213" spans="1:10">
      <c r="A5213" s="1">
        <v>41494</v>
      </c>
      <c r="B5213">
        <v>55.42</v>
      </c>
      <c r="C5213">
        <v>55.73</v>
      </c>
      <c r="D5213">
        <v>54.13</v>
      </c>
      <c r="E5213">
        <v>54.83</v>
      </c>
      <c r="F5213">
        <v>18587100</v>
      </c>
      <c r="G5213">
        <v>54.08</v>
      </c>
      <c r="H5213" t="s">
        <v>9</v>
      </c>
      <c r="I5213" s="22">
        <f t="shared" si="163"/>
        <v>-8.4699456827338187E-3</v>
      </c>
      <c r="J5213" s="22" t="str">
        <f t="shared" si="164"/>
        <v>lost money</v>
      </c>
    </row>
    <row r="5214" spans="1:10">
      <c r="A5214" s="1">
        <v>41495</v>
      </c>
      <c r="B5214">
        <v>54.69</v>
      </c>
      <c r="C5214">
        <v>55.15</v>
      </c>
      <c r="D5214">
        <v>54.33</v>
      </c>
      <c r="E5214">
        <v>54.52</v>
      </c>
      <c r="F5214">
        <v>12652500</v>
      </c>
      <c r="G5214">
        <v>53.77</v>
      </c>
      <c r="H5214" t="s">
        <v>9</v>
      </c>
      <c r="I5214" s="22">
        <f t="shared" si="163"/>
        <v>-5.7487409131218451E-3</v>
      </c>
      <c r="J5214" s="22" t="str">
        <f t="shared" si="164"/>
        <v>lost money</v>
      </c>
    </row>
    <row r="5215" spans="1:10">
      <c r="A5215" s="1">
        <v>41498</v>
      </c>
      <c r="B5215">
        <v>54.04</v>
      </c>
      <c r="C5215">
        <v>54.32</v>
      </c>
      <c r="D5215">
        <v>53.68</v>
      </c>
      <c r="E5215">
        <v>54.09</v>
      </c>
      <c r="F5215">
        <v>15133000</v>
      </c>
      <c r="G5215">
        <v>53.35</v>
      </c>
      <c r="H5215" t="s">
        <v>9</v>
      </c>
      <c r="I5215" s="22">
        <f t="shared" si="163"/>
        <v>-7.8417130738243756E-3</v>
      </c>
      <c r="J5215" s="22" t="str">
        <f t="shared" si="164"/>
        <v/>
      </c>
    </row>
    <row r="5216" spans="1:10">
      <c r="A5216" s="1">
        <v>41499</v>
      </c>
      <c r="B5216">
        <v>54.22</v>
      </c>
      <c r="C5216">
        <v>54.7</v>
      </c>
      <c r="D5216">
        <v>53.6</v>
      </c>
      <c r="E5216">
        <v>54.29</v>
      </c>
      <c r="F5216">
        <v>15078100</v>
      </c>
      <c r="G5216">
        <v>53.54</v>
      </c>
      <c r="H5216" t="s">
        <v>9</v>
      </c>
      <c r="I5216" s="22">
        <f t="shared" si="163"/>
        <v>3.5550603444440038E-3</v>
      </c>
      <c r="J5216" s="22" t="str">
        <f t="shared" si="164"/>
        <v/>
      </c>
    </row>
    <row r="5217" spans="1:10">
      <c r="A5217" s="1">
        <v>41500</v>
      </c>
      <c r="B5217">
        <v>54.33</v>
      </c>
      <c r="C5217">
        <v>54.85</v>
      </c>
      <c r="D5217">
        <v>54</v>
      </c>
      <c r="E5217">
        <v>54.15</v>
      </c>
      <c r="F5217">
        <v>15785800</v>
      </c>
      <c r="G5217">
        <v>53.4</v>
      </c>
      <c r="H5217" t="s">
        <v>9</v>
      </c>
      <c r="I5217" s="22">
        <f t="shared" si="163"/>
        <v>-2.618292126057339E-3</v>
      </c>
      <c r="J5217" s="22" t="str">
        <f t="shared" si="164"/>
        <v>lost money</v>
      </c>
    </row>
    <row r="5218" spans="1:10">
      <c r="A5218" s="1">
        <v>41501</v>
      </c>
      <c r="B5218">
        <v>53.52</v>
      </c>
      <c r="C5218">
        <v>53.68</v>
      </c>
      <c r="D5218">
        <v>52.89</v>
      </c>
      <c r="E5218">
        <v>53.29</v>
      </c>
      <c r="F5218">
        <v>16933200</v>
      </c>
      <c r="G5218">
        <v>52.56</v>
      </c>
      <c r="H5218" t="s">
        <v>9</v>
      </c>
      <c r="I5218" s="22">
        <f t="shared" si="163"/>
        <v>-1.5855371789793963E-2</v>
      </c>
      <c r="J5218" s="22" t="str">
        <f t="shared" si="164"/>
        <v>lost money</v>
      </c>
    </row>
    <row r="5219" spans="1:10">
      <c r="A5219" s="1">
        <v>41502</v>
      </c>
      <c r="B5219">
        <v>53.07</v>
      </c>
      <c r="C5219">
        <v>53.78</v>
      </c>
      <c r="D5219">
        <v>53.07</v>
      </c>
      <c r="E5219">
        <v>53.29</v>
      </c>
      <c r="F5219">
        <v>17139000</v>
      </c>
      <c r="G5219">
        <v>52.56</v>
      </c>
      <c r="H5219" t="s">
        <v>9</v>
      </c>
      <c r="I5219" s="22">
        <f t="shared" si="163"/>
        <v>0</v>
      </c>
      <c r="J5219" s="22" t="str">
        <f t="shared" si="164"/>
        <v/>
      </c>
    </row>
    <row r="5220" spans="1:10">
      <c r="A5220" s="1">
        <v>41505</v>
      </c>
      <c r="B5220">
        <v>52.89</v>
      </c>
      <c r="C5220">
        <v>52.95</v>
      </c>
      <c r="D5220">
        <v>51.8</v>
      </c>
      <c r="E5220">
        <v>51.83</v>
      </c>
      <c r="F5220">
        <v>22793300</v>
      </c>
      <c r="G5220">
        <v>51.12</v>
      </c>
      <c r="H5220" t="s">
        <v>9</v>
      </c>
      <c r="I5220" s="22">
        <f t="shared" si="163"/>
        <v>-2.777956410707582E-2</v>
      </c>
      <c r="J5220" s="22" t="str">
        <f t="shared" si="164"/>
        <v>lost money</v>
      </c>
    </row>
    <row r="5221" spans="1:10">
      <c r="A5221" s="1">
        <v>41506</v>
      </c>
      <c r="B5221">
        <v>51.78</v>
      </c>
      <c r="C5221">
        <v>52.36</v>
      </c>
      <c r="D5221">
        <v>50.66</v>
      </c>
      <c r="E5221">
        <v>52.12</v>
      </c>
      <c r="F5221">
        <v>18701500</v>
      </c>
      <c r="G5221">
        <v>51.4</v>
      </c>
      <c r="H5221" t="s">
        <v>9</v>
      </c>
      <c r="I5221" s="22">
        <f t="shared" si="163"/>
        <v>5.4623623918400276E-3</v>
      </c>
      <c r="J5221" s="22" t="str">
        <f t="shared" si="164"/>
        <v/>
      </c>
    </row>
    <row r="5222" spans="1:10">
      <c r="A5222" s="1">
        <v>41507</v>
      </c>
      <c r="B5222">
        <v>51.92</v>
      </c>
      <c r="C5222">
        <v>52.22</v>
      </c>
      <c r="D5222">
        <v>51.28</v>
      </c>
      <c r="E5222">
        <v>51.63</v>
      </c>
      <c r="F5222">
        <v>17136200</v>
      </c>
      <c r="G5222">
        <v>50.92</v>
      </c>
      <c r="H5222" t="s">
        <v>9</v>
      </c>
      <c r="I5222" s="22">
        <f t="shared" si="163"/>
        <v>-9.38239877191362E-3</v>
      </c>
      <c r="J5222" s="22" t="str">
        <f t="shared" si="164"/>
        <v>lost money</v>
      </c>
    </row>
    <row r="5223" spans="1:10">
      <c r="A5223" s="1">
        <v>41508</v>
      </c>
      <c r="B5223">
        <v>52</v>
      </c>
      <c r="C5223">
        <v>52.66</v>
      </c>
      <c r="D5223">
        <v>51.93</v>
      </c>
      <c r="E5223">
        <v>52.21</v>
      </c>
      <c r="F5223">
        <v>14658500</v>
      </c>
      <c r="G5223">
        <v>51.49</v>
      </c>
      <c r="H5223" t="s">
        <v>9</v>
      </c>
      <c r="I5223" s="22">
        <f t="shared" si="163"/>
        <v>1.1131840368844199E-2</v>
      </c>
      <c r="J5223" s="22" t="str">
        <f t="shared" si="164"/>
        <v/>
      </c>
    </row>
    <row r="5224" spans="1:10">
      <c r="A5224" s="1">
        <v>41509</v>
      </c>
      <c r="B5224">
        <v>52.27</v>
      </c>
      <c r="C5224">
        <v>52.42</v>
      </c>
      <c r="D5224">
        <v>51.9</v>
      </c>
      <c r="E5224">
        <v>52.32</v>
      </c>
      <c r="F5224">
        <v>11126800</v>
      </c>
      <c r="G5224">
        <v>51.6</v>
      </c>
      <c r="H5224" t="s">
        <v>9</v>
      </c>
      <c r="I5224" s="22">
        <f t="shared" si="163"/>
        <v>2.1340584294669588E-3</v>
      </c>
      <c r="J5224" s="22" t="str">
        <f t="shared" si="164"/>
        <v/>
      </c>
    </row>
    <row r="5225" spans="1:10">
      <c r="A5225" s="1">
        <v>41512</v>
      </c>
      <c r="B5225">
        <v>52.16</v>
      </c>
      <c r="C5225">
        <v>52.54</v>
      </c>
      <c r="D5225">
        <v>51.79</v>
      </c>
      <c r="E5225">
        <v>51.8</v>
      </c>
      <c r="F5225">
        <v>16548400</v>
      </c>
      <c r="G5225">
        <v>51.09</v>
      </c>
      <c r="H5225" t="s">
        <v>9</v>
      </c>
      <c r="I5225" s="22">
        <f t="shared" si="163"/>
        <v>-9.9328891448103741E-3</v>
      </c>
      <c r="J5225" s="22" t="str">
        <f t="shared" si="164"/>
        <v>lost money</v>
      </c>
    </row>
    <row r="5226" spans="1:10">
      <c r="A5226" s="1">
        <v>41513</v>
      </c>
      <c r="B5226">
        <v>51.02</v>
      </c>
      <c r="C5226">
        <v>51.55</v>
      </c>
      <c r="D5226">
        <v>50.55</v>
      </c>
      <c r="E5226">
        <v>50.6</v>
      </c>
      <c r="F5226">
        <v>23596800</v>
      </c>
      <c r="G5226">
        <v>49.9</v>
      </c>
      <c r="H5226" t="s">
        <v>9</v>
      </c>
      <c r="I5226" s="22">
        <f t="shared" si="163"/>
        <v>-2.3567780585233691E-2</v>
      </c>
      <c r="J5226" s="22" t="str">
        <f t="shared" si="164"/>
        <v>lost money</v>
      </c>
    </row>
    <row r="5227" spans="1:10">
      <c r="A5227" s="1">
        <v>41514</v>
      </c>
      <c r="B5227">
        <v>50.33</v>
      </c>
      <c r="C5227">
        <v>51.05</v>
      </c>
      <c r="D5227">
        <v>50.13</v>
      </c>
      <c r="E5227">
        <v>50.58</v>
      </c>
      <c r="F5227">
        <v>18748100</v>
      </c>
      <c r="G5227">
        <v>49.88</v>
      </c>
      <c r="H5227" t="s">
        <v>9</v>
      </c>
      <c r="I5227" s="22">
        <f t="shared" si="163"/>
        <v>-4.0088194563719134E-4</v>
      </c>
      <c r="J5227" s="22" t="str">
        <f t="shared" si="164"/>
        <v/>
      </c>
    </row>
    <row r="5228" spans="1:10">
      <c r="A5228" s="1">
        <v>41515</v>
      </c>
      <c r="B5228">
        <v>50.59</v>
      </c>
      <c r="C5228">
        <v>51.18</v>
      </c>
      <c r="D5228">
        <v>50.45</v>
      </c>
      <c r="E5228">
        <v>50.7</v>
      </c>
      <c r="F5228">
        <v>13576000</v>
      </c>
      <c r="G5228">
        <v>50</v>
      </c>
      <c r="H5228" t="s">
        <v>9</v>
      </c>
      <c r="I5228" s="22">
        <f t="shared" si="163"/>
        <v>2.4028846163103158E-3</v>
      </c>
      <c r="J5228" s="22" t="str">
        <f t="shared" si="164"/>
        <v/>
      </c>
    </row>
    <row r="5229" spans="1:10">
      <c r="A5229" s="1">
        <v>41516</v>
      </c>
      <c r="B5229">
        <v>50.82</v>
      </c>
      <c r="C5229">
        <v>50.83</v>
      </c>
      <c r="D5229">
        <v>50.29</v>
      </c>
      <c r="E5229">
        <v>50.53</v>
      </c>
      <c r="F5229">
        <v>15863100</v>
      </c>
      <c r="G5229">
        <v>49.83</v>
      </c>
      <c r="H5229" t="s">
        <v>9</v>
      </c>
      <c r="I5229" s="22">
        <f t="shared" si="163"/>
        <v>-3.4057931348329324E-3</v>
      </c>
      <c r="J5229" s="22" t="str">
        <f t="shared" si="164"/>
        <v>lost money</v>
      </c>
    </row>
    <row r="5230" spans="1:10">
      <c r="A5230" s="1">
        <v>41520</v>
      </c>
      <c r="B5230">
        <v>51.25</v>
      </c>
      <c r="C5230">
        <v>51.72</v>
      </c>
      <c r="D5230">
        <v>50.83</v>
      </c>
      <c r="E5230">
        <v>51.13</v>
      </c>
      <c r="F5230">
        <v>15277200</v>
      </c>
      <c r="G5230">
        <v>50.43</v>
      </c>
      <c r="H5230" t="s">
        <v>9</v>
      </c>
      <c r="I5230" s="22">
        <f t="shared" si="163"/>
        <v>1.1969023795320655E-2</v>
      </c>
      <c r="J5230" s="22" t="str">
        <f t="shared" si="164"/>
        <v>lost money</v>
      </c>
    </row>
    <row r="5231" spans="1:10">
      <c r="A5231" s="1">
        <v>41521</v>
      </c>
      <c r="B5231">
        <v>51.16</v>
      </c>
      <c r="C5231">
        <v>52.1</v>
      </c>
      <c r="D5231">
        <v>50.93</v>
      </c>
      <c r="E5231">
        <v>51.87</v>
      </c>
      <c r="F5231">
        <v>19923800</v>
      </c>
      <c r="G5231">
        <v>51.16</v>
      </c>
      <c r="H5231" t="s">
        <v>9</v>
      </c>
      <c r="I5231" s="22">
        <f t="shared" si="163"/>
        <v>1.4371740622008005E-2</v>
      </c>
      <c r="J5231" s="22" t="str">
        <f t="shared" si="164"/>
        <v/>
      </c>
    </row>
    <row r="5232" spans="1:10">
      <c r="A5232" s="1">
        <v>41522</v>
      </c>
      <c r="B5232">
        <v>52.03</v>
      </c>
      <c r="C5232">
        <v>52.52</v>
      </c>
      <c r="D5232">
        <v>51.91</v>
      </c>
      <c r="E5232">
        <v>52.11</v>
      </c>
      <c r="F5232">
        <v>13913200</v>
      </c>
      <c r="G5232">
        <v>51.39</v>
      </c>
      <c r="H5232" t="s">
        <v>9</v>
      </c>
      <c r="I5232" s="22">
        <f t="shared" si="163"/>
        <v>4.4856242934962686E-3</v>
      </c>
      <c r="J5232" s="22" t="str">
        <f t="shared" si="164"/>
        <v/>
      </c>
    </row>
    <row r="5233" spans="1:10">
      <c r="A5233" s="1">
        <v>41523</v>
      </c>
      <c r="B5233">
        <v>52.41</v>
      </c>
      <c r="C5233">
        <v>52.71</v>
      </c>
      <c r="D5233">
        <v>51.28</v>
      </c>
      <c r="E5233">
        <v>52.56</v>
      </c>
      <c r="F5233">
        <v>22339900</v>
      </c>
      <c r="G5233">
        <v>51.84</v>
      </c>
      <c r="H5233" t="s">
        <v>9</v>
      </c>
      <c r="I5233" s="22">
        <f t="shared" si="163"/>
        <v>8.7184510398810294E-3</v>
      </c>
      <c r="J5233" s="22" t="str">
        <f t="shared" si="164"/>
        <v/>
      </c>
    </row>
    <row r="5234" spans="1:10">
      <c r="A5234" s="1">
        <v>41526</v>
      </c>
      <c r="B5234">
        <v>52.78</v>
      </c>
      <c r="C5234">
        <v>53.19</v>
      </c>
      <c r="D5234">
        <v>52.52</v>
      </c>
      <c r="E5234">
        <v>52.86</v>
      </c>
      <c r="F5234">
        <v>19936400</v>
      </c>
      <c r="G5234">
        <v>52.13</v>
      </c>
      <c r="H5234" t="s">
        <v>9</v>
      </c>
      <c r="I5234" s="22">
        <f t="shared" si="163"/>
        <v>5.5785467359953109E-3</v>
      </c>
      <c r="J5234" s="22" t="str">
        <f t="shared" si="164"/>
        <v/>
      </c>
    </row>
    <row r="5235" spans="1:10">
      <c r="A5235" s="1">
        <v>41527</v>
      </c>
      <c r="B5235">
        <v>53.83</v>
      </c>
      <c r="C5235">
        <v>53.93</v>
      </c>
      <c r="D5235">
        <v>53.3</v>
      </c>
      <c r="E5235">
        <v>53.67</v>
      </c>
      <c r="F5235">
        <v>20233200</v>
      </c>
      <c r="G5235">
        <v>52.93</v>
      </c>
      <c r="H5235" t="s">
        <v>9</v>
      </c>
      <c r="I5235" s="22">
        <f t="shared" si="163"/>
        <v>1.5229687089881599E-2</v>
      </c>
      <c r="J5235" s="22" t="str">
        <f t="shared" si="164"/>
        <v>lost money</v>
      </c>
    </row>
    <row r="5236" spans="1:10">
      <c r="A5236" s="1">
        <v>41528</v>
      </c>
      <c r="B5236">
        <v>53.37</v>
      </c>
      <c r="C5236">
        <v>53.76</v>
      </c>
      <c r="D5236">
        <v>53.06</v>
      </c>
      <c r="E5236">
        <v>53.26</v>
      </c>
      <c r="F5236">
        <v>16028600</v>
      </c>
      <c r="G5236">
        <v>52.53</v>
      </c>
      <c r="H5236" t="s">
        <v>9</v>
      </c>
      <c r="I5236" s="22">
        <f t="shared" si="163"/>
        <v>-7.5858509040259668E-3</v>
      </c>
      <c r="J5236" s="22" t="str">
        <f t="shared" si="164"/>
        <v>lost money</v>
      </c>
    </row>
    <row r="5237" spans="1:10">
      <c r="A5237" s="1">
        <v>41529</v>
      </c>
      <c r="B5237">
        <v>53.43</v>
      </c>
      <c r="C5237">
        <v>53.71</v>
      </c>
      <c r="D5237">
        <v>52.08</v>
      </c>
      <c r="E5237">
        <v>52.24</v>
      </c>
      <c r="F5237">
        <v>21976700</v>
      </c>
      <c r="G5237">
        <v>51.52</v>
      </c>
      <c r="H5237" t="s">
        <v>9</v>
      </c>
      <c r="I5237" s="22">
        <f t="shared" si="163"/>
        <v>-1.9414353169771938E-2</v>
      </c>
      <c r="J5237" s="22" t="str">
        <f t="shared" si="164"/>
        <v>lost money</v>
      </c>
    </row>
    <row r="5238" spans="1:10">
      <c r="A5238" s="1">
        <v>41530</v>
      </c>
      <c r="B5238">
        <v>52.29</v>
      </c>
      <c r="C5238">
        <v>52.8</v>
      </c>
      <c r="D5238">
        <v>52.23</v>
      </c>
      <c r="E5238">
        <v>52.59</v>
      </c>
      <c r="F5238">
        <v>11942900</v>
      </c>
      <c r="G5238">
        <v>51.87</v>
      </c>
      <c r="H5238" t="s">
        <v>9</v>
      </c>
      <c r="I5238" s="22">
        <f t="shared" si="163"/>
        <v>6.7705065672104868E-3</v>
      </c>
      <c r="J5238" s="22" t="str">
        <f t="shared" si="164"/>
        <v/>
      </c>
    </row>
    <row r="5239" spans="1:10">
      <c r="A5239" s="1">
        <v>41533</v>
      </c>
      <c r="B5239">
        <v>53.45</v>
      </c>
      <c r="C5239">
        <v>53.49</v>
      </c>
      <c r="D5239">
        <v>52.98</v>
      </c>
      <c r="E5239">
        <v>53.14</v>
      </c>
      <c r="F5239">
        <v>17055300</v>
      </c>
      <c r="G5239">
        <v>52.41</v>
      </c>
      <c r="H5239" t="s">
        <v>9</v>
      </c>
      <c r="I5239" s="22">
        <f t="shared" si="163"/>
        <v>1.0356824450766003E-2</v>
      </c>
      <c r="J5239" s="22" t="str">
        <f t="shared" si="164"/>
        <v>lost money</v>
      </c>
    </row>
    <row r="5240" spans="1:10">
      <c r="A5240" s="1">
        <v>41534</v>
      </c>
      <c r="B5240">
        <v>53.19</v>
      </c>
      <c r="C5240">
        <v>53.32</v>
      </c>
      <c r="D5240">
        <v>52.88</v>
      </c>
      <c r="E5240">
        <v>53.09</v>
      </c>
      <c r="F5240">
        <v>13207000</v>
      </c>
      <c r="G5240">
        <v>52.36</v>
      </c>
      <c r="H5240" t="s">
        <v>9</v>
      </c>
      <c r="I5240" s="22">
        <f t="shared" si="163"/>
        <v>-9.5447177237568623E-4</v>
      </c>
      <c r="J5240" s="22" t="str">
        <f t="shared" si="164"/>
        <v>lost money</v>
      </c>
    </row>
    <row r="5241" spans="1:10">
      <c r="A5241" s="1">
        <v>41535</v>
      </c>
      <c r="B5241">
        <v>52.69</v>
      </c>
      <c r="C5241">
        <v>53.87</v>
      </c>
      <c r="D5241">
        <v>52.56</v>
      </c>
      <c r="E5241">
        <v>53.41</v>
      </c>
      <c r="F5241">
        <v>20844500</v>
      </c>
      <c r="G5241">
        <v>52.67</v>
      </c>
      <c r="H5241" t="s">
        <v>9</v>
      </c>
      <c r="I5241" s="22">
        <f t="shared" si="163"/>
        <v>5.9030924535988299E-3</v>
      </c>
      <c r="J5241" s="22" t="str">
        <f t="shared" si="164"/>
        <v/>
      </c>
    </row>
    <row r="5242" spans="1:10">
      <c r="A5242" s="1">
        <v>41536</v>
      </c>
      <c r="B5242">
        <v>53.63</v>
      </c>
      <c r="C5242">
        <v>53.75</v>
      </c>
      <c r="D5242">
        <v>52.53</v>
      </c>
      <c r="E5242">
        <v>52.75</v>
      </c>
      <c r="F5242">
        <v>22452200</v>
      </c>
      <c r="G5242">
        <v>52.02</v>
      </c>
      <c r="H5242" t="s">
        <v>9</v>
      </c>
      <c r="I5242" s="22">
        <f t="shared" si="163"/>
        <v>-1.2417773474792438E-2</v>
      </c>
      <c r="J5242" s="22" t="str">
        <f t="shared" si="164"/>
        <v>lost money</v>
      </c>
    </row>
    <row r="5243" spans="1:10">
      <c r="A5243" s="1">
        <v>41537</v>
      </c>
      <c r="B5243">
        <v>52.95</v>
      </c>
      <c r="C5243">
        <v>53.47</v>
      </c>
      <c r="D5243">
        <v>52.8</v>
      </c>
      <c r="E5243">
        <v>52.8</v>
      </c>
      <c r="F5243">
        <v>30792200</v>
      </c>
      <c r="G5243">
        <v>52.07</v>
      </c>
      <c r="H5243" t="s">
        <v>9</v>
      </c>
      <c r="I5243" s="22">
        <f t="shared" si="163"/>
        <v>9.6070715430210331E-4</v>
      </c>
      <c r="J5243" s="22" t="str">
        <f t="shared" si="164"/>
        <v>lost money</v>
      </c>
    </row>
    <row r="5244" spans="1:10">
      <c r="A5244" s="1">
        <v>41540</v>
      </c>
      <c r="B5244">
        <v>52.08</v>
      </c>
      <c r="C5244">
        <v>52.38</v>
      </c>
      <c r="D5244">
        <v>51.39</v>
      </c>
      <c r="E5244">
        <v>51.46</v>
      </c>
      <c r="F5244">
        <v>28189500</v>
      </c>
      <c r="G5244">
        <v>50.75</v>
      </c>
      <c r="H5244" t="s">
        <v>9</v>
      </c>
      <c r="I5244" s="22">
        <f t="shared" si="163"/>
        <v>-2.5677349252910986E-2</v>
      </c>
      <c r="J5244" s="22" t="str">
        <f t="shared" si="164"/>
        <v>lost money</v>
      </c>
    </row>
    <row r="5245" spans="1:10">
      <c r="A5245" s="1">
        <v>41541</v>
      </c>
      <c r="B5245">
        <v>51.01</v>
      </c>
      <c r="C5245">
        <v>51.27</v>
      </c>
      <c r="D5245">
        <v>50.3</v>
      </c>
      <c r="E5245">
        <v>50.32</v>
      </c>
      <c r="F5245">
        <v>34906900</v>
      </c>
      <c r="G5245">
        <v>49.63</v>
      </c>
      <c r="H5245" t="s">
        <v>9</v>
      </c>
      <c r="I5245" s="22">
        <f t="shared" si="163"/>
        <v>-2.2316128322547254E-2</v>
      </c>
      <c r="J5245" s="22" t="str">
        <f t="shared" si="164"/>
        <v>lost money</v>
      </c>
    </row>
    <row r="5246" spans="1:10">
      <c r="A5246" s="1">
        <v>41542</v>
      </c>
      <c r="B5246">
        <v>50.22</v>
      </c>
      <c r="C5246">
        <v>51.9</v>
      </c>
      <c r="D5246">
        <v>50.06</v>
      </c>
      <c r="E5246">
        <v>51.7</v>
      </c>
      <c r="F5246">
        <v>39175500</v>
      </c>
      <c r="G5246">
        <v>50.99</v>
      </c>
      <c r="H5246" t="s">
        <v>9</v>
      </c>
      <c r="I5246" s="22">
        <f t="shared" si="163"/>
        <v>2.7034045467715016E-2</v>
      </c>
      <c r="J5246" s="22" t="str">
        <f t="shared" si="164"/>
        <v/>
      </c>
    </row>
    <row r="5247" spans="1:10">
      <c r="A5247" s="1">
        <v>41543</v>
      </c>
      <c r="B5247">
        <v>51.93</v>
      </c>
      <c r="C5247">
        <v>52.56</v>
      </c>
      <c r="D5247">
        <v>51.54</v>
      </c>
      <c r="E5247">
        <v>51.89</v>
      </c>
      <c r="F5247">
        <v>22298700</v>
      </c>
      <c r="G5247">
        <v>51.18</v>
      </c>
      <c r="H5247" t="s">
        <v>9</v>
      </c>
      <c r="I5247" s="22">
        <f t="shared" si="163"/>
        <v>3.7192956645783273E-3</v>
      </c>
      <c r="J5247" s="22" t="str">
        <f t="shared" si="164"/>
        <v>lost money</v>
      </c>
    </row>
    <row r="5248" spans="1:10">
      <c r="A5248" s="1">
        <v>41544</v>
      </c>
      <c r="B5248">
        <v>51.5</v>
      </c>
      <c r="C5248">
        <v>52.4</v>
      </c>
      <c r="D5248">
        <v>51.39</v>
      </c>
      <c r="E5248">
        <v>52.24</v>
      </c>
      <c r="F5248">
        <v>23026000</v>
      </c>
      <c r="G5248">
        <v>51.52</v>
      </c>
      <c r="H5248" t="s">
        <v>9</v>
      </c>
      <c r="I5248" s="22">
        <f t="shared" si="163"/>
        <v>6.6212510644555684E-3</v>
      </c>
      <c r="J5248" s="22" t="str">
        <f t="shared" si="164"/>
        <v/>
      </c>
    </row>
    <row r="5249" spans="1:10">
      <c r="A5249" s="1">
        <v>41547</v>
      </c>
      <c r="B5249">
        <v>51.73</v>
      </c>
      <c r="C5249">
        <v>52.09</v>
      </c>
      <c r="D5249">
        <v>51.44</v>
      </c>
      <c r="E5249">
        <v>51.69</v>
      </c>
      <c r="F5249">
        <v>21350600</v>
      </c>
      <c r="G5249">
        <v>50.98</v>
      </c>
      <c r="H5249" t="s">
        <v>9</v>
      </c>
      <c r="I5249" s="22">
        <f t="shared" si="163"/>
        <v>-1.0536682848128958E-2</v>
      </c>
      <c r="J5249" s="22" t="str">
        <f t="shared" si="164"/>
        <v>lost money</v>
      </c>
    </row>
    <row r="5250" spans="1:10">
      <c r="A5250" s="1">
        <v>41548</v>
      </c>
      <c r="B5250">
        <v>51.64</v>
      </c>
      <c r="C5250">
        <v>52.09</v>
      </c>
      <c r="D5250">
        <v>51.45</v>
      </c>
      <c r="E5250">
        <v>51.96</v>
      </c>
      <c r="F5250">
        <v>19188000</v>
      </c>
      <c r="G5250">
        <v>51.24</v>
      </c>
      <c r="H5250" t="s">
        <v>9</v>
      </c>
      <c r="I5250" s="22">
        <f t="shared" si="163"/>
        <v>5.0870780805642663E-3</v>
      </c>
      <c r="J5250" s="22" t="str">
        <f t="shared" si="164"/>
        <v/>
      </c>
    </row>
    <row r="5251" spans="1:10">
      <c r="A5251" s="1">
        <v>41549</v>
      </c>
      <c r="B5251">
        <v>51.32</v>
      </c>
      <c r="C5251">
        <v>52.45</v>
      </c>
      <c r="D5251">
        <v>51.29</v>
      </c>
      <c r="E5251">
        <v>52.09</v>
      </c>
      <c r="F5251">
        <v>23841200</v>
      </c>
      <c r="G5251">
        <v>51.75</v>
      </c>
      <c r="H5251" t="s">
        <v>9</v>
      </c>
      <c r="I5251" s="22">
        <f t="shared" ref="I5251:I5314" si="165">IF(A5251=$A$2,"",LN(G5251/G5250))</f>
        <v>9.9039551169450239E-3</v>
      </c>
      <c r="J5251" s="22" t="str">
        <f t="shared" ref="J5251:J5314" si="166">IF(B5251&gt;E5251,"lost money","")</f>
        <v/>
      </c>
    </row>
    <row r="5252" spans="1:10">
      <c r="A5252" s="1">
        <v>41550</v>
      </c>
      <c r="B5252">
        <v>52</v>
      </c>
      <c r="C5252">
        <v>52.2</v>
      </c>
      <c r="D5252">
        <v>51.5</v>
      </c>
      <c r="E5252">
        <v>51.94</v>
      </c>
      <c r="F5252">
        <v>18614500</v>
      </c>
      <c r="G5252">
        <v>51.6</v>
      </c>
      <c r="H5252" t="s">
        <v>9</v>
      </c>
      <c r="I5252" s="22">
        <f t="shared" si="165"/>
        <v>-2.9027596579613512E-3</v>
      </c>
      <c r="J5252" s="22" t="str">
        <f t="shared" si="166"/>
        <v>lost money</v>
      </c>
    </row>
    <row r="5253" spans="1:10">
      <c r="A5253" s="1">
        <v>41551</v>
      </c>
      <c r="B5253">
        <v>52.07</v>
      </c>
      <c r="C5253">
        <v>52.68</v>
      </c>
      <c r="D5253">
        <v>52.01</v>
      </c>
      <c r="E5253">
        <v>52.67</v>
      </c>
      <c r="F5253">
        <v>17407200</v>
      </c>
      <c r="G5253">
        <v>52.33</v>
      </c>
      <c r="H5253" t="s">
        <v>9</v>
      </c>
      <c r="I5253" s="22">
        <f t="shared" si="165"/>
        <v>1.4048147896599377E-2</v>
      </c>
      <c r="J5253" s="22" t="str">
        <f t="shared" si="166"/>
        <v/>
      </c>
    </row>
    <row r="5254" spans="1:10">
      <c r="A5254" s="1">
        <v>41554</v>
      </c>
      <c r="B5254">
        <v>52.29</v>
      </c>
      <c r="C5254">
        <v>52.36</v>
      </c>
      <c r="D5254">
        <v>51.83</v>
      </c>
      <c r="E5254">
        <v>51.83</v>
      </c>
      <c r="F5254">
        <v>16159300</v>
      </c>
      <c r="G5254">
        <v>51.49</v>
      </c>
      <c r="H5254" t="s">
        <v>9</v>
      </c>
      <c r="I5254" s="22">
        <f t="shared" si="165"/>
        <v>-1.6182206326066418E-2</v>
      </c>
      <c r="J5254" s="22" t="str">
        <f t="shared" si="166"/>
        <v>lost money</v>
      </c>
    </row>
    <row r="5255" spans="1:10">
      <c r="A5255" s="1">
        <v>41555</v>
      </c>
      <c r="B5255">
        <v>51.83</v>
      </c>
      <c r="C5255">
        <v>51.96</v>
      </c>
      <c r="D5255">
        <v>50.84</v>
      </c>
      <c r="E5255">
        <v>50.87</v>
      </c>
      <c r="F5255">
        <v>19536000</v>
      </c>
      <c r="G5255">
        <v>50.54</v>
      </c>
      <c r="H5255" t="s">
        <v>9</v>
      </c>
      <c r="I5255" s="22">
        <f t="shared" si="165"/>
        <v>-1.8622512098001909E-2</v>
      </c>
      <c r="J5255" s="22" t="str">
        <f t="shared" si="166"/>
        <v>lost money</v>
      </c>
    </row>
    <row r="5256" spans="1:10">
      <c r="A5256" s="1">
        <v>41556</v>
      </c>
      <c r="B5256">
        <v>51.17</v>
      </c>
      <c r="C5256">
        <v>51.34</v>
      </c>
      <c r="D5256">
        <v>50.25</v>
      </c>
      <c r="E5256">
        <v>50.75</v>
      </c>
      <c r="F5256">
        <v>24721200</v>
      </c>
      <c r="G5256">
        <v>50.42</v>
      </c>
      <c r="H5256" t="s">
        <v>9</v>
      </c>
      <c r="I5256" s="22">
        <f t="shared" si="165"/>
        <v>-2.3771802002743297E-3</v>
      </c>
      <c r="J5256" s="22" t="str">
        <f t="shared" si="166"/>
        <v>lost money</v>
      </c>
    </row>
    <row r="5257" spans="1:10">
      <c r="A5257" s="1">
        <v>41557</v>
      </c>
      <c r="B5257">
        <v>51.84</v>
      </c>
      <c r="C5257">
        <v>52.56</v>
      </c>
      <c r="D5257">
        <v>51.38</v>
      </c>
      <c r="E5257">
        <v>52.52</v>
      </c>
      <c r="F5257">
        <v>24328700</v>
      </c>
      <c r="G5257">
        <v>52.18</v>
      </c>
      <c r="H5257" t="s">
        <v>9</v>
      </c>
      <c r="I5257" s="22">
        <f t="shared" si="165"/>
        <v>3.4311357948808505E-2</v>
      </c>
      <c r="J5257" s="22" t="str">
        <f t="shared" si="166"/>
        <v/>
      </c>
    </row>
    <row r="5258" spans="1:10">
      <c r="A5258" s="1">
        <v>41558</v>
      </c>
      <c r="B5258">
        <v>52.96</v>
      </c>
      <c r="C5258">
        <v>53.35</v>
      </c>
      <c r="D5258">
        <v>52.16</v>
      </c>
      <c r="E5258">
        <v>52.51</v>
      </c>
      <c r="F5258">
        <v>32498800</v>
      </c>
      <c r="G5258">
        <v>52.17</v>
      </c>
      <c r="H5258" t="s">
        <v>9</v>
      </c>
      <c r="I5258" s="22">
        <f t="shared" si="165"/>
        <v>-1.9166267428095631E-4</v>
      </c>
      <c r="J5258" s="22" t="str">
        <f t="shared" si="166"/>
        <v>lost money</v>
      </c>
    </row>
    <row r="5259" spans="1:10">
      <c r="A5259" s="1">
        <v>41561</v>
      </c>
      <c r="B5259">
        <v>51.94</v>
      </c>
      <c r="C5259">
        <v>52.84</v>
      </c>
      <c r="D5259">
        <v>51.76</v>
      </c>
      <c r="E5259">
        <v>52.71</v>
      </c>
      <c r="F5259">
        <v>18881600</v>
      </c>
      <c r="G5259">
        <v>52.37</v>
      </c>
      <c r="H5259" t="s">
        <v>9</v>
      </c>
      <c r="I5259" s="22">
        <f t="shared" si="165"/>
        <v>3.8262912570949767E-3</v>
      </c>
      <c r="J5259" s="22" t="str">
        <f t="shared" si="166"/>
        <v/>
      </c>
    </row>
    <row r="5260" spans="1:10">
      <c r="A5260" s="1">
        <v>41562</v>
      </c>
      <c r="B5260">
        <v>52.91</v>
      </c>
      <c r="C5260">
        <v>53.04</v>
      </c>
      <c r="D5260">
        <v>52.18</v>
      </c>
      <c r="E5260">
        <v>52.31</v>
      </c>
      <c r="F5260">
        <v>17566500</v>
      </c>
      <c r="G5260">
        <v>51.97</v>
      </c>
      <c r="H5260" t="s">
        <v>9</v>
      </c>
      <c r="I5260" s="22">
        <f t="shared" si="165"/>
        <v>-7.6672792710457552E-3</v>
      </c>
      <c r="J5260" s="22" t="str">
        <f t="shared" si="166"/>
        <v>lost money</v>
      </c>
    </row>
    <row r="5261" spans="1:10">
      <c r="A5261" s="1">
        <v>41563</v>
      </c>
      <c r="B5261">
        <v>52.61</v>
      </c>
      <c r="C5261">
        <v>54.05</v>
      </c>
      <c r="D5261">
        <v>52.58</v>
      </c>
      <c r="E5261">
        <v>54</v>
      </c>
      <c r="F5261">
        <v>24864000</v>
      </c>
      <c r="G5261">
        <v>53.65</v>
      </c>
      <c r="H5261" t="s">
        <v>9</v>
      </c>
      <c r="I5261" s="22">
        <f t="shared" si="165"/>
        <v>3.181484005635693E-2</v>
      </c>
      <c r="J5261" s="22" t="str">
        <f t="shared" si="166"/>
        <v/>
      </c>
    </row>
    <row r="5262" spans="1:10">
      <c r="A5262" s="1">
        <v>41564</v>
      </c>
      <c r="B5262">
        <v>53.79</v>
      </c>
      <c r="C5262">
        <v>54.29</v>
      </c>
      <c r="D5262">
        <v>53.61</v>
      </c>
      <c r="E5262">
        <v>54.21</v>
      </c>
      <c r="F5262">
        <v>17791000</v>
      </c>
      <c r="G5262">
        <v>53.86</v>
      </c>
      <c r="H5262" t="s">
        <v>9</v>
      </c>
      <c r="I5262" s="22">
        <f t="shared" si="165"/>
        <v>3.906618306745469E-3</v>
      </c>
      <c r="J5262" s="22" t="str">
        <f t="shared" si="166"/>
        <v/>
      </c>
    </row>
    <row r="5263" spans="1:10">
      <c r="A5263" s="1">
        <v>41565</v>
      </c>
      <c r="B5263">
        <v>54.26</v>
      </c>
      <c r="C5263">
        <v>54.58</v>
      </c>
      <c r="D5263">
        <v>53.8</v>
      </c>
      <c r="E5263">
        <v>54.3</v>
      </c>
      <c r="F5263">
        <v>24796600</v>
      </c>
      <c r="G5263">
        <v>53.95</v>
      </c>
      <c r="H5263" t="s">
        <v>9</v>
      </c>
      <c r="I5263" s="22">
        <f t="shared" si="165"/>
        <v>1.6696043206909359E-3</v>
      </c>
      <c r="J5263" s="22" t="str">
        <f t="shared" si="166"/>
        <v/>
      </c>
    </row>
    <row r="5264" spans="1:10">
      <c r="A5264" s="1">
        <v>41568</v>
      </c>
      <c r="B5264">
        <v>54.27</v>
      </c>
      <c r="C5264">
        <v>54.85</v>
      </c>
      <c r="D5264">
        <v>53.89</v>
      </c>
      <c r="E5264">
        <v>54.27</v>
      </c>
      <c r="F5264">
        <v>19471700</v>
      </c>
      <c r="G5264">
        <v>53.92</v>
      </c>
      <c r="H5264" t="s">
        <v>9</v>
      </c>
      <c r="I5264" s="22">
        <f t="shared" si="165"/>
        <v>-5.5622510009203788E-4</v>
      </c>
      <c r="J5264" s="22" t="str">
        <f t="shared" si="166"/>
        <v/>
      </c>
    </row>
    <row r="5265" spans="1:10">
      <c r="A5265" s="1">
        <v>41569</v>
      </c>
      <c r="B5265">
        <v>54.65</v>
      </c>
      <c r="C5265">
        <v>54.68</v>
      </c>
      <c r="D5265">
        <v>53.62</v>
      </c>
      <c r="E5265">
        <v>53.62</v>
      </c>
      <c r="F5265">
        <v>24820900</v>
      </c>
      <c r="G5265">
        <v>53.27</v>
      </c>
      <c r="H5265" t="s">
        <v>9</v>
      </c>
      <c r="I5265" s="22">
        <f t="shared" si="165"/>
        <v>-1.2128145675143743E-2</v>
      </c>
      <c r="J5265" s="22" t="str">
        <f t="shared" si="166"/>
        <v>lost money</v>
      </c>
    </row>
    <row r="5266" spans="1:10">
      <c r="A5266" s="1">
        <v>41570</v>
      </c>
      <c r="B5266">
        <v>53.31</v>
      </c>
      <c r="C5266">
        <v>53.36</v>
      </c>
      <c r="D5266">
        <v>52.72</v>
      </c>
      <c r="E5266">
        <v>52.75</v>
      </c>
      <c r="F5266">
        <v>21034400</v>
      </c>
      <c r="G5266">
        <v>52.41</v>
      </c>
      <c r="H5266" t="s">
        <v>9</v>
      </c>
      <c r="I5266" s="22">
        <f t="shared" si="165"/>
        <v>-1.6275908114832989E-2</v>
      </c>
      <c r="J5266" s="22" t="str">
        <f t="shared" si="166"/>
        <v>lost money</v>
      </c>
    </row>
    <row r="5267" spans="1:10">
      <c r="A5267" s="1">
        <v>41571</v>
      </c>
      <c r="B5267">
        <v>52.84</v>
      </c>
      <c r="C5267">
        <v>52.89</v>
      </c>
      <c r="D5267">
        <v>52.11</v>
      </c>
      <c r="E5267">
        <v>52.48</v>
      </c>
      <c r="F5267">
        <v>17759000</v>
      </c>
      <c r="G5267">
        <v>52.14</v>
      </c>
      <c r="H5267" t="s">
        <v>9</v>
      </c>
      <c r="I5267" s="22">
        <f t="shared" si="165"/>
        <v>-5.1650043087191665E-3</v>
      </c>
      <c r="J5267" s="22" t="str">
        <f t="shared" si="166"/>
        <v>lost money</v>
      </c>
    </row>
    <row r="5268" spans="1:10">
      <c r="A5268" s="1">
        <v>41572</v>
      </c>
      <c r="B5268">
        <v>52.16</v>
      </c>
      <c r="C5268">
        <v>52.91</v>
      </c>
      <c r="D5268">
        <v>52.07</v>
      </c>
      <c r="E5268">
        <v>52.77</v>
      </c>
      <c r="F5268">
        <v>20889600</v>
      </c>
      <c r="G5268">
        <v>52.43</v>
      </c>
      <c r="H5268" t="s">
        <v>9</v>
      </c>
      <c r="I5268" s="22">
        <f t="shared" si="165"/>
        <v>5.546538079085667E-3</v>
      </c>
      <c r="J5268" s="22" t="str">
        <f t="shared" si="166"/>
        <v/>
      </c>
    </row>
    <row r="5269" spans="1:10">
      <c r="A5269" s="1">
        <v>41575</v>
      </c>
      <c r="B5269">
        <v>52.89</v>
      </c>
      <c r="C5269">
        <v>53.09</v>
      </c>
      <c r="D5269">
        <v>52.5</v>
      </c>
      <c r="E5269">
        <v>52.68</v>
      </c>
      <c r="F5269">
        <v>14836800</v>
      </c>
      <c r="G5269">
        <v>52.34</v>
      </c>
      <c r="H5269" t="s">
        <v>9</v>
      </c>
      <c r="I5269" s="22">
        <f t="shared" si="165"/>
        <v>-1.7180494824415261E-3</v>
      </c>
      <c r="J5269" s="22" t="str">
        <f t="shared" si="166"/>
        <v>lost money</v>
      </c>
    </row>
    <row r="5270" spans="1:10">
      <c r="A5270" s="1">
        <v>41576</v>
      </c>
      <c r="B5270">
        <v>52.83</v>
      </c>
      <c r="C5270">
        <v>52.99</v>
      </c>
      <c r="D5270">
        <v>52.25</v>
      </c>
      <c r="E5270">
        <v>52.73</v>
      </c>
      <c r="F5270">
        <v>23363100</v>
      </c>
      <c r="G5270">
        <v>52.39</v>
      </c>
      <c r="H5270" t="s">
        <v>9</v>
      </c>
      <c r="I5270" s="22">
        <f t="shared" si="165"/>
        <v>9.5483631812859598E-4</v>
      </c>
      <c r="J5270" s="22" t="str">
        <f t="shared" si="166"/>
        <v>lost money</v>
      </c>
    </row>
    <row r="5271" spans="1:10">
      <c r="A5271" s="1">
        <v>41577</v>
      </c>
      <c r="B5271">
        <v>53</v>
      </c>
      <c r="C5271">
        <v>53.24</v>
      </c>
      <c r="D5271">
        <v>52.5</v>
      </c>
      <c r="E5271">
        <v>52.6</v>
      </c>
      <c r="F5271">
        <v>16157200</v>
      </c>
      <c r="G5271">
        <v>52.26</v>
      </c>
      <c r="H5271" t="s">
        <v>9</v>
      </c>
      <c r="I5271" s="22">
        <f t="shared" si="165"/>
        <v>-2.4844733276619449E-3</v>
      </c>
      <c r="J5271" s="22" t="str">
        <f t="shared" si="166"/>
        <v>lost money</v>
      </c>
    </row>
    <row r="5272" spans="1:10">
      <c r="A5272" s="1">
        <v>41578</v>
      </c>
      <c r="B5272">
        <v>52.65</v>
      </c>
      <c r="C5272">
        <v>52.71</v>
      </c>
      <c r="D5272">
        <v>51.54</v>
      </c>
      <c r="E5272">
        <v>51.54</v>
      </c>
      <c r="F5272">
        <v>23738000</v>
      </c>
      <c r="G5272">
        <v>51.21</v>
      </c>
      <c r="H5272" t="s">
        <v>9</v>
      </c>
      <c r="I5272" s="22">
        <f t="shared" si="165"/>
        <v>-2.0296434618007491E-2</v>
      </c>
      <c r="J5272" s="22" t="str">
        <f t="shared" si="166"/>
        <v>lost money</v>
      </c>
    </row>
    <row r="5273" spans="1:10">
      <c r="A5273" s="1">
        <v>41579</v>
      </c>
      <c r="B5273">
        <v>51.45</v>
      </c>
      <c r="C5273">
        <v>52.71</v>
      </c>
      <c r="D5273">
        <v>51.3</v>
      </c>
      <c r="E5273">
        <v>52.51</v>
      </c>
      <c r="F5273">
        <v>25794400</v>
      </c>
      <c r="G5273">
        <v>52.17</v>
      </c>
      <c r="H5273" t="s">
        <v>9</v>
      </c>
      <c r="I5273" s="22">
        <f t="shared" si="165"/>
        <v>1.8572791559842504E-2</v>
      </c>
      <c r="J5273" s="22" t="str">
        <f t="shared" si="166"/>
        <v/>
      </c>
    </row>
    <row r="5274" spans="1:10">
      <c r="A5274" s="1">
        <v>41582</v>
      </c>
      <c r="B5274">
        <v>52.74</v>
      </c>
      <c r="C5274">
        <v>52.76</v>
      </c>
      <c r="D5274">
        <v>52</v>
      </c>
      <c r="E5274">
        <v>52.04</v>
      </c>
      <c r="F5274">
        <v>18891300</v>
      </c>
      <c r="G5274">
        <v>51.7</v>
      </c>
      <c r="H5274" t="s">
        <v>9</v>
      </c>
      <c r="I5274" s="22">
        <f t="shared" si="165"/>
        <v>-9.0498355199179273E-3</v>
      </c>
      <c r="J5274" s="22" t="str">
        <f t="shared" si="166"/>
        <v>lost money</v>
      </c>
    </row>
    <row r="5275" spans="1:10">
      <c r="A5275" s="1">
        <v>41583</v>
      </c>
      <c r="B5275">
        <v>51.85</v>
      </c>
      <c r="C5275">
        <v>52.13</v>
      </c>
      <c r="D5275">
        <v>51.66</v>
      </c>
      <c r="E5275">
        <v>51.95</v>
      </c>
      <c r="F5275">
        <v>14532200</v>
      </c>
      <c r="G5275">
        <v>51.61</v>
      </c>
      <c r="H5275" t="s">
        <v>9</v>
      </c>
      <c r="I5275" s="22">
        <f t="shared" si="165"/>
        <v>-1.7423293537476936E-3</v>
      </c>
      <c r="J5275" s="22" t="str">
        <f t="shared" si="166"/>
        <v/>
      </c>
    </row>
    <row r="5276" spans="1:10">
      <c r="A5276" s="1">
        <v>41584</v>
      </c>
      <c r="B5276">
        <v>52.26</v>
      </c>
      <c r="C5276">
        <v>52.34</v>
      </c>
      <c r="D5276">
        <v>51.83</v>
      </c>
      <c r="E5276">
        <v>52.1</v>
      </c>
      <c r="F5276">
        <v>14013000</v>
      </c>
      <c r="G5276">
        <v>51.76</v>
      </c>
      <c r="H5276" t="s">
        <v>9</v>
      </c>
      <c r="I5276" s="22">
        <f t="shared" si="165"/>
        <v>2.9021980320093664E-3</v>
      </c>
      <c r="J5276" s="22" t="str">
        <f t="shared" si="166"/>
        <v>lost money</v>
      </c>
    </row>
    <row r="5277" spans="1:10">
      <c r="A5277" s="1">
        <v>41585</v>
      </c>
      <c r="B5277">
        <v>52.13</v>
      </c>
      <c r="C5277">
        <v>52.34</v>
      </c>
      <c r="D5277">
        <v>51.58</v>
      </c>
      <c r="E5277">
        <v>51.65</v>
      </c>
      <c r="F5277">
        <v>17348900</v>
      </c>
      <c r="G5277">
        <v>51.31</v>
      </c>
      <c r="H5277" t="s">
        <v>9</v>
      </c>
      <c r="I5277" s="22">
        <f t="shared" si="165"/>
        <v>-8.73198523877158E-3</v>
      </c>
      <c r="J5277" s="22" t="str">
        <f t="shared" si="166"/>
        <v>lost money</v>
      </c>
    </row>
    <row r="5278" spans="1:10">
      <c r="A5278" s="1">
        <v>41586</v>
      </c>
      <c r="B5278">
        <v>51.83</v>
      </c>
      <c r="C5278">
        <v>53.97</v>
      </c>
      <c r="D5278">
        <v>51.8</v>
      </c>
      <c r="E5278">
        <v>53.96</v>
      </c>
      <c r="F5278">
        <v>31183100</v>
      </c>
      <c r="G5278">
        <v>53.61</v>
      </c>
      <c r="H5278" t="s">
        <v>9</v>
      </c>
      <c r="I5278" s="22">
        <f t="shared" si="165"/>
        <v>4.3849952885572967E-2</v>
      </c>
      <c r="J5278" s="22" t="str">
        <f t="shared" si="166"/>
        <v/>
      </c>
    </row>
    <row r="5279" spans="1:10">
      <c r="A5279" s="1">
        <v>41589</v>
      </c>
      <c r="B5279">
        <v>53.91</v>
      </c>
      <c r="C5279">
        <v>54.15</v>
      </c>
      <c r="D5279">
        <v>53.7</v>
      </c>
      <c r="E5279">
        <v>54.1</v>
      </c>
      <c r="F5279">
        <v>12062800</v>
      </c>
      <c r="G5279">
        <v>53.75</v>
      </c>
      <c r="H5279" t="s">
        <v>9</v>
      </c>
      <c r="I5279" s="22">
        <f t="shared" si="165"/>
        <v>2.6080491683258392E-3</v>
      </c>
      <c r="J5279" s="22" t="str">
        <f t="shared" si="166"/>
        <v/>
      </c>
    </row>
    <row r="5280" spans="1:10">
      <c r="A5280" s="1">
        <v>41590</v>
      </c>
      <c r="B5280">
        <v>53.93</v>
      </c>
      <c r="C5280">
        <v>54.08</v>
      </c>
      <c r="D5280">
        <v>53.6</v>
      </c>
      <c r="E5280">
        <v>53.97</v>
      </c>
      <c r="F5280">
        <v>15964800</v>
      </c>
      <c r="G5280">
        <v>53.62</v>
      </c>
      <c r="H5280" t="s">
        <v>9</v>
      </c>
      <c r="I5280" s="22">
        <f t="shared" si="165"/>
        <v>-2.421534199958989E-3</v>
      </c>
      <c r="J5280" s="22" t="str">
        <f t="shared" si="166"/>
        <v/>
      </c>
    </row>
    <row r="5281" spans="1:10">
      <c r="A5281" s="1">
        <v>41591</v>
      </c>
      <c r="B5281">
        <v>53.52</v>
      </c>
      <c r="C5281">
        <v>54.2</v>
      </c>
      <c r="D5281">
        <v>53.15</v>
      </c>
      <c r="E5281">
        <v>54.14</v>
      </c>
      <c r="F5281">
        <v>22121900</v>
      </c>
      <c r="G5281">
        <v>53.79</v>
      </c>
      <c r="H5281" t="s">
        <v>9</v>
      </c>
      <c r="I5281" s="22">
        <f t="shared" si="165"/>
        <v>3.1654434773379253E-3</v>
      </c>
      <c r="J5281" s="22" t="str">
        <f t="shared" si="166"/>
        <v/>
      </c>
    </row>
    <row r="5282" spans="1:10">
      <c r="A5282" s="1">
        <v>41592</v>
      </c>
      <c r="B5282">
        <v>54.26</v>
      </c>
      <c r="C5282">
        <v>54.5</v>
      </c>
      <c r="D5282">
        <v>53.7</v>
      </c>
      <c r="E5282">
        <v>54.4</v>
      </c>
      <c r="F5282">
        <v>17634000</v>
      </c>
      <c r="G5282">
        <v>54.05</v>
      </c>
      <c r="H5282" t="s">
        <v>9</v>
      </c>
      <c r="I5282" s="22">
        <f t="shared" si="165"/>
        <v>4.8219678000661287E-3</v>
      </c>
      <c r="J5282" s="22" t="str">
        <f t="shared" si="166"/>
        <v/>
      </c>
    </row>
    <row r="5283" spans="1:10">
      <c r="A5283" s="1">
        <v>41593</v>
      </c>
      <c r="B5283">
        <v>54.27</v>
      </c>
      <c r="C5283">
        <v>54.96</v>
      </c>
      <c r="D5283">
        <v>54.19</v>
      </c>
      <c r="E5283">
        <v>54.87</v>
      </c>
      <c r="F5283">
        <v>20530100</v>
      </c>
      <c r="G5283">
        <v>54.51</v>
      </c>
      <c r="H5283" t="s">
        <v>9</v>
      </c>
      <c r="I5283" s="22">
        <f t="shared" si="165"/>
        <v>8.4746269909722356E-3</v>
      </c>
      <c r="J5283" s="22" t="str">
        <f t="shared" si="166"/>
        <v/>
      </c>
    </row>
    <row r="5284" spans="1:10">
      <c r="A5284" s="1">
        <v>41596</v>
      </c>
      <c r="B5284">
        <v>55.49</v>
      </c>
      <c r="C5284">
        <v>56</v>
      </c>
      <c r="D5284">
        <v>55.3</v>
      </c>
      <c r="E5284">
        <v>55.74</v>
      </c>
      <c r="F5284">
        <v>22318800</v>
      </c>
      <c r="G5284">
        <v>55.38</v>
      </c>
      <c r="H5284" t="s">
        <v>9</v>
      </c>
      <c r="I5284" s="22">
        <f t="shared" si="165"/>
        <v>1.5834346666626298E-2</v>
      </c>
      <c r="J5284" s="22" t="str">
        <f t="shared" si="166"/>
        <v/>
      </c>
    </row>
    <row r="5285" spans="1:10">
      <c r="A5285" s="1">
        <v>41597</v>
      </c>
      <c r="B5285">
        <v>55.97</v>
      </c>
      <c r="C5285">
        <v>56.64</v>
      </c>
      <c r="D5285">
        <v>55.78</v>
      </c>
      <c r="E5285">
        <v>56.15</v>
      </c>
      <c r="F5285">
        <v>22979900</v>
      </c>
      <c r="G5285">
        <v>55.79</v>
      </c>
      <c r="H5285" t="s">
        <v>9</v>
      </c>
      <c r="I5285" s="22">
        <f t="shared" si="165"/>
        <v>7.3761241146212157E-3</v>
      </c>
      <c r="J5285" s="22" t="str">
        <f t="shared" si="166"/>
        <v/>
      </c>
    </row>
    <row r="5286" spans="1:10">
      <c r="A5286" s="1">
        <v>41598</v>
      </c>
      <c r="B5286">
        <v>56.43</v>
      </c>
      <c r="C5286">
        <v>56.44</v>
      </c>
      <c r="D5286">
        <v>55.77</v>
      </c>
      <c r="E5286">
        <v>56.1</v>
      </c>
      <c r="F5286">
        <v>17682800</v>
      </c>
      <c r="G5286">
        <v>55.74</v>
      </c>
      <c r="H5286" t="s">
        <v>9</v>
      </c>
      <c r="I5286" s="22">
        <f t="shared" si="165"/>
        <v>-8.9661980363479389E-4</v>
      </c>
      <c r="J5286" s="22" t="str">
        <f t="shared" si="166"/>
        <v>lost money</v>
      </c>
    </row>
    <row r="5287" spans="1:10">
      <c r="A5287" s="1">
        <v>41599</v>
      </c>
      <c r="B5287">
        <v>56.28</v>
      </c>
      <c r="C5287">
        <v>57.4</v>
      </c>
      <c r="D5287">
        <v>56.28</v>
      </c>
      <c r="E5287">
        <v>57.22</v>
      </c>
      <c r="F5287">
        <v>22843600</v>
      </c>
      <c r="G5287">
        <v>56.85</v>
      </c>
      <c r="H5287" t="s">
        <v>9</v>
      </c>
      <c r="I5287" s="22">
        <f t="shared" si="165"/>
        <v>1.9718198142742897E-2</v>
      </c>
      <c r="J5287" s="22" t="str">
        <f t="shared" si="166"/>
        <v/>
      </c>
    </row>
    <row r="5288" spans="1:10">
      <c r="A5288" s="1">
        <v>41600</v>
      </c>
      <c r="B5288">
        <v>57.25</v>
      </c>
      <c r="C5288">
        <v>57.52</v>
      </c>
      <c r="D5288">
        <v>57.06</v>
      </c>
      <c r="E5288">
        <v>57.46</v>
      </c>
      <c r="F5288">
        <v>16730600</v>
      </c>
      <c r="G5288">
        <v>57.09</v>
      </c>
      <c r="H5288" t="s">
        <v>9</v>
      </c>
      <c r="I5288" s="22">
        <f t="shared" si="165"/>
        <v>4.2127497796228723E-3</v>
      </c>
      <c r="J5288" s="22" t="str">
        <f t="shared" si="166"/>
        <v/>
      </c>
    </row>
    <row r="5289" spans="1:10">
      <c r="A5289" s="1">
        <v>41603</v>
      </c>
      <c r="B5289">
        <v>57.5</v>
      </c>
      <c r="C5289">
        <v>58.14</v>
      </c>
      <c r="D5289">
        <v>57.41</v>
      </c>
      <c r="E5289">
        <v>57.65</v>
      </c>
      <c r="F5289">
        <v>18649600</v>
      </c>
      <c r="G5289">
        <v>57.28</v>
      </c>
      <c r="H5289" t="s">
        <v>9</v>
      </c>
      <c r="I5289" s="22">
        <f t="shared" si="165"/>
        <v>3.3225526762223107E-3</v>
      </c>
      <c r="J5289" s="22" t="str">
        <f t="shared" si="166"/>
        <v/>
      </c>
    </row>
    <row r="5290" spans="1:10">
      <c r="A5290" s="1">
        <v>41604</v>
      </c>
      <c r="B5290">
        <v>57.63</v>
      </c>
      <c r="C5290">
        <v>57.96</v>
      </c>
      <c r="D5290">
        <v>57.17</v>
      </c>
      <c r="E5290">
        <v>57.17</v>
      </c>
      <c r="F5290">
        <v>16263300</v>
      </c>
      <c r="G5290">
        <v>56.8</v>
      </c>
      <c r="H5290" t="s">
        <v>9</v>
      </c>
      <c r="I5290" s="22">
        <f t="shared" si="165"/>
        <v>-8.4151969252845849E-3</v>
      </c>
      <c r="J5290" s="22" t="str">
        <f t="shared" si="166"/>
        <v>lost money</v>
      </c>
    </row>
    <row r="5291" spans="1:10">
      <c r="A5291" s="1">
        <v>41605</v>
      </c>
      <c r="B5291">
        <v>57.58</v>
      </c>
      <c r="C5291">
        <v>57.83</v>
      </c>
      <c r="D5291">
        <v>57.33</v>
      </c>
      <c r="E5291">
        <v>57.48</v>
      </c>
      <c r="F5291">
        <v>11238900</v>
      </c>
      <c r="G5291">
        <v>57.11</v>
      </c>
      <c r="H5291" t="s">
        <v>9</v>
      </c>
      <c r="I5291" s="22">
        <f t="shared" si="165"/>
        <v>5.4429069496658485E-3</v>
      </c>
      <c r="J5291" s="22" t="str">
        <f t="shared" si="166"/>
        <v>lost money</v>
      </c>
    </row>
    <row r="5292" spans="1:10">
      <c r="A5292" s="1">
        <v>41607</v>
      </c>
      <c r="B5292">
        <v>57.58</v>
      </c>
      <c r="C5292">
        <v>57.85</v>
      </c>
      <c r="D5292">
        <v>57.2</v>
      </c>
      <c r="E5292">
        <v>57.22</v>
      </c>
      <c r="F5292">
        <v>7128800</v>
      </c>
      <c r="G5292">
        <v>56.85</v>
      </c>
      <c r="H5292" t="s">
        <v>9</v>
      </c>
      <c r="I5292" s="22">
        <f t="shared" si="165"/>
        <v>-4.5630124802264679E-3</v>
      </c>
      <c r="J5292" s="22" t="str">
        <f t="shared" si="166"/>
        <v>lost money</v>
      </c>
    </row>
    <row r="5293" spans="1:10">
      <c r="A5293" s="1">
        <v>40911</v>
      </c>
      <c r="B5293">
        <v>70.150000000000006</v>
      </c>
      <c r="C5293">
        <v>70.709999999999994</v>
      </c>
      <c r="D5293">
        <v>70.099999999999994</v>
      </c>
      <c r="E5293">
        <v>70.14</v>
      </c>
      <c r="F5293">
        <v>15639600</v>
      </c>
      <c r="G5293">
        <v>33.159999999999997</v>
      </c>
      <c r="H5293" t="s">
        <v>10</v>
      </c>
      <c r="I5293" s="22" t="str">
        <f t="shared" si="165"/>
        <v/>
      </c>
      <c r="J5293" s="22" t="str">
        <f t="shared" si="166"/>
        <v>lost money</v>
      </c>
    </row>
    <row r="5294" spans="1:10">
      <c r="A5294" s="1">
        <v>40912</v>
      </c>
      <c r="B5294">
        <v>69.91</v>
      </c>
      <c r="C5294">
        <v>70.069999999999993</v>
      </c>
      <c r="D5294">
        <v>69.5</v>
      </c>
      <c r="E5294">
        <v>69.7</v>
      </c>
      <c r="F5294">
        <v>14239200</v>
      </c>
      <c r="G5294">
        <v>32.950000000000003</v>
      </c>
      <c r="H5294" t="s">
        <v>10</v>
      </c>
      <c r="I5294" s="22">
        <f t="shared" si="165"/>
        <v>-6.3530693185777955E-3</v>
      </c>
      <c r="J5294" s="22" t="str">
        <f t="shared" si="166"/>
        <v>lost money</v>
      </c>
    </row>
    <row r="5295" spans="1:10">
      <c r="A5295" s="1">
        <v>40913</v>
      </c>
      <c r="B5295">
        <v>69.760000000000005</v>
      </c>
      <c r="C5295">
        <v>69.87</v>
      </c>
      <c r="D5295">
        <v>69.349999999999994</v>
      </c>
      <c r="E5295">
        <v>69.37</v>
      </c>
      <c r="F5295">
        <v>14287600</v>
      </c>
      <c r="G5295">
        <v>32.79</v>
      </c>
      <c r="H5295" t="s">
        <v>10</v>
      </c>
      <c r="I5295" s="22">
        <f t="shared" si="165"/>
        <v>-4.8676700919594923E-3</v>
      </c>
      <c r="J5295" s="22" t="str">
        <f t="shared" si="166"/>
        <v>lost money</v>
      </c>
    </row>
    <row r="5296" spans="1:10">
      <c r="A5296" s="1">
        <v>40914</v>
      </c>
      <c r="B5296">
        <v>69.47</v>
      </c>
      <c r="C5296">
        <v>69.63</v>
      </c>
      <c r="D5296">
        <v>68.62</v>
      </c>
      <c r="E5296">
        <v>68.930000000000007</v>
      </c>
      <c r="F5296">
        <v>13646600</v>
      </c>
      <c r="G5296">
        <v>32.590000000000003</v>
      </c>
      <c r="H5296" t="s">
        <v>10</v>
      </c>
      <c r="I5296" s="22">
        <f t="shared" si="165"/>
        <v>-6.1180980070865238E-3</v>
      </c>
      <c r="J5296" s="22" t="str">
        <f t="shared" si="166"/>
        <v>lost money</v>
      </c>
    </row>
    <row r="5297" spans="1:10">
      <c r="A5297" s="1">
        <v>40917</v>
      </c>
      <c r="B5297">
        <v>69</v>
      </c>
      <c r="C5297">
        <v>69.17</v>
      </c>
      <c r="D5297">
        <v>68.8</v>
      </c>
      <c r="E5297">
        <v>68.930000000000007</v>
      </c>
      <c r="F5297">
        <v>10522600</v>
      </c>
      <c r="G5297">
        <v>32.590000000000003</v>
      </c>
      <c r="H5297" t="s">
        <v>10</v>
      </c>
      <c r="I5297" s="22">
        <f t="shared" si="165"/>
        <v>0</v>
      </c>
      <c r="J5297" s="22" t="str">
        <f t="shared" si="166"/>
        <v>lost money</v>
      </c>
    </row>
    <row r="5298" spans="1:10">
      <c r="A5298" s="1">
        <v>40918</v>
      </c>
      <c r="B5298">
        <v>69.47</v>
      </c>
      <c r="C5298">
        <v>69.52</v>
      </c>
      <c r="D5298">
        <v>69.11</v>
      </c>
      <c r="E5298">
        <v>69.34</v>
      </c>
      <c r="F5298">
        <v>12964400</v>
      </c>
      <c r="G5298">
        <v>32.78</v>
      </c>
      <c r="H5298" t="s">
        <v>10</v>
      </c>
      <c r="I5298" s="22">
        <f t="shared" si="165"/>
        <v>5.8130804662134133E-3</v>
      </c>
      <c r="J5298" s="22" t="str">
        <f t="shared" si="166"/>
        <v>lost money</v>
      </c>
    </row>
    <row r="5299" spans="1:10">
      <c r="A5299" s="1">
        <v>40919</v>
      </c>
      <c r="B5299">
        <v>68.37</v>
      </c>
      <c r="C5299">
        <v>68.77</v>
      </c>
      <c r="D5299">
        <v>67.55</v>
      </c>
      <c r="E5299">
        <v>68.06</v>
      </c>
      <c r="F5299">
        <v>23428800</v>
      </c>
      <c r="G5299">
        <v>32.18</v>
      </c>
      <c r="H5299" t="s">
        <v>10</v>
      </c>
      <c r="I5299" s="22">
        <f t="shared" si="165"/>
        <v>-1.847343175144648E-2</v>
      </c>
      <c r="J5299" s="22" t="str">
        <f t="shared" si="166"/>
        <v>lost money</v>
      </c>
    </row>
    <row r="5300" spans="1:10">
      <c r="A5300" s="1">
        <v>40920</v>
      </c>
      <c r="B5300">
        <v>68.42</v>
      </c>
      <c r="C5300">
        <v>68.5</v>
      </c>
      <c r="D5300">
        <v>67.349999999999994</v>
      </c>
      <c r="E5300">
        <v>67.569999999999993</v>
      </c>
      <c r="F5300">
        <v>15237000</v>
      </c>
      <c r="G5300">
        <v>31.94</v>
      </c>
      <c r="H5300" t="s">
        <v>10</v>
      </c>
      <c r="I5300" s="22">
        <f t="shared" si="165"/>
        <v>-7.4859987773706884E-3</v>
      </c>
      <c r="J5300" s="22" t="str">
        <f t="shared" si="166"/>
        <v>lost money</v>
      </c>
    </row>
    <row r="5301" spans="1:10">
      <c r="A5301" s="1">
        <v>40921</v>
      </c>
      <c r="B5301">
        <v>67.34</v>
      </c>
      <c r="C5301">
        <v>67.430000000000007</v>
      </c>
      <c r="D5301">
        <v>66.569999999999993</v>
      </c>
      <c r="E5301">
        <v>66.989999999999995</v>
      </c>
      <c r="F5301">
        <v>19991800</v>
      </c>
      <c r="G5301">
        <v>31.67</v>
      </c>
      <c r="H5301" t="s">
        <v>10</v>
      </c>
      <c r="I5301" s="22">
        <f t="shared" si="165"/>
        <v>-8.4892822363178914E-3</v>
      </c>
      <c r="J5301" s="22" t="str">
        <f t="shared" si="166"/>
        <v>lost money</v>
      </c>
    </row>
    <row r="5302" spans="1:10">
      <c r="A5302" s="1">
        <v>40925</v>
      </c>
      <c r="B5302">
        <v>67.739999999999995</v>
      </c>
      <c r="C5302">
        <v>67.88</v>
      </c>
      <c r="D5302">
        <v>67.319999999999993</v>
      </c>
      <c r="E5302">
        <v>67.349999999999994</v>
      </c>
      <c r="F5302">
        <v>15577000</v>
      </c>
      <c r="G5302">
        <v>31.84</v>
      </c>
      <c r="H5302" t="s">
        <v>10</v>
      </c>
      <c r="I5302" s="22">
        <f t="shared" si="165"/>
        <v>5.353500425633752E-3</v>
      </c>
      <c r="J5302" s="22" t="str">
        <f t="shared" si="166"/>
        <v>lost money</v>
      </c>
    </row>
    <row r="5303" spans="1:10">
      <c r="A5303" s="1">
        <v>40926</v>
      </c>
      <c r="B5303">
        <v>67.459999999999994</v>
      </c>
      <c r="C5303">
        <v>67.819999999999993</v>
      </c>
      <c r="D5303">
        <v>67.180000000000007</v>
      </c>
      <c r="E5303">
        <v>67.59</v>
      </c>
      <c r="F5303">
        <v>13282200</v>
      </c>
      <c r="G5303">
        <v>31.95</v>
      </c>
      <c r="H5303" t="s">
        <v>10</v>
      </c>
      <c r="I5303" s="22">
        <f t="shared" si="165"/>
        <v>3.4488198473614845E-3</v>
      </c>
      <c r="J5303" s="22" t="str">
        <f t="shared" si="166"/>
        <v/>
      </c>
    </row>
    <row r="5304" spans="1:10">
      <c r="A5304" s="1">
        <v>40927</v>
      </c>
      <c r="B5304">
        <v>67.650000000000006</v>
      </c>
      <c r="C5304">
        <v>67.739999999999995</v>
      </c>
      <c r="D5304">
        <v>67.260000000000005</v>
      </c>
      <c r="E5304">
        <v>67.45</v>
      </c>
      <c r="F5304">
        <v>13544800</v>
      </c>
      <c r="G5304">
        <v>31.89</v>
      </c>
      <c r="H5304" t="s">
        <v>10</v>
      </c>
      <c r="I5304" s="22">
        <f t="shared" si="165"/>
        <v>-1.8796998015775193E-3</v>
      </c>
      <c r="J5304" s="22" t="str">
        <f t="shared" si="166"/>
        <v>lost money</v>
      </c>
    </row>
    <row r="5305" spans="1:10">
      <c r="A5305" s="1">
        <v>40928</v>
      </c>
      <c r="B5305">
        <v>67.540000000000006</v>
      </c>
      <c r="C5305">
        <v>68.12</v>
      </c>
      <c r="D5305">
        <v>67.400000000000006</v>
      </c>
      <c r="E5305">
        <v>68.09</v>
      </c>
      <c r="F5305">
        <v>19158600</v>
      </c>
      <c r="G5305">
        <v>32.19</v>
      </c>
      <c r="H5305" t="s">
        <v>10</v>
      </c>
      <c r="I5305" s="22">
        <f t="shared" si="165"/>
        <v>9.363364288750552E-3</v>
      </c>
      <c r="J5305" s="22" t="str">
        <f t="shared" si="166"/>
        <v/>
      </c>
    </row>
    <row r="5306" spans="1:10">
      <c r="A5306" s="1">
        <v>40931</v>
      </c>
      <c r="B5306">
        <v>68</v>
      </c>
      <c r="C5306">
        <v>68.62</v>
      </c>
      <c r="D5306">
        <v>67.91</v>
      </c>
      <c r="E5306">
        <v>68.53</v>
      </c>
      <c r="F5306">
        <v>13803200</v>
      </c>
      <c r="G5306">
        <v>32.4</v>
      </c>
      <c r="H5306" t="s">
        <v>10</v>
      </c>
      <c r="I5306" s="22">
        <f t="shared" si="165"/>
        <v>6.502577487566847E-3</v>
      </c>
      <c r="J5306" s="22" t="str">
        <f t="shared" si="166"/>
        <v/>
      </c>
    </row>
    <row r="5307" spans="1:10">
      <c r="A5307" s="1">
        <v>40932</v>
      </c>
      <c r="B5307">
        <v>68.16</v>
      </c>
      <c r="C5307">
        <v>68.5</v>
      </c>
      <c r="D5307">
        <v>67.709999999999994</v>
      </c>
      <c r="E5307">
        <v>67.900000000000006</v>
      </c>
      <c r="F5307">
        <v>14751200</v>
      </c>
      <c r="G5307">
        <v>32.1</v>
      </c>
      <c r="H5307" t="s">
        <v>10</v>
      </c>
      <c r="I5307" s="22">
        <f t="shared" si="165"/>
        <v>-9.3023926623134485E-3</v>
      </c>
      <c r="J5307" s="22" t="str">
        <f t="shared" si="166"/>
        <v>lost money</v>
      </c>
    </row>
    <row r="5308" spans="1:10">
      <c r="A5308" s="1">
        <v>40933</v>
      </c>
      <c r="B5308">
        <v>67.91</v>
      </c>
      <c r="C5308">
        <v>68.5</v>
      </c>
      <c r="D5308">
        <v>67.540000000000006</v>
      </c>
      <c r="E5308">
        <v>68.430000000000007</v>
      </c>
      <c r="F5308">
        <v>14476000</v>
      </c>
      <c r="G5308">
        <v>32.35</v>
      </c>
      <c r="H5308" t="s">
        <v>10</v>
      </c>
      <c r="I5308" s="22">
        <f t="shared" si="165"/>
        <v>7.7579908109393367E-3</v>
      </c>
      <c r="J5308" s="22" t="str">
        <f t="shared" si="166"/>
        <v/>
      </c>
    </row>
    <row r="5309" spans="1:10">
      <c r="A5309" s="1">
        <v>40934</v>
      </c>
      <c r="B5309">
        <v>68.62</v>
      </c>
      <c r="C5309">
        <v>68.62</v>
      </c>
      <c r="D5309">
        <v>67.760000000000005</v>
      </c>
      <c r="E5309">
        <v>68.010000000000005</v>
      </c>
      <c r="F5309">
        <v>14721000</v>
      </c>
      <c r="G5309">
        <v>32.15</v>
      </c>
      <c r="H5309" t="s">
        <v>10</v>
      </c>
      <c r="I5309" s="22">
        <f t="shared" si="165"/>
        <v>-6.2015702632812692E-3</v>
      </c>
      <c r="J5309" s="22" t="str">
        <f t="shared" si="166"/>
        <v>lost money</v>
      </c>
    </row>
    <row r="5310" spans="1:10">
      <c r="A5310" s="1">
        <v>40935</v>
      </c>
      <c r="B5310">
        <v>67.91</v>
      </c>
      <c r="C5310">
        <v>68.14</v>
      </c>
      <c r="D5310">
        <v>67.23</v>
      </c>
      <c r="E5310">
        <v>67.44</v>
      </c>
      <c r="F5310">
        <v>16825000</v>
      </c>
      <c r="G5310">
        <v>31.88</v>
      </c>
      <c r="H5310" t="s">
        <v>10</v>
      </c>
      <c r="I5310" s="22">
        <f t="shared" si="165"/>
        <v>-8.4335967616140962E-3</v>
      </c>
      <c r="J5310" s="22" t="str">
        <f t="shared" si="166"/>
        <v>lost money</v>
      </c>
    </row>
    <row r="5311" spans="1:10">
      <c r="A5311" s="1">
        <v>40938</v>
      </c>
      <c r="B5311">
        <v>67.290000000000006</v>
      </c>
      <c r="C5311">
        <v>67.569999999999993</v>
      </c>
      <c r="D5311">
        <v>67.03</v>
      </c>
      <c r="E5311">
        <v>67.459999999999994</v>
      </c>
      <c r="F5311">
        <v>10591600</v>
      </c>
      <c r="G5311">
        <v>31.89</v>
      </c>
      <c r="H5311" t="s">
        <v>10</v>
      </c>
      <c r="I5311" s="22">
        <f t="shared" si="165"/>
        <v>3.1362709995211681E-4</v>
      </c>
      <c r="J5311" s="22" t="str">
        <f t="shared" si="166"/>
        <v/>
      </c>
    </row>
    <row r="5312" spans="1:10">
      <c r="A5312" s="1">
        <v>40939</v>
      </c>
      <c r="B5312">
        <v>67.98</v>
      </c>
      <c r="C5312">
        <v>67.98</v>
      </c>
      <c r="D5312">
        <v>67.180000000000007</v>
      </c>
      <c r="E5312">
        <v>67.53</v>
      </c>
      <c r="F5312">
        <v>13543400</v>
      </c>
      <c r="G5312">
        <v>31.92</v>
      </c>
      <c r="H5312" t="s">
        <v>10</v>
      </c>
      <c r="I5312" s="22">
        <f t="shared" si="165"/>
        <v>9.4029155964172153E-4</v>
      </c>
      <c r="J5312" s="22" t="str">
        <f t="shared" si="166"/>
        <v>lost money</v>
      </c>
    </row>
    <row r="5313" spans="1:10">
      <c r="A5313" s="1">
        <v>40940</v>
      </c>
      <c r="B5313">
        <v>67.88</v>
      </c>
      <c r="C5313">
        <v>68.34</v>
      </c>
      <c r="D5313">
        <v>67.8</v>
      </c>
      <c r="E5313">
        <v>67.849999999999994</v>
      </c>
      <c r="F5313">
        <v>14915000</v>
      </c>
      <c r="G5313">
        <v>32.08</v>
      </c>
      <c r="H5313" t="s">
        <v>10</v>
      </c>
      <c r="I5313" s="22">
        <f t="shared" si="165"/>
        <v>5.0000104167056188E-3</v>
      </c>
      <c r="J5313" s="22" t="str">
        <f t="shared" si="166"/>
        <v>lost money</v>
      </c>
    </row>
    <row r="5314" spans="1:10">
      <c r="A5314" s="1">
        <v>40941</v>
      </c>
      <c r="B5314">
        <v>68.069999999999993</v>
      </c>
      <c r="C5314">
        <v>68.239999999999995</v>
      </c>
      <c r="D5314">
        <v>67.75</v>
      </c>
      <c r="E5314">
        <v>67.83</v>
      </c>
      <c r="F5314">
        <v>13150000</v>
      </c>
      <c r="G5314">
        <v>32.07</v>
      </c>
      <c r="H5314" t="s">
        <v>10</v>
      </c>
      <c r="I5314" s="22">
        <f t="shared" si="165"/>
        <v>-3.1176929325008067E-4</v>
      </c>
      <c r="J5314" s="22" t="str">
        <f t="shared" si="166"/>
        <v>lost money</v>
      </c>
    </row>
    <row r="5315" spans="1:10">
      <c r="A5315" s="1">
        <v>40942</v>
      </c>
      <c r="B5315">
        <v>68.260000000000005</v>
      </c>
      <c r="C5315">
        <v>68.489999999999995</v>
      </c>
      <c r="D5315">
        <v>67.84</v>
      </c>
      <c r="E5315">
        <v>68.08</v>
      </c>
      <c r="F5315">
        <v>16555800</v>
      </c>
      <c r="G5315">
        <v>32.18</v>
      </c>
      <c r="H5315" t="s">
        <v>10</v>
      </c>
      <c r="I5315" s="22">
        <f t="shared" ref="I5315:I5378" si="167">IF(A5315=$A$2,"",LN(G5315/G5314))</f>
        <v>3.4241278591735811E-3</v>
      </c>
      <c r="J5315" s="22" t="str">
        <f t="shared" ref="J5315:J5378" si="168">IF(B5315&gt;E5315,"lost money","")</f>
        <v>lost money</v>
      </c>
    </row>
    <row r="5316" spans="1:10">
      <c r="A5316" s="1">
        <v>40945</v>
      </c>
      <c r="B5316">
        <v>67.84</v>
      </c>
      <c r="C5316">
        <v>68.23</v>
      </c>
      <c r="D5316">
        <v>67.7</v>
      </c>
      <c r="E5316">
        <v>68.03</v>
      </c>
      <c r="F5316">
        <v>14586400</v>
      </c>
      <c r="G5316">
        <v>32.159999999999997</v>
      </c>
      <c r="H5316" t="s">
        <v>10</v>
      </c>
      <c r="I5316" s="22">
        <f t="shared" si="167"/>
        <v>-6.2169725347161538E-4</v>
      </c>
      <c r="J5316" s="22" t="str">
        <f t="shared" si="168"/>
        <v/>
      </c>
    </row>
    <row r="5317" spans="1:10">
      <c r="A5317" s="1">
        <v>40946</v>
      </c>
      <c r="B5317">
        <v>68.09</v>
      </c>
      <c r="C5317">
        <v>69.45</v>
      </c>
      <c r="D5317">
        <v>67.63</v>
      </c>
      <c r="E5317">
        <v>68.55</v>
      </c>
      <c r="F5317">
        <v>24269600</v>
      </c>
      <c r="G5317">
        <v>32.409999999999997</v>
      </c>
      <c r="H5317" t="s">
        <v>10</v>
      </c>
      <c r="I5317" s="22">
        <f t="shared" si="167"/>
        <v>7.7435728426903071E-3</v>
      </c>
      <c r="J5317" s="22" t="str">
        <f t="shared" si="168"/>
        <v/>
      </c>
    </row>
    <row r="5318" spans="1:10">
      <c r="A5318" s="1">
        <v>40947</v>
      </c>
      <c r="B5318">
        <v>68.84</v>
      </c>
      <c r="C5318">
        <v>68.849999999999994</v>
      </c>
      <c r="D5318">
        <v>68.2</v>
      </c>
      <c r="E5318">
        <v>68.33</v>
      </c>
      <c r="F5318">
        <v>16428400</v>
      </c>
      <c r="G5318">
        <v>32.299999999999997</v>
      </c>
      <c r="H5318" t="s">
        <v>10</v>
      </c>
      <c r="I5318" s="22">
        <f t="shared" si="167"/>
        <v>-3.3997869248451112E-3</v>
      </c>
      <c r="J5318" s="22" t="str">
        <f t="shared" si="168"/>
        <v>lost money</v>
      </c>
    </row>
    <row r="5319" spans="1:10">
      <c r="A5319" s="1">
        <v>40948</v>
      </c>
      <c r="B5319">
        <v>68.36</v>
      </c>
      <c r="C5319">
        <v>68.39</v>
      </c>
      <c r="D5319">
        <v>67.77</v>
      </c>
      <c r="E5319">
        <v>67.97</v>
      </c>
      <c r="F5319">
        <v>16311400</v>
      </c>
      <c r="G5319">
        <v>32.130000000000003</v>
      </c>
      <c r="H5319" t="s">
        <v>10</v>
      </c>
      <c r="I5319" s="22">
        <f t="shared" si="167"/>
        <v>-5.2770571008435583E-3</v>
      </c>
      <c r="J5319" s="22" t="str">
        <f t="shared" si="168"/>
        <v>lost money</v>
      </c>
    </row>
    <row r="5320" spans="1:10">
      <c r="A5320" s="1">
        <v>40949</v>
      </c>
      <c r="B5320">
        <v>67.53</v>
      </c>
      <c r="C5320">
        <v>67.94</v>
      </c>
      <c r="D5320">
        <v>67.42</v>
      </c>
      <c r="E5320">
        <v>67.94</v>
      </c>
      <c r="F5320">
        <v>10994600</v>
      </c>
      <c r="G5320">
        <v>32.119999999999997</v>
      </c>
      <c r="H5320" t="s">
        <v>10</v>
      </c>
      <c r="I5320" s="22">
        <f t="shared" si="167"/>
        <v>-3.1128404920631453E-4</v>
      </c>
      <c r="J5320" s="22" t="str">
        <f t="shared" si="168"/>
        <v/>
      </c>
    </row>
    <row r="5321" spans="1:10">
      <c r="A5321" s="1">
        <v>40952</v>
      </c>
      <c r="B5321">
        <v>68.42</v>
      </c>
      <c r="C5321">
        <v>68.599999999999994</v>
      </c>
      <c r="D5321">
        <v>68.09</v>
      </c>
      <c r="E5321">
        <v>68.44</v>
      </c>
      <c r="F5321">
        <v>11091000</v>
      </c>
      <c r="G5321">
        <v>32.35</v>
      </c>
      <c r="H5321" t="s">
        <v>10</v>
      </c>
      <c r="I5321" s="22">
        <f t="shared" si="167"/>
        <v>7.1351318683487855E-3</v>
      </c>
      <c r="J5321" s="22" t="str">
        <f t="shared" si="168"/>
        <v/>
      </c>
    </row>
    <row r="5322" spans="1:10">
      <c r="A5322" s="1">
        <v>40953</v>
      </c>
      <c r="B5322">
        <v>68.47</v>
      </c>
      <c r="C5322">
        <v>68.930000000000007</v>
      </c>
      <c r="D5322">
        <v>68.099999999999994</v>
      </c>
      <c r="E5322">
        <v>68.900000000000006</v>
      </c>
      <c r="F5322">
        <v>12596000</v>
      </c>
      <c r="G5322">
        <v>32.57</v>
      </c>
      <c r="H5322" t="s">
        <v>10</v>
      </c>
      <c r="I5322" s="22">
        <f t="shared" si="167"/>
        <v>6.7775983412324964E-3</v>
      </c>
      <c r="J5322" s="22" t="str">
        <f t="shared" si="168"/>
        <v/>
      </c>
    </row>
    <row r="5323" spans="1:10">
      <c r="A5323" s="1">
        <v>40954</v>
      </c>
      <c r="B5323">
        <v>69.23</v>
      </c>
      <c r="C5323">
        <v>69.25</v>
      </c>
      <c r="D5323">
        <v>68.23</v>
      </c>
      <c r="E5323">
        <v>68.400000000000006</v>
      </c>
      <c r="F5323">
        <v>14776800</v>
      </c>
      <c r="G5323">
        <v>32.340000000000003</v>
      </c>
      <c r="H5323" t="s">
        <v>10</v>
      </c>
      <c r="I5323" s="22">
        <f t="shared" si="167"/>
        <v>-7.086765139181191E-3</v>
      </c>
      <c r="J5323" s="22" t="str">
        <f t="shared" si="168"/>
        <v>lost money</v>
      </c>
    </row>
    <row r="5324" spans="1:10">
      <c r="A5324" s="1">
        <v>40955</v>
      </c>
      <c r="B5324">
        <v>68.61</v>
      </c>
      <c r="C5324">
        <v>68.989999999999995</v>
      </c>
      <c r="D5324">
        <v>68.42</v>
      </c>
      <c r="E5324">
        <v>68.86</v>
      </c>
      <c r="F5324">
        <v>11752000</v>
      </c>
      <c r="G5324">
        <v>32.549999999999997</v>
      </c>
      <c r="H5324" t="s">
        <v>10</v>
      </c>
      <c r="I5324" s="22">
        <f t="shared" si="167"/>
        <v>6.4725145056172984E-3</v>
      </c>
      <c r="J5324" s="22" t="str">
        <f t="shared" si="168"/>
        <v/>
      </c>
    </row>
    <row r="5325" spans="1:10">
      <c r="A5325" s="1">
        <v>40956</v>
      </c>
      <c r="B5325">
        <v>69.069999999999993</v>
      </c>
      <c r="C5325">
        <v>69.17</v>
      </c>
      <c r="D5325">
        <v>68.599999999999994</v>
      </c>
      <c r="E5325">
        <v>69.05</v>
      </c>
      <c r="F5325">
        <v>14841800</v>
      </c>
      <c r="G5325">
        <v>32.64</v>
      </c>
      <c r="H5325" t="s">
        <v>10</v>
      </c>
      <c r="I5325" s="22">
        <f t="shared" si="167"/>
        <v>2.7611614413280655E-3</v>
      </c>
      <c r="J5325" s="22" t="str">
        <f t="shared" si="168"/>
        <v>lost money</v>
      </c>
    </row>
    <row r="5326" spans="1:10">
      <c r="A5326" s="1">
        <v>40960</v>
      </c>
      <c r="B5326">
        <v>68.88</v>
      </c>
      <c r="C5326">
        <v>69.05</v>
      </c>
      <c r="D5326">
        <v>68.5</v>
      </c>
      <c r="E5326">
        <v>68.819999999999993</v>
      </c>
      <c r="F5326">
        <v>13424800</v>
      </c>
      <c r="G5326">
        <v>32.53</v>
      </c>
      <c r="H5326" t="s">
        <v>10</v>
      </c>
      <c r="I5326" s="22">
        <f t="shared" si="167"/>
        <v>-3.375789610646105E-3</v>
      </c>
      <c r="J5326" s="22" t="str">
        <f t="shared" si="168"/>
        <v>lost money</v>
      </c>
    </row>
    <row r="5327" spans="1:10">
      <c r="A5327" s="1">
        <v>40961</v>
      </c>
      <c r="B5327">
        <v>68.599999999999994</v>
      </c>
      <c r="C5327">
        <v>69.34</v>
      </c>
      <c r="D5327">
        <v>68.599999999999994</v>
      </c>
      <c r="E5327">
        <v>69.25</v>
      </c>
      <c r="F5327">
        <v>13766400</v>
      </c>
      <c r="G5327">
        <v>32.74</v>
      </c>
      <c r="H5327" t="s">
        <v>10</v>
      </c>
      <c r="I5327" s="22">
        <f t="shared" si="167"/>
        <v>6.4348314577287345E-3</v>
      </c>
      <c r="J5327" s="22" t="str">
        <f t="shared" si="168"/>
        <v/>
      </c>
    </row>
    <row r="5328" spans="1:10">
      <c r="A5328" s="1">
        <v>40962</v>
      </c>
      <c r="B5328">
        <v>69.09</v>
      </c>
      <c r="C5328">
        <v>69.3</v>
      </c>
      <c r="D5328">
        <v>68.92</v>
      </c>
      <c r="E5328">
        <v>69.180000000000007</v>
      </c>
      <c r="F5328">
        <v>11120000</v>
      </c>
      <c r="G5328">
        <v>32.700000000000003</v>
      </c>
      <c r="H5328" t="s">
        <v>10</v>
      </c>
      <c r="I5328" s="22">
        <f t="shared" si="167"/>
        <v>-1.2224940397811516E-3</v>
      </c>
      <c r="J5328" s="22" t="str">
        <f t="shared" si="168"/>
        <v/>
      </c>
    </row>
    <row r="5329" spans="1:10">
      <c r="A5329" s="1">
        <v>40963</v>
      </c>
      <c r="B5329">
        <v>69.349999999999994</v>
      </c>
      <c r="C5329">
        <v>69.5</v>
      </c>
      <c r="D5329">
        <v>68.83</v>
      </c>
      <c r="E5329">
        <v>69</v>
      </c>
      <c r="F5329">
        <v>12485400</v>
      </c>
      <c r="G5329">
        <v>32.619999999999997</v>
      </c>
      <c r="H5329" t="s">
        <v>10</v>
      </c>
      <c r="I5329" s="22">
        <f t="shared" si="167"/>
        <v>-2.4494807103400446E-3</v>
      </c>
      <c r="J5329" s="22" t="str">
        <f t="shared" si="168"/>
        <v>lost money</v>
      </c>
    </row>
    <row r="5330" spans="1:10">
      <c r="A5330" s="1">
        <v>40966</v>
      </c>
      <c r="B5330">
        <v>68.69</v>
      </c>
      <c r="C5330">
        <v>69</v>
      </c>
      <c r="D5330">
        <v>68.52</v>
      </c>
      <c r="E5330">
        <v>68.83</v>
      </c>
      <c r="F5330">
        <v>12086200</v>
      </c>
      <c r="G5330">
        <v>32.54</v>
      </c>
      <c r="H5330" t="s">
        <v>10</v>
      </c>
      <c r="I5330" s="22">
        <f t="shared" si="167"/>
        <v>-2.4554954019759944E-3</v>
      </c>
      <c r="J5330" s="22" t="str">
        <f t="shared" si="168"/>
        <v/>
      </c>
    </row>
    <row r="5331" spans="1:10">
      <c r="A5331" s="1">
        <v>40967</v>
      </c>
      <c r="B5331">
        <v>68.95</v>
      </c>
      <c r="C5331">
        <v>69.099999999999994</v>
      </c>
      <c r="D5331">
        <v>68.8</v>
      </c>
      <c r="E5331">
        <v>68.849999999999994</v>
      </c>
      <c r="F5331">
        <v>9049000</v>
      </c>
      <c r="G5331">
        <v>32.549999999999997</v>
      </c>
      <c r="H5331" t="s">
        <v>10</v>
      </c>
      <c r="I5331" s="22">
        <f t="shared" si="167"/>
        <v>3.0726686368639638E-4</v>
      </c>
      <c r="J5331" s="22" t="str">
        <f t="shared" si="168"/>
        <v>lost money</v>
      </c>
    </row>
    <row r="5332" spans="1:10">
      <c r="A5332" s="1">
        <v>40968</v>
      </c>
      <c r="B5332">
        <v>68.900000000000006</v>
      </c>
      <c r="C5332">
        <v>69.98</v>
      </c>
      <c r="D5332">
        <v>68.900000000000006</v>
      </c>
      <c r="E5332">
        <v>69.86</v>
      </c>
      <c r="F5332">
        <v>23464400</v>
      </c>
      <c r="G5332">
        <v>33.03</v>
      </c>
      <c r="H5332" t="s">
        <v>10</v>
      </c>
      <c r="I5332" s="22">
        <f t="shared" si="167"/>
        <v>1.4638870748120106E-2</v>
      </c>
      <c r="J5332" s="22" t="str">
        <f t="shared" si="168"/>
        <v/>
      </c>
    </row>
    <row r="5333" spans="1:10">
      <c r="A5333" s="1">
        <v>40969</v>
      </c>
      <c r="B5333">
        <v>69.87</v>
      </c>
      <c r="C5333">
        <v>69.959999999999994</v>
      </c>
      <c r="D5333">
        <v>69.39</v>
      </c>
      <c r="E5333">
        <v>69.599999999999994</v>
      </c>
      <c r="F5333">
        <v>15294200</v>
      </c>
      <c r="G5333">
        <v>32.9</v>
      </c>
      <c r="H5333" t="s">
        <v>10</v>
      </c>
      <c r="I5333" s="22">
        <f t="shared" si="167"/>
        <v>-3.9435816313722113E-3</v>
      </c>
      <c r="J5333" s="22" t="str">
        <f t="shared" si="168"/>
        <v>lost money</v>
      </c>
    </row>
    <row r="5334" spans="1:10">
      <c r="A5334" s="1">
        <v>40970</v>
      </c>
      <c r="B5334">
        <v>69.41</v>
      </c>
      <c r="C5334">
        <v>69.599999999999994</v>
      </c>
      <c r="D5334">
        <v>68.97</v>
      </c>
      <c r="E5334">
        <v>69.180000000000007</v>
      </c>
      <c r="F5334">
        <v>11995800</v>
      </c>
      <c r="G5334">
        <v>32.700000000000003</v>
      </c>
      <c r="H5334" t="s">
        <v>10</v>
      </c>
      <c r="I5334" s="22">
        <f t="shared" si="167"/>
        <v>-6.0975798681183338E-3</v>
      </c>
      <c r="J5334" s="22" t="str">
        <f t="shared" si="168"/>
        <v>lost money</v>
      </c>
    </row>
    <row r="5335" spans="1:10">
      <c r="A5335" s="1">
        <v>40973</v>
      </c>
      <c r="B5335">
        <v>69.02</v>
      </c>
      <c r="C5335">
        <v>69.34</v>
      </c>
      <c r="D5335">
        <v>69</v>
      </c>
      <c r="E5335">
        <v>69.23</v>
      </c>
      <c r="F5335">
        <v>10338600</v>
      </c>
      <c r="G5335">
        <v>32.729999999999997</v>
      </c>
      <c r="H5335" t="s">
        <v>10</v>
      </c>
      <c r="I5335" s="22">
        <f t="shared" si="167"/>
        <v>9.1701060988118462E-4</v>
      </c>
      <c r="J5335" s="22" t="str">
        <f t="shared" si="168"/>
        <v/>
      </c>
    </row>
    <row r="5336" spans="1:10">
      <c r="A5336" s="1">
        <v>40974</v>
      </c>
      <c r="B5336">
        <v>68.819999999999993</v>
      </c>
      <c r="C5336">
        <v>69.09</v>
      </c>
      <c r="D5336">
        <v>68.64</v>
      </c>
      <c r="E5336">
        <v>68.760000000000005</v>
      </c>
      <c r="F5336">
        <v>13161200</v>
      </c>
      <c r="G5336">
        <v>32.51</v>
      </c>
      <c r="H5336" t="s">
        <v>10</v>
      </c>
      <c r="I5336" s="22">
        <f t="shared" si="167"/>
        <v>-6.7443541972750853E-3</v>
      </c>
      <c r="J5336" s="22" t="str">
        <f t="shared" si="168"/>
        <v>lost money</v>
      </c>
    </row>
    <row r="5337" spans="1:10">
      <c r="A5337" s="1">
        <v>40975</v>
      </c>
      <c r="B5337">
        <v>68.75</v>
      </c>
      <c r="C5337">
        <v>68.94</v>
      </c>
      <c r="D5337">
        <v>68.5</v>
      </c>
      <c r="E5337">
        <v>68.790000000000006</v>
      </c>
      <c r="F5337">
        <v>10933800</v>
      </c>
      <c r="G5337">
        <v>32.520000000000003</v>
      </c>
      <c r="H5337" t="s">
        <v>10</v>
      </c>
      <c r="I5337" s="22">
        <f t="shared" si="167"/>
        <v>3.0755036379606583E-4</v>
      </c>
      <c r="J5337" s="22" t="str">
        <f t="shared" si="168"/>
        <v/>
      </c>
    </row>
    <row r="5338" spans="1:10">
      <c r="A5338" s="1">
        <v>40976</v>
      </c>
      <c r="B5338">
        <v>69.180000000000007</v>
      </c>
      <c r="C5338">
        <v>69.5</v>
      </c>
      <c r="D5338">
        <v>69.099999999999994</v>
      </c>
      <c r="E5338">
        <v>69.27</v>
      </c>
      <c r="F5338">
        <v>33754800</v>
      </c>
      <c r="G5338">
        <v>32.75</v>
      </c>
      <c r="H5338" t="s">
        <v>10</v>
      </c>
      <c r="I5338" s="22">
        <f t="shared" si="167"/>
        <v>7.0476774016509326E-3</v>
      </c>
      <c r="J5338" s="22" t="str">
        <f t="shared" si="168"/>
        <v/>
      </c>
    </row>
    <row r="5339" spans="1:10">
      <c r="A5339" s="1">
        <v>40977</v>
      </c>
      <c r="B5339">
        <v>69.430000000000007</v>
      </c>
      <c r="C5339">
        <v>69.739999999999995</v>
      </c>
      <c r="D5339">
        <v>69.31</v>
      </c>
      <c r="E5339">
        <v>69.510000000000005</v>
      </c>
      <c r="F5339">
        <v>36742600</v>
      </c>
      <c r="G5339">
        <v>32.86</v>
      </c>
      <c r="H5339" t="s">
        <v>10</v>
      </c>
      <c r="I5339" s="22">
        <f t="shared" si="167"/>
        <v>3.3531505278610266E-3</v>
      </c>
      <c r="J5339" s="22" t="str">
        <f t="shared" si="168"/>
        <v/>
      </c>
    </row>
    <row r="5340" spans="1:10">
      <c r="A5340" s="1">
        <v>40980</v>
      </c>
      <c r="B5340">
        <v>69.48</v>
      </c>
      <c r="C5340">
        <v>70.34</v>
      </c>
      <c r="D5340">
        <v>69.34</v>
      </c>
      <c r="E5340">
        <v>70.150000000000006</v>
      </c>
      <c r="F5340">
        <v>18143600</v>
      </c>
      <c r="G5340">
        <v>33.159999999999997</v>
      </c>
      <c r="H5340" t="s">
        <v>10</v>
      </c>
      <c r="I5340" s="22">
        <f t="shared" si="167"/>
        <v>9.088217657972018E-3</v>
      </c>
      <c r="J5340" s="22" t="str">
        <f t="shared" si="168"/>
        <v/>
      </c>
    </row>
    <row r="5341" spans="1:10">
      <c r="A5341" s="1">
        <v>40981</v>
      </c>
      <c r="B5341">
        <v>69.510000000000005</v>
      </c>
      <c r="C5341">
        <v>70.290000000000006</v>
      </c>
      <c r="D5341">
        <v>69.510000000000005</v>
      </c>
      <c r="E5341">
        <v>70.25</v>
      </c>
      <c r="F5341">
        <v>18068000</v>
      </c>
      <c r="G5341">
        <v>33.450000000000003</v>
      </c>
      <c r="H5341" t="s">
        <v>10</v>
      </c>
      <c r="I5341" s="22">
        <f t="shared" si="167"/>
        <v>8.7074563071434727E-3</v>
      </c>
      <c r="J5341" s="22" t="str">
        <f t="shared" si="168"/>
        <v/>
      </c>
    </row>
    <row r="5342" spans="1:10">
      <c r="A5342" s="1">
        <v>40982</v>
      </c>
      <c r="B5342">
        <v>70.260000000000005</v>
      </c>
      <c r="C5342">
        <v>70.62</v>
      </c>
      <c r="D5342">
        <v>70.099999999999994</v>
      </c>
      <c r="E5342">
        <v>70.22</v>
      </c>
      <c r="F5342">
        <v>12918000</v>
      </c>
      <c r="G5342">
        <v>33.44</v>
      </c>
      <c r="H5342" t="s">
        <v>10</v>
      </c>
      <c r="I5342" s="22">
        <f t="shared" si="167"/>
        <v>-2.9899835773668741E-4</v>
      </c>
      <c r="J5342" s="22" t="str">
        <f t="shared" si="168"/>
        <v>lost money</v>
      </c>
    </row>
    <row r="5343" spans="1:10">
      <c r="A5343" s="1">
        <v>40983</v>
      </c>
      <c r="B5343">
        <v>70.27</v>
      </c>
      <c r="C5343">
        <v>70.34</v>
      </c>
      <c r="D5343">
        <v>69.78</v>
      </c>
      <c r="E5343">
        <v>70.33</v>
      </c>
      <c r="F5343">
        <v>17991400</v>
      </c>
      <c r="G5343">
        <v>33.49</v>
      </c>
      <c r="H5343" t="s">
        <v>10</v>
      </c>
      <c r="I5343" s="22">
        <f t="shared" si="167"/>
        <v>1.4940985896123877E-3</v>
      </c>
      <c r="J5343" s="22" t="str">
        <f t="shared" si="168"/>
        <v/>
      </c>
    </row>
    <row r="5344" spans="1:10">
      <c r="A5344" s="1">
        <v>40984</v>
      </c>
      <c r="B5344">
        <v>70.38</v>
      </c>
      <c r="C5344">
        <v>70.459999999999994</v>
      </c>
      <c r="D5344">
        <v>69.88</v>
      </c>
      <c r="E5344">
        <v>70.16</v>
      </c>
      <c r="F5344">
        <v>22898800</v>
      </c>
      <c r="G5344">
        <v>33.409999999999997</v>
      </c>
      <c r="H5344" t="s">
        <v>10</v>
      </c>
      <c r="I5344" s="22">
        <f t="shared" si="167"/>
        <v>-2.3916304374482626E-3</v>
      </c>
      <c r="J5344" s="22" t="str">
        <f t="shared" si="168"/>
        <v>lost money</v>
      </c>
    </row>
    <row r="5345" spans="1:10">
      <c r="A5345" s="1">
        <v>40987</v>
      </c>
      <c r="B5345">
        <v>70.209999999999994</v>
      </c>
      <c r="C5345">
        <v>70.53</v>
      </c>
      <c r="D5345">
        <v>70</v>
      </c>
      <c r="E5345">
        <v>70.400000000000006</v>
      </c>
      <c r="F5345">
        <v>10652400</v>
      </c>
      <c r="G5345">
        <v>33.53</v>
      </c>
      <c r="H5345" t="s">
        <v>10</v>
      </c>
      <c r="I5345" s="22">
        <f t="shared" si="167"/>
        <v>3.5853041094722144E-3</v>
      </c>
      <c r="J5345" s="22" t="str">
        <f t="shared" si="168"/>
        <v/>
      </c>
    </row>
    <row r="5346" spans="1:10">
      <c r="A5346" s="1">
        <v>40988</v>
      </c>
      <c r="B5346">
        <v>70.03</v>
      </c>
      <c r="C5346">
        <v>70.77</v>
      </c>
      <c r="D5346">
        <v>69.930000000000007</v>
      </c>
      <c r="E5346">
        <v>70.59</v>
      </c>
      <c r="F5346">
        <v>10180400</v>
      </c>
      <c r="G5346">
        <v>33.619999999999997</v>
      </c>
      <c r="H5346" t="s">
        <v>10</v>
      </c>
      <c r="I5346" s="22">
        <f t="shared" si="167"/>
        <v>2.6805675023322604E-3</v>
      </c>
      <c r="J5346" s="22" t="str">
        <f t="shared" si="168"/>
        <v/>
      </c>
    </row>
    <row r="5347" spans="1:10">
      <c r="A5347" s="1">
        <v>40989</v>
      </c>
      <c r="B5347">
        <v>70.48</v>
      </c>
      <c r="C5347">
        <v>71.400000000000006</v>
      </c>
      <c r="D5347">
        <v>70.349999999999994</v>
      </c>
      <c r="E5347">
        <v>71.12</v>
      </c>
      <c r="F5347">
        <v>19870800</v>
      </c>
      <c r="G5347">
        <v>33.869999999999997</v>
      </c>
      <c r="H5347" t="s">
        <v>10</v>
      </c>
      <c r="I5347" s="22">
        <f t="shared" si="167"/>
        <v>7.408538849210701E-3</v>
      </c>
      <c r="J5347" s="22" t="str">
        <f t="shared" si="168"/>
        <v/>
      </c>
    </row>
    <row r="5348" spans="1:10">
      <c r="A5348" s="1">
        <v>40990</v>
      </c>
      <c r="B5348">
        <v>71.010000000000005</v>
      </c>
      <c r="C5348">
        <v>71.58</v>
      </c>
      <c r="D5348">
        <v>70.94</v>
      </c>
      <c r="E5348">
        <v>71.42</v>
      </c>
      <c r="F5348">
        <v>14252800</v>
      </c>
      <c r="G5348">
        <v>34.01</v>
      </c>
      <c r="H5348" t="s">
        <v>10</v>
      </c>
      <c r="I5348" s="22">
        <f t="shared" si="167"/>
        <v>4.1249321894238399E-3</v>
      </c>
      <c r="J5348" s="22" t="str">
        <f t="shared" si="168"/>
        <v/>
      </c>
    </row>
    <row r="5349" spans="1:10">
      <c r="A5349" s="1">
        <v>40991</v>
      </c>
      <c r="B5349">
        <v>71.400000000000006</v>
      </c>
      <c r="C5349">
        <v>71.599999999999994</v>
      </c>
      <c r="D5349">
        <v>71.290000000000006</v>
      </c>
      <c r="E5349">
        <v>71.489999999999995</v>
      </c>
      <c r="F5349">
        <v>16206600</v>
      </c>
      <c r="G5349">
        <v>34.04</v>
      </c>
      <c r="H5349" t="s">
        <v>10</v>
      </c>
      <c r="I5349" s="22">
        <f t="shared" si="167"/>
        <v>8.8170468606924728E-4</v>
      </c>
      <c r="J5349" s="22" t="str">
        <f t="shared" si="168"/>
        <v/>
      </c>
    </row>
    <row r="5350" spans="1:10">
      <c r="A5350" s="1">
        <v>40994</v>
      </c>
      <c r="B5350">
        <v>71.739999999999995</v>
      </c>
      <c r="C5350">
        <v>71.900000000000006</v>
      </c>
      <c r="D5350">
        <v>71.59</v>
      </c>
      <c r="E5350">
        <v>71.900000000000006</v>
      </c>
      <c r="F5350">
        <v>11536400</v>
      </c>
      <c r="G5350">
        <v>34.24</v>
      </c>
      <c r="H5350" t="s">
        <v>10</v>
      </c>
      <c r="I5350" s="22">
        <f t="shared" si="167"/>
        <v>5.8582475683680701E-3</v>
      </c>
      <c r="J5350" s="22" t="str">
        <f t="shared" si="168"/>
        <v/>
      </c>
    </row>
    <row r="5351" spans="1:10">
      <c r="A5351" s="1">
        <v>40995</v>
      </c>
      <c r="B5351">
        <v>71.819999999999993</v>
      </c>
      <c r="C5351">
        <v>71.98</v>
      </c>
      <c r="D5351">
        <v>71.650000000000006</v>
      </c>
      <c r="E5351">
        <v>71.87</v>
      </c>
      <c r="F5351">
        <v>11430400</v>
      </c>
      <c r="G5351">
        <v>34.229999999999997</v>
      </c>
      <c r="H5351" t="s">
        <v>10</v>
      </c>
      <c r="I5351" s="22">
        <f t="shared" si="167"/>
        <v>-2.9209873144749049E-4</v>
      </c>
      <c r="J5351" s="22" t="str">
        <f t="shared" si="168"/>
        <v/>
      </c>
    </row>
    <row r="5352" spans="1:10">
      <c r="A5352" s="1">
        <v>40996</v>
      </c>
      <c r="B5352">
        <v>71.959999999999994</v>
      </c>
      <c r="C5352">
        <v>72.819999999999993</v>
      </c>
      <c r="D5352">
        <v>71.900000000000006</v>
      </c>
      <c r="E5352">
        <v>72.66</v>
      </c>
      <c r="F5352">
        <v>26260600</v>
      </c>
      <c r="G5352">
        <v>34.6</v>
      </c>
      <c r="H5352" t="s">
        <v>10</v>
      </c>
      <c r="I5352" s="22">
        <f t="shared" si="167"/>
        <v>1.0751229521584653E-2</v>
      </c>
      <c r="J5352" s="22" t="str">
        <f t="shared" si="168"/>
        <v/>
      </c>
    </row>
    <row r="5353" spans="1:10">
      <c r="A5353" s="1">
        <v>40997</v>
      </c>
      <c r="B5353">
        <v>72.349999999999994</v>
      </c>
      <c r="C5353">
        <v>74.39</v>
      </c>
      <c r="D5353">
        <v>72.27</v>
      </c>
      <c r="E5353">
        <v>73.81</v>
      </c>
      <c r="F5353">
        <v>41063600</v>
      </c>
      <c r="G5353">
        <v>35.15</v>
      </c>
      <c r="H5353" t="s">
        <v>10</v>
      </c>
      <c r="I5353" s="22">
        <f t="shared" si="167"/>
        <v>1.5770936192995317E-2</v>
      </c>
      <c r="J5353" s="22" t="str">
        <f t="shared" si="168"/>
        <v/>
      </c>
    </row>
    <row r="5354" spans="1:10">
      <c r="A5354" s="1">
        <v>40998</v>
      </c>
      <c r="B5354">
        <v>73.62</v>
      </c>
      <c r="C5354">
        <v>74.14</v>
      </c>
      <c r="D5354">
        <v>73.31</v>
      </c>
      <c r="E5354">
        <v>74.010000000000005</v>
      </c>
      <c r="F5354">
        <v>26555800</v>
      </c>
      <c r="G5354">
        <v>35.24</v>
      </c>
      <c r="H5354" t="s">
        <v>10</v>
      </c>
      <c r="I5354" s="22">
        <f t="shared" si="167"/>
        <v>2.557182811304892E-3</v>
      </c>
      <c r="J5354" s="22" t="str">
        <f t="shared" si="168"/>
        <v/>
      </c>
    </row>
    <row r="5355" spans="1:10">
      <c r="A5355" s="1">
        <v>41001</v>
      </c>
      <c r="B5355">
        <v>73.83</v>
      </c>
      <c r="C5355">
        <v>74.2</v>
      </c>
      <c r="D5355">
        <v>73.64</v>
      </c>
      <c r="E5355">
        <v>74.14</v>
      </c>
      <c r="F5355">
        <v>14579000</v>
      </c>
      <c r="G5355">
        <v>35.31</v>
      </c>
      <c r="H5355" t="s">
        <v>10</v>
      </c>
      <c r="I5355" s="22">
        <f t="shared" si="167"/>
        <v>1.9844088723162193E-3</v>
      </c>
      <c r="J5355" s="22" t="str">
        <f t="shared" si="168"/>
        <v/>
      </c>
    </row>
    <row r="5356" spans="1:10">
      <c r="A5356" s="1">
        <v>41002</v>
      </c>
      <c r="B5356">
        <v>73.67</v>
      </c>
      <c r="C5356">
        <v>74.08</v>
      </c>
      <c r="D5356">
        <v>73.459999999999994</v>
      </c>
      <c r="E5356">
        <v>73.760000000000005</v>
      </c>
      <c r="F5356">
        <v>12989200</v>
      </c>
      <c r="G5356">
        <v>35.130000000000003</v>
      </c>
      <c r="H5356" t="s">
        <v>10</v>
      </c>
      <c r="I5356" s="22">
        <f t="shared" si="167"/>
        <v>-5.1107436625593356E-3</v>
      </c>
      <c r="J5356" s="22" t="str">
        <f t="shared" si="168"/>
        <v/>
      </c>
    </row>
    <row r="5357" spans="1:10">
      <c r="A5357" s="1">
        <v>41003</v>
      </c>
      <c r="B5357">
        <v>73.290000000000006</v>
      </c>
      <c r="C5357">
        <v>73.599999999999994</v>
      </c>
      <c r="D5357">
        <v>73.209999999999994</v>
      </c>
      <c r="E5357">
        <v>73.459999999999994</v>
      </c>
      <c r="F5357">
        <v>12487400</v>
      </c>
      <c r="G5357">
        <v>34.979999999999997</v>
      </c>
      <c r="H5357" t="s">
        <v>10</v>
      </c>
      <c r="I5357" s="22">
        <f t="shared" si="167"/>
        <v>-4.27899668727984E-3</v>
      </c>
      <c r="J5357" s="22" t="str">
        <f t="shared" si="168"/>
        <v/>
      </c>
    </row>
    <row r="5358" spans="1:10">
      <c r="A5358" s="1">
        <v>41004</v>
      </c>
      <c r="B5358">
        <v>73.28</v>
      </c>
      <c r="C5358">
        <v>73.52</v>
      </c>
      <c r="D5358">
        <v>73.069999999999993</v>
      </c>
      <c r="E5358">
        <v>73.47</v>
      </c>
      <c r="F5358">
        <v>11531400</v>
      </c>
      <c r="G5358">
        <v>34.99</v>
      </c>
      <c r="H5358" t="s">
        <v>10</v>
      </c>
      <c r="I5358" s="22">
        <f t="shared" si="167"/>
        <v>2.8583678914081913E-4</v>
      </c>
      <c r="J5358" s="22" t="str">
        <f t="shared" si="168"/>
        <v/>
      </c>
    </row>
    <row r="5359" spans="1:10">
      <c r="A5359" s="1">
        <v>41008</v>
      </c>
      <c r="B5359">
        <v>72.959999999999994</v>
      </c>
      <c r="C5359">
        <v>73.11</v>
      </c>
      <c r="D5359">
        <v>72.739999999999995</v>
      </c>
      <c r="E5359">
        <v>72.87</v>
      </c>
      <c r="F5359">
        <v>9806800</v>
      </c>
      <c r="G5359">
        <v>34.700000000000003</v>
      </c>
      <c r="H5359" t="s">
        <v>10</v>
      </c>
      <c r="I5359" s="22">
        <f t="shared" si="167"/>
        <v>-8.3226194267831122E-3</v>
      </c>
      <c r="J5359" s="22" t="str">
        <f t="shared" si="168"/>
        <v>lost money</v>
      </c>
    </row>
    <row r="5360" spans="1:10">
      <c r="A5360" s="1">
        <v>41009</v>
      </c>
      <c r="B5360">
        <v>72.58</v>
      </c>
      <c r="C5360">
        <v>72.62</v>
      </c>
      <c r="D5360">
        <v>71.95</v>
      </c>
      <c r="E5360">
        <v>72.02</v>
      </c>
      <c r="F5360">
        <v>17290600</v>
      </c>
      <c r="G5360">
        <v>34.299999999999997</v>
      </c>
      <c r="H5360" t="s">
        <v>10</v>
      </c>
      <c r="I5360" s="22">
        <f t="shared" si="167"/>
        <v>-1.1594332780919482E-2</v>
      </c>
      <c r="J5360" s="22" t="str">
        <f t="shared" si="168"/>
        <v>lost money</v>
      </c>
    </row>
    <row r="5361" spans="1:10">
      <c r="A5361" s="1">
        <v>41010</v>
      </c>
      <c r="B5361">
        <v>72.430000000000007</v>
      </c>
      <c r="C5361">
        <v>72.47</v>
      </c>
      <c r="D5361">
        <v>71.84</v>
      </c>
      <c r="E5361">
        <v>72.12</v>
      </c>
      <c r="F5361">
        <v>12026600</v>
      </c>
      <c r="G5361">
        <v>34.340000000000003</v>
      </c>
      <c r="H5361" t="s">
        <v>10</v>
      </c>
      <c r="I5361" s="22">
        <f t="shared" si="167"/>
        <v>1.1655012974354135E-3</v>
      </c>
      <c r="J5361" s="22" t="str">
        <f t="shared" si="168"/>
        <v>lost money</v>
      </c>
    </row>
    <row r="5362" spans="1:10">
      <c r="A5362" s="1">
        <v>41011</v>
      </c>
      <c r="B5362">
        <v>72.150000000000006</v>
      </c>
      <c r="C5362">
        <v>72.260000000000005</v>
      </c>
      <c r="D5362">
        <v>71.819999999999993</v>
      </c>
      <c r="E5362">
        <v>72.22</v>
      </c>
      <c r="F5362">
        <v>10640600</v>
      </c>
      <c r="G5362">
        <v>34.39</v>
      </c>
      <c r="H5362" t="s">
        <v>10</v>
      </c>
      <c r="I5362" s="22">
        <f t="shared" si="167"/>
        <v>1.4549689748453545E-3</v>
      </c>
      <c r="J5362" s="22" t="str">
        <f t="shared" si="168"/>
        <v/>
      </c>
    </row>
    <row r="5363" spans="1:10">
      <c r="A5363" s="1">
        <v>41012</v>
      </c>
      <c r="B5363">
        <v>72.22</v>
      </c>
      <c r="C5363">
        <v>72.599999999999994</v>
      </c>
      <c r="D5363">
        <v>71.94</v>
      </c>
      <c r="E5363">
        <v>71.94</v>
      </c>
      <c r="F5363">
        <v>10525600</v>
      </c>
      <c r="G5363">
        <v>34.26</v>
      </c>
      <c r="H5363" t="s">
        <v>10</v>
      </c>
      <c r="I5363" s="22">
        <f t="shared" si="167"/>
        <v>-3.7873315482010676E-3</v>
      </c>
      <c r="J5363" s="22" t="str">
        <f t="shared" si="168"/>
        <v>lost money</v>
      </c>
    </row>
    <row r="5364" spans="1:10">
      <c r="A5364" s="1">
        <v>41015</v>
      </c>
      <c r="B5364">
        <v>72.22</v>
      </c>
      <c r="C5364">
        <v>72.790000000000006</v>
      </c>
      <c r="D5364">
        <v>72.14</v>
      </c>
      <c r="E5364">
        <v>72.44</v>
      </c>
      <c r="F5364">
        <v>14147600</v>
      </c>
      <c r="G5364">
        <v>34.5</v>
      </c>
      <c r="H5364" t="s">
        <v>10</v>
      </c>
      <c r="I5364" s="22">
        <f t="shared" si="167"/>
        <v>6.9808311413403611E-3</v>
      </c>
      <c r="J5364" s="22" t="str">
        <f t="shared" si="168"/>
        <v/>
      </c>
    </row>
    <row r="5365" spans="1:10">
      <c r="A5365" s="1">
        <v>41016</v>
      </c>
      <c r="B5365">
        <v>73.180000000000007</v>
      </c>
      <c r="C5365">
        <v>74.48</v>
      </c>
      <c r="D5365">
        <v>73.180000000000007</v>
      </c>
      <c r="E5365">
        <v>73.95</v>
      </c>
      <c r="F5365">
        <v>22614400</v>
      </c>
      <c r="G5365">
        <v>35.22</v>
      </c>
      <c r="H5365" t="s">
        <v>10</v>
      </c>
      <c r="I5365" s="22">
        <f t="shared" si="167"/>
        <v>2.0654779030746064E-2</v>
      </c>
      <c r="J5365" s="22" t="str">
        <f t="shared" si="168"/>
        <v/>
      </c>
    </row>
    <row r="5366" spans="1:10">
      <c r="A5366" s="1">
        <v>41017</v>
      </c>
      <c r="B5366">
        <v>73.819999999999993</v>
      </c>
      <c r="C5366">
        <v>74.349999999999994</v>
      </c>
      <c r="D5366">
        <v>73.73</v>
      </c>
      <c r="E5366">
        <v>74.17</v>
      </c>
      <c r="F5366">
        <v>11779800</v>
      </c>
      <c r="G5366">
        <v>35.32</v>
      </c>
      <c r="H5366" t="s">
        <v>10</v>
      </c>
      <c r="I5366" s="22">
        <f t="shared" si="167"/>
        <v>2.8352726676992963E-3</v>
      </c>
      <c r="J5366" s="22" t="str">
        <f t="shared" si="168"/>
        <v/>
      </c>
    </row>
    <row r="5367" spans="1:10">
      <c r="A5367" s="1">
        <v>41018</v>
      </c>
      <c r="B5367">
        <v>74.290000000000006</v>
      </c>
      <c r="C5367">
        <v>74.34</v>
      </c>
      <c r="D5367">
        <v>73.42</v>
      </c>
      <c r="E5367">
        <v>73.819999999999993</v>
      </c>
      <c r="F5367">
        <v>10731200</v>
      </c>
      <c r="G5367">
        <v>35.15</v>
      </c>
      <c r="H5367" t="s">
        <v>10</v>
      </c>
      <c r="I5367" s="22">
        <f t="shared" si="167"/>
        <v>-4.8247574790853563E-3</v>
      </c>
      <c r="J5367" s="22" t="str">
        <f t="shared" si="168"/>
        <v>lost money</v>
      </c>
    </row>
    <row r="5368" spans="1:10">
      <c r="A5368" s="1">
        <v>41019</v>
      </c>
      <c r="B5368">
        <v>73.959999999999994</v>
      </c>
      <c r="C5368">
        <v>74.349999999999994</v>
      </c>
      <c r="D5368">
        <v>73.739999999999995</v>
      </c>
      <c r="E5368">
        <v>74.13</v>
      </c>
      <c r="F5368">
        <v>13461000</v>
      </c>
      <c r="G5368">
        <v>35.299999999999997</v>
      </c>
      <c r="H5368" t="s">
        <v>10</v>
      </c>
      <c r="I5368" s="22">
        <f t="shared" si="167"/>
        <v>4.2583456825770246E-3</v>
      </c>
      <c r="J5368" s="22" t="str">
        <f t="shared" si="168"/>
        <v/>
      </c>
    </row>
    <row r="5369" spans="1:10">
      <c r="A5369" s="1">
        <v>41022</v>
      </c>
      <c r="B5369">
        <v>73.98</v>
      </c>
      <c r="C5369">
        <v>74.069999999999993</v>
      </c>
      <c r="D5369">
        <v>73.33</v>
      </c>
      <c r="E5369">
        <v>73.69</v>
      </c>
      <c r="F5369">
        <v>10472200</v>
      </c>
      <c r="G5369">
        <v>35.090000000000003</v>
      </c>
      <c r="H5369" t="s">
        <v>10</v>
      </c>
      <c r="I5369" s="22">
        <f t="shared" si="167"/>
        <v>-5.9667743441271402E-3</v>
      </c>
      <c r="J5369" s="22" t="str">
        <f t="shared" si="168"/>
        <v>lost money</v>
      </c>
    </row>
    <row r="5370" spans="1:10">
      <c r="A5370" s="1">
        <v>41023</v>
      </c>
      <c r="B5370">
        <v>73.92</v>
      </c>
      <c r="C5370">
        <v>74.349999999999994</v>
      </c>
      <c r="D5370">
        <v>73.709999999999994</v>
      </c>
      <c r="E5370">
        <v>74.12</v>
      </c>
      <c r="F5370">
        <v>10288000</v>
      </c>
      <c r="G5370">
        <v>35.299999999999997</v>
      </c>
      <c r="H5370" t="s">
        <v>10</v>
      </c>
      <c r="I5370" s="22">
        <f t="shared" si="167"/>
        <v>5.9667743441271567E-3</v>
      </c>
      <c r="J5370" s="22" t="str">
        <f t="shared" si="168"/>
        <v/>
      </c>
    </row>
    <row r="5371" spans="1:10">
      <c r="A5371" s="1">
        <v>41024</v>
      </c>
      <c r="B5371">
        <v>74.540000000000006</v>
      </c>
      <c r="C5371">
        <v>75.05</v>
      </c>
      <c r="D5371">
        <v>74.31</v>
      </c>
      <c r="E5371">
        <v>74.930000000000007</v>
      </c>
      <c r="F5371">
        <v>18596000</v>
      </c>
      <c r="G5371">
        <v>35.68</v>
      </c>
      <c r="H5371" t="s">
        <v>10</v>
      </c>
      <c r="I5371" s="22">
        <f t="shared" si="167"/>
        <v>1.0707343772557667E-2</v>
      </c>
      <c r="J5371" s="22" t="str">
        <f t="shared" si="168"/>
        <v/>
      </c>
    </row>
    <row r="5372" spans="1:10">
      <c r="A5372" s="1">
        <v>41025</v>
      </c>
      <c r="B5372">
        <v>74.95</v>
      </c>
      <c r="C5372">
        <v>75.97</v>
      </c>
      <c r="D5372">
        <v>74.819999999999993</v>
      </c>
      <c r="E5372">
        <v>75.709999999999994</v>
      </c>
      <c r="F5372">
        <v>16782000</v>
      </c>
      <c r="G5372">
        <v>36.049999999999997</v>
      </c>
      <c r="H5372" t="s">
        <v>10</v>
      </c>
      <c r="I5372" s="22">
        <f t="shared" si="167"/>
        <v>1.0316556019149277E-2</v>
      </c>
      <c r="J5372" s="22" t="str">
        <f t="shared" si="168"/>
        <v/>
      </c>
    </row>
    <row r="5373" spans="1:10">
      <c r="A5373" s="1">
        <v>41026</v>
      </c>
      <c r="B5373">
        <v>75.959999999999994</v>
      </c>
      <c r="C5373">
        <v>77.819999999999993</v>
      </c>
      <c r="D5373">
        <v>75.92</v>
      </c>
      <c r="E5373">
        <v>76.63</v>
      </c>
      <c r="F5373">
        <v>25103000</v>
      </c>
      <c r="G5373">
        <v>36.49</v>
      </c>
      <c r="H5373" t="s">
        <v>10</v>
      </c>
      <c r="I5373" s="22">
        <f t="shared" si="167"/>
        <v>1.2131386717398362E-2</v>
      </c>
      <c r="J5373" s="22" t="str">
        <f t="shared" si="168"/>
        <v/>
      </c>
    </row>
    <row r="5374" spans="1:10">
      <c r="A5374" s="1">
        <v>41029</v>
      </c>
      <c r="B5374">
        <v>76.42</v>
      </c>
      <c r="C5374">
        <v>76.900000000000006</v>
      </c>
      <c r="D5374">
        <v>75.930000000000007</v>
      </c>
      <c r="E5374">
        <v>76.319999999999993</v>
      </c>
      <c r="F5374">
        <v>26517600</v>
      </c>
      <c r="G5374">
        <v>36.340000000000003</v>
      </c>
      <c r="H5374" t="s">
        <v>10</v>
      </c>
      <c r="I5374" s="22">
        <f t="shared" si="167"/>
        <v>-4.119187480331076E-3</v>
      </c>
      <c r="J5374" s="22" t="str">
        <f t="shared" si="168"/>
        <v>lost money</v>
      </c>
    </row>
    <row r="5375" spans="1:10">
      <c r="A5375" s="1">
        <v>41030</v>
      </c>
      <c r="B5375">
        <v>76.540000000000006</v>
      </c>
      <c r="C5375">
        <v>77</v>
      </c>
      <c r="D5375">
        <v>76.28</v>
      </c>
      <c r="E5375">
        <v>76.930000000000007</v>
      </c>
      <c r="F5375">
        <v>13841000</v>
      </c>
      <c r="G5375">
        <v>36.630000000000003</v>
      </c>
      <c r="H5375" t="s">
        <v>10</v>
      </c>
      <c r="I5375" s="22">
        <f t="shared" si="167"/>
        <v>7.9485138226977753E-3</v>
      </c>
      <c r="J5375" s="22" t="str">
        <f t="shared" si="168"/>
        <v/>
      </c>
    </row>
    <row r="5376" spans="1:10">
      <c r="A5376" s="1">
        <v>41031</v>
      </c>
      <c r="B5376">
        <v>76.739999999999995</v>
      </c>
      <c r="C5376">
        <v>77.25</v>
      </c>
      <c r="D5376">
        <v>76.64</v>
      </c>
      <c r="E5376">
        <v>77.16</v>
      </c>
      <c r="F5376">
        <v>16558600</v>
      </c>
      <c r="G5376">
        <v>36.74</v>
      </c>
      <c r="H5376" t="s">
        <v>10</v>
      </c>
      <c r="I5376" s="22">
        <f t="shared" si="167"/>
        <v>2.9985029962566329E-3</v>
      </c>
      <c r="J5376" s="22" t="str">
        <f t="shared" si="168"/>
        <v/>
      </c>
    </row>
    <row r="5377" spans="1:10">
      <c r="A5377" s="1">
        <v>41032</v>
      </c>
      <c r="B5377">
        <v>77.36</v>
      </c>
      <c r="C5377">
        <v>77.64</v>
      </c>
      <c r="D5377">
        <v>77.2</v>
      </c>
      <c r="E5377">
        <v>77.44</v>
      </c>
      <c r="F5377">
        <v>15612000</v>
      </c>
      <c r="G5377">
        <v>36.880000000000003</v>
      </c>
      <c r="H5377" t="s">
        <v>10</v>
      </c>
      <c r="I5377" s="22">
        <f t="shared" si="167"/>
        <v>3.8033189014134456E-3</v>
      </c>
      <c r="J5377" s="22" t="str">
        <f t="shared" si="168"/>
        <v/>
      </c>
    </row>
    <row r="5378" spans="1:10">
      <c r="A5378" s="1">
        <v>41033</v>
      </c>
      <c r="B5378">
        <v>77.31</v>
      </c>
      <c r="C5378">
        <v>77.599999999999994</v>
      </c>
      <c r="D5378">
        <v>76.959999999999994</v>
      </c>
      <c r="E5378">
        <v>77</v>
      </c>
      <c r="F5378">
        <v>13160800</v>
      </c>
      <c r="G5378">
        <v>36.67</v>
      </c>
      <c r="H5378" t="s">
        <v>10</v>
      </c>
      <c r="I5378" s="22">
        <f t="shared" si="167"/>
        <v>-5.7104166051584445E-3</v>
      </c>
      <c r="J5378" s="22" t="str">
        <f t="shared" si="168"/>
        <v>lost money</v>
      </c>
    </row>
    <row r="5379" spans="1:10">
      <c r="A5379" s="1">
        <v>41036</v>
      </c>
      <c r="B5379">
        <v>76.97</v>
      </c>
      <c r="C5379">
        <v>77.45</v>
      </c>
      <c r="D5379">
        <v>76.849999999999994</v>
      </c>
      <c r="E5379">
        <v>77.28</v>
      </c>
      <c r="F5379">
        <v>8965400</v>
      </c>
      <c r="G5379">
        <v>36.799999999999997</v>
      </c>
      <c r="H5379" t="s">
        <v>10</v>
      </c>
      <c r="I5379" s="22">
        <f t="shared" ref="I5379:I5442" si="169">IF(A5379=$A$2,"",LN(G5379/G5378))</f>
        <v>3.5388630916504387E-3</v>
      </c>
      <c r="J5379" s="22" t="str">
        <f t="shared" ref="J5379:J5442" si="170">IF(B5379&gt;E5379,"lost money","")</f>
        <v/>
      </c>
    </row>
    <row r="5380" spans="1:10">
      <c r="A5380" s="1">
        <v>41037</v>
      </c>
      <c r="B5380">
        <v>77.010000000000005</v>
      </c>
      <c r="C5380">
        <v>77.28</v>
      </c>
      <c r="D5380">
        <v>76.62</v>
      </c>
      <c r="E5380">
        <v>77.14</v>
      </c>
      <c r="F5380">
        <v>10561600</v>
      </c>
      <c r="G5380">
        <v>36.729999999999997</v>
      </c>
      <c r="H5380" t="s">
        <v>10</v>
      </c>
      <c r="I5380" s="22">
        <f t="shared" si="169"/>
        <v>-1.9039853433093048E-3</v>
      </c>
      <c r="J5380" s="22" t="str">
        <f t="shared" si="170"/>
        <v/>
      </c>
    </row>
    <row r="5381" spans="1:10">
      <c r="A5381" s="1">
        <v>41038</v>
      </c>
      <c r="B5381">
        <v>76.59</v>
      </c>
      <c r="C5381">
        <v>77.19</v>
      </c>
      <c r="D5381">
        <v>76.489999999999995</v>
      </c>
      <c r="E5381">
        <v>76.78</v>
      </c>
      <c r="F5381">
        <v>14070800</v>
      </c>
      <c r="G5381">
        <v>36.56</v>
      </c>
      <c r="H5381" t="s">
        <v>10</v>
      </c>
      <c r="I5381" s="22">
        <f t="shared" si="169"/>
        <v>-4.6391132456265263E-3</v>
      </c>
      <c r="J5381" s="22" t="str">
        <f t="shared" si="170"/>
        <v/>
      </c>
    </row>
    <row r="5382" spans="1:10">
      <c r="A5382" s="1">
        <v>41039</v>
      </c>
      <c r="B5382">
        <v>77.209999999999994</v>
      </c>
      <c r="C5382">
        <v>77.7</v>
      </c>
      <c r="D5382">
        <v>77.2</v>
      </c>
      <c r="E5382">
        <v>77.41</v>
      </c>
      <c r="F5382">
        <v>12659200</v>
      </c>
      <c r="G5382">
        <v>36.86</v>
      </c>
      <c r="H5382" t="s">
        <v>10</v>
      </c>
      <c r="I5382" s="22">
        <f t="shared" si="169"/>
        <v>8.1722056557278419E-3</v>
      </c>
      <c r="J5382" s="22" t="str">
        <f t="shared" si="170"/>
        <v/>
      </c>
    </row>
    <row r="5383" spans="1:10">
      <c r="A5383" s="1">
        <v>41040</v>
      </c>
      <c r="B5383">
        <v>77.2</v>
      </c>
      <c r="C5383">
        <v>77.739999999999995</v>
      </c>
      <c r="D5383">
        <v>77.2</v>
      </c>
      <c r="E5383">
        <v>77.47</v>
      </c>
      <c r="F5383">
        <v>10604000</v>
      </c>
      <c r="G5383">
        <v>36.89</v>
      </c>
      <c r="H5383" t="s">
        <v>10</v>
      </c>
      <c r="I5383" s="22">
        <f t="shared" si="169"/>
        <v>8.1355936690696677E-4</v>
      </c>
      <c r="J5383" s="22" t="str">
        <f t="shared" si="170"/>
        <v/>
      </c>
    </row>
    <row r="5384" spans="1:10">
      <c r="A5384" s="1">
        <v>41043</v>
      </c>
      <c r="B5384">
        <v>77.12</v>
      </c>
      <c r="C5384">
        <v>77.25</v>
      </c>
      <c r="D5384">
        <v>76.62</v>
      </c>
      <c r="E5384">
        <v>76.87</v>
      </c>
      <c r="F5384">
        <v>15411800</v>
      </c>
      <c r="G5384">
        <v>36.61</v>
      </c>
      <c r="H5384" t="s">
        <v>10</v>
      </c>
      <c r="I5384" s="22">
        <f t="shared" si="169"/>
        <v>-7.6190844764394052E-3</v>
      </c>
      <c r="J5384" s="22" t="str">
        <f t="shared" si="170"/>
        <v>lost money</v>
      </c>
    </row>
    <row r="5385" spans="1:10">
      <c r="A5385" s="1">
        <v>41044</v>
      </c>
      <c r="B5385">
        <v>76.56</v>
      </c>
      <c r="C5385">
        <v>77.150000000000006</v>
      </c>
      <c r="D5385">
        <v>76.260000000000005</v>
      </c>
      <c r="E5385">
        <v>76.569999999999993</v>
      </c>
      <c r="F5385">
        <v>16397800</v>
      </c>
      <c r="G5385">
        <v>36.46</v>
      </c>
      <c r="H5385" t="s">
        <v>10</v>
      </c>
      <c r="I5385" s="22">
        <f t="shared" si="169"/>
        <v>-4.1056578816277747E-3</v>
      </c>
      <c r="J5385" s="22" t="str">
        <f t="shared" si="170"/>
        <v/>
      </c>
    </row>
    <row r="5386" spans="1:10">
      <c r="A5386" s="1">
        <v>41045</v>
      </c>
      <c r="B5386">
        <v>76.66</v>
      </c>
      <c r="C5386">
        <v>76.84</v>
      </c>
      <c r="D5386">
        <v>75.92</v>
      </c>
      <c r="E5386">
        <v>76.33</v>
      </c>
      <c r="F5386">
        <v>17804400</v>
      </c>
      <c r="G5386">
        <v>36.35</v>
      </c>
      <c r="H5386" t="s">
        <v>10</v>
      </c>
      <c r="I5386" s="22">
        <f t="shared" si="169"/>
        <v>-3.0215652709885818E-3</v>
      </c>
      <c r="J5386" s="22" t="str">
        <f t="shared" si="170"/>
        <v>lost money</v>
      </c>
    </row>
    <row r="5387" spans="1:10">
      <c r="A5387" s="1">
        <v>41046</v>
      </c>
      <c r="B5387">
        <v>76.17</v>
      </c>
      <c r="C5387">
        <v>76.3</v>
      </c>
      <c r="D5387">
        <v>74.989999999999995</v>
      </c>
      <c r="E5387">
        <v>75.12</v>
      </c>
      <c r="F5387">
        <v>22310800</v>
      </c>
      <c r="G5387">
        <v>35.770000000000003</v>
      </c>
      <c r="H5387" t="s">
        <v>10</v>
      </c>
      <c r="I5387" s="22">
        <f t="shared" si="169"/>
        <v>-1.6084650708601933E-2</v>
      </c>
      <c r="J5387" s="22" t="str">
        <f t="shared" si="170"/>
        <v>lost money</v>
      </c>
    </row>
    <row r="5388" spans="1:10">
      <c r="A5388" s="1">
        <v>41047</v>
      </c>
      <c r="B5388">
        <v>75.25</v>
      </c>
      <c r="C5388">
        <v>75.290000000000006</v>
      </c>
      <c r="D5388">
        <v>73.47</v>
      </c>
      <c r="E5388">
        <v>74.05</v>
      </c>
      <c r="F5388">
        <v>31913000</v>
      </c>
      <c r="G5388">
        <v>35.26</v>
      </c>
      <c r="H5388" t="s">
        <v>10</v>
      </c>
      <c r="I5388" s="22">
        <f t="shared" si="169"/>
        <v>-1.4360376301202387E-2</v>
      </c>
      <c r="J5388" s="22" t="str">
        <f t="shared" si="170"/>
        <v>lost money</v>
      </c>
    </row>
    <row r="5389" spans="1:10">
      <c r="A5389" s="1">
        <v>41050</v>
      </c>
      <c r="B5389">
        <v>74.209999999999994</v>
      </c>
      <c r="C5389">
        <v>74.599999999999994</v>
      </c>
      <c r="D5389">
        <v>74.13</v>
      </c>
      <c r="E5389">
        <v>74.510000000000005</v>
      </c>
      <c r="F5389">
        <v>13488800</v>
      </c>
      <c r="G5389">
        <v>35.479999999999997</v>
      </c>
      <c r="H5389" t="s">
        <v>10</v>
      </c>
      <c r="I5389" s="22">
        <f t="shared" si="169"/>
        <v>6.2199804716544654E-3</v>
      </c>
      <c r="J5389" s="22" t="str">
        <f t="shared" si="170"/>
        <v/>
      </c>
    </row>
    <row r="5390" spans="1:10">
      <c r="A5390" s="1">
        <v>41051</v>
      </c>
      <c r="B5390">
        <v>74.58</v>
      </c>
      <c r="C5390">
        <v>74.58</v>
      </c>
      <c r="D5390">
        <v>73.91</v>
      </c>
      <c r="E5390">
        <v>74.19</v>
      </c>
      <c r="F5390">
        <v>15260600</v>
      </c>
      <c r="G5390">
        <v>35.33</v>
      </c>
      <c r="H5390" t="s">
        <v>10</v>
      </c>
      <c r="I5390" s="22">
        <f t="shared" si="169"/>
        <v>-4.2366960703247979E-3</v>
      </c>
      <c r="J5390" s="22" t="str">
        <f t="shared" si="170"/>
        <v>lost money</v>
      </c>
    </row>
    <row r="5391" spans="1:10">
      <c r="A5391" s="1">
        <v>41052</v>
      </c>
      <c r="B5391">
        <v>74</v>
      </c>
      <c r="C5391">
        <v>74.569999999999993</v>
      </c>
      <c r="D5391">
        <v>73.819999999999993</v>
      </c>
      <c r="E5391">
        <v>74.55</v>
      </c>
      <c r="F5391">
        <v>18000000</v>
      </c>
      <c r="G5391">
        <v>35.5</v>
      </c>
      <c r="H5391" t="s">
        <v>10</v>
      </c>
      <c r="I5391" s="22">
        <f t="shared" si="169"/>
        <v>4.8002351103163836E-3</v>
      </c>
      <c r="J5391" s="22" t="str">
        <f t="shared" si="170"/>
        <v/>
      </c>
    </row>
    <row r="5392" spans="1:10">
      <c r="A5392" s="1">
        <v>41053</v>
      </c>
      <c r="B5392">
        <v>74.790000000000006</v>
      </c>
      <c r="C5392">
        <v>75.849999999999994</v>
      </c>
      <c r="D5392">
        <v>74.599999999999994</v>
      </c>
      <c r="E5392">
        <v>75.56</v>
      </c>
      <c r="F5392">
        <v>20204600</v>
      </c>
      <c r="G5392">
        <v>35.979999999999997</v>
      </c>
      <c r="H5392" t="s">
        <v>10</v>
      </c>
      <c r="I5392" s="22">
        <f t="shared" si="169"/>
        <v>1.3430532041016827E-2</v>
      </c>
      <c r="J5392" s="22" t="str">
        <f t="shared" si="170"/>
        <v/>
      </c>
    </row>
    <row r="5393" spans="1:10">
      <c r="A5393" s="1">
        <v>41054</v>
      </c>
      <c r="B5393">
        <v>75.62</v>
      </c>
      <c r="C5393">
        <v>75.69</v>
      </c>
      <c r="D5393">
        <v>75.010000000000005</v>
      </c>
      <c r="E5393">
        <v>75.23</v>
      </c>
      <c r="F5393">
        <v>8999600</v>
      </c>
      <c r="G5393">
        <v>35.83</v>
      </c>
      <c r="H5393" t="s">
        <v>10</v>
      </c>
      <c r="I5393" s="22">
        <f t="shared" si="169"/>
        <v>-4.1776972055245862E-3</v>
      </c>
      <c r="J5393" s="22" t="str">
        <f t="shared" si="170"/>
        <v>lost money</v>
      </c>
    </row>
    <row r="5394" spans="1:10">
      <c r="A5394" s="1">
        <v>41058</v>
      </c>
      <c r="B5394">
        <v>75.73</v>
      </c>
      <c r="C5394">
        <v>75.73</v>
      </c>
      <c r="D5394">
        <v>75.06</v>
      </c>
      <c r="E5394">
        <v>75.459999999999994</v>
      </c>
      <c r="F5394">
        <v>10533800</v>
      </c>
      <c r="G5394">
        <v>35.93</v>
      </c>
      <c r="H5394" t="s">
        <v>10</v>
      </c>
      <c r="I5394" s="22">
        <f t="shared" si="169"/>
        <v>2.7870698085649078E-3</v>
      </c>
      <c r="J5394" s="22" t="str">
        <f t="shared" si="170"/>
        <v>lost money</v>
      </c>
    </row>
    <row r="5395" spans="1:10">
      <c r="A5395" s="1">
        <v>41059</v>
      </c>
      <c r="B5395">
        <v>75.069999999999993</v>
      </c>
      <c r="C5395">
        <v>75.25</v>
      </c>
      <c r="D5395">
        <v>74.819999999999993</v>
      </c>
      <c r="E5395">
        <v>75.06</v>
      </c>
      <c r="F5395">
        <v>13884600</v>
      </c>
      <c r="G5395">
        <v>35.74</v>
      </c>
      <c r="H5395" t="s">
        <v>10</v>
      </c>
      <c r="I5395" s="22">
        <f t="shared" si="169"/>
        <v>-5.3020913941452859E-3</v>
      </c>
      <c r="J5395" s="22" t="str">
        <f t="shared" si="170"/>
        <v>lost money</v>
      </c>
    </row>
    <row r="5396" spans="1:10">
      <c r="A5396" s="1">
        <v>41060</v>
      </c>
      <c r="B5396">
        <v>74.959999999999994</v>
      </c>
      <c r="C5396">
        <v>75.22</v>
      </c>
      <c r="D5396">
        <v>74.66</v>
      </c>
      <c r="E5396">
        <v>74.73</v>
      </c>
      <c r="F5396">
        <v>15147600</v>
      </c>
      <c r="G5396">
        <v>35.590000000000003</v>
      </c>
      <c r="H5396" t="s">
        <v>10</v>
      </c>
      <c r="I5396" s="22">
        <f t="shared" si="169"/>
        <v>-4.2058102091805938E-3</v>
      </c>
      <c r="J5396" s="22" t="str">
        <f t="shared" si="170"/>
        <v>lost money</v>
      </c>
    </row>
    <row r="5397" spans="1:10">
      <c r="A5397" s="1">
        <v>41061</v>
      </c>
      <c r="B5397">
        <v>73.989999999999995</v>
      </c>
      <c r="C5397">
        <v>74.45</v>
      </c>
      <c r="D5397">
        <v>73.010000000000005</v>
      </c>
      <c r="E5397">
        <v>73.09</v>
      </c>
      <c r="F5397">
        <v>20843400</v>
      </c>
      <c r="G5397">
        <v>34.81</v>
      </c>
      <c r="H5397" t="s">
        <v>10</v>
      </c>
      <c r="I5397" s="22">
        <f t="shared" si="169"/>
        <v>-2.2159997698753809E-2</v>
      </c>
      <c r="J5397" s="22" t="str">
        <f t="shared" si="170"/>
        <v>lost money</v>
      </c>
    </row>
    <row r="5398" spans="1:10">
      <c r="A5398" s="1">
        <v>41064</v>
      </c>
      <c r="B5398">
        <v>73.03</v>
      </c>
      <c r="C5398">
        <v>73.739999999999995</v>
      </c>
      <c r="D5398">
        <v>72.56</v>
      </c>
      <c r="E5398">
        <v>73.64</v>
      </c>
      <c r="F5398">
        <v>13397200</v>
      </c>
      <c r="G5398">
        <v>35.07</v>
      </c>
      <c r="H5398" t="s">
        <v>10</v>
      </c>
      <c r="I5398" s="22">
        <f t="shared" si="169"/>
        <v>7.4413623287390594E-3</v>
      </c>
      <c r="J5398" s="22" t="str">
        <f t="shared" si="170"/>
        <v/>
      </c>
    </row>
    <row r="5399" spans="1:10">
      <c r="A5399" s="1">
        <v>41065</v>
      </c>
      <c r="B5399">
        <v>73.33</v>
      </c>
      <c r="C5399">
        <v>73.64</v>
      </c>
      <c r="D5399">
        <v>73.05</v>
      </c>
      <c r="E5399">
        <v>73.239999999999995</v>
      </c>
      <c r="F5399">
        <v>12275200</v>
      </c>
      <c r="G5399">
        <v>34.880000000000003</v>
      </c>
      <c r="H5399" t="s">
        <v>10</v>
      </c>
      <c r="I5399" s="22">
        <f t="shared" si="169"/>
        <v>-5.4324651113078085E-3</v>
      </c>
      <c r="J5399" s="22" t="str">
        <f t="shared" si="170"/>
        <v>lost money</v>
      </c>
    </row>
    <row r="5400" spans="1:10">
      <c r="A5400" s="1">
        <v>41066</v>
      </c>
      <c r="B5400">
        <v>73.39</v>
      </c>
      <c r="C5400">
        <v>74.61</v>
      </c>
      <c r="D5400">
        <v>73.3</v>
      </c>
      <c r="E5400">
        <v>74.61</v>
      </c>
      <c r="F5400">
        <v>12496400</v>
      </c>
      <c r="G5400">
        <v>35.53</v>
      </c>
      <c r="H5400" t="s">
        <v>10</v>
      </c>
      <c r="I5400" s="22">
        <f t="shared" si="169"/>
        <v>1.8463810992156774E-2</v>
      </c>
      <c r="J5400" s="22" t="str">
        <f t="shared" si="170"/>
        <v/>
      </c>
    </row>
    <row r="5401" spans="1:10">
      <c r="A5401" s="1">
        <v>41067</v>
      </c>
      <c r="B5401">
        <v>74.989999999999995</v>
      </c>
      <c r="C5401">
        <v>75.06</v>
      </c>
      <c r="D5401">
        <v>74.2</v>
      </c>
      <c r="E5401">
        <v>74.28</v>
      </c>
      <c r="F5401">
        <v>14342800</v>
      </c>
      <c r="G5401">
        <v>35.369999999999997</v>
      </c>
      <c r="H5401" t="s">
        <v>10</v>
      </c>
      <c r="I5401" s="22">
        <f t="shared" si="169"/>
        <v>-4.5134068155465489E-3</v>
      </c>
      <c r="J5401" s="22" t="str">
        <f t="shared" si="170"/>
        <v>lost money</v>
      </c>
    </row>
    <row r="5402" spans="1:10">
      <c r="A5402" s="1">
        <v>41068</v>
      </c>
      <c r="B5402">
        <v>74.16</v>
      </c>
      <c r="C5402">
        <v>75.37</v>
      </c>
      <c r="D5402">
        <v>74.150000000000006</v>
      </c>
      <c r="E5402">
        <v>75.239999999999995</v>
      </c>
      <c r="F5402">
        <v>11594200</v>
      </c>
      <c r="G5402">
        <v>35.83</v>
      </c>
      <c r="H5402" t="s">
        <v>10</v>
      </c>
      <c r="I5402" s="22">
        <f t="shared" si="169"/>
        <v>1.2921528099473199E-2</v>
      </c>
      <c r="J5402" s="22" t="str">
        <f t="shared" si="170"/>
        <v/>
      </c>
    </row>
    <row r="5403" spans="1:10">
      <c r="A5403" s="1">
        <v>41071</v>
      </c>
      <c r="B5403">
        <v>75.72</v>
      </c>
      <c r="C5403">
        <v>75.78</v>
      </c>
      <c r="D5403">
        <v>74.62</v>
      </c>
      <c r="E5403">
        <v>74.66</v>
      </c>
      <c r="F5403">
        <v>10657200</v>
      </c>
      <c r="G5403">
        <v>35.549999999999997</v>
      </c>
      <c r="H5403" t="s">
        <v>10</v>
      </c>
      <c r="I5403" s="22">
        <f t="shared" si="169"/>
        <v>-7.8453750676125752E-3</v>
      </c>
      <c r="J5403" s="22" t="str">
        <f t="shared" si="170"/>
        <v>lost money</v>
      </c>
    </row>
    <row r="5404" spans="1:10">
      <c r="A5404" s="1">
        <v>41072</v>
      </c>
      <c r="B5404">
        <v>74.98</v>
      </c>
      <c r="C5404">
        <v>75.25</v>
      </c>
      <c r="D5404">
        <v>74.34</v>
      </c>
      <c r="E5404">
        <v>75.2</v>
      </c>
      <c r="F5404">
        <v>11911200</v>
      </c>
      <c r="G5404">
        <v>35.81</v>
      </c>
      <c r="H5404" t="s">
        <v>10</v>
      </c>
      <c r="I5404" s="22">
        <f t="shared" si="169"/>
        <v>7.2870277610916105E-3</v>
      </c>
      <c r="J5404" s="22" t="str">
        <f t="shared" si="170"/>
        <v/>
      </c>
    </row>
    <row r="5405" spans="1:10">
      <c r="A5405" s="1">
        <v>41073</v>
      </c>
      <c r="B5405">
        <v>74.61</v>
      </c>
      <c r="C5405">
        <v>75.13</v>
      </c>
      <c r="D5405">
        <v>74.47</v>
      </c>
      <c r="E5405">
        <v>74.69</v>
      </c>
      <c r="F5405">
        <v>12717000</v>
      </c>
      <c r="G5405">
        <v>35.81</v>
      </c>
      <c r="H5405" t="s">
        <v>10</v>
      </c>
      <c r="I5405" s="22">
        <f t="shared" si="169"/>
        <v>0</v>
      </c>
      <c r="J5405" s="22" t="str">
        <f t="shared" si="170"/>
        <v/>
      </c>
    </row>
    <row r="5406" spans="1:10">
      <c r="A5406" s="1">
        <v>41074</v>
      </c>
      <c r="B5406">
        <v>74.790000000000006</v>
      </c>
      <c r="C5406">
        <v>76</v>
      </c>
      <c r="D5406">
        <v>74.7</v>
      </c>
      <c r="E5406">
        <v>75.739999999999995</v>
      </c>
      <c r="F5406">
        <v>13945400</v>
      </c>
      <c r="G5406">
        <v>36.31</v>
      </c>
      <c r="H5406" t="s">
        <v>10</v>
      </c>
      <c r="I5406" s="22">
        <f t="shared" si="169"/>
        <v>1.3866001415903103E-2</v>
      </c>
      <c r="J5406" s="22" t="str">
        <f t="shared" si="170"/>
        <v/>
      </c>
    </row>
    <row r="5407" spans="1:10">
      <c r="A5407" s="1">
        <v>41075</v>
      </c>
      <c r="B5407">
        <v>76.12</v>
      </c>
      <c r="C5407">
        <v>76.2</v>
      </c>
      <c r="D5407">
        <v>75.42</v>
      </c>
      <c r="E5407">
        <v>76.09</v>
      </c>
      <c r="F5407">
        <v>19748800</v>
      </c>
      <c r="G5407">
        <v>36.479999999999997</v>
      </c>
      <c r="H5407" t="s">
        <v>10</v>
      </c>
      <c r="I5407" s="22">
        <f t="shared" si="169"/>
        <v>4.6709797798860893E-3</v>
      </c>
      <c r="J5407" s="22" t="str">
        <f t="shared" si="170"/>
        <v>lost money</v>
      </c>
    </row>
    <row r="5408" spans="1:10">
      <c r="A5408" s="1">
        <v>41078</v>
      </c>
      <c r="B5408">
        <v>75.959999999999994</v>
      </c>
      <c r="C5408">
        <v>76.42</v>
      </c>
      <c r="D5408">
        <v>75.77</v>
      </c>
      <c r="E5408">
        <v>75.98</v>
      </c>
      <c r="F5408">
        <v>10457200</v>
      </c>
      <c r="G5408">
        <v>36.43</v>
      </c>
      <c r="H5408" t="s">
        <v>10</v>
      </c>
      <c r="I5408" s="22">
        <f t="shared" si="169"/>
        <v>-1.3715541856581396E-3</v>
      </c>
      <c r="J5408" s="22" t="str">
        <f t="shared" si="170"/>
        <v/>
      </c>
    </row>
    <row r="5409" spans="1:10">
      <c r="A5409" s="1">
        <v>41079</v>
      </c>
      <c r="B5409">
        <v>76.25</v>
      </c>
      <c r="C5409">
        <v>76.25</v>
      </c>
      <c r="D5409">
        <v>75.66</v>
      </c>
      <c r="E5409">
        <v>75.739999999999995</v>
      </c>
      <c r="F5409">
        <v>11115400</v>
      </c>
      <c r="G5409">
        <v>36.31</v>
      </c>
      <c r="H5409" t="s">
        <v>10</v>
      </c>
      <c r="I5409" s="22">
        <f t="shared" si="169"/>
        <v>-3.2994255942278916E-3</v>
      </c>
      <c r="J5409" s="22" t="str">
        <f t="shared" si="170"/>
        <v>lost money</v>
      </c>
    </row>
    <row r="5410" spans="1:10">
      <c r="A5410" s="1">
        <v>41080</v>
      </c>
      <c r="B5410">
        <v>75.69</v>
      </c>
      <c r="C5410">
        <v>75.739999999999995</v>
      </c>
      <c r="D5410">
        <v>74.84</v>
      </c>
      <c r="E5410">
        <v>75.56</v>
      </c>
      <c r="F5410">
        <v>14706800</v>
      </c>
      <c r="G5410">
        <v>36.229999999999997</v>
      </c>
      <c r="H5410" t="s">
        <v>10</v>
      </c>
      <c r="I5410" s="22">
        <f t="shared" si="169"/>
        <v>-2.2056805192586602E-3</v>
      </c>
      <c r="J5410" s="22" t="str">
        <f t="shared" si="170"/>
        <v>lost money</v>
      </c>
    </row>
    <row r="5411" spans="1:10">
      <c r="A5411" s="1">
        <v>41081</v>
      </c>
      <c r="B5411">
        <v>75.790000000000006</v>
      </c>
      <c r="C5411">
        <v>75.989999999999995</v>
      </c>
      <c r="D5411">
        <v>74.62</v>
      </c>
      <c r="E5411">
        <v>74.67</v>
      </c>
      <c r="F5411">
        <v>12804000</v>
      </c>
      <c r="G5411">
        <v>35.799999999999997</v>
      </c>
      <c r="H5411" t="s">
        <v>10</v>
      </c>
      <c r="I5411" s="22">
        <f t="shared" si="169"/>
        <v>-1.1939611500331234E-2</v>
      </c>
      <c r="J5411" s="22" t="str">
        <f t="shared" si="170"/>
        <v>lost money</v>
      </c>
    </row>
    <row r="5412" spans="1:10">
      <c r="A5412" s="1">
        <v>41082</v>
      </c>
      <c r="B5412">
        <v>74.95</v>
      </c>
      <c r="C5412">
        <v>75.3</v>
      </c>
      <c r="D5412">
        <v>74.86</v>
      </c>
      <c r="E5412">
        <v>74.94</v>
      </c>
      <c r="F5412">
        <v>15252800</v>
      </c>
      <c r="G5412">
        <v>35.93</v>
      </c>
      <c r="H5412" t="s">
        <v>10</v>
      </c>
      <c r="I5412" s="22">
        <f t="shared" si="169"/>
        <v>3.6247077187728611E-3</v>
      </c>
      <c r="J5412" s="22" t="str">
        <f t="shared" si="170"/>
        <v>lost money</v>
      </c>
    </row>
    <row r="5413" spans="1:10">
      <c r="A5413" s="1">
        <v>41085</v>
      </c>
      <c r="B5413">
        <v>74.459999999999994</v>
      </c>
      <c r="C5413">
        <v>74.84</v>
      </c>
      <c r="D5413">
        <v>74.17</v>
      </c>
      <c r="E5413">
        <v>74.77</v>
      </c>
      <c r="F5413">
        <v>9734200</v>
      </c>
      <c r="G5413">
        <v>35.85</v>
      </c>
      <c r="H5413" t="s">
        <v>10</v>
      </c>
      <c r="I5413" s="22">
        <f t="shared" si="169"/>
        <v>-2.2290340797979928E-3</v>
      </c>
      <c r="J5413" s="22" t="str">
        <f t="shared" si="170"/>
        <v/>
      </c>
    </row>
    <row r="5414" spans="1:10">
      <c r="A5414" s="1">
        <v>41086</v>
      </c>
      <c r="B5414">
        <v>74.989999999999995</v>
      </c>
      <c r="C5414">
        <v>75.36</v>
      </c>
      <c r="D5414">
        <v>74.2</v>
      </c>
      <c r="E5414">
        <v>75.08</v>
      </c>
      <c r="F5414">
        <v>11859400</v>
      </c>
      <c r="G5414">
        <v>36</v>
      </c>
      <c r="H5414" t="s">
        <v>10</v>
      </c>
      <c r="I5414" s="22">
        <f t="shared" si="169"/>
        <v>4.175371410480592E-3</v>
      </c>
      <c r="J5414" s="22" t="str">
        <f t="shared" si="170"/>
        <v/>
      </c>
    </row>
    <row r="5415" spans="1:10">
      <c r="A5415" s="1">
        <v>41087</v>
      </c>
      <c r="B5415">
        <v>75.239999999999995</v>
      </c>
      <c r="C5415">
        <v>76.48</v>
      </c>
      <c r="D5415">
        <v>75.239999999999995</v>
      </c>
      <c r="E5415">
        <v>76.34</v>
      </c>
      <c r="F5415">
        <v>13644400</v>
      </c>
      <c r="G5415">
        <v>36.6</v>
      </c>
      <c r="H5415" t="s">
        <v>10</v>
      </c>
      <c r="I5415" s="22">
        <f t="shared" si="169"/>
        <v>1.6529301951210506E-2</v>
      </c>
      <c r="J5415" s="22" t="str">
        <f t="shared" si="170"/>
        <v/>
      </c>
    </row>
    <row r="5416" spans="1:10">
      <c r="A5416" s="1">
        <v>41088</v>
      </c>
      <c r="B5416">
        <v>76.099999999999994</v>
      </c>
      <c r="C5416">
        <v>76.67</v>
      </c>
      <c r="D5416">
        <v>75.69</v>
      </c>
      <c r="E5416">
        <v>76.569999999999993</v>
      </c>
      <c r="F5416">
        <v>10891200</v>
      </c>
      <c r="G5416">
        <v>36.71</v>
      </c>
      <c r="H5416" t="s">
        <v>10</v>
      </c>
      <c r="I5416" s="22">
        <f t="shared" si="169"/>
        <v>3.0009571014223959E-3</v>
      </c>
      <c r="J5416" s="22" t="str">
        <f t="shared" si="170"/>
        <v/>
      </c>
    </row>
    <row r="5417" spans="1:10">
      <c r="A5417" s="1">
        <v>41089</v>
      </c>
      <c r="B5417">
        <v>77.13</v>
      </c>
      <c r="C5417">
        <v>78.19</v>
      </c>
      <c r="D5417">
        <v>77.08</v>
      </c>
      <c r="E5417">
        <v>78.19</v>
      </c>
      <c r="F5417">
        <v>18519800</v>
      </c>
      <c r="G5417">
        <v>37.49</v>
      </c>
      <c r="H5417" t="s">
        <v>10</v>
      </c>
      <c r="I5417" s="22">
        <f t="shared" si="169"/>
        <v>2.1025033239077683E-2</v>
      </c>
      <c r="J5417" s="22" t="str">
        <f t="shared" si="170"/>
        <v/>
      </c>
    </row>
    <row r="5418" spans="1:10">
      <c r="A5418" s="1">
        <v>41092</v>
      </c>
      <c r="B5418">
        <v>78.099999999999994</v>
      </c>
      <c r="C5418">
        <v>79</v>
      </c>
      <c r="D5418">
        <v>78.010000000000005</v>
      </c>
      <c r="E5418">
        <v>78.92</v>
      </c>
      <c r="F5418">
        <v>13350200</v>
      </c>
      <c r="G5418">
        <v>37.840000000000003</v>
      </c>
      <c r="H5418" t="s">
        <v>10</v>
      </c>
      <c r="I5418" s="22">
        <f t="shared" si="169"/>
        <v>9.2925134358568182E-3</v>
      </c>
      <c r="J5418" s="22" t="str">
        <f t="shared" si="170"/>
        <v/>
      </c>
    </row>
    <row r="5419" spans="1:10">
      <c r="A5419" s="1">
        <v>41093</v>
      </c>
      <c r="B5419">
        <v>78.89</v>
      </c>
      <c r="C5419">
        <v>79.36</v>
      </c>
      <c r="D5419">
        <v>78.709999999999994</v>
      </c>
      <c r="E5419">
        <v>79.16</v>
      </c>
      <c r="F5419">
        <v>7335000</v>
      </c>
      <c r="G5419">
        <v>37.950000000000003</v>
      </c>
      <c r="H5419" t="s">
        <v>10</v>
      </c>
      <c r="I5419" s="22">
        <f t="shared" si="169"/>
        <v>2.9027596579614102E-3</v>
      </c>
      <c r="J5419" s="22" t="str">
        <f t="shared" si="170"/>
        <v/>
      </c>
    </row>
    <row r="5420" spans="1:10">
      <c r="A5420" s="1">
        <v>41095</v>
      </c>
      <c r="B5420">
        <v>79.02</v>
      </c>
      <c r="C5420">
        <v>79.14</v>
      </c>
      <c r="D5420">
        <v>78.2</v>
      </c>
      <c r="E5420">
        <v>78.45</v>
      </c>
      <c r="F5420">
        <v>10546400</v>
      </c>
      <c r="G5420">
        <v>37.61</v>
      </c>
      <c r="H5420" t="s">
        <v>10</v>
      </c>
      <c r="I5420" s="22">
        <f t="shared" si="169"/>
        <v>-8.9995313593940075E-3</v>
      </c>
      <c r="J5420" s="22" t="str">
        <f t="shared" si="170"/>
        <v>lost money</v>
      </c>
    </row>
    <row r="5421" spans="1:10">
      <c r="A5421" s="1">
        <v>41096</v>
      </c>
      <c r="B5421">
        <v>78.02</v>
      </c>
      <c r="C5421">
        <v>78.290000000000006</v>
      </c>
      <c r="D5421">
        <v>77.84</v>
      </c>
      <c r="E5421">
        <v>78.150000000000006</v>
      </c>
      <c r="F5421">
        <v>10036000</v>
      </c>
      <c r="G5421">
        <v>37.47</v>
      </c>
      <c r="H5421" t="s">
        <v>10</v>
      </c>
      <c r="I5421" s="22">
        <f t="shared" si="169"/>
        <v>-3.7293596766490361E-3</v>
      </c>
      <c r="J5421" s="22" t="str">
        <f t="shared" si="170"/>
        <v/>
      </c>
    </row>
    <row r="5422" spans="1:10">
      <c r="A5422" s="1">
        <v>41099</v>
      </c>
      <c r="B5422">
        <v>78.06</v>
      </c>
      <c r="C5422">
        <v>78.209999999999994</v>
      </c>
      <c r="D5422">
        <v>77.709999999999994</v>
      </c>
      <c r="E5422">
        <v>77.98</v>
      </c>
      <c r="F5422">
        <v>8615600</v>
      </c>
      <c r="G5422">
        <v>37.39</v>
      </c>
      <c r="H5422" t="s">
        <v>10</v>
      </c>
      <c r="I5422" s="22">
        <f t="shared" si="169"/>
        <v>-2.137323816573567E-3</v>
      </c>
      <c r="J5422" s="22" t="str">
        <f t="shared" si="170"/>
        <v>lost money</v>
      </c>
    </row>
    <row r="5423" spans="1:10">
      <c r="A5423" s="1">
        <v>41100</v>
      </c>
      <c r="B5423">
        <v>78.53</v>
      </c>
      <c r="C5423">
        <v>78.540000000000006</v>
      </c>
      <c r="D5423">
        <v>77.819999999999993</v>
      </c>
      <c r="E5423">
        <v>77.98</v>
      </c>
      <c r="F5423">
        <v>11583400</v>
      </c>
      <c r="G5423">
        <v>37.39</v>
      </c>
      <c r="H5423" t="s">
        <v>10</v>
      </c>
      <c r="I5423" s="22">
        <f t="shared" si="169"/>
        <v>0</v>
      </c>
      <c r="J5423" s="22" t="str">
        <f t="shared" si="170"/>
        <v>lost money</v>
      </c>
    </row>
    <row r="5424" spans="1:10">
      <c r="A5424" s="1">
        <v>41101</v>
      </c>
      <c r="B5424">
        <v>77.900000000000006</v>
      </c>
      <c r="C5424">
        <v>77.95</v>
      </c>
      <c r="D5424">
        <v>77.150000000000006</v>
      </c>
      <c r="E5424">
        <v>77.459999999999994</v>
      </c>
      <c r="F5424">
        <v>13645600</v>
      </c>
      <c r="G5424">
        <v>37.14</v>
      </c>
      <c r="H5424" t="s">
        <v>10</v>
      </c>
      <c r="I5424" s="22">
        <f t="shared" si="169"/>
        <v>-6.7087330644625782E-3</v>
      </c>
      <c r="J5424" s="22" t="str">
        <f t="shared" si="170"/>
        <v>lost money</v>
      </c>
    </row>
    <row r="5425" spans="1:10">
      <c r="A5425" s="1">
        <v>41102</v>
      </c>
      <c r="B5425">
        <v>77.03</v>
      </c>
      <c r="C5425">
        <v>77.27</v>
      </c>
      <c r="D5425">
        <v>76.52</v>
      </c>
      <c r="E5425">
        <v>76.64</v>
      </c>
      <c r="F5425">
        <v>19104000</v>
      </c>
      <c r="G5425">
        <v>36.75</v>
      </c>
      <c r="H5425" t="s">
        <v>10</v>
      </c>
      <c r="I5425" s="22">
        <f t="shared" si="169"/>
        <v>-1.0556330265714023E-2</v>
      </c>
      <c r="J5425" s="22" t="str">
        <f t="shared" si="170"/>
        <v>lost money</v>
      </c>
    </row>
    <row r="5426" spans="1:10">
      <c r="A5426" s="1">
        <v>41103</v>
      </c>
      <c r="B5426">
        <v>76.63</v>
      </c>
      <c r="C5426">
        <v>77.59</v>
      </c>
      <c r="D5426">
        <v>76.34</v>
      </c>
      <c r="E5426">
        <v>77.28</v>
      </c>
      <c r="F5426">
        <v>13307400</v>
      </c>
      <c r="G5426">
        <v>37.049999999999997</v>
      </c>
      <c r="H5426" t="s">
        <v>10</v>
      </c>
      <c r="I5426" s="22">
        <f t="shared" si="169"/>
        <v>8.1301260832500888E-3</v>
      </c>
      <c r="J5426" s="22" t="str">
        <f t="shared" si="170"/>
        <v/>
      </c>
    </row>
    <row r="5427" spans="1:10">
      <c r="A5427" s="1">
        <v>41106</v>
      </c>
      <c r="B5427">
        <v>77.099999999999994</v>
      </c>
      <c r="C5427">
        <v>77.400000000000006</v>
      </c>
      <c r="D5427">
        <v>76.2</v>
      </c>
      <c r="E5427">
        <v>76.48</v>
      </c>
      <c r="F5427">
        <v>17575600</v>
      </c>
      <c r="G5427">
        <v>36.67</v>
      </c>
      <c r="H5427" t="s">
        <v>10</v>
      </c>
      <c r="I5427" s="22">
        <f t="shared" si="169"/>
        <v>-1.0309369658861102E-2</v>
      </c>
      <c r="J5427" s="22" t="str">
        <f t="shared" si="170"/>
        <v>lost money</v>
      </c>
    </row>
    <row r="5428" spans="1:10">
      <c r="A5428" s="1">
        <v>41107</v>
      </c>
      <c r="B5428">
        <v>78.06</v>
      </c>
      <c r="C5428">
        <v>78.66</v>
      </c>
      <c r="D5428">
        <v>76.760000000000005</v>
      </c>
      <c r="E5428">
        <v>77.69</v>
      </c>
      <c r="F5428">
        <v>21209600</v>
      </c>
      <c r="G5428">
        <v>37.25</v>
      </c>
      <c r="H5428" t="s">
        <v>10</v>
      </c>
      <c r="I5428" s="22">
        <f t="shared" si="169"/>
        <v>1.5692962742333852E-2</v>
      </c>
      <c r="J5428" s="22" t="str">
        <f t="shared" si="170"/>
        <v>lost money</v>
      </c>
    </row>
    <row r="5429" spans="1:10">
      <c r="A5429" s="1">
        <v>41108</v>
      </c>
      <c r="B5429">
        <v>77.64</v>
      </c>
      <c r="C5429">
        <v>77.680000000000007</v>
      </c>
      <c r="D5429">
        <v>76.819999999999993</v>
      </c>
      <c r="E5429">
        <v>77.44</v>
      </c>
      <c r="F5429">
        <v>13852000</v>
      </c>
      <c r="G5429">
        <v>37.130000000000003</v>
      </c>
      <c r="H5429" t="s">
        <v>10</v>
      </c>
      <c r="I5429" s="22">
        <f t="shared" si="169"/>
        <v>-3.2266766365797958E-3</v>
      </c>
      <c r="J5429" s="22" t="str">
        <f t="shared" si="170"/>
        <v>lost money</v>
      </c>
    </row>
    <row r="5430" spans="1:10">
      <c r="A5430" s="1">
        <v>41109</v>
      </c>
      <c r="B5430">
        <v>77.52</v>
      </c>
      <c r="C5430">
        <v>77.599999999999994</v>
      </c>
      <c r="D5430">
        <v>76.5</v>
      </c>
      <c r="E5430">
        <v>77.55</v>
      </c>
      <c r="F5430">
        <v>18050400</v>
      </c>
      <c r="G5430">
        <v>37.18</v>
      </c>
      <c r="H5430" t="s">
        <v>10</v>
      </c>
      <c r="I5430" s="22">
        <f t="shared" si="169"/>
        <v>1.3457141043092423E-3</v>
      </c>
      <c r="J5430" s="22" t="str">
        <f t="shared" si="170"/>
        <v/>
      </c>
    </row>
    <row r="5431" spans="1:10">
      <c r="A5431" s="1">
        <v>41110</v>
      </c>
      <c r="B5431">
        <v>77.27</v>
      </c>
      <c r="C5431">
        <v>77.349999999999994</v>
      </c>
      <c r="D5431">
        <v>76.790000000000006</v>
      </c>
      <c r="E5431">
        <v>77.03</v>
      </c>
      <c r="F5431">
        <v>16436000</v>
      </c>
      <c r="G5431">
        <v>36.93</v>
      </c>
      <c r="H5431" t="s">
        <v>10</v>
      </c>
      <c r="I5431" s="22">
        <f t="shared" si="169"/>
        <v>-6.7467534288261485E-3</v>
      </c>
      <c r="J5431" s="22" t="str">
        <f t="shared" si="170"/>
        <v>lost money</v>
      </c>
    </row>
    <row r="5432" spans="1:10">
      <c r="A5432" s="1">
        <v>41113</v>
      </c>
      <c r="B5432">
        <v>76.55</v>
      </c>
      <c r="C5432">
        <v>77</v>
      </c>
      <c r="D5432">
        <v>76.37</v>
      </c>
      <c r="E5432">
        <v>76.88</v>
      </c>
      <c r="F5432">
        <v>10655800</v>
      </c>
      <c r="G5432">
        <v>36.86</v>
      </c>
      <c r="H5432" t="s">
        <v>10</v>
      </c>
      <c r="I5432" s="22">
        <f t="shared" si="169"/>
        <v>-1.8972766227946265E-3</v>
      </c>
      <c r="J5432" s="22" t="str">
        <f t="shared" si="170"/>
        <v/>
      </c>
    </row>
    <row r="5433" spans="1:10">
      <c r="A5433" s="1">
        <v>41114</v>
      </c>
      <c r="B5433">
        <v>76.900000000000006</v>
      </c>
      <c r="C5433">
        <v>76.95</v>
      </c>
      <c r="D5433">
        <v>76.099999999999994</v>
      </c>
      <c r="E5433">
        <v>76.66</v>
      </c>
      <c r="F5433">
        <v>10445800</v>
      </c>
      <c r="G5433">
        <v>36.76</v>
      </c>
      <c r="H5433" t="s">
        <v>10</v>
      </c>
      <c r="I5433" s="22">
        <f t="shared" si="169"/>
        <v>-2.7166547541910132E-3</v>
      </c>
      <c r="J5433" s="22" t="str">
        <f t="shared" si="170"/>
        <v>lost money</v>
      </c>
    </row>
    <row r="5434" spans="1:10">
      <c r="A5434" s="1">
        <v>41115</v>
      </c>
      <c r="B5434">
        <v>76.95</v>
      </c>
      <c r="C5434">
        <v>77.22</v>
      </c>
      <c r="D5434">
        <v>76.73</v>
      </c>
      <c r="E5434">
        <v>77.02</v>
      </c>
      <c r="F5434">
        <v>9020400</v>
      </c>
      <c r="G5434">
        <v>36.93</v>
      </c>
      <c r="H5434" t="s">
        <v>10</v>
      </c>
      <c r="I5434" s="22">
        <f t="shared" si="169"/>
        <v>4.6139313769856484E-3</v>
      </c>
      <c r="J5434" s="22" t="str">
        <f t="shared" si="170"/>
        <v/>
      </c>
    </row>
    <row r="5435" spans="1:10">
      <c r="A5435" s="1">
        <v>41116</v>
      </c>
      <c r="B5435">
        <v>77.7</v>
      </c>
      <c r="C5435">
        <v>78.91</v>
      </c>
      <c r="D5435">
        <v>77.7</v>
      </c>
      <c r="E5435">
        <v>78.849999999999994</v>
      </c>
      <c r="F5435">
        <v>14144600</v>
      </c>
      <c r="G5435">
        <v>37.81</v>
      </c>
      <c r="H5435" t="s">
        <v>10</v>
      </c>
      <c r="I5435" s="22">
        <f t="shared" si="169"/>
        <v>2.3549389038369759E-2</v>
      </c>
      <c r="J5435" s="22" t="str">
        <f t="shared" si="170"/>
        <v/>
      </c>
    </row>
    <row r="5436" spans="1:10">
      <c r="A5436" s="1">
        <v>41117</v>
      </c>
      <c r="B5436">
        <v>79.05</v>
      </c>
      <c r="C5436">
        <v>80.239999999999995</v>
      </c>
      <c r="D5436">
        <v>78.900000000000006</v>
      </c>
      <c r="E5436">
        <v>80.010000000000005</v>
      </c>
      <c r="F5436">
        <v>17825000</v>
      </c>
      <c r="G5436">
        <v>38.36</v>
      </c>
      <c r="H5436" t="s">
        <v>10</v>
      </c>
      <c r="I5436" s="22">
        <f t="shared" si="169"/>
        <v>1.4441632112395903E-2</v>
      </c>
      <c r="J5436" s="22" t="str">
        <f t="shared" si="170"/>
        <v/>
      </c>
    </row>
    <row r="5437" spans="1:10">
      <c r="A5437" s="1">
        <v>41120</v>
      </c>
      <c r="B5437">
        <v>79.77</v>
      </c>
      <c r="C5437">
        <v>81.17</v>
      </c>
      <c r="D5437">
        <v>79.569999999999993</v>
      </c>
      <c r="E5437">
        <v>81.12</v>
      </c>
      <c r="F5437">
        <v>15947800</v>
      </c>
      <c r="G5437">
        <v>38.89</v>
      </c>
      <c r="H5437" t="s">
        <v>10</v>
      </c>
      <c r="I5437" s="22">
        <f t="shared" si="169"/>
        <v>1.3721898152418458E-2</v>
      </c>
      <c r="J5437" s="22" t="str">
        <f t="shared" si="170"/>
        <v/>
      </c>
    </row>
    <row r="5438" spans="1:10">
      <c r="A5438" s="1">
        <v>41121</v>
      </c>
      <c r="B5438">
        <v>80.7</v>
      </c>
      <c r="C5438">
        <v>81.33</v>
      </c>
      <c r="D5438">
        <v>80.39</v>
      </c>
      <c r="E5438">
        <v>80.8</v>
      </c>
      <c r="F5438">
        <v>16333600</v>
      </c>
      <c r="G5438">
        <v>38.74</v>
      </c>
      <c r="H5438" t="s">
        <v>10</v>
      </c>
      <c r="I5438" s="22">
        <f t="shared" si="169"/>
        <v>-3.8644901888060129E-3</v>
      </c>
      <c r="J5438" s="22" t="str">
        <f t="shared" si="170"/>
        <v/>
      </c>
    </row>
    <row r="5439" spans="1:10">
      <c r="A5439" s="1">
        <v>41122</v>
      </c>
      <c r="B5439">
        <v>80.97</v>
      </c>
      <c r="C5439">
        <v>81.25</v>
      </c>
      <c r="D5439">
        <v>80.59</v>
      </c>
      <c r="E5439">
        <v>81.010000000000005</v>
      </c>
      <c r="F5439">
        <v>12954600</v>
      </c>
      <c r="G5439">
        <v>38.840000000000003</v>
      </c>
      <c r="H5439" t="s">
        <v>10</v>
      </c>
      <c r="I5439" s="22">
        <f t="shared" si="169"/>
        <v>2.5779854442742971E-3</v>
      </c>
      <c r="J5439" s="22" t="str">
        <f t="shared" si="170"/>
        <v/>
      </c>
    </row>
    <row r="5440" spans="1:10">
      <c r="A5440" s="1">
        <v>41123</v>
      </c>
      <c r="B5440">
        <v>80.73</v>
      </c>
      <c r="C5440">
        <v>81</v>
      </c>
      <c r="D5440">
        <v>79.52</v>
      </c>
      <c r="E5440">
        <v>79.75</v>
      </c>
      <c r="F5440">
        <v>13393200</v>
      </c>
      <c r="G5440">
        <v>38.24</v>
      </c>
      <c r="H5440" t="s">
        <v>10</v>
      </c>
      <c r="I5440" s="22">
        <f t="shared" si="169"/>
        <v>-1.5568555239923711E-2</v>
      </c>
      <c r="J5440" s="22" t="str">
        <f t="shared" si="170"/>
        <v>lost money</v>
      </c>
    </row>
    <row r="5441" spans="1:10">
      <c r="A5441" s="1">
        <v>41124</v>
      </c>
      <c r="B5441">
        <v>80.19</v>
      </c>
      <c r="C5441">
        <v>80.989999999999995</v>
      </c>
      <c r="D5441">
        <v>80.010000000000005</v>
      </c>
      <c r="E5441">
        <v>80.83</v>
      </c>
      <c r="F5441">
        <v>11834200</v>
      </c>
      <c r="G5441">
        <v>38.76</v>
      </c>
      <c r="H5441" t="s">
        <v>10</v>
      </c>
      <c r="I5441" s="22">
        <f t="shared" si="169"/>
        <v>1.3506698839364803E-2</v>
      </c>
      <c r="J5441" s="22" t="str">
        <f t="shared" si="170"/>
        <v/>
      </c>
    </row>
    <row r="5442" spans="1:10">
      <c r="A5442" s="1">
        <v>41127</v>
      </c>
      <c r="B5442">
        <v>81.010000000000005</v>
      </c>
      <c r="C5442">
        <v>81.25</v>
      </c>
      <c r="D5442">
        <v>80.62</v>
      </c>
      <c r="E5442">
        <v>80.64</v>
      </c>
      <c r="F5442">
        <v>9179400</v>
      </c>
      <c r="G5442">
        <v>38.659999999999997</v>
      </c>
      <c r="H5442" t="s">
        <v>10</v>
      </c>
      <c r="I5442" s="22">
        <f t="shared" si="169"/>
        <v>-2.5833132423807108E-3</v>
      </c>
      <c r="J5442" s="22" t="str">
        <f t="shared" si="170"/>
        <v>lost money</v>
      </c>
    </row>
    <row r="5443" spans="1:10">
      <c r="A5443" s="1">
        <v>41128</v>
      </c>
      <c r="B5443">
        <v>80.84</v>
      </c>
      <c r="C5443">
        <v>80.98</v>
      </c>
      <c r="D5443">
        <v>79.75</v>
      </c>
      <c r="E5443">
        <v>79.77</v>
      </c>
      <c r="F5443">
        <v>12782800</v>
      </c>
      <c r="G5443">
        <v>38.25</v>
      </c>
      <c r="H5443" t="s">
        <v>10</v>
      </c>
      <c r="I5443" s="22">
        <f t="shared" ref="I5443:I5506" si="171">IF(A5443=$A$2,"",LN(G5443/G5442))</f>
        <v>-1.0661913507639851E-2</v>
      </c>
      <c r="J5443" s="22" t="str">
        <f t="shared" ref="J5443:J5506" si="172">IF(B5443&gt;E5443,"lost money","")</f>
        <v>lost money</v>
      </c>
    </row>
    <row r="5444" spans="1:10">
      <c r="A5444" s="1">
        <v>41129</v>
      </c>
      <c r="B5444">
        <v>79.709999999999994</v>
      </c>
      <c r="C5444">
        <v>80</v>
      </c>
      <c r="D5444">
        <v>79.36</v>
      </c>
      <c r="E5444">
        <v>79.56</v>
      </c>
      <c r="F5444">
        <v>8790200</v>
      </c>
      <c r="G5444">
        <v>38.15</v>
      </c>
      <c r="H5444" t="s">
        <v>10</v>
      </c>
      <c r="I5444" s="22">
        <f t="shared" si="171"/>
        <v>-2.617802542078823E-3</v>
      </c>
      <c r="J5444" s="22" t="str">
        <f t="shared" si="172"/>
        <v>lost money</v>
      </c>
    </row>
    <row r="5445" spans="1:10">
      <c r="A5445" s="1">
        <v>41130</v>
      </c>
      <c r="B5445">
        <v>79.47</v>
      </c>
      <c r="C5445">
        <v>79.78</v>
      </c>
      <c r="D5445">
        <v>78.83</v>
      </c>
      <c r="E5445">
        <v>79.239999999999995</v>
      </c>
      <c r="F5445">
        <v>9583400</v>
      </c>
      <c r="G5445">
        <v>37.99</v>
      </c>
      <c r="H5445" t="s">
        <v>10</v>
      </c>
      <c r="I5445" s="22">
        <f t="shared" si="171"/>
        <v>-4.2027905309317297E-3</v>
      </c>
      <c r="J5445" s="22" t="str">
        <f t="shared" si="172"/>
        <v>lost money</v>
      </c>
    </row>
    <row r="5446" spans="1:10">
      <c r="A5446" s="1">
        <v>41131</v>
      </c>
      <c r="B5446">
        <v>79.16</v>
      </c>
      <c r="C5446">
        <v>79.209999999999994</v>
      </c>
      <c r="D5446">
        <v>78.61</v>
      </c>
      <c r="E5446">
        <v>78.790000000000006</v>
      </c>
      <c r="F5446">
        <v>40577600</v>
      </c>
      <c r="G5446">
        <v>37.78</v>
      </c>
      <c r="H5446" t="s">
        <v>10</v>
      </c>
      <c r="I5446" s="22">
        <f t="shared" si="171"/>
        <v>-5.5431051261707574E-3</v>
      </c>
      <c r="J5446" s="22" t="str">
        <f t="shared" si="172"/>
        <v>lost money</v>
      </c>
    </row>
    <row r="5447" spans="1:10">
      <c r="A5447" s="1">
        <v>41134</v>
      </c>
      <c r="B5447">
        <v>39.31</v>
      </c>
      <c r="C5447">
        <v>39.39</v>
      </c>
      <c r="D5447">
        <v>39.049999999999997</v>
      </c>
      <c r="E5447">
        <v>39.299999999999997</v>
      </c>
      <c r="F5447">
        <v>8898200</v>
      </c>
      <c r="G5447">
        <v>37.69</v>
      </c>
      <c r="H5447" t="s">
        <v>10</v>
      </c>
      <c r="I5447" s="22">
        <f t="shared" si="171"/>
        <v>-2.3850547943195678E-3</v>
      </c>
      <c r="J5447" s="22" t="str">
        <f t="shared" si="172"/>
        <v>lost money</v>
      </c>
    </row>
    <row r="5448" spans="1:10">
      <c r="A5448" s="1">
        <v>41135</v>
      </c>
      <c r="B5448">
        <v>39.6</v>
      </c>
      <c r="C5448">
        <v>39.67</v>
      </c>
      <c r="D5448">
        <v>39.25</v>
      </c>
      <c r="E5448">
        <v>39.380000000000003</v>
      </c>
      <c r="F5448">
        <v>10841200</v>
      </c>
      <c r="G5448">
        <v>37.76</v>
      </c>
      <c r="H5448" t="s">
        <v>10</v>
      </c>
      <c r="I5448" s="22">
        <f t="shared" si="171"/>
        <v>1.8555339982558286E-3</v>
      </c>
      <c r="J5448" s="22" t="str">
        <f t="shared" si="172"/>
        <v>lost money</v>
      </c>
    </row>
    <row r="5449" spans="1:10">
      <c r="A5449" s="1">
        <v>41136</v>
      </c>
      <c r="B5449">
        <v>39.42</v>
      </c>
      <c r="C5449">
        <v>39.549999999999997</v>
      </c>
      <c r="D5449">
        <v>39.229999999999997</v>
      </c>
      <c r="E5449">
        <v>39.35</v>
      </c>
      <c r="F5449">
        <v>7692500</v>
      </c>
      <c r="G5449">
        <v>37.729999999999997</v>
      </c>
      <c r="H5449" t="s">
        <v>10</v>
      </c>
      <c r="I5449" s="22">
        <f t="shared" si="171"/>
        <v>-7.9480730108088724E-4</v>
      </c>
      <c r="J5449" s="22" t="str">
        <f t="shared" si="172"/>
        <v>lost money</v>
      </c>
    </row>
    <row r="5450" spans="1:10">
      <c r="A5450" s="1">
        <v>41137</v>
      </c>
      <c r="B5450">
        <v>39.4</v>
      </c>
      <c r="C5450">
        <v>39.630000000000003</v>
      </c>
      <c r="D5450">
        <v>39.31</v>
      </c>
      <c r="E5450">
        <v>39.549999999999997</v>
      </c>
      <c r="F5450">
        <v>8824100</v>
      </c>
      <c r="G5450">
        <v>37.93</v>
      </c>
      <c r="H5450" t="s">
        <v>10</v>
      </c>
      <c r="I5450" s="22">
        <f t="shared" si="171"/>
        <v>5.2868217245884749E-3</v>
      </c>
      <c r="J5450" s="22" t="str">
        <f t="shared" si="172"/>
        <v/>
      </c>
    </row>
    <row r="5451" spans="1:10">
      <c r="A5451" s="1">
        <v>41138</v>
      </c>
      <c r="B5451">
        <v>39.659999999999997</v>
      </c>
      <c r="C5451">
        <v>39.729999999999997</v>
      </c>
      <c r="D5451">
        <v>39.270000000000003</v>
      </c>
      <c r="E5451">
        <v>39.53</v>
      </c>
      <c r="F5451">
        <v>10541000</v>
      </c>
      <c r="G5451">
        <v>37.909999999999997</v>
      </c>
      <c r="H5451" t="s">
        <v>10</v>
      </c>
      <c r="I5451" s="22">
        <f t="shared" si="171"/>
        <v>-5.274261725642281E-4</v>
      </c>
      <c r="J5451" s="22" t="str">
        <f t="shared" si="172"/>
        <v>lost money</v>
      </c>
    </row>
    <row r="5452" spans="1:10">
      <c r="A5452" s="1">
        <v>41141</v>
      </c>
      <c r="B5452">
        <v>39.54</v>
      </c>
      <c r="C5452">
        <v>39.590000000000003</v>
      </c>
      <c r="D5452">
        <v>39.26</v>
      </c>
      <c r="E5452">
        <v>39.47</v>
      </c>
      <c r="F5452">
        <v>9211800</v>
      </c>
      <c r="G5452">
        <v>37.85</v>
      </c>
      <c r="H5452" t="s">
        <v>10</v>
      </c>
      <c r="I5452" s="22">
        <f t="shared" si="171"/>
        <v>-1.5839496447855553E-3</v>
      </c>
      <c r="J5452" s="22" t="str">
        <f t="shared" si="172"/>
        <v>lost money</v>
      </c>
    </row>
    <row r="5453" spans="1:10">
      <c r="A5453" s="1">
        <v>41142</v>
      </c>
      <c r="B5453">
        <v>39.409999999999997</v>
      </c>
      <c r="C5453">
        <v>39.69</v>
      </c>
      <c r="D5453">
        <v>39.229999999999997</v>
      </c>
      <c r="E5453">
        <v>39.26</v>
      </c>
      <c r="F5453">
        <v>8329000</v>
      </c>
      <c r="G5453">
        <v>37.65</v>
      </c>
      <c r="H5453" t="s">
        <v>10</v>
      </c>
      <c r="I5453" s="22">
        <f t="shared" si="171"/>
        <v>-5.2980256375552729E-3</v>
      </c>
      <c r="J5453" s="22" t="str">
        <f t="shared" si="172"/>
        <v>lost money</v>
      </c>
    </row>
    <row r="5454" spans="1:10">
      <c r="A5454" s="1">
        <v>41143</v>
      </c>
      <c r="B5454">
        <v>39.14</v>
      </c>
      <c r="C5454">
        <v>39.25</v>
      </c>
      <c r="D5454">
        <v>38.69</v>
      </c>
      <c r="E5454">
        <v>38.770000000000003</v>
      </c>
      <c r="F5454">
        <v>13479200</v>
      </c>
      <c r="G5454">
        <v>37.18</v>
      </c>
      <c r="H5454" t="s">
        <v>10</v>
      </c>
      <c r="I5454" s="22">
        <f t="shared" si="171"/>
        <v>-1.2561971952604592E-2</v>
      </c>
      <c r="J5454" s="22" t="str">
        <f t="shared" si="172"/>
        <v>lost money</v>
      </c>
    </row>
    <row r="5455" spans="1:10">
      <c r="A5455" s="1">
        <v>41144</v>
      </c>
      <c r="B5455">
        <v>38.81</v>
      </c>
      <c r="C5455">
        <v>38.840000000000003</v>
      </c>
      <c r="D5455">
        <v>38.020000000000003</v>
      </c>
      <c r="E5455">
        <v>38.11</v>
      </c>
      <c r="F5455">
        <v>14973300</v>
      </c>
      <c r="G5455">
        <v>36.54</v>
      </c>
      <c r="H5455" t="s">
        <v>10</v>
      </c>
      <c r="I5455" s="22">
        <f t="shared" si="171"/>
        <v>-1.736343134343736E-2</v>
      </c>
      <c r="J5455" s="22" t="str">
        <f t="shared" si="172"/>
        <v>lost money</v>
      </c>
    </row>
    <row r="5456" spans="1:10">
      <c r="A5456" s="1">
        <v>41145</v>
      </c>
      <c r="B5456">
        <v>38.07</v>
      </c>
      <c r="C5456">
        <v>38.549999999999997</v>
      </c>
      <c r="D5456">
        <v>38.07</v>
      </c>
      <c r="E5456">
        <v>38.47</v>
      </c>
      <c r="F5456">
        <v>9317800</v>
      </c>
      <c r="G5456">
        <v>36.89</v>
      </c>
      <c r="H5456" t="s">
        <v>10</v>
      </c>
      <c r="I5456" s="22">
        <f t="shared" si="171"/>
        <v>9.5329606587236868E-3</v>
      </c>
      <c r="J5456" s="22" t="str">
        <f t="shared" si="172"/>
        <v/>
      </c>
    </row>
    <row r="5457" spans="1:10">
      <c r="A5457" s="1">
        <v>41148</v>
      </c>
      <c r="B5457">
        <v>38.56</v>
      </c>
      <c r="C5457">
        <v>38.56</v>
      </c>
      <c r="D5457">
        <v>38.119999999999997</v>
      </c>
      <c r="E5457">
        <v>38.17</v>
      </c>
      <c r="F5457">
        <v>9589400</v>
      </c>
      <c r="G5457">
        <v>36.6</v>
      </c>
      <c r="H5457" t="s">
        <v>10</v>
      </c>
      <c r="I5457" s="22">
        <f t="shared" si="171"/>
        <v>-7.892271201263637E-3</v>
      </c>
      <c r="J5457" s="22" t="str">
        <f t="shared" si="172"/>
        <v>lost money</v>
      </c>
    </row>
    <row r="5458" spans="1:10">
      <c r="A5458" s="1">
        <v>41149</v>
      </c>
      <c r="B5458">
        <v>38.14</v>
      </c>
      <c r="C5458">
        <v>38.32</v>
      </c>
      <c r="D5458">
        <v>37.770000000000003</v>
      </c>
      <c r="E5458">
        <v>38</v>
      </c>
      <c r="F5458">
        <v>16148800</v>
      </c>
      <c r="G5458">
        <v>36.44</v>
      </c>
      <c r="H5458" t="s">
        <v>10</v>
      </c>
      <c r="I5458" s="22">
        <f t="shared" si="171"/>
        <v>-4.3811680155630877E-3</v>
      </c>
      <c r="J5458" s="22" t="str">
        <f t="shared" si="172"/>
        <v>lost money</v>
      </c>
    </row>
    <row r="5459" spans="1:10">
      <c r="A5459" s="1">
        <v>41150</v>
      </c>
      <c r="B5459">
        <v>38.049999999999997</v>
      </c>
      <c r="C5459">
        <v>38.049999999999997</v>
      </c>
      <c r="D5459">
        <v>37.380000000000003</v>
      </c>
      <c r="E5459">
        <v>37.46</v>
      </c>
      <c r="F5459">
        <v>23435400</v>
      </c>
      <c r="G5459">
        <v>35.92</v>
      </c>
      <c r="H5459" t="s">
        <v>10</v>
      </c>
      <c r="I5459" s="22">
        <f t="shared" si="171"/>
        <v>-1.437282895775866E-2</v>
      </c>
      <c r="J5459" s="22" t="str">
        <f t="shared" si="172"/>
        <v>lost money</v>
      </c>
    </row>
    <row r="5460" spans="1:10">
      <c r="A5460" s="1">
        <v>41151</v>
      </c>
      <c r="B5460">
        <v>37.380000000000003</v>
      </c>
      <c r="C5460">
        <v>37.630000000000003</v>
      </c>
      <c r="D5460">
        <v>37.130000000000003</v>
      </c>
      <c r="E5460">
        <v>37.14</v>
      </c>
      <c r="F5460">
        <v>17041800</v>
      </c>
      <c r="G5460">
        <v>35.61</v>
      </c>
      <c r="H5460" t="s">
        <v>10</v>
      </c>
      <c r="I5460" s="22">
        <f t="shared" si="171"/>
        <v>-8.6677461443125624E-3</v>
      </c>
      <c r="J5460" s="22" t="str">
        <f t="shared" si="172"/>
        <v>lost money</v>
      </c>
    </row>
    <row r="5461" spans="1:10">
      <c r="A5461" s="1">
        <v>41152</v>
      </c>
      <c r="B5461">
        <v>37.409999999999997</v>
      </c>
      <c r="C5461">
        <v>37.58</v>
      </c>
      <c r="D5461">
        <v>37.15</v>
      </c>
      <c r="E5461">
        <v>37.4</v>
      </c>
      <c r="F5461">
        <v>20710300</v>
      </c>
      <c r="G5461">
        <v>35.86</v>
      </c>
      <c r="H5461" t="s">
        <v>10</v>
      </c>
      <c r="I5461" s="22">
        <f t="shared" si="171"/>
        <v>6.9959708873004248E-3</v>
      </c>
      <c r="J5461" s="22" t="str">
        <f t="shared" si="172"/>
        <v>lost money</v>
      </c>
    </row>
    <row r="5462" spans="1:10">
      <c r="A5462" s="1">
        <v>41156</v>
      </c>
      <c r="B5462">
        <v>37.520000000000003</v>
      </c>
      <c r="C5462">
        <v>37.590000000000003</v>
      </c>
      <c r="D5462">
        <v>37.22</v>
      </c>
      <c r="E5462">
        <v>37.28</v>
      </c>
      <c r="F5462">
        <v>17293400</v>
      </c>
      <c r="G5462">
        <v>35.75</v>
      </c>
      <c r="H5462" t="s">
        <v>10</v>
      </c>
      <c r="I5462" s="22">
        <f t="shared" si="171"/>
        <v>-3.0721990369701403E-3</v>
      </c>
      <c r="J5462" s="22" t="str">
        <f t="shared" si="172"/>
        <v>lost money</v>
      </c>
    </row>
    <row r="5463" spans="1:10">
      <c r="A5463" s="1">
        <v>41157</v>
      </c>
      <c r="B5463">
        <v>37.36</v>
      </c>
      <c r="C5463">
        <v>37.619999999999997</v>
      </c>
      <c r="D5463">
        <v>37.11</v>
      </c>
      <c r="E5463">
        <v>37.51</v>
      </c>
      <c r="F5463">
        <v>20839200</v>
      </c>
      <c r="G5463">
        <v>35.97</v>
      </c>
      <c r="H5463" t="s">
        <v>10</v>
      </c>
      <c r="I5463" s="22">
        <f t="shared" si="171"/>
        <v>6.1349885675159293E-3</v>
      </c>
      <c r="J5463" s="22" t="str">
        <f t="shared" si="172"/>
        <v/>
      </c>
    </row>
    <row r="5464" spans="1:10">
      <c r="A5464" s="1">
        <v>41158</v>
      </c>
      <c r="B5464">
        <v>37.78</v>
      </c>
      <c r="C5464">
        <v>38.299999999999997</v>
      </c>
      <c r="D5464">
        <v>37.700000000000003</v>
      </c>
      <c r="E5464">
        <v>38.15</v>
      </c>
      <c r="F5464">
        <v>19851400</v>
      </c>
      <c r="G5464">
        <v>36.58</v>
      </c>
      <c r="H5464" t="s">
        <v>10</v>
      </c>
      <c r="I5464" s="22">
        <f t="shared" si="171"/>
        <v>1.6816385255187003E-2</v>
      </c>
      <c r="J5464" s="22" t="str">
        <f t="shared" si="172"/>
        <v/>
      </c>
    </row>
    <row r="5465" spans="1:10">
      <c r="A5465" s="1">
        <v>41159</v>
      </c>
      <c r="B5465">
        <v>38.380000000000003</v>
      </c>
      <c r="C5465">
        <v>38.5</v>
      </c>
      <c r="D5465">
        <v>37.74</v>
      </c>
      <c r="E5465">
        <v>37.9</v>
      </c>
      <c r="F5465">
        <v>16391700</v>
      </c>
      <c r="G5465">
        <v>36.340000000000003</v>
      </c>
      <c r="H5465" t="s">
        <v>10</v>
      </c>
      <c r="I5465" s="22">
        <f t="shared" si="171"/>
        <v>-6.5825799946943753E-3</v>
      </c>
      <c r="J5465" s="22" t="str">
        <f t="shared" si="172"/>
        <v>lost money</v>
      </c>
    </row>
    <row r="5466" spans="1:10">
      <c r="A5466" s="1">
        <v>41162</v>
      </c>
      <c r="B5466">
        <v>37.96</v>
      </c>
      <c r="C5466">
        <v>37.979999999999997</v>
      </c>
      <c r="D5466">
        <v>37.590000000000003</v>
      </c>
      <c r="E5466">
        <v>37.659999999999997</v>
      </c>
      <c r="F5466">
        <v>18216900</v>
      </c>
      <c r="G5466">
        <v>36.11</v>
      </c>
      <c r="H5466" t="s">
        <v>10</v>
      </c>
      <c r="I5466" s="22">
        <f t="shared" si="171"/>
        <v>-6.3492276786588919E-3</v>
      </c>
      <c r="J5466" s="22" t="str">
        <f t="shared" si="172"/>
        <v>lost money</v>
      </c>
    </row>
    <row r="5467" spans="1:10">
      <c r="A5467" s="1">
        <v>41163</v>
      </c>
      <c r="B5467">
        <v>37.630000000000003</v>
      </c>
      <c r="C5467">
        <v>37.83</v>
      </c>
      <c r="D5467">
        <v>37.56</v>
      </c>
      <c r="E5467">
        <v>37.770000000000003</v>
      </c>
      <c r="F5467">
        <v>16505000</v>
      </c>
      <c r="G5467">
        <v>36.22</v>
      </c>
      <c r="H5467" t="s">
        <v>10</v>
      </c>
      <c r="I5467" s="22">
        <f t="shared" si="171"/>
        <v>3.0416171659008845E-3</v>
      </c>
      <c r="J5467" s="22" t="str">
        <f t="shared" si="172"/>
        <v/>
      </c>
    </row>
    <row r="5468" spans="1:10">
      <c r="A5468" s="1">
        <v>41164</v>
      </c>
      <c r="B5468">
        <v>37.79</v>
      </c>
      <c r="C5468">
        <v>37.83</v>
      </c>
      <c r="D5468">
        <v>37.51</v>
      </c>
      <c r="E5468">
        <v>37.549999999999997</v>
      </c>
      <c r="F5468">
        <v>14632200</v>
      </c>
      <c r="G5468">
        <v>36.25</v>
      </c>
      <c r="H5468" t="s">
        <v>10</v>
      </c>
      <c r="I5468" s="22">
        <f t="shared" si="171"/>
        <v>8.2792884541640693E-4</v>
      </c>
      <c r="J5468" s="22" t="str">
        <f t="shared" si="172"/>
        <v>lost money</v>
      </c>
    </row>
    <row r="5469" spans="1:10">
      <c r="A5469" s="1">
        <v>41165</v>
      </c>
      <c r="B5469">
        <v>37.729999999999997</v>
      </c>
      <c r="C5469">
        <v>38.49</v>
      </c>
      <c r="D5469">
        <v>37.61</v>
      </c>
      <c r="E5469">
        <v>38.35</v>
      </c>
      <c r="F5469">
        <v>23803400</v>
      </c>
      <c r="G5469">
        <v>37.020000000000003</v>
      </c>
      <c r="H5469" t="s">
        <v>10</v>
      </c>
      <c r="I5469" s="22">
        <f t="shared" si="171"/>
        <v>2.1018925844667809E-2</v>
      </c>
      <c r="J5469" s="22" t="str">
        <f t="shared" si="172"/>
        <v/>
      </c>
    </row>
    <row r="5470" spans="1:10">
      <c r="A5470" s="1">
        <v>41166</v>
      </c>
      <c r="B5470">
        <v>38.549999999999997</v>
      </c>
      <c r="C5470">
        <v>38.549999999999997</v>
      </c>
      <c r="D5470">
        <v>38.01</v>
      </c>
      <c r="E5470">
        <v>38.119999999999997</v>
      </c>
      <c r="F5470">
        <v>25087400</v>
      </c>
      <c r="G5470">
        <v>36.799999999999997</v>
      </c>
      <c r="H5470" t="s">
        <v>10</v>
      </c>
      <c r="I5470" s="22">
        <f t="shared" si="171"/>
        <v>-5.9604619704664193E-3</v>
      </c>
      <c r="J5470" s="22" t="str">
        <f t="shared" si="172"/>
        <v>lost money</v>
      </c>
    </row>
    <row r="5471" spans="1:10">
      <c r="A5471" s="1">
        <v>41169</v>
      </c>
      <c r="B5471">
        <v>38.159999999999997</v>
      </c>
      <c r="C5471">
        <v>38.380000000000003</v>
      </c>
      <c r="D5471">
        <v>38.03</v>
      </c>
      <c r="E5471">
        <v>38.35</v>
      </c>
      <c r="F5471">
        <v>23594400</v>
      </c>
      <c r="G5471">
        <v>37.020000000000003</v>
      </c>
      <c r="H5471" t="s">
        <v>10</v>
      </c>
      <c r="I5471" s="22">
        <f t="shared" si="171"/>
        <v>5.9604619704663056E-3</v>
      </c>
      <c r="J5471" s="22" t="str">
        <f t="shared" si="172"/>
        <v/>
      </c>
    </row>
    <row r="5472" spans="1:10">
      <c r="A5472" s="1">
        <v>41170</v>
      </c>
      <c r="B5472">
        <v>38.380000000000003</v>
      </c>
      <c r="C5472">
        <v>39</v>
      </c>
      <c r="D5472">
        <v>38.299999999999997</v>
      </c>
      <c r="E5472">
        <v>38.619999999999997</v>
      </c>
      <c r="F5472">
        <v>24373700</v>
      </c>
      <c r="G5472">
        <v>37.29</v>
      </c>
      <c r="H5472" t="s">
        <v>10</v>
      </c>
      <c r="I5472" s="22">
        <f t="shared" si="171"/>
        <v>7.2668870453779606E-3</v>
      </c>
      <c r="J5472" s="22" t="str">
        <f t="shared" si="172"/>
        <v/>
      </c>
    </row>
    <row r="5473" spans="1:10">
      <c r="A5473" s="1">
        <v>41171</v>
      </c>
      <c r="B5473">
        <v>38.659999999999997</v>
      </c>
      <c r="C5473">
        <v>38.81</v>
      </c>
      <c r="D5473">
        <v>38.409999999999997</v>
      </c>
      <c r="E5473">
        <v>38.520000000000003</v>
      </c>
      <c r="F5473">
        <v>26276800</v>
      </c>
      <c r="G5473">
        <v>37.19</v>
      </c>
      <c r="H5473" t="s">
        <v>10</v>
      </c>
      <c r="I5473" s="22">
        <f t="shared" si="171"/>
        <v>-2.6852862537508388E-3</v>
      </c>
      <c r="J5473" s="22" t="str">
        <f t="shared" si="172"/>
        <v>lost money</v>
      </c>
    </row>
    <row r="5474" spans="1:10">
      <c r="A5474" s="1">
        <v>41172</v>
      </c>
      <c r="B5474">
        <v>38.39</v>
      </c>
      <c r="C5474">
        <v>38.869999999999997</v>
      </c>
      <c r="D5474">
        <v>38.380000000000003</v>
      </c>
      <c r="E5474">
        <v>38.64</v>
      </c>
      <c r="F5474">
        <v>26953000</v>
      </c>
      <c r="G5474">
        <v>37.299999999999997</v>
      </c>
      <c r="H5474" t="s">
        <v>10</v>
      </c>
      <c r="I5474" s="22">
        <f t="shared" si="171"/>
        <v>2.953418712791167E-3</v>
      </c>
      <c r="J5474" s="22" t="str">
        <f t="shared" si="172"/>
        <v/>
      </c>
    </row>
    <row r="5475" spans="1:10">
      <c r="A5475" s="1">
        <v>41173</v>
      </c>
      <c r="B5475">
        <v>38.729999999999997</v>
      </c>
      <c r="C5475">
        <v>38.74</v>
      </c>
      <c r="D5475">
        <v>37.880000000000003</v>
      </c>
      <c r="E5475">
        <v>38.03</v>
      </c>
      <c r="F5475">
        <v>98967500</v>
      </c>
      <c r="G5475">
        <v>36.72</v>
      </c>
      <c r="H5475" t="s">
        <v>10</v>
      </c>
      <c r="I5475" s="22">
        <f t="shared" si="171"/>
        <v>-1.5671760897480062E-2</v>
      </c>
      <c r="J5475" s="22" t="str">
        <f t="shared" si="172"/>
        <v>lost money</v>
      </c>
    </row>
    <row r="5476" spans="1:10">
      <c r="A5476" s="1">
        <v>41176</v>
      </c>
      <c r="B5476">
        <v>37.81</v>
      </c>
      <c r="C5476">
        <v>38.24</v>
      </c>
      <c r="D5476">
        <v>37.81</v>
      </c>
      <c r="E5476">
        <v>38.119999999999997</v>
      </c>
      <c r="F5476">
        <v>21902000</v>
      </c>
      <c r="G5476">
        <v>36.799999999999997</v>
      </c>
      <c r="H5476" t="s">
        <v>10</v>
      </c>
      <c r="I5476" s="22">
        <f t="shared" si="171"/>
        <v>2.1762794225954484E-3</v>
      </c>
      <c r="J5476" s="22" t="str">
        <f t="shared" si="172"/>
        <v/>
      </c>
    </row>
    <row r="5477" spans="1:10">
      <c r="A5477" s="1">
        <v>41177</v>
      </c>
      <c r="B5477">
        <v>38.21</v>
      </c>
      <c r="C5477">
        <v>38.270000000000003</v>
      </c>
      <c r="D5477">
        <v>37.659999999999997</v>
      </c>
      <c r="E5477">
        <v>37.68</v>
      </c>
      <c r="F5477">
        <v>20299200</v>
      </c>
      <c r="G5477">
        <v>36.380000000000003</v>
      </c>
      <c r="H5477" t="s">
        <v>10</v>
      </c>
      <c r="I5477" s="22">
        <f t="shared" si="171"/>
        <v>-1.1478672084908955E-2</v>
      </c>
      <c r="J5477" s="22" t="str">
        <f t="shared" si="172"/>
        <v>lost money</v>
      </c>
    </row>
    <row r="5478" spans="1:10">
      <c r="A5478" s="1">
        <v>41178</v>
      </c>
      <c r="B5478">
        <v>37.78</v>
      </c>
      <c r="C5478">
        <v>38.19</v>
      </c>
      <c r="D5478">
        <v>37.74</v>
      </c>
      <c r="E5478">
        <v>37.76</v>
      </c>
      <c r="F5478">
        <v>16677400</v>
      </c>
      <c r="G5478">
        <v>36.46</v>
      </c>
      <c r="H5478" t="s">
        <v>10</v>
      </c>
      <c r="I5478" s="22">
        <f t="shared" si="171"/>
        <v>2.1965961605407455E-3</v>
      </c>
      <c r="J5478" s="22" t="str">
        <f t="shared" si="172"/>
        <v>lost money</v>
      </c>
    </row>
    <row r="5479" spans="1:10">
      <c r="A5479" s="1">
        <v>41179</v>
      </c>
      <c r="B5479">
        <v>38.06</v>
      </c>
      <c r="C5479">
        <v>38.35</v>
      </c>
      <c r="D5479">
        <v>37.9</v>
      </c>
      <c r="E5479">
        <v>38.31</v>
      </c>
      <c r="F5479">
        <v>15176100</v>
      </c>
      <c r="G5479">
        <v>36.99</v>
      </c>
      <c r="H5479" t="s">
        <v>10</v>
      </c>
      <c r="I5479" s="22">
        <f t="shared" si="171"/>
        <v>1.4431836593845664E-2</v>
      </c>
      <c r="J5479" s="22" t="str">
        <f t="shared" si="172"/>
        <v/>
      </c>
    </row>
    <row r="5480" spans="1:10">
      <c r="A5480" s="1">
        <v>41180</v>
      </c>
      <c r="B5480">
        <v>38.17</v>
      </c>
      <c r="C5480">
        <v>38.22</v>
      </c>
      <c r="D5480">
        <v>37.9</v>
      </c>
      <c r="E5480">
        <v>37.93</v>
      </c>
      <c r="F5480">
        <v>22721200</v>
      </c>
      <c r="G5480">
        <v>36.619999999999997</v>
      </c>
      <c r="H5480" t="s">
        <v>10</v>
      </c>
      <c r="I5480" s="22">
        <f t="shared" si="171"/>
        <v>-1.0053066597998119E-2</v>
      </c>
      <c r="J5480" s="22" t="str">
        <f t="shared" si="172"/>
        <v>lost money</v>
      </c>
    </row>
    <row r="5481" spans="1:10">
      <c r="A5481" s="1">
        <v>41183</v>
      </c>
      <c r="B5481">
        <v>38.159999999999997</v>
      </c>
      <c r="C5481">
        <v>38.6</v>
      </c>
      <c r="D5481">
        <v>38.15</v>
      </c>
      <c r="E5481">
        <v>38.380000000000003</v>
      </c>
      <c r="F5481">
        <v>16671400</v>
      </c>
      <c r="G5481">
        <v>37.049999999999997</v>
      </c>
      <c r="H5481" t="s">
        <v>10</v>
      </c>
      <c r="I5481" s="22">
        <f t="shared" si="171"/>
        <v>1.167381249573129E-2</v>
      </c>
      <c r="J5481" s="22" t="str">
        <f t="shared" si="172"/>
        <v/>
      </c>
    </row>
    <row r="5482" spans="1:10">
      <c r="A5482" s="1">
        <v>41184</v>
      </c>
      <c r="B5482">
        <v>38.56</v>
      </c>
      <c r="C5482">
        <v>38.69</v>
      </c>
      <c r="D5482">
        <v>38.11</v>
      </c>
      <c r="E5482">
        <v>38.340000000000003</v>
      </c>
      <c r="F5482">
        <v>10276000</v>
      </c>
      <c r="G5482">
        <v>37.020000000000003</v>
      </c>
      <c r="H5482" t="s">
        <v>10</v>
      </c>
      <c r="I5482" s="22">
        <f t="shared" si="171"/>
        <v>-8.100445967443216E-4</v>
      </c>
      <c r="J5482" s="22" t="str">
        <f t="shared" si="172"/>
        <v>lost money</v>
      </c>
    </row>
    <row r="5483" spans="1:10">
      <c r="A5483" s="1">
        <v>41185</v>
      </c>
      <c r="B5483">
        <v>38.32</v>
      </c>
      <c r="C5483">
        <v>38.520000000000003</v>
      </c>
      <c r="D5483">
        <v>38.14</v>
      </c>
      <c r="E5483">
        <v>38.24</v>
      </c>
      <c r="F5483">
        <v>13637100</v>
      </c>
      <c r="G5483">
        <v>36.92</v>
      </c>
      <c r="H5483" t="s">
        <v>10</v>
      </c>
      <c r="I5483" s="22">
        <f t="shared" si="171"/>
        <v>-2.7048975107001063E-3</v>
      </c>
      <c r="J5483" s="22" t="str">
        <f t="shared" si="172"/>
        <v>lost money</v>
      </c>
    </row>
    <row r="5484" spans="1:10">
      <c r="A5484" s="1">
        <v>41186</v>
      </c>
      <c r="B5484">
        <v>38.46</v>
      </c>
      <c r="C5484">
        <v>38.549999999999997</v>
      </c>
      <c r="D5484">
        <v>38.19</v>
      </c>
      <c r="E5484">
        <v>38.33</v>
      </c>
      <c r="F5484">
        <v>9654500</v>
      </c>
      <c r="G5484">
        <v>37.01</v>
      </c>
      <c r="H5484" t="s">
        <v>10</v>
      </c>
      <c r="I5484" s="22">
        <f t="shared" si="171"/>
        <v>2.4347367634131875E-3</v>
      </c>
      <c r="J5484" s="22" t="str">
        <f t="shared" si="172"/>
        <v>lost money</v>
      </c>
    </row>
    <row r="5485" spans="1:10">
      <c r="A5485" s="1">
        <v>41187</v>
      </c>
      <c r="B5485">
        <v>38.49</v>
      </c>
      <c r="C5485">
        <v>38.6</v>
      </c>
      <c r="D5485">
        <v>38.25</v>
      </c>
      <c r="E5485">
        <v>38.58</v>
      </c>
      <c r="F5485">
        <v>12287900</v>
      </c>
      <c r="G5485">
        <v>37.25</v>
      </c>
      <c r="H5485" t="s">
        <v>10</v>
      </c>
      <c r="I5485" s="22">
        <f t="shared" si="171"/>
        <v>6.4637984275040389E-3</v>
      </c>
      <c r="J5485" s="22" t="str">
        <f t="shared" si="172"/>
        <v/>
      </c>
    </row>
    <row r="5486" spans="1:10">
      <c r="A5486" s="1">
        <v>41190</v>
      </c>
      <c r="B5486">
        <v>38.54</v>
      </c>
      <c r="C5486">
        <v>38.68</v>
      </c>
      <c r="D5486">
        <v>38.44</v>
      </c>
      <c r="E5486">
        <v>38.58</v>
      </c>
      <c r="F5486">
        <v>9434600</v>
      </c>
      <c r="G5486">
        <v>37.25</v>
      </c>
      <c r="H5486" t="s">
        <v>10</v>
      </c>
      <c r="I5486" s="22">
        <f t="shared" si="171"/>
        <v>0</v>
      </c>
      <c r="J5486" s="22" t="str">
        <f t="shared" si="172"/>
        <v/>
      </c>
    </row>
    <row r="5487" spans="1:10">
      <c r="A5487" s="1">
        <v>41191</v>
      </c>
      <c r="B5487">
        <v>38.5</v>
      </c>
      <c r="C5487">
        <v>38.83</v>
      </c>
      <c r="D5487">
        <v>38.46</v>
      </c>
      <c r="E5487">
        <v>38.56</v>
      </c>
      <c r="F5487">
        <v>13078700</v>
      </c>
      <c r="G5487">
        <v>37.229999999999997</v>
      </c>
      <c r="H5487" t="s">
        <v>10</v>
      </c>
      <c r="I5487" s="22">
        <f t="shared" si="171"/>
        <v>-5.3705694094302418E-4</v>
      </c>
      <c r="J5487" s="22" t="str">
        <f t="shared" si="172"/>
        <v/>
      </c>
    </row>
    <row r="5488" spans="1:10">
      <c r="A5488" s="1">
        <v>41192</v>
      </c>
      <c r="B5488">
        <v>38.65</v>
      </c>
      <c r="C5488">
        <v>38.729999999999997</v>
      </c>
      <c r="D5488">
        <v>38.049999999999997</v>
      </c>
      <c r="E5488">
        <v>38.090000000000003</v>
      </c>
      <c r="F5488">
        <v>13754500</v>
      </c>
      <c r="G5488">
        <v>36.770000000000003</v>
      </c>
      <c r="H5488" t="s">
        <v>10</v>
      </c>
      <c r="I5488" s="22">
        <f t="shared" si="171"/>
        <v>-1.2432592571444682E-2</v>
      </c>
      <c r="J5488" s="22" t="str">
        <f t="shared" si="172"/>
        <v>lost money</v>
      </c>
    </row>
    <row r="5489" spans="1:10">
      <c r="A5489" s="1">
        <v>41193</v>
      </c>
      <c r="B5489">
        <v>38.200000000000003</v>
      </c>
      <c r="C5489">
        <v>38.28</v>
      </c>
      <c r="D5489">
        <v>38.020000000000003</v>
      </c>
      <c r="E5489">
        <v>38.11</v>
      </c>
      <c r="F5489">
        <v>10843800</v>
      </c>
      <c r="G5489">
        <v>36.79</v>
      </c>
      <c r="H5489" t="s">
        <v>10</v>
      </c>
      <c r="I5489" s="22">
        <f t="shared" si="171"/>
        <v>5.4377380350231872E-4</v>
      </c>
      <c r="J5489" s="22" t="str">
        <f t="shared" si="172"/>
        <v>lost money</v>
      </c>
    </row>
    <row r="5490" spans="1:10">
      <c r="A5490" s="1">
        <v>41194</v>
      </c>
      <c r="B5490">
        <v>38.26</v>
      </c>
      <c r="C5490">
        <v>38.39</v>
      </c>
      <c r="D5490">
        <v>38.11</v>
      </c>
      <c r="E5490">
        <v>38.229999999999997</v>
      </c>
      <c r="F5490">
        <v>12059700</v>
      </c>
      <c r="G5490">
        <v>36.909999999999997</v>
      </c>
      <c r="H5490" t="s">
        <v>10</v>
      </c>
      <c r="I5490" s="22">
        <f t="shared" si="171"/>
        <v>3.2564479252241824E-3</v>
      </c>
      <c r="J5490" s="22" t="str">
        <f t="shared" si="172"/>
        <v>lost money</v>
      </c>
    </row>
    <row r="5491" spans="1:10">
      <c r="A5491" s="1">
        <v>41197</v>
      </c>
      <c r="B5491">
        <v>38.090000000000003</v>
      </c>
      <c r="C5491">
        <v>38.25</v>
      </c>
      <c r="D5491">
        <v>38.01</v>
      </c>
      <c r="E5491">
        <v>38.130000000000003</v>
      </c>
      <c r="F5491">
        <v>13785100</v>
      </c>
      <c r="G5491">
        <v>36.81</v>
      </c>
      <c r="H5491" t="s">
        <v>10</v>
      </c>
      <c r="I5491" s="22">
        <f t="shared" si="171"/>
        <v>-2.7129696509772682E-3</v>
      </c>
      <c r="J5491" s="22" t="str">
        <f t="shared" si="172"/>
        <v/>
      </c>
    </row>
    <row r="5492" spans="1:10">
      <c r="A5492" s="1">
        <v>41198</v>
      </c>
      <c r="B5492">
        <v>38.18</v>
      </c>
      <c r="C5492">
        <v>38.22</v>
      </c>
      <c r="D5492">
        <v>37.44</v>
      </c>
      <c r="E5492">
        <v>37.9</v>
      </c>
      <c r="F5492">
        <v>25811800</v>
      </c>
      <c r="G5492">
        <v>36.590000000000003</v>
      </c>
      <c r="H5492" t="s">
        <v>10</v>
      </c>
      <c r="I5492" s="22">
        <f t="shared" si="171"/>
        <v>-5.9945683598142717E-3</v>
      </c>
      <c r="J5492" s="22" t="str">
        <f t="shared" si="172"/>
        <v>lost money</v>
      </c>
    </row>
    <row r="5493" spans="1:10">
      <c r="A5493" s="1">
        <v>41199</v>
      </c>
      <c r="B5493">
        <v>38.06</v>
      </c>
      <c r="C5493">
        <v>38.15</v>
      </c>
      <c r="D5493">
        <v>37.700000000000003</v>
      </c>
      <c r="E5493">
        <v>37.74</v>
      </c>
      <c r="F5493">
        <v>15449600</v>
      </c>
      <c r="G5493">
        <v>36.44</v>
      </c>
      <c r="H5493" t="s">
        <v>10</v>
      </c>
      <c r="I5493" s="22">
        <f t="shared" si="171"/>
        <v>-4.107906639358022E-3</v>
      </c>
      <c r="J5493" s="22" t="str">
        <f t="shared" si="172"/>
        <v>lost money</v>
      </c>
    </row>
    <row r="5494" spans="1:10">
      <c r="A5494" s="1">
        <v>41200</v>
      </c>
      <c r="B5494">
        <v>37.76</v>
      </c>
      <c r="C5494">
        <v>38.07</v>
      </c>
      <c r="D5494">
        <v>37.46</v>
      </c>
      <c r="E5494">
        <v>37.840000000000003</v>
      </c>
      <c r="F5494">
        <v>23063300</v>
      </c>
      <c r="G5494">
        <v>36.53</v>
      </c>
      <c r="H5494" t="s">
        <v>10</v>
      </c>
      <c r="I5494" s="22">
        <f t="shared" si="171"/>
        <v>2.4667684154337432E-3</v>
      </c>
      <c r="J5494" s="22" t="str">
        <f t="shared" si="172"/>
        <v/>
      </c>
    </row>
    <row r="5495" spans="1:10">
      <c r="A5495" s="1">
        <v>41201</v>
      </c>
      <c r="B5495">
        <v>37.93</v>
      </c>
      <c r="C5495">
        <v>37.94</v>
      </c>
      <c r="D5495">
        <v>37.4</v>
      </c>
      <c r="E5495">
        <v>37.4</v>
      </c>
      <c r="F5495">
        <v>19864500</v>
      </c>
      <c r="G5495">
        <v>36.11</v>
      </c>
      <c r="H5495" t="s">
        <v>10</v>
      </c>
      <c r="I5495" s="22">
        <f t="shared" si="171"/>
        <v>-1.1564005517824777E-2</v>
      </c>
      <c r="J5495" s="22" t="str">
        <f t="shared" si="172"/>
        <v>lost money</v>
      </c>
    </row>
    <row r="5496" spans="1:10">
      <c r="A5496" s="1">
        <v>41204</v>
      </c>
      <c r="B5496">
        <v>37.369999999999997</v>
      </c>
      <c r="C5496">
        <v>37.479999999999997</v>
      </c>
      <c r="D5496">
        <v>36.96</v>
      </c>
      <c r="E5496">
        <v>37.229999999999997</v>
      </c>
      <c r="F5496">
        <v>13340500</v>
      </c>
      <c r="G5496">
        <v>35.94</v>
      </c>
      <c r="H5496" t="s">
        <v>10</v>
      </c>
      <c r="I5496" s="22">
        <f t="shared" si="171"/>
        <v>-4.7189539339534802E-3</v>
      </c>
      <c r="J5496" s="22" t="str">
        <f t="shared" si="172"/>
        <v>lost money</v>
      </c>
    </row>
    <row r="5497" spans="1:10">
      <c r="A5497" s="1">
        <v>41205</v>
      </c>
      <c r="B5497">
        <v>36.96</v>
      </c>
      <c r="C5497">
        <v>36.979999999999997</v>
      </c>
      <c r="D5497">
        <v>36.54</v>
      </c>
      <c r="E5497">
        <v>36.61</v>
      </c>
      <c r="F5497">
        <v>13287300</v>
      </c>
      <c r="G5497">
        <v>35.340000000000003</v>
      </c>
      <c r="H5497" t="s">
        <v>10</v>
      </c>
      <c r="I5497" s="22">
        <f t="shared" si="171"/>
        <v>-1.6835414463862462E-2</v>
      </c>
      <c r="J5497" s="22" t="str">
        <f t="shared" si="172"/>
        <v>lost money</v>
      </c>
    </row>
    <row r="5498" spans="1:10">
      <c r="A5498" s="1">
        <v>41206</v>
      </c>
      <c r="B5498">
        <v>36.6</v>
      </c>
      <c r="C5498">
        <v>37.04</v>
      </c>
      <c r="D5498">
        <v>36.6</v>
      </c>
      <c r="E5498">
        <v>36.880000000000003</v>
      </c>
      <c r="F5498">
        <v>13531400</v>
      </c>
      <c r="G5498">
        <v>35.61</v>
      </c>
      <c r="H5498" t="s">
        <v>10</v>
      </c>
      <c r="I5498" s="22">
        <f t="shared" si="171"/>
        <v>7.6110303981358181E-3</v>
      </c>
      <c r="J5498" s="22" t="str">
        <f t="shared" si="172"/>
        <v/>
      </c>
    </row>
    <row r="5499" spans="1:10">
      <c r="A5499" s="1">
        <v>41207</v>
      </c>
      <c r="B5499">
        <v>37</v>
      </c>
      <c r="C5499">
        <v>37.19</v>
      </c>
      <c r="D5499">
        <v>36.85</v>
      </c>
      <c r="E5499">
        <v>37.090000000000003</v>
      </c>
      <c r="F5499">
        <v>10457900</v>
      </c>
      <c r="G5499">
        <v>35.81</v>
      </c>
      <c r="H5499" t="s">
        <v>10</v>
      </c>
      <c r="I5499" s="22">
        <f t="shared" si="171"/>
        <v>5.6006867206551212E-3</v>
      </c>
      <c r="J5499" s="22" t="str">
        <f t="shared" si="172"/>
        <v/>
      </c>
    </row>
    <row r="5500" spans="1:10">
      <c r="A5500" s="1">
        <v>41208</v>
      </c>
      <c r="B5500">
        <v>37.119999999999997</v>
      </c>
      <c r="C5500">
        <v>37.26</v>
      </c>
      <c r="D5500">
        <v>36.78</v>
      </c>
      <c r="E5500">
        <v>37.04</v>
      </c>
      <c r="F5500">
        <v>11896500</v>
      </c>
      <c r="G5500">
        <v>35.76</v>
      </c>
      <c r="H5500" t="s">
        <v>10</v>
      </c>
      <c r="I5500" s="22">
        <f t="shared" si="171"/>
        <v>-1.3972337050280311E-3</v>
      </c>
      <c r="J5500" s="22" t="str">
        <f t="shared" si="172"/>
        <v>lost money</v>
      </c>
    </row>
    <row r="5501" spans="1:10">
      <c r="A5501" s="1">
        <v>41213</v>
      </c>
      <c r="B5501">
        <v>37.159999999999997</v>
      </c>
      <c r="C5501">
        <v>37.409999999999997</v>
      </c>
      <c r="D5501">
        <v>36.92</v>
      </c>
      <c r="E5501">
        <v>37.18</v>
      </c>
      <c r="F5501">
        <v>11643500</v>
      </c>
      <c r="G5501">
        <v>35.9</v>
      </c>
      <c r="H5501" t="s">
        <v>10</v>
      </c>
      <c r="I5501" s="22">
        <f t="shared" si="171"/>
        <v>3.907345188919855E-3</v>
      </c>
      <c r="J5501" s="22" t="str">
        <f t="shared" si="172"/>
        <v/>
      </c>
    </row>
    <row r="5502" spans="1:10">
      <c r="A5502" s="1">
        <v>41214</v>
      </c>
      <c r="B5502">
        <v>37.15</v>
      </c>
      <c r="C5502">
        <v>37.56</v>
      </c>
      <c r="D5502">
        <v>37.15</v>
      </c>
      <c r="E5502">
        <v>37.33</v>
      </c>
      <c r="F5502">
        <v>10622300</v>
      </c>
      <c r="G5502">
        <v>36.04</v>
      </c>
      <c r="H5502" t="s">
        <v>10</v>
      </c>
      <c r="I5502" s="22">
        <f t="shared" si="171"/>
        <v>3.8921372459039616E-3</v>
      </c>
      <c r="J5502" s="22" t="str">
        <f t="shared" si="172"/>
        <v/>
      </c>
    </row>
    <row r="5503" spans="1:10">
      <c r="A5503" s="1">
        <v>41215</v>
      </c>
      <c r="B5503">
        <v>37.58</v>
      </c>
      <c r="C5503">
        <v>37.65</v>
      </c>
      <c r="D5503">
        <v>37</v>
      </c>
      <c r="E5503">
        <v>37.08</v>
      </c>
      <c r="F5503">
        <v>11237500</v>
      </c>
      <c r="G5503">
        <v>35.799999999999997</v>
      </c>
      <c r="H5503" t="s">
        <v>10</v>
      </c>
      <c r="I5503" s="22">
        <f t="shared" si="171"/>
        <v>-6.6815393334826211E-3</v>
      </c>
      <c r="J5503" s="22" t="str">
        <f t="shared" si="172"/>
        <v>lost money</v>
      </c>
    </row>
    <row r="5504" spans="1:10">
      <c r="A5504" s="1">
        <v>41218</v>
      </c>
      <c r="B5504">
        <v>36.950000000000003</v>
      </c>
      <c r="C5504">
        <v>36.99</v>
      </c>
      <c r="D5504">
        <v>36.630000000000003</v>
      </c>
      <c r="E5504">
        <v>36.770000000000003</v>
      </c>
      <c r="F5504">
        <v>12139600</v>
      </c>
      <c r="G5504">
        <v>35.5</v>
      </c>
      <c r="H5504" t="s">
        <v>10</v>
      </c>
      <c r="I5504" s="22">
        <f t="shared" si="171"/>
        <v>-8.4151969252844721E-3</v>
      </c>
      <c r="J5504" s="22" t="str">
        <f t="shared" si="172"/>
        <v>lost money</v>
      </c>
    </row>
    <row r="5505" spans="1:10">
      <c r="A5505" s="1">
        <v>41219</v>
      </c>
      <c r="B5505">
        <v>36.92</v>
      </c>
      <c r="C5505">
        <v>37.479999999999997</v>
      </c>
      <c r="D5505">
        <v>36.86</v>
      </c>
      <c r="E5505">
        <v>37.42</v>
      </c>
      <c r="F5505">
        <v>11448400</v>
      </c>
      <c r="G5505">
        <v>36.130000000000003</v>
      </c>
      <c r="H5505" t="s">
        <v>10</v>
      </c>
      <c r="I5505" s="22">
        <f t="shared" si="171"/>
        <v>1.7590848678178853E-2</v>
      </c>
      <c r="J5505" s="22" t="str">
        <f t="shared" si="172"/>
        <v/>
      </c>
    </row>
    <row r="5506" spans="1:10">
      <c r="A5506" s="1">
        <v>41220</v>
      </c>
      <c r="B5506">
        <v>37.28</v>
      </c>
      <c r="C5506">
        <v>37.39</v>
      </c>
      <c r="D5506">
        <v>36.4</v>
      </c>
      <c r="E5506">
        <v>36.72</v>
      </c>
      <c r="F5506">
        <v>16745000</v>
      </c>
      <c r="G5506">
        <v>35.450000000000003</v>
      </c>
      <c r="H5506" t="s">
        <v>10</v>
      </c>
      <c r="I5506" s="22">
        <f t="shared" si="171"/>
        <v>-1.9000292181412286E-2</v>
      </c>
      <c r="J5506" s="22" t="str">
        <f t="shared" si="172"/>
        <v>lost money</v>
      </c>
    </row>
    <row r="5507" spans="1:10">
      <c r="A5507" s="1">
        <v>41221</v>
      </c>
      <c r="B5507">
        <v>36.65</v>
      </c>
      <c r="C5507">
        <v>37.11</v>
      </c>
      <c r="D5507">
        <v>36.36</v>
      </c>
      <c r="E5507">
        <v>36.36</v>
      </c>
      <c r="F5507">
        <v>12921700</v>
      </c>
      <c r="G5507">
        <v>35.1</v>
      </c>
      <c r="H5507" t="s">
        <v>10</v>
      </c>
      <c r="I5507" s="22">
        <f t="shared" ref="I5507:I5570" si="173">IF(A5507=$A$2,"",LN(G5507/G5506))</f>
        <v>-9.9221225063163641E-3</v>
      </c>
      <c r="J5507" s="22" t="str">
        <f t="shared" ref="J5507:J5570" si="174">IF(B5507&gt;E5507,"lost money","")</f>
        <v>lost money</v>
      </c>
    </row>
    <row r="5508" spans="1:10">
      <c r="A5508" s="1">
        <v>41222</v>
      </c>
      <c r="B5508">
        <v>36.049999999999997</v>
      </c>
      <c r="C5508">
        <v>36.520000000000003</v>
      </c>
      <c r="D5508">
        <v>36.049999999999997</v>
      </c>
      <c r="E5508">
        <v>36.29</v>
      </c>
      <c r="F5508">
        <v>11520300</v>
      </c>
      <c r="G5508">
        <v>35.04</v>
      </c>
      <c r="H5508" t="s">
        <v>10</v>
      </c>
      <c r="I5508" s="22">
        <f t="shared" si="173"/>
        <v>-1.7108644036295411E-3</v>
      </c>
      <c r="J5508" s="22" t="str">
        <f t="shared" si="174"/>
        <v/>
      </c>
    </row>
    <row r="5509" spans="1:10">
      <c r="A5509" s="1">
        <v>41225</v>
      </c>
      <c r="B5509">
        <v>36.29</v>
      </c>
      <c r="C5509">
        <v>36.29</v>
      </c>
      <c r="D5509">
        <v>35.99</v>
      </c>
      <c r="E5509">
        <v>36.08</v>
      </c>
      <c r="F5509">
        <v>10169700</v>
      </c>
      <c r="G5509">
        <v>34.83</v>
      </c>
      <c r="H5509" t="s">
        <v>10</v>
      </c>
      <c r="I5509" s="22">
        <f t="shared" si="173"/>
        <v>-6.011181690280921E-3</v>
      </c>
      <c r="J5509" s="22" t="str">
        <f t="shared" si="174"/>
        <v>lost money</v>
      </c>
    </row>
    <row r="5510" spans="1:10">
      <c r="A5510" s="1">
        <v>41226</v>
      </c>
      <c r="B5510">
        <v>36.03</v>
      </c>
      <c r="C5510">
        <v>36.56</v>
      </c>
      <c r="D5510">
        <v>35.979999999999997</v>
      </c>
      <c r="E5510">
        <v>36.159999999999997</v>
      </c>
      <c r="F5510">
        <v>12105200</v>
      </c>
      <c r="G5510">
        <v>34.909999999999997</v>
      </c>
      <c r="H5510" t="s">
        <v>10</v>
      </c>
      <c r="I5510" s="22">
        <f t="shared" si="173"/>
        <v>2.2942367390348648E-3</v>
      </c>
      <c r="J5510" s="22" t="str">
        <f t="shared" si="174"/>
        <v/>
      </c>
    </row>
    <row r="5511" spans="1:10">
      <c r="A5511" s="1">
        <v>41227</v>
      </c>
      <c r="B5511">
        <v>36.19</v>
      </c>
      <c r="C5511">
        <v>36.36</v>
      </c>
      <c r="D5511">
        <v>35.869999999999997</v>
      </c>
      <c r="E5511">
        <v>36.01</v>
      </c>
      <c r="F5511">
        <v>13508300</v>
      </c>
      <c r="G5511">
        <v>34.770000000000003</v>
      </c>
      <c r="H5511" t="s">
        <v>10</v>
      </c>
      <c r="I5511" s="22">
        <f t="shared" si="173"/>
        <v>-4.0183750971744224E-3</v>
      </c>
      <c r="J5511" s="22" t="str">
        <f t="shared" si="174"/>
        <v>lost money</v>
      </c>
    </row>
    <row r="5512" spans="1:10">
      <c r="A5512" s="1">
        <v>41228</v>
      </c>
      <c r="B5512">
        <v>35.9</v>
      </c>
      <c r="C5512">
        <v>36.479999999999997</v>
      </c>
      <c r="D5512">
        <v>35.86</v>
      </c>
      <c r="E5512">
        <v>36.43</v>
      </c>
      <c r="F5512">
        <v>17643600</v>
      </c>
      <c r="G5512">
        <v>35.17</v>
      </c>
      <c r="H5512" t="s">
        <v>10</v>
      </c>
      <c r="I5512" s="22">
        <f t="shared" si="173"/>
        <v>1.1438500466120976E-2</v>
      </c>
      <c r="J5512" s="22" t="str">
        <f t="shared" si="174"/>
        <v/>
      </c>
    </row>
    <row r="5513" spans="1:10">
      <c r="A5513" s="1">
        <v>41229</v>
      </c>
      <c r="B5513">
        <v>36.49</v>
      </c>
      <c r="C5513">
        <v>36.65</v>
      </c>
      <c r="D5513">
        <v>36.270000000000003</v>
      </c>
      <c r="E5513">
        <v>36.56</v>
      </c>
      <c r="F5513">
        <v>15624800</v>
      </c>
      <c r="G5513">
        <v>35.299999999999997</v>
      </c>
      <c r="H5513" t="s">
        <v>10</v>
      </c>
      <c r="I5513" s="22">
        <f t="shared" si="173"/>
        <v>3.6895174533598074E-3</v>
      </c>
      <c r="J5513" s="22" t="str">
        <f t="shared" si="174"/>
        <v/>
      </c>
    </row>
    <row r="5514" spans="1:10">
      <c r="A5514" s="1">
        <v>41232</v>
      </c>
      <c r="B5514">
        <v>36.85</v>
      </c>
      <c r="C5514">
        <v>37.29</v>
      </c>
      <c r="D5514">
        <v>36.81</v>
      </c>
      <c r="E5514">
        <v>37.24</v>
      </c>
      <c r="F5514">
        <v>14076200</v>
      </c>
      <c r="G5514">
        <v>35.950000000000003</v>
      </c>
      <c r="H5514" t="s">
        <v>10</v>
      </c>
      <c r="I5514" s="22">
        <f t="shared" si="173"/>
        <v>1.8246120227804766E-2</v>
      </c>
      <c r="J5514" s="22" t="str">
        <f t="shared" si="174"/>
        <v/>
      </c>
    </row>
    <row r="5515" spans="1:10">
      <c r="A5515" s="1">
        <v>41233</v>
      </c>
      <c r="B5515">
        <v>37.229999999999997</v>
      </c>
      <c r="C5515">
        <v>37.270000000000003</v>
      </c>
      <c r="D5515">
        <v>36.85</v>
      </c>
      <c r="E5515">
        <v>37.25</v>
      </c>
      <c r="F5515">
        <v>12278600</v>
      </c>
      <c r="G5515">
        <v>35.96</v>
      </c>
      <c r="H5515" t="s">
        <v>10</v>
      </c>
      <c r="I5515" s="22">
        <f t="shared" si="173"/>
        <v>2.7812543636369382E-4</v>
      </c>
      <c r="J5515" s="22" t="str">
        <f t="shared" si="174"/>
        <v/>
      </c>
    </row>
    <row r="5516" spans="1:10">
      <c r="A5516" s="1">
        <v>41234</v>
      </c>
      <c r="B5516">
        <v>37.33</v>
      </c>
      <c r="C5516">
        <v>37.47</v>
      </c>
      <c r="D5516">
        <v>37.22</v>
      </c>
      <c r="E5516">
        <v>37.39</v>
      </c>
      <c r="F5516">
        <v>8631300</v>
      </c>
      <c r="G5516">
        <v>36.1</v>
      </c>
      <c r="H5516" t="s">
        <v>10</v>
      </c>
      <c r="I5516" s="22">
        <f t="shared" si="173"/>
        <v>3.8856557354157162E-3</v>
      </c>
      <c r="J5516" s="22" t="str">
        <f t="shared" si="174"/>
        <v/>
      </c>
    </row>
    <row r="5517" spans="1:10">
      <c r="A5517" s="1">
        <v>41236</v>
      </c>
      <c r="B5517">
        <v>37.549999999999997</v>
      </c>
      <c r="C5517">
        <v>37.950000000000003</v>
      </c>
      <c r="D5517">
        <v>37.49</v>
      </c>
      <c r="E5517">
        <v>37.93</v>
      </c>
      <c r="F5517">
        <v>5365500</v>
      </c>
      <c r="G5517">
        <v>36.619999999999997</v>
      </c>
      <c r="H5517" t="s">
        <v>10</v>
      </c>
      <c r="I5517" s="22">
        <f t="shared" si="173"/>
        <v>1.4301673907529368E-2</v>
      </c>
      <c r="J5517" s="22" t="str">
        <f t="shared" si="174"/>
        <v/>
      </c>
    </row>
    <row r="5518" spans="1:10">
      <c r="A5518" s="1">
        <v>41239</v>
      </c>
      <c r="B5518">
        <v>37.58</v>
      </c>
      <c r="C5518">
        <v>37.78</v>
      </c>
      <c r="D5518">
        <v>37.229999999999997</v>
      </c>
      <c r="E5518">
        <v>37.36</v>
      </c>
      <c r="F5518">
        <v>13217000</v>
      </c>
      <c r="G5518">
        <v>36.07</v>
      </c>
      <c r="H5518" t="s">
        <v>10</v>
      </c>
      <c r="I5518" s="22">
        <f t="shared" si="173"/>
        <v>-1.5133044330916974E-2</v>
      </c>
      <c r="J5518" s="22" t="str">
        <f t="shared" si="174"/>
        <v>lost money</v>
      </c>
    </row>
    <row r="5519" spans="1:10">
      <c r="A5519" s="1">
        <v>41240</v>
      </c>
      <c r="B5519">
        <v>37.44</v>
      </c>
      <c r="C5519">
        <v>37.79</v>
      </c>
      <c r="D5519">
        <v>37.340000000000003</v>
      </c>
      <c r="E5519">
        <v>37.42</v>
      </c>
      <c r="F5519">
        <v>11873700</v>
      </c>
      <c r="G5519">
        <v>36.130000000000003</v>
      </c>
      <c r="H5519" t="s">
        <v>10</v>
      </c>
      <c r="I5519" s="22">
        <f t="shared" si="173"/>
        <v>1.6620502441012039E-3</v>
      </c>
      <c r="J5519" s="22" t="str">
        <f t="shared" si="174"/>
        <v>lost money</v>
      </c>
    </row>
    <row r="5520" spans="1:10">
      <c r="A5520" s="1">
        <v>41241</v>
      </c>
      <c r="B5520">
        <v>37.06</v>
      </c>
      <c r="C5520">
        <v>37.57</v>
      </c>
      <c r="D5520">
        <v>36.799999999999997</v>
      </c>
      <c r="E5520">
        <v>37.56</v>
      </c>
      <c r="F5520">
        <v>14846300</v>
      </c>
      <c r="G5520">
        <v>36.51</v>
      </c>
      <c r="H5520" t="s">
        <v>10</v>
      </c>
      <c r="I5520" s="22">
        <f t="shared" si="173"/>
        <v>1.0462650507996489E-2</v>
      </c>
      <c r="J5520" s="22" t="str">
        <f t="shared" si="174"/>
        <v/>
      </c>
    </row>
    <row r="5521" spans="1:10">
      <c r="A5521" s="1">
        <v>41242</v>
      </c>
      <c r="B5521">
        <v>37.68</v>
      </c>
      <c r="C5521">
        <v>37.97</v>
      </c>
      <c r="D5521">
        <v>37.5</v>
      </c>
      <c r="E5521">
        <v>37.97</v>
      </c>
      <c r="F5521">
        <v>12433700</v>
      </c>
      <c r="G5521">
        <v>36.909999999999997</v>
      </c>
      <c r="H5521" t="s">
        <v>10</v>
      </c>
      <c r="I5521" s="22">
        <f t="shared" si="173"/>
        <v>1.0896321374361586E-2</v>
      </c>
      <c r="J5521" s="22" t="str">
        <f t="shared" si="174"/>
        <v/>
      </c>
    </row>
    <row r="5522" spans="1:10">
      <c r="A5522" s="1">
        <v>41243</v>
      </c>
      <c r="B5522">
        <v>37.94</v>
      </c>
      <c r="C5522">
        <v>37.979999999999997</v>
      </c>
      <c r="D5522">
        <v>37.659999999999997</v>
      </c>
      <c r="E5522">
        <v>37.92</v>
      </c>
      <c r="F5522">
        <v>13039500</v>
      </c>
      <c r="G5522">
        <v>36.86</v>
      </c>
      <c r="H5522" t="s">
        <v>10</v>
      </c>
      <c r="I5522" s="22">
        <f t="shared" si="173"/>
        <v>-1.3555648002298924E-3</v>
      </c>
      <c r="J5522" s="22" t="str">
        <f t="shared" si="174"/>
        <v>lost money</v>
      </c>
    </row>
    <row r="5523" spans="1:10">
      <c r="A5523" s="1">
        <v>41246</v>
      </c>
      <c r="B5523">
        <v>37.9</v>
      </c>
      <c r="C5523">
        <v>37.94</v>
      </c>
      <c r="D5523">
        <v>37.33</v>
      </c>
      <c r="E5523">
        <v>37.380000000000003</v>
      </c>
      <c r="F5523">
        <v>12864900</v>
      </c>
      <c r="G5523">
        <v>36.340000000000003</v>
      </c>
      <c r="H5523" t="s">
        <v>10</v>
      </c>
      <c r="I5523" s="22">
        <f t="shared" si="173"/>
        <v>-1.4207889273651939E-2</v>
      </c>
      <c r="J5523" s="22" t="str">
        <f t="shared" si="174"/>
        <v>lost money</v>
      </c>
    </row>
    <row r="5524" spans="1:10">
      <c r="A5524" s="1">
        <v>41247</v>
      </c>
      <c r="B5524">
        <v>37.31</v>
      </c>
      <c r="C5524">
        <v>37.49</v>
      </c>
      <c r="D5524">
        <v>37.14</v>
      </c>
      <c r="E5524">
        <v>37.15</v>
      </c>
      <c r="F5524">
        <v>11794200</v>
      </c>
      <c r="G5524">
        <v>36.11</v>
      </c>
      <c r="H5524" t="s">
        <v>10</v>
      </c>
      <c r="I5524" s="22">
        <f t="shared" si="173"/>
        <v>-6.3492276786588919E-3</v>
      </c>
      <c r="J5524" s="22" t="str">
        <f t="shared" si="174"/>
        <v>lost money</v>
      </c>
    </row>
    <row r="5525" spans="1:10">
      <c r="A5525" s="1">
        <v>41248</v>
      </c>
      <c r="B5525">
        <v>37.200000000000003</v>
      </c>
      <c r="C5525">
        <v>37.5</v>
      </c>
      <c r="D5525">
        <v>37.08</v>
      </c>
      <c r="E5525">
        <v>37.31</v>
      </c>
      <c r="F5525">
        <v>14561400</v>
      </c>
      <c r="G5525">
        <v>36.270000000000003</v>
      </c>
      <c r="H5525" t="s">
        <v>10</v>
      </c>
      <c r="I5525" s="22">
        <f t="shared" si="173"/>
        <v>4.4211180054446924E-3</v>
      </c>
      <c r="J5525" s="22" t="str">
        <f t="shared" si="174"/>
        <v/>
      </c>
    </row>
    <row r="5526" spans="1:10">
      <c r="A5526" s="1">
        <v>41249</v>
      </c>
      <c r="B5526">
        <v>37.340000000000003</v>
      </c>
      <c r="C5526">
        <v>37.44</v>
      </c>
      <c r="D5526">
        <v>37.299999999999997</v>
      </c>
      <c r="E5526">
        <v>37.380000000000003</v>
      </c>
      <c r="F5526">
        <v>8974700</v>
      </c>
      <c r="G5526">
        <v>36.340000000000003</v>
      </c>
      <c r="H5526" t="s">
        <v>10</v>
      </c>
      <c r="I5526" s="22">
        <f t="shared" si="173"/>
        <v>1.9281096732140369E-3</v>
      </c>
      <c r="J5526" s="22" t="str">
        <f t="shared" si="174"/>
        <v/>
      </c>
    </row>
    <row r="5527" spans="1:10">
      <c r="A5527" s="1">
        <v>41250</v>
      </c>
      <c r="B5527">
        <v>37.44</v>
      </c>
      <c r="C5527">
        <v>37.74</v>
      </c>
      <c r="D5527">
        <v>37.39</v>
      </c>
      <c r="E5527">
        <v>37.71</v>
      </c>
      <c r="F5527">
        <v>10654700</v>
      </c>
      <c r="G5527">
        <v>36.659999999999997</v>
      </c>
      <c r="H5527" t="s">
        <v>10</v>
      </c>
      <c r="I5527" s="22">
        <f t="shared" si="173"/>
        <v>8.7671794435335501E-3</v>
      </c>
      <c r="J5527" s="22" t="str">
        <f t="shared" si="174"/>
        <v/>
      </c>
    </row>
    <row r="5528" spans="1:10">
      <c r="A5528" s="1">
        <v>41253</v>
      </c>
      <c r="B5528">
        <v>37.700000000000003</v>
      </c>
      <c r="C5528">
        <v>37.78</v>
      </c>
      <c r="D5528">
        <v>37.51</v>
      </c>
      <c r="E5528">
        <v>37.64</v>
      </c>
      <c r="F5528">
        <v>8603200</v>
      </c>
      <c r="G5528">
        <v>36.590000000000003</v>
      </c>
      <c r="H5528" t="s">
        <v>10</v>
      </c>
      <c r="I5528" s="22">
        <f t="shared" si="173"/>
        <v>-1.9112633804432722E-3</v>
      </c>
      <c r="J5528" s="22" t="str">
        <f t="shared" si="174"/>
        <v>lost money</v>
      </c>
    </row>
    <row r="5529" spans="1:10">
      <c r="A5529" s="1">
        <v>41254</v>
      </c>
      <c r="B5529">
        <v>37.630000000000003</v>
      </c>
      <c r="C5529">
        <v>37.99</v>
      </c>
      <c r="D5529">
        <v>37.58</v>
      </c>
      <c r="E5529">
        <v>37.86</v>
      </c>
      <c r="F5529">
        <v>10671300</v>
      </c>
      <c r="G5529">
        <v>36.799999999999997</v>
      </c>
      <c r="H5529" t="s">
        <v>10</v>
      </c>
      <c r="I5529" s="22">
        <f t="shared" si="173"/>
        <v>5.7228661437696803E-3</v>
      </c>
      <c r="J5529" s="22" t="str">
        <f t="shared" si="174"/>
        <v/>
      </c>
    </row>
    <row r="5530" spans="1:10">
      <c r="A5530" s="1">
        <v>41255</v>
      </c>
      <c r="B5530">
        <v>37.89</v>
      </c>
      <c r="C5530">
        <v>37.93</v>
      </c>
      <c r="D5530">
        <v>37.5</v>
      </c>
      <c r="E5530">
        <v>37.64</v>
      </c>
      <c r="F5530">
        <v>14681700</v>
      </c>
      <c r="G5530">
        <v>36.590000000000003</v>
      </c>
      <c r="H5530" t="s">
        <v>10</v>
      </c>
      <c r="I5530" s="22">
        <f t="shared" si="173"/>
        <v>-5.7228661437695874E-3</v>
      </c>
      <c r="J5530" s="22" t="str">
        <f t="shared" si="174"/>
        <v>lost money</v>
      </c>
    </row>
    <row r="5531" spans="1:10">
      <c r="A5531" s="1">
        <v>41256</v>
      </c>
      <c r="B5531">
        <v>37.700000000000003</v>
      </c>
      <c r="C5531">
        <v>37.79</v>
      </c>
      <c r="D5531">
        <v>37.53</v>
      </c>
      <c r="E5531">
        <v>37.6</v>
      </c>
      <c r="F5531">
        <v>11442100</v>
      </c>
      <c r="G5531">
        <v>36.549999999999997</v>
      </c>
      <c r="H5531" t="s">
        <v>10</v>
      </c>
      <c r="I5531" s="22">
        <f t="shared" si="173"/>
        <v>-1.0937928353281204E-3</v>
      </c>
      <c r="J5531" s="22" t="str">
        <f t="shared" si="174"/>
        <v>lost money</v>
      </c>
    </row>
    <row r="5532" spans="1:10">
      <c r="A5532" s="1">
        <v>41257</v>
      </c>
      <c r="B5532">
        <v>37.520000000000003</v>
      </c>
      <c r="C5532">
        <v>37.770000000000003</v>
      </c>
      <c r="D5532">
        <v>37.5</v>
      </c>
      <c r="E5532">
        <v>37.659999999999997</v>
      </c>
      <c r="F5532">
        <v>11800900</v>
      </c>
      <c r="G5532">
        <v>36.61</v>
      </c>
      <c r="H5532" t="s">
        <v>10</v>
      </c>
      <c r="I5532" s="22">
        <f t="shared" si="173"/>
        <v>1.640240936357466E-3</v>
      </c>
      <c r="J5532" s="22" t="str">
        <f t="shared" si="174"/>
        <v/>
      </c>
    </row>
    <row r="5533" spans="1:10">
      <c r="A5533" s="1">
        <v>41260</v>
      </c>
      <c r="B5533">
        <v>37.79</v>
      </c>
      <c r="C5533">
        <v>37.82</v>
      </c>
      <c r="D5533">
        <v>37.380000000000003</v>
      </c>
      <c r="E5533">
        <v>37.5</v>
      </c>
      <c r="F5533">
        <v>17588900</v>
      </c>
      <c r="G5533">
        <v>36.450000000000003</v>
      </c>
      <c r="H5533" t="s">
        <v>10</v>
      </c>
      <c r="I5533" s="22">
        <f t="shared" si="173"/>
        <v>-4.3799686774775486E-3</v>
      </c>
      <c r="J5533" s="22" t="str">
        <f t="shared" si="174"/>
        <v>lost money</v>
      </c>
    </row>
    <row r="5534" spans="1:10">
      <c r="A5534" s="1">
        <v>41261</v>
      </c>
      <c r="B5534">
        <v>37.53</v>
      </c>
      <c r="C5534">
        <v>37.700000000000003</v>
      </c>
      <c r="D5534">
        <v>37.130000000000003</v>
      </c>
      <c r="E5534">
        <v>37.28</v>
      </c>
      <c r="F5534">
        <v>17952100</v>
      </c>
      <c r="G5534">
        <v>36.24</v>
      </c>
      <c r="H5534" t="s">
        <v>10</v>
      </c>
      <c r="I5534" s="22">
        <f t="shared" si="173"/>
        <v>-5.7779772798885708E-3</v>
      </c>
      <c r="J5534" s="22" t="str">
        <f t="shared" si="174"/>
        <v>lost money</v>
      </c>
    </row>
    <row r="5535" spans="1:10">
      <c r="A5535" s="1">
        <v>41262</v>
      </c>
      <c r="B5535">
        <v>37.25</v>
      </c>
      <c r="C5535">
        <v>37.29</v>
      </c>
      <c r="D5535">
        <v>36.770000000000003</v>
      </c>
      <c r="E5535">
        <v>36.78</v>
      </c>
      <c r="F5535">
        <v>17991900</v>
      </c>
      <c r="G5535">
        <v>35.75</v>
      </c>
      <c r="H5535" t="s">
        <v>10</v>
      </c>
      <c r="I5535" s="22">
        <f t="shared" si="173"/>
        <v>-1.3613212034762017E-2</v>
      </c>
      <c r="J5535" s="22" t="str">
        <f t="shared" si="174"/>
        <v>lost money</v>
      </c>
    </row>
    <row r="5536" spans="1:10">
      <c r="A5536" s="1">
        <v>41263</v>
      </c>
      <c r="B5536">
        <v>36.69</v>
      </c>
      <c r="C5536">
        <v>37.1</v>
      </c>
      <c r="D5536">
        <v>36.65</v>
      </c>
      <c r="E5536">
        <v>37.049999999999997</v>
      </c>
      <c r="F5536">
        <v>16182700</v>
      </c>
      <c r="G5536">
        <v>36.020000000000003</v>
      </c>
      <c r="H5536" t="s">
        <v>10</v>
      </c>
      <c r="I5536" s="22">
        <f t="shared" si="173"/>
        <v>7.5240706077933563E-3</v>
      </c>
      <c r="J5536" s="22" t="str">
        <f t="shared" si="174"/>
        <v/>
      </c>
    </row>
    <row r="5537" spans="1:10">
      <c r="A5537" s="1">
        <v>41264</v>
      </c>
      <c r="B5537">
        <v>37</v>
      </c>
      <c r="C5537">
        <v>37.19</v>
      </c>
      <c r="D5537">
        <v>36.53</v>
      </c>
      <c r="E5537">
        <v>36.89</v>
      </c>
      <c r="F5537">
        <v>27942400</v>
      </c>
      <c r="G5537">
        <v>35.86</v>
      </c>
      <c r="H5537" t="s">
        <v>10</v>
      </c>
      <c r="I5537" s="22">
        <f t="shared" si="173"/>
        <v>-4.4518715708233075E-3</v>
      </c>
      <c r="J5537" s="22" t="str">
        <f t="shared" si="174"/>
        <v>lost money</v>
      </c>
    </row>
    <row r="5538" spans="1:10">
      <c r="A5538" s="1">
        <v>41267</v>
      </c>
      <c r="B5538">
        <v>36.72</v>
      </c>
      <c r="C5538">
        <v>36.799999999999997</v>
      </c>
      <c r="D5538">
        <v>36.57</v>
      </c>
      <c r="E5538">
        <v>36.729999999999997</v>
      </c>
      <c r="F5538">
        <v>4851800</v>
      </c>
      <c r="G5538">
        <v>35.700000000000003</v>
      </c>
      <c r="H5538" t="s">
        <v>10</v>
      </c>
      <c r="I5538" s="22">
        <f t="shared" si="173"/>
        <v>-4.4717793913932897E-3</v>
      </c>
      <c r="J5538" s="22" t="str">
        <f t="shared" si="174"/>
        <v/>
      </c>
    </row>
    <row r="5539" spans="1:10">
      <c r="A5539" s="1">
        <v>41269</v>
      </c>
      <c r="B5539">
        <v>36.700000000000003</v>
      </c>
      <c r="C5539">
        <v>36.799999999999997</v>
      </c>
      <c r="D5539">
        <v>36.24</v>
      </c>
      <c r="E5539">
        <v>36.42</v>
      </c>
      <c r="F5539">
        <v>9982100</v>
      </c>
      <c r="G5539">
        <v>35.4</v>
      </c>
      <c r="H5539" t="s">
        <v>10</v>
      </c>
      <c r="I5539" s="22">
        <f t="shared" si="173"/>
        <v>-8.4388686458647076E-3</v>
      </c>
      <c r="J5539" s="22" t="str">
        <f t="shared" si="174"/>
        <v>lost money</v>
      </c>
    </row>
    <row r="5540" spans="1:10">
      <c r="A5540" s="1">
        <v>41270</v>
      </c>
      <c r="B5540">
        <v>36.35</v>
      </c>
      <c r="C5540">
        <v>36.549999999999997</v>
      </c>
      <c r="D5540">
        <v>36.200000000000003</v>
      </c>
      <c r="E5540">
        <v>36.42</v>
      </c>
      <c r="F5540">
        <v>11380600</v>
      </c>
      <c r="G5540">
        <v>35.4</v>
      </c>
      <c r="H5540" t="s">
        <v>10</v>
      </c>
      <c r="I5540" s="22">
        <f t="shared" si="173"/>
        <v>0</v>
      </c>
      <c r="J5540" s="22" t="str">
        <f t="shared" si="174"/>
        <v/>
      </c>
    </row>
    <row r="5541" spans="1:10">
      <c r="A5541" s="1">
        <v>41271</v>
      </c>
      <c r="B5541">
        <v>36.22</v>
      </c>
      <c r="C5541">
        <v>36.42</v>
      </c>
      <c r="D5541">
        <v>35.950000000000003</v>
      </c>
      <c r="E5541">
        <v>35.97</v>
      </c>
      <c r="F5541">
        <v>14053400</v>
      </c>
      <c r="G5541">
        <v>34.97</v>
      </c>
      <c r="H5541" t="s">
        <v>10</v>
      </c>
      <c r="I5541" s="22">
        <f t="shared" si="173"/>
        <v>-1.2221269064444231E-2</v>
      </c>
      <c r="J5541" s="22" t="str">
        <f t="shared" si="174"/>
        <v>lost money</v>
      </c>
    </row>
    <row r="5542" spans="1:10">
      <c r="A5542" s="1">
        <v>41274</v>
      </c>
      <c r="B5542">
        <v>35.880000000000003</v>
      </c>
      <c r="C5542">
        <v>36.28</v>
      </c>
      <c r="D5542">
        <v>35.58</v>
      </c>
      <c r="E5542">
        <v>36.25</v>
      </c>
      <c r="F5542">
        <v>15651400</v>
      </c>
      <c r="G5542">
        <v>35.24</v>
      </c>
      <c r="H5542" t="s">
        <v>10</v>
      </c>
      <c r="I5542" s="22">
        <f t="shared" si="173"/>
        <v>7.6912499926943007E-3</v>
      </c>
      <c r="J5542" s="22" t="str">
        <f t="shared" si="174"/>
        <v/>
      </c>
    </row>
    <row r="5543" spans="1:10">
      <c r="A5543" s="1">
        <v>41276</v>
      </c>
      <c r="B5543">
        <v>36.99</v>
      </c>
      <c r="C5543">
        <v>37.6</v>
      </c>
      <c r="D5543">
        <v>36.659999999999997</v>
      </c>
      <c r="E5543">
        <v>37.6</v>
      </c>
      <c r="F5543">
        <v>21872400</v>
      </c>
      <c r="G5543">
        <v>36.549999999999997</v>
      </c>
      <c r="H5543" t="s">
        <v>10</v>
      </c>
      <c r="I5543" s="22">
        <f t="shared" si="173"/>
        <v>3.6499385127808662E-2</v>
      </c>
      <c r="J5543" s="22" t="str">
        <f t="shared" si="174"/>
        <v/>
      </c>
    </row>
    <row r="5544" spans="1:10">
      <c r="A5544" s="1">
        <v>41277</v>
      </c>
      <c r="B5544">
        <v>37.450000000000003</v>
      </c>
      <c r="C5544">
        <v>37.6</v>
      </c>
      <c r="D5544">
        <v>37.11</v>
      </c>
      <c r="E5544">
        <v>37.6</v>
      </c>
      <c r="F5544">
        <v>16357900</v>
      </c>
      <c r="G5544">
        <v>36.549999999999997</v>
      </c>
      <c r="H5544" t="s">
        <v>10</v>
      </c>
      <c r="I5544" s="22">
        <f t="shared" si="173"/>
        <v>0</v>
      </c>
      <c r="J5544" s="22" t="str">
        <f t="shared" si="174"/>
        <v/>
      </c>
    </row>
    <row r="5545" spans="1:10">
      <c r="A5545" s="1">
        <v>41278</v>
      </c>
      <c r="B5545">
        <v>37.65</v>
      </c>
      <c r="C5545">
        <v>37.869999999999997</v>
      </c>
      <c r="D5545">
        <v>37.520000000000003</v>
      </c>
      <c r="E5545">
        <v>37.659999999999997</v>
      </c>
      <c r="F5545">
        <v>15311300</v>
      </c>
      <c r="G5545">
        <v>36.61</v>
      </c>
      <c r="H5545" t="s">
        <v>10</v>
      </c>
      <c r="I5545" s="22">
        <f t="shared" si="173"/>
        <v>1.640240936357466E-3</v>
      </c>
      <c r="J5545" s="22" t="str">
        <f t="shared" si="174"/>
        <v/>
      </c>
    </row>
    <row r="5546" spans="1:10">
      <c r="A5546" s="1">
        <v>41281</v>
      </c>
      <c r="B5546">
        <v>37.520000000000003</v>
      </c>
      <c r="C5546">
        <v>37.520000000000003</v>
      </c>
      <c r="D5546">
        <v>37.1</v>
      </c>
      <c r="E5546">
        <v>37.299999999999997</v>
      </c>
      <c r="F5546">
        <v>14610200</v>
      </c>
      <c r="G5546">
        <v>36.26</v>
      </c>
      <c r="H5546" t="s">
        <v>10</v>
      </c>
      <c r="I5546" s="22">
        <f t="shared" si="173"/>
        <v>-9.6062218054398674E-3</v>
      </c>
      <c r="J5546" s="22" t="str">
        <f t="shared" si="174"/>
        <v>lost money</v>
      </c>
    </row>
    <row r="5547" spans="1:10">
      <c r="A5547" s="1">
        <v>41282</v>
      </c>
      <c r="B5547">
        <v>37.19</v>
      </c>
      <c r="C5547">
        <v>37.28</v>
      </c>
      <c r="D5547">
        <v>36.909999999999997</v>
      </c>
      <c r="E5547">
        <v>37.04</v>
      </c>
      <c r="F5547">
        <v>14324300</v>
      </c>
      <c r="G5547">
        <v>36.01</v>
      </c>
      <c r="H5547" t="s">
        <v>10</v>
      </c>
      <c r="I5547" s="22">
        <f t="shared" si="173"/>
        <v>-6.9185276659211783E-3</v>
      </c>
      <c r="J5547" s="22" t="str">
        <f t="shared" si="174"/>
        <v>lost money</v>
      </c>
    </row>
    <row r="5548" spans="1:10">
      <c r="A5548" s="1">
        <v>41283</v>
      </c>
      <c r="B5548">
        <v>37.200000000000003</v>
      </c>
      <c r="C5548">
        <v>37.200000000000003</v>
      </c>
      <c r="D5548">
        <v>36.83</v>
      </c>
      <c r="E5548">
        <v>37.03</v>
      </c>
      <c r="F5548">
        <v>10563700</v>
      </c>
      <c r="G5548">
        <v>36</v>
      </c>
      <c r="H5548" t="s">
        <v>10</v>
      </c>
      <c r="I5548" s="22">
        <f t="shared" si="173"/>
        <v>-2.7773920467386167E-4</v>
      </c>
      <c r="J5548" s="22" t="str">
        <f t="shared" si="174"/>
        <v>lost money</v>
      </c>
    </row>
    <row r="5549" spans="1:10">
      <c r="A5549" s="1">
        <v>41284</v>
      </c>
      <c r="B5549">
        <v>37.119999999999997</v>
      </c>
      <c r="C5549">
        <v>37.17</v>
      </c>
      <c r="D5549">
        <v>36.76</v>
      </c>
      <c r="E5549">
        <v>36.96</v>
      </c>
      <c r="F5549">
        <v>15603700</v>
      </c>
      <c r="G5549">
        <v>35.93</v>
      </c>
      <c r="H5549" t="s">
        <v>10</v>
      </c>
      <c r="I5549" s="22">
        <f t="shared" si="173"/>
        <v>-1.9463373306826104E-3</v>
      </c>
      <c r="J5549" s="22" t="str">
        <f t="shared" si="174"/>
        <v>lost money</v>
      </c>
    </row>
    <row r="5550" spans="1:10">
      <c r="A5550" s="1">
        <v>41285</v>
      </c>
      <c r="B5550">
        <v>36.840000000000003</v>
      </c>
      <c r="C5550">
        <v>36.94</v>
      </c>
      <c r="D5550">
        <v>36.520000000000003</v>
      </c>
      <c r="E5550">
        <v>36.909999999999997</v>
      </c>
      <c r="F5550">
        <v>15644800</v>
      </c>
      <c r="G5550">
        <v>35.880000000000003</v>
      </c>
      <c r="H5550" t="s">
        <v>10</v>
      </c>
      <c r="I5550" s="22">
        <f t="shared" si="173"/>
        <v>-1.3925639348319624E-3</v>
      </c>
      <c r="J5550" s="22" t="str">
        <f t="shared" si="174"/>
        <v/>
      </c>
    </row>
    <row r="5551" spans="1:10">
      <c r="A5551" s="1">
        <v>41288</v>
      </c>
      <c r="B5551">
        <v>36.950000000000003</v>
      </c>
      <c r="C5551">
        <v>37.11</v>
      </c>
      <c r="D5551">
        <v>36.799999999999997</v>
      </c>
      <c r="E5551">
        <v>36.99</v>
      </c>
      <c r="F5551">
        <v>11001500</v>
      </c>
      <c r="G5551">
        <v>35.96</v>
      </c>
      <c r="H5551" t="s">
        <v>10</v>
      </c>
      <c r="I5551" s="22">
        <f t="shared" si="173"/>
        <v>2.2271724128240795E-3</v>
      </c>
      <c r="J5551" s="22" t="str">
        <f t="shared" si="174"/>
        <v/>
      </c>
    </row>
    <row r="5552" spans="1:10">
      <c r="A5552" s="1">
        <v>41289</v>
      </c>
      <c r="B5552">
        <v>36.99</v>
      </c>
      <c r="C5552">
        <v>37.43</v>
      </c>
      <c r="D5552">
        <v>36.799999999999997</v>
      </c>
      <c r="E5552">
        <v>37.32</v>
      </c>
      <c r="F5552">
        <v>12721600</v>
      </c>
      <c r="G5552">
        <v>36.28</v>
      </c>
      <c r="H5552" t="s">
        <v>10</v>
      </c>
      <c r="I5552" s="22">
        <f t="shared" si="173"/>
        <v>8.8594156435162757E-3</v>
      </c>
      <c r="J5552" s="22" t="str">
        <f t="shared" si="174"/>
        <v/>
      </c>
    </row>
    <row r="5553" spans="1:10">
      <c r="A5553" s="1">
        <v>41290</v>
      </c>
      <c r="B5553">
        <v>37.21</v>
      </c>
      <c r="C5553">
        <v>37.42</v>
      </c>
      <c r="D5553">
        <v>37.119999999999997</v>
      </c>
      <c r="E5553">
        <v>37.32</v>
      </c>
      <c r="F5553">
        <v>9168000</v>
      </c>
      <c r="G5553">
        <v>36.28</v>
      </c>
      <c r="H5553" t="s">
        <v>10</v>
      </c>
      <c r="I5553" s="22">
        <f t="shared" si="173"/>
        <v>0</v>
      </c>
      <c r="J5553" s="22" t="str">
        <f t="shared" si="174"/>
        <v/>
      </c>
    </row>
    <row r="5554" spans="1:10">
      <c r="A5554" s="1">
        <v>41291</v>
      </c>
      <c r="B5554">
        <v>37.43</v>
      </c>
      <c r="C5554">
        <v>37.659999999999997</v>
      </c>
      <c r="D5554">
        <v>37.33</v>
      </c>
      <c r="E5554">
        <v>37.51</v>
      </c>
      <c r="F5554">
        <v>12121800</v>
      </c>
      <c r="G5554">
        <v>36.46</v>
      </c>
      <c r="H5554" t="s">
        <v>10</v>
      </c>
      <c r="I5554" s="22">
        <f t="shared" si="173"/>
        <v>4.9491440035812117E-3</v>
      </c>
      <c r="J5554" s="22" t="str">
        <f t="shared" si="174"/>
        <v/>
      </c>
    </row>
    <row r="5555" spans="1:10">
      <c r="A5555" s="1">
        <v>41292</v>
      </c>
      <c r="B5555">
        <v>37.49</v>
      </c>
      <c r="C5555">
        <v>37.71</v>
      </c>
      <c r="D5555">
        <v>37.31</v>
      </c>
      <c r="E5555">
        <v>37.700000000000003</v>
      </c>
      <c r="F5555">
        <v>14056100</v>
      </c>
      <c r="G5555">
        <v>36.65</v>
      </c>
      <c r="H5555" t="s">
        <v>10</v>
      </c>
      <c r="I5555" s="22">
        <f t="shared" si="173"/>
        <v>5.1976590821433567E-3</v>
      </c>
      <c r="J5555" s="22" t="str">
        <f t="shared" si="174"/>
        <v/>
      </c>
    </row>
    <row r="5556" spans="1:10">
      <c r="A5556" s="1">
        <v>41296</v>
      </c>
      <c r="B5556">
        <v>37.74</v>
      </c>
      <c r="C5556">
        <v>37.74</v>
      </c>
      <c r="D5556">
        <v>37.049999999999997</v>
      </c>
      <c r="E5556">
        <v>37.130000000000003</v>
      </c>
      <c r="F5556">
        <v>21249400</v>
      </c>
      <c r="G5556">
        <v>36.090000000000003</v>
      </c>
      <c r="H5556" t="s">
        <v>10</v>
      </c>
      <c r="I5556" s="22">
        <f t="shared" si="173"/>
        <v>-1.5397609677963197E-2</v>
      </c>
      <c r="J5556" s="22" t="str">
        <f t="shared" si="174"/>
        <v>lost money</v>
      </c>
    </row>
    <row r="5557" spans="1:10">
      <c r="A5557" s="1">
        <v>41297</v>
      </c>
      <c r="B5557">
        <v>37.08</v>
      </c>
      <c r="C5557">
        <v>37.26</v>
      </c>
      <c r="D5557">
        <v>37.04</v>
      </c>
      <c r="E5557">
        <v>37.130000000000003</v>
      </c>
      <c r="F5557">
        <v>13570200</v>
      </c>
      <c r="G5557">
        <v>36.090000000000003</v>
      </c>
      <c r="H5557" t="s">
        <v>10</v>
      </c>
      <c r="I5557" s="22">
        <f t="shared" si="173"/>
        <v>0</v>
      </c>
      <c r="J5557" s="22" t="str">
        <f t="shared" si="174"/>
        <v/>
      </c>
    </row>
    <row r="5558" spans="1:10">
      <c r="A5558" s="1">
        <v>41298</v>
      </c>
      <c r="B5558">
        <v>37.200000000000003</v>
      </c>
      <c r="C5558">
        <v>37.25</v>
      </c>
      <c r="D5558">
        <v>37</v>
      </c>
      <c r="E5558">
        <v>37.11</v>
      </c>
      <c r="F5558">
        <v>13258900</v>
      </c>
      <c r="G5558">
        <v>36.07</v>
      </c>
      <c r="H5558" t="s">
        <v>10</v>
      </c>
      <c r="I5558" s="22">
        <f t="shared" si="173"/>
        <v>-5.5432373924966421E-4</v>
      </c>
      <c r="J5558" s="22" t="str">
        <f t="shared" si="174"/>
        <v>lost money</v>
      </c>
    </row>
    <row r="5559" spans="1:10">
      <c r="A5559" s="1">
        <v>41299</v>
      </c>
      <c r="B5559">
        <v>37.18</v>
      </c>
      <c r="C5559">
        <v>37.25</v>
      </c>
      <c r="D5559">
        <v>36.909999999999997</v>
      </c>
      <c r="E5559">
        <v>37.049999999999997</v>
      </c>
      <c r="F5559">
        <v>14040700</v>
      </c>
      <c r="G5559">
        <v>36.020000000000003</v>
      </c>
      <c r="H5559" t="s">
        <v>10</v>
      </c>
      <c r="I5559" s="22">
        <f t="shared" si="173"/>
        <v>-1.3871551676375089E-3</v>
      </c>
      <c r="J5559" s="22" t="str">
        <f t="shared" si="174"/>
        <v>lost money</v>
      </c>
    </row>
    <row r="5560" spans="1:10">
      <c r="A5560" s="1">
        <v>41302</v>
      </c>
      <c r="B5560">
        <v>37.07</v>
      </c>
      <c r="C5560">
        <v>37.11</v>
      </c>
      <c r="D5560">
        <v>36.86</v>
      </c>
      <c r="E5560">
        <v>37.01</v>
      </c>
      <c r="F5560">
        <v>13386500</v>
      </c>
      <c r="G5560">
        <v>35.979999999999997</v>
      </c>
      <c r="H5560" t="s">
        <v>10</v>
      </c>
      <c r="I5560" s="22">
        <f t="shared" si="173"/>
        <v>-1.1111112254231963E-3</v>
      </c>
      <c r="J5560" s="22" t="str">
        <f t="shared" si="174"/>
        <v>lost money</v>
      </c>
    </row>
    <row r="5561" spans="1:10">
      <c r="A5561" s="1">
        <v>41303</v>
      </c>
      <c r="B5561">
        <v>36.880000000000003</v>
      </c>
      <c r="C5561">
        <v>37.57</v>
      </c>
      <c r="D5561">
        <v>36.86</v>
      </c>
      <c r="E5561">
        <v>37.42</v>
      </c>
      <c r="F5561">
        <v>17705800</v>
      </c>
      <c r="G5561">
        <v>36.369999999999997</v>
      </c>
      <c r="H5561" t="s">
        <v>10</v>
      </c>
      <c r="I5561" s="22">
        <f t="shared" si="173"/>
        <v>1.0781030476510583E-2</v>
      </c>
      <c r="J5561" s="22" t="str">
        <f t="shared" si="174"/>
        <v/>
      </c>
    </row>
    <row r="5562" spans="1:10">
      <c r="A5562" s="1">
        <v>41304</v>
      </c>
      <c r="B5562">
        <v>37.4</v>
      </c>
      <c r="C5562">
        <v>37.61</v>
      </c>
      <c r="D5562">
        <v>37.32</v>
      </c>
      <c r="E5562">
        <v>37.5</v>
      </c>
      <c r="F5562">
        <v>13219400</v>
      </c>
      <c r="G5562">
        <v>36.450000000000003</v>
      </c>
      <c r="H5562" t="s">
        <v>10</v>
      </c>
      <c r="I5562" s="22">
        <f t="shared" si="173"/>
        <v>2.1971994557696017E-3</v>
      </c>
      <c r="J5562" s="22" t="str">
        <f t="shared" si="174"/>
        <v/>
      </c>
    </row>
    <row r="5563" spans="1:10">
      <c r="A5563" s="1">
        <v>41305</v>
      </c>
      <c r="B5563">
        <v>37.53</v>
      </c>
      <c r="C5563">
        <v>37.53</v>
      </c>
      <c r="D5563">
        <v>37.11</v>
      </c>
      <c r="E5563">
        <v>37.24</v>
      </c>
      <c r="F5563">
        <v>12969100</v>
      </c>
      <c r="G5563">
        <v>36.200000000000003</v>
      </c>
      <c r="H5563" t="s">
        <v>10</v>
      </c>
      <c r="I5563" s="22">
        <f t="shared" si="173"/>
        <v>-6.8823396229417888E-3</v>
      </c>
      <c r="J5563" s="22" t="str">
        <f t="shared" si="174"/>
        <v>lost money</v>
      </c>
    </row>
    <row r="5564" spans="1:10">
      <c r="A5564" s="1">
        <v>41306</v>
      </c>
      <c r="B5564">
        <v>37.54</v>
      </c>
      <c r="C5564">
        <v>37.71</v>
      </c>
      <c r="D5564">
        <v>37.369999999999997</v>
      </c>
      <c r="E5564">
        <v>37.54</v>
      </c>
      <c r="F5564">
        <v>11932600</v>
      </c>
      <c r="G5564">
        <v>36.49</v>
      </c>
      <c r="H5564" t="s">
        <v>10</v>
      </c>
      <c r="I5564" s="22">
        <f t="shared" si="173"/>
        <v>7.9791316166308753E-3</v>
      </c>
      <c r="J5564" s="22" t="str">
        <f t="shared" si="174"/>
        <v/>
      </c>
    </row>
    <row r="5565" spans="1:10">
      <c r="A5565" s="1">
        <v>41309</v>
      </c>
      <c r="B5565">
        <v>37.479999999999997</v>
      </c>
      <c r="C5565">
        <v>37.58</v>
      </c>
      <c r="D5565">
        <v>37.299999999999997</v>
      </c>
      <c r="E5565">
        <v>37.35</v>
      </c>
      <c r="F5565">
        <v>9456300</v>
      </c>
      <c r="G5565">
        <v>36.31</v>
      </c>
      <c r="H5565" t="s">
        <v>10</v>
      </c>
      <c r="I5565" s="22">
        <f t="shared" si="173"/>
        <v>-4.9450650221118829E-3</v>
      </c>
      <c r="J5565" s="22" t="str">
        <f t="shared" si="174"/>
        <v>lost money</v>
      </c>
    </row>
    <row r="5566" spans="1:10">
      <c r="A5566" s="1">
        <v>41310</v>
      </c>
      <c r="B5566">
        <v>37.56</v>
      </c>
      <c r="C5566">
        <v>38.159999999999997</v>
      </c>
      <c r="D5566">
        <v>37.56</v>
      </c>
      <c r="E5566">
        <v>38.14</v>
      </c>
      <c r="F5566">
        <v>17897300</v>
      </c>
      <c r="G5566">
        <v>37.07</v>
      </c>
      <c r="H5566" t="s">
        <v>10</v>
      </c>
      <c r="I5566" s="22">
        <f t="shared" si="173"/>
        <v>2.0714831736396499E-2</v>
      </c>
      <c r="J5566" s="22" t="str">
        <f t="shared" si="174"/>
        <v/>
      </c>
    </row>
    <row r="5567" spans="1:10">
      <c r="A5567" s="1">
        <v>41311</v>
      </c>
      <c r="B5567">
        <v>38.130000000000003</v>
      </c>
      <c r="C5567">
        <v>38.43</v>
      </c>
      <c r="D5567">
        <v>38</v>
      </c>
      <c r="E5567">
        <v>38.31</v>
      </c>
      <c r="F5567">
        <v>16823700</v>
      </c>
      <c r="G5567">
        <v>37.24</v>
      </c>
      <c r="H5567" t="s">
        <v>10</v>
      </c>
      <c r="I5567" s="22">
        <f t="shared" si="173"/>
        <v>4.5754352462254672E-3</v>
      </c>
      <c r="J5567" s="22" t="str">
        <f t="shared" si="174"/>
        <v/>
      </c>
    </row>
    <row r="5568" spans="1:10">
      <c r="A5568" s="1">
        <v>41312</v>
      </c>
      <c r="B5568">
        <v>38.42</v>
      </c>
      <c r="C5568">
        <v>39.06</v>
      </c>
      <c r="D5568">
        <v>38.35</v>
      </c>
      <c r="E5568">
        <v>38.909999999999997</v>
      </c>
      <c r="F5568">
        <v>18805300</v>
      </c>
      <c r="G5568">
        <v>37.82</v>
      </c>
      <c r="H5568" t="s">
        <v>10</v>
      </c>
      <c r="I5568" s="22">
        <f t="shared" si="173"/>
        <v>1.5454610821445149E-2</v>
      </c>
      <c r="J5568" s="22" t="str">
        <f t="shared" si="174"/>
        <v/>
      </c>
    </row>
    <row r="5569" spans="1:10">
      <c r="A5569" s="1">
        <v>41313</v>
      </c>
      <c r="B5569">
        <v>38.85</v>
      </c>
      <c r="C5569">
        <v>38.94</v>
      </c>
      <c r="D5569">
        <v>38.6</v>
      </c>
      <c r="E5569">
        <v>38.770000000000003</v>
      </c>
      <c r="F5569">
        <v>12308000</v>
      </c>
      <c r="G5569">
        <v>37.69</v>
      </c>
      <c r="H5569" t="s">
        <v>10</v>
      </c>
      <c r="I5569" s="22">
        <f t="shared" si="173"/>
        <v>-3.4432559512674638E-3</v>
      </c>
      <c r="J5569" s="22" t="str">
        <f t="shared" si="174"/>
        <v>lost money</v>
      </c>
    </row>
    <row r="5570" spans="1:10">
      <c r="A5570" s="1">
        <v>41316</v>
      </c>
      <c r="B5570">
        <v>38.71</v>
      </c>
      <c r="C5570">
        <v>38.83</v>
      </c>
      <c r="D5570">
        <v>38.409999999999997</v>
      </c>
      <c r="E5570">
        <v>38.61</v>
      </c>
      <c r="F5570">
        <v>12159900</v>
      </c>
      <c r="G5570">
        <v>37.53</v>
      </c>
      <c r="H5570" t="s">
        <v>10</v>
      </c>
      <c r="I5570" s="22">
        <f t="shared" si="173"/>
        <v>-4.2541941321145513E-3</v>
      </c>
      <c r="J5570" s="22" t="str">
        <f t="shared" si="174"/>
        <v>lost money</v>
      </c>
    </row>
    <row r="5571" spans="1:10">
      <c r="A5571" s="1">
        <v>41317</v>
      </c>
      <c r="B5571">
        <v>38.11</v>
      </c>
      <c r="C5571">
        <v>38.159999999999997</v>
      </c>
      <c r="D5571">
        <v>37.28</v>
      </c>
      <c r="E5571">
        <v>37.56</v>
      </c>
      <c r="F5571">
        <v>30700500</v>
      </c>
      <c r="G5571">
        <v>36.51</v>
      </c>
      <c r="H5571" t="s">
        <v>10</v>
      </c>
      <c r="I5571" s="22">
        <f t="shared" ref="I5571:I5634" si="175">IF(A5571=$A$2,"",LN(G5571/G5570))</f>
        <v>-2.7554417479384096E-2</v>
      </c>
      <c r="J5571" s="22" t="str">
        <f t="shared" ref="J5571:J5634" si="176">IF(B5571&gt;E5571,"lost money","")</f>
        <v>lost money</v>
      </c>
    </row>
    <row r="5572" spans="1:10">
      <c r="A5572" s="1">
        <v>41318</v>
      </c>
      <c r="B5572">
        <v>37.67</v>
      </c>
      <c r="C5572">
        <v>37.94</v>
      </c>
      <c r="D5572">
        <v>37.01</v>
      </c>
      <c r="E5572">
        <v>37.21</v>
      </c>
      <c r="F5572">
        <v>19943800</v>
      </c>
      <c r="G5572">
        <v>36.17</v>
      </c>
      <c r="H5572" t="s">
        <v>10</v>
      </c>
      <c r="I5572" s="22">
        <f t="shared" si="175"/>
        <v>-9.3561497035388689E-3</v>
      </c>
      <c r="J5572" s="22" t="str">
        <f t="shared" si="176"/>
        <v>lost money</v>
      </c>
    </row>
    <row r="5573" spans="1:10">
      <c r="A5573" s="1">
        <v>41319</v>
      </c>
      <c r="B5573">
        <v>37.24</v>
      </c>
      <c r="C5573">
        <v>37.51</v>
      </c>
      <c r="D5573">
        <v>36.700000000000003</v>
      </c>
      <c r="E5573">
        <v>36.840000000000003</v>
      </c>
      <c r="F5573">
        <v>22748600</v>
      </c>
      <c r="G5573">
        <v>35.81</v>
      </c>
      <c r="H5573" t="s">
        <v>10</v>
      </c>
      <c r="I5573" s="22">
        <f t="shared" si="175"/>
        <v>-1.0002861953665272E-2</v>
      </c>
      <c r="J5573" s="22" t="str">
        <f t="shared" si="176"/>
        <v>lost money</v>
      </c>
    </row>
    <row r="5574" spans="1:10">
      <c r="A5574" s="1">
        <v>41320</v>
      </c>
      <c r="B5574">
        <v>36.94</v>
      </c>
      <c r="C5574">
        <v>37.42</v>
      </c>
      <c r="D5574">
        <v>36.54</v>
      </c>
      <c r="E5574">
        <v>37.42</v>
      </c>
      <c r="F5574">
        <v>25204300</v>
      </c>
      <c r="G5574">
        <v>36.369999999999997</v>
      </c>
      <c r="H5574" t="s">
        <v>10</v>
      </c>
      <c r="I5574" s="22">
        <f t="shared" si="175"/>
        <v>1.5517074988556241E-2</v>
      </c>
      <c r="J5574" s="22" t="str">
        <f t="shared" si="176"/>
        <v/>
      </c>
    </row>
    <row r="5575" spans="1:10">
      <c r="A5575" s="1">
        <v>41324</v>
      </c>
      <c r="B5575">
        <v>37.51</v>
      </c>
      <c r="C5575">
        <v>37.770000000000003</v>
      </c>
      <c r="D5575">
        <v>37.46</v>
      </c>
      <c r="E5575">
        <v>37.67</v>
      </c>
      <c r="F5575">
        <v>14850600</v>
      </c>
      <c r="G5575">
        <v>36.619999999999997</v>
      </c>
      <c r="H5575" t="s">
        <v>10</v>
      </c>
      <c r="I5575" s="22">
        <f t="shared" si="175"/>
        <v>6.8502802474668979E-3</v>
      </c>
      <c r="J5575" s="22" t="str">
        <f t="shared" si="176"/>
        <v/>
      </c>
    </row>
    <row r="5576" spans="1:10">
      <c r="A5576" s="1">
        <v>41325</v>
      </c>
      <c r="B5576">
        <v>37.700000000000003</v>
      </c>
      <c r="C5576">
        <v>37.880000000000003</v>
      </c>
      <c r="D5576">
        <v>37.409999999999997</v>
      </c>
      <c r="E5576">
        <v>37.729999999999997</v>
      </c>
      <c r="F5576">
        <v>12949300</v>
      </c>
      <c r="G5576">
        <v>36.68</v>
      </c>
      <c r="H5576" t="s">
        <v>10</v>
      </c>
      <c r="I5576" s="22">
        <f t="shared" si="175"/>
        <v>1.6371081418995624E-3</v>
      </c>
      <c r="J5576" s="22" t="str">
        <f t="shared" si="176"/>
        <v/>
      </c>
    </row>
    <row r="5577" spans="1:10">
      <c r="A5577" s="1">
        <v>41326</v>
      </c>
      <c r="B5577">
        <v>37.619999999999997</v>
      </c>
      <c r="C5577">
        <v>37.79</v>
      </c>
      <c r="D5577">
        <v>37.43</v>
      </c>
      <c r="E5577">
        <v>37.71</v>
      </c>
      <c r="F5577">
        <v>14135100</v>
      </c>
      <c r="G5577">
        <v>36.659999999999997</v>
      </c>
      <c r="H5577" t="s">
        <v>10</v>
      </c>
      <c r="I5577" s="22">
        <f t="shared" si="175"/>
        <v>-5.4540497670524846E-4</v>
      </c>
      <c r="J5577" s="22" t="str">
        <f t="shared" si="176"/>
        <v/>
      </c>
    </row>
    <row r="5578" spans="1:10">
      <c r="A5578" s="1">
        <v>41327</v>
      </c>
      <c r="B5578">
        <v>37.76</v>
      </c>
      <c r="C5578">
        <v>38.520000000000003</v>
      </c>
      <c r="D5578">
        <v>37.71</v>
      </c>
      <c r="E5578">
        <v>38.520000000000003</v>
      </c>
      <c r="F5578">
        <v>20102800</v>
      </c>
      <c r="G5578">
        <v>37.44</v>
      </c>
      <c r="H5578" t="s">
        <v>10</v>
      </c>
      <c r="I5578" s="22">
        <f t="shared" si="175"/>
        <v>2.1053409197832482E-2</v>
      </c>
      <c r="J5578" s="22" t="str">
        <f t="shared" si="176"/>
        <v/>
      </c>
    </row>
    <row r="5579" spans="1:10">
      <c r="A5579" s="1">
        <v>41330</v>
      </c>
      <c r="B5579">
        <v>38.56</v>
      </c>
      <c r="C5579">
        <v>38.72</v>
      </c>
      <c r="D5579">
        <v>37.72</v>
      </c>
      <c r="E5579">
        <v>37.72</v>
      </c>
      <c r="F5579">
        <v>15874600</v>
      </c>
      <c r="G5579">
        <v>36.67</v>
      </c>
      <c r="H5579" t="s">
        <v>10</v>
      </c>
      <c r="I5579" s="22">
        <f t="shared" si="175"/>
        <v>-2.0780669526156578E-2</v>
      </c>
      <c r="J5579" s="22" t="str">
        <f t="shared" si="176"/>
        <v>lost money</v>
      </c>
    </row>
    <row r="5580" spans="1:10">
      <c r="A5580" s="1">
        <v>41331</v>
      </c>
      <c r="B5580">
        <v>37.950000000000003</v>
      </c>
      <c r="C5580">
        <v>38.19</v>
      </c>
      <c r="D5580">
        <v>37.78</v>
      </c>
      <c r="E5580">
        <v>38.11</v>
      </c>
      <c r="F5580">
        <v>15770000</v>
      </c>
      <c r="G5580">
        <v>37.049999999999997</v>
      </c>
      <c r="H5580" t="s">
        <v>10</v>
      </c>
      <c r="I5580" s="22">
        <f t="shared" si="175"/>
        <v>1.0309369658861067E-2</v>
      </c>
      <c r="J5580" s="22" t="str">
        <f t="shared" si="176"/>
        <v/>
      </c>
    </row>
    <row r="5581" spans="1:10">
      <c r="A5581" s="1">
        <v>41332</v>
      </c>
      <c r="B5581">
        <v>38.03</v>
      </c>
      <c r="C5581">
        <v>38.54</v>
      </c>
      <c r="D5581">
        <v>37.92</v>
      </c>
      <c r="E5581">
        <v>38.450000000000003</v>
      </c>
      <c r="F5581">
        <v>14271100</v>
      </c>
      <c r="G5581">
        <v>37.380000000000003</v>
      </c>
      <c r="H5581" t="s">
        <v>10</v>
      </c>
      <c r="I5581" s="22">
        <f t="shared" si="175"/>
        <v>8.8674502853209429E-3</v>
      </c>
      <c r="J5581" s="22" t="str">
        <f t="shared" si="176"/>
        <v/>
      </c>
    </row>
    <row r="5582" spans="1:10">
      <c r="A5582" s="1">
        <v>41333</v>
      </c>
      <c r="B5582">
        <v>38.47</v>
      </c>
      <c r="C5582">
        <v>38.97</v>
      </c>
      <c r="D5582">
        <v>38.42</v>
      </c>
      <c r="E5582">
        <v>38.72</v>
      </c>
      <c r="F5582">
        <v>19005500</v>
      </c>
      <c r="G5582">
        <v>37.64</v>
      </c>
      <c r="H5582" t="s">
        <v>10</v>
      </c>
      <c r="I5582" s="22">
        <f t="shared" si="175"/>
        <v>6.9315126897620946E-3</v>
      </c>
      <c r="J5582" s="22" t="str">
        <f t="shared" si="176"/>
        <v/>
      </c>
    </row>
    <row r="5583" spans="1:10">
      <c r="A5583" s="1">
        <v>41334</v>
      </c>
      <c r="B5583">
        <v>38.49</v>
      </c>
      <c r="C5583">
        <v>38.79</v>
      </c>
      <c r="D5583">
        <v>38.49</v>
      </c>
      <c r="E5583">
        <v>38.700000000000003</v>
      </c>
      <c r="F5583">
        <v>13724500</v>
      </c>
      <c r="G5583">
        <v>37.619999999999997</v>
      </c>
      <c r="H5583" t="s">
        <v>10</v>
      </c>
      <c r="I5583" s="22">
        <f t="shared" si="175"/>
        <v>-5.3149084429464128E-4</v>
      </c>
      <c r="J5583" s="22" t="str">
        <f t="shared" si="176"/>
        <v/>
      </c>
    </row>
    <row r="5584" spans="1:10">
      <c r="A5584" s="1">
        <v>41337</v>
      </c>
      <c r="B5584">
        <v>38.6</v>
      </c>
      <c r="C5584">
        <v>38.82</v>
      </c>
      <c r="D5584">
        <v>38.450000000000003</v>
      </c>
      <c r="E5584">
        <v>38.82</v>
      </c>
      <c r="F5584">
        <v>9934300</v>
      </c>
      <c r="G5584">
        <v>37.74</v>
      </c>
      <c r="H5584" t="s">
        <v>10</v>
      </c>
      <c r="I5584" s="22">
        <f t="shared" si="175"/>
        <v>3.1847160675199195E-3</v>
      </c>
      <c r="J5584" s="22" t="str">
        <f t="shared" si="176"/>
        <v/>
      </c>
    </row>
    <row r="5585" spans="1:10">
      <c r="A5585" s="1">
        <v>41338</v>
      </c>
      <c r="B5585">
        <v>38.979999999999997</v>
      </c>
      <c r="C5585">
        <v>39</v>
      </c>
      <c r="D5585">
        <v>38.56</v>
      </c>
      <c r="E5585">
        <v>38.68</v>
      </c>
      <c r="F5585">
        <v>13240700</v>
      </c>
      <c r="G5585">
        <v>37.6</v>
      </c>
      <c r="H5585" t="s">
        <v>10</v>
      </c>
      <c r="I5585" s="22">
        <f t="shared" si="175"/>
        <v>-3.7164895445553343E-3</v>
      </c>
      <c r="J5585" s="22" t="str">
        <f t="shared" si="176"/>
        <v>lost money</v>
      </c>
    </row>
    <row r="5586" spans="1:10">
      <c r="A5586" s="1">
        <v>41339</v>
      </c>
      <c r="B5586">
        <v>38.799999999999997</v>
      </c>
      <c r="C5586">
        <v>39.04</v>
      </c>
      <c r="D5586">
        <v>38.700000000000003</v>
      </c>
      <c r="E5586">
        <v>39.020000000000003</v>
      </c>
      <c r="F5586">
        <v>11653900</v>
      </c>
      <c r="G5586">
        <v>37.93</v>
      </c>
      <c r="H5586" t="s">
        <v>10</v>
      </c>
      <c r="I5586" s="22">
        <f t="shared" si="175"/>
        <v>8.7383053049587024E-3</v>
      </c>
      <c r="J5586" s="22" t="str">
        <f t="shared" si="176"/>
        <v/>
      </c>
    </row>
    <row r="5587" spans="1:10">
      <c r="A5587" s="1">
        <v>41340</v>
      </c>
      <c r="B5587">
        <v>39.04</v>
      </c>
      <c r="C5587">
        <v>39.19</v>
      </c>
      <c r="D5587">
        <v>38.840000000000003</v>
      </c>
      <c r="E5587">
        <v>39.119999999999997</v>
      </c>
      <c r="F5587">
        <v>15094900</v>
      </c>
      <c r="G5587">
        <v>38.03</v>
      </c>
      <c r="H5587" t="s">
        <v>10</v>
      </c>
      <c r="I5587" s="22">
        <f t="shared" si="175"/>
        <v>2.6329662393607019E-3</v>
      </c>
      <c r="J5587" s="22" t="str">
        <f t="shared" si="176"/>
        <v/>
      </c>
    </row>
    <row r="5588" spans="1:10">
      <c r="A5588" s="1">
        <v>41341</v>
      </c>
      <c r="B5588">
        <v>39.17</v>
      </c>
      <c r="C5588">
        <v>39.42</v>
      </c>
      <c r="D5588">
        <v>39.03</v>
      </c>
      <c r="E5588">
        <v>39.22</v>
      </c>
      <c r="F5588">
        <v>11183600</v>
      </c>
      <c r="G5588">
        <v>38.119999999999997</v>
      </c>
      <c r="H5588" t="s">
        <v>10</v>
      </c>
      <c r="I5588" s="22">
        <f t="shared" si="175"/>
        <v>2.3637568458329643E-3</v>
      </c>
      <c r="J5588" s="22" t="str">
        <f t="shared" si="176"/>
        <v/>
      </c>
    </row>
    <row r="5589" spans="1:10">
      <c r="A5589" s="1">
        <v>41344</v>
      </c>
      <c r="B5589">
        <v>39.200000000000003</v>
      </c>
      <c r="C5589">
        <v>39.380000000000003</v>
      </c>
      <c r="D5589">
        <v>39.18</v>
      </c>
      <c r="E5589">
        <v>39.31</v>
      </c>
      <c r="F5589">
        <v>9200400</v>
      </c>
      <c r="G5589">
        <v>38.21</v>
      </c>
      <c r="H5589" t="s">
        <v>10</v>
      </c>
      <c r="I5589" s="22">
        <f t="shared" si="175"/>
        <v>2.3581826728072E-3</v>
      </c>
      <c r="J5589" s="22" t="str">
        <f t="shared" si="176"/>
        <v/>
      </c>
    </row>
    <row r="5590" spans="1:10">
      <c r="A5590" s="1">
        <v>41345</v>
      </c>
      <c r="B5590">
        <v>39.28</v>
      </c>
      <c r="C5590">
        <v>39.31</v>
      </c>
      <c r="D5590">
        <v>38.799999999999997</v>
      </c>
      <c r="E5590">
        <v>38.96</v>
      </c>
      <c r="F5590">
        <v>11375900</v>
      </c>
      <c r="G5590">
        <v>37.869999999999997</v>
      </c>
      <c r="H5590" t="s">
        <v>10</v>
      </c>
      <c r="I5590" s="22">
        <f t="shared" si="175"/>
        <v>-8.9380195451052129E-3</v>
      </c>
      <c r="J5590" s="22" t="str">
        <f t="shared" si="176"/>
        <v>lost money</v>
      </c>
    </row>
    <row r="5591" spans="1:10">
      <c r="A5591" s="1">
        <v>41346</v>
      </c>
      <c r="B5591">
        <v>38.82</v>
      </c>
      <c r="C5591">
        <v>38.869999999999997</v>
      </c>
      <c r="D5591">
        <v>38.549999999999997</v>
      </c>
      <c r="E5591">
        <v>38.590000000000003</v>
      </c>
      <c r="F5591">
        <v>14358300</v>
      </c>
      <c r="G5591">
        <v>37.78</v>
      </c>
      <c r="H5591" t="s">
        <v>10</v>
      </c>
      <c r="I5591" s="22">
        <f t="shared" si="175"/>
        <v>-2.3793798403398997E-3</v>
      </c>
      <c r="J5591" s="22" t="str">
        <f t="shared" si="176"/>
        <v>lost money</v>
      </c>
    </row>
    <row r="5592" spans="1:10">
      <c r="A5592" s="1">
        <v>41347</v>
      </c>
      <c r="B5592">
        <v>38.82</v>
      </c>
      <c r="C5592">
        <v>39.119999999999997</v>
      </c>
      <c r="D5592">
        <v>38.659999999999997</v>
      </c>
      <c r="E5592">
        <v>39.020000000000003</v>
      </c>
      <c r="F5592">
        <v>14572500</v>
      </c>
      <c r="G5592">
        <v>38.200000000000003</v>
      </c>
      <c r="H5592" t="s">
        <v>10</v>
      </c>
      <c r="I5592" s="22">
        <f t="shared" si="175"/>
        <v>1.1055653539166045E-2</v>
      </c>
      <c r="J5592" s="22" t="str">
        <f t="shared" si="176"/>
        <v/>
      </c>
    </row>
    <row r="5593" spans="1:10">
      <c r="A5593" s="1">
        <v>41348</v>
      </c>
      <c r="B5593">
        <v>38.82</v>
      </c>
      <c r="C5593">
        <v>38.94</v>
      </c>
      <c r="D5593">
        <v>38.659999999999997</v>
      </c>
      <c r="E5593">
        <v>38.83</v>
      </c>
      <c r="F5593">
        <v>20781900</v>
      </c>
      <c r="G5593">
        <v>38.020000000000003</v>
      </c>
      <c r="H5593" t="s">
        <v>10</v>
      </c>
      <c r="I5593" s="22">
        <f t="shared" si="175"/>
        <v>-4.7231785522464168E-3</v>
      </c>
      <c r="J5593" s="22" t="str">
        <f t="shared" si="176"/>
        <v/>
      </c>
    </row>
    <row r="5594" spans="1:10">
      <c r="A5594" s="1">
        <v>41351</v>
      </c>
      <c r="B5594">
        <v>38.61</v>
      </c>
      <c r="C5594">
        <v>38.94</v>
      </c>
      <c r="D5594">
        <v>38.57</v>
      </c>
      <c r="E5594">
        <v>38.76</v>
      </c>
      <c r="F5594">
        <v>11479900</v>
      </c>
      <c r="G5594">
        <v>37.950000000000003</v>
      </c>
      <c r="H5594" t="s">
        <v>10</v>
      </c>
      <c r="I5594" s="22">
        <f t="shared" si="175"/>
        <v>-1.8428332186442168E-3</v>
      </c>
      <c r="J5594" s="22" t="str">
        <f t="shared" si="176"/>
        <v/>
      </c>
    </row>
    <row r="5595" spans="1:10">
      <c r="A5595" s="1">
        <v>41352</v>
      </c>
      <c r="B5595">
        <v>38.92</v>
      </c>
      <c r="C5595">
        <v>39.4</v>
      </c>
      <c r="D5595">
        <v>38.82</v>
      </c>
      <c r="E5595">
        <v>39.33</v>
      </c>
      <c r="F5595">
        <v>15192000</v>
      </c>
      <c r="G5595">
        <v>38.51</v>
      </c>
      <c r="H5595" t="s">
        <v>10</v>
      </c>
      <c r="I5595" s="22">
        <f t="shared" si="175"/>
        <v>1.464844398517836E-2</v>
      </c>
      <c r="J5595" s="22" t="str">
        <f t="shared" si="176"/>
        <v/>
      </c>
    </row>
    <row r="5596" spans="1:10">
      <c r="A5596" s="1">
        <v>41353</v>
      </c>
      <c r="B5596">
        <v>39.4</v>
      </c>
      <c r="C5596">
        <v>39.92</v>
      </c>
      <c r="D5596">
        <v>39.36</v>
      </c>
      <c r="E5596">
        <v>39.869999999999997</v>
      </c>
      <c r="F5596">
        <v>19271900</v>
      </c>
      <c r="G5596">
        <v>39.04</v>
      </c>
      <c r="H5596" t="s">
        <v>10</v>
      </c>
      <c r="I5596" s="22">
        <f t="shared" si="175"/>
        <v>1.3668813718074321E-2</v>
      </c>
      <c r="J5596" s="22" t="str">
        <f t="shared" si="176"/>
        <v/>
      </c>
    </row>
    <row r="5597" spans="1:10">
      <c r="A5597" s="1">
        <v>41354</v>
      </c>
      <c r="B5597">
        <v>39.85</v>
      </c>
      <c r="C5597">
        <v>40.43</v>
      </c>
      <c r="D5597">
        <v>39.76</v>
      </c>
      <c r="E5597">
        <v>40.07</v>
      </c>
      <c r="F5597">
        <v>23063600</v>
      </c>
      <c r="G5597">
        <v>39.229999999999997</v>
      </c>
      <c r="H5597" t="s">
        <v>10</v>
      </c>
      <c r="I5597" s="22">
        <f t="shared" si="175"/>
        <v>4.8549986765694256E-3</v>
      </c>
      <c r="J5597" s="22" t="str">
        <f t="shared" si="176"/>
        <v/>
      </c>
    </row>
    <row r="5598" spans="1:10">
      <c r="A5598" s="1">
        <v>41355</v>
      </c>
      <c r="B5598">
        <v>39.979999999999997</v>
      </c>
      <c r="C5598">
        <v>40.28</v>
      </c>
      <c r="D5598">
        <v>39.89</v>
      </c>
      <c r="E5598">
        <v>40.04</v>
      </c>
      <c r="F5598">
        <v>16128500</v>
      </c>
      <c r="G5598">
        <v>39.200000000000003</v>
      </c>
      <c r="H5598" t="s">
        <v>10</v>
      </c>
      <c r="I5598" s="22">
        <f t="shared" si="175"/>
        <v>-7.6501342504413416E-4</v>
      </c>
      <c r="J5598" s="22" t="str">
        <f t="shared" si="176"/>
        <v/>
      </c>
    </row>
    <row r="5599" spans="1:10">
      <c r="A5599" s="1">
        <v>41358</v>
      </c>
      <c r="B5599">
        <v>40.11</v>
      </c>
      <c r="C5599">
        <v>40.25</v>
      </c>
      <c r="D5599">
        <v>39.96</v>
      </c>
      <c r="E5599">
        <v>40.119999999999997</v>
      </c>
      <c r="F5599">
        <v>15718400</v>
      </c>
      <c r="G5599">
        <v>39.28</v>
      </c>
      <c r="H5599" t="s">
        <v>10</v>
      </c>
      <c r="I5599" s="22">
        <f t="shared" si="175"/>
        <v>2.0387366898483089E-3</v>
      </c>
      <c r="J5599" s="22" t="str">
        <f t="shared" si="176"/>
        <v/>
      </c>
    </row>
    <row r="5600" spans="1:10">
      <c r="A5600" s="1">
        <v>41359</v>
      </c>
      <c r="B5600">
        <v>40.130000000000003</v>
      </c>
      <c r="C5600">
        <v>40.700000000000003</v>
      </c>
      <c r="D5600">
        <v>40.130000000000003</v>
      </c>
      <c r="E5600">
        <v>40.69</v>
      </c>
      <c r="F5600">
        <v>13666500</v>
      </c>
      <c r="G5600">
        <v>39.840000000000003</v>
      </c>
      <c r="H5600" t="s">
        <v>10</v>
      </c>
      <c r="I5600" s="22">
        <f t="shared" si="175"/>
        <v>1.4155949230132459E-2</v>
      </c>
      <c r="J5600" s="22" t="str">
        <f t="shared" si="176"/>
        <v/>
      </c>
    </row>
    <row r="5601" spans="1:10">
      <c r="A5601" s="1">
        <v>41360</v>
      </c>
      <c r="B5601">
        <v>40.450000000000003</v>
      </c>
      <c r="C5601">
        <v>40.54</v>
      </c>
      <c r="D5601">
        <v>40.06</v>
      </c>
      <c r="E5601">
        <v>40.22</v>
      </c>
      <c r="F5601">
        <v>14559900</v>
      </c>
      <c r="G5601">
        <v>39.380000000000003</v>
      </c>
      <c r="H5601" t="s">
        <v>10</v>
      </c>
      <c r="I5601" s="22">
        <f t="shared" si="175"/>
        <v>-1.1613359505418036E-2</v>
      </c>
      <c r="J5601" s="22" t="str">
        <f t="shared" si="176"/>
        <v>lost money</v>
      </c>
    </row>
    <row r="5602" spans="1:10">
      <c r="A5602" s="1">
        <v>41361</v>
      </c>
      <c r="B5602">
        <v>40.380000000000003</v>
      </c>
      <c r="C5602">
        <v>40.6</v>
      </c>
      <c r="D5602">
        <v>40.020000000000003</v>
      </c>
      <c r="E5602">
        <v>40.44</v>
      </c>
      <c r="F5602">
        <v>14227200</v>
      </c>
      <c r="G5602">
        <v>39.6</v>
      </c>
      <c r="H5602" t="s">
        <v>10</v>
      </c>
      <c r="I5602" s="22">
        <f t="shared" si="175"/>
        <v>5.5710450494554295E-3</v>
      </c>
      <c r="J5602" s="22" t="str">
        <f t="shared" si="176"/>
        <v/>
      </c>
    </row>
    <row r="5603" spans="1:10">
      <c r="A5603" s="1">
        <v>41365</v>
      </c>
      <c r="B5603">
        <v>40.39</v>
      </c>
      <c r="C5603">
        <v>40.49</v>
      </c>
      <c r="D5603">
        <v>40.17</v>
      </c>
      <c r="E5603">
        <v>40.450000000000003</v>
      </c>
      <c r="F5603">
        <v>8200500</v>
      </c>
      <c r="G5603">
        <v>39.6</v>
      </c>
      <c r="H5603" t="s">
        <v>10</v>
      </c>
      <c r="I5603" s="22">
        <f t="shared" si="175"/>
        <v>0</v>
      </c>
      <c r="J5603" s="22" t="str">
        <f t="shared" si="176"/>
        <v/>
      </c>
    </row>
    <row r="5604" spans="1:10">
      <c r="A5604" s="1">
        <v>41366</v>
      </c>
      <c r="B5604">
        <v>40.43</v>
      </c>
      <c r="C5604">
        <v>40.9</v>
      </c>
      <c r="D5604">
        <v>40.42</v>
      </c>
      <c r="E5604">
        <v>40.72</v>
      </c>
      <c r="F5604">
        <v>13359200</v>
      </c>
      <c r="G5604">
        <v>39.869999999999997</v>
      </c>
      <c r="H5604" t="s">
        <v>10</v>
      </c>
      <c r="I5604" s="22">
        <f t="shared" si="175"/>
        <v>6.7950431328285864E-3</v>
      </c>
      <c r="J5604" s="22" t="str">
        <f t="shared" si="176"/>
        <v/>
      </c>
    </row>
    <row r="5605" spans="1:10">
      <c r="A5605" s="1">
        <v>41367</v>
      </c>
      <c r="B5605">
        <v>40.78</v>
      </c>
      <c r="C5605">
        <v>40.82</v>
      </c>
      <c r="D5605">
        <v>40.08</v>
      </c>
      <c r="E5605">
        <v>40.17</v>
      </c>
      <c r="F5605">
        <v>13639200</v>
      </c>
      <c r="G5605">
        <v>39.33</v>
      </c>
      <c r="H5605" t="s">
        <v>10</v>
      </c>
      <c r="I5605" s="22">
        <f t="shared" si="175"/>
        <v>-1.3636574949545508E-2</v>
      </c>
      <c r="J5605" s="22" t="str">
        <f t="shared" si="176"/>
        <v>lost money</v>
      </c>
    </row>
    <row r="5606" spans="1:10">
      <c r="A5606" s="1">
        <v>41368</v>
      </c>
      <c r="B5606">
        <v>40.270000000000003</v>
      </c>
      <c r="C5606">
        <v>40.590000000000003</v>
      </c>
      <c r="D5606">
        <v>40.200000000000003</v>
      </c>
      <c r="E5606">
        <v>40.54</v>
      </c>
      <c r="F5606">
        <v>11435900</v>
      </c>
      <c r="G5606">
        <v>39.69</v>
      </c>
      <c r="H5606" t="s">
        <v>10</v>
      </c>
      <c r="I5606" s="22">
        <f t="shared" si="175"/>
        <v>9.1116803512558131E-3</v>
      </c>
      <c r="J5606" s="22" t="str">
        <f t="shared" si="176"/>
        <v/>
      </c>
    </row>
    <row r="5607" spans="1:10">
      <c r="A5607" s="1">
        <v>41369</v>
      </c>
      <c r="B5607">
        <v>40.21</v>
      </c>
      <c r="C5607">
        <v>40.36</v>
      </c>
      <c r="D5607">
        <v>40.01</v>
      </c>
      <c r="E5607">
        <v>40.08</v>
      </c>
      <c r="F5607">
        <v>10729500</v>
      </c>
      <c r="G5607">
        <v>39.24</v>
      </c>
      <c r="H5607" t="s">
        <v>10</v>
      </c>
      <c r="I5607" s="22">
        <f t="shared" si="175"/>
        <v>-1.1402632097811536E-2</v>
      </c>
      <c r="J5607" s="22" t="str">
        <f t="shared" si="176"/>
        <v>lost money</v>
      </c>
    </row>
    <row r="5608" spans="1:10">
      <c r="A5608" s="1">
        <v>41372</v>
      </c>
      <c r="B5608">
        <v>40.06</v>
      </c>
      <c r="C5608">
        <v>40.869999999999997</v>
      </c>
      <c r="D5608">
        <v>39.770000000000003</v>
      </c>
      <c r="E5608">
        <v>40.86</v>
      </c>
      <c r="F5608">
        <v>22757900</v>
      </c>
      <c r="G5608">
        <v>40.01</v>
      </c>
      <c r="H5608" t="s">
        <v>10</v>
      </c>
      <c r="I5608" s="22">
        <f t="shared" si="175"/>
        <v>1.9432788171981324E-2</v>
      </c>
      <c r="J5608" s="22" t="str">
        <f t="shared" si="176"/>
        <v/>
      </c>
    </row>
    <row r="5609" spans="1:10">
      <c r="A5609" s="1">
        <v>41373</v>
      </c>
      <c r="B5609">
        <v>40.81</v>
      </c>
      <c r="C5609">
        <v>41.13</v>
      </c>
      <c r="D5609">
        <v>40.51</v>
      </c>
      <c r="E5609">
        <v>40.71</v>
      </c>
      <c r="F5609">
        <v>21056100</v>
      </c>
      <c r="G5609">
        <v>39.86</v>
      </c>
      <c r="H5609" t="s">
        <v>10</v>
      </c>
      <c r="I5609" s="22">
        <f t="shared" si="175"/>
        <v>-3.7561080844949893E-3</v>
      </c>
      <c r="J5609" s="22" t="str">
        <f t="shared" si="176"/>
        <v>lost money</v>
      </c>
    </row>
    <row r="5610" spans="1:10">
      <c r="A5610" s="1">
        <v>41374</v>
      </c>
      <c r="B5610">
        <v>40.78</v>
      </c>
      <c r="C5610">
        <v>41.17</v>
      </c>
      <c r="D5610">
        <v>40.71</v>
      </c>
      <c r="E5610">
        <v>41.07</v>
      </c>
      <c r="F5610">
        <v>9703700</v>
      </c>
      <c r="G5610">
        <v>40.21</v>
      </c>
      <c r="H5610" t="s">
        <v>10</v>
      </c>
      <c r="I5610" s="22">
        <f t="shared" si="175"/>
        <v>8.7424061245340197E-3</v>
      </c>
      <c r="J5610" s="22" t="str">
        <f t="shared" si="176"/>
        <v/>
      </c>
    </row>
    <row r="5611" spans="1:10">
      <c r="A5611" s="1">
        <v>41375</v>
      </c>
      <c r="B5611">
        <v>41.13</v>
      </c>
      <c r="C5611">
        <v>41.41</v>
      </c>
      <c r="D5611">
        <v>41.06</v>
      </c>
      <c r="E5611">
        <v>41.18</v>
      </c>
      <c r="F5611">
        <v>10962500</v>
      </c>
      <c r="G5611">
        <v>40.32</v>
      </c>
      <c r="H5611" t="s">
        <v>10</v>
      </c>
      <c r="I5611" s="22">
        <f t="shared" si="175"/>
        <v>2.7319028539305925E-3</v>
      </c>
      <c r="J5611" s="22" t="str">
        <f t="shared" si="176"/>
        <v/>
      </c>
    </row>
    <row r="5612" spans="1:10">
      <c r="A5612" s="1">
        <v>41376</v>
      </c>
      <c r="B5612">
        <v>40.909999999999997</v>
      </c>
      <c r="C5612">
        <v>41.11</v>
      </c>
      <c r="D5612">
        <v>40.68</v>
      </c>
      <c r="E5612">
        <v>41.08</v>
      </c>
      <c r="F5612">
        <v>10394700</v>
      </c>
      <c r="G5612">
        <v>40.22</v>
      </c>
      <c r="H5612" t="s">
        <v>10</v>
      </c>
      <c r="I5612" s="22">
        <f t="shared" si="175"/>
        <v>-2.4832394186071792E-3</v>
      </c>
      <c r="J5612" s="22" t="str">
        <f t="shared" si="176"/>
        <v/>
      </c>
    </row>
    <row r="5613" spans="1:10">
      <c r="A5613" s="1">
        <v>41379</v>
      </c>
      <c r="B5613">
        <v>40.85</v>
      </c>
      <c r="C5613">
        <v>40.99</v>
      </c>
      <c r="D5613">
        <v>40.049999999999997</v>
      </c>
      <c r="E5613">
        <v>40.090000000000003</v>
      </c>
      <c r="F5613">
        <v>16050600</v>
      </c>
      <c r="G5613">
        <v>39.25</v>
      </c>
      <c r="H5613" t="s">
        <v>10</v>
      </c>
      <c r="I5613" s="22">
        <f t="shared" si="175"/>
        <v>-2.4412940116088511E-2</v>
      </c>
      <c r="J5613" s="22" t="str">
        <f t="shared" si="176"/>
        <v>lost money</v>
      </c>
    </row>
    <row r="5614" spans="1:10">
      <c r="A5614" s="1">
        <v>41380</v>
      </c>
      <c r="B5614">
        <v>41.4</v>
      </c>
      <c r="C5614">
        <v>42.48</v>
      </c>
      <c r="D5614">
        <v>41.25</v>
      </c>
      <c r="E5614">
        <v>42.37</v>
      </c>
      <c r="F5614">
        <v>32135700</v>
      </c>
      <c r="G5614">
        <v>41.48</v>
      </c>
      <c r="H5614" t="s">
        <v>10</v>
      </c>
      <c r="I5614" s="22">
        <f t="shared" si="175"/>
        <v>5.5259939132909087E-2</v>
      </c>
      <c r="J5614" s="22" t="str">
        <f t="shared" si="176"/>
        <v/>
      </c>
    </row>
    <row r="5615" spans="1:10">
      <c r="A5615" s="1">
        <v>41381</v>
      </c>
      <c r="B5615">
        <v>42.14</v>
      </c>
      <c r="C5615">
        <v>42.7</v>
      </c>
      <c r="D5615">
        <v>42.03</v>
      </c>
      <c r="E5615">
        <v>42.55</v>
      </c>
      <c r="F5615">
        <v>24208000</v>
      </c>
      <c r="G5615">
        <v>41.66</v>
      </c>
      <c r="H5615" t="s">
        <v>10</v>
      </c>
      <c r="I5615" s="22">
        <f t="shared" si="175"/>
        <v>4.3300524714993145E-3</v>
      </c>
      <c r="J5615" s="22" t="str">
        <f t="shared" si="176"/>
        <v/>
      </c>
    </row>
    <row r="5616" spans="1:10">
      <c r="A5616" s="1">
        <v>41382</v>
      </c>
      <c r="B5616">
        <v>42.48</v>
      </c>
      <c r="C5616">
        <v>42.65</v>
      </c>
      <c r="D5616">
        <v>42.09</v>
      </c>
      <c r="E5616">
        <v>42.1</v>
      </c>
      <c r="F5616">
        <v>16034200</v>
      </c>
      <c r="G5616">
        <v>41.22</v>
      </c>
      <c r="H5616" t="s">
        <v>10</v>
      </c>
      <c r="I5616" s="22">
        <f t="shared" si="175"/>
        <v>-1.06178603705129E-2</v>
      </c>
      <c r="J5616" s="22" t="str">
        <f t="shared" si="176"/>
        <v>lost money</v>
      </c>
    </row>
    <row r="5617" spans="1:10">
      <c r="A5617" s="1">
        <v>41383</v>
      </c>
      <c r="B5617">
        <v>42.28</v>
      </c>
      <c r="C5617">
        <v>42.77</v>
      </c>
      <c r="D5617">
        <v>42.2</v>
      </c>
      <c r="E5617">
        <v>42.66</v>
      </c>
      <c r="F5617">
        <v>13875800</v>
      </c>
      <c r="G5617">
        <v>41.77</v>
      </c>
      <c r="H5617" t="s">
        <v>10</v>
      </c>
      <c r="I5617" s="22">
        <f t="shared" si="175"/>
        <v>1.3254803046771178E-2</v>
      </c>
      <c r="J5617" s="22" t="str">
        <f t="shared" si="176"/>
        <v/>
      </c>
    </row>
    <row r="5618" spans="1:10">
      <c r="A5618" s="1">
        <v>41386</v>
      </c>
      <c r="B5618">
        <v>42.52</v>
      </c>
      <c r="C5618">
        <v>42.85</v>
      </c>
      <c r="D5618">
        <v>42.4</v>
      </c>
      <c r="E5618">
        <v>42.72</v>
      </c>
      <c r="F5618">
        <v>10544100</v>
      </c>
      <c r="G5618">
        <v>41.83</v>
      </c>
      <c r="H5618" t="s">
        <v>10</v>
      </c>
      <c r="I5618" s="22">
        <f t="shared" si="175"/>
        <v>1.4354069450228939E-3</v>
      </c>
      <c r="J5618" s="22" t="str">
        <f t="shared" si="176"/>
        <v/>
      </c>
    </row>
    <row r="5619" spans="1:10">
      <c r="A5619" s="1">
        <v>41387</v>
      </c>
      <c r="B5619">
        <v>42.78</v>
      </c>
      <c r="C5619">
        <v>42.96</v>
      </c>
      <c r="D5619">
        <v>42.26</v>
      </c>
      <c r="E5619">
        <v>42.7</v>
      </c>
      <c r="F5619">
        <v>11216200</v>
      </c>
      <c r="G5619">
        <v>41.81</v>
      </c>
      <c r="H5619" t="s">
        <v>10</v>
      </c>
      <c r="I5619" s="22">
        <f t="shared" si="175"/>
        <v>-4.78240085633333E-4</v>
      </c>
      <c r="J5619" s="22" t="str">
        <f t="shared" si="176"/>
        <v>lost money</v>
      </c>
    </row>
    <row r="5620" spans="1:10">
      <c r="A5620" s="1">
        <v>41388</v>
      </c>
      <c r="B5620">
        <v>42.64</v>
      </c>
      <c r="C5620">
        <v>42.9</v>
      </c>
      <c r="D5620">
        <v>42.1</v>
      </c>
      <c r="E5620">
        <v>42.15</v>
      </c>
      <c r="F5620">
        <v>11368200</v>
      </c>
      <c r="G5620">
        <v>41.27</v>
      </c>
      <c r="H5620" t="s">
        <v>10</v>
      </c>
      <c r="I5620" s="22">
        <f t="shared" si="175"/>
        <v>-1.2999701603983177E-2</v>
      </c>
      <c r="J5620" s="22" t="str">
        <f t="shared" si="176"/>
        <v>lost money</v>
      </c>
    </row>
    <row r="5621" spans="1:10">
      <c r="A5621" s="1">
        <v>41389</v>
      </c>
      <c r="B5621">
        <v>42.26</v>
      </c>
      <c r="C5621">
        <v>42.54</v>
      </c>
      <c r="D5621">
        <v>42.08</v>
      </c>
      <c r="E5621">
        <v>42.35</v>
      </c>
      <c r="F5621">
        <v>10197100</v>
      </c>
      <c r="G5621">
        <v>41.47</v>
      </c>
      <c r="H5621" t="s">
        <v>10</v>
      </c>
      <c r="I5621" s="22">
        <f t="shared" si="175"/>
        <v>4.8344304937994638E-3</v>
      </c>
      <c r="J5621" s="22" t="str">
        <f t="shared" si="176"/>
        <v/>
      </c>
    </row>
    <row r="5622" spans="1:10">
      <c r="A5622" s="1">
        <v>41390</v>
      </c>
      <c r="B5622">
        <v>42.18</v>
      </c>
      <c r="C5622">
        <v>42.43</v>
      </c>
      <c r="D5622">
        <v>42.09</v>
      </c>
      <c r="E5622">
        <v>42.1</v>
      </c>
      <c r="F5622">
        <v>15159800</v>
      </c>
      <c r="G5622">
        <v>41.22</v>
      </c>
      <c r="H5622" t="s">
        <v>10</v>
      </c>
      <c r="I5622" s="22">
        <f t="shared" si="175"/>
        <v>-6.0466987959770157E-3</v>
      </c>
      <c r="J5622" s="22" t="str">
        <f t="shared" si="176"/>
        <v>lost money</v>
      </c>
    </row>
    <row r="5623" spans="1:10">
      <c r="A5623" s="1">
        <v>41393</v>
      </c>
      <c r="B5623">
        <v>42.24</v>
      </c>
      <c r="C5623">
        <v>42.29</v>
      </c>
      <c r="D5623">
        <v>41.92</v>
      </c>
      <c r="E5623">
        <v>42.24</v>
      </c>
      <c r="F5623">
        <v>11311100</v>
      </c>
      <c r="G5623">
        <v>41.36</v>
      </c>
      <c r="H5623" t="s">
        <v>10</v>
      </c>
      <c r="I5623" s="22">
        <f t="shared" si="175"/>
        <v>3.3906547378606648E-3</v>
      </c>
      <c r="J5623" s="22" t="str">
        <f t="shared" si="176"/>
        <v/>
      </c>
    </row>
    <row r="5624" spans="1:10">
      <c r="A5624" s="1">
        <v>41394</v>
      </c>
      <c r="B5624">
        <v>42.15</v>
      </c>
      <c r="C5624">
        <v>42.39</v>
      </c>
      <c r="D5624">
        <v>41.88</v>
      </c>
      <c r="E5624">
        <v>42.33</v>
      </c>
      <c r="F5624">
        <v>13432200</v>
      </c>
      <c r="G5624">
        <v>41.45</v>
      </c>
      <c r="H5624" t="s">
        <v>10</v>
      </c>
      <c r="I5624" s="22">
        <f t="shared" si="175"/>
        <v>2.1736513811303803E-3</v>
      </c>
      <c r="J5624" s="22" t="str">
        <f t="shared" si="176"/>
        <v/>
      </c>
    </row>
    <row r="5625" spans="1:10">
      <c r="A5625" s="1">
        <v>41395</v>
      </c>
      <c r="B5625">
        <v>42.15</v>
      </c>
      <c r="C5625">
        <v>42.56</v>
      </c>
      <c r="D5625">
        <v>42.14</v>
      </c>
      <c r="E5625">
        <v>42.21</v>
      </c>
      <c r="F5625">
        <v>8710600</v>
      </c>
      <c r="G5625">
        <v>41.33</v>
      </c>
      <c r="H5625" t="s">
        <v>10</v>
      </c>
      <c r="I5625" s="22">
        <f t="shared" si="175"/>
        <v>-2.8992530576630814E-3</v>
      </c>
      <c r="J5625" s="22" t="str">
        <f t="shared" si="176"/>
        <v/>
      </c>
    </row>
    <row r="5626" spans="1:10">
      <c r="A5626" s="1">
        <v>41396</v>
      </c>
      <c r="B5626">
        <v>41.66</v>
      </c>
      <c r="C5626">
        <v>42.16</v>
      </c>
      <c r="D5626">
        <v>41.49</v>
      </c>
      <c r="E5626">
        <v>41.96</v>
      </c>
      <c r="F5626">
        <v>18709600</v>
      </c>
      <c r="G5626">
        <v>41.08</v>
      </c>
      <c r="H5626" t="s">
        <v>10</v>
      </c>
      <c r="I5626" s="22">
        <f t="shared" si="175"/>
        <v>-6.0672434632835E-3</v>
      </c>
      <c r="J5626" s="22" t="str">
        <f t="shared" si="176"/>
        <v/>
      </c>
    </row>
    <row r="5627" spans="1:10">
      <c r="A5627" s="1">
        <v>41397</v>
      </c>
      <c r="B5627">
        <v>42.17</v>
      </c>
      <c r="C5627">
        <v>42.42</v>
      </c>
      <c r="D5627">
        <v>41.96</v>
      </c>
      <c r="E5627">
        <v>42.24</v>
      </c>
      <c r="F5627">
        <v>11757800</v>
      </c>
      <c r="G5627">
        <v>41.36</v>
      </c>
      <c r="H5627" t="s">
        <v>10</v>
      </c>
      <c r="I5627" s="22">
        <f t="shared" si="175"/>
        <v>6.7928451398163482E-3</v>
      </c>
      <c r="J5627" s="22" t="str">
        <f t="shared" si="176"/>
        <v/>
      </c>
    </row>
    <row r="5628" spans="1:10">
      <c r="A5628" s="1">
        <v>41400</v>
      </c>
      <c r="B5628">
        <v>42.29</v>
      </c>
      <c r="C5628">
        <v>42.29</v>
      </c>
      <c r="D5628">
        <v>41.87</v>
      </c>
      <c r="E5628">
        <v>42.08</v>
      </c>
      <c r="F5628">
        <v>9356100</v>
      </c>
      <c r="G5628">
        <v>41.2</v>
      </c>
      <c r="H5628" t="s">
        <v>10</v>
      </c>
      <c r="I5628" s="22">
        <f t="shared" si="175"/>
        <v>-3.8759738446928491E-3</v>
      </c>
      <c r="J5628" s="22" t="str">
        <f t="shared" si="176"/>
        <v>lost money</v>
      </c>
    </row>
    <row r="5629" spans="1:10">
      <c r="A5629" s="1">
        <v>41401</v>
      </c>
      <c r="B5629">
        <v>42.21</v>
      </c>
      <c r="C5629">
        <v>42.71</v>
      </c>
      <c r="D5629">
        <v>42.15</v>
      </c>
      <c r="E5629">
        <v>42.7</v>
      </c>
      <c r="F5629">
        <v>13785300</v>
      </c>
      <c r="G5629">
        <v>41.81</v>
      </c>
      <c r="H5629" t="s">
        <v>10</v>
      </c>
      <c r="I5629" s="22">
        <f t="shared" si="175"/>
        <v>1.4697289012992835E-2</v>
      </c>
      <c r="J5629" s="22" t="str">
        <f t="shared" si="176"/>
        <v/>
      </c>
    </row>
    <row r="5630" spans="1:10">
      <c r="A5630" s="1">
        <v>41402</v>
      </c>
      <c r="B5630">
        <v>42.54</v>
      </c>
      <c r="C5630">
        <v>42.68</v>
      </c>
      <c r="D5630">
        <v>42.16</v>
      </c>
      <c r="E5630">
        <v>42.46</v>
      </c>
      <c r="F5630">
        <v>12636300</v>
      </c>
      <c r="G5630">
        <v>41.57</v>
      </c>
      <c r="H5630" t="s">
        <v>10</v>
      </c>
      <c r="I5630" s="22">
        <f t="shared" si="175"/>
        <v>-5.7567921039276496E-3</v>
      </c>
      <c r="J5630" s="22" t="str">
        <f t="shared" si="176"/>
        <v>lost money</v>
      </c>
    </row>
    <row r="5631" spans="1:10">
      <c r="A5631" s="1">
        <v>41403</v>
      </c>
      <c r="B5631">
        <v>42.51</v>
      </c>
      <c r="C5631">
        <v>42.56</v>
      </c>
      <c r="D5631">
        <v>42</v>
      </c>
      <c r="E5631">
        <v>42.12</v>
      </c>
      <c r="F5631">
        <v>10113700</v>
      </c>
      <c r="G5631">
        <v>41.24</v>
      </c>
      <c r="H5631" t="s">
        <v>10</v>
      </c>
      <c r="I5631" s="22">
        <f t="shared" si="175"/>
        <v>-7.9700941157869014E-3</v>
      </c>
      <c r="J5631" s="22" t="str">
        <f t="shared" si="176"/>
        <v>lost money</v>
      </c>
    </row>
    <row r="5632" spans="1:10">
      <c r="A5632" s="1">
        <v>41404</v>
      </c>
      <c r="B5632">
        <v>42.11</v>
      </c>
      <c r="C5632">
        <v>42.24</v>
      </c>
      <c r="D5632">
        <v>41.85</v>
      </c>
      <c r="E5632">
        <v>42.15</v>
      </c>
      <c r="F5632">
        <v>9927000</v>
      </c>
      <c r="G5632">
        <v>41.27</v>
      </c>
      <c r="H5632" t="s">
        <v>10</v>
      </c>
      <c r="I5632" s="22">
        <f t="shared" si="175"/>
        <v>7.2718461573125154E-4</v>
      </c>
      <c r="J5632" s="22" t="str">
        <f t="shared" si="176"/>
        <v/>
      </c>
    </row>
    <row r="5633" spans="1:10">
      <c r="A5633" s="1">
        <v>41407</v>
      </c>
      <c r="B5633">
        <v>42.14</v>
      </c>
      <c r="C5633">
        <v>42.44</v>
      </c>
      <c r="D5633">
        <v>42</v>
      </c>
      <c r="E5633">
        <v>42.19</v>
      </c>
      <c r="F5633">
        <v>9291000</v>
      </c>
      <c r="G5633">
        <v>41.31</v>
      </c>
      <c r="H5633" t="s">
        <v>10</v>
      </c>
      <c r="I5633" s="22">
        <f t="shared" si="175"/>
        <v>9.6875764418280377E-4</v>
      </c>
      <c r="J5633" s="22" t="str">
        <f t="shared" si="176"/>
        <v/>
      </c>
    </row>
    <row r="5634" spans="1:10">
      <c r="A5634" s="1">
        <v>41408</v>
      </c>
      <c r="B5634">
        <v>42.18</v>
      </c>
      <c r="C5634">
        <v>42.67</v>
      </c>
      <c r="D5634">
        <v>42.01</v>
      </c>
      <c r="E5634">
        <v>42.52</v>
      </c>
      <c r="F5634">
        <v>13023900</v>
      </c>
      <c r="G5634">
        <v>41.63</v>
      </c>
      <c r="H5634" t="s">
        <v>10</v>
      </c>
      <c r="I5634" s="22">
        <f t="shared" si="175"/>
        <v>7.7164597982109298E-3</v>
      </c>
      <c r="J5634" s="22" t="str">
        <f t="shared" si="176"/>
        <v/>
      </c>
    </row>
    <row r="5635" spans="1:10">
      <c r="A5635" s="1">
        <v>41409</v>
      </c>
      <c r="B5635">
        <v>42.5</v>
      </c>
      <c r="C5635">
        <v>43.1</v>
      </c>
      <c r="D5635">
        <v>42.39</v>
      </c>
      <c r="E5635">
        <v>42.92</v>
      </c>
      <c r="F5635">
        <v>12306200</v>
      </c>
      <c r="G5635">
        <v>42.02</v>
      </c>
      <c r="H5635" t="s">
        <v>10</v>
      </c>
      <c r="I5635" s="22">
        <f t="shared" ref="I5635:I5698" si="177">IF(A5635=$A$2,"",LN(G5635/G5634))</f>
        <v>9.3246342099703085E-3</v>
      </c>
      <c r="J5635" s="22" t="str">
        <f t="shared" ref="J5635:J5698" si="178">IF(B5635&gt;E5635,"lost money","")</f>
        <v/>
      </c>
    </row>
    <row r="5636" spans="1:10">
      <c r="A5636" s="1">
        <v>41410</v>
      </c>
      <c r="B5636">
        <v>42.91</v>
      </c>
      <c r="C5636">
        <v>43.43</v>
      </c>
      <c r="D5636">
        <v>42.79</v>
      </c>
      <c r="E5636">
        <v>43.09</v>
      </c>
      <c r="F5636">
        <v>12330000</v>
      </c>
      <c r="G5636">
        <v>42.19</v>
      </c>
      <c r="H5636" t="s">
        <v>10</v>
      </c>
      <c r="I5636" s="22">
        <f t="shared" si="177"/>
        <v>4.0375307193927764E-3</v>
      </c>
      <c r="J5636" s="22" t="str">
        <f t="shared" si="178"/>
        <v/>
      </c>
    </row>
    <row r="5637" spans="1:10">
      <c r="A5637" s="1">
        <v>41411</v>
      </c>
      <c r="B5637">
        <v>43.05</v>
      </c>
      <c r="C5637">
        <v>43.13</v>
      </c>
      <c r="D5637">
        <v>42.56</v>
      </c>
      <c r="E5637">
        <v>42.97</v>
      </c>
      <c r="F5637">
        <v>12611200</v>
      </c>
      <c r="G5637">
        <v>42.07</v>
      </c>
      <c r="H5637" t="s">
        <v>10</v>
      </c>
      <c r="I5637" s="22">
        <f t="shared" si="177"/>
        <v>-2.8483285338177676E-3</v>
      </c>
      <c r="J5637" s="22" t="str">
        <f t="shared" si="178"/>
        <v>lost money</v>
      </c>
    </row>
    <row r="5638" spans="1:10">
      <c r="A5638" s="1">
        <v>41414</v>
      </c>
      <c r="B5638">
        <v>42.95</v>
      </c>
      <c r="C5638">
        <v>42.95</v>
      </c>
      <c r="D5638">
        <v>42.3</v>
      </c>
      <c r="E5638">
        <v>42.38</v>
      </c>
      <c r="F5638">
        <v>9966000</v>
      </c>
      <c r="G5638">
        <v>41.49</v>
      </c>
      <c r="H5638" t="s">
        <v>10</v>
      </c>
      <c r="I5638" s="22">
        <f t="shared" si="177"/>
        <v>-1.3882463257652954E-2</v>
      </c>
      <c r="J5638" s="22" t="str">
        <f t="shared" si="178"/>
        <v>lost money</v>
      </c>
    </row>
    <row r="5639" spans="1:10">
      <c r="A5639" s="1">
        <v>41415</v>
      </c>
      <c r="B5639">
        <v>42.48</v>
      </c>
      <c r="C5639">
        <v>42.56</v>
      </c>
      <c r="D5639">
        <v>42.07</v>
      </c>
      <c r="E5639">
        <v>42.34</v>
      </c>
      <c r="F5639">
        <v>9148800</v>
      </c>
      <c r="G5639">
        <v>41.46</v>
      </c>
      <c r="H5639" t="s">
        <v>10</v>
      </c>
      <c r="I5639" s="22">
        <f t="shared" si="177"/>
        <v>-7.2332733714302797E-4</v>
      </c>
      <c r="J5639" s="22" t="str">
        <f t="shared" si="178"/>
        <v>lost money</v>
      </c>
    </row>
    <row r="5640" spans="1:10">
      <c r="A5640" s="1">
        <v>41416</v>
      </c>
      <c r="B5640">
        <v>42.28</v>
      </c>
      <c r="C5640">
        <v>42.86</v>
      </c>
      <c r="D5640">
        <v>42.04</v>
      </c>
      <c r="E5640">
        <v>42.25</v>
      </c>
      <c r="F5640">
        <v>13615600</v>
      </c>
      <c r="G5640">
        <v>41.37</v>
      </c>
      <c r="H5640" t="s">
        <v>10</v>
      </c>
      <c r="I5640" s="22">
        <f t="shared" si="177"/>
        <v>-2.1731265343134607E-3</v>
      </c>
      <c r="J5640" s="22" t="str">
        <f t="shared" si="178"/>
        <v>lost money</v>
      </c>
    </row>
    <row r="5641" spans="1:10">
      <c r="A5641" s="1">
        <v>41417</v>
      </c>
      <c r="B5641">
        <v>41.93</v>
      </c>
      <c r="C5641">
        <v>42.07</v>
      </c>
      <c r="D5641">
        <v>41.56</v>
      </c>
      <c r="E5641">
        <v>41.93</v>
      </c>
      <c r="F5641">
        <v>10934200</v>
      </c>
      <c r="G5641">
        <v>41.05</v>
      </c>
      <c r="H5641" t="s">
        <v>10</v>
      </c>
      <c r="I5641" s="22">
        <f t="shared" si="177"/>
        <v>-7.7651445748829042E-3</v>
      </c>
      <c r="J5641" s="22" t="str">
        <f t="shared" si="178"/>
        <v/>
      </c>
    </row>
    <row r="5642" spans="1:10">
      <c r="A5642" s="1">
        <v>41418</v>
      </c>
      <c r="B5642">
        <v>41.54</v>
      </c>
      <c r="C5642">
        <v>42.37</v>
      </c>
      <c r="D5642">
        <v>41.5</v>
      </c>
      <c r="E5642">
        <v>42.24</v>
      </c>
      <c r="F5642">
        <v>11542100</v>
      </c>
      <c r="G5642">
        <v>41.36</v>
      </c>
      <c r="H5642" t="s">
        <v>10</v>
      </c>
      <c r="I5642" s="22">
        <f t="shared" si="177"/>
        <v>7.5233943017365169E-3</v>
      </c>
      <c r="J5642" s="22" t="str">
        <f t="shared" si="178"/>
        <v/>
      </c>
    </row>
    <row r="5643" spans="1:10">
      <c r="A5643" s="1">
        <v>41422</v>
      </c>
      <c r="B5643">
        <v>42.6</v>
      </c>
      <c r="C5643">
        <v>43.05</v>
      </c>
      <c r="D5643">
        <v>42.4</v>
      </c>
      <c r="E5643">
        <v>42.55</v>
      </c>
      <c r="F5643">
        <v>14412100</v>
      </c>
      <c r="G5643">
        <v>41.66</v>
      </c>
      <c r="H5643" t="s">
        <v>10</v>
      </c>
      <c r="I5643" s="22">
        <f t="shared" si="177"/>
        <v>7.2272056326521013E-3</v>
      </c>
      <c r="J5643" s="22" t="str">
        <f t="shared" si="178"/>
        <v>lost money</v>
      </c>
    </row>
    <row r="5644" spans="1:10">
      <c r="A5644" s="1">
        <v>41423</v>
      </c>
      <c r="B5644">
        <v>42.34</v>
      </c>
      <c r="C5644">
        <v>42.43</v>
      </c>
      <c r="D5644">
        <v>41.31</v>
      </c>
      <c r="E5644">
        <v>41.4</v>
      </c>
      <c r="F5644">
        <v>16986600</v>
      </c>
      <c r="G5644">
        <v>40.53</v>
      </c>
      <c r="H5644" t="s">
        <v>10</v>
      </c>
      <c r="I5644" s="22">
        <f t="shared" si="177"/>
        <v>-2.749899519260866E-2</v>
      </c>
      <c r="J5644" s="22" t="str">
        <f t="shared" si="178"/>
        <v>lost money</v>
      </c>
    </row>
    <row r="5645" spans="1:10">
      <c r="A5645" s="1">
        <v>41424</v>
      </c>
      <c r="B5645">
        <v>41.49</v>
      </c>
      <c r="C5645">
        <v>41.6</v>
      </c>
      <c r="D5645">
        <v>40.75</v>
      </c>
      <c r="E5645">
        <v>40.770000000000003</v>
      </c>
      <c r="F5645">
        <v>20874500</v>
      </c>
      <c r="G5645">
        <v>39.92</v>
      </c>
      <c r="H5645" t="s">
        <v>10</v>
      </c>
      <c r="I5645" s="22">
        <f t="shared" si="177"/>
        <v>-1.5164989196953955E-2</v>
      </c>
      <c r="J5645" s="22" t="str">
        <f t="shared" si="178"/>
        <v>lost money</v>
      </c>
    </row>
    <row r="5646" spans="1:10">
      <c r="A5646" s="1">
        <v>41425</v>
      </c>
      <c r="B5646">
        <v>40.65</v>
      </c>
      <c r="C5646">
        <v>40.770000000000003</v>
      </c>
      <c r="D5646">
        <v>39.99</v>
      </c>
      <c r="E5646">
        <v>39.99</v>
      </c>
      <c r="F5646">
        <v>26184400</v>
      </c>
      <c r="G5646">
        <v>39.15</v>
      </c>
      <c r="H5646" t="s">
        <v>10</v>
      </c>
      <c r="I5646" s="22">
        <f t="shared" si="177"/>
        <v>-1.9477029006451152E-2</v>
      </c>
      <c r="J5646" s="22" t="str">
        <f t="shared" si="178"/>
        <v>lost money</v>
      </c>
    </row>
    <row r="5647" spans="1:10">
      <c r="A5647" s="1">
        <v>41428</v>
      </c>
      <c r="B5647">
        <v>39.950000000000003</v>
      </c>
      <c r="C5647">
        <v>40.840000000000003</v>
      </c>
      <c r="D5647">
        <v>39.630000000000003</v>
      </c>
      <c r="E5647">
        <v>40.81</v>
      </c>
      <c r="F5647">
        <v>16577200</v>
      </c>
      <c r="G5647">
        <v>39.96</v>
      </c>
      <c r="H5647" t="s">
        <v>10</v>
      </c>
      <c r="I5647" s="22">
        <f t="shared" si="177"/>
        <v>2.0478531343540701E-2</v>
      </c>
      <c r="J5647" s="22" t="str">
        <f t="shared" si="178"/>
        <v/>
      </c>
    </row>
    <row r="5648" spans="1:10">
      <c r="A5648" s="1">
        <v>41429</v>
      </c>
      <c r="B5648">
        <v>41.59</v>
      </c>
      <c r="C5648">
        <v>41.72</v>
      </c>
      <c r="D5648">
        <v>40.950000000000003</v>
      </c>
      <c r="E5648">
        <v>41.42</v>
      </c>
      <c r="F5648">
        <v>19241000</v>
      </c>
      <c r="G5648">
        <v>40.549999999999997</v>
      </c>
      <c r="H5648" t="s">
        <v>10</v>
      </c>
      <c r="I5648" s="22">
        <f t="shared" si="177"/>
        <v>1.4656826781069021E-2</v>
      </c>
      <c r="J5648" s="22" t="str">
        <f t="shared" si="178"/>
        <v>lost money</v>
      </c>
    </row>
    <row r="5649" spans="1:10">
      <c r="A5649" s="1">
        <v>41430</v>
      </c>
      <c r="B5649">
        <v>41.4</v>
      </c>
      <c r="C5649">
        <v>41.4</v>
      </c>
      <c r="D5649">
        <v>40.6</v>
      </c>
      <c r="E5649">
        <v>40.65</v>
      </c>
      <c r="F5649">
        <v>16429300</v>
      </c>
      <c r="G5649">
        <v>39.799999999999997</v>
      </c>
      <c r="H5649" t="s">
        <v>10</v>
      </c>
      <c r="I5649" s="22">
        <f t="shared" si="177"/>
        <v>-1.8668868271029877E-2</v>
      </c>
      <c r="J5649" s="22" t="str">
        <f t="shared" si="178"/>
        <v>lost money</v>
      </c>
    </row>
    <row r="5650" spans="1:10">
      <c r="A5650" s="1">
        <v>41431</v>
      </c>
      <c r="B5650">
        <v>40.549999999999997</v>
      </c>
      <c r="C5650">
        <v>40.79</v>
      </c>
      <c r="D5650">
        <v>40.31</v>
      </c>
      <c r="E5650">
        <v>40.79</v>
      </c>
      <c r="F5650">
        <v>11171600</v>
      </c>
      <c r="G5650">
        <v>39.94</v>
      </c>
      <c r="H5650" t="s">
        <v>10</v>
      </c>
      <c r="I5650" s="22">
        <f t="shared" si="177"/>
        <v>3.5114156972771184E-3</v>
      </c>
      <c r="J5650" s="22" t="str">
        <f t="shared" si="178"/>
        <v/>
      </c>
    </row>
    <row r="5651" spans="1:10">
      <c r="A5651" s="1">
        <v>41432</v>
      </c>
      <c r="B5651">
        <v>41.2</v>
      </c>
      <c r="C5651">
        <v>41.73</v>
      </c>
      <c r="D5651">
        <v>40.98</v>
      </c>
      <c r="E5651">
        <v>41.41</v>
      </c>
      <c r="F5651">
        <v>14459600</v>
      </c>
      <c r="G5651">
        <v>40.54</v>
      </c>
      <c r="H5651" t="s">
        <v>10</v>
      </c>
      <c r="I5651" s="22">
        <f t="shared" si="177"/>
        <v>1.4910813036184833E-2</v>
      </c>
      <c r="J5651" s="22" t="str">
        <f t="shared" si="178"/>
        <v/>
      </c>
    </row>
    <row r="5652" spans="1:10">
      <c r="A5652" s="1">
        <v>41435</v>
      </c>
      <c r="B5652">
        <v>41.5</v>
      </c>
      <c r="C5652">
        <v>41.52</v>
      </c>
      <c r="D5652">
        <v>41.04</v>
      </c>
      <c r="E5652">
        <v>41.18</v>
      </c>
      <c r="F5652">
        <v>11247400</v>
      </c>
      <c r="G5652">
        <v>40.32</v>
      </c>
      <c r="H5652" t="s">
        <v>10</v>
      </c>
      <c r="I5652" s="22">
        <f t="shared" si="177"/>
        <v>-5.4415172607407353E-3</v>
      </c>
      <c r="J5652" s="22" t="str">
        <f t="shared" si="178"/>
        <v>lost money</v>
      </c>
    </row>
    <row r="5653" spans="1:10">
      <c r="A5653" s="1">
        <v>41436</v>
      </c>
      <c r="B5653">
        <v>40.880000000000003</v>
      </c>
      <c r="C5653">
        <v>40.98</v>
      </c>
      <c r="D5653">
        <v>40.4</v>
      </c>
      <c r="E5653">
        <v>40.79</v>
      </c>
      <c r="F5653">
        <v>16491600</v>
      </c>
      <c r="G5653">
        <v>39.94</v>
      </c>
      <c r="H5653" t="s">
        <v>10</v>
      </c>
      <c r="I5653" s="22">
        <f t="shared" si="177"/>
        <v>-9.4692957754440969E-3</v>
      </c>
      <c r="J5653" s="22" t="str">
        <f t="shared" si="178"/>
        <v>lost money</v>
      </c>
    </row>
    <row r="5654" spans="1:10">
      <c r="A5654" s="1">
        <v>41437</v>
      </c>
      <c r="B5654">
        <v>40.79</v>
      </c>
      <c r="C5654">
        <v>40.94</v>
      </c>
      <c r="D5654">
        <v>40.28</v>
      </c>
      <c r="E5654">
        <v>40.39</v>
      </c>
      <c r="F5654">
        <v>11611100</v>
      </c>
      <c r="G5654">
        <v>39.82</v>
      </c>
      <c r="H5654" t="s">
        <v>10</v>
      </c>
      <c r="I5654" s="22">
        <f t="shared" si="177"/>
        <v>-3.0090293516189053E-3</v>
      </c>
      <c r="J5654" s="22" t="str">
        <f t="shared" si="178"/>
        <v>lost money</v>
      </c>
    </row>
    <row r="5655" spans="1:10">
      <c r="A5655" s="1">
        <v>41438</v>
      </c>
      <c r="B5655">
        <v>40.31</v>
      </c>
      <c r="C5655">
        <v>40.479999999999997</v>
      </c>
      <c r="D5655">
        <v>39.68</v>
      </c>
      <c r="E5655">
        <v>40.409999999999997</v>
      </c>
      <c r="F5655">
        <v>17861200</v>
      </c>
      <c r="G5655">
        <v>39.840000000000003</v>
      </c>
      <c r="H5655" t="s">
        <v>10</v>
      </c>
      <c r="I5655" s="22">
        <f t="shared" si="177"/>
        <v>5.0213408034728124E-4</v>
      </c>
      <c r="J5655" s="22" t="str">
        <f t="shared" si="178"/>
        <v/>
      </c>
    </row>
    <row r="5656" spans="1:10">
      <c r="A5656" s="1">
        <v>41439</v>
      </c>
      <c r="B5656">
        <v>40.380000000000003</v>
      </c>
      <c r="C5656">
        <v>40.79</v>
      </c>
      <c r="D5656">
        <v>40.26</v>
      </c>
      <c r="E5656">
        <v>40.340000000000003</v>
      </c>
      <c r="F5656">
        <v>13635100</v>
      </c>
      <c r="G5656">
        <v>39.770000000000003</v>
      </c>
      <c r="H5656" t="s">
        <v>10</v>
      </c>
      <c r="I5656" s="22">
        <f t="shared" si="177"/>
        <v>-1.7585734967982484E-3</v>
      </c>
      <c r="J5656" s="22" t="str">
        <f t="shared" si="178"/>
        <v>lost money</v>
      </c>
    </row>
    <row r="5657" spans="1:10">
      <c r="A5657" s="1">
        <v>41442</v>
      </c>
      <c r="B5657">
        <v>40.54</v>
      </c>
      <c r="C5657">
        <v>40.909999999999997</v>
      </c>
      <c r="D5657">
        <v>40.4</v>
      </c>
      <c r="E5657">
        <v>40.68</v>
      </c>
      <c r="F5657">
        <v>12409200</v>
      </c>
      <c r="G5657">
        <v>40.11</v>
      </c>
      <c r="H5657" t="s">
        <v>10</v>
      </c>
      <c r="I5657" s="22">
        <f t="shared" si="177"/>
        <v>8.51282056236209E-3</v>
      </c>
      <c r="J5657" s="22" t="str">
        <f t="shared" si="178"/>
        <v/>
      </c>
    </row>
    <row r="5658" spans="1:10">
      <c r="A5658" s="1">
        <v>41443</v>
      </c>
      <c r="B5658">
        <v>40.700000000000003</v>
      </c>
      <c r="C5658">
        <v>40.99</v>
      </c>
      <c r="D5658">
        <v>40.57</v>
      </c>
      <c r="E5658">
        <v>40.93</v>
      </c>
      <c r="F5658">
        <v>9893100</v>
      </c>
      <c r="G5658">
        <v>40.35</v>
      </c>
      <c r="H5658" t="s">
        <v>10</v>
      </c>
      <c r="I5658" s="22">
        <f t="shared" si="177"/>
        <v>5.9657149339963408E-3</v>
      </c>
      <c r="J5658" s="22" t="str">
        <f t="shared" si="178"/>
        <v/>
      </c>
    </row>
    <row r="5659" spans="1:10">
      <c r="A5659" s="1">
        <v>41444</v>
      </c>
      <c r="B5659">
        <v>41.01</v>
      </c>
      <c r="C5659">
        <v>41.44</v>
      </c>
      <c r="D5659">
        <v>40.409999999999997</v>
      </c>
      <c r="E5659">
        <v>40.409999999999997</v>
      </c>
      <c r="F5659">
        <v>16936100</v>
      </c>
      <c r="G5659">
        <v>39.840000000000003</v>
      </c>
      <c r="H5659" t="s">
        <v>10</v>
      </c>
      <c r="I5659" s="22">
        <f t="shared" si="177"/>
        <v>-1.2719961999560294E-2</v>
      </c>
      <c r="J5659" s="22" t="str">
        <f t="shared" si="178"/>
        <v>lost money</v>
      </c>
    </row>
    <row r="5660" spans="1:10">
      <c r="A5660" s="1">
        <v>41445</v>
      </c>
      <c r="B5660">
        <v>40.270000000000003</v>
      </c>
      <c r="C5660">
        <v>40.35</v>
      </c>
      <c r="D5660">
        <v>38.97</v>
      </c>
      <c r="E5660">
        <v>39.130000000000003</v>
      </c>
      <c r="F5660">
        <v>24899700</v>
      </c>
      <c r="G5660">
        <v>38.58</v>
      </c>
      <c r="H5660" t="s">
        <v>10</v>
      </c>
      <c r="I5660" s="22">
        <f t="shared" si="177"/>
        <v>-3.2137425238814639E-2</v>
      </c>
      <c r="J5660" s="22" t="str">
        <f t="shared" si="178"/>
        <v>lost money</v>
      </c>
    </row>
    <row r="5661" spans="1:10">
      <c r="A5661" s="1">
        <v>41446</v>
      </c>
      <c r="B5661">
        <v>39.630000000000003</v>
      </c>
      <c r="C5661">
        <v>39.97</v>
      </c>
      <c r="D5661">
        <v>39.299999999999997</v>
      </c>
      <c r="E5661">
        <v>39.76</v>
      </c>
      <c r="F5661">
        <v>21938300</v>
      </c>
      <c r="G5661">
        <v>39.200000000000003</v>
      </c>
      <c r="H5661" t="s">
        <v>10</v>
      </c>
      <c r="I5661" s="22">
        <f t="shared" si="177"/>
        <v>1.5942739318834054E-2</v>
      </c>
      <c r="J5661" s="22" t="str">
        <f t="shared" si="178"/>
        <v/>
      </c>
    </row>
    <row r="5662" spans="1:10">
      <c r="A5662" s="1">
        <v>41449</v>
      </c>
      <c r="B5662">
        <v>39.450000000000003</v>
      </c>
      <c r="C5662">
        <v>40.01</v>
      </c>
      <c r="D5662">
        <v>39.130000000000003</v>
      </c>
      <c r="E5662">
        <v>39.53</v>
      </c>
      <c r="F5662">
        <v>16433700</v>
      </c>
      <c r="G5662">
        <v>38.97</v>
      </c>
      <c r="H5662" t="s">
        <v>10</v>
      </c>
      <c r="I5662" s="22">
        <f t="shared" si="177"/>
        <v>-5.8846274457991475E-3</v>
      </c>
      <c r="J5662" s="22" t="str">
        <f t="shared" si="178"/>
        <v/>
      </c>
    </row>
    <row r="5663" spans="1:10">
      <c r="A5663" s="1">
        <v>41450</v>
      </c>
      <c r="B5663">
        <v>39.82</v>
      </c>
      <c r="C5663">
        <v>39.93</v>
      </c>
      <c r="D5663">
        <v>39.44</v>
      </c>
      <c r="E5663">
        <v>39.72</v>
      </c>
      <c r="F5663">
        <v>12942100</v>
      </c>
      <c r="G5663">
        <v>39.159999999999997</v>
      </c>
      <c r="H5663" t="s">
        <v>10</v>
      </c>
      <c r="I5663" s="22">
        <f t="shared" si="177"/>
        <v>4.8636983116917649E-3</v>
      </c>
      <c r="J5663" s="22" t="str">
        <f t="shared" si="178"/>
        <v>lost money</v>
      </c>
    </row>
    <row r="5664" spans="1:10">
      <c r="A5664" s="1">
        <v>41451</v>
      </c>
      <c r="B5664">
        <v>40.08</v>
      </c>
      <c r="C5664">
        <v>40.479999999999997</v>
      </c>
      <c r="D5664">
        <v>40.06</v>
      </c>
      <c r="E5664">
        <v>40.33</v>
      </c>
      <c r="F5664">
        <v>13855600</v>
      </c>
      <c r="G5664">
        <v>39.76</v>
      </c>
      <c r="H5664" t="s">
        <v>10</v>
      </c>
      <c r="I5664" s="22">
        <f t="shared" si="177"/>
        <v>1.5205564126063591E-2</v>
      </c>
      <c r="J5664" s="22" t="str">
        <f t="shared" si="178"/>
        <v/>
      </c>
    </row>
    <row r="5665" spans="1:10">
      <c r="A5665" s="1">
        <v>41452</v>
      </c>
      <c r="B5665">
        <v>40.65</v>
      </c>
      <c r="C5665">
        <v>40.880000000000003</v>
      </c>
      <c r="D5665">
        <v>40.24</v>
      </c>
      <c r="E5665">
        <v>40.26</v>
      </c>
      <c r="F5665">
        <v>11459100</v>
      </c>
      <c r="G5665">
        <v>39.69</v>
      </c>
      <c r="H5665" t="s">
        <v>10</v>
      </c>
      <c r="I5665" s="22">
        <f t="shared" si="177"/>
        <v>-1.7621149933993321E-3</v>
      </c>
      <c r="J5665" s="22" t="str">
        <f t="shared" si="178"/>
        <v>lost money</v>
      </c>
    </row>
    <row r="5666" spans="1:10">
      <c r="A5666" s="1">
        <v>41453</v>
      </c>
      <c r="B5666">
        <v>40.25</v>
      </c>
      <c r="C5666">
        <v>40.44</v>
      </c>
      <c r="D5666">
        <v>40.1</v>
      </c>
      <c r="E5666">
        <v>40.11</v>
      </c>
      <c r="F5666">
        <v>16316000</v>
      </c>
      <c r="G5666">
        <v>39.54</v>
      </c>
      <c r="H5666" t="s">
        <v>10</v>
      </c>
      <c r="I5666" s="22">
        <f t="shared" si="177"/>
        <v>-3.7864490525031476E-3</v>
      </c>
      <c r="J5666" s="22" t="str">
        <f t="shared" si="178"/>
        <v>lost money</v>
      </c>
    </row>
    <row r="5667" spans="1:10">
      <c r="A5667" s="1">
        <v>41456</v>
      </c>
      <c r="B5667">
        <v>40.5</v>
      </c>
      <c r="C5667">
        <v>40.92</v>
      </c>
      <c r="D5667">
        <v>40.36</v>
      </c>
      <c r="E5667">
        <v>40.46</v>
      </c>
      <c r="F5667">
        <v>10754300</v>
      </c>
      <c r="G5667">
        <v>39.89</v>
      </c>
      <c r="H5667" t="s">
        <v>10</v>
      </c>
      <c r="I5667" s="22">
        <f t="shared" si="177"/>
        <v>8.8128481748444322E-3</v>
      </c>
      <c r="J5667" s="22" t="str">
        <f t="shared" si="178"/>
        <v>lost money</v>
      </c>
    </row>
    <row r="5668" spans="1:10">
      <c r="A5668" s="1">
        <v>41457</v>
      </c>
      <c r="B5668">
        <v>40.47</v>
      </c>
      <c r="C5668">
        <v>40.74</v>
      </c>
      <c r="D5668">
        <v>40.18</v>
      </c>
      <c r="E5668">
        <v>40.369999999999997</v>
      </c>
      <c r="F5668">
        <v>12248300</v>
      </c>
      <c r="G5668">
        <v>39.799999999999997</v>
      </c>
      <c r="H5668" t="s">
        <v>10</v>
      </c>
      <c r="I5668" s="22">
        <f t="shared" si="177"/>
        <v>-2.2587536269232807E-3</v>
      </c>
      <c r="J5668" s="22" t="str">
        <f t="shared" si="178"/>
        <v>lost money</v>
      </c>
    </row>
    <row r="5669" spans="1:10">
      <c r="A5669" s="1">
        <v>41458</v>
      </c>
      <c r="B5669">
        <v>40.24</v>
      </c>
      <c r="C5669">
        <v>40.56</v>
      </c>
      <c r="D5669">
        <v>40.03</v>
      </c>
      <c r="E5669">
        <v>40.49</v>
      </c>
      <c r="F5669">
        <v>5264800</v>
      </c>
      <c r="G5669">
        <v>39.92</v>
      </c>
      <c r="H5669" t="s">
        <v>10</v>
      </c>
      <c r="I5669" s="22">
        <f t="shared" si="177"/>
        <v>3.0105391528712842E-3</v>
      </c>
      <c r="J5669" s="22" t="str">
        <f t="shared" si="178"/>
        <v/>
      </c>
    </row>
    <row r="5670" spans="1:10">
      <c r="A5670" s="1">
        <v>41460</v>
      </c>
      <c r="B5670">
        <v>40.72</v>
      </c>
      <c r="C5670">
        <v>40.799999999999997</v>
      </c>
      <c r="D5670">
        <v>40.15</v>
      </c>
      <c r="E5670">
        <v>40.520000000000003</v>
      </c>
      <c r="F5670">
        <v>10402200</v>
      </c>
      <c r="G5670">
        <v>39.950000000000003</v>
      </c>
      <c r="H5670" t="s">
        <v>10</v>
      </c>
      <c r="I5670" s="22">
        <f t="shared" si="177"/>
        <v>7.5122076902054595E-4</v>
      </c>
      <c r="J5670" s="22" t="str">
        <f t="shared" si="178"/>
        <v>lost money</v>
      </c>
    </row>
    <row r="5671" spans="1:10">
      <c r="A5671" s="1">
        <v>41463</v>
      </c>
      <c r="B5671">
        <v>40.65</v>
      </c>
      <c r="C5671">
        <v>40.76</v>
      </c>
      <c r="D5671">
        <v>40.42</v>
      </c>
      <c r="E5671">
        <v>40.54</v>
      </c>
      <c r="F5671">
        <v>9936300</v>
      </c>
      <c r="G5671">
        <v>39.97</v>
      </c>
      <c r="H5671" t="s">
        <v>10</v>
      </c>
      <c r="I5671" s="22">
        <f t="shared" si="177"/>
        <v>5.0050051094845474E-4</v>
      </c>
      <c r="J5671" s="22" t="str">
        <f t="shared" si="178"/>
        <v>lost money</v>
      </c>
    </row>
    <row r="5672" spans="1:10">
      <c r="A5672" s="1">
        <v>41464</v>
      </c>
      <c r="B5672">
        <v>40.86</v>
      </c>
      <c r="C5672">
        <v>41.07</v>
      </c>
      <c r="D5672">
        <v>40.72</v>
      </c>
      <c r="E5672">
        <v>40.83</v>
      </c>
      <c r="F5672">
        <v>8760500</v>
      </c>
      <c r="G5672">
        <v>40.25</v>
      </c>
      <c r="H5672" t="s">
        <v>10</v>
      </c>
      <c r="I5672" s="22">
        <f t="shared" si="177"/>
        <v>6.9808311413403611E-3</v>
      </c>
      <c r="J5672" s="22" t="str">
        <f t="shared" si="178"/>
        <v>lost money</v>
      </c>
    </row>
    <row r="5673" spans="1:10">
      <c r="A5673" s="1">
        <v>41465</v>
      </c>
      <c r="B5673">
        <v>40.92</v>
      </c>
      <c r="C5673">
        <v>40.96</v>
      </c>
      <c r="D5673">
        <v>40.53</v>
      </c>
      <c r="E5673">
        <v>40.68</v>
      </c>
      <c r="F5673">
        <v>9539300</v>
      </c>
      <c r="G5673">
        <v>40.11</v>
      </c>
      <c r="H5673" t="s">
        <v>10</v>
      </c>
      <c r="I5673" s="22">
        <f t="shared" si="177"/>
        <v>-3.4843240826109225E-3</v>
      </c>
      <c r="J5673" s="22" t="str">
        <f t="shared" si="178"/>
        <v>lost money</v>
      </c>
    </row>
    <row r="5674" spans="1:10">
      <c r="A5674" s="1">
        <v>41466</v>
      </c>
      <c r="B5674">
        <v>41</v>
      </c>
      <c r="C5674">
        <v>41.15</v>
      </c>
      <c r="D5674">
        <v>40.74</v>
      </c>
      <c r="E5674">
        <v>41.03</v>
      </c>
      <c r="F5674">
        <v>13489600</v>
      </c>
      <c r="G5674">
        <v>40.450000000000003</v>
      </c>
      <c r="H5674" t="s">
        <v>10</v>
      </c>
      <c r="I5674" s="22">
        <f t="shared" si="177"/>
        <v>8.4409637225393037E-3</v>
      </c>
      <c r="J5674" s="22" t="str">
        <f t="shared" si="178"/>
        <v/>
      </c>
    </row>
    <row r="5675" spans="1:10">
      <c r="A5675" s="1">
        <v>41467</v>
      </c>
      <c r="B5675">
        <v>41.03</v>
      </c>
      <c r="C5675">
        <v>41.13</v>
      </c>
      <c r="D5675">
        <v>40.729999999999997</v>
      </c>
      <c r="E5675">
        <v>41.03</v>
      </c>
      <c r="F5675">
        <v>10686400</v>
      </c>
      <c r="G5675">
        <v>40.450000000000003</v>
      </c>
      <c r="H5675" t="s">
        <v>10</v>
      </c>
      <c r="I5675" s="22">
        <f t="shared" si="177"/>
        <v>0</v>
      </c>
      <c r="J5675" s="22" t="str">
        <f t="shared" si="178"/>
        <v/>
      </c>
    </row>
    <row r="5676" spans="1:10">
      <c r="A5676" s="1">
        <v>41470</v>
      </c>
      <c r="B5676">
        <v>41.05</v>
      </c>
      <c r="C5676">
        <v>41.25</v>
      </c>
      <c r="D5676">
        <v>40.93</v>
      </c>
      <c r="E5676">
        <v>41.01</v>
      </c>
      <c r="F5676">
        <v>11418400</v>
      </c>
      <c r="G5676">
        <v>40.43</v>
      </c>
      <c r="H5676" t="s">
        <v>10</v>
      </c>
      <c r="I5676" s="22">
        <f t="shared" si="177"/>
        <v>-4.9455985182130186E-4</v>
      </c>
      <c r="J5676" s="22" t="str">
        <f t="shared" si="178"/>
        <v>lost money</v>
      </c>
    </row>
    <row r="5677" spans="1:10">
      <c r="A5677" s="1">
        <v>41471</v>
      </c>
      <c r="B5677">
        <v>39.78</v>
      </c>
      <c r="C5677">
        <v>40.5</v>
      </c>
      <c r="D5677">
        <v>39.5</v>
      </c>
      <c r="E5677">
        <v>40.229999999999997</v>
      </c>
      <c r="F5677">
        <v>33575600</v>
      </c>
      <c r="G5677">
        <v>39.659999999999997</v>
      </c>
      <c r="H5677" t="s">
        <v>10</v>
      </c>
      <c r="I5677" s="22">
        <f t="shared" si="177"/>
        <v>-1.9228960561029667E-2</v>
      </c>
      <c r="J5677" s="22" t="str">
        <f t="shared" si="178"/>
        <v/>
      </c>
    </row>
    <row r="5678" spans="1:10">
      <c r="A5678" s="1">
        <v>41472</v>
      </c>
      <c r="B5678">
        <v>40.549999999999997</v>
      </c>
      <c r="C5678">
        <v>40.98</v>
      </c>
      <c r="D5678">
        <v>40.31</v>
      </c>
      <c r="E5678">
        <v>40.840000000000003</v>
      </c>
      <c r="F5678">
        <v>18513100</v>
      </c>
      <c r="G5678">
        <v>40.26</v>
      </c>
      <c r="H5678" t="s">
        <v>10</v>
      </c>
      <c r="I5678" s="22">
        <f t="shared" si="177"/>
        <v>1.5015297119995653E-2</v>
      </c>
      <c r="J5678" s="22" t="str">
        <f t="shared" si="178"/>
        <v/>
      </c>
    </row>
    <row r="5679" spans="1:10">
      <c r="A5679" s="1">
        <v>41473</v>
      </c>
      <c r="B5679">
        <v>40.86</v>
      </c>
      <c r="C5679">
        <v>41.07</v>
      </c>
      <c r="D5679">
        <v>40.74</v>
      </c>
      <c r="E5679">
        <v>40.81</v>
      </c>
      <c r="F5679">
        <v>9708800</v>
      </c>
      <c r="G5679">
        <v>40.229999999999997</v>
      </c>
      <c r="H5679" t="s">
        <v>10</v>
      </c>
      <c r="I5679" s="22">
        <f t="shared" si="177"/>
        <v>-7.4543424994861964E-4</v>
      </c>
      <c r="J5679" s="22" t="str">
        <f t="shared" si="178"/>
        <v>lost money</v>
      </c>
    </row>
    <row r="5680" spans="1:10">
      <c r="A5680" s="1">
        <v>41474</v>
      </c>
      <c r="B5680">
        <v>40.880000000000003</v>
      </c>
      <c r="C5680">
        <v>41.1</v>
      </c>
      <c r="D5680">
        <v>40.79</v>
      </c>
      <c r="E5680">
        <v>41.09</v>
      </c>
      <c r="F5680">
        <v>11401100</v>
      </c>
      <c r="G5680">
        <v>40.51</v>
      </c>
      <c r="H5680" t="s">
        <v>10</v>
      </c>
      <c r="I5680" s="22">
        <f t="shared" si="177"/>
        <v>6.9358712529023238E-3</v>
      </c>
      <c r="J5680" s="22" t="str">
        <f t="shared" si="178"/>
        <v/>
      </c>
    </row>
    <row r="5681" spans="1:10">
      <c r="A5681" s="1">
        <v>41477</v>
      </c>
      <c r="B5681">
        <v>41.08</v>
      </c>
      <c r="C5681">
        <v>41.14</v>
      </c>
      <c r="D5681">
        <v>40.76</v>
      </c>
      <c r="E5681">
        <v>40.840000000000003</v>
      </c>
      <c r="F5681">
        <v>9425100</v>
      </c>
      <c r="G5681">
        <v>40.26</v>
      </c>
      <c r="H5681" t="s">
        <v>10</v>
      </c>
      <c r="I5681" s="22">
        <f t="shared" si="177"/>
        <v>-6.1904370029537579E-3</v>
      </c>
      <c r="J5681" s="22" t="str">
        <f t="shared" si="178"/>
        <v>lost money</v>
      </c>
    </row>
    <row r="5682" spans="1:10">
      <c r="A5682" s="1">
        <v>41478</v>
      </c>
      <c r="B5682">
        <v>40.950000000000003</v>
      </c>
      <c r="C5682">
        <v>41.13</v>
      </c>
      <c r="D5682">
        <v>40.79</v>
      </c>
      <c r="E5682">
        <v>40.96</v>
      </c>
      <c r="F5682">
        <v>9400900</v>
      </c>
      <c r="G5682">
        <v>40.380000000000003</v>
      </c>
      <c r="H5682" t="s">
        <v>10</v>
      </c>
      <c r="I5682" s="22">
        <f t="shared" si="177"/>
        <v>2.976192673046176E-3</v>
      </c>
      <c r="J5682" s="22" t="str">
        <f t="shared" si="178"/>
        <v/>
      </c>
    </row>
    <row r="5683" spans="1:10">
      <c r="A5683" s="1">
        <v>41479</v>
      </c>
      <c r="B5683">
        <v>41.12</v>
      </c>
      <c r="C5683">
        <v>41.13</v>
      </c>
      <c r="D5683">
        <v>40.75</v>
      </c>
      <c r="E5683">
        <v>40.86</v>
      </c>
      <c r="F5683">
        <v>10511000</v>
      </c>
      <c r="G5683">
        <v>40.28</v>
      </c>
      <c r="H5683" t="s">
        <v>10</v>
      </c>
      <c r="I5683" s="22">
        <f t="shared" si="177"/>
        <v>-2.4795450343298837E-3</v>
      </c>
      <c r="J5683" s="22" t="str">
        <f t="shared" si="178"/>
        <v>lost money</v>
      </c>
    </row>
    <row r="5684" spans="1:10">
      <c r="A5684" s="1">
        <v>41480</v>
      </c>
      <c r="B5684">
        <v>40.81</v>
      </c>
      <c r="C5684">
        <v>40.880000000000003</v>
      </c>
      <c r="D5684">
        <v>40.479999999999997</v>
      </c>
      <c r="E5684">
        <v>40.840000000000003</v>
      </c>
      <c r="F5684">
        <v>9147300</v>
      </c>
      <c r="G5684">
        <v>40.26</v>
      </c>
      <c r="H5684" t="s">
        <v>10</v>
      </c>
      <c r="I5684" s="22">
        <f t="shared" si="177"/>
        <v>-4.9664763871623617E-4</v>
      </c>
      <c r="J5684" s="22" t="str">
        <f t="shared" si="178"/>
        <v/>
      </c>
    </row>
    <row r="5685" spans="1:10">
      <c r="A5685" s="1">
        <v>41481</v>
      </c>
      <c r="B5685">
        <v>40.65</v>
      </c>
      <c r="C5685">
        <v>40.65</v>
      </c>
      <c r="D5685">
        <v>40.01</v>
      </c>
      <c r="E5685">
        <v>40.64</v>
      </c>
      <c r="F5685">
        <v>12279600</v>
      </c>
      <c r="G5685">
        <v>40.07</v>
      </c>
      <c r="H5685" t="s">
        <v>10</v>
      </c>
      <c r="I5685" s="22">
        <f t="shared" si="177"/>
        <v>-4.7304955635922028E-3</v>
      </c>
      <c r="J5685" s="22" t="str">
        <f t="shared" si="178"/>
        <v>lost money</v>
      </c>
    </row>
    <row r="5686" spans="1:10">
      <c r="A5686" s="1">
        <v>41484</v>
      </c>
      <c r="B5686">
        <v>40.61</v>
      </c>
      <c r="C5686">
        <v>40.68</v>
      </c>
      <c r="D5686">
        <v>40.26</v>
      </c>
      <c r="E5686">
        <v>40.28</v>
      </c>
      <c r="F5686">
        <v>10132000</v>
      </c>
      <c r="G5686">
        <v>39.71</v>
      </c>
      <c r="H5686" t="s">
        <v>10</v>
      </c>
      <c r="I5686" s="22">
        <f t="shared" si="177"/>
        <v>-9.024879504893028E-3</v>
      </c>
      <c r="J5686" s="22" t="str">
        <f t="shared" si="178"/>
        <v>lost money</v>
      </c>
    </row>
    <row r="5687" spans="1:10">
      <c r="A5687" s="1">
        <v>41485</v>
      </c>
      <c r="B5687">
        <v>40.42</v>
      </c>
      <c r="C5687">
        <v>40.729999999999997</v>
      </c>
      <c r="D5687">
        <v>40.25</v>
      </c>
      <c r="E5687">
        <v>40.32</v>
      </c>
      <c r="F5687">
        <v>10769400</v>
      </c>
      <c r="G5687">
        <v>39.75</v>
      </c>
      <c r="H5687" t="s">
        <v>10</v>
      </c>
      <c r="I5687" s="22">
        <f t="shared" si="177"/>
        <v>1.0067959571807808E-3</v>
      </c>
      <c r="J5687" s="22" t="str">
        <f t="shared" si="178"/>
        <v>lost money</v>
      </c>
    </row>
    <row r="5688" spans="1:10">
      <c r="A5688" s="1">
        <v>41486</v>
      </c>
      <c r="B5688">
        <v>40.409999999999997</v>
      </c>
      <c r="C5688">
        <v>40.58</v>
      </c>
      <c r="D5688">
        <v>40.06</v>
      </c>
      <c r="E5688">
        <v>40.08</v>
      </c>
      <c r="F5688">
        <v>13557100</v>
      </c>
      <c r="G5688">
        <v>39.51</v>
      </c>
      <c r="H5688" t="s">
        <v>10</v>
      </c>
      <c r="I5688" s="22">
        <f t="shared" si="177"/>
        <v>-6.056036677041585E-3</v>
      </c>
      <c r="J5688" s="22" t="str">
        <f t="shared" si="178"/>
        <v>lost money</v>
      </c>
    </row>
    <row r="5689" spans="1:10">
      <c r="A5689" s="1">
        <v>41487</v>
      </c>
      <c r="B5689">
        <v>40.4</v>
      </c>
      <c r="C5689">
        <v>40.75</v>
      </c>
      <c r="D5689">
        <v>40.4</v>
      </c>
      <c r="E5689">
        <v>40.57</v>
      </c>
      <c r="F5689">
        <v>12001100</v>
      </c>
      <c r="G5689">
        <v>40</v>
      </c>
      <c r="H5689" t="s">
        <v>10</v>
      </c>
      <c r="I5689" s="22">
        <f t="shared" si="177"/>
        <v>1.2325649690636938E-2</v>
      </c>
      <c r="J5689" s="22" t="str">
        <f t="shared" si="178"/>
        <v/>
      </c>
    </row>
    <row r="5690" spans="1:10">
      <c r="A5690" s="1">
        <v>41488</v>
      </c>
      <c r="B5690">
        <v>40.03</v>
      </c>
      <c r="C5690">
        <v>40.409999999999997</v>
      </c>
      <c r="D5690">
        <v>39.909999999999997</v>
      </c>
      <c r="E5690">
        <v>40.22</v>
      </c>
      <c r="F5690">
        <v>25516600</v>
      </c>
      <c r="G5690">
        <v>39.65</v>
      </c>
      <c r="H5690" t="s">
        <v>10</v>
      </c>
      <c r="I5690" s="22">
        <f t="shared" si="177"/>
        <v>-8.788506033079348E-3</v>
      </c>
      <c r="J5690" s="22" t="str">
        <f t="shared" si="178"/>
        <v/>
      </c>
    </row>
    <row r="5691" spans="1:10">
      <c r="A5691" s="1">
        <v>41491</v>
      </c>
      <c r="B5691">
        <v>40.18</v>
      </c>
      <c r="C5691">
        <v>40.47</v>
      </c>
      <c r="D5691">
        <v>40.18</v>
      </c>
      <c r="E5691">
        <v>40.29</v>
      </c>
      <c r="F5691">
        <v>9933200</v>
      </c>
      <c r="G5691">
        <v>39.72</v>
      </c>
      <c r="H5691" t="s">
        <v>10</v>
      </c>
      <c r="I5691" s="22">
        <f t="shared" si="177"/>
        <v>1.7638910961148126E-3</v>
      </c>
      <c r="J5691" s="22" t="str">
        <f t="shared" si="178"/>
        <v/>
      </c>
    </row>
    <row r="5692" spans="1:10">
      <c r="A5692" s="1">
        <v>41492</v>
      </c>
      <c r="B5692">
        <v>40.229999999999997</v>
      </c>
      <c r="C5692">
        <v>40.43</v>
      </c>
      <c r="D5692">
        <v>40.06</v>
      </c>
      <c r="E5692">
        <v>40.369999999999997</v>
      </c>
      <c r="F5692">
        <v>8645600</v>
      </c>
      <c r="G5692">
        <v>39.799999999999997</v>
      </c>
      <c r="H5692" t="s">
        <v>10</v>
      </c>
      <c r="I5692" s="22">
        <f t="shared" si="177"/>
        <v>2.0120731134202351E-3</v>
      </c>
      <c r="J5692" s="22" t="str">
        <f t="shared" si="178"/>
        <v/>
      </c>
    </row>
    <row r="5693" spans="1:10">
      <c r="A5693" s="1">
        <v>41493</v>
      </c>
      <c r="B5693">
        <v>40.31</v>
      </c>
      <c r="C5693">
        <v>40.33</v>
      </c>
      <c r="D5693">
        <v>40.06</v>
      </c>
      <c r="E5693">
        <v>40.15</v>
      </c>
      <c r="F5693">
        <v>9301800</v>
      </c>
      <c r="G5693">
        <v>39.58</v>
      </c>
      <c r="H5693" t="s">
        <v>10</v>
      </c>
      <c r="I5693" s="22">
        <f t="shared" si="177"/>
        <v>-5.5429721159722762E-3</v>
      </c>
      <c r="J5693" s="22" t="str">
        <f t="shared" si="178"/>
        <v>lost money</v>
      </c>
    </row>
    <row r="5694" spans="1:10">
      <c r="A5694" s="1">
        <v>41494</v>
      </c>
      <c r="B5694">
        <v>40.299999999999997</v>
      </c>
      <c r="C5694">
        <v>40.36</v>
      </c>
      <c r="D5694">
        <v>40.020000000000003</v>
      </c>
      <c r="E5694">
        <v>40.200000000000003</v>
      </c>
      <c r="F5694">
        <v>9481100</v>
      </c>
      <c r="G5694">
        <v>39.630000000000003</v>
      </c>
      <c r="H5694" t="s">
        <v>10</v>
      </c>
      <c r="I5694" s="22">
        <f t="shared" si="177"/>
        <v>1.2624670279241003E-3</v>
      </c>
      <c r="J5694" s="22" t="str">
        <f t="shared" si="178"/>
        <v>lost money</v>
      </c>
    </row>
    <row r="5695" spans="1:10">
      <c r="A5695" s="1">
        <v>41495</v>
      </c>
      <c r="B5695">
        <v>40.25</v>
      </c>
      <c r="C5695">
        <v>40.32</v>
      </c>
      <c r="D5695">
        <v>40.049999999999997</v>
      </c>
      <c r="E5695">
        <v>40.159999999999997</v>
      </c>
      <c r="F5695">
        <v>9021600</v>
      </c>
      <c r="G5695">
        <v>39.590000000000003</v>
      </c>
      <c r="H5695" t="s">
        <v>10</v>
      </c>
      <c r="I5695" s="22">
        <f t="shared" si="177"/>
        <v>-1.0098460843043474E-3</v>
      </c>
      <c r="J5695" s="22" t="str">
        <f t="shared" si="178"/>
        <v>lost money</v>
      </c>
    </row>
    <row r="5696" spans="1:10">
      <c r="A5696" s="1">
        <v>41498</v>
      </c>
      <c r="B5696">
        <v>40.04</v>
      </c>
      <c r="C5696">
        <v>40.1</v>
      </c>
      <c r="D5696">
        <v>39.71</v>
      </c>
      <c r="E5696">
        <v>39.83</v>
      </c>
      <c r="F5696">
        <v>13970000</v>
      </c>
      <c r="G5696">
        <v>39.270000000000003</v>
      </c>
      <c r="H5696" t="s">
        <v>10</v>
      </c>
      <c r="I5696" s="22">
        <f t="shared" si="177"/>
        <v>-8.1156925281210095E-3</v>
      </c>
      <c r="J5696" s="22" t="str">
        <f t="shared" si="178"/>
        <v>lost money</v>
      </c>
    </row>
    <row r="5697" spans="1:10">
      <c r="A5697" s="1">
        <v>41499</v>
      </c>
      <c r="B5697">
        <v>39.93</v>
      </c>
      <c r="C5697">
        <v>40.049999999999997</v>
      </c>
      <c r="D5697">
        <v>39.5</v>
      </c>
      <c r="E5697">
        <v>39.65</v>
      </c>
      <c r="F5697">
        <v>13548700</v>
      </c>
      <c r="G5697">
        <v>39.090000000000003</v>
      </c>
      <c r="H5697" t="s">
        <v>10</v>
      </c>
      <c r="I5697" s="22">
        <f t="shared" si="177"/>
        <v>-4.5941887850548457E-3</v>
      </c>
      <c r="J5697" s="22" t="str">
        <f t="shared" si="178"/>
        <v>lost money</v>
      </c>
    </row>
    <row r="5698" spans="1:10">
      <c r="A5698" s="1">
        <v>41500</v>
      </c>
      <c r="B5698">
        <v>39.590000000000003</v>
      </c>
      <c r="C5698">
        <v>39.68</v>
      </c>
      <c r="D5698">
        <v>39.35</v>
      </c>
      <c r="E5698">
        <v>39.53</v>
      </c>
      <c r="F5698">
        <v>13787100</v>
      </c>
      <c r="G5698">
        <v>38.97</v>
      </c>
      <c r="H5698" t="s">
        <v>10</v>
      </c>
      <c r="I5698" s="22">
        <f t="shared" si="177"/>
        <v>-3.0745604542456837E-3</v>
      </c>
      <c r="J5698" s="22" t="str">
        <f t="shared" si="178"/>
        <v>lost money</v>
      </c>
    </row>
    <row r="5699" spans="1:10">
      <c r="A5699" s="1">
        <v>41501</v>
      </c>
      <c r="B5699">
        <v>39.299999999999997</v>
      </c>
      <c r="C5699">
        <v>39.4</v>
      </c>
      <c r="D5699">
        <v>39.020000000000003</v>
      </c>
      <c r="E5699">
        <v>39.090000000000003</v>
      </c>
      <c r="F5699">
        <v>14227800</v>
      </c>
      <c r="G5699">
        <v>38.54</v>
      </c>
      <c r="H5699" t="s">
        <v>10</v>
      </c>
      <c r="I5699" s="22">
        <f t="shared" ref="I5699:I5762" si="179">IF(A5699=$A$2,"",LN(G5699/G5698))</f>
        <v>-1.1095456364397472E-2</v>
      </c>
      <c r="J5699" s="22" t="str">
        <f t="shared" ref="J5699:J5762" si="180">IF(B5699&gt;E5699,"lost money","")</f>
        <v>lost money</v>
      </c>
    </row>
    <row r="5700" spans="1:10">
      <c r="A5700" s="1">
        <v>41502</v>
      </c>
      <c r="B5700">
        <v>39.03</v>
      </c>
      <c r="C5700">
        <v>39.18</v>
      </c>
      <c r="D5700">
        <v>38.71</v>
      </c>
      <c r="E5700">
        <v>39.049999999999997</v>
      </c>
      <c r="F5700">
        <v>20565200</v>
      </c>
      <c r="G5700">
        <v>38.5</v>
      </c>
      <c r="H5700" t="s">
        <v>10</v>
      </c>
      <c r="I5700" s="22">
        <f t="shared" si="179"/>
        <v>-1.0384216924817153E-3</v>
      </c>
      <c r="J5700" s="22" t="str">
        <f t="shared" si="180"/>
        <v/>
      </c>
    </row>
    <row r="5701" spans="1:10">
      <c r="A5701" s="1">
        <v>41505</v>
      </c>
      <c r="B5701">
        <v>39.049999999999997</v>
      </c>
      <c r="C5701">
        <v>39.090000000000003</v>
      </c>
      <c r="D5701">
        <v>38.69</v>
      </c>
      <c r="E5701">
        <v>38.78</v>
      </c>
      <c r="F5701">
        <v>11913000</v>
      </c>
      <c r="G5701">
        <v>38.229999999999997</v>
      </c>
      <c r="H5701" t="s">
        <v>10</v>
      </c>
      <c r="I5701" s="22">
        <f t="shared" si="179"/>
        <v>-7.037693585417241E-3</v>
      </c>
      <c r="J5701" s="22" t="str">
        <f t="shared" si="180"/>
        <v>lost money</v>
      </c>
    </row>
    <row r="5702" spans="1:10">
      <c r="A5702" s="1">
        <v>41506</v>
      </c>
      <c r="B5702">
        <v>38.85</v>
      </c>
      <c r="C5702">
        <v>39.14</v>
      </c>
      <c r="D5702">
        <v>38.65</v>
      </c>
      <c r="E5702">
        <v>38.65</v>
      </c>
      <c r="F5702">
        <v>10238200</v>
      </c>
      <c r="G5702">
        <v>38.1</v>
      </c>
      <c r="H5702" t="s">
        <v>10</v>
      </c>
      <c r="I5702" s="22">
        <f t="shared" si="179"/>
        <v>-3.4062655756659909E-3</v>
      </c>
      <c r="J5702" s="22" t="str">
        <f t="shared" si="180"/>
        <v>lost money</v>
      </c>
    </row>
    <row r="5703" spans="1:10">
      <c r="A5703" s="1">
        <v>41507</v>
      </c>
      <c r="B5703">
        <v>38.630000000000003</v>
      </c>
      <c r="C5703">
        <v>38.700000000000003</v>
      </c>
      <c r="D5703">
        <v>38.25</v>
      </c>
      <c r="E5703">
        <v>38.28</v>
      </c>
      <c r="F5703">
        <v>15799000</v>
      </c>
      <c r="G5703">
        <v>37.74</v>
      </c>
      <c r="H5703" t="s">
        <v>10</v>
      </c>
      <c r="I5703" s="22">
        <f t="shared" si="179"/>
        <v>-9.4937421922511502E-3</v>
      </c>
      <c r="J5703" s="22" t="str">
        <f t="shared" si="180"/>
        <v>lost money</v>
      </c>
    </row>
    <row r="5704" spans="1:10">
      <c r="A5704" s="1">
        <v>41508</v>
      </c>
      <c r="B5704">
        <v>38.32</v>
      </c>
      <c r="C5704">
        <v>38.520000000000003</v>
      </c>
      <c r="D5704">
        <v>38.1</v>
      </c>
      <c r="E5704">
        <v>38.31</v>
      </c>
      <c r="F5704">
        <v>10307900</v>
      </c>
      <c r="G5704">
        <v>37.770000000000003</v>
      </c>
      <c r="H5704" t="s">
        <v>10</v>
      </c>
      <c r="I5704" s="22">
        <f t="shared" si="179"/>
        <v>7.9459678396138957E-4</v>
      </c>
      <c r="J5704" s="22" t="str">
        <f t="shared" si="180"/>
        <v>lost money</v>
      </c>
    </row>
    <row r="5705" spans="1:10">
      <c r="A5705" s="1">
        <v>41509</v>
      </c>
      <c r="B5705">
        <v>38.61</v>
      </c>
      <c r="C5705">
        <v>38.61</v>
      </c>
      <c r="D5705">
        <v>38.369999999999997</v>
      </c>
      <c r="E5705">
        <v>38.520000000000003</v>
      </c>
      <c r="F5705">
        <v>11302800</v>
      </c>
      <c r="G5705">
        <v>37.979999999999997</v>
      </c>
      <c r="H5705" t="s">
        <v>10</v>
      </c>
      <c r="I5705" s="22">
        <f t="shared" si="179"/>
        <v>5.5445686597741734E-3</v>
      </c>
      <c r="J5705" s="22" t="str">
        <f t="shared" si="180"/>
        <v>lost money</v>
      </c>
    </row>
    <row r="5706" spans="1:10">
      <c r="A5706" s="1">
        <v>41512</v>
      </c>
      <c r="B5706">
        <v>38.6</v>
      </c>
      <c r="C5706">
        <v>38.6</v>
      </c>
      <c r="D5706">
        <v>38.11</v>
      </c>
      <c r="E5706">
        <v>38.119999999999997</v>
      </c>
      <c r="F5706">
        <v>12740600</v>
      </c>
      <c r="G5706">
        <v>37.58</v>
      </c>
      <c r="H5706" t="s">
        <v>10</v>
      </c>
      <c r="I5706" s="22">
        <f t="shared" si="179"/>
        <v>-1.0587711398820511E-2</v>
      </c>
      <c r="J5706" s="22" t="str">
        <f t="shared" si="180"/>
        <v>lost money</v>
      </c>
    </row>
    <row r="5707" spans="1:10">
      <c r="A5707" s="1">
        <v>41513</v>
      </c>
      <c r="B5707">
        <v>37.979999999999997</v>
      </c>
      <c r="C5707">
        <v>38.24</v>
      </c>
      <c r="D5707">
        <v>37.799999999999997</v>
      </c>
      <c r="E5707">
        <v>38.15</v>
      </c>
      <c r="F5707">
        <v>16742500</v>
      </c>
      <c r="G5707">
        <v>37.61</v>
      </c>
      <c r="H5707" t="s">
        <v>10</v>
      </c>
      <c r="I5707" s="22">
        <f t="shared" si="179"/>
        <v>7.9797849692572905E-4</v>
      </c>
      <c r="J5707" s="22" t="str">
        <f t="shared" si="180"/>
        <v/>
      </c>
    </row>
    <row r="5708" spans="1:10">
      <c r="A5708" s="1">
        <v>41514</v>
      </c>
      <c r="B5708">
        <v>38.06</v>
      </c>
      <c r="C5708">
        <v>38.53</v>
      </c>
      <c r="D5708">
        <v>38.049999999999997</v>
      </c>
      <c r="E5708">
        <v>38.35</v>
      </c>
      <c r="F5708">
        <v>19245200</v>
      </c>
      <c r="G5708">
        <v>37.81</v>
      </c>
      <c r="H5708" t="s">
        <v>10</v>
      </c>
      <c r="I5708" s="22">
        <f t="shared" si="179"/>
        <v>5.3036454205965125E-3</v>
      </c>
      <c r="J5708" s="22" t="str">
        <f t="shared" si="180"/>
        <v/>
      </c>
    </row>
    <row r="5709" spans="1:10">
      <c r="A5709" s="1">
        <v>41515</v>
      </c>
      <c r="B5709">
        <v>38.47</v>
      </c>
      <c r="C5709">
        <v>38.47</v>
      </c>
      <c r="D5709">
        <v>38.1</v>
      </c>
      <c r="E5709">
        <v>38.1</v>
      </c>
      <c r="F5709">
        <v>14215700</v>
      </c>
      <c r="G5709">
        <v>37.56</v>
      </c>
      <c r="H5709" t="s">
        <v>10</v>
      </c>
      <c r="I5709" s="22">
        <f t="shared" si="179"/>
        <v>-6.6339635627793514E-3</v>
      </c>
      <c r="J5709" s="22" t="str">
        <f t="shared" si="180"/>
        <v>lost money</v>
      </c>
    </row>
    <row r="5710" spans="1:10">
      <c r="A5710" s="1">
        <v>41516</v>
      </c>
      <c r="B5710">
        <v>38.159999999999997</v>
      </c>
      <c r="C5710">
        <v>38.28</v>
      </c>
      <c r="D5710">
        <v>38</v>
      </c>
      <c r="E5710">
        <v>38.18</v>
      </c>
      <c r="F5710">
        <v>14296600</v>
      </c>
      <c r="G5710">
        <v>37.64</v>
      </c>
      <c r="H5710" t="s">
        <v>10</v>
      </c>
      <c r="I5710" s="22">
        <f t="shared" si="179"/>
        <v>2.1276603771166066E-3</v>
      </c>
      <c r="J5710" s="22" t="str">
        <f t="shared" si="180"/>
        <v/>
      </c>
    </row>
    <row r="5711" spans="1:10">
      <c r="A5711" s="1">
        <v>41520</v>
      </c>
      <c r="B5711">
        <v>38.270000000000003</v>
      </c>
      <c r="C5711">
        <v>38.4</v>
      </c>
      <c r="D5711">
        <v>37.799999999999997</v>
      </c>
      <c r="E5711">
        <v>37.9</v>
      </c>
      <c r="F5711">
        <v>19068500</v>
      </c>
      <c r="G5711">
        <v>37.36</v>
      </c>
      <c r="H5711" t="s">
        <v>10</v>
      </c>
      <c r="I5711" s="22">
        <f t="shared" si="179"/>
        <v>-7.4667013565370786E-3</v>
      </c>
      <c r="J5711" s="22" t="str">
        <f t="shared" si="180"/>
        <v>lost money</v>
      </c>
    </row>
    <row r="5712" spans="1:10">
      <c r="A5712" s="1">
        <v>41521</v>
      </c>
      <c r="B5712">
        <v>37.880000000000003</v>
      </c>
      <c r="C5712">
        <v>38.729999999999997</v>
      </c>
      <c r="D5712">
        <v>37.81</v>
      </c>
      <c r="E5712">
        <v>38.54</v>
      </c>
      <c r="F5712">
        <v>19138600</v>
      </c>
      <c r="G5712">
        <v>38</v>
      </c>
      <c r="H5712" t="s">
        <v>10</v>
      </c>
      <c r="I5712" s="22">
        <f t="shared" si="179"/>
        <v>1.6985546365743807E-2</v>
      </c>
      <c r="J5712" s="22" t="str">
        <f t="shared" si="180"/>
        <v/>
      </c>
    </row>
    <row r="5713" spans="1:10">
      <c r="A5713" s="1">
        <v>41522</v>
      </c>
      <c r="B5713">
        <v>38.630000000000003</v>
      </c>
      <c r="C5713">
        <v>38.69</v>
      </c>
      <c r="D5713">
        <v>38.06</v>
      </c>
      <c r="E5713">
        <v>38.24</v>
      </c>
      <c r="F5713">
        <v>14290500</v>
      </c>
      <c r="G5713">
        <v>37.700000000000003</v>
      </c>
      <c r="H5713" t="s">
        <v>10</v>
      </c>
      <c r="I5713" s="22">
        <f t="shared" si="179"/>
        <v>-7.9260652724206029E-3</v>
      </c>
      <c r="J5713" s="22" t="str">
        <f t="shared" si="180"/>
        <v>lost money</v>
      </c>
    </row>
    <row r="5714" spans="1:10">
      <c r="A5714" s="1">
        <v>41523</v>
      </c>
      <c r="B5714">
        <v>38.380000000000003</v>
      </c>
      <c r="C5714">
        <v>38.619999999999997</v>
      </c>
      <c r="D5714">
        <v>38.1</v>
      </c>
      <c r="E5714">
        <v>38.35</v>
      </c>
      <c r="F5714">
        <v>13976900</v>
      </c>
      <c r="G5714">
        <v>37.81</v>
      </c>
      <c r="H5714" t="s">
        <v>10</v>
      </c>
      <c r="I5714" s="22">
        <f t="shared" si="179"/>
        <v>2.9135234488764056E-3</v>
      </c>
      <c r="J5714" s="22" t="str">
        <f t="shared" si="180"/>
        <v>lost money</v>
      </c>
    </row>
    <row r="5715" spans="1:10">
      <c r="A5715" s="1">
        <v>41526</v>
      </c>
      <c r="B5715">
        <v>38.520000000000003</v>
      </c>
      <c r="C5715">
        <v>38.549999999999997</v>
      </c>
      <c r="D5715">
        <v>38.270000000000003</v>
      </c>
      <c r="E5715">
        <v>38.520000000000003</v>
      </c>
      <c r="F5715">
        <v>10605500</v>
      </c>
      <c r="G5715">
        <v>37.979999999999997</v>
      </c>
      <c r="H5715" t="s">
        <v>10</v>
      </c>
      <c r="I5715" s="22">
        <f t="shared" si="179"/>
        <v>4.4860874812982067E-3</v>
      </c>
      <c r="J5715" s="22" t="str">
        <f t="shared" si="180"/>
        <v/>
      </c>
    </row>
    <row r="5716" spans="1:10">
      <c r="A5716" s="1">
        <v>41527</v>
      </c>
      <c r="B5716">
        <v>38.770000000000003</v>
      </c>
      <c r="C5716">
        <v>38.78</v>
      </c>
      <c r="D5716">
        <v>38.51</v>
      </c>
      <c r="E5716">
        <v>38.630000000000003</v>
      </c>
      <c r="F5716">
        <v>11757300</v>
      </c>
      <c r="G5716">
        <v>38.08</v>
      </c>
      <c r="H5716" t="s">
        <v>10</v>
      </c>
      <c r="I5716" s="22">
        <f t="shared" si="179"/>
        <v>2.6295045390247592E-3</v>
      </c>
      <c r="J5716" s="22" t="str">
        <f t="shared" si="180"/>
        <v>lost money</v>
      </c>
    </row>
    <row r="5717" spans="1:10">
      <c r="A5717" s="1">
        <v>41528</v>
      </c>
      <c r="B5717">
        <v>38.68</v>
      </c>
      <c r="C5717">
        <v>38.78</v>
      </c>
      <c r="D5717">
        <v>38.53</v>
      </c>
      <c r="E5717">
        <v>38.78</v>
      </c>
      <c r="F5717">
        <v>11996500</v>
      </c>
      <c r="G5717">
        <v>38.229999999999997</v>
      </c>
      <c r="H5717" t="s">
        <v>10</v>
      </c>
      <c r="I5717" s="22">
        <f t="shared" si="179"/>
        <v>3.9313377851567357E-3</v>
      </c>
      <c r="J5717" s="22" t="str">
        <f t="shared" si="180"/>
        <v/>
      </c>
    </row>
    <row r="5718" spans="1:10">
      <c r="A5718" s="1">
        <v>41529</v>
      </c>
      <c r="B5718">
        <v>38.590000000000003</v>
      </c>
      <c r="C5718">
        <v>38.61</v>
      </c>
      <c r="D5718">
        <v>38.28</v>
      </c>
      <c r="E5718">
        <v>38.44</v>
      </c>
      <c r="F5718">
        <v>12114100</v>
      </c>
      <c r="G5718">
        <v>38.17</v>
      </c>
      <c r="H5718" t="s">
        <v>10</v>
      </c>
      <c r="I5718" s="22">
        <f t="shared" si="179"/>
        <v>-1.5706809511829341E-3</v>
      </c>
      <c r="J5718" s="22" t="str">
        <f t="shared" si="180"/>
        <v>lost money</v>
      </c>
    </row>
    <row r="5719" spans="1:10">
      <c r="A5719" s="1">
        <v>41530</v>
      </c>
      <c r="B5719">
        <v>38.56</v>
      </c>
      <c r="C5719">
        <v>38.74</v>
      </c>
      <c r="D5719">
        <v>38.42</v>
      </c>
      <c r="E5719">
        <v>38.69</v>
      </c>
      <c r="F5719">
        <v>11623600</v>
      </c>
      <c r="G5719">
        <v>38.42</v>
      </c>
      <c r="H5719" t="s">
        <v>10</v>
      </c>
      <c r="I5719" s="22">
        <f t="shared" si="179"/>
        <v>6.5282905832722759E-3</v>
      </c>
      <c r="J5719" s="22" t="str">
        <f t="shared" si="180"/>
        <v/>
      </c>
    </row>
    <row r="5720" spans="1:10">
      <c r="A5720" s="1">
        <v>41533</v>
      </c>
      <c r="B5720">
        <v>39.03</v>
      </c>
      <c r="C5720">
        <v>39.200000000000003</v>
      </c>
      <c r="D5720">
        <v>38.74</v>
      </c>
      <c r="E5720">
        <v>38.86</v>
      </c>
      <c r="F5720">
        <v>13351500</v>
      </c>
      <c r="G5720">
        <v>38.590000000000003</v>
      </c>
      <c r="H5720" t="s">
        <v>10</v>
      </c>
      <c r="I5720" s="22">
        <f t="shared" si="179"/>
        <v>4.4150182091169145E-3</v>
      </c>
      <c r="J5720" s="22" t="str">
        <f t="shared" si="180"/>
        <v>lost money</v>
      </c>
    </row>
    <row r="5721" spans="1:10">
      <c r="A5721" s="1">
        <v>41534</v>
      </c>
      <c r="B5721">
        <v>38.81</v>
      </c>
      <c r="C5721">
        <v>39.090000000000003</v>
      </c>
      <c r="D5721">
        <v>38.79</v>
      </c>
      <c r="E5721">
        <v>38.79</v>
      </c>
      <c r="F5721">
        <v>12881700</v>
      </c>
      <c r="G5721">
        <v>38.520000000000003</v>
      </c>
      <c r="H5721" t="s">
        <v>10</v>
      </c>
      <c r="I5721" s="22">
        <f t="shared" si="179"/>
        <v>-1.8155886196025944E-3</v>
      </c>
      <c r="J5721" s="22" t="str">
        <f t="shared" si="180"/>
        <v>lost money</v>
      </c>
    </row>
    <row r="5722" spans="1:10">
      <c r="A5722" s="1">
        <v>41535</v>
      </c>
      <c r="B5722">
        <v>38.81</v>
      </c>
      <c r="C5722">
        <v>39.6</v>
      </c>
      <c r="D5722">
        <v>38.58</v>
      </c>
      <c r="E5722">
        <v>39.590000000000003</v>
      </c>
      <c r="F5722">
        <v>18030500</v>
      </c>
      <c r="G5722">
        <v>39.31</v>
      </c>
      <c r="H5722" t="s">
        <v>10</v>
      </c>
      <c r="I5722" s="22">
        <f t="shared" si="179"/>
        <v>2.0301352503844086E-2</v>
      </c>
      <c r="J5722" s="22" t="str">
        <f t="shared" si="180"/>
        <v/>
      </c>
    </row>
    <row r="5723" spans="1:10">
      <c r="A5723" s="1">
        <v>41536</v>
      </c>
      <c r="B5723">
        <v>39.64</v>
      </c>
      <c r="C5723">
        <v>39.67</v>
      </c>
      <c r="D5723">
        <v>39.15</v>
      </c>
      <c r="E5723">
        <v>39.31</v>
      </c>
      <c r="F5723">
        <v>14251700</v>
      </c>
      <c r="G5723">
        <v>39.04</v>
      </c>
      <c r="H5723" t="s">
        <v>10</v>
      </c>
      <c r="I5723" s="22">
        <f t="shared" si="179"/>
        <v>-6.8921778888772966E-3</v>
      </c>
      <c r="J5723" s="22" t="str">
        <f t="shared" si="180"/>
        <v>lost money</v>
      </c>
    </row>
    <row r="5724" spans="1:10">
      <c r="A5724" s="1">
        <v>41537</v>
      </c>
      <c r="B5724">
        <v>39.33</v>
      </c>
      <c r="C5724">
        <v>39.4</v>
      </c>
      <c r="D5724">
        <v>38.78</v>
      </c>
      <c r="E5724">
        <v>39.4</v>
      </c>
      <c r="F5724">
        <v>30675300</v>
      </c>
      <c r="G5724">
        <v>39.130000000000003</v>
      </c>
      <c r="H5724" t="s">
        <v>10</v>
      </c>
      <c r="I5724" s="22">
        <f t="shared" si="179"/>
        <v>2.302674677429414E-3</v>
      </c>
      <c r="J5724" s="22" t="str">
        <f t="shared" si="180"/>
        <v/>
      </c>
    </row>
    <row r="5725" spans="1:10">
      <c r="A5725" s="1">
        <v>41540</v>
      </c>
      <c r="B5725">
        <v>39.159999999999997</v>
      </c>
      <c r="C5725">
        <v>39.19</v>
      </c>
      <c r="D5725">
        <v>38.44</v>
      </c>
      <c r="E5725">
        <v>38.630000000000003</v>
      </c>
      <c r="F5725">
        <v>19016200</v>
      </c>
      <c r="G5725">
        <v>38.36</v>
      </c>
      <c r="H5725" t="s">
        <v>10</v>
      </c>
      <c r="I5725" s="22">
        <f t="shared" si="179"/>
        <v>-1.9874186207083758E-2</v>
      </c>
      <c r="J5725" s="22" t="str">
        <f t="shared" si="180"/>
        <v>lost money</v>
      </c>
    </row>
    <row r="5726" spans="1:10">
      <c r="A5726" s="1">
        <v>41541</v>
      </c>
      <c r="B5726">
        <v>38.72</v>
      </c>
      <c r="C5726">
        <v>38.869999999999997</v>
      </c>
      <c r="D5726">
        <v>38.520000000000003</v>
      </c>
      <c r="E5726">
        <v>38.53</v>
      </c>
      <c r="F5726">
        <v>15083300</v>
      </c>
      <c r="G5726">
        <v>38.26</v>
      </c>
      <c r="H5726" t="s">
        <v>10</v>
      </c>
      <c r="I5726" s="22">
        <f t="shared" si="179"/>
        <v>-2.6102860031307069E-3</v>
      </c>
      <c r="J5726" s="22" t="str">
        <f t="shared" si="180"/>
        <v>lost money</v>
      </c>
    </row>
    <row r="5727" spans="1:10">
      <c r="A5727" s="1">
        <v>41542</v>
      </c>
      <c r="B5727">
        <v>38.65</v>
      </c>
      <c r="C5727">
        <v>38.68</v>
      </c>
      <c r="D5727">
        <v>38.299999999999997</v>
      </c>
      <c r="E5727">
        <v>38.33</v>
      </c>
      <c r="F5727">
        <v>11446100</v>
      </c>
      <c r="G5727">
        <v>38.06</v>
      </c>
      <c r="H5727" t="s">
        <v>10</v>
      </c>
      <c r="I5727" s="22">
        <f t="shared" si="179"/>
        <v>-5.2411021441033231E-3</v>
      </c>
      <c r="J5727" s="22" t="str">
        <f t="shared" si="180"/>
        <v>lost money</v>
      </c>
    </row>
    <row r="5728" spans="1:10">
      <c r="A5728" s="1">
        <v>41543</v>
      </c>
      <c r="B5728">
        <v>38.49</v>
      </c>
      <c r="C5728">
        <v>38.74</v>
      </c>
      <c r="D5728">
        <v>38.39</v>
      </c>
      <c r="E5728">
        <v>38.74</v>
      </c>
      <c r="F5728">
        <v>10941100</v>
      </c>
      <c r="G5728">
        <v>38.47</v>
      </c>
      <c r="H5728" t="s">
        <v>10</v>
      </c>
      <c r="I5728" s="22">
        <f t="shared" si="179"/>
        <v>1.071485489620019E-2</v>
      </c>
      <c r="J5728" s="22" t="str">
        <f t="shared" si="180"/>
        <v/>
      </c>
    </row>
    <row r="5729" spans="1:10">
      <c r="A5729" s="1">
        <v>41544</v>
      </c>
      <c r="B5729">
        <v>38.57</v>
      </c>
      <c r="C5729">
        <v>38.58</v>
      </c>
      <c r="D5729">
        <v>38.15</v>
      </c>
      <c r="E5729">
        <v>38.4</v>
      </c>
      <c r="F5729">
        <v>12609600</v>
      </c>
      <c r="G5729">
        <v>38.130000000000003</v>
      </c>
      <c r="H5729" t="s">
        <v>10</v>
      </c>
      <c r="I5729" s="22">
        <f t="shared" si="179"/>
        <v>-8.8773428947312299E-3</v>
      </c>
      <c r="J5729" s="22" t="str">
        <f t="shared" si="180"/>
        <v>lost money</v>
      </c>
    </row>
    <row r="5730" spans="1:10">
      <c r="A5730" s="1">
        <v>41547</v>
      </c>
      <c r="B5730">
        <v>38.19</v>
      </c>
      <c r="C5730">
        <v>38.299999999999997</v>
      </c>
      <c r="D5730">
        <v>37.75</v>
      </c>
      <c r="E5730">
        <v>37.880000000000003</v>
      </c>
      <c r="F5730">
        <v>18101500</v>
      </c>
      <c r="G5730">
        <v>37.619999999999997</v>
      </c>
      <c r="H5730" t="s">
        <v>10</v>
      </c>
      <c r="I5730" s="22">
        <f t="shared" si="179"/>
        <v>-1.3465549996588206E-2</v>
      </c>
      <c r="J5730" s="22" t="str">
        <f t="shared" si="180"/>
        <v>lost money</v>
      </c>
    </row>
    <row r="5731" spans="1:10">
      <c r="A5731" s="1">
        <v>41548</v>
      </c>
      <c r="B5731">
        <v>38</v>
      </c>
      <c r="C5731">
        <v>38.090000000000003</v>
      </c>
      <c r="D5731">
        <v>37.619999999999997</v>
      </c>
      <c r="E5731">
        <v>37.950000000000003</v>
      </c>
      <c r="F5731">
        <v>13196000</v>
      </c>
      <c r="G5731">
        <v>37.69</v>
      </c>
      <c r="H5731" t="s">
        <v>10</v>
      </c>
      <c r="I5731" s="22">
        <f t="shared" si="179"/>
        <v>1.8589834061597866E-3</v>
      </c>
      <c r="J5731" s="22" t="str">
        <f t="shared" si="180"/>
        <v>lost money</v>
      </c>
    </row>
    <row r="5732" spans="1:10">
      <c r="A5732" s="1">
        <v>41549</v>
      </c>
      <c r="B5732">
        <v>37.81</v>
      </c>
      <c r="C5732">
        <v>37.81</v>
      </c>
      <c r="D5732">
        <v>37.21</v>
      </c>
      <c r="E5732">
        <v>37.43</v>
      </c>
      <c r="F5732">
        <v>25664200</v>
      </c>
      <c r="G5732">
        <v>37.17</v>
      </c>
      <c r="H5732" t="s">
        <v>10</v>
      </c>
      <c r="I5732" s="22">
        <f t="shared" si="179"/>
        <v>-1.3892822969883136E-2</v>
      </c>
      <c r="J5732" s="22" t="str">
        <f t="shared" si="180"/>
        <v>lost money</v>
      </c>
    </row>
    <row r="5733" spans="1:10">
      <c r="A5733" s="1">
        <v>41550</v>
      </c>
      <c r="B5733">
        <v>37.46</v>
      </c>
      <c r="C5733">
        <v>37.46</v>
      </c>
      <c r="D5733">
        <v>37.130000000000003</v>
      </c>
      <c r="E5733">
        <v>37.159999999999997</v>
      </c>
      <c r="F5733">
        <v>14437900</v>
      </c>
      <c r="G5733">
        <v>36.9</v>
      </c>
      <c r="H5733" t="s">
        <v>10</v>
      </c>
      <c r="I5733" s="22">
        <f t="shared" si="179"/>
        <v>-7.2904332626793442E-3</v>
      </c>
      <c r="J5733" s="22" t="str">
        <f t="shared" si="180"/>
        <v>lost money</v>
      </c>
    </row>
    <row r="5734" spans="1:10">
      <c r="A5734" s="1">
        <v>41551</v>
      </c>
      <c r="B5734">
        <v>37.25</v>
      </c>
      <c r="C5734">
        <v>37.270000000000003</v>
      </c>
      <c r="D5734">
        <v>36.909999999999997</v>
      </c>
      <c r="E5734">
        <v>37.200000000000003</v>
      </c>
      <c r="F5734">
        <v>17217500</v>
      </c>
      <c r="G5734">
        <v>36.94</v>
      </c>
      <c r="H5734" t="s">
        <v>10</v>
      </c>
      <c r="I5734" s="22">
        <f t="shared" si="179"/>
        <v>1.0834237246124504E-3</v>
      </c>
      <c r="J5734" s="22" t="str">
        <f t="shared" si="180"/>
        <v>lost money</v>
      </c>
    </row>
    <row r="5735" spans="1:10">
      <c r="A5735" s="1">
        <v>41554</v>
      </c>
      <c r="B5735">
        <v>37.08</v>
      </c>
      <c r="C5735">
        <v>37.380000000000003</v>
      </c>
      <c r="D5735">
        <v>36.83</v>
      </c>
      <c r="E5735">
        <v>37.049999999999997</v>
      </c>
      <c r="F5735">
        <v>16708600</v>
      </c>
      <c r="G5735">
        <v>36.79</v>
      </c>
      <c r="H5735" t="s">
        <v>10</v>
      </c>
      <c r="I5735" s="22">
        <f t="shared" si="179"/>
        <v>-4.0689056544108669E-3</v>
      </c>
      <c r="J5735" s="22" t="str">
        <f t="shared" si="180"/>
        <v>lost money</v>
      </c>
    </row>
    <row r="5736" spans="1:10">
      <c r="A5736" s="1">
        <v>41555</v>
      </c>
      <c r="B5736">
        <v>37.1</v>
      </c>
      <c r="C5736">
        <v>37.409999999999997</v>
      </c>
      <c r="D5736">
        <v>36.9</v>
      </c>
      <c r="E5736">
        <v>37.28</v>
      </c>
      <c r="F5736">
        <v>20471300</v>
      </c>
      <c r="G5736">
        <v>37.020000000000003</v>
      </c>
      <c r="H5736" t="s">
        <v>10</v>
      </c>
      <c r="I5736" s="22">
        <f t="shared" si="179"/>
        <v>6.232238028668566E-3</v>
      </c>
      <c r="J5736" s="22" t="str">
        <f t="shared" si="180"/>
        <v/>
      </c>
    </row>
    <row r="5737" spans="1:10">
      <c r="A5737" s="1">
        <v>41556</v>
      </c>
      <c r="B5737">
        <v>37.380000000000003</v>
      </c>
      <c r="C5737">
        <v>37.42</v>
      </c>
      <c r="D5737">
        <v>37.01</v>
      </c>
      <c r="E5737">
        <v>37.08</v>
      </c>
      <c r="F5737">
        <v>18998900</v>
      </c>
      <c r="G5737">
        <v>36.82</v>
      </c>
      <c r="H5737" t="s">
        <v>10</v>
      </c>
      <c r="I5737" s="22">
        <f t="shared" si="179"/>
        <v>-5.4171313404196737E-3</v>
      </c>
      <c r="J5737" s="22" t="str">
        <f t="shared" si="180"/>
        <v>lost money</v>
      </c>
    </row>
    <row r="5738" spans="1:10">
      <c r="A5738" s="1">
        <v>41557</v>
      </c>
      <c r="B5738">
        <v>37.770000000000003</v>
      </c>
      <c r="C5738">
        <v>37.86</v>
      </c>
      <c r="D5738">
        <v>37.450000000000003</v>
      </c>
      <c r="E5738">
        <v>37.78</v>
      </c>
      <c r="F5738">
        <v>17174400</v>
      </c>
      <c r="G5738">
        <v>37.520000000000003</v>
      </c>
      <c r="H5738" t="s">
        <v>10</v>
      </c>
      <c r="I5738" s="22">
        <f t="shared" si="179"/>
        <v>1.8832948333092178E-2</v>
      </c>
      <c r="J5738" s="22" t="str">
        <f t="shared" si="180"/>
        <v/>
      </c>
    </row>
    <row r="5739" spans="1:10">
      <c r="A5739" s="1">
        <v>41558</v>
      </c>
      <c r="B5739">
        <v>37.92</v>
      </c>
      <c r="C5739">
        <v>37.92</v>
      </c>
      <c r="D5739">
        <v>37.520000000000003</v>
      </c>
      <c r="E5739">
        <v>37.770000000000003</v>
      </c>
      <c r="F5739">
        <v>14266900</v>
      </c>
      <c r="G5739">
        <v>37.51</v>
      </c>
      <c r="H5739" t="s">
        <v>10</v>
      </c>
      <c r="I5739" s="22">
        <f t="shared" si="179"/>
        <v>-2.6656004422809064E-4</v>
      </c>
      <c r="J5739" s="22" t="str">
        <f t="shared" si="180"/>
        <v>lost money</v>
      </c>
    </row>
    <row r="5740" spans="1:10">
      <c r="A5740" s="1">
        <v>41561</v>
      </c>
      <c r="B5740">
        <v>37.56</v>
      </c>
      <c r="C5740">
        <v>37.950000000000003</v>
      </c>
      <c r="D5740">
        <v>37.51</v>
      </c>
      <c r="E5740">
        <v>37.909999999999997</v>
      </c>
      <c r="F5740">
        <v>14202900</v>
      </c>
      <c r="G5740">
        <v>37.65</v>
      </c>
      <c r="H5740" t="s">
        <v>10</v>
      </c>
      <c r="I5740" s="22">
        <f t="shared" si="179"/>
        <v>3.7253901521065343E-3</v>
      </c>
      <c r="J5740" s="22" t="str">
        <f t="shared" si="180"/>
        <v/>
      </c>
    </row>
    <row r="5741" spans="1:10">
      <c r="A5741" s="1">
        <v>41562</v>
      </c>
      <c r="B5741">
        <v>38.18</v>
      </c>
      <c r="C5741">
        <v>38.369999999999997</v>
      </c>
      <c r="D5741">
        <v>37.6</v>
      </c>
      <c r="E5741">
        <v>37.659999999999997</v>
      </c>
      <c r="F5741">
        <v>21676600</v>
      </c>
      <c r="G5741">
        <v>37.4</v>
      </c>
      <c r="H5741" t="s">
        <v>10</v>
      </c>
      <c r="I5741" s="22">
        <f t="shared" si="179"/>
        <v>-6.6622498254163285E-3</v>
      </c>
      <c r="J5741" s="22" t="str">
        <f t="shared" si="180"/>
        <v>lost money</v>
      </c>
    </row>
    <row r="5742" spans="1:10">
      <c r="A5742" s="1">
        <v>41563</v>
      </c>
      <c r="B5742">
        <v>38.01</v>
      </c>
      <c r="C5742">
        <v>38.24</v>
      </c>
      <c r="D5742">
        <v>37.78</v>
      </c>
      <c r="E5742">
        <v>38</v>
      </c>
      <c r="F5742">
        <v>17995100</v>
      </c>
      <c r="G5742">
        <v>37.74</v>
      </c>
      <c r="H5742" t="s">
        <v>10</v>
      </c>
      <c r="I5742" s="22">
        <f t="shared" si="179"/>
        <v>9.0498355199180765E-3</v>
      </c>
      <c r="J5742" s="22" t="str">
        <f t="shared" si="180"/>
        <v>lost money</v>
      </c>
    </row>
    <row r="5743" spans="1:10">
      <c r="A5743" s="1">
        <v>41564</v>
      </c>
      <c r="B5743">
        <v>38.06</v>
      </c>
      <c r="C5743">
        <v>38.56</v>
      </c>
      <c r="D5743">
        <v>38.01</v>
      </c>
      <c r="E5743">
        <v>38.549999999999997</v>
      </c>
      <c r="F5743">
        <v>15900200</v>
      </c>
      <c r="G5743">
        <v>38.28</v>
      </c>
      <c r="H5743" t="s">
        <v>10</v>
      </c>
      <c r="I5743" s="22">
        <f t="shared" si="179"/>
        <v>1.4207026644349276E-2</v>
      </c>
      <c r="J5743" s="22" t="str">
        <f t="shared" si="180"/>
        <v/>
      </c>
    </row>
    <row r="5744" spans="1:10">
      <c r="A5744" s="1">
        <v>41565</v>
      </c>
      <c r="B5744">
        <v>38.58</v>
      </c>
      <c r="C5744">
        <v>38.78</v>
      </c>
      <c r="D5744">
        <v>38.42</v>
      </c>
      <c r="E5744">
        <v>38.78</v>
      </c>
      <c r="F5744">
        <v>18896600</v>
      </c>
      <c r="G5744">
        <v>38.51</v>
      </c>
      <c r="H5744" t="s">
        <v>10</v>
      </c>
      <c r="I5744" s="22">
        <f t="shared" si="179"/>
        <v>5.9903812420638285E-3</v>
      </c>
      <c r="J5744" s="22" t="str">
        <f t="shared" si="180"/>
        <v/>
      </c>
    </row>
    <row r="5745" spans="1:10">
      <c r="A5745" s="1">
        <v>41568</v>
      </c>
      <c r="B5745">
        <v>38.950000000000003</v>
      </c>
      <c r="C5745">
        <v>38.950000000000003</v>
      </c>
      <c r="D5745">
        <v>38.6</v>
      </c>
      <c r="E5745">
        <v>38.82</v>
      </c>
      <c r="F5745">
        <v>12977500</v>
      </c>
      <c r="G5745">
        <v>38.549999999999997</v>
      </c>
      <c r="H5745" t="s">
        <v>10</v>
      </c>
      <c r="I5745" s="22">
        <f t="shared" si="179"/>
        <v>1.0381521825208603E-3</v>
      </c>
      <c r="J5745" s="22" t="str">
        <f t="shared" si="180"/>
        <v>lost money</v>
      </c>
    </row>
    <row r="5746" spans="1:10">
      <c r="A5746" s="1">
        <v>41569</v>
      </c>
      <c r="B5746">
        <v>38.86</v>
      </c>
      <c r="C5746">
        <v>39.25</v>
      </c>
      <c r="D5746">
        <v>38.69</v>
      </c>
      <c r="E5746">
        <v>39.090000000000003</v>
      </c>
      <c r="F5746">
        <v>17110200</v>
      </c>
      <c r="G5746">
        <v>38.82</v>
      </c>
      <c r="H5746" t="s">
        <v>10</v>
      </c>
      <c r="I5746" s="22">
        <f t="shared" si="179"/>
        <v>6.9794777315256764E-3</v>
      </c>
      <c r="J5746" s="22" t="str">
        <f t="shared" si="180"/>
        <v/>
      </c>
    </row>
    <row r="5747" spans="1:10">
      <c r="A5747" s="1">
        <v>41570</v>
      </c>
      <c r="B5747">
        <v>39.08</v>
      </c>
      <c r="C5747">
        <v>39.25</v>
      </c>
      <c r="D5747">
        <v>38.799999999999997</v>
      </c>
      <c r="E5747">
        <v>39.090000000000003</v>
      </c>
      <c r="F5747">
        <v>12591800</v>
      </c>
      <c r="G5747">
        <v>38.82</v>
      </c>
      <c r="H5747" t="s">
        <v>10</v>
      </c>
      <c r="I5747" s="22">
        <f t="shared" si="179"/>
        <v>0</v>
      </c>
      <c r="J5747" s="22" t="str">
        <f t="shared" si="180"/>
        <v/>
      </c>
    </row>
    <row r="5748" spans="1:10">
      <c r="A5748" s="1">
        <v>41571</v>
      </c>
      <c r="B5748">
        <v>39.15</v>
      </c>
      <c r="C5748">
        <v>39.369999999999997</v>
      </c>
      <c r="D5748">
        <v>38.76</v>
      </c>
      <c r="E5748">
        <v>38.799999999999997</v>
      </c>
      <c r="F5748">
        <v>17143800</v>
      </c>
      <c r="G5748">
        <v>38.53</v>
      </c>
      <c r="H5748" t="s">
        <v>10</v>
      </c>
      <c r="I5748" s="22">
        <f t="shared" si="179"/>
        <v>-7.4984191027979872E-3</v>
      </c>
      <c r="J5748" s="22" t="str">
        <f t="shared" si="180"/>
        <v>lost money</v>
      </c>
    </row>
    <row r="5749" spans="1:10">
      <c r="A5749" s="1">
        <v>41572</v>
      </c>
      <c r="B5749">
        <v>38.840000000000003</v>
      </c>
      <c r="C5749">
        <v>39.130000000000003</v>
      </c>
      <c r="D5749">
        <v>38.630000000000003</v>
      </c>
      <c r="E5749">
        <v>39.03</v>
      </c>
      <c r="F5749">
        <v>14383400</v>
      </c>
      <c r="G5749">
        <v>38.76</v>
      </c>
      <c r="H5749" t="s">
        <v>10</v>
      </c>
      <c r="I5749" s="22">
        <f t="shared" si="179"/>
        <v>5.9516283844992654E-3</v>
      </c>
      <c r="J5749" s="22" t="str">
        <f t="shared" si="180"/>
        <v/>
      </c>
    </row>
    <row r="5750" spans="1:10">
      <c r="A5750" s="1">
        <v>41575</v>
      </c>
      <c r="B5750">
        <v>39.020000000000003</v>
      </c>
      <c r="C5750">
        <v>39.74</v>
      </c>
      <c r="D5750">
        <v>38.99</v>
      </c>
      <c r="E5750">
        <v>39.61</v>
      </c>
      <c r="F5750">
        <v>16552100</v>
      </c>
      <c r="G5750">
        <v>39.33</v>
      </c>
      <c r="H5750" t="s">
        <v>10</v>
      </c>
      <c r="I5750" s="22">
        <f t="shared" si="179"/>
        <v>1.4598799421152631E-2</v>
      </c>
      <c r="J5750" s="22" t="str">
        <f t="shared" si="180"/>
        <v/>
      </c>
    </row>
    <row r="5751" spans="1:10">
      <c r="A5751" s="1">
        <v>41576</v>
      </c>
      <c r="B5751">
        <v>39.57</v>
      </c>
      <c r="C5751">
        <v>39.96</v>
      </c>
      <c r="D5751">
        <v>39.35</v>
      </c>
      <c r="E5751">
        <v>39.799999999999997</v>
      </c>
      <c r="F5751">
        <v>14199600</v>
      </c>
      <c r="G5751">
        <v>39.520000000000003</v>
      </c>
      <c r="H5751" t="s">
        <v>10</v>
      </c>
      <c r="I5751" s="22">
        <f t="shared" si="179"/>
        <v>4.8192864359489218E-3</v>
      </c>
      <c r="J5751" s="22" t="str">
        <f t="shared" si="180"/>
        <v/>
      </c>
    </row>
    <row r="5752" spans="1:10">
      <c r="A5752" s="1">
        <v>41577</v>
      </c>
      <c r="B5752">
        <v>39.880000000000003</v>
      </c>
      <c r="C5752">
        <v>39.89</v>
      </c>
      <c r="D5752">
        <v>39.51</v>
      </c>
      <c r="E5752">
        <v>39.619999999999997</v>
      </c>
      <c r="F5752">
        <v>12360000</v>
      </c>
      <c r="G5752">
        <v>39.340000000000003</v>
      </c>
      <c r="H5752" t="s">
        <v>10</v>
      </c>
      <c r="I5752" s="22">
        <f t="shared" si="179"/>
        <v>-4.5650599187540553E-3</v>
      </c>
      <c r="J5752" s="22" t="str">
        <f t="shared" si="180"/>
        <v>lost money</v>
      </c>
    </row>
    <row r="5753" spans="1:10">
      <c r="A5753" s="1">
        <v>41578</v>
      </c>
      <c r="B5753">
        <v>39.51</v>
      </c>
      <c r="C5753">
        <v>39.86</v>
      </c>
      <c r="D5753">
        <v>39.51</v>
      </c>
      <c r="E5753">
        <v>39.57</v>
      </c>
      <c r="F5753">
        <v>14853500</v>
      </c>
      <c r="G5753">
        <v>39.29</v>
      </c>
      <c r="H5753" t="s">
        <v>10</v>
      </c>
      <c r="I5753" s="22">
        <f t="shared" si="179"/>
        <v>-1.2717793905447146E-3</v>
      </c>
      <c r="J5753" s="22" t="str">
        <f t="shared" si="180"/>
        <v/>
      </c>
    </row>
    <row r="5754" spans="1:10">
      <c r="A5754" s="1">
        <v>41579</v>
      </c>
      <c r="B5754">
        <v>39.57</v>
      </c>
      <c r="C5754">
        <v>39.72</v>
      </c>
      <c r="D5754">
        <v>39.33</v>
      </c>
      <c r="E5754">
        <v>39.61</v>
      </c>
      <c r="F5754">
        <v>12430400</v>
      </c>
      <c r="G5754">
        <v>39.33</v>
      </c>
      <c r="H5754" t="s">
        <v>10</v>
      </c>
      <c r="I5754" s="22">
        <f t="shared" si="179"/>
        <v>1.0175528733497661E-3</v>
      </c>
      <c r="J5754" s="22" t="str">
        <f t="shared" si="180"/>
        <v/>
      </c>
    </row>
    <row r="5755" spans="1:10">
      <c r="A5755" s="1">
        <v>41582</v>
      </c>
      <c r="B5755">
        <v>39.71</v>
      </c>
      <c r="C5755">
        <v>39.81</v>
      </c>
      <c r="D5755">
        <v>39.299999999999997</v>
      </c>
      <c r="E5755">
        <v>39.51</v>
      </c>
      <c r="F5755">
        <v>10252100</v>
      </c>
      <c r="G5755">
        <v>39.24</v>
      </c>
      <c r="H5755" t="s">
        <v>10</v>
      </c>
      <c r="I5755" s="22">
        <f t="shared" si="179"/>
        <v>-2.2909517465557129E-3</v>
      </c>
      <c r="J5755" s="22" t="str">
        <f t="shared" si="180"/>
        <v>lost money</v>
      </c>
    </row>
    <row r="5756" spans="1:10">
      <c r="A5756" s="1">
        <v>41583</v>
      </c>
      <c r="B5756">
        <v>39.36</v>
      </c>
      <c r="C5756">
        <v>39.64</v>
      </c>
      <c r="D5756">
        <v>39.22</v>
      </c>
      <c r="E5756">
        <v>39.5</v>
      </c>
      <c r="F5756">
        <v>10575000</v>
      </c>
      <c r="G5756">
        <v>39.229999999999997</v>
      </c>
      <c r="H5756" t="s">
        <v>10</v>
      </c>
      <c r="I5756" s="22">
        <f t="shared" si="179"/>
        <v>-2.5487447570131578E-4</v>
      </c>
      <c r="J5756" s="22" t="str">
        <f t="shared" si="180"/>
        <v/>
      </c>
    </row>
    <row r="5757" spans="1:10">
      <c r="A5757" s="1">
        <v>41584</v>
      </c>
      <c r="B5757">
        <v>39.619999999999997</v>
      </c>
      <c r="C5757">
        <v>40.22</v>
      </c>
      <c r="D5757">
        <v>39.42</v>
      </c>
      <c r="E5757">
        <v>40.049999999999997</v>
      </c>
      <c r="F5757">
        <v>17198000</v>
      </c>
      <c r="G5757">
        <v>39.770000000000003</v>
      </c>
      <c r="H5757" t="s">
        <v>10</v>
      </c>
      <c r="I5757" s="22">
        <f t="shared" si="179"/>
        <v>1.3671098998138113E-2</v>
      </c>
      <c r="J5757" s="22" t="str">
        <f t="shared" si="180"/>
        <v/>
      </c>
    </row>
    <row r="5758" spans="1:10">
      <c r="A5758" s="1">
        <v>41585</v>
      </c>
      <c r="B5758">
        <v>40.08</v>
      </c>
      <c r="C5758">
        <v>40.25</v>
      </c>
      <c r="D5758">
        <v>39.76</v>
      </c>
      <c r="E5758">
        <v>39.83</v>
      </c>
      <c r="F5758">
        <v>16233200</v>
      </c>
      <c r="G5758">
        <v>39.549999999999997</v>
      </c>
      <c r="H5758" t="s">
        <v>10</v>
      </c>
      <c r="I5758" s="22">
        <f t="shared" si="179"/>
        <v>-5.5471650059364802E-3</v>
      </c>
      <c r="J5758" s="22" t="str">
        <f t="shared" si="180"/>
        <v>lost money</v>
      </c>
    </row>
    <row r="5759" spans="1:10">
      <c r="A5759" s="1">
        <v>41586</v>
      </c>
      <c r="B5759">
        <v>39.74</v>
      </c>
      <c r="C5759">
        <v>40.049999999999997</v>
      </c>
      <c r="D5759">
        <v>39.49</v>
      </c>
      <c r="E5759">
        <v>40.049999999999997</v>
      </c>
      <c r="F5759">
        <v>11903600</v>
      </c>
      <c r="G5759">
        <v>39.770000000000003</v>
      </c>
      <c r="H5759" t="s">
        <v>10</v>
      </c>
      <c r="I5759" s="22">
        <f t="shared" si="179"/>
        <v>5.5471650059365947E-3</v>
      </c>
      <c r="J5759" s="22" t="str">
        <f t="shared" si="180"/>
        <v/>
      </c>
    </row>
    <row r="5760" spans="1:10">
      <c r="A5760" s="1">
        <v>41589</v>
      </c>
      <c r="B5760">
        <v>40.01</v>
      </c>
      <c r="C5760">
        <v>40.049999999999997</v>
      </c>
      <c r="D5760">
        <v>39.770000000000003</v>
      </c>
      <c r="E5760">
        <v>39.869999999999997</v>
      </c>
      <c r="F5760">
        <v>9567800</v>
      </c>
      <c r="G5760">
        <v>39.590000000000003</v>
      </c>
      <c r="H5760" t="s">
        <v>10</v>
      </c>
      <c r="I5760" s="22">
        <f t="shared" si="179"/>
        <v>-4.5362981015600115E-3</v>
      </c>
      <c r="J5760" s="22" t="str">
        <f t="shared" si="180"/>
        <v>lost money</v>
      </c>
    </row>
    <row r="5761" spans="1:10">
      <c r="A5761" s="1">
        <v>41590</v>
      </c>
      <c r="B5761">
        <v>39.909999999999997</v>
      </c>
      <c r="C5761">
        <v>39.99</v>
      </c>
      <c r="D5761">
        <v>39.619999999999997</v>
      </c>
      <c r="E5761">
        <v>39.880000000000003</v>
      </c>
      <c r="F5761">
        <v>10509200</v>
      </c>
      <c r="G5761">
        <v>39.6</v>
      </c>
      <c r="H5761" t="s">
        <v>10</v>
      </c>
      <c r="I5761" s="22">
        <f t="shared" si="179"/>
        <v>2.5255714239554304E-4</v>
      </c>
      <c r="J5761" s="22" t="str">
        <f t="shared" si="180"/>
        <v>lost money</v>
      </c>
    </row>
    <row r="5762" spans="1:10">
      <c r="A5762" s="1">
        <v>41591</v>
      </c>
      <c r="B5762">
        <v>39.82</v>
      </c>
      <c r="C5762">
        <v>40.119999999999997</v>
      </c>
      <c r="D5762">
        <v>39.65</v>
      </c>
      <c r="E5762">
        <v>40.119999999999997</v>
      </c>
      <c r="F5762">
        <v>11770500</v>
      </c>
      <c r="G5762">
        <v>39.840000000000003</v>
      </c>
      <c r="H5762" t="s">
        <v>10</v>
      </c>
      <c r="I5762" s="22">
        <f t="shared" si="179"/>
        <v>6.0423144559626617E-3</v>
      </c>
      <c r="J5762" s="22" t="str">
        <f t="shared" si="180"/>
        <v/>
      </c>
    </row>
    <row r="5763" spans="1:10">
      <c r="A5763" s="1">
        <v>41592</v>
      </c>
      <c r="B5763">
        <v>40.090000000000003</v>
      </c>
      <c r="C5763">
        <v>40.44</v>
      </c>
      <c r="D5763">
        <v>40.03</v>
      </c>
      <c r="E5763">
        <v>40.21</v>
      </c>
      <c r="F5763">
        <v>10887200</v>
      </c>
      <c r="G5763">
        <v>39.93</v>
      </c>
      <c r="H5763" t="s">
        <v>10</v>
      </c>
      <c r="I5763" s="22">
        <f t="shared" ref="I5763:I5826" si="181">IF(A5763=$A$2,"",LN(G5763/G5762))</f>
        <v>2.2564883587323885E-3</v>
      </c>
      <c r="J5763" s="22" t="str">
        <f t="shared" ref="J5763:J5826" si="182">IF(B5763&gt;E5763,"lost money","")</f>
        <v/>
      </c>
    </row>
    <row r="5764" spans="1:10">
      <c r="A5764" s="1">
        <v>41593</v>
      </c>
      <c r="B5764">
        <v>40.159999999999997</v>
      </c>
      <c r="C5764">
        <v>40.32</v>
      </c>
      <c r="D5764">
        <v>39.96</v>
      </c>
      <c r="E5764">
        <v>40.22</v>
      </c>
      <c r="F5764">
        <v>12021500</v>
      </c>
      <c r="G5764">
        <v>39.94</v>
      </c>
      <c r="H5764" t="s">
        <v>10</v>
      </c>
      <c r="I5764" s="22">
        <f t="shared" si="181"/>
        <v>2.5040691253925466E-4</v>
      </c>
      <c r="J5764" s="22" t="str">
        <f t="shared" si="182"/>
        <v/>
      </c>
    </row>
    <row r="5765" spans="1:10">
      <c r="A5765" s="1">
        <v>41596</v>
      </c>
      <c r="B5765">
        <v>40.24</v>
      </c>
      <c r="C5765">
        <v>40.24</v>
      </c>
      <c r="D5765">
        <v>40</v>
      </c>
      <c r="E5765">
        <v>40.17</v>
      </c>
      <c r="F5765">
        <v>9553900</v>
      </c>
      <c r="G5765">
        <v>39.89</v>
      </c>
      <c r="H5765" t="s">
        <v>10</v>
      </c>
      <c r="I5765" s="22">
        <f t="shared" si="181"/>
        <v>-1.2526620703537902E-3</v>
      </c>
      <c r="J5765" s="22" t="str">
        <f t="shared" si="182"/>
        <v>lost money</v>
      </c>
    </row>
    <row r="5766" spans="1:10">
      <c r="A5766" s="1">
        <v>41597</v>
      </c>
      <c r="B5766">
        <v>40.14</v>
      </c>
      <c r="C5766">
        <v>40.229999999999997</v>
      </c>
      <c r="D5766">
        <v>39.92</v>
      </c>
      <c r="E5766">
        <v>40.14</v>
      </c>
      <c r="F5766">
        <v>11014800</v>
      </c>
      <c r="G5766">
        <v>39.86</v>
      </c>
      <c r="H5766" t="s">
        <v>10</v>
      </c>
      <c r="I5766" s="22">
        <f t="shared" si="181"/>
        <v>-7.5235113266664867E-4</v>
      </c>
      <c r="J5766" s="22" t="str">
        <f t="shared" si="182"/>
        <v/>
      </c>
    </row>
    <row r="5767" spans="1:10">
      <c r="A5767" s="1">
        <v>41598</v>
      </c>
      <c r="B5767">
        <v>40.049999999999997</v>
      </c>
      <c r="C5767">
        <v>40.450000000000003</v>
      </c>
      <c r="D5767">
        <v>39.94</v>
      </c>
      <c r="E5767">
        <v>40.06</v>
      </c>
      <c r="F5767">
        <v>14422500</v>
      </c>
      <c r="G5767">
        <v>39.78</v>
      </c>
      <c r="H5767" t="s">
        <v>10</v>
      </c>
      <c r="I5767" s="22">
        <f t="shared" si="181"/>
        <v>-2.0090413588225164E-3</v>
      </c>
      <c r="J5767" s="22" t="str">
        <f t="shared" si="182"/>
        <v/>
      </c>
    </row>
    <row r="5768" spans="1:10">
      <c r="A5768" s="1">
        <v>41599</v>
      </c>
      <c r="B5768">
        <v>40.200000000000003</v>
      </c>
      <c r="C5768">
        <v>40.49</v>
      </c>
      <c r="D5768">
        <v>40.1</v>
      </c>
      <c r="E5768">
        <v>40.43</v>
      </c>
      <c r="F5768">
        <v>26364300</v>
      </c>
      <c r="G5768">
        <v>40.15</v>
      </c>
      <c r="H5768" t="s">
        <v>10</v>
      </c>
      <c r="I5768" s="22">
        <f t="shared" si="181"/>
        <v>9.2581669669445071E-3</v>
      </c>
      <c r="J5768" s="22" t="str">
        <f t="shared" si="182"/>
        <v/>
      </c>
    </row>
    <row r="5769" spans="1:10">
      <c r="A5769" s="1">
        <v>41600</v>
      </c>
      <c r="B5769">
        <v>40.340000000000003</v>
      </c>
      <c r="C5769">
        <v>40.46</v>
      </c>
      <c r="D5769">
        <v>40.090000000000003</v>
      </c>
      <c r="E5769">
        <v>40.43</v>
      </c>
      <c r="F5769">
        <v>26396500</v>
      </c>
      <c r="G5769">
        <v>40.15</v>
      </c>
      <c r="H5769" t="s">
        <v>10</v>
      </c>
      <c r="I5769" s="22">
        <f t="shared" si="181"/>
        <v>0</v>
      </c>
      <c r="J5769" s="22" t="str">
        <f t="shared" si="182"/>
        <v/>
      </c>
    </row>
    <row r="5770" spans="1:10">
      <c r="A5770" s="1">
        <v>41603</v>
      </c>
      <c r="B5770">
        <v>40.479999999999997</v>
      </c>
      <c r="C5770">
        <v>40.880000000000003</v>
      </c>
      <c r="D5770">
        <v>40.33</v>
      </c>
      <c r="E5770">
        <v>40.369999999999997</v>
      </c>
      <c r="F5770">
        <v>14059100</v>
      </c>
      <c r="G5770">
        <v>40.090000000000003</v>
      </c>
      <c r="H5770" t="s">
        <v>10</v>
      </c>
      <c r="I5770" s="22">
        <f t="shared" si="181"/>
        <v>-1.4955137383549646E-3</v>
      </c>
      <c r="J5770" s="22" t="str">
        <f t="shared" si="182"/>
        <v>lost money</v>
      </c>
    </row>
    <row r="5771" spans="1:10">
      <c r="A5771" s="1">
        <v>41604</v>
      </c>
      <c r="B5771">
        <v>40.49</v>
      </c>
      <c r="C5771">
        <v>40.6</v>
      </c>
      <c r="D5771">
        <v>40.24</v>
      </c>
      <c r="E5771">
        <v>40.25</v>
      </c>
      <c r="F5771">
        <v>14240400</v>
      </c>
      <c r="G5771">
        <v>39.97</v>
      </c>
      <c r="H5771" t="s">
        <v>10</v>
      </c>
      <c r="I5771" s="22">
        <f t="shared" si="181"/>
        <v>-2.9977539311835176E-3</v>
      </c>
      <c r="J5771" s="22" t="str">
        <f t="shared" si="182"/>
        <v>lost money</v>
      </c>
    </row>
    <row r="5772" spans="1:10">
      <c r="A5772" s="1">
        <v>41605</v>
      </c>
      <c r="B5772">
        <v>40.090000000000003</v>
      </c>
      <c r="C5772">
        <v>40.380000000000003</v>
      </c>
      <c r="D5772">
        <v>39.69</v>
      </c>
      <c r="E5772">
        <v>40.19</v>
      </c>
      <c r="F5772">
        <v>9909100</v>
      </c>
      <c r="G5772">
        <v>40.19</v>
      </c>
      <c r="H5772" t="s">
        <v>10</v>
      </c>
      <c r="I5772" s="22">
        <f t="shared" si="181"/>
        <v>5.4890357378774594E-3</v>
      </c>
      <c r="J5772" s="22" t="str">
        <f t="shared" si="182"/>
        <v/>
      </c>
    </row>
    <row r="5773" spans="1:10">
      <c r="A5773" s="1">
        <v>41607</v>
      </c>
      <c r="B5773">
        <v>40.270000000000003</v>
      </c>
      <c r="C5773">
        <v>40.479999999999997</v>
      </c>
      <c r="D5773">
        <v>40.11</v>
      </c>
      <c r="E5773">
        <v>40.19</v>
      </c>
      <c r="F5773">
        <v>8641100</v>
      </c>
      <c r="G5773">
        <v>40.19</v>
      </c>
      <c r="H5773" t="s">
        <v>10</v>
      </c>
      <c r="I5773" s="22">
        <f t="shared" si="181"/>
        <v>0</v>
      </c>
      <c r="J5773" s="22" t="str">
        <f t="shared" si="182"/>
        <v>lost money</v>
      </c>
    </row>
    <row r="5774" spans="1:10">
      <c r="A5774" s="1">
        <v>40911</v>
      </c>
      <c r="B5774">
        <v>101.33</v>
      </c>
      <c r="C5774">
        <v>101.59</v>
      </c>
      <c r="D5774">
        <v>98.75</v>
      </c>
      <c r="E5774">
        <v>98.84</v>
      </c>
      <c r="F5774">
        <v>8895900</v>
      </c>
      <c r="G5774">
        <v>92.74</v>
      </c>
      <c r="H5774" t="s">
        <v>13</v>
      </c>
      <c r="I5774" s="22" t="str">
        <f t="shared" si="181"/>
        <v/>
      </c>
      <c r="J5774" s="22" t="str">
        <f t="shared" si="182"/>
        <v>lost money</v>
      </c>
    </row>
    <row r="5775" spans="1:10">
      <c r="A5775" s="1">
        <v>40912</v>
      </c>
      <c r="B5775">
        <v>99.11</v>
      </c>
      <c r="C5775">
        <v>100.3</v>
      </c>
      <c r="D5775">
        <v>98.76</v>
      </c>
      <c r="E5775">
        <v>99.39</v>
      </c>
      <c r="F5775">
        <v>6754700</v>
      </c>
      <c r="G5775">
        <v>93.25</v>
      </c>
      <c r="H5775" t="s">
        <v>13</v>
      </c>
      <c r="I5775" s="22">
        <f t="shared" si="181"/>
        <v>5.4841795606102956E-3</v>
      </c>
      <c r="J5775" s="22" t="str">
        <f t="shared" si="182"/>
        <v/>
      </c>
    </row>
    <row r="5776" spans="1:10">
      <c r="A5776" s="1">
        <v>40913</v>
      </c>
      <c r="B5776">
        <v>99.47</v>
      </c>
      <c r="C5776">
        <v>100.4</v>
      </c>
      <c r="D5776">
        <v>98.68</v>
      </c>
      <c r="E5776">
        <v>99.83</v>
      </c>
      <c r="F5776">
        <v>8163800</v>
      </c>
      <c r="G5776">
        <v>93.66</v>
      </c>
      <c r="H5776" t="s">
        <v>13</v>
      </c>
      <c r="I5776" s="22">
        <f t="shared" si="181"/>
        <v>4.3871452314707066E-3</v>
      </c>
      <c r="J5776" s="22" t="str">
        <f t="shared" si="182"/>
        <v/>
      </c>
    </row>
    <row r="5777" spans="1:10">
      <c r="A5777" s="1">
        <v>40914</v>
      </c>
      <c r="B5777">
        <v>100.09</v>
      </c>
      <c r="C5777">
        <v>100.77</v>
      </c>
      <c r="D5777">
        <v>99.87</v>
      </c>
      <c r="E5777">
        <v>100.6</v>
      </c>
      <c r="F5777">
        <v>6775300</v>
      </c>
      <c r="G5777">
        <v>94.39</v>
      </c>
      <c r="H5777" t="s">
        <v>13</v>
      </c>
      <c r="I5777" s="22">
        <f t="shared" si="181"/>
        <v>7.7639315814573085E-3</v>
      </c>
      <c r="J5777" s="22" t="str">
        <f t="shared" si="182"/>
        <v/>
      </c>
    </row>
    <row r="5778" spans="1:10">
      <c r="A5778" s="1">
        <v>40917</v>
      </c>
      <c r="B5778">
        <v>100.88</v>
      </c>
      <c r="C5778">
        <v>100.93</v>
      </c>
      <c r="D5778">
        <v>99.51</v>
      </c>
      <c r="E5778">
        <v>99.64</v>
      </c>
      <c r="F5778">
        <v>4433700</v>
      </c>
      <c r="G5778">
        <v>93.49</v>
      </c>
      <c r="H5778" t="s">
        <v>13</v>
      </c>
      <c r="I5778" s="22">
        <f t="shared" si="181"/>
        <v>-9.5806566336287414E-3</v>
      </c>
      <c r="J5778" s="22" t="str">
        <f t="shared" si="182"/>
        <v>lost money</v>
      </c>
    </row>
    <row r="5779" spans="1:10">
      <c r="A5779" s="1">
        <v>40918</v>
      </c>
      <c r="B5779">
        <v>100.24</v>
      </c>
      <c r="C5779">
        <v>100.45</v>
      </c>
      <c r="D5779">
        <v>99.35</v>
      </c>
      <c r="E5779">
        <v>99.7</v>
      </c>
      <c r="F5779">
        <v>5075400</v>
      </c>
      <c r="G5779">
        <v>93.54</v>
      </c>
      <c r="H5779" t="s">
        <v>13</v>
      </c>
      <c r="I5779" s="22">
        <f t="shared" si="181"/>
        <v>5.3467359451586085E-4</v>
      </c>
      <c r="J5779" s="22" t="str">
        <f t="shared" si="182"/>
        <v>lost money</v>
      </c>
    </row>
    <row r="5780" spans="1:10">
      <c r="A5780" s="1">
        <v>40919</v>
      </c>
      <c r="B5780">
        <v>99.62</v>
      </c>
      <c r="C5780">
        <v>100.11</v>
      </c>
      <c r="D5780">
        <v>99.35</v>
      </c>
      <c r="E5780">
        <v>99.93</v>
      </c>
      <c r="F5780">
        <v>4622500</v>
      </c>
      <c r="G5780">
        <v>93.76</v>
      </c>
      <c r="H5780" t="s">
        <v>13</v>
      </c>
      <c r="I5780" s="22">
        <f t="shared" si="181"/>
        <v>2.3491735309622772E-3</v>
      </c>
      <c r="J5780" s="22" t="str">
        <f t="shared" si="182"/>
        <v/>
      </c>
    </row>
    <row r="5781" spans="1:10">
      <c r="A5781" s="1">
        <v>40920</v>
      </c>
      <c r="B5781">
        <v>100.37</v>
      </c>
      <c r="C5781">
        <v>100.65</v>
      </c>
      <c r="D5781">
        <v>100.07</v>
      </c>
      <c r="E5781">
        <v>100.57</v>
      </c>
      <c r="F5781">
        <v>4022700</v>
      </c>
      <c r="G5781">
        <v>94.36</v>
      </c>
      <c r="H5781" t="s">
        <v>13</v>
      </c>
      <c r="I5781" s="22">
        <f t="shared" si="181"/>
        <v>6.3789287107716419E-3</v>
      </c>
      <c r="J5781" s="22" t="str">
        <f t="shared" si="182"/>
        <v/>
      </c>
    </row>
    <row r="5782" spans="1:10">
      <c r="A5782" s="1">
        <v>40921</v>
      </c>
      <c r="B5782">
        <v>100.18</v>
      </c>
      <c r="C5782">
        <v>100.43</v>
      </c>
      <c r="D5782">
        <v>99.61</v>
      </c>
      <c r="E5782">
        <v>100.35</v>
      </c>
      <c r="F5782">
        <v>4134800</v>
      </c>
      <c r="G5782">
        <v>94.15</v>
      </c>
      <c r="H5782" t="s">
        <v>13</v>
      </c>
      <c r="I5782" s="22">
        <f t="shared" si="181"/>
        <v>-2.2279994363128006E-3</v>
      </c>
      <c r="J5782" s="22" t="str">
        <f t="shared" si="182"/>
        <v/>
      </c>
    </row>
    <row r="5783" spans="1:10">
      <c r="A5783" s="1">
        <v>40925</v>
      </c>
      <c r="B5783">
        <v>100.59</v>
      </c>
      <c r="C5783">
        <v>101.2</v>
      </c>
      <c r="D5783">
        <v>100.05</v>
      </c>
      <c r="E5783">
        <v>100.55</v>
      </c>
      <c r="F5783">
        <v>4555800</v>
      </c>
      <c r="G5783">
        <v>94.34</v>
      </c>
      <c r="H5783" t="s">
        <v>13</v>
      </c>
      <c r="I5783" s="22">
        <f t="shared" si="181"/>
        <v>2.0160227529540725E-3</v>
      </c>
      <c r="J5783" s="22" t="str">
        <f t="shared" si="182"/>
        <v>lost money</v>
      </c>
    </row>
    <row r="5784" spans="1:10">
      <c r="A5784" s="1">
        <v>40926</v>
      </c>
      <c r="B5784">
        <v>100.9</v>
      </c>
      <c r="C5784">
        <v>101.87</v>
      </c>
      <c r="D5784">
        <v>100.74</v>
      </c>
      <c r="E5784">
        <v>101.56</v>
      </c>
      <c r="F5784">
        <v>4844500</v>
      </c>
      <c r="G5784">
        <v>95.29</v>
      </c>
      <c r="H5784" t="s">
        <v>13</v>
      </c>
      <c r="I5784" s="22">
        <f t="shared" si="181"/>
        <v>1.0019595503981352E-2</v>
      </c>
      <c r="J5784" s="22" t="str">
        <f t="shared" si="182"/>
        <v/>
      </c>
    </row>
    <row r="5785" spans="1:10">
      <c r="A5785" s="1">
        <v>40927</v>
      </c>
      <c r="B5785">
        <v>101.77</v>
      </c>
      <c r="C5785">
        <v>101.8</v>
      </c>
      <c r="D5785">
        <v>100.7</v>
      </c>
      <c r="E5785">
        <v>101.26</v>
      </c>
      <c r="F5785">
        <v>4763300</v>
      </c>
      <c r="G5785">
        <v>95.01</v>
      </c>
      <c r="H5785" t="s">
        <v>13</v>
      </c>
      <c r="I5785" s="22">
        <f t="shared" si="181"/>
        <v>-2.9427241414387946E-3</v>
      </c>
      <c r="J5785" s="22" t="str">
        <f t="shared" si="182"/>
        <v>lost money</v>
      </c>
    </row>
    <row r="5786" spans="1:10">
      <c r="A5786" s="1">
        <v>40928</v>
      </c>
      <c r="B5786">
        <v>101.39</v>
      </c>
      <c r="C5786">
        <v>102.22</v>
      </c>
      <c r="D5786">
        <v>101.27</v>
      </c>
      <c r="E5786">
        <v>101.74</v>
      </c>
      <c r="F5786">
        <v>5630400</v>
      </c>
      <c r="G5786">
        <v>95.46</v>
      </c>
      <c r="H5786" t="s">
        <v>13</v>
      </c>
      <c r="I5786" s="22">
        <f t="shared" si="181"/>
        <v>4.7251623590923711E-3</v>
      </c>
      <c r="J5786" s="22" t="str">
        <f t="shared" si="182"/>
        <v/>
      </c>
    </row>
    <row r="5787" spans="1:10">
      <c r="A5787" s="1">
        <v>40931</v>
      </c>
      <c r="B5787">
        <v>101.71</v>
      </c>
      <c r="C5787">
        <v>101.89</v>
      </c>
      <c r="D5787">
        <v>100.04</v>
      </c>
      <c r="E5787">
        <v>100.95</v>
      </c>
      <c r="F5787">
        <v>6059700</v>
      </c>
      <c r="G5787">
        <v>94.72</v>
      </c>
      <c r="H5787" t="s">
        <v>13</v>
      </c>
      <c r="I5787" s="22">
        <f t="shared" si="181"/>
        <v>-7.7821404420548509E-3</v>
      </c>
      <c r="J5787" s="22" t="str">
        <f t="shared" si="182"/>
        <v>lost money</v>
      </c>
    </row>
    <row r="5788" spans="1:10">
      <c r="A5788" s="1">
        <v>40932</v>
      </c>
      <c r="B5788">
        <v>101.02</v>
      </c>
      <c r="C5788">
        <v>101.02</v>
      </c>
      <c r="D5788">
        <v>98.41</v>
      </c>
      <c r="E5788">
        <v>98.75</v>
      </c>
      <c r="F5788">
        <v>11654100</v>
      </c>
      <c r="G5788">
        <v>92.65</v>
      </c>
      <c r="H5788" t="s">
        <v>13</v>
      </c>
      <c r="I5788" s="22">
        <f t="shared" si="181"/>
        <v>-2.2096218404326715E-2</v>
      </c>
      <c r="J5788" s="22" t="str">
        <f t="shared" si="182"/>
        <v>lost money</v>
      </c>
    </row>
    <row r="5789" spans="1:10">
      <c r="A5789" s="1">
        <v>40933</v>
      </c>
      <c r="B5789">
        <v>98.41</v>
      </c>
      <c r="C5789">
        <v>99.51</v>
      </c>
      <c r="D5789">
        <v>98.05</v>
      </c>
      <c r="E5789">
        <v>99.23</v>
      </c>
      <c r="F5789">
        <v>7544000</v>
      </c>
      <c r="G5789">
        <v>93.1</v>
      </c>
      <c r="H5789" t="s">
        <v>13</v>
      </c>
      <c r="I5789" s="22">
        <f t="shared" si="181"/>
        <v>4.845231551652375E-3</v>
      </c>
      <c r="J5789" s="22" t="str">
        <f t="shared" si="182"/>
        <v/>
      </c>
    </row>
    <row r="5790" spans="1:10">
      <c r="A5790" s="1">
        <v>40934</v>
      </c>
      <c r="B5790">
        <v>99.54</v>
      </c>
      <c r="C5790">
        <v>99.71</v>
      </c>
      <c r="D5790">
        <v>98.69</v>
      </c>
      <c r="E5790">
        <v>99.18</v>
      </c>
      <c r="F5790">
        <v>4607100</v>
      </c>
      <c r="G5790">
        <v>93.06</v>
      </c>
      <c r="H5790" t="s">
        <v>13</v>
      </c>
      <c r="I5790" s="22">
        <f t="shared" si="181"/>
        <v>-4.2973786651884861E-4</v>
      </c>
      <c r="J5790" s="22" t="str">
        <f t="shared" si="182"/>
        <v>lost money</v>
      </c>
    </row>
    <row r="5791" spans="1:10">
      <c r="A5791" s="1">
        <v>40935</v>
      </c>
      <c r="B5791">
        <v>98.57</v>
      </c>
      <c r="C5791">
        <v>98.94</v>
      </c>
      <c r="D5791">
        <v>98.35</v>
      </c>
      <c r="E5791">
        <v>98.69</v>
      </c>
      <c r="F5791">
        <v>5135000</v>
      </c>
      <c r="G5791">
        <v>92.6</v>
      </c>
      <c r="H5791" t="s">
        <v>13</v>
      </c>
      <c r="I5791" s="22">
        <f t="shared" si="181"/>
        <v>-4.9553047643688545E-3</v>
      </c>
      <c r="J5791" s="22" t="str">
        <f t="shared" si="182"/>
        <v/>
      </c>
    </row>
    <row r="5792" spans="1:10">
      <c r="A5792" s="1">
        <v>40938</v>
      </c>
      <c r="B5792">
        <v>98.04</v>
      </c>
      <c r="C5792">
        <v>98.81</v>
      </c>
      <c r="D5792">
        <v>97.7</v>
      </c>
      <c r="E5792">
        <v>98.69</v>
      </c>
      <c r="F5792">
        <v>6104900</v>
      </c>
      <c r="G5792">
        <v>92.6</v>
      </c>
      <c r="H5792" t="s">
        <v>13</v>
      </c>
      <c r="I5792" s="22">
        <f t="shared" si="181"/>
        <v>0</v>
      </c>
      <c r="J5792" s="22" t="str">
        <f t="shared" si="182"/>
        <v/>
      </c>
    </row>
    <row r="5793" spans="1:10">
      <c r="A5793" s="1">
        <v>40939</v>
      </c>
      <c r="B5793">
        <v>99.04</v>
      </c>
      <c r="C5793">
        <v>99.26</v>
      </c>
      <c r="D5793">
        <v>98.25</v>
      </c>
      <c r="E5793">
        <v>99.05</v>
      </c>
      <c r="F5793">
        <v>6574200</v>
      </c>
      <c r="G5793">
        <v>92.93</v>
      </c>
      <c r="H5793" t="s">
        <v>13</v>
      </c>
      <c r="I5793" s="22">
        <f t="shared" si="181"/>
        <v>3.5573799171142958E-3</v>
      </c>
      <c r="J5793" s="22" t="str">
        <f t="shared" si="182"/>
        <v/>
      </c>
    </row>
    <row r="5794" spans="1:10">
      <c r="A5794" s="1">
        <v>40940</v>
      </c>
      <c r="B5794">
        <v>99.46</v>
      </c>
      <c r="C5794">
        <v>99.49</v>
      </c>
      <c r="D5794">
        <v>98.36</v>
      </c>
      <c r="E5794">
        <v>98.4</v>
      </c>
      <c r="F5794">
        <v>6141300</v>
      </c>
      <c r="G5794">
        <v>92.32</v>
      </c>
      <c r="H5794" t="s">
        <v>13</v>
      </c>
      <c r="I5794" s="22">
        <f t="shared" si="181"/>
        <v>-6.5857188094586121E-3</v>
      </c>
      <c r="J5794" s="22" t="str">
        <f t="shared" si="182"/>
        <v>lost money</v>
      </c>
    </row>
    <row r="5795" spans="1:10">
      <c r="A5795" s="1">
        <v>40941</v>
      </c>
      <c r="B5795">
        <v>98.26</v>
      </c>
      <c r="C5795">
        <v>98.82</v>
      </c>
      <c r="D5795">
        <v>98.26</v>
      </c>
      <c r="E5795">
        <v>98.62</v>
      </c>
      <c r="F5795">
        <v>3984000</v>
      </c>
      <c r="G5795">
        <v>92.53</v>
      </c>
      <c r="H5795" t="s">
        <v>13</v>
      </c>
      <c r="I5795" s="22">
        <f t="shared" si="181"/>
        <v>2.2721135011496262E-3</v>
      </c>
      <c r="J5795" s="22" t="str">
        <f t="shared" si="182"/>
        <v/>
      </c>
    </row>
    <row r="5796" spans="1:10">
      <c r="A5796" s="1">
        <v>40942</v>
      </c>
      <c r="B5796">
        <v>99.18</v>
      </c>
      <c r="C5796">
        <v>100.27</v>
      </c>
      <c r="D5796">
        <v>99.04</v>
      </c>
      <c r="E5796">
        <v>100.01</v>
      </c>
      <c r="F5796">
        <v>5600900</v>
      </c>
      <c r="G5796">
        <v>93.83</v>
      </c>
      <c r="H5796" t="s">
        <v>13</v>
      </c>
      <c r="I5796" s="22">
        <f t="shared" si="181"/>
        <v>1.3951718041019426E-2</v>
      </c>
      <c r="J5796" s="22" t="str">
        <f t="shared" si="182"/>
        <v/>
      </c>
    </row>
    <row r="5797" spans="1:10">
      <c r="A5797" s="1">
        <v>40945</v>
      </c>
      <c r="B5797">
        <v>99.96</v>
      </c>
      <c r="C5797">
        <v>100</v>
      </c>
      <c r="D5797">
        <v>99.34</v>
      </c>
      <c r="E5797">
        <v>99.49</v>
      </c>
      <c r="F5797">
        <v>3486600</v>
      </c>
      <c r="G5797">
        <v>93.35</v>
      </c>
      <c r="H5797" t="s">
        <v>13</v>
      </c>
      <c r="I5797" s="22">
        <f t="shared" si="181"/>
        <v>-5.1287643142267688E-3</v>
      </c>
      <c r="J5797" s="22" t="str">
        <f t="shared" si="182"/>
        <v>lost money</v>
      </c>
    </row>
    <row r="5798" spans="1:10">
      <c r="A5798" s="1">
        <v>40946</v>
      </c>
      <c r="B5798">
        <v>99.57</v>
      </c>
      <c r="C5798">
        <v>101.18</v>
      </c>
      <c r="D5798">
        <v>99.56</v>
      </c>
      <c r="E5798">
        <v>100.91</v>
      </c>
      <c r="F5798">
        <v>6029900</v>
      </c>
      <c r="G5798">
        <v>94.68</v>
      </c>
      <c r="H5798" t="s">
        <v>13</v>
      </c>
      <c r="I5798" s="22">
        <f t="shared" si="181"/>
        <v>1.4146914658051795E-2</v>
      </c>
      <c r="J5798" s="22" t="str">
        <f t="shared" si="182"/>
        <v/>
      </c>
    </row>
    <row r="5799" spans="1:10">
      <c r="A5799" s="1">
        <v>40947</v>
      </c>
      <c r="B5799">
        <v>101.12</v>
      </c>
      <c r="C5799">
        <v>101.29</v>
      </c>
      <c r="D5799">
        <v>99.6</v>
      </c>
      <c r="E5799">
        <v>100.05</v>
      </c>
      <c r="F5799">
        <v>5433600</v>
      </c>
      <c r="G5799">
        <v>93.87</v>
      </c>
      <c r="H5799" t="s">
        <v>13</v>
      </c>
      <c r="I5799" s="22">
        <f t="shared" si="181"/>
        <v>-8.5919382968827132E-3</v>
      </c>
      <c r="J5799" s="22" t="str">
        <f t="shared" si="182"/>
        <v>lost money</v>
      </c>
    </row>
    <row r="5800" spans="1:10">
      <c r="A5800" s="1">
        <v>40948</v>
      </c>
      <c r="B5800">
        <v>100.06</v>
      </c>
      <c r="C5800">
        <v>100.46</v>
      </c>
      <c r="D5800">
        <v>99.7</v>
      </c>
      <c r="E5800">
        <v>99.99</v>
      </c>
      <c r="F5800">
        <v>3608800</v>
      </c>
      <c r="G5800">
        <v>93.82</v>
      </c>
      <c r="H5800" t="s">
        <v>13</v>
      </c>
      <c r="I5800" s="22">
        <f t="shared" si="181"/>
        <v>-5.3279344858864685E-4</v>
      </c>
      <c r="J5800" s="22" t="str">
        <f t="shared" si="182"/>
        <v>lost money</v>
      </c>
    </row>
    <row r="5801" spans="1:10">
      <c r="A5801" s="1">
        <v>40949</v>
      </c>
      <c r="B5801">
        <v>99.52</v>
      </c>
      <c r="C5801">
        <v>99.66</v>
      </c>
      <c r="D5801">
        <v>98.94</v>
      </c>
      <c r="E5801">
        <v>99.47</v>
      </c>
      <c r="F5801">
        <v>3874700</v>
      </c>
      <c r="G5801">
        <v>93.33</v>
      </c>
      <c r="H5801" t="s">
        <v>13</v>
      </c>
      <c r="I5801" s="22">
        <f t="shared" si="181"/>
        <v>-5.2364533226566092E-3</v>
      </c>
      <c r="J5801" s="22" t="str">
        <f t="shared" si="182"/>
        <v>lost money</v>
      </c>
    </row>
    <row r="5802" spans="1:10">
      <c r="A5802" s="1">
        <v>40952</v>
      </c>
      <c r="B5802">
        <v>99.72</v>
      </c>
      <c r="C5802">
        <v>99.92</v>
      </c>
      <c r="D5802">
        <v>99.28</v>
      </c>
      <c r="E5802">
        <v>99.65</v>
      </c>
      <c r="F5802">
        <v>2971100</v>
      </c>
      <c r="G5802">
        <v>93.5</v>
      </c>
      <c r="H5802" t="s">
        <v>13</v>
      </c>
      <c r="I5802" s="22">
        <f t="shared" si="181"/>
        <v>1.8198367169858993E-3</v>
      </c>
      <c r="J5802" s="22" t="str">
        <f t="shared" si="182"/>
        <v>lost money</v>
      </c>
    </row>
    <row r="5803" spans="1:10">
      <c r="A5803" s="1">
        <v>40953</v>
      </c>
      <c r="B5803">
        <v>99.51</v>
      </c>
      <c r="C5803">
        <v>99.64</v>
      </c>
      <c r="D5803">
        <v>98.95</v>
      </c>
      <c r="E5803">
        <v>99.55</v>
      </c>
      <c r="F5803">
        <v>3520800</v>
      </c>
      <c r="G5803">
        <v>93.4</v>
      </c>
      <c r="H5803" t="s">
        <v>13</v>
      </c>
      <c r="I5803" s="22">
        <f t="shared" si="181"/>
        <v>-1.0700910598442934E-3</v>
      </c>
      <c r="J5803" s="22" t="str">
        <f t="shared" si="182"/>
        <v/>
      </c>
    </row>
    <row r="5804" spans="1:10">
      <c r="A5804" s="1">
        <v>40954</v>
      </c>
      <c r="B5804">
        <v>99.66</v>
      </c>
      <c r="C5804">
        <v>99.75</v>
      </c>
      <c r="D5804">
        <v>98.31</v>
      </c>
      <c r="E5804">
        <v>98.61</v>
      </c>
      <c r="F5804">
        <v>5260500</v>
      </c>
      <c r="G5804">
        <v>92.52</v>
      </c>
      <c r="H5804" t="s">
        <v>13</v>
      </c>
      <c r="I5804" s="22">
        <f t="shared" si="181"/>
        <v>-9.4665078715585761E-3</v>
      </c>
      <c r="J5804" s="22" t="str">
        <f t="shared" si="182"/>
        <v>lost money</v>
      </c>
    </row>
    <row r="5805" spans="1:10">
      <c r="A5805" s="1">
        <v>40955</v>
      </c>
      <c r="B5805">
        <v>98.36</v>
      </c>
      <c r="C5805">
        <v>99.44</v>
      </c>
      <c r="D5805">
        <v>98.36</v>
      </c>
      <c r="E5805">
        <v>99.26</v>
      </c>
      <c r="F5805">
        <v>3996300</v>
      </c>
      <c r="G5805">
        <v>93.13</v>
      </c>
      <c r="H5805" t="s">
        <v>13</v>
      </c>
      <c r="I5805" s="22">
        <f t="shared" si="181"/>
        <v>6.5715291703279935E-3</v>
      </c>
      <c r="J5805" s="22" t="str">
        <f t="shared" si="182"/>
        <v/>
      </c>
    </row>
    <row r="5806" spans="1:10">
      <c r="A5806" s="1">
        <v>40956</v>
      </c>
      <c r="B5806">
        <v>99.66</v>
      </c>
      <c r="C5806">
        <v>100.25</v>
      </c>
      <c r="D5806">
        <v>99.41</v>
      </c>
      <c r="E5806">
        <v>99.99</v>
      </c>
      <c r="F5806">
        <v>4931700</v>
      </c>
      <c r="G5806">
        <v>93.82</v>
      </c>
      <c r="H5806" t="s">
        <v>13</v>
      </c>
      <c r="I5806" s="22">
        <f t="shared" si="181"/>
        <v>7.3816863667454857E-3</v>
      </c>
      <c r="J5806" s="22" t="str">
        <f t="shared" si="182"/>
        <v/>
      </c>
    </row>
    <row r="5807" spans="1:10">
      <c r="A5807" s="1">
        <v>40960</v>
      </c>
      <c r="B5807">
        <v>100.12</v>
      </c>
      <c r="C5807">
        <v>100.75</v>
      </c>
      <c r="D5807">
        <v>100</v>
      </c>
      <c r="E5807">
        <v>100.49</v>
      </c>
      <c r="F5807">
        <v>4474800</v>
      </c>
      <c r="G5807">
        <v>94.28</v>
      </c>
      <c r="H5807" t="s">
        <v>13</v>
      </c>
      <c r="I5807" s="22">
        <f t="shared" si="181"/>
        <v>4.8910251676184463E-3</v>
      </c>
      <c r="J5807" s="22" t="str">
        <f t="shared" si="182"/>
        <v/>
      </c>
    </row>
    <row r="5808" spans="1:10">
      <c r="A5808" s="1">
        <v>40961</v>
      </c>
      <c r="B5808">
        <v>100.15</v>
      </c>
      <c r="C5808">
        <v>100.75</v>
      </c>
      <c r="D5808">
        <v>100.15</v>
      </c>
      <c r="E5808">
        <v>100.66</v>
      </c>
      <c r="F5808">
        <v>3918900</v>
      </c>
      <c r="G5808">
        <v>94.44</v>
      </c>
      <c r="H5808" t="s">
        <v>13</v>
      </c>
      <c r="I5808" s="22">
        <f t="shared" si="181"/>
        <v>1.6956341493818178E-3</v>
      </c>
      <c r="J5808" s="22" t="str">
        <f t="shared" si="182"/>
        <v/>
      </c>
    </row>
    <row r="5809" spans="1:10">
      <c r="A5809" s="1">
        <v>40962</v>
      </c>
      <c r="B5809">
        <v>100.81</v>
      </c>
      <c r="C5809">
        <v>101.04</v>
      </c>
      <c r="D5809">
        <v>100.4</v>
      </c>
      <c r="E5809">
        <v>100.81</v>
      </c>
      <c r="F5809">
        <v>4166500</v>
      </c>
      <c r="G5809">
        <v>94.58</v>
      </c>
      <c r="H5809" t="s">
        <v>13</v>
      </c>
      <c r="I5809" s="22">
        <f t="shared" si="181"/>
        <v>1.4813249984174861E-3</v>
      </c>
      <c r="J5809" s="22" t="str">
        <f t="shared" si="182"/>
        <v/>
      </c>
    </row>
    <row r="5810" spans="1:10">
      <c r="A5810" s="1">
        <v>40963</v>
      </c>
      <c r="B5810">
        <v>100.76</v>
      </c>
      <c r="C5810">
        <v>100.76</v>
      </c>
      <c r="D5810">
        <v>100.05</v>
      </c>
      <c r="E5810">
        <v>100.32</v>
      </c>
      <c r="F5810">
        <v>3661800</v>
      </c>
      <c r="G5810">
        <v>94.12</v>
      </c>
      <c r="H5810" t="s">
        <v>13</v>
      </c>
      <c r="I5810" s="22">
        <f t="shared" si="181"/>
        <v>-4.875473356567888E-3</v>
      </c>
      <c r="J5810" s="22" t="str">
        <f t="shared" si="182"/>
        <v>lost money</v>
      </c>
    </row>
    <row r="5811" spans="1:10">
      <c r="A5811" s="1">
        <v>40966</v>
      </c>
      <c r="B5811">
        <v>100.03</v>
      </c>
      <c r="C5811">
        <v>100.75</v>
      </c>
      <c r="D5811">
        <v>99.5</v>
      </c>
      <c r="E5811">
        <v>100.36</v>
      </c>
      <c r="F5811">
        <v>4044500</v>
      </c>
      <c r="G5811">
        <v>94.16</v>
      </c>
      <c r="H5811" t="s">
        <v>13</v>
      </c>
      <c r="I5811" s="22">
        <f t="shared" si="181"/>
        <v>4.248990928593977E-4</v>
      </c>
      <c r="J5811" s="22" t="str">
        <f t="shared" si="182"/>
        <v/>
      </c>
    </row>
    <row r="5812" spans="1:10">
      <c r="A5812" s="1">
        <v>40967</v>
      </c>
      <c r="B5812">
        <v>99.77</v>
      </c>
      <c r="C5812">
        <v>100.1</v>
      </c>
      <c r="D5812">
        <v>99.5</v>
      </c>
      <c r="E5812">
        <v>99.78</v>
      </c>
      <c r="F5812">
        <v>4365800</v>
      </c>
      <c r="G5812">
        <v>94.28</v>
      </c>
      <c r="H5812" t="s">
        <v>13</v>
      </c>
      <c r="I5812" s="22">
        <f t="shared" si="181"/>
        <v>1.2736151159092437E-3</v>
      </c>
      <c r="J5812" s="22" t="str">
        <f t="shared" si="182"/>
        <v/>
      </c>
    </row>
    <row r="5813" spans="1:10">
      <c r="A5813" s="1">
        <v>40968</v>
      </c>
      <c r="B5813">
        <v>99.86</v>
      </c>
      <c r="C5813">
        <v>99.88</v>
      </c>
      <c r="D5813">
        <v>99.26</v>
      </c>
      <c r="E5813">
        <v>99.28</v>
      </c>
      <c r="F5813">
        <v>5461000</v>
      </c>
      <c r="G5813">
        <v>93.8</v>
      </c>
      <c r="H5813" t="s">
        <v>13</v>
      </c>
      <c r="I5813" s="22">
        <f t="shared" si="181"/>
        <v>-5.1042220557514142E-3</v>
      </c>
      <c r="J5813" s="22" t="str">
        <f t="shared" si="182"/>
        <v>lost money</v>
      </c>
    </row>
    <row r="5814" spans="1:10">
      <c r="A5814" s="1">
        <v>40969</v>
      </c>
      <c r="B5814">
        <v>99.28</v>
      </c>
      <c r="C5814">
        <v>99.68</v>
      </c>
      <c r="D5814">
        <v>99.14</v>
      </c>
      <c r="E5814">
        <v>99.25</v>
      </c>
      <c r="F5814">
        <v>4086100</v>
      </c>
      <c r="G5814">
        <v>93.77</v>
      </c>
      <c r="H5814" t="s">
        <v>13</v>
      </c>
      <c r="I5814" s="22">
        <f t="shared" si="181"/>
        <v>-3.19880580645235E-4</v>
      </c>
      <c r="J5814" s="22" t="str">
        <f t="shared" si="182"/>
        <v>lost money</v>
      </c>
    </row>
    <row r="5815" spans="1:10">
      <c r="A5815" s="1">
        <v>40970</v>
      </c>
      <c r="B5815">
        <v>99.27</v>
      </c>
      <c r="C5815">
        <v>99.64</v>
      </c>
      <c r="D5815">
        <v>98.96</v>
      </c>
      <c r="E5815">
        <v>99.5</v>
      </c>
      <c r="F5815">
        <v>4311700</v>
      </c>
      <c r="G5815">
        <v>94.01</v>
      </c>
      <c r="H5815" t="s">
        <v>13</v>
      </c>
      <c r="I5815" s="22">
        <f t="shared" si="181"/>
        <v>2.5561841589258317E-3</v>
      </c>
      <c r="J5815" s="22" t="str">
        <f t="shared" si="182"/>
        <v/>
      </c>
    </row>
    <row r="5816" spans="1:10">
      <c r="A5816" s="1">
        <v>40973</v>
      </c>
      <c r="B5816">
        <v>99.42</v>
      </c>
      <c r="C5816">
        <v>100.35</v>
      </c>
      <c r="D5816">
        <v>98.84</v>
      </c>
      <c r="E5816">
        <v>99.94</v>
      </c>
      <c r="F5816">
        <v>6313200</v>
      </c>
      <c r="G5816">
        <v>94.43</v>
      </c>
      <c r="H5816" t="s">
        <v>13</v>
      </c>
      <c r="I5816" s="22">
        <f t="shared" si="181"/>
        <v>4.4576596845184091E-3</v>
      </c>
      <c r="J5816" s="22" t="str">
        <f t="shared" si="182"/>
        <v/>
      </c>
    </row>
    <row r="5817" spans="1:10">
      <c r="A5817" s="1">
        <v>40974</v>
      </c>
      <c r="B5817">
        <v>99.18</v>
      </c>
      <c r="C5817">
        <v>100.2</v>
      </c>
      <c r="D5817">
        <v>99.1</v>
      </c>
      <c r="E5817">
        <v>99.89</v>
      </c>
      <c r="F5817">
        <v>6713900</v>
      </c>
      <c r="G5817">
        <v>94.38</v>
      </c>
      <c r="H5817" t="s">
        <v>13</v>
      </c>
      <c r="I5817" s="22">
        <f t="shared" si="181"/>
        <v>-5.2963297673647017E-4</v>
      </c>
      <c r="J5817" s="22" t="str">
        <f t="shared" si="182"/>
        <v/>
      </c>
    </row>
    <row r="5818" spans="1:10">
      <c r="A5818" s="1">
        <v>40975</v>
      </c>
      <c r="B5818">
        <v>100</v>
      </c>
      <c r="C5818">
        <v>100.44</v>
      </c>
      <c r="D5818">
        <v>99.54</v>
      </c>
      <c r="E5818">
        <v>100.18</v>
      </c>
      <c r="F5818">
        <v>5873500</v>
      </c>
      <c r="G5818">
        <v>94.65</v>
      </c>
      <c r="H5818" t="s">
        <v>13</v>
      </c>
      <c r="I5818" s="22">
        <f t="shared" si="181"/>
        <v>2.8566913570903974E-3</v>
      </c>
      <c r="J5818" s="22" t="str">
        <f t="shared" si="182"/>
        <v/>
      </c>
    </row>
    <row r="5819" spans="1:10">
      <c r="A5819" s="1">
        <v>40976</v>
      </c>
      <c r="B5819">
        <v>97</v>
      </c>
      <c r="C5819">
        <v>97.65</v>
      </c>
      <c r="D5819">
        <v>96.46</v>
      </c>
      <c r="E5819">
        <v>96.96</v>
      </c>
      <c r="F5819">
        <v>16841200</v>
      </c>
      <c r="G5819">
        <v>91.61</v>
      </c>
      <c r="H5819" t="s">
        <v>13</v>
      </c>
      <c r="I5819" s="22">
        <f t="shared" si="181"/>
        <v>-3.264544162821463E-2</v>
      </c>
      <c r="J5819" s="22" t="str">
        <f t="shared" si="182"/>
        <v>lost money</v>
      </c>
    </row>
    <row r="5820" spans="1:10">
      <c r="A5820" s="1">
        <v>40977</v>
      </c>
      <c r="B5820">
        <v>97.45</v>
      </c>
      <c r="C5820">
        <v>97.6</v>
      </c>
      <c r="D5820">
        <v>96.53</v>
      </c>
      <c r="E5820">
        <v>96.84</v>
      </c>
      <c r="F5820">
        <v>7808700</v>
      </c>
      <c r="G5820">
        <v>91.5</v>
      </c>
      <c r="H5820" t="s">
        <v>13</v>
      </c>
      <c r="I5820" s="22">
        <f t="shared" si="181"/>
        <v>-1.2014637456416956E-3</v>
      </c>
      <c r="J5820" s="22" t="str">
        <f t="shared" si="182"/>
        <v>lost money</v>
      </c>
    </row>
    <row r="5821" spans="1:10">
      <c r="A5821" s="1">
        <v>40980</v>
      </c>
      <c r="B5821">
        <v>97.05</v>
      </c>
      <c r="C5821">
        <v>97.48</v>
      </c>
      <c r="D5821">
        <v>96.58</v>
      </c>
      <c r="E5821">
        <v>96.66</v>
      </c>
      <c r="F5821">
        <v>4503100</v>
      </c>
      <c r="G5821">
        <v>91.33</v>
      </c>
      <c r="H5821" t="s">
        <v>13</v>
      </c>
      <c r="I5821" s="22">
        <f t="shared" si="181"/>
        <v>-1.859651577888067E-3</v>
      </c>
      <c r="J5821" s="22" t="str">
        <f t="shared" si="182"/>
        <v>lost money</v>
      </c>
    </row>
    <row r="5822" spans="1:10">
      <c r="A5822" s="1">
        <v>40981</v>
      </c>
      <c r="B5822">
        <v>96.99</v>
      </c>
      <c r="C5822">
        <v>97.29</v>
      </c>
      <c r="D5822">
        <v>96.37</v>
      </c>
      <c r="E5822">
        <v>96.78</v>
      </c>
      <c r="F5822">
        <v>6350900</v>
      </c>
      <c r="G5822">
        <v>91.44</v>
      </c>
      <c r="H5822" t="s">
        <v>13</v>
      </c>
      <c r="I5822" s="22">
        <f t="shared" si="181"/>
        <v>1.2036987829675437E-3</v>
      </c>
      <c r="J5822" s="22" t="str">
        <f t="shared" si="182"/>
        <v>lost money</v>
      </c>
    </row>
    <row r="5823" spans="1:10">
      <c r="A5823" s="1">
        <v>40982</v>
      </c>
      <c r="B5823">
        <v>96.69</v>
      </c>
      <c r="C5823">
        <v>97.44</v>
      </c>
      <c r="D5823">
        <v>96.68</v>
      </c>
      <c r="E5823">
        <v>97.29</v>
      </c>
      <c r="F5823">
        <v>7209100</v>
      </c>
      <c r="G5823">
        <v>91.92</v>
      </c>
      <c r="H5823" t="s">
        <v>13</v>
      </c>
      <c r="I5823" s="22">
        <f t="shared" si="181"/>
        <v>5.2356140539451639E-3</v>
      </c>
      <c r="J5823" s="22" t="str">
        <f t="shared" si="182"/>
        <v/>
      </c>
    </row>
    <row r="5824" spans="1:10">
      <c r="A5824" s="1">
        <v>40983</v>
      </c>
      <c r="B5824">
        <v>97.15</v>
      </c>
      <c r="C5824">
        <v>98.19</v>
      </c>
      <c r="D5824">
        <v>97.15</v>
      </c>
      <c r="E5824">
        <v>98.04</v>
      </c>
      <c r="F5824">
        <v>5768200</v>
      </c>
      <c r="G5824">
        <v>92.63</v>
      </c>
      <c r="H5824" t="s">
        <v>13</v>
      </c>
      <c r="I5824" s="22">
        <f t="shared" si="181"/>
        <v>7.6944297254359136E-3</v>
      </c>
      <c r="J5824" s="22" t="str">
        <f t="shared" si="182"/>
        <v/>
      </c>
    </row>
    <row r="5825" spans="1:10">
      <c r="A5825" s="1">
        <v>40984</v>
      </c>
      <c r="B5825">
        <v>98.42</v>
      </c>
      <c r="C5825">
        <v>98.55</v>
      </c>
      <c r="D5825">
        <v>97.57</v>
      </c>
      <c r="E5825">
        <v>97.66</v>
      </c>
      <c r="F5825">
        <v>7337000</v>
      </c>
      <c r="G5825">
        <v>92.27</v>
      </c>
      <c r="H5825" t="s">
        <v>13</v>
      </c>
      <c r="I5825" s="22">
        <f t="shared" si="181"/>
        <v>-3.8940016754717057E-3</v>
      </c>
      <c r="J5825" s="22" t="str">
        <f t="shared" si="182"/>
        <v>lost money</v>
      </c>
    </row>
    <row r="5826" spans="1:10">
      <c r="A5826" s="1">
        <v>40987</v>
      </c>
      <c r="B5826">
        <v>97.36</v>
      </c>
      <c r="C5826">
        <v>98.1</v>
      </c>
      <c r="D5826">
        <v>97.32</v>
      </c>
      <c r="E5826">
        <v>97.73</v>
      </c>
      <c r="F5826">
        <v>4634500</v>
      </c>
      <c r="G5826">
        <v>92.34</v>
      </c>
      <c r="H5826" t="s">
        <v>13</v>
      </c>
      <c r="I5826" s="22">
        <f t="shared" si="181"/>
        <v>7.5835548837839952E-4</v>
      </c>
      <c r="J5826" s="22" t="str">
        <f t="shared" si="182"/>
        <v/>
      </c>
    </row>
    <row r="5827" spans="1:10">
      <c r="A5827" s="1">
        <v>40988</v>
      </c>
      <c r="B5827">
        <v>97.46</v>
      </c>
      <c r="C5827">
        <v>97.85</v>
      </c>
      <c r="D5827">
        <v>97.07</v>
      </c>
      <c r="E5827">
        <v>97.65</v>
      </c>
      <c r="F5827">
        <v>4757100</v>
      </c>
      <c r="G5827">
        <v>92.26</v>
      </c>
      <c r="H5827" t="s">
        <v>13</v>
      </c>
      <c r="I5827" s="22">
        <f t="shared" ref="I5827:I5890" si="183">IF(A5827=$A$2,"",LN(G5827/G5826))</f>
        <v>-8.6673894916842965E-4</v>
      </c>
      <c r="J5827" s="22" t="str">
        <f t="shared" ref="J5827:J5890" si="184">IF(B5827&gt;E5827,"lost money","")</f>
        <v/>
      </c>
    </row>
    <row r="5828" spans="1:10">
      <c r="A5828" s="1">
        <v>40989</v>
      </c>
      <c r="B5828">
        <v>97.53</v>
      </c>
      <c r="C5828">
        <v>97.82</v>
      </c>
      <c r="D5828">
        <v>96.72</v>
      </c>
      <c r="E5828">
        <v>96.72</v>
      </c>
      <c r="F5828">
        <v>6038600</v>
      </c>
      <c r="G5828">
        <v>91.38</v>
      </c>
      <c r="H5828" t="s">
        <v>13</v>
      </c>
      <c r="I5828" s="22">
        <f t="shared" si="183"/>
        <v>-9.5840419945490921E-3</v>
      </c>
      <c r="J5828" s="22" t="str">
        <f t="shared" si="184"/>
        <v>lost money</v>
      </c>
    </row>
    <row r="5829" spans="1:10">
      <c r="A5829" s="1">
        <v>40990</v>
      </c>
      <c r="B5829">
        <v>96.13</v>
      </c>
      <c r="C5829">
        <v>96.48</v>
      </c>
      <c r="D5829">
        <v>95.77</v>
      </c>
      <c r="E5829">
        <v>95.8</v>
      </c>
      <c r="F5829">
        <v>7721200</v>
      </c>
      <c r="G5829">
        <v>90.52</v>
      </c>
      <c r="H5829" t="s">
        <v>13</v>
      </c>
      <c r="I5829" s="22">
        <f t="shared" si="183"/>
        <v>-9.455815369788817E-3</v>
      </c>
      <c r="J5829" s="22" t="str">
        <f t="shared" si="184"/>
        <v>lost money</v>
      </c>
    </row>
    <row r="5830" spans="1:10">
      <c r="A5830" s="1">
        <v>40991</v>
      </c>
      <c r="B5830">
        <v>95.91</v>
      </c>
      <c r="C5830">
        <v>95.94</v>
      </c>
      <c r="D5830">
        <v>95.13</v>
      </c>
      <c r="E5830">
        <v>95.55</v>
      </c>
      <c r="F5830">
        <v>6041500</v>
      </c>
      <c r="G5830">
        <v>90.28</v>
      </c>
      <c r="H5830" t="s">
        <v>13</v>
      </c>
      <c r="I5830" s="22">
        <f t="shared" si="183"/>
        <v>-2.6548688160016065E-3</v>
      </c>
      <c r="J5830" s="22" t="str">
        <f t="shared" si="184"/>
        <v>lost money</v>
      </c>
    </row>
    <row r="5831" spans="1:10">
      <c r="A5831" s="1">
        <v>40994</v>
      </c>
      <c r="B5831">
        <v>96.16</v>
      </c>
      <c r="C5831">
        <v>97.03</v>
      </c>
      <c r="D5831">
        <v>96.1</v>
      </c>
      <c r="E5831">
        <v>96.97</v>
      </c>
      <c r="F5831">
        <v>5644100</v>
      </c>
      <c r="G5831">
        <v>91.62</v>
      </c>
      <c r="H5831" t="s">
        <v>13</v>
      </c>
      <c r="I5831" s="22">
        <f t="shared" si="183"/>
        <v>1.4733636509261142E-2</v>
      </c>
      <c r="J5831" s="22" t="str">
        <f t="shared" si="184"/>
        <v/>
      </c>
    </row>
    <row r="5832" spans="1:10">
      <c r="A5832" s="1">
        <v>40995</v>
      </c>
      <c r="B5832">
        <v>97.29</v>
      </c>
      <c r="C5832">
        <v>97.83</v>
      </c>
      <c r="D5832">
        <v>97.07</v>
      </c>
      <c r="E5832">
        <v>97.34</v>
      </c>
      <c r="F5832">
        <v>4877500</v>
      </c>
      <c r="G5832">
        <v>91.97</v>
      </c>
      <c r="H5832" t="s">
        <v>13</v>
      </c>
      <c r="I5832" s="22">
        <f t="shared" si="183"/>
        <v>3.8128484560101573E-3</v>
      </c>
      <c r="J5832" s="22" t="str">
        <f t="shared" si="184"/>
        <v/>
      </c>
    </row>
    <row r="5833" spans="1:10">
      <c r="A5833" s="1">
        <v>40996</v>
      </c>
      <c r="B5833">
        <v>97.52</v>
      </c>
      <c r="C5833">
        <v>97.84</v>
      </c>
      <c r="D5833">
        <v>97.06</v>
      </c>
      <c r="E5833">
        <v>97.08</v>
      </c>
      <c r="F5833">
        <v>5055400</v>
      </c>
      <c r="G5833">
        <v>91.72</v>
      </c>
      <c r="H5833" t="s">
        <v>13</v>
      </c>
      <c r="I5833" s="22">
        <f t="shared" si="183"/>
        <v>-2.7219789249024917E-3</v>
      </c>
      <c r="J5833" s="22" t="str">
        <f t="shared" si="184"/>
        <v>lost money</v>
      </c>
    </row>
    <row r="5834" spans="1:10">
      <c r="A5834" s="1">
        <v>40997</v>
      </c>
      <c r="B5834">
        <v>96.95</v>
      </c>
      <c r="C5834">
        <v>97.7</v>
      </c>
      <c r="D5834">
        <v>96.93</v>
      </c>
      <c r="E5834">
        <v>97.64</v>
      </c>
      <c r="F5834">
        <v>4103600</v>
      </c>
      <c r="G5834">
        <v>92.25</v>
      </c>
      <c r="H5834" t="s">
        <v>13</v>
      </c>
      <c r="I5834" s="22">
        <f t="shared" si="183"/>
        <v>5.7618249309328668E-3</v>
      </c>
      <c r="J5834" s="22" t="str">
        <f t="shared" si="184"/>
        <v/>
      </c>
    </row>
    <row r="5835" spans="1:10">
      <c r="A5835" s="1">
        <v>40998</v>
      </c>
      <c r="B5835">
        <v>97.88</v>
      </c>
      <c r="C5835">
        <v>98.25</v>
      </c>
      <c r="D5835">
        <v>97.76</v>
      </c>
      <c r="E5835">
        <v>98.1</v>
      </c>
      <c r="F5835">
        <v>4429500</v>
      </c>
      <c r="G5835">
        <v>92.69</v>
      </c>
      <c r="H5835" t="s">
        <v>13</v>
      </c>
      <c r="I5835" s="22">
        <f t="shared" si="183"/>
        <v>4.7583089671046916E-3</v>
      </c>
      <c r="J5835" s="22" t="str">
        <f t="shared" si="184"/>
        <v/>
      </c>
    </row>
    <row r="5836" spans="1:10">
      <c r="A5836" s="1">
        <v>41001</v>
      </c>
      <c r="B5836">
        <v>97.82</v>
      </c>
      <c r="C5836">
        <v>98.81</v>
      </c>
      <c r="D5836">
        <v>97.68</v>
      </c>
      <c r="E5836">
        <v>98.36</v>
      </c>
      <c r="F5836">
        <v>4603000</v>
      </c>
      <c r="G5836">
        <v>92.93</v>
      </c>
      <c r="H5836" t="s">
        <v>13</v>
      </c>
      <c r="I5836" s="22">
        <f t="shared" si="183"/>
        <v>2.585929681506676E-3</v>
      </c>
      <c r="J5836" s="22" t="str">
        <f t="shared" si="184"/>
        <v/>
      </c>
    </row>
    <row r="5837" spans="1:10">
      <c r="A5837" s="1">
        <v>41002</v>
      </c>
      <c r="B5837">
        <v>98.31</v>
      </c>
      <c r="C5837">
        <v>99.41</v>
      </c>
      <c r="D5837">
        <v>98.3</v>
      </c>
      <c r="E5837">
        <v>99.4</v>
      </c>
      <c r="F5837">
        <v>5422200</v>
      </c>
      <c r="G5837">
        <v>93.92</v>
      </c>
      <c r="H5837" t="s">
        <v>13</v>
      </c>
      <c r="I5837" s="22">
        <f t="shared" si="183"/>
        <v>1.0596834510538337E-2</v>
      </c>
      <c r="J5837" s="22" t="str">
        <f t="shared" si="184"/>
        <v/>
      </c>
    </row>
    <row r="5838" spans="1:10">
      <c r="A5838" s="1">
        <v>41003</v>
      </c>
      <c r="B5838">
        <v>98.25</v>
      </c>
      <c r="C5838">
        <v>98.57</v>
      </c>
      <c r="D5838">
        <v>97.15</v>
      </c>
      <c r="E5838">
        <v>97.48</v>
      </c>
      <c r="F5838">
        <v>7768300</v>
      </c>
      <c r="G5838">
        <v>92.1</v>
      </c>
      <c r="H5838" t="s">
        <v>13</v>
      </c>
      <c r="I5838" s="22">
        <f t="shared" si="183"/>
        <v>-1.9568412818525185E-2</v>
      </c>
      <c r="J5838" s="22" t="str">
        <f t="shared" si="184"/>
        <v>lost money</v>
      </c>
    </row>
    <row r="5839" spans="1:10">
      <c r="A5839" s="1">
        <v>41004</v>
      </c>
      <c r="B5839">
        <v>97.13</v>
      </c>
      <c r="C5839">
        <v>98.66</v>
      </c>
      <c r="D5839">
        <v>97.07</v>
      </c>
      <c r="E5839">
        <v>98.62</v>
      </c>
      <c r="F5839">
        <v>5469400</v>
      </c>
      <c r="G5839">
        <v>93.18</v>
      </c>
      <c r="H5839" t="s">
        <v>13</v>
      </c>
      <c r="I5839" s="22">
        <f t="shared" si="183"/>
        <v>1.1658163127389678E-2</v>
      </c>
      <c r="J5839" s="22" t="str">
        <f t="shared" si="184"/>
        <v/>
      </c>
    </row>
    <row r="5840" spans="1:10">
      <c r="A5840" s="1">
        <v>41008</v>
      </c>
      <c r="B5840">
        <v>97.74</v>
      </c>
      <c r="C5840">
        <v>99.5</v>
      </c>
      <c r="D5840">
        <v>97.64</v>
      </c>
      <c r="E5840">
        <v>98.88</v>
      </c>
      <c r="F5840">
        <v>6712700</v>
      </c>
      <c r="G5840">
        <v>93.43</v>
      </c>
      <c r="H5840" t="s">
        <v>13</v>
      </c>
      <c r="I5840" s="22">
        <f t="shared" si="183"/>
        <v>2.6793864162135347E-3</v>
      </c>
      <c r="J5840" s="22" t="str">
        <f t="shared" si="184"/>
        <v/>
      </c>
    </row>
    <row r="5841" spans="1:10">
      <c r="A5841" s="1">
        <v>41009</v>
      </c>
      <c r="B5841">
        <v>98.78</v>
      </c>
      <c r="C5841">
        <v>98.78</v>
      </c>
      <c r="D5841">
        <v>97.31</v>
      </c>
      <c r="E5841">
        <v>97.67</v>
      </c>
      <c r="F5841">
        <v>7581600</v>
      </c>
      <c r="G5841">
        <v>92.28</v>
      </c>
      <c r="H5841" t="s">
        <v>13</v>
      </c>
      <c r="I5841" s="22">
        <f t="shared" si="183"/>
        <v>-1.2385059499311459E-2</v>
      </c>
      <c r="J5841" s="22" t="str">
        <f t="shared" si="184"/>
        <v>lost money</v>
      </c>
    </row>
    <row r="5842" spans="1:10">
      <c r="A5842" s="1">
        <v>41010</v>
      </c>
      <c r="B5842">
        <v>98.29</v>
      </c>
      <c r="C5842">
        <v>98.73</v>
      </c>
      <c r="D5842">
        <v>97.5</v>
      </c>
      <c r="E5842">
        <v>98.56</v>
      </c>
      <c r="F5842">
        <v>6366600</v>
      </c>
      <c r="G5842">
        <v>93.12</v>
      </c>
      <c r="H5842" t="s">
        <v>13</v>
      </c>
      <c r="I5842" s="22">
        <f t="shared" si="183"/>
        <v>9.0615506775747322E-3</v>
      </c>
      <c r="J5842" s="22" t="str">
        <f t="shared" si="184"/>
        <v/>
      </c>
    </row>
    <row r="5843" spans="1:10">
      <c r="A5843" s="1">
        <v>41011</v>
      </c>
      <c r="B5843">
        <v>98.72</v>
      </c>
      <c r="C5843">
        <v>98.75</v>
      </c>
      <c r="D5843">
        <v>97.35</v>
      </c>
      <c r="E5843">
        <v>97.64</v>
      </c>
      <c r="F5843">
        <v>5763900</v>
      </c>
      <c r="G5843">
        <v>92.25</v>
      </c>
      <c r="H5843" t="s">
        <v>13</v>
      </c>
      <c r="I5843" s="22">
        <f t="shared" si="183"/>
        <v>-9.386701062491204E-3</v>
      </c>
      <c r="J5843" s="22" t="str">
        <f t="shared" si="184"/>
        <v>lost money</v>
      </c>
    </row>
    <row r="5844" spans="1:10">
      <c r="A5844" s="1">
        <v>41012</v>
      </c>
      <c r="B5844">
        <v>97.52</v>
      </c>
      <c r="C5844">
        <v>97.8</v>
      </c>
      <c r="D5844">
        <v>96.96</v>
      </c>
      <c r="E5844">
        <v>96.97</v>
      </c>
      <c r="F5844">
        <v>5223700</v>
      </c>
      <c r="G5844">
        <v>91.62</v>
      </c>
      <c r="H5844" t="s">
        <v>13</v>
      </c>
      <c r="I5844" s="22">
        <f t="shared" si="183"/>
        <v>-6.8526944620405069E-3</v>
      </c>
      <c r="J5844" s="22" t="str">
        <f t="shared" si="184"/>
        <v>lost money</v>
      </c>
    </row>
    <row r="5845" spans="1:10">
      <c r="A5845" s="1">
        <v>41015</v>
      </c>
      <c r="B5845">
        <v>97.09</v>
      </c>
      <c r="C5845">
        <v>97.9</v>
      </c>
      <c r="D5845">
        <v>96.32</v>
      </c>
      <c r="E5845">
        <v>96.58</v>
      </c>
      <c r="F5845">
        <v>6236300</v>
      </c>
      <c r="G5845">
        <v>91.25</v>
      </c>
      <c r="H5845" t="s">
        <v>13</v>
      </c>
      <c r="I5845" s="22">
        <f t="shared" si="183"/>
        <v>-4.0465959959952074E-3</v>
      </c>
      <c r="J5845" s="22" t="str">
        <f t="shared" si="184"/>
        <v>lost money</v>
      </c>
    </row>
    <row r="5846" spans="1:10">
      <c r="A5846" s="1">
        <v>41016</v>
      </c>
      <c r="B5846">
        <v>96.92</v>
      </c>
      <c r="C5846">
        <v>97.58</v>
      </c>
      <c r="D5846">
        <v>96.91</v>
      </c>
      <c r="E5846">
        <v>97.11</v>
      </c>
      <c r="F5846">
        <v>7592700</v>
      </c>
      <c r="G5846">
        <v>91.75</v>
      </c>
      <c r="H5846" t="s">
        <v>13</v>
      </c>
      <c r="I5846" s="22">
        <f t="shared" si="183"/>
        <v>5.4644944720787453E-3</v>
      </c>
      <c r="J5846" s="22" t="str">
        <f t="shared" si="184"/>
        <v/>
      </c>
    </row>
    <row r="5847" spans="1:10">
      <c r="A5847" s="1">
        <v>41017</v>
      </c>
      <c r="B5847">
        <v>97.02</v>
      </c>
      <c r="C5847">
        <v>97.98</v>
      </c>
      <c r="D5847">
        <v>97.02</v>
      </c>
      <c r="E5847">
        <v>97.34</v>
      </c>
      <c r="F5847">
        <v>5388700</v>
      </c>
      <c r="G5847">
        <v>91.97</v>
      </c>
      <c r="H5847" t="s">
        <v>13</v>
      </c>
      <c r="I5847" s="22">
        <f t="shared" si="183"/>
        <v>2.3949499799266164E-3</v>
      </c>
      <c r="J5847" s="22" t="str">
        <f t="shared" si="184"/>
        <v/>
      </c>
    </row>
    <row r="5848" spans="1:10">
      <c r="A5848" s="1">
        <v>41018</v>
      </c>
      <c r="B5848">
        <v>97.16</v>
      </c>
      <c r="C5848">
        <v>97.24</v>
      </c>
      <c r="D5848">
        <v>94.13</v>
      </c>
      <c r="E5848">
        <v>95.28</v>
      </c>
      <c r="F5848">
        <v>13939100</v>
      </c>
      <c r="G5848">
        <v>90.02</v>
      </c>
      <c r="H5848" t="s">
        <v>13</v>
      </c>
      <c r="I5848" s="22">
        <f t="shared" si="183"/>
        <v>-2.1430569049819673E-2</v>
      </c>
      <c r="J5848" s="22" t="str">
        <f t="shared" si="184"/>
        <v>lost money</v>
      </c>
    </row>
    <row r="5849" spans="1:10">
      <c r="A5849" s="1">
        <v>41019</v>
      </c>
      <c r="B5849">
        <v>96.91</v>
      </c>
      <c r="C5849">
        <v>97.77</v>
      </c>
      <c r="D5849">
        <v>95.65</v>
      </c>
      <c r="E5849">
        <v>95.94</v>
      </c>
      <c r="F5849">
        <v>11021200</v>
      </c>
      <c r="G5849">
        <v>90.65</v>
      </c>
      <c r="H5849" t="s">
        <v>13</v>
      </c>
      <c r="I5849" s="22">
        <f t="shared" si="183"/>
        <v>6.9740693360736232E-3</v>
      </c>
      <c r="J5849" s="22" t="str">
        <f t="shared" si="184"/>
        <v>lost money</v>
      </c>
    </row>
    <row r="5850" spans="1:10">
      <c r="A5850" s="1">
        <v>41022</v>
      </c>
      <c r="B5850">
        <v>95.78</v>
      </c>
      <c r="C5850">
        <v>95.93</v>
      </c>
      <c r="D5850">
        <v>94.85</v>
      </c>
      <c r="E5850">
        <v>95.19</v>
      </c>
      <c r="F5850">
        <v>5217500</v>
      </c>
      <c r="G5850">
        <v>89.94</v>
      </c>
      <c r="H5850" t="s">
        <v>13</v>
      </c>
      <c r="I5850" s="22">
        <f t="shared" si="183"/>
        <v>-7.8631558582988488E-3</v>
      </c>
      <c r="J5850" s="22" t="str">
        <f t="shared" si="184"/>
        <v>lost money</v>
      </c>
    </row>
    <row r="5851" spans="1:10">
      <c r="A5851" s="1">
        <v>41023</v>
      </c>
      <c r="B5851">
        <v>95.01</v>
      </c>
      <c r="C5851">
        <v>95.45</v>
      </c>
      <c r="D5851">
        <v>94.15</v>
      </c>
      <c r="E5851">
        <v>94.59</v>
      </c>
      <c r="F5851">
        <v>6223800</v>
      </c>
      <c r="G5851">
        <v>89.37</v>
      </c>
      <c r="H5851" t="s">
        <v>13</v>
      </c>
      <c r="I5851" s="22">
        <f t="shared" si="183"/>
        <v>-6.3577259492607063E-3</v>
      </c>
      <c r="J5851" s="22" t="str">
        <f t="shared" si="184"/>
        <v>lost money</v>
      </c>
    </row>
    <row r="5852" spans="1:10">
      <c r="A5852" s="1">
        <v>41024</v>
      </c>
      <c r="B5852">
        <v>95.15</v>
      </c>
      <c r="C5852">
        <v>95.24</v>
      </c>
      <c r="D5852">
        <v>94.78</v>
      </c>
      <c r="E5852">
        <v>95.22</v>
      </c>
      <c r="F5852">
        <v>5699600</v>
      </c>
      <c r="G5852">
        <v>89.97</v>
      </c>
      <c r="H5852" t="s">
        <v>13</v>
      </c>
      <c r="I5852" s="22">
        <f t="shared" si="183"/>
        <v>6.6912260357267737E-3</v>
      </c>
      <c r="J5852" s="22" t="str">
        <f t="shared" si="184"/>
        <v/>
      </c>
    </row>
    <row r="5853" spans="1:10">
      <c r="A5853" s="1">
        <v>41025</v>
      </c>
      <c r="B5853">
        <v>94.94</v>
      </c>
      <c r="C5853">
        <v>96.07</v>
      </c>
      <c r="D5853">
        <v>94.94</v>
      </c>
      <c r="E5853">
        <v>95.83</v>
      </c>
      <c r="F5853">
        <v>4741200</v>
      </c>
      <c r="G5853">
        <v>90.54</v>
      </c>
      <c r="H5853" t="s">
        <v>13</v>
      </c>
      <c r="I5853" s="22">
        <f t="shared" si="183"/>
        <v>6.3154605787851259E-3</v>
      </c>
      <c r="J5853" s="22" t="str">
        <f t="shared" si="184"/>
        <v/>
      </c>
    </row>
    <row r="5854" spans="1:10">
      <c r="A5854" s="1">
        <v>41026</v>
      </c>
      <c r="B5854">
        <v>96.23</v>
      </c>
      <c r="C5854">
        <v>97.53</v>
      </c>
      <c r="D5854">
        <v>95.8</v>
      </c>
      <c r="E5854">
        <v>97.38</v>
      </c>
      <c r="F5854">
        <v>7373300</v>
      </c>
      <c r="G5854">
        <v>92.01</v>
      </c>
      <c r="H5854" t="s">
        <v>13</v>
      </c>
      <c r="I5854" s="22">
        <f t="shared" si="183"/>
        <v>1.6105524786457368E-2</v>
      </c>
      <c r="J5854" s="22" t="str">
        <f t="shared" si="184"/>
        <v/>
      </c>
    </row>
    <row r="5855" spans="1:10">
      <c r="A5855" s="1">
        <v>41029</v>
      </c>
      <c r="B5855">
        <v>97.61</v>
      </c>
      <c r="C5855">
        <v>97.75</v>
      </c>
      <c r="D5855">
        <v>97.09</v>
      </c>
      <c r="E5855">
        <v>97.45</v>
      </c>
      <c r="F5855">
        <v>4507200</v>
      </c>
      <c r="G5855">
        <v>92.07</v>
      </c>
      <c r="H5855" t="s">
        <v>13</v>
      </c>
      <c r="I5855" s="22">
        <f t="shared" si="183"/>
        <v>6.5189050548456634E-4</v>
      </c>
      <c r="J5855" s="22" t="str">
        <f t="shared" si="184"/>
        <v>lost money</v>
      </c>
    </row>
    <row r="5856" spans="1:10">
      <c r="A5856" s="1">
        <v>41030</v>
      </c>
      <c r="B5856">
        <v>97.23</v>
      </c>
      <c r="C5856">
        <v>98.01</v>
      </c>
      <c r="D5856">
        <v>97.13</v>
      </c>
      <c r="E5856">
        <v>97.2</v>
      </c>
      <c r="F5856">
        <v>5297900</v>
      </c>
      <c r="G5856">
        <v>91.84</v>
      </c>
      <c r="H5856" t="s">
        <v>13</v>
      </c>
      <c r="I5856" s="22">
        <f t="shared" si="183"/>
        <v>-2.5012247284981071E-3</v>
      </c>
      <c r="J5856" s="22" t="str">
        <f t="shared" si="184"/>
        <v>lost money</v>
      </c>
    </row>
    <row r="5857" spans="1:10">
      <c r="A5857" s="1">
        <v>41031</v>
      </c>
      <c r="B5857">
        <v>96.9</v>
      </c>
      <c r="C5857">
        <v>97.71</v>
      </c>
      <c r="D5857">
        <v>96.9</v>
      </c>
      <c r="E5857">
        <v>97.51</v>
      </c>
      <c r="F5857">
        <v>4348300</v>
      </c>
      <c r="G5857">
        <v>92.13</v>
      </c>
      <c r="H5857" t="s">
        <v>13</v>
      </c>
      <c r="I5857" s="22">
        <f t="shared" si="183"/>
        <v>3.1526905495842597E-3</v>
      </c>
      <c r="J5857" s="22" t="str">
        <f t="shared" si="184"/>
        <v/>
      </c>
    </row>
    <row r="5858" spans="1:10">
      <c r="A5858" s="1">
        <v>41032</v>
      </c>
      <c r="B5858">
        <v>97.47</v>
      </c>
      <c r="C5858">
        <v>97.58</v>
      </c>
      <c r="D5858">
        <v>96.79</v>
      </c>
      <c r="E5858">
        <v>97.04</v>
      </c>
      <c r="F5858">
        <v>3935200</v>
      </c>
      <c r="G5858">
        <v>91.69</v>
      </c>
      <c r="H5858" t="s">
        <v>13</v>
      </c>
      <c r="I5858" s="22">
        <f t="shared" si="183"/>
        <v>-4.7873010590312771E-3</v>
      </c>
      <c r="J5858" s="22" t="str">
        <f t="shared" si="184"/>
        <v>lost money</v>
      </c>
    </row>
    <row r="5859" spans="1:10">
      <c r="A5859" s="1">
        <v>41033</v>
      </c>
      <c r="B5859">
        <v>96.85</v>
      </c>
      <c r="C5859">
        <v>96.85</v>
      </c>
      <c r="D5859">
        <v>95.75</v>
      </c>
      <c r="E5859">
        <v>95.87</v>
      </c>
      <c r="F5859">
        <v>4688500</v>
      </c>
      <c r="G5859">
        <v>90.58</v>
      </c>
      <c r="H5859" t="s">
        <v>13</v>
      </c>
      <c r="I5859" s="22">
        <f t="shared" si="183"/>
        <v>-1.2179883933741651E-2</v>
      </c>
      <c r="J5859" s="22" t="str">
        <f t="shared" si="184"/>
        <v>lost money</v>
      </c>
    </row>
    <row r="5860" spans="1:10">
      <c r="A5860" s="1">
        <v>41036</v>
      </c>
      <c r="B5860">
        <v>95.73</v>
      </c>
      <c r="C5860">
        <v>96.03</v>
      </c>
      <c r="D5860">
        <v>95.2</v>
      </c>
      <c r="E5860">
        <v>95.51</v>
      </c>
      <c r="F5860">
        <v>5089700</v>
      </c>
      <c r="G5860">
        <v>90.24</v>
      </c>
      <c r="H5860" t="s">
        <v>13</v>
      </c>
      <c r="I5860" s="22">
        <f t="shared" si="183"/>
        <v>-3.760650378319044E-3</v>
      </c>
      <c r="J5860" s="22" t="str">
        <f t="shared" si="184"/>
        <v>lost money</v>
      </c>
    </row>
    <row r="5861" spans="1:10">
      <c r="A5861" s="1">
        <v>41037</v>
      </c>
      <c r="B5861">
        <v>93.9</v>
      </c>
      <c r="C5861">
        <v>94.87</v>
      </c>
      <c r="D5861">
        <v>92.97</v>
      </c>
      <c r="E5861">
        <v>93.55</v>
      </c>
      <c r="F5861">
        <v>12379500</v>
      </c>
      <c r="G5861">
        <v>88.39</v>
      </c>
      <c r="H5861" t="s">
        <v>13</v>
      </c>
      <c r="I5861" s="22">
        <f t="shared" si="183"/>
        <v>-2.0713946676892109E-2</v>
      </c>
      <c r="J5861" s="22" t="str">
        <f t="shared" si="184"/>
        <v>lost money</v>
      </c>
    </row>
    <row r="5862" spans="1:10">
      <c r="A5862" s="1">
        <v>41038</v>
      </c>
      <c r="B5862">
        <v>92.99</v>
      </c>
      <c r="C5862">
        <v>93.09</v>
      </c>
      <c r="D5862">
        <v>91.56</v>
      </c>
      <c r="E5862">
        <v>91.93</v>
      </c>
      <c r="F5862">
        <v>8975700</v>
      </c>
      <c r="G5862">
        <v>86.86</v>
      </c>
      <c r="H5862" t="s">
        <v>13</v>
      </c>
      <c r="I5862" s="22">
        <f t="shared" si="183"/>
        <v>-1.7461213966180767E-2</v>
      </c>
      <c r="J5862" s="22" t="str">
        <f t="shared" si="184"/>
        <v>lost money</v>
      </c>
    </row>
    <row r="5863" spans="1:10">
      <c r="A5863" s="1">
        <v>41039</v>
      </c>
      <c r="B5863">
        <v>92.7</v>
      </c>
      <c r="C5863">
        <v>92.73</v>
      </c>
      <c r="D5863">
        <v>91.73</v>
      </c>
      <c r="E5863">
        <v>91.87</v>
      </c>
      <c r="F5863">
        <v>7129500</v>
      </c>
      <c r="G5863">
        <v>86.8</v>
      </c>
      <c r="H5863" t="s">
        <v>13</v>
      </c>
      <c r="I5863" s="22">
        <f t="shared" si="183"/>
        <v>-6.910054403713124E-4</v>
      </c>
      <c r="J5863" s="22" t="str">
        <f t="shared" si="184"/>
        <v>lost money</v>
      </c>
    </row>
    <row r="5864" spans="1:10">
      <c r="A5864" s="1">
        <v>41040</v>
      </c>
      <c r="B5864">
        <v>91.69</v>
      </c>
      <c r="C5864">
        <v>92.6</v>
      </c>
      <c r="D5864">
        <v>91.67</v>
      </c>
      <c r="E5864">
        <v>91.9</v>
      </c>
      <c r="F5864">
        <v>5366500</v>
      </c>
      <c r="G5864">
        <v>86.83</v>
      </c>
      <c r="H5864" t="s">
        <v>13</v>
      </c>
      <c r="I5864" s="22">
        <f t="shared" si="183"/>
        <v>3.4556240624933988E-4</v>
      </c>
      <c r="J5864" s="22" t="str">
        <f t="shared" si="184"/>
        <v/>
      </c>
    </row>
    <row r="5865" spans="1:10">
      <c r="A5865" s="1">
        <v>41043</v>
      </c>
      <c r="B5865">
        <v>91.54</v>
      </c>
      <c r="C5865">
        <v>91.69</v>
      </c>
      <c r="D5865">
        <v>90.66</v>
      </c>
      <c r="E5865">
        <v>90.88</v>
      </c>
      <c r="F5865">
        <v>6050000</v>
      </c>
      <c r="G5865">
        <v>85.87</v>
      </c>
      <c r="H5865" t="s">
        <v>13</v>
      </c>
      <c r="I5865" s="22">
        <f t="shared" si="183"/>
        <v>-1.1117659388160315E-2</v>
      </c>
      <c r="J5865" s="22" t="str">
        <f t="shared" si="184"/>
        <v>lost money</v>
      </c>
    </row>
    <row r="5866" spans="1:10">
      <c r="A5866" s="1">
        <v>41044</v>
      </c>
      <c r="B5866">
        <v>90.99</v>
      </c>
      <c r="C5866">
        <v>91.74</v>
      </c>
      <c r="D5866">
        <v>90.85</v>
      </c>
      <c r="E5866">
        <v>91.01</v>
      </c>
      <c r="F5866">
        <v>4890300</v>
      </c>
      <c r="G5866">
        <v>85.99</v>
      </c>
      <c r="H5866" t="s">
        <v>13</v>
      </c>
      <c r="I5866" s="22">
        <f t="shared" si="183"/>
        <v>1.3964857384116056E-3</v>
      </c>
      <c r="J5866" s="22" t="str">
        <f t="shared" si="184"/>
        <v/>
      </c>
    </row>
    <row r="5867" spans="1:10">
      <c r="A5867" s="1">
        <v>41045</v>
      </c>
      <c r="B5867">
        <v>91.12</v>
      </c>
      <c r="C5867">
        <v>91.69</v>
      </c>
      <c r="D5867">
        <v>90.98</v>
      </c>
      <c r="E5867">
        <v>91.43</v>
      </c>
      <c r="F5867">
        <v>4949100</v>
      </c>
      <c r="G5867">
        <v>86.39</v>
      </c>
      <c r="H5867" t="s">
        <v>13</v>
      </c>
      <c r="I5867" s="22">
        <f t="shared" si="183"/>
        <v>4.6409179479877513E-3</v>
      </c>
      <c r="J5867" s="22" t="str">
        <f t="shared" si="184"/>
        <v/>
      </c>
    </row>
    <row r="5868" spans="1:10">
      <c r="A5868" s="1">
        <v>41046</v>
      </c>
      <c r="B5868">
        <v>91.28</v>
      </c>
      <c r="C5868">
        <v>91.58</v>
      </c>
      <c r="D5868">
        <v>89.5</v>
      </c>
      <c r="E5868">
        <v>89.62</v>
      </c>
      <c r="F5868">
        <v>9094100</v>
      </c>
      <c r="G5868">
        <v>84.68</v>
      </c>
      <c r="H5868" t="s">
        <v>13</v>
      </c>
      <c r="I5868" s="22">
        <f t="shared" si="183"/>
        <v>-1.9992482104128372E-2</v>
      </c>
      <c r="J5868" s="22" t="str">
        <f t="shared" si="184"/>
        <v>lost money</v>
      </c>
    </row>
    <row r="5869" spans="1:10">
      <c r="A5869" s="1">
        <v>41047</v>
      </c>
      <c r="B5869">
        <v>90.21</v>
      </c>
      <c r="C5869">
        <v>91.11</v>
      </c>
      <c r="D5869">
        <v>89.69</v>
      </c>
      <c r="E5869">
        <v>89.85</v>
      </c>
      <c r="F5869">
        <v>7990700</v>
      </c>
      <c r="G5869">
        <v>84.89</v>
      </c>
      <c r="H5869" t="s">
        <v>13</v>
      </c>
      <c r="I5869" s="22">
        <f t="shared" si="183"/>
        <v>2.4768544832119749E-3</v>
      </c>
      <c r="J5869" s="22" t="str">
        <f t="shared" si="184"/>
        <v>lost money</v>
      </c>
    </row>
    <row r="5870" spans="1:10">
      <c r="A5870" s="1">
        <v>41050</v>
      </c>
      <c r="B5870">
        <v>90.01</v>
      </c>
      <c r="C5870">
        <v>91.32</v>
      </c>
      <c r="D5870">
        <v>89.89</v>
      </c>
      <c r="E5870">
        <v>91.27</v>
      </c>
      <c r="F5870">
        <v>6622500</v>
      </c>
      <c r="G5870">
        <v>86.24</v>
      </c>
      <c r="H5870" t="s">
        <v>13</v>
      </c>
      <c r="I5870" s="22">
        <f t="shared" si="183"/>
        <v>1.5777806410810613E-2</v>
      </c>
      <c r="J5870" s="22" t="str">
        <f t="shared" si="184"/>
        <v/>
      </c>
    </row>
    <row r="5871" spans="1:10">
      <c r="A5871" s="1">
        <v>41051</v>
      </c>
      <c r="B5871">
        <v>91.96</v>
      </c>
      <c r="C5871">
        <v>91.96</v>
      </c>
      <c r="D5871">
        <v>91</v>
      </c>
      <c r="E5871">
        <v>91.34</v>
      </c>
      <c r="F5871">
        <v>5063400</v>
      </c>
      <c r="G5871">
        <v>86.3</v>
      </c>
      <c r="H5871" t="s">
        <v>13</v>
      </c>
      <c r="I5871" s="22">
        <f t="shared" si="183"/>
        <v>6.9549092869518033E-4</v>
      </c>
      <c r="J5871" s="22" t="str">
        <f t="shared" si="184"/>
        <v>lost money</v>
      </c>
    </row>
    <row r="5872" spans="1:10">
      <c r="A5872" s="1">
        <v>41052</v>
      </c>
      <c r="B5872">
        <v>90.97</v>
      </c>
      <c r="C5872">
        <v>91.57</v>
      </c>
      <c r="D5872">
        <v>90.67</v>
      </c>
      <c r="E5872">
        <v>91.48</v>
      </c>
      <c r="F5872">
        <v>4236500</v>
      </c>
      <c r="G5872">
        <v>86.43</v>
      </c>
      <c r="H5872" t="s">
        <v>13</v>
      </c>
      <c r="I5872" s="22">
        <f t="shared" si="183"/>
        <v>1.5052396751646625E-3</v>
      </c>
      <c r="J5872" s="22" t="str">
        <f t="shared" si="184"/>
        <v/>
      </c>
    </row>
    <row r="5873" spans="1:10">
      <c r="A5873" s="1">
        <v>41053</v>
      </c>
      <c r="B5873">
        <v>91.86</v>
      </c>
      <c r="C5873">
        <v>92.11</v>
      </c>
      <c r="D5873">
        <v>90.83</v>
      </c>
      <c r="E5873">
        <v>91.53</v>
      </c>
      <c r="F5873">
        <v>5010000</v>
      </c>
      <c r="G5873">
        <v>86.48</v>
      </c>
      <c r="H5873" t="s">
        <v>13</v>
      </c>
      <c r="I5873" s="22">
        <f t="shared" si="183"/>
        <v>5.7833556640601576E-4</v>
      </c>
      <c r="J5873" s="22" t="str">
        <f t="shared" si="184"/>
        <v>lost money</v>
      </c>
    </row>
    <row r="5874" spans="1:10">
      <c r="A5874" s="1">
        <v>41054</v>
      </c>
      <c r="B5874">
        <v>91.65</v>
      </c>
      <c r="C5874">
        <v>91.8</v>
      </c>
      <c r="D5874">
        <v>90.81</v>
      </c>
      <c r="E5874">
        <v>91.05</v>
      </c>
      <c r="F5874">
        <v>3681300</v>
      </c>
      <c r="G5874">
        <v>86.03</v>
      </c>
      <c r="H5874" t="s">
        <v>13</v>
      </c>
      <c r="I5874" s="22">
        <f t="shared" si="183"/>
        <v>-5.2171006976961263E-3</v>
      </c>
      <c r="J5874" s="22" t="str">
        <f t="shared" si="184"/>
        <v>lost money</v>
      </c>
    </row>
    <row r="5875" spans="1:10">
      <c r="A5875" s="1">
        <v>41058</v>
      </c>
      <c r="B5875">
        <v>91.41</v>
      </c>
      <c r="C5875">
        <v>91.73</v>
      </c>
      <c r="D5875">
        <v>90.26</v>
      </c>
      <c r="E5875">
        <v>90.9</v>
      </c>
      <c r="F5875">
        <v>5380300</v>
      </c>
      <c r="G5875">
        <v>85.89</v>
      </c>
      <c r="H5875" t="s">
        <v>13</v>
      </c>
      <c r="I5875" s="22">
        <f t="shared" si="183"/>
        <v>-1.6286648551233403E-3</v>
      </c>
      <c r="J5875" s="22" t="str">
        <f t="shared" si="184"/>
        <v>lost money</v>
      </c>
    </row>
    <row r="5876" spans="1:10">
      <c r="A5876" s="1">
        <v>41059</v>
      </c>
      <c r="B5876">
        <v>90.4</v>
      </c>
      <c r="C5876">
        <v>90.52</v>
      </c>
      <c r="D5876">
        <v>89.85</v>
      </c>
      <c r="E5876">
        <v>90.11</v>
      </c>
      <c r="F5876">
        <v>5375600</v>
      </c>
      <c r="G5876">
        <v>85.14</v>
      </c>
      <c r="H5876" t="s">
        <v>13</v>
      </c>
      <c r="I5876" s="22">
        <f t="shared" si="183"/>
        <v>-8.7704473781270668E-3</v>
      </c>
      <c r="J5876" s="22" t="str">
        <f t="shared" si="184"/>
        <v>lost money</v>
      </c>
    </row>
    <row r="5877" spans="1:10">
      <c r="A5877" s="1">
        <v>41060</v>
      </c>
      <c r="B5877">
        <v>89.89</v>
      </c>
      <c r="C5877">
        <v>90.26</v>
      </c>
      <c r="D5877">
        <v>89.26</v>
      </c>
      <c r="E5877">
        <v>89.34</v>
      </c>
      <c r="F5877">
        <v>6816400</v>
      </c>
      <c r="G5877">
        <v>85.07</v>
      </c>
      <c r="H5877" t="s">
        <v>13</v>
      </c>
      <c r="I5877" s="22">
        <f t="shared" si="183"/>
        <v>-8.2251341221342179E-4</v>
      </c>
      <c r="J5877" s="22" t="str">
        <f t="shared" si="184"/>
        <v>lost money</v>
      </c>
    </row>
    <row r="5878" spans="1:10">
      <c r="A5878" s="1">
        <v>41061</v>
      </c>
      <c r="B5878">
        <v>87.47</v>
      </c>
      <c r="C5878">
        <v>88.13</v>
      </c>
      <c r="D5878">
        <v>86.5</v>
      </c>
      <c r="E5878">
        <v>86.71</v>
      </c>
      <c r="F5878">
        <v>10832500</v>
      </c>
      <c r="G5878">
        <v>82.57</v>
      </c>
      <c r="H5878" t="s">
        <v>13</v>
      </c>
      <c r="I5878" s="22">
        <f t="shared" si="183"/>
        <v>-2.9828028558455781E-2</v>
      </c>
      <c r="J5878" s="22" t="str">
        <f t="shared" si="184"/>
        <v>lost money</v>
      </c>
    </row>
    <row r="5879" spans="1:10">
      <c r="A5879" s="1">
        <v>41064</v>
      </c>
      <c r="B5879">
        <v>86.6</v>
      </c>
      <c r="C5879">
        <v>86.78</v>
      </c>
      <c r="D5879">
        <v>86.01</v>
      </c>
      <c r="E5879">
        <v>86.32</v>
      </c>
      <c r="F5879">
        <v>7035200</v>
      </c>
      <c r="G5879">
        <v>82.2</v>
      </c>
      <c r="H5879" t="s">
        <v>13</v>
      </c>
      <c r="I5879" s="22">
        <f t="shared" si="183"/>
        <v>-4.4911163672028565E-3</v>
      </c>
      <c r="J5879" s="22" t="str">
        <f t="shared" si="184"/>
        <v>lost money</v>
      </c>
    </row>
    <row r="5880" spans="1:10">
      <c r="A5880" s="1">
        <v>41065</v>
      </c>
      <c r="B5880">
        <v>86.22</v>
      </c>
      <c r="C5880">
        <v>87.41</v>
      </c>
      <c r="D5880">
        <v>86.01</v>
      </c>
      <c r="E5880">
        <v>87.08</v>
      </c>
      <c r="F5880">
        <v>7237300</v>
      </c>
      <c r="G5880">
        <v>82.92</v>
      </c>
      <c r="H5880" t="s">
        <v>13</v>
      </c>
      <c r="I5880" s="22">
        <f t="shared" si="183"/>
        <v>8.7209855054446398E-3</v>
      </c>
      <c r="J5880" s="22" t="str">
        <f t="shared" si="184"/>
        <v/>
      </c>
    </row>
    <row r="5881" spans="1:10">
      <c r="A5881" s="1">
        <v>41066</v>
      </c>
      <c r="B5881">
        <v>87.92</v>
      </c>
      <c r="C5881">
        <v>88.66</v>
      </c>
      <c r="D5881">
        <v>87.44</v>
      </c>
      <c r="E5881">
        <v>88.66</v>
      </c>
      <c r="F5881">
        <v>5936000</v>
      </c>
      <c r="G5881">
        <v>84.42</v>
      </c>
      <c r="H5881" t="s">
        <v>13</v>
      </c>
      <c r="I5881" s="22">
        <f t="shared" si="183"/>
        <v>1.7928052786773958E-2</v>
      </c>
      <c r="J5881" s="22" t="str">
        <f t="shared" si="184"/>
        <v/>
      </c>
    </row>
    <row r="5882" spans="1:10">
      <c r="A5882" s="1">
        <v>41067</v>
      </c>
      <c r="B5882">
        <v>89.6</v>
      </c>
      <c r="C5882">
        <v>89.78</v>
      </c>
      <c r="D5882">
        <v>88.01</v>
      </c>
      <c r="E5882">
        <v>88.38</v>
      </c>
      <c r="F5882">
        <v>8321500</v>
      </c>
      <c r="G5882">
        <v>84.16</v>
      </c>
      <c r="H5882" t="s">
        <v>13</v>
      </c>
      <c r="I5882" s="22">
        <f t="shared" si="183"/>
        <v>-3.0845913649530242E-3</v>
      </c>
      <c r="J5882" s="22" t="str">
        <f t="shared" si="184"/>
        <v>lost money</v>
      </c>
    </row>
    <row r="5883" spans="1:10">
      <c r="A5883" s="1">
        <v>41068</v>
      </c>
      <c r="B5883">
        <v>86.4</v>
      </c>
      <c r="C5883">
        <v>88.27</v>
      </c>
      <c r="D5883">
        <v>85.92</v>
      </c>
      <c r="E5883">
        <v>87.75</v>
      </c>
      <c r="F5883">
        <v>12060100</v>
      </c>
      <c r="G5883">
        <v>83.56</v>
      </c>
      <c r="H5883" t="s">
        <v>13</v>
      </c>
      <c r="I5883" s="22">
        <f t="shared" si="183"/>
        <v>-7.1548123010345731E-3</v>
      </c>
      <c r="J5883" s="22" t="str">
        <f t="shared" si="184"/>
        <v/>
      </c>
    </row>
    <row r="5884" spans="1:10">
      <c r="A5884" s="1">
        <v>41071</v>
      </c>
      <c r="B5884">
        <v>88.98</v>
      </c>
      <c r="C5884">
        <v>89.05</v>
      </c>
      <c r="D5884">
        <v>86.59</v>
      </c>
      <c r="E5884">
        <v>86.59</v>
      </c>
      <c r="F5884">
        <v>9511900</v>
      </c>
      <c r="G5884">
        <v>82.45</v>
      </c>
      <c r="H5884" t="s">
        <v>13</v>
      </c>
      <c r="I5884" s="22">
        <f t="shared" si="183"/>
        <v>-1.3372887682757092E-2</v>
      </c>
      <c r="J5884" s="22" t="str">
        <f t="shared" si="184"/>
        <v>lost money</v>
      </c>
    </row>
    <row r="5885" spans="1:10">
      <c r="A5885" s="1">
        <v>41072</v>
      </c>
      <c r="B5885">
        <v>87</v>
      </c>
      <c r="C5885">
        <v>87.59</v>
      </c>
      <c r="D5885">
        <v>86.67</v>
      </c>
      <c r="E5885">
        <v>87.51</v>
      </c>
      <c r="F5885">
        <v>7762000</v>
      </c>
      <c r="G5885">
        <v>83.33</v>
      </c>
      <c r="H5885" t="s">
        <v>13</v>
      </c>
      <c r="I5885" s="22">
        <f t="shared" si="183"/>
        <v>1.0616579388507462E-2</v>
      </c>
      <c r="J5885" s="22" t="str">
        <f t="shared" si="184"/>
        <v/>
      </c>
    </row>
    <row r="5886" spans="1:10">
      <c r="A5886" s="1">
        <v>41073</v>
      </c>
      <c r="B5886">
        <v>86.95</v>
      </c>
      <c r="C5886">
        <v>88.94</v>
      </c>
      <c r="D5886">
        <v>86.88</v>
      </c>
      <c r="E5886">
        <v>87.97</v>
      </c>
      <c r="F5886">
        <v>12552900</v>
      </c>
      <c r="G5886">
        <v>83.77</v>
      </c>
      <c r="H5886" t="s">
        <v>13</v>
      </c>
      <c r="I5886" s="22">
        <f t="shared" si="183"/>
        <v>5.2663197716026249E-3</v>
      </c>
      <c r="J5886" s="22" t="str">
        <f t="shared" si="184"/>
        <v/>
      </c>
    </row>
    <row r="5887" spans="1:10">
      <c r="A5887" s="1">
        <v>41074</v>
      </c>
      <c r="B5887">
        <v>88.49</v>
      </c>
      <c r="C5887">
        <v>89.92</v>
      </c>
      <c r="D5887">
        <v>88.12</v>
      </c>
      <c r="E5887">
        <v>89.72</v>
      </c>
      <c r="F5887">
        <v>7646300</v>
      </c>
      <c r="G5887">
        <v>85.43</v>
      </c>
      <c r="H5887" t="s">
        <v>13</v>
      </c>
      <c r="I5887" s="22">
        <f t="shared" si="183"/>
        <v>1.9622378997809307E-2</v>
      </c>
      <c r="J5887" s="22" t="str">
        <f t="shared" si="184"/>
        <v/>
      </c>
    </row>
    <row r="5888" spans="1:10">
      <c r="A5888" s="1">
        <v>41075</v>
      </c>
      <c r="B5888">
        <v>90.14</v>
      </c>
      <c r="C5888">
        <v>90.76</v>
      </c>
      <c r="D5888">
        <v>89.73</v>
      </c>
      <c r="E5888">
        <v>90.5</v>
      </c>
      <c r="F5888">
        <v>9516800</v>
      </c>
      <c r="G5888">
        <v>86.18</v>
      </c>
      <c r="H5888" t="s">
        <v>13</v>
      </c>
      <c r="I5888" s="22">
        <f t="shared" si="183"/>
        <v>8.7408050241646277E-3</v>
      </c>
      <c r="J5888" s="22" t="str">
        <f t="shared" si="184"/>
        <v/>
      </c>
    </row>
    <row r="5889" spans="1:10">
      <c r="A5889" s="1">
        <v>41078</v>
      </c>
      <c r="B5889">
        <v>90.6</v>
      </c>
      <c r="C5889">
        <v>90.62</v>
      </c>
      <c r="D5889">
        <v>89.92</v>
      </c>
      <c r="E5889">
        <v>90.24</v>
      </c>
      <c r="F5889">
        <v>6343400</v>
      </c>
      <c r="G5889">
        <v>85.93</v>
      </c>
      <c r="H5889" t="s">
        <v>13</v>
      </c>
      <c r="I5889" s="22">
        <f t="shared" si="183"/>
        <v>-2.9051208625603051E-3</v>
      </c>
      <c r="J5889" s="22" t="str">
        <f t="shared" si="184"/>
        <v>lost money</v>
      </c>
    </row>
    <row r="5890" spans="1:10">
      <c r="A5890" s="1">
        <v>41079</v>
      </c>
      <c r="B5890">
        <v>89.97</v>
      </c>
      <c r="C5890">
        <v>90.25</v>
      </c>
      <c r="D5890">
        <v>89.21</v>
      </c>
      <c r="E5890">
        <v>89.6</v>
      </c>
      <c r="F5890">
        <v>7601600</v>
      </c>
      <c r="G5890">
        <v>85.32</v>
      </c>
      <c r="H5890" t="s">
        <v>13</v>
      </c>
      <c r="I5890" s="22">
        <f t="shared" si="183"/>
        <v>-7.1241177219819648E-3</v>
      </c>
      <c r="J5890" s="22" t="str">
        <f t="shared" si="184"/>
        <v>lost money</v>
      </c>
    </row>
    <row r="5891" spans="1:10">
      <c r="A5891" s="1">
        <v>41080</v>
      </c>
      <c r="B5891">
        <v>89.59</v>
      </c>
      <c r="C5891">
        <v>89.67</v>
      </c>
      <c r="D5891">
        <v>88.16</v>
      </c>
      <c r="E5891">
        <v>88.65</v>
      </c>
      <c r="F5891">
        <v>7917500</v>
      </c>
      <c r="G5891">
        <v>84.42</v>
      </c>
      <c r="H5891" t="s">
        <v>13</v>
      </c>
      <c r="I5891" s="22">
        <f t="shared" ref="I5891:I5954" si="185">IF(A5891=$A$2,"",LN(G5891/G5890))</f>
        <v>-1.0604553248797E-2</v>
      </c>
      <c r="J5891" s="22" t="str">
        <f t="shared" ref="J5891:J5954" si="186">IF(B5891&gt;E5891,"lost money","")</f>
        <v>lost money</v>
      </c>
    </row>
    <row r="5892" spans="1:10">
      <c r="A5892" s="1">
        <v>41081</v>
      </c>
      <c r="B5892">
        <v>89.09</v>
      </c>
      <c r="C5892">
        <v>89.15</v>
      </c>
      <c r="D5892">
        <v>87.53</v>
      </c>
      <c r="E5892">
        <v>87.64</v>
      </c>
      <c r="F5892">
        <v>5762200</v>
      </c>
      <c r="G5892">
        <v>83.45</v>
      </c>
      <c r="H5892" t="s">
        <v>13</v>
      </c>
      <c r="I5892" s="22">
        <f t="shared" si="185"/>
        <v>-1.1556690246508593E-2</v>
      </c>
      <c r="J5892" s="22" t="str">
        <f t="shared" si="186"/>
        <v>lost money</v>
      </c>
    </row>
    <row r="5893" spans="1:10">
      <c r="A5893" s="1">
        <v>41082</v>
      </c>
      <c r="B5893">
        <v>88.19</v>
      </c>
      <c r="C5893">
        <v>88.59</v>
      </c>
      <c r="D5893">
        <v>87.98</v>
      </c>
      <c r="E5893">
        <v>88.35</v>
      </c>
      <c r="F5893">
        <v>5325400</v>
      </c>
      <c r="G5893">
        <v>84.13</v>
      </c>
      <c r="H5893" t="s">
        <v>13</v>
      </c>
      <c r="I5893" s="22">
        <f t="shared" si="185"/>
        <v>8.1155714548779411E-3</v>
      </c>
      <c r="J5893" s="22" t="str">
        <f t="shared" si="186"/>
        <v/>
      </c>
    </row>
    <row r="5894" spans="1:10">
      <c r="A5894" s="1">
        <v>41085</v>
      </c>
      <c r="B5894">
        <v>88</v>
      </c>
      <c r="C5894">
        <v>88.33</v>
      </c>
      <c r="D5894">
        <v>87.7</v>
      </c>
      <c r="E5894">
        <v>88.12</v>
      </c>
      <c r="F5894">
        <v>4524400</v>
      </c>
      <c r="G5894">
        <v>83.91</v>
      </c>
      <c r="H5894" t="s">
        <v>13</v>
      </c>
      <c r="I5894" s="22">
        <f t="shared" si="185"/>
        <v>-2.618425680744144E-3</v>
      </c>
      <c r="J5894" s="22" t="str">
        <f t="shared" si="186"/>
        <v/>
      </c>
    </row>
    <row r="5895" spans="1:10">
      <c r="A5895" s="1">
        <v>41086</v>
      </c>
      <c r="B5895">
        <v>88.57</v>
      </c>
      <c r="C5895">
        <v>89.43</v>
      </c>
      <c r="D5895">
        <v>88.55</v>
      </c>
      <c r="E5895">
        <v>89.1</v>
      </c>
      <c r="F5895">
        <v>4488500</v>
      </c>
      <c r="G5895">
        <v>84.84</v>
      </c>
      <c r="H5895" t="s">
        <v>13</v>
      </c>
      <c r="I5895" s="22">
        <f t="shared" si="185"/>
        <v>1.102233381450363E-2</v>
      </c>
      <c r="J5895" s="22" t="str">
        <f t="shared" si="186"/>
        <v/>
      </c>
    </row>
    <row r="5896" spans="1:10">
      <c r="A5896" s="1">
        <v>41087</v>
      </c>
      <c r="B5896">
        <v>89.26</v>
      </c>
      <c r="C5896">
        <v>89.5</v>
      </c>
      <c r="D5896">
        <v>88.04</v>
      </c>
      <c r="E5896">
        <v>88.33</v>
      </c>
      <c r="F5896">
        <v>5940300</v>
      </c>
      <c r="G5896">
        <v>84.11</v>
      </c>
      <c r="H5896" t="s">
        <v>13</v>
      </c>
      <c r="I5896" s="22">
        <f t="shared" si="185"/>
        <v>-8.6416637221357947E-3</v>
      </c>
      <c r="J5896" s="22" t="str">
        <f t="shared" si="186"/>
        <v>lost money</v>
      </c>
    </row>
    <row r="5897" spans="1:10">
      <c r="A5897" s="1">
        <v>41088</v>
      </c>
      <c r="B5897">
        <v>88.02</v>
      </c>
      <c r="C5897">
        <v>88.26</v>
      </c>
      <c r="D5897">
        <v>87.38</v>
      </c>
      <c r="E5897">
        <v>88.18</v>
      </c>
      <c r="F5897">
        <v>4922600</v>
      </c>
      <c r="G5897">
        <v>83.97</v>
      </c>
      <c r="H5897" t="s">
        <v>13</v>
      </c>
      <c r="I5897" s="22">
        <f t="shared" si="185"/>
        <v>-1.6658737788740484E-3</v>
      </c>
      <c r="J5897" s="22" t="str">
        <f t="shared" si="186"/>
        <v/>
      </c>
    </row>
    <row r="5898" spans="1:10">
      <c r="A5898" s="1">
        <v>41089</v>
      </c>
      <c r="B5898">
        <v>89.08</v>
      </c>
      <c r="C5898">
        <v>89.19</v>
      </c>
      <c r="D5898">
        <v>88.06</v>
      </c>
      <c r="E5898">
        <v>88.53</v>
      </c>
      <c r="F5898">
        <v>6364700</v>
      </c>
      <c r="G5898">
        <v>84.3</v>
      </c>
      <c r="H5898" t="s">
        <v>13</v>
      </c>
      <c r="I5898" s="22">
        <f t="shared" si="185"/>
        <v>3.9222728123378681E-3</v>
      </c>
      <c r="J5898" s="22" t="str">
        <f t="shared" si="186"/>
        <v>lost money</v>
      </c>
    </row>
    <row r="5899" spans="1:10">
      <c r="A5899" s="1">
        <v>41092</v>
      </c>
      <c r="B5899">
        <v>88.41</v>
      </c>
      <c r="C5899">
        <v>88.41</v>
      </c>
      <c r="D5899">
        <v>87.65</v>
      </c>
      <c r="E5899">
        <v>88.08</v>
      </c>
      <c r="F5899">
        <v>5088100</v>
      </c>
      <c r="G5899">
        <v>83.87</v>
      </c>
      <c r="H5899" t="s">
        <v>13</v>
      </c>
      <c r="I5899" s="22">
        <f t="shared" si="185"/>
        <v>-5.1138840114895757E-3</v>
      </c>
      <c r="J5899" s="22" t="str">
        <f t="shared" si="186"/>
        <v>lost money</v>
      </c>
    </row>
    <row r="5900" spans="1:10">
      <c r="A5900" s="1">
        <v>41093</v>
      </c>
      <c r="B5900">
        <v>88.21</v>
      </c>
      <c r="C5900">
        <v>88.73</v>
      </c>
      <c r="D5900">
        <v>87.95</v>
      </c>
      <c r="E5900">
        <v>88.58</v>
      </c>
      <c r="F5900">
        <v>4597000</v>
      </c>
      <c r="G5900">
        <v>84.35</v>
      </c>
      <c r="H5900" t="s">
        <v>13</v>
      </c>
      <c r="I5900" s="22">
        <f t="shared" si="185"/>
        <v>5.7068279956569434E-3</v>
      </c>
      <c r="J5900" s="22" t="str">
        <f t="shared" si="186"/>
        <v/>
      </c>
    </row>
    <row r="5901" spans="1:10">
      <c r="A5901" s="1">
        <v>41095</v>
      </c>
      <c r="B5901">
        <v>88.79</v>
      </c>
      <c r="C5901">
        <v>89.98</v>
      </c>
      <c r="D5901">
        <v>88.7</v>
      </c>
      <c r="E5901">
        <v>89.3</v>
      </c>
      <c r="F5901">
        <v>5794300</v>
      </c>
      <c r="G5901">
        <v>85.03</v>
      </c>
      <c r="H5901" t="s">
        <v>13</v>
      </c>
      <c r="I5901" s="22">
        <f t="shared" si="185"/>
        <v>8.0293264057238016E-3</v>
      </c>
      <c r="J5901" s="22" t="str">
        <f t="shared" si="186"/>
        <v/>
      </c>
    </row>
    <row r="5902" spans="1:10">
      <c r="A5902" s="1">
        <v>41096</v>
      </c>
      <c r="B5902">
        <v>89.22</v>
      </c>
      <c r="C5902">
        <v>89.93</v>
      </c>
      <c r="D5902">
        <v>89.11</v>
      </c>
      <c r="E5902">
        <v>89.66</v>
      </c>
      <c r="F5902">
        <v>4533200</v>
      </c>
      <c r="G5902">
        <v>85.38</v>
      </c>
      <c r="H5902" t="s">
        <v>13</v>
      </c>
      <c r="I5902" s="22">
        <f t="shared" si="185"/>
        <v>4.107745932114798E-3</v>
      </c>
      <c r="J5902" s="22" t="str">
        <f t="shared" si="186"/>
        <v/>
      </c>
    </row>
    <row r="5903" spans="1:10">
      <c r="A5903" s="1">
        <v>41099</v>
      </c>
      <c r="B5903">
        <v>89.64</v>
      </c>
      <c r="C5903">
        <v>89.95</v>
      </c>
      <c r="D5903">
        <v>89.33</v>
      </c>
      <c r="E5903">
        <v>89.8</v>
      </c>
      <c r="F5903">
        <v>3785000</v>
      </c>
      <c r="G5903">
        <v>85.51</v>
      </c>
      <c r="H5903" t="s">
        <v>13</v>
      </c>
      <c r="I5903" s="22">
        <f t="shared" si="185"/>
        <v>1.5214468380480167E-3</v>
      </c>
      <c r="J5903" s="22" t="str">
        <f t="shared" si="186"/>
        <v/>
      </c>
    </row>
    <row r="5904" spans="1:10">
      <c r="A5904" s="1">
        <v>41100</v>
      </c>
      <c r="B5904">
        <v>90.03</v>
      </c>
      <c r="C5904">
        <v>90.87</v>
      </c>
      <c r="D5904">
        <v>89.65</v>
      </c>
      <c r="E5904">
        <v>90.25</v>
      </c>
      <c r="F5904">
        <v>6615500</v>
      </c>
      <c r="G5904">
        <v>85.94</v>
      </c>
      <c r="H5904" t="s">
        <v>13</v>
      </c>
      <c r="I5904" s="22">
        <f t="shared" si="185"/>
        <v>5.0160501789850978E-3</v>
      </c>
      <c r="J5904" s="22" t="str">
        <f t="shared" si="186"/>
        <v/>
      </c>
    </row>
    <row r="5905" spans="1:10">
      <c r="A5905" s="1">
        <v>41101</v>
      </c>
      <c r="B5905">
        <v>90.68</v>
      </c>
      <c r="C5905">
        <v>90.81</v>
      </c>
      <c r="D5905">
        <v>89</v>
      </c>
      <c r="E5905">
        <v>89.53</v>
      </c>
      <c r="F5905">
        <v>6230300</v>
      </c>
      <c r="G5905">
        <v>85.25</v>
      </c>
      <c r="H5905" t="s">
        <v>13</v>
      </c>
      <c r="I5905" s="22">
        <f t="shared" si="185"/>
        <v>-8.0612621832228479E-3</v>
      </c>
      <c r="J5905" s="22" t="str">
        <f t="shared" si="186"/>
        <v>lost money</v>
      </c>
    </row>
    <row r="5906" spans="1:10">
      <c r="A5906" s="1">
        <v>41102</v>
      </c>
      <c r="B5906">
        <v>89.27</v>
      </c>
      <c r="C5906">
        <v>92.5</v>
      </c>
      <c r="D5906">
        <v>89.19</v>
      </c>
      <c r="E5906">
        <v>91.93</v>
      </c>
      <c r="F5906">
        <v>11741900</v>
      </c>
      <c r="G5906">
        <v>87.54</v>
      </c>
      <c r="H5906" t="s">
        <v>13</v>
      </c>
      <c r="I5906" s="22">
        <f t="shared" si="185"/>
        <v>2.6507715599123103E-2</v>
      </c>
      <c r="J5906" s="22" t="str">
        <f t="shared" si="186"/>
        <v/>
      </c>
    </row>
    <row r="5907" spans="1:10">
      <c r="A5907" s="1">
        <v>41103</v>
      </c>
      <c r="B5907">
        <v>92.27</v>
      </c>
      <c r="C5907">
        <v>92.69</v>
      </c>
      <c r="D5907">
        <v>92.07</v>
      </c>
      <c r="E5907">
        <v>92.29</v>
      </c>
      <c r="F5907">
        <v>6163500</v>
      </c>
      <c r="G5907">
        <v>87.88</v>
      </c>
      <c r="H5907" t="s">
        <v>13</v>
      </c>
      <c r="I5907" s="22">
        <f t="shared" si="185"/>
        <v>3.8764157536601515E-3</v>
      </c>
      <c r="J5907" s="22" t="str">
        <f t="shared" si="186"/>
        <v/>
      </c>
    </row>
    <row r="5908" spans="1:10">
      <c r="A5908" s="1">
        <v>41106</v>
      </c>
      <c r="B5908">
        <v>92.15</v>
      </c>
      <c r="C5908">
        <v>92.27</v>
      </c>
      <c r="D5908">
        <v>91.5</v>
      </c>
      <c r="E5908">
        <v>91.65</v>
      </c>
      <c r="F5908">
        <v>3601300</v>
      </c>
      <c r="G5908">
        <v>87.27</v>
      </c>
      <c r="H5908" t="s">
        <v>13</v>
      </c>
      <c r="I5908" s="22">
        <f t="shared" si="185"/>
        <v>-6.9654863411895435E-3</v>
      </c>
      <c r="J5908" s="22" t="str">
        <f t="shared" si="186"/>
        <v>lost money</v>
      </c>
    </row>
    <row r="5909" spans="1:10">
      <c r="A5909" s="1">
        <v>41107</v>
      </c>
      <c r="B5909">
        <v>91.99</v>
      </c>
      <c r="C5909">
        <v>92.35</v>
      </c>
      <c r="D5909">
        <v>91.21</v>
      </c>
      <c r="E5909">
        <v>91.89</v>
      </c>
      <c r="F5909">
        <v>3753800</v>
      </c>
      <c r="G5909">
        <v>87.5</v>
      </c>
      <c r="H5909" t="s">
        <v>13</v>
      </c>
      <c r="I5909" s="22">
        <f t="shared" si="185"/>
        <v>2.6320321883489049E-3</v>
      </c>
      <c r="J5909" s="22" t="str">
        <f t="shared" si="186"/>
        <v>lost money</v>
      </c>
    </row>
    <row r="5910" spans="1:10">
      <c r="A5910" s="1">
        <v>41108</v>
      </c>
      <c r="B5910">
        <v>91.44</v>
      </c>
      <c r="C5910">
        <v>92.23</v>
      </c>
      <c r="D5910">
        <v>91</v>
      </c>
      <c r="E5910">
        <v>92.22</v>
      </c>
      <c r="F5910">
        <v>5962700</v>
      </c>
      <c r="G5910">
        <v>87.81</v>
      </c>
      <c r="H5910" t="s">
        <v>13</v>
      </c>
      <c r="I5910" s="22">
        <f t="shared" si="185"/>
        <v>3.5365960083353549E-3</v>
      </c>
      <c r="J5910" s="22" t="str">
        <f t="shared" si="186"/>
        <v/>
      </c>
    </row>
    <row r="5911" spans="1:10">
      <c r="A5911" s="1">
        <v>41109</v>
      </c>
      <c r="B5911">
        <v>92.59</v>
      </c>
      <c r="C5911">
        <v>93.32</v>
      </c>
      <c r="D5911">
        <v>92.05</v>
      </c>
      <c r="E5911">
        <v>92.76</v>
      </c>
      <c r="F5911">
        <v>7430800</v>
      </c>
      <c r="G5911">
        <v>88.33</v>
      </c>
      <c r="H5911" t="s">
        <v>13</v>
      </c>
      <c r="I5911" s="22">
        <f t="shared" si="185"/>
        <v>5.9044113851366162E-3</v>
      </c>
      <c r="J5911" s="22" t="str">
        <f t="shared" si="186"/>
        <v/>
      </c>
    </row>
    <row r="5912" spans="1:10">
      <c r="A5912" s="1">
        <v>41110</v>
      </c>
      <c r="B5912">
        <v>92.09</v>
      </c>
      <c r="C5912">
        <v>92.29</v>
      </c>
      <c r="D5912">
        <v>91.4</v>
      </c>
      <c r="E5912">
        <v>91.58</v>
      </c>
      <c r="F5912">
        <v>7269800</v>
      </c>
      <c r="G5912">
        <v>87.21</v>
      </c>
      <c r="H5912" t="s">
        <v>13</v>
      </c>
      <c r="I5912" s="22">
        <f t="shared" si="185"/>
        <v>-1.2760797518146684E-2</v>
      </c>
      <c r="J5912" s="22" t="str">
        <f t="shared" si="186"/>
        <v>lost money</v>
      </c>
    </row>
    <row r="5913" spans="1:10">
      <c r="A5913" s="1">
        <v>41113</v>
      </c>
      <c r="B5913">
        <v>89.22</v>
      </c>
      <c r="C5913">
        <v>89.85</v>
      </c>
      <c r="D5913">
        <v>88.25</v>
      </c>
      <c r="E5913">
        <v>88.94</v>
      </c>
      <c r="F5913">
        <v>12127900</v>
      </c>
      <c r="G5913">
        <v>84.69</v>
      </c>
      <c r="H5913" t="s">
        <v>13</v>
      </c>
      <c r="I5913" s="22">
        <f t="shared" si="185"/>
        <v>-2.9321472305386523E-2</v>
      </c>
      <c r="J5913" s="22" t="str">
        <f t="shared" si="186"/>
        <v>lost money</v>
      </c>
    </row>
    <row r="5914" spans="1:10">
      <c r="A5914" s="1">
        <v>41114</v>
      </c>
      <c r="B5914">
        <v>89.16</v>
      </c>
      <c r="C5914">
        <v>89.47</v>
      </c>
      <c r="D5914">
        <v>87.62</v>
      </c>
      <c r="E5914">
        <v>88.06</v>
      </c>
      <c r="F5914">
        <v>7036800</v>
      </c>
      <c r="G5914">
        <v>83.85</v>
      </c>
      <c r="H5914" t="s">
        <v>13</v>
      </c>
      <c r="I5914" s="22">
        <f t="shared" si="185"/>
        <v>-9.9680426642898782E-3</v>
      </c>
      <c r="J5914" s="22" t="str">
        <f t="shared" si="186"/>
        <v>lost money</v>
      </c>
    </row>
    <row r="5915" spans="1:10">
      <c r="A5915" s="1">
        <v>41115</v>
      </c>
      <c r="B5915">
        <v>88.36</v>
      </c>
      <c r="C5915">
        <v>88.46</v>
      </c>
      <c r="D5915">
        <v>87.84</v>
      </c>
      <c r="E5915">
        <v>88.04</v>
      </c>
      <c r="F5915">
        <v>4262200</v>
      </c>
      <c r="G5915">
        <v>83.83</v>
      </c>
      <c r="H5915" t="s">
        <v>13</v>
      </c>
      <c r="I5915" s="22">
        <f t="shared" si="185"/>
        <v>-2.385496194517935E-4</v>
      </c>
      <c r="J5915" s="22" t="str">
        <f t="shared" si="186"/>
        <v>lost money</v>
      </c>
    </row>
    <row r="5916" spans="1:10">
      <c r="A5916" s="1">
        <v>41116</v>
      </c>
      <c r="B5916">
        <v>89.19</v>
      </c>
      <c r="C5916">
        <v>89.47</v>
      </c>
      <c r="D5916">
        <v>88.59</v>
      </c>
      <c r="E5916">
        <v>89</v>
      </c>
      <c r="F5916">
        <v>4517500</v>
      </c>
      <c r="G5916">
        <v>84.75</v>
      </c>
      <c r="H5916" t="s">
        <v>13</v>
      </c>
      <c r="I5916" s="22">
        <f t="shared" si="185"/>
        <v>1.0914807610793713E-2</v>
      </c>
      <c r="J5916" s="22" t="str">
        <f t="shared" si="186"/>
        <v>lost money</v>
      </c>
    </row>
    <row r="5917" spans="1:10">
      <c r="A5917" s="1">
        <v>41117</v>
      </c>
      <c r="B5917">
        <v>89.34</v>
      </c>
      <c r="C5917">
        <v>89.69</v>
      </c>
      <c r="D5917">
        <v>88.65</v>
      </c>
      <c r="E5917">
        <v>89.19</v>
      </c>
      <c r="F5917">
        <v>5932500</v>
      </c>
      <c r="G5917">
        <v>84.93</v>
      </c>
      <c r="H5917" t="s">
        <v>13</v>
      </c>
      <c r="I5917" s="22">
        <f t="shared" si="185"/>
        <v>2.1216415313584105E-3</v>
      </c>
      <c r="J5917" s="22" t="str">
        <f t="shared" si="186"/>
        <v>lost money</v>
      </c>
    </row>
    <row r="5918" spans="1:10">
      <c r="A5918" s="1">
        <v>41120</v>
      </c>
      <c r="B5918">
        <v>89.32</v>
      </c>
      <c r="C5918">
        <v>89.67</v>
      </c>
      <c r="D5918">
        <v>89.12</v>
      </c>
      <c r="E5918">
        <v>89.33</v>
      </c>
      <c r="F5918">
        <v>4431600</v>
      </c>
      <c r="G5918">
        <v>85.06</v>
      </c>
      <c r="H5918" t="s">
        <v>13</v>
      </c>
      <c r="I5918" s="22">
        <f t="shared" si="185"/>
        <v>1.5295020335695988E-3</v>
      </c>
      <c r="J5918" s="22" t="str">
        <f t="shared" si="186"/>
        <v/>
      </c>
    </row>
    <row r="5919" spans="1:10">
      <c r="A5919" s="1">
        <v>41121</v>
      </c>
      <c r="B5919">
        <v>89.11</v>
      </c>
      <c r="C5919">
        <v>89.76</v>
      </c>
      <c r="D5919">
        <v>88.81</v>
      </c>
      <c r="E5919">
        <v>89.36</v>
      </c>
      <c r="F5919">
        <v>4596900</v>
      </c>
      <c r="G5919">
        <v>85.09</v>
      </c>
      <c r="H5919" t="s">
        <v>13</v>
      </c>
      <c r="I5919" s="22">
        <f t="shared" si="185"/>
        <v>3.5263003597839229E-4</v>
      </c>
      <c r="J5919" s="22" t="str">
        <f t="shared" si="186"/>
        <v/>
      </c>
    </row>
    <row r="5920" spans="1:10">
      <c r="A5920" s="1">
        <v>41122</v>
      </c>
      <c r="B5920">
        <v>89.49</v>
      </c>
      <c r="C5920">
        <v>89.85</v>
      </c>
      <c r="D5920">
        <v>89.3</v>
      </c>
      <c r="E5920">
        <v>89.43</v>
      </c>
      <c r="F5920">
        <v>4133600</v>
      </c>
      <c r="G5920">
        <v>85.16</v>
      </c>
      <c r="H5920" t="s">
        <v>13</v>
      </c>
      <c r="I5920" s="22">
        <f t="shared" si="185"/>
        <v>8.2232016381268583E-4</v>
      </c>
      <c r="J5920" s="22" t="str">
        <f t="shared" si="186"/>
        <v>lost money</v>
      </c>
    </row>
    <row r="5921" spans="1:10">
      <c r="A5921" s="1">
        <v>41123</v>
      </c>
      <c r="B5921">
        <v>89.07</v>
      </c>
      <c r="C5921">
        <v>89.69</v>
      </c>
      <c r="D5921">
        <v>88.56</v>
      </c>
      <c r="E5921">
        <v>89.59</v>
      </c>
      <c r="F5921">
        <v>4332700</v>
      </c>
      <c r="G5921">
        <v>85.31</v>
      </c>
      <c r="H5921" t="s">
        <v>13</v>
      </c>
      <c r="I5921" s="22">
        <f t="shared" si="185"/>
        <v>1.7598408953246791E-3</v>
      </c>
      <c r="J5921" s="22" t="str">
        <f t="shared" si="186"/>
        <v/>
      </c>
    </row>
    <row r="5922" spans="1:10">
      <c r="A5922" s="1">
        <v>41124</v>
      </c>
      <c r="B5922">
        <v>90.17</v>
      </c>
      <c r="C5922">
        <v>90.36</v>
      </c>
      <c r="D5922">
        <v>89.29</v>
      </c>
      <c r="E5922">
        <v>89.59</v>
      </c>
      <c r="F5922">
        <v>4873000</v>
      </c>
      <c r="G5922">
        <v>85.31</v>
      </c>
      <c r="H5922" t="s">
        <v>13</v>
      </c>
      <c r="I5922" s="22">
        <f t="shared" si="185"/>
        <v>0</v>
      </c>
      <c r="J5922" s="22" t="str">
        <f t="shared" si="186"/>
        <v>lost money</v>
      </c>
    </row>
    <row r="5923" spans="1:10">
      <c r="A5923" s="1">
        <v>41127</v>
      </c>
      <c r="B5923">
        <v>89.77</v>
      </c>
      <c r="C5923">
        <v>90.43</v>
      </c>
      <c r="D5923">
        <v>89.5</v>
      </c>
      <c r="E5923">
        <v>89.69</v>
      </c>
      <c r="F5923">
        <v>3490200</v>
      </c>
      <c r="G5923">
        <v>85.41</v>
      </c>
      <c r="H5923" t="s">
        <v>13</v>
      </c>
      <c r="I5923" s="22">
        <f t="shared" si="185"/>
        <v>1.1715090374524273E-3</v>
      </c>
      <c r="J5923" s="22" t="str">
        <f t="shared" si="186"/>
        <v>lost money</v>
      </c>
    </row>
    <row r="5924" spans="1:10">
      <c r="A5924" s="1">
        <v>41128</v>
      </c>
      <c r="B5924">
        <v>89.71</v>
      </c>
      <c r="C5924">
        <v>90.12</v>
      </c>
      <c r="D5924">
        <v>88.97</v>
      </c>
      <c r="E5924">
        <v>89.01</v>
      </c>
      <c r="F5924">
        <v>5341900</v>
      </c>
      <c r="G5924">
        <v>84.76</v>
      </c>
      <c r="H5924" t="s">
        <v>13</v>
      </c>
      <c r="I5924" s="22">
        <f t="shared" si="185"/>
        <v>-7.6394565579575024E-3</v>
      </c>
      <c r="J5924" s="22" t="str">
        <f t="shared" si="186"/>
        <v>lost money</v>
      </c>
    </row>
    <row r="5925" spans="1:10">
      <c r="A5925" s="1">
        <v>41129</v>
      </c>
      <c r="B5925">
        <v>86.87</v>
      </c>
      <c r="C5925">
        <v>87.98</v>
      </c>
      <c r="D5925">
        <v>86.15</v>
      </c>
      <c r="E5925">
        <v>87.53</v>
      </c>
      <c r="F5925">
        <v>14424800</v>
      </c>
      <c r="G5925">
        <v>83.35</v>
      </c>
      <c r="H5925" t="s">
        <v>13</v>
      </c>
      <c r="I5925" s="22">
        <f t="shared" si="185"/>
        <v>-1.6775124203295494E-2</v>
      </c>
      <c r="J5925" s="22" t="str">
        <f t="shared" si="186"/>
        <v/>
      </c>
    </row>
    <row r="5926" spans="1:10">
      <c r="A5926" s="1">
        <v>41130</v>
      </c>
      <c r="B5926">
        <v>87.58</v>
      </c>
      <c r="C5926">
        <v>87.96</v>
      </c>
      <c r="D5926">
        <v>87.09</v>
      </c>
      <c r="E5926">
        <v>87.15</v>
      </c>
      <c r="F5926">
        <v>6023500</v>
      </c>
      <c r="G5926">
        <v>82.99</v>
      </c>
      <c r="H5926" t="s">
        <v>13</v>
      </c>
      <c r="I5926" s="22">
        <f t="shared" si="185"/>
        <v>-4.3284905864464243E-3</v>
      </c>
      <c r="J5926" s="22" t="str">
        <f t="shared" si="186"/>
        <v>lost money</v>
      </c>
    </row>
    <row r="5927" spans="1:10">
      <c r="A5927" s="1">
        <v>41131</v>
      </c>
      <c r="B5927">
        <v>87.25</v>
      </c>
      <c r="C5927">
        <v>88.23</v>
      </c>
      <c r="D5927">
        <v>87.2</v>
      </c>
      <c r="E5927">
        <v>88.2</v>
      </c>
      <c r="F5927">
        <v>5747400</v>
      </c>
      <c r="G5927">
        <v>83.99</v>
      </c>
      <c r="H5927" t="s">
        <v>13</v>
      </c>
      <c r="I5927" s="22">
        <f t="shared" si="185"/>
        <v>1.1977625527179233E-2</v>
      </c>
      <c r="J5927" s="22" t="str">
        <f t="shared" si="186"/>
        <v/>
      </c>
    </row>
    <row r="5928" spans="1:10">
      <c r="A5928" s="1">
        <v>41134</v>
      </c>
      <c r="B5928">
        <v>88.46</v>
      </c>
      <c r="C5928">
        <v>88.48</v>
      </c>
      <c r="D5928">
        <v>87.72</v>
      </c>
      <c r="E5928">
        <v>87.9</v>
      </c>
      <c r="F5928">
        <v>4308100</v>
      </c>
      <c r="G5928">
        <v>83.7</v>
      </c>
      <c r="H5928" t="s">
        <v>13</v>
      </c>
      <c r="I5928" s="22">
        <f t="shared" si="185"/>
        <v>-3.458766642106076E-3</v>
      </c>
      <c r="J5928" s="22" t="str">
        <f t="shared" si="186"/>
        <v>lost money</v>
      </c>
    </row>
    <row r="5929" spans="1:10">
      <c r="A5929" s="1">
        <v>41135</v>
      </c>
      <c r="B5929">
        <v>88.07</v>
      </c>
      <c r="C5929">
        <v>88.28</v>
      </c>
      <c r="D5929">
        <v>87.92</v>
      </c>
      <c r="E5929">
        <v>88.12</v>
      </c>
      <c r="F5929">
        <v>3828200</v>
      </c>
      <c r="G5929">
        <v>83.91</v>
      </c>
      <c r="H5929" t="s">
        <v>13</v>
      </c>
      <c r="I5929" s="22">
        <f t="shared" si="185"/>
        <v>2.5058183865484256E-3</v>
      </c>
      <c r="J5929" s="22" t="str">
        <f t="shared" si="186"/>
        <v/>
      </c>
    </row>
    <row r="5930" spans="1:10">
      <c r="A5930" s="1">
        <v>41136</v>
      </c>
      <c r="B5930">
        <v>88.27</v>
      </c>
      <c r="C5930">
        <v>88.39</v>
      </c>
      <c r="D5930">
        <v>87.75</v>
      </c>
      <c r="E5930">
        <v>87.81</v>
      </c>
      <c r="F5930">
        <v>4346200</v>
      </c>
      <c r="G5930">
        <v>83.62</v>
      </c>
      <c r="H5930" t="s">
        <v>13</v>
      </c>
      <c r="I5930" s="22">
        <f t="shared" si="185"/>
        <v>-3.4620699535590385E-3</v>
      </c>
      <c r="J5930" s="22" t="str">
        <f t="shared" si="186"/>
        <v>lost money</v>
      </c>
    </row>
    <row r="5931" spans="1:10">
      <c r="A5931" s="1">
        <v>41137</v>
      </c>
      <c r="B5931">
        <v>87.94</v>
      </c>
      <c r="C5931">
        <v>88.05</v>
      </c>
      <c r="D5931">
        <v>87.44</v>
      </c>
      <c r="E5931">
        <v>87.46</v>
      </c>
      <c r="F5931">
        <v>5568000</v>
      </c>
      <c r="G5931">
        <v>83.28</v>
      </c>
      <c r="H5931" t="s">
        <v>13</v>
      </c>
      <c r="I5931" s="22">
        <f t="shared" si="185"/>
        <v>-4.0743016217055887E-3</v>
      </c>
      <c r="J5931" s="22" t="str">
        <f t="shared" si="186"/>
        <v>lost money</v>
      </c>
    </row>
    <row r="5932" spans="1:10">
      <c r="A5932" s="1">
        <v>41138</v>
      </c>
      <c r="B5932">
        <v>87.68</v>
      </c>
      <c r="C5932">
        <v>87.86</v>
      </c>
      <c r="D5932">
        <v>87.28</v>
      </c>
      <c r="E5932">
        <v>87.36</v>
      </c>
      <c r="F5932">
        <v>6704300</v>
      </c>
      <c r="G5932">
        <v>83.19</v>
      </c>
      <c r="H5932" t="s">
        <v>13</v>
      </c>
      <c r="I5932" s="22">
        <f t="shared" si="185"/>
        <v>-1.08127601091713E-3</v>
      </c>
      <c r="J5932" s="22" t="str">
        <f t="shared" si="186"/>
        <v>lost money</v>
      </c>
    </row>
    <row r="5933" spans="1:10">
      <c r="A5933" s="1">
        <v>41141</v>
      </c>
      <c r="B5933">
        <v>87.17</v>
      </c>
      <c r="C5933">
        <v>88.22</v>
      </c>
      <c r="D5933">
        <v>87.16</v>
      </c>
      <c r="E5933">
        <v>88.17</v>
      </c>
      <c r="F5933">
        <v>4823500</v>
      </c>
      <c r="G5933">
        <v>83.96</v>
      </c>
      <c r="H5933" t="s">
        <v>13</v>
      </c>
      <c r="I5933" s="22">
        <f t="shared" si="185"/>
        <v>9.2133466566358714E-3</v>
      </c>
      <c r="J5933" s="22" t="str">
        <f t="shared" si="186"/>
        <v/>
      </c>
    </row>
    <row r="5934" spans="1:10">
      <c r="A5934" s="1">
        <v>41142</v>
      </c>
      <c r="B5934">
        <v>88.26</v>
      </c>
      <c r="C5934">
        <v>89</v>
      </c>
      <c r="D5934">
        <v>88.05</v>
      </c>
      <c r="E5934">
        <v>88.52</v>
      </c>
      <c r="F5934">
        <v>4414200</v>
      </c>
      <c r="G5934">
        <v>84.29</v>
      </c>
      <c r="H5934" t="s">
        <v>13</v>
      </c>
      <c r="I5934" s="22">
        <f t="shared" si="185"/>
        <v>3.9227390569586068E-3</v>
      </c>
      <c r="J5934" s="22" t="str">
        <f t="shared" si="186"/>
        <v/>
      </c>
    </row>
    <row r="5935" spans="1:10">
      <c r="A5935" s="1">
        <v>41143</v>
      </c>
      <c r="B5935">
        <v>88.63</v>
      </c>
      <c r="C5935">
        <v>88.8</v>
      </c>
      <c r="D5935">
        <v>88.26</v>
      </c>
      <c r="E5935">
        <v>88.55</v>
      </c>
      <c r="F5935">
        <v>4269000</v>
      </c>
      <c r="G5935">
        <v>84.32</v>
      </c>
      <c r="H5935" t="s">
        <v>13</v>
      </c>
      <c r="I5935" s="22">
        <f t="shared" si="185"/>
        <v>3.5585078366128067E-4</v>
      </c>
      <c r="J5935" s="22" t="str">
        <f t="shared" si="186"/>
        <v>lost money</v>
      </c>
    </row>
    <row r="5936" spans="1:10">
      <c r="A5936" s="1">
        <v>41144</v>
      </c>
      <c r="B5936">
        <v>88.66</v>
      </c>
      <c r="C5936">
        <v>88.95</v>
      </c>
      <c r="D5936">
        <v>88.13</v>
      </c>
      <c r="E5936">
        <v>88.25</v>
      </c>
      <c r="F5936">
        <v>3005900</v>
      </c>
      <c r="G5936">
        <v>84.03</v>
      </c>
      <c r="H5936" t="s">
        <v>13</v>
      </c>
      <c r="I5936" s="22">
        <f t="shared" si="185"/>
        <v>-3.4452068529252176E-3</v>
      </c>
      <c r="J5936" s="22" t="str">
        <f t="shared" si="186"/>
        <v>lost money</v>
      </c>
    </row>
    <row r="5937" spans="1:10">
      <c r="A5937" s="1">
        <v>41145</v>
      </c>
      <c r="B5937">
        <v>88.21</v>
      </c>
      <c r="C5937">
        <v>89</v>
      </c>
      <c r="D5937">
        <v>88.1</v>
      </c>
      <c r="E5937">
        <v>88.92</v>
      </c>
      <c r="F5937">
        <v>3508000</v>
      </c>
      <c r="G5937">
        <v>84.67</v>
      </c>
      <c r="H5937" t="s">
        <v>13</v>
      </c>
      <c r="I5937" s="22">
        <f t="shared" si="185"/>
        <v>7.5874697140590336E-3</v>
      </c>
      <c r="J5937" s="22" t="str">
        <f t="shared" si="186"/>
        <v/>
      </c>
    </row>
    <row r="5938" spans="1:10">
      <c r="A5938" s="1">
        <v>41148</v>
      </c>
      <c r="B5938">
        <v>89.13</v>
      </c>
      <c r="C5938">
        <v>89.82</v>
      </c>
      <c r="D5938">
        <v>89.01</v>
      </c>
      <c r="E5938">
        <v>89.54</v>
      </c>
      <c r="F5938">
        <v>4313800</v>
      </c>
      <c r="G5938">
        <v>85.26</v>
      </c>
      <c r="H5938" t="s">
        <v>13</v>
      </c>
      <c r="I5938" s="22">
        <f t="shared" si="185"/>
        <v>6.9440636828784364E-3</v>
      </c>
      <c r="J5938" s="22" t="str">
        <f t="shared" si="186"/>
        <v/>
      </c>
    </row>
    <row r="5939" spans="1:10">
      <c r="A5939" s="1">
        <v>41149</v>
      </c>
      <c r="B5939">
        <v>89.44</v>
      </c>
      <c r="C5939">
        <v>89.75</v>
      </c>
      <c r="D5939">
        <v>88.96</v>
      </c>
      <c r="E5939">
        <v>89.14</v>
      </c>
      <c r="F5939">
        <v>4428700</v>
      </c>
      <c r="G5939">
        <v>84.88</v>
      </c>
      <c r="H5939" t="s">
        <v>13</v>
      </c>
      <c r="I5939" s="22">
        <f t="shared" si="185"/>
        <v>-4.4669170313366494E-3</v>
      </c>
      <c r="J5939" s="22" t="str">
        <f t="shared" si="186"/>
        <v>lost money</v>
      </c>
    </row>
    <row r="5940" spans="1:10">
      <c r="A5940" s="1">
        <v>41150</v>
      </c>
      <c r="B5940">
        <v>89.09</v>
      </c>
      <c r="C5940">
        <v>89.81</v>
      </c>
      <c r="D5940">
        <v>89.01</v>
      </c>
      <c r="E5940">
        <v>89.65</v>
      </c>
      <c r="F5940">
        <v>4292200</v>
      </c>
      <c r="G5940">
        <v>85.37</v>
      </c>
      <c r="H5940" t="s">
        <v>13</v>
      </c>
      <c r="I5940" s="22">
        <f t="shared" si="185"/>
        <v>5.7562567164873698E-3</v>
      </c>
      <c r="J5940" s="22" t="str">
        <f t="shared" si="186"/>
        <v/>
      </c>
    </row>
    <row r="5941" spans="1:10">
      <c r="A5941" s="1">
        <v>41151</v>
      </c>
      <c r="B5941">
        <v>88.84</v>
      </c>
      <c r="C5941">
        <v>89.02</v>
      </c>
      <c r="D5941">
        <v>88.6</v>
      </c>
      <c r="E5941">
        <v>88.7</v>
      </c>
      <c r="F5941">
        <v>4567900</v>
      </c>
      <c r="G5941">
        <v>85.13</v>
      </c>
      <c r="H5941" t="s">
        <v>13</v>
      </c>
      <c r="I5941" s="22">
        <f t="shared" si="185"/>
        <v>-2.8152511262495104E-3</v>
      </c>
      <c r="J5941" s="22" t="str">
        <f t="shared" si="186"/>
        <v>lost money</v>
      </c>
    </row>
    <row r="5942" spans="1:10">
      <c r="A5942" s="1">
        <v>41152</v>
      </c>
      <c r="B5942">
        <v>89.04</v>
      </c>
      <c r="C5942">
        <v>89.86</v>
      </c>
      <c r="D5942">
        <v>88.9</v>
      </c>
      <c r="E5942">
        <v>89.49</v>
      </c>
      <c r="F5942">
        <v>6063800</v>
      </c>
      <c r="G5942">
        <v>85.89</v>
      </c>
      <c r="H5942" t="s">
        <v>13</v>
      </c>
      <c r="I5942" s="22">
        <f t="shared" si="185"/>
        <v>8.8879078821678566E-3</v>
      </c>
      <c r="J5942" s="22" t="str">
        <f t="shared" si="186"/>
        <v/>
      </c>
    </row>
    <row r="5943" spans="1:10">
      <c r="A5943" s="1">
        <v>41156</v>
      </c>
      <c r="B5943">
        <v>89.51</v>
      </c>
      <c r="C5943">
        <v>89.51</v>
      </c>
      <c r="D5943">
        <v>88.71</v>
      </c>
      <c r="E5943">
        <v>89.05</v>
      </c>
      <c r="F5943">
        <v>4287000</v>
      </c>
      <c r="G5943">
        <v>85.46</v>
      </c>
      <c r="H5943" t="s">
        <v>13</v>
      </c>
      <c r="I5943" s="22">
        <f t="shared" si="185"/>
        <v>-5.0189775622545615E-3</v>
      </c>
      <c r="J5943" s="22" t="str">
        <f t="shared" si="186"/>
        <v>lost money</v>
      </c>
    </row>
    <row r="5944" spans="1:10">
      <c r="A5944" s="1">
        <v>41157</v>
      </c>
      <c r="B5944">
        <v>89.3</v>
      </c>
      <c r="C5944">
        <v>89.46</v>
      </c>
      <c r="D5944">
        <v>88.85</v>
      </c>
      <c r="E5944">
        <v>89.06</v>
      </c>
      <c r="F5944">
        <v>3597800</v>
      </c>
      <c r="G5944">
        <v>85.47</v>
      </c>
      <c r="H5944" t="s">
        <v>13</v>
      </c>
      <c r="I5944" s="22">
        <f t="shared" si="185"/>
        <v>1.1700696204783214E-4</v>
      </c>
      <c r="J5944" s="22" t="str">
        <f t="shared" si="186"/>
        <v>lost money</v>
      </c>
    </row>
    <row r="5945" spans="1:10">
      <c r="A5945" s="1">
        <v>41158</v>
      </c>
      <c r="B5945">
        <v>89.59</v>
      </c>
      <c r="C5945">
        <v>90.79</v>
      </c>
      <c r="D5945">
        <v>89.56</v>
      </c>
      <c r="E5945">
        <v>90.67</v>
      </c>
      <c r="F5945">
        <v>5925100</v>
      </c>
      <c r="G5945">
        <v>87.02</v>
      </c>
      <c r="H5945" t="s">
        <v>13</v>
      </c>
      <c r="I5945" s="22">
        <f t="shared" si="185"/>
        <v>1.7972540114607465E-2</v>
      </c>
      <c r="J5945" s="22" t="str">
        <f t="shared" si="186"/>
        <v/>
      </c>
    </row>
    <row r="5946" spans="1:10">
      <c r="A5946" s="1">
        <v>41159</v>
      </c>
      <c r="B5946">
        <v>91.08</v>
      </c>
      <c r="C5946">
        <v>91.08</v>
      </c>
      <c r="D5946">
        <v>90.42</v>
      </c>
      <c r="E5946">
        <v>91.02</v>
      </c>
      <c r="F5946">
        <v>4889600</v>
      </c>
      <c r="G5946">
        <v>87.35</v>
      </c>
      <c r="H5946" t="s">
        <v>13</v>
      </c>
      <c r="I5946" s="22">
        <f t="shared" si="185"/>
        <v>3.7850592875315388E-3</v>
      </c>
      <c r="J5946" s="22" t="str">
        <f t="shared" si="186"/>
        <v>lost money</v>
      </c>
    </row>
    <row r="5947" spans="1:10">
      <c r="A5947" s="1">
        <v>41162</v>
      </c>
      <c r="B5947">
        <v>90.95</v>
      </c>
      <c r="C5947">
        <v>91.5</v>
      </c>
      <c r="D5947">
        <v>90.9</v>
      </c>
      <c r="E5947">
        <v>91.3</v>
      </c>
      <c r="F5947">
        <v>5008200</v>
      </c>
      <c r="G5947">
        <v>87.62</v>
      </c>
      <c r="H5947" t="s">
        <v>13</v>
      </c>
      <c r="I5947" s="22">
        <f t="shared" si="185"/>
        <v>3.0862458056868667E-3</v>
      </c>
      <c r="J5947" s="22" t="str">
        <f t="shared" si="186"/>
        <v/>
      </c>
    </row>
    <row r="5948" spans="1:10">
      <c r="A5948" s="1">
        <v>41163</v>
      </c>
      <c r="B5948">
        <v>91.87</v>
      </c>
      <c r="C5948">
        <v>92.1</v>
      </c>
      <c r="D5948">
        <v>91.17</v>
      </c>
      <c r="E5948">
        <v>91.2</v>
      </c>
      <c r="F5948">
        <v>5595500</v>
      </c>
      <c r="G5948">
        <v>87.53</v>
      </c>
      <c r="H5948" t="s">
        <v>13</v>
      </c>
      <c r="I5948" s="22">
        <f t="shared" si="185"/>
        <v>-1.0276906414057752E-3</v>
      </c>
      <c r="J5948" s="22" t="str">
        <f t="shared" si="186"/>
        <v>lost money</v>
      </c>
    </row>
    <row r="5949" spans="1:10">
      <c r="A5949" s="1">
        <v>41164</v>
      </c>
      <c r="B5949">
        <v>91.47</v>
      </c>
      <c r="C5949">
        <v>91.65</v>
      </c>
      <c r="D5949">
        <v>90.61</v>
      </c>
      <c r="E5949">
        <v>90.82</v>
      </c>
      <c r="F5949">
        <v>5363400</v>
      </c>
      <c r="G5949">
        <v>87.16</v>
      </c>
      <c r="H5949" t="s">
        <v>13</v>
      </c>
      <c r="I5949" s="22">
        <f t="shared" si="185"/>
        <v>-4.236081667927597E-3</v>
      </c>
      <c r="J5949" s="22" t="str">
        <f t="shared" si="186"/>
        <v>lost money</v>
      </c>
    </row>
    <row r="5950" spans="1:10">
      <c r="A5950" s="1">
        <v>41165</v>
      </c>
      <c r="B5950">
        <v>90.54</v>
      </c>
      <c r="C5950">
        <v>91.89</v>
      </c>
      <c r="D5950">
        <v>90.54</v>
      </c>
      <c r="E5950">
        <v>91.57</v>
      </c>
      <c r="F5950">
        <v>5666500</v>
      </c>
      <c r="G5950">
        <v>87.88</v>
      </c>
      <c r="H5950" t="s">
        <v>13</v>
      </c>
      <c r="I5950" s="22">
        <f t="shared" si="185"/>
        <v>8.2267374399903337E-3</v>
      </c>
      <c r="J5950" s="22" t="str">
        <f t="shared" si="186"/>
        <v/>
      </c>
    </row>
    <row r="5951" spans="1:10">
      <c r="A5951" s="1">
        <v>41166</v>
      </c>
      <c r="B5951">
        <v>91.87</v>
      </c>
      <c r="C5951">
        <v>92.12</v>
      </c>
      <c r="D5951">
        <v>91.47</v>
      </c>
      <c r="E5951">
        <v>91.7</v>
      </c>
      <c r="F5951">
        <v>6395000</v>
      </c>
      <c r="G5951">
        <v>88.01</v>
      </c>
      <c r="H5951" t="s">
        <v>13</v>
      </c>
      <c r="I5951" s="22">
        <f t="shared" si="185"/>
        <v>1.4781968693109652E-3</v>
      </c>
      <c r="J5951" s="22" t="str">
        <f t="shared" si="186"/>
        <v>lost money</v>
      </c>
    </row>
    <row r="5952" spans="1:10">
      <c r="A5952" s="1">
        <v>41169</v>
      </c>
      <c r="B5952">
        <v>91.75</v>
      </c>
      <c r="C5952">
        <v>92.43</v>
      </c>
      <c r="D5952">
        <v>91.72</v>
      </c>
      <c r="E5952">
        <v>92.14</v>
      </c>
      <c r="F5952">
        <v>5294600</v>
      </c>
      <c r="G5952">
        <v>88.43</v>
      </c>
      <c r="H5952" t="s">
        <v>13</v>
      </c>
      <c r="I5952" s="22">
        <f t="shared" si="185"/>
        <v>4.7608342019234079E-3</v>
      </c>
      <c r="J5952" s="22" t="str">
        <f t="shared" si="186"/>
        <v/>
      </c>
    </row>
    <row r="5953" spans="1:10">
      <c r="A5953" s="1">
        <v>41170</v>
      </c>
      <c r="B5953">
        <v>92.04</v>
      </c>
      <c r="C5953">
        <v>93.1</v>
      </c>
      <c r="D5953">
        <v>92</v>
      </c>
      <c r="E5953">
        <v>93.08</v>
      </c>
      <c r="F5953">
        <v>5272900</v>
      </c>
      <c r="G5953">
        <v>89.33</v>
      </c>
      <c r="H5953" t="s">
        <v>13</v>
      </c>
      <c r="I5953" s="22">
        <f t="shared" si="185"/>
        <v>1.0126099126103809E-2</v>
      </c>
      <c r="J5953" s="22" t="str">
        <f t="shared" si="186"/>
        <v/>
      </c>
    </row>
    <row r="5954" spans="1:10">
      <c r="A5954" s="1">
        <v>41171</v>
      </c>
      <c r="B5954">
        <v>93.24</v>
      </c>
      <c r="C5954">
        <v>93.45</v>
      </c>
      <c r="D5954">
        <v>92.76</v>
      </c>
      <c r="E5954">
        <v>92.83</v>
      </c>
      <c r="F5954">
        <v>3979900</v>
      </c>
      <c r="G5954">
        <v>89.09</v>
      </c>
      <c r="H5954" t="s">
        <v>13</v>
      </c>
      <c r="I5954" s="22">
        <f t="shared" si="185"/>
        <v>-2.6902829811952158E-3</v>
      </c>
      <c r="J5954" s="22" t="str">
        <f t="shared" si="186"/>
        <v>lost money</v>
      </c>
    </row>
    <row r="5955" spans="1:10">
      <c r="A5955" s="1">
        <v>41172</v>
      </c>
      <c r="B5955">
        <v>92.78</v>
      </c>
      <c r="C5955">
        <v>93.2</v>
      </c>
      <c r="D5955">
        <v>92.75</v>
      </c>
      <c r="E5955">
        <v>93.15</v>
      </c>
      <c r="F5955">
        <v>3981400</v>
      </c>
      <c r="G5955">
        <v>89.4</v>
      </c>
      <c r="H5955" t="s">
        <v>13</v>
      </c>
      <c r="I5955" s="22">
        <f t="shared" ref="I5955:I6018" si="187">IF(A5955=$A$2,"",LN(G5955/G5954))</f>
        <v>3.4735874469160079E-3</v>
      </c>
      <c r="J5955" s="22" t="str">
        <f t="shared" ref="J5955:J6018" si="188">IF(B5955&gt;E5955,"lost money","")</f>
        <v/>
      </c>
    </row>
    <row r="5956" spans="1:10">
      <c r="A5956" s="1">
        <v>41173</v>
      </c>
      <c r="B5956">
        <v>93.63</v>
      </c>
      <c r="C5956">
        <v>93.91</v>
      </c>
      <c r="D5956">
        <v>93.39</v>
      </c>
      <c r="E5956">
        <v>93.71</v>
      </c>
      <c r="F5956">
        <v>7247700</v>
      </c>
      <c r="G5956">
        <v>89.94</v>
      </c>
      <c r="H5956" t="s">
        <v>13</v>
      </c>
      <c r="I5956" s="22">
        <f t="shared" si="187"/>
        <v>6.0220991630928816E-3</v>
      </c>
      <c r="J5956" s="22" t="str">
        <f t="shared" si="188"/>
        <v/>
      </c>
    </row>
    <row r="5957" spans="1:10">
      <c r="A5957" s="1">
        <v>41176</v>
      </c>
      <c r="B5957">
        <v>93.33</v>
      </c>
      <c r="C5957">
        <v>93.92</v>
      </c>
      <c r="D5957">
        <v>93.16</v>
      </c>
      <c r="E5957">
        <v>93.71</v>
      </c>
      <c r="F5957">
        <v>3722000</v>
      </c>
      <c r="G5957">
        <v>89.94</v>
      </c>
      <c r="H5957" t="s">
        <v>13</v>
      </c>
      <c r="I5957" s="22">
        <f t="shared" si="187"/>
        <v>0</v>
      </c>
      <c r="J5957" s="22" t="str">
        <f t="shared" si="188"/>
        <v/>
      </c>
    </row>
    <row r="5958" spans="1:10">
      <c r="A5958" s="1">
        <v>41177</v>
      </c>
      <c r="B5958">
        <v>93.91</v>
      </c>
      <c r="C5958">
        <v>94</v>
      </c>
      <c r="D5958">
        <v>92.82</v>
      </c>
      <c r="E5958">
        <v>92.86</v>
      </c>
      <c r="F5958">
        <v>4714600</v>
      </c>
      <c r="G5958">
        <v>89.12</v>
      </c>
      <c r="H5958" t="s">
        <v>13</v>
      </c>
      <c r="I5958" s="22">
        <f t="shared" si="187"/>
        <v>-9.1590051635873845E-3</v>
      </c>
      <c r="J5958" s="22" t="str">
        <f t="shared" si="188"/>
        <v>lost money</v>
      </c>
    </row>
    <row r="5959" spans="1:10">
      <c r="A5959" s="1">
        <v>41178</v>
      </c>
      <c r="B5959">
        <v>92.89</v>
      </c>
      <c r="C5959">
        <v>93.35</v>
      </c>
      <c r="D5959">
        <v>92.88</v>
      </c>
      <c r="E5959">
        <v>93.2</v>
      </c>
      <c r="F5959">
        <v>4392000</v>
      </c>
      <c r="G5959">
        <v>89.45</v>
      </c>
      <c r="H5959" t="s">
        <v>13</v>
      </c>
      <c r="I5959" s="22">
        <f t="shared" si="187"/>
        <v>3.6960337757542846E-3</v>
      </c>
      <c r="J5959" s="22" t="str">
        <f t="shared" si="188"/>
        <v/>
      </c>
    </row>
    <row r="5960" spans="1:10">
      <c r="A5960" s="1">
        <v>41179</v>
      </c>
      <c r="B5960">
        <v>93.38</v>
      </c>
      <c r="C5960">
        <v>93.63</v>
      </c>
      <c r="D5960">
        <v>93.12</v>
      </c>
      <c r="E5960">
        <v>93.27</v>
      </c>
      <c r="F5960">
        <v>3840400</v>
      </c>
      <c r="G5960">
        <v>89.51</v>
      </c>
      <c r="H5960" t="s">
        <v>13</v>
      </c>
      <c r="I5960" s="22">
        <f t="shared" si="187"/>
        <v>6.7054092811936301E-4</v>
      </c>
      <c r="J5960" s="22" t="str">
        <f t="shared" si="188"/>
        <v>lost money</v>
      </c>
    </row>
    <row r="5961" spans="1:10">
      <c r="A5961" s="1">
        <v>41180</v>
      </c>
      <c r="B5961">
        <v>92.01</v>
      </c>
      <c r="C5961">
        <v>92.01</v>
      </c>
      <c r="D5961">
        <v>90.4</v>
      </c>
      <c r="E5961">
        <v>91.75</v>
      </c>
      <c r="F5961">
        <v>9523600</v>
      </c>
      <c r="G5961">
        <v>88.05</v>
      </c>
      <c r="H5961" t="s">
        <v>13</v>
      </c>
      <c r="I5961" s="22">
        <f t="shared" si="187"/>
        <v>-1.6445515940632493E-2</v>
      </c>
      <c r="J5961" s="22" t="str">
        <f t="shared" si="188"/>
        <v>lost money</v>
      </c>
    </row>
    <row r="5962" spans="1:10">
      <c r="A5962" s="1">
        <v>41183</v>
      </c>
      <c r="B5962">
        <v>92.11</v>
      </c>
      <c r="C5962">
        <v>92.5</v>
      </c>
      <c r="D5962">
        <v>91.89</v>
      </c>
      <c r="E5962">
        <v>91.99</v>
      </c>
      <c r="F5962">
        <v>4939800</v>
      </c>
      <c r="G5962">
        <v>88.29</v>
      </c>
      <c r="H5962" t="s">
        <v>13</v>
      </c>
      <c r="I5962" s="22">
        <f t="shared" si="187"/>
        <v>2.7220159712760422E-3</v>
      </c>
      <c r="J5962" s="22" t="str">
        <f t="shared" si="188"/>
        <v>lost money</v>
      </c>
    </row>
    <row r="5963" spans="1:10">
      <c r="A5963" s="1">
        <v>41184</v>
      </c>
      <c r="B5963">
        <v>92.17</v>
      </c>
      <c r="C5963">
        <v>92.23</v>
      </c>
      <c r="D5963">
        <v>90.72</v>
      </c>
      <c r="E5963">
        <v>90.93</v>
      </c>
      <c r="F5963">
        <v>5979500</v>
      </c>
      <c r="G5963">
        <v>87.27</v>
      </c>
      <c r="H5963" t="s">
        <v>13</v>
      </c>
      <c r="I5963" s="22">
        <f t="shared" si="187"/>
        <v>-1.1620089738271226E-2</v>
      </c>
      <c r="J5963" s="22" t="str">
        <f t="shared" si="188"/>
        <v>lost money</v>
      </c>
    </row>
    <row r="5964" spans="1:10">
      <c r="A5964" s="1">
        <v>41185</v>
      </c>
      <c r="B5964">
        <v>91.1</v>
      </c>
      <c r="C5964">
        <v>91.25</v>
      </c>
      <c r="D5964">
        <v>90.27</v>
      </c>
      <c r="E5964">
        <v>90.35</v>
      </c>
      <c r="F5964">
        <v>6337400</v>
      </c>
      <c r="G5964">
        <v>86.71</v>
      </c>
      <c r="H5964" t="s">
        <v>13</v>
      </c>
      <c r="I5964" s="22">
        <f t="shared" si="187"/>
        <v>-6.4375437861509495E-3</v>
      </c>
      <c r="J5964" s="22" t="str">
        <f t="shared" si="188"/>
        <v>lost money</v>
      </c>
    </row>
    <row r="5965" spans="1:10">
      <c r="A5965" s="1">
        <v>41186</v>
      </c>
      <c r="B5965">
        <v>90.9</v>
      </c>
      <c r="C5965">
        <v>91.19</v>
      </c>
      <c r="D5965">
        <v>90.59</v>
      </c>
      <c r="E5965">
        <v>91.03</v>
      </c>
      <c r="F5965">
        <v>4478300</v>
      </c>
      <c r="G5965">
        <v>87.36</v>
      </c>
      <c r="H5965" t="s">
        <v>13</v>
      </c>
      <c r="I5965" s="22">
        <f t="shared" si="187"/>
        <v>7.4682946075259648E-3</v>
      </c>
      <c r="J5965" s="22" t="str">
        <f t="shared" si="188"/>
        <v/>
      </c>
    </row>
    <row r="5966" spans="1:10">
      <c r="A5966" s="1">
        <v>41187</v>
      </c>
      <c r="B5966">
        <v>91.49</v>
      </c>
      <c r="C5966">
        <v>91.56</v>
      </c>
      <c r="D5966">
        <v>90.7</v>
      </c>
      <c r="E5966">
        <v>91</v>
      </c>
      <c r="F5966">
        <v>4166200</v>
      </c>
      <c r="G5966">
        <v>87.34</v>
      </c>
      <c r="H5966" t="s">
        <v>13</v>
      </c>
      <c r="I5966" s="22">
        <f t="shared" si="187"/>
        <v>-2.2896393918001227E-4</v>
      </c>
      <c r="J5966" s="22" t="str">
        <f t="shared" si="188"/>
        <v>lost money</v>
      </c>
    </row>
    <row r="5967" spans="1:10">
      <c r="A5967" s="1">
        <v>41190</v>
      </c>
      <c r="B5967">
        <v>90.97</v>
      </c>
      <c r="C5967">
        <v>91.65</v>
      </c>
      <c r="D5967">
        <v>90.81</v>
      </c>
      <c r="E5967">
        <v>91.54</v>
      </c>
      <c r="F5967">
        <v>3894900</v>
      </c>
      <c r="G5967">
        <v>87.85</v>
      </c>
      <c r="H5967" t="s">
        <v>13</v>
      </c>
      <c r="I5967" s="22">
        <f t="shared" si="187"/>
        <v>5.8222665756912304E-3</v>
      </c>
      <c r="J5967" s="22" t="str">
        <f t="shared" si="188"/>
        <v/>
      </c>
    </row>
    <row r="5968" spans="1:10">
      <c r="A5968" s="1">
        <v>41191</v>
      </c>
      <c r="B5968">
        <v>91.46</v>
      </c>
      <c r="C5968">
        <v>92.6</v>
      </c>
      <c r="D5968">
        <v>91.42</v>
      </c>
      <c r="E5968">
        <v>92.11</v>
      </c>
      <c r="F5968">
        <v>7048900</v>
      </c>
      <c r="G5968">
        <v>88.4</v>
      </c>
      <c r="H5968" t="s">
        <v>13</v>
      </c>
      <c r="I5968" s="22">
        <f t="shared" si="187"/>
        <v>6.2411550104917368E-3</v>
      </c>
      <c r="J5968" s="22" t="str">
        <f t="shared" si="188"/>
        <v/>
      </c>
    </row>
    <row r="5969" spans="1:10">
      <c r="A5969" s="1">
        <v>41192</v>
      </c>
      <c r="B5969">
        <v>92.94</v>
      </c>
      <c r="C5969">
        <v>93.37</v>
      </c>
      <c r="D5969">
        <v>92.36</v>
      </c>
      <c r="E5969">
        <v>92.4</v>
      </c>
      <c r="F5969">
        <v>6712100</v>
      </c>
      <c r="G5969">
        <v>88.68</v>
      </c>
      <c r="H5969" t="s">
        <v>13</v>
      </c>
      <c r="I5969" s="22">
        <f t="shared" si="187"/>
        <v>3.1624151045129539E-3</v>
      </c>
      <c r="J5969" s="22" t="str">
        <f t="shared" si="188"/>
        <v>lost money</v>
      </c>
    </row>
    <row r="5970" spans="1:10">
      <c r="A5970" s="1">
        <v>41193</v>
      </c>
      <c r="B5970">
        <v>92.66</v>
      </c>
      <c r="C5970">
        <v>93</v>
      </c>
      <c r="D5970">
        <v>92.36</v>
      </c>
      <c r="E5970">
        <v>92.36</v>
      </c>
      <c r="F5970">
        <v>4274400</v>
      </c>
      <c r="G5970">
        <v>88.64</v>
      </c>
      <c r="H5970" t="s">
        <v>13</v>
      </c>
      <c r="I5970" s="22">
        <f t="shared" si="187"/>
        <v>-4.5116174913706775E-4</v>
      </c>
      <c r="J5970" s="22" t="str">
        <f t="shared" si="188"/>
        <v>lost money</v>
      </c>
    </row>
    <row r="5971" spans="1:10">
      <c r="A5971" s="1">
        <v>41194</v>
      </c>
      <c r="B5971">
        <v>92.57</v>
      </c>
      <c r="C5971">
        <v>92.7</v>
      </c>
      <c r="D5971">
        <v>92.35</v>
      </c>
      <c r="E5971">
        <v>92.51</v>
      </c>
      <c r="F5971">
        <v>3411100</v>
      </c>
      <c r="G5971">
        <v>88.78</v>
      </c>
      <c r="H5971" t="s">
        <v>13</v>
      </c>
      <c r="I5971" s="22">
        <f t="shared" si="187"/>
        <v>1.5781764069155275E-3</v>
      </c>
      <c r="J5971" s="22" t="str">
        <f t="shared" si="188"/>
        <v>lost money</v>
      </c>
    </row>
    <row r="5972" spans="1:10">
      <c r="A5972" s="1">
        <v>41197</v>
      </c>
      <c r="B5972">
        <v>92.78</v>
      </c>
      <c r="C5972">
        <v>93.74</v>
      </c>
      <c r="D5972">
        <v>92.65</v>
      </c>
      <c r="E5972">
        <v>93.5</v>
      </c>
      <c r="F5972">
        <v>5630700</v>
      </c>
      <c r="G5972">
        <v>89.73</v>
      </c>
      <c r="H5972" t="s">
        <v>13</v>
      </c>
      <c r="I5972" s="22">
        <f t="shared" si="187"/>
        <v>1.0643761904077132E-2</v>
      </c>
      <c r="J5972" s="22" t="str">
        <f t="shared" si="188"/>
        <v/>
      </c>
    </row>
    <row r="5973" spans="1:10">
      <c r="A5973" s="1">
        <v>41198</v>
      </c>
      <c r="B5973">
        <v>93.97</v>
      </c>
      <c r="C5973">
        <v>94.09</v>
      </c>
      <c r="D5973">
        <v>93.64</v>
      </c>
      <c r="E5973">
        <v>94.09</v>
      </c>
      <c r="F5973">
        <v>4678900</v>
      </c>
      <c r="G5973">
        <v>90.3</v>
      </c>
      <c r="H5973" t="s">
        <v>13</v>
      </c>
      <c r="I5973" s="22">
        <f t="shared" si="187"/>
        <v>6.3322991129732198E-3</v>
      </c>
      <c r="J5973" s="22" t="str">
        <f t="shared" si="188"/>
        <v/>
      </c>
    </row>
    <row r="5974" spans="1:10">
      <c r="A5974" s="1">
        <v>41199</v>
      </c>
      <c r="B5974">
        <v>93.96</v>
      </c>
      <c r="C5974">
        <v>94.16</v>
      </c>
      <c r="D5974">
        <v>93.25</v>
      </c>
      <c r="E5974">
        <v>93.68</v>
      </c>
      <c r="F5974">
        <v>5623700</v>
      </c>
      <c r="G5974">
        <v>89.91</v>
      </c>
      <c r="H5974" t="s">
        <v>13</v>
      </c>
      <c r="I5974" s="22">
        <f t="shared" si="187"/>
        <v>-4.3282904262581974E-3</v>
      </c>
      <c r="J5974" s="22" t="str">
        <f t="shared" si="188"/>
        <v>lost money</v>
      </c>
    </row>
    <row r="5975" spans="1:10">
      <c r="A5975" s="1">
        <v>41200</v>
      </c>
      <c r="B5975">
        <v>93.67</v>
      </c>
      <c r="C5975">
        <v>93.75</v>
      </c>
      <c r="D5975">
        <v>92.61</v>
      </c>
      <c r="E5975">
        <v>92.86</v>
      </c>
      <c r="F5975">
        <v>6817600</v>
      </c>
      <c r="G5975">
        <v>89.12</v>
      </c>
      <c r="H5975" t="s">
        <v>13</v>
      </c>
      <c r="I5975" s="22">
        <f t="shared" si="187"/>
        <v>-8.8253938177075171E-3</v>
      </c>
      <c r="J5975" s="22" t="str">
        <f t="shared" si="188"/>
        <v>lost money</v>
      </c>
    </row>
    <row r="5976" spans="1:10">
      <c r="A5976" s="1">
        <v>41201</v>
      </c>
      <c r="B5976">
        <v>90.07</v>
      </c>
      <c r="C5976">
        <v>90.25</v>
      </c>
      <c r="D5976">
        <v>88.55</v>
      </c>
      <c r="E5976">
        <v>88.72</v>
      </c>
      <c r="F5976">
        <v>19495400</v>
      </c>
      <c r="G5976">
        <v>85.15</v>
      </c>
      <c r="H5976" t="s">
        <v>13</v>
      </c>
      <c r="I5976" s="22">
        <f t="shared" si="187"/>
        <v>-4.5569369070276533E-2</v>
      </c>
      <c r="J5976" s="22" t="str">
        <f t="shared" si="188"/>
        <v>lost money</v>
      </c>
    </row>
    <row r="5977" spans="1:10">
      <c r="A5977" s="1">
        <v>41204</v>
      </c>
      <c r="B5977">
        <v>88.86</v>
      </c>
      <c r="C5977">
        <v>89.08</v>
      </c>
      <c r="D5977">
        <v>87.85</v>
      </c>
      <c r="E5977">
        <v>88.45</v>
      </c>
      <c r="F5977">
        <v>8142400</v>
      </c>
      <c r="G5977">
        <v>84.89</v>
      </c>
      <c r="H5977" t="s">
        <v>13</v>
      </c>
      <c r="I5977" s="22">
        <f t="shared" si="187"/>
        <v>-3.0581063588208846E-3</v>
      </c>
      <c r="J5977" s="22" t="str">
        <f t="shared" si="188"/>
        <v>lost money</v>
      </c>
    </row>
    <row r="5978" spans="1:10">
      <c r="A5978" s="1">
        <v>41205</v>
      </c>
      <c r="B5978">
        <v>88.02</v>
      </c>
      <c r="C5978">
        <v>88.38</v>
      </c>
      <c r="D5978">
        <v>87.32</v>
      </c>
      <c r="E5978">
        <v>87.96</v>
      </c>
      <c r="F5978">
        <v>7763800</v>
      </c>
      <c r="G5978">
        <v>84.42</v>
      </c>
      <c r="H5978" t="s">
        <v>13</v>
      </c>
      <c r="I5978" s="22">
        <f t="shared" si="187"/>
        <v>-5.551960395523717E-3</v>
      </c>
      <c r="J5978" s="22" t="str">
        <f t="shared" si="188"/>
        <v>lost money</v>
      </c>
    </row>
    <row r="5979" spans="1:10">
      <c r="A5979" s="1">
        <v>41206</v>
      </c>
      <c r="B5979">
        <v>88.45</v>
      </c>
      <c r="C5979">
        <v>88.45</v>
      </c>
      <c r="D5979">
        <v>87.09</v>
      </c>
      <c r="E5979">
        <v>87.28</v>
      </c>
      <c r="F5979">
        <v>6498000</v>
      </c>
      <c r="G5979">
        <v>83.76</v>
      </c>
      <c r="H5979" t="s">
        <v>13</v>
      </c>
      <c r="I5979" s="22">
        <f t="shared" si="187"/>
        <v>-7.8487737920712869E-3</v>
      </c>
      <c r="J5979" s="22" t="str">
        <f t="shared" si="188"/>
        <v>lost money</v>
      </c>
    </row>
    <row r="5980" spans="1:10">
      <c r="A5980" s="1">
        <v>41207</v>
      </c>
      <c r="B5980">
        <v>87.78</v>
      </c>
      <c r="C5980">
        <v>87.79</v>
      </c>
      <c r="D5980">
        <v>86.97</v>
      </c>
      <c r="E5980">
        <v>87.33</v>
      </c>
      <c r="F5980">
        <v>4978800</v>
      </c>
      <c r="G5980">
        <v>83.81</v>
      </c>
      <c r="H5980" t="s">
        <v>13</v>
      </c>
      <c r="I5980" s="22">
        <f t="shared" si="187"/>
        <v>5.9676554853341289E-4</v>
      </c>
      <c r="J5980" s="22" t="str">
        <f t="shared" si="188"/>
        <v>lost money</v>
      </c>
    </row>
    <row r="5981" spans="1:10">
      <c r="A5981" s="1">
        <v>41208</v>
      </c>
      <c r="B5981">
        <v>87.46</v>
      </c>
      <c r="C5981">
        <v>87.56</v>
      </c>
      <c r="D5981">
        <v>86.62</v>
      </c>
      <c r="E5981">
        <v>86.71</v>
      </c>
      <c r="F5981">
        <v>7684500</v>
      </c>
      <c r="G5981">
        <v>83.22</v>
      </c>
      <c r="H5981" t="s">
        <v>13</v>
      </c>
      <c r="I5981" s="22">
        <f t="shared" si="187"/>
        <v>-7.0646285560196096E-3</v>
      </c>
      <c r="J5981" s="22" t="str">
        <f t="shared" si="188"/>
        <v>lost money</v>
      </c>
    </row>
    <row r="5982" spans="1:10">
      <c r="A5982" s="1">
        <v>41213</v>
      </c>
      <c r="B5982">
        <v>87.48</v>
      </c>
      <c r="C5982">
        <v>87.54</v>
      </c>
      <c r="D5982">
        <v>86.37</v>
      </c>
      <c r="E5982">
        <v>86.8</v>
      </c>
      <c r="F5982">
        <v>6899300</v>
      </c>
      <c r="G5982">
        <v>83.3</v>
      </c>
      <c r="H5982" t="s">
        <v>13</v>
      </c>
      <c r="I5982" s="22">
        <f t="shared" si="187"/>
        <v>9.6084561800178451E-4</v>
      </c>
      <c r="J5982" s="22" t="str">
        <f t="shared" si="188"/>
        <v>lost money</v>
      </c>
    </row>
    <row r="5983" spans="1:10">
      <c r="A5983" s="1">
        <v>41214</v>
      </c>
      <c r="B5983">
        <v>87</v>
      </c>
      <c r="C5983">
        <v>87.1</v>
      </c>
      <c r="D5983">
        <v>86.4</v>
      </c>
      <c r="E5983">
        <v>86.8</v>
      </c>
      <c r="F5983">
        <v>7374900</v>
      </c>
      <c r="G5983">
        <v>83.3</v>
      </c>
      <c r="H5983" t="s">
        <v>13</v>
      </c>
      <c r="I5983" s="22">
        <f t="shared" si="187"/>
        <v>0</v>
      </c>
      <c r="J5983" s="22" t="str">
        <f t="shared" si="188"/>
        <v>lost money</v>
      </c>
    </row>
    <row r="5984" spans="1:10">
      <c r="A5984" s="1">
        <v>41215</v>
      </c>
      <c r="B5984">
        <v>87.35</v>
      </c>
      <c r="C5984">
        <v>87.9</v>
      </c>
      <c r="D5984">
        <v>86.76</v>
      </c>
      <c r="E5984">
        <v>86.86</v>
      </c>
      <c r="F5984">
        <v>7908400</v>
      </c>
      <c r="G5984">
        <v>83.36</v>
      </c>
      <c r="H5984" t="s">
        <v>13</v>
      </c>
      <c r="I5984" s="22">
        <f t="shared" si="187"/>
        <v>7.2002883225984215E-4</v>
      </c>
      <c r="J5984" s="22" t="str">
        <f t="shared" si="188"/>
        <v>lost money</v>
      </c>
    </row>
    <row r="5985" spans="1:10">
      <c r="A5985" s="1">
        <v>41218</v>
      </c>
      <c r="B5985">
        <v>86.97</v>
      </c>
      <c r="C5985">
        <v>87.63</v>
      </c>
      <c r="D5985">
        <v>86.7</v>
      </c>
      <c r="E5985">
        <v>87.46</v>
      </c>
      <c r="F5985">
        <v>5039100</v>
      </c>
      <c r="G5985">
        <v>83.94</v>
      </c>
      <c r="H5985" t="s">
        <v>13</v>
      </c>
      <c r="I5985" s="22">
        <f t="shared" si="187"/>
        <v>6.9336799003879637E-3</v>
      </c>
      <c r="J5985" s="22" t="str">
        <f t="shared" si="188"/>
        <v/>
      </c>
    </row>
    <row r="5986" spans="1:10">
      <c r="A5986" s="1">
        <v>41219</v>
      </c>
      <c r="B5986">
        <v>87.74</v>
      </c>
      <c r="C5986">
        <v>88.13</v>
      </c>
      <c r="D5986">
        <v>87.63</v>
      </c>
      <c r="E5986">
        <v>87.97</v>
      </c>
      <c r="F5986">
        <v>5581600</v>
      </c>
      <c r="G5986">
        <v>84.43</v>
      </c>
      <c r="H5986" t="s">
        <v>13</v>
      </c>
      <c r="I5986" s="22">
        <f t="shared" si="187"/>
        <v>5.8205307759638791E-3</v>
      </c>
      <c r="J5986" s="22" t="str">
        <f t="shared" si="188"/>
        <v/>
      </c>
    </row>
    <row r="5987" spans="1:10">
      <c r="A5987" s="1">
        <v>41220</v>
      </c>
      <c r="B5987">
        <v>87.81</v>
      </c>
      <c r="C5987">
        <v>87.98</v>
      </c>
      <c r="D5987">
        <v>86.7</v>
      </c>
      <c r="E5987">
        <v>86.86</v>
      </c>
      <c r="F5987">
        <v>5971900</v>
      </c>
      <c r="G5987">
        <v>83.36</v>
      </c>
      <c r="H5987" t="s">
        <v>13</v>
      </c>
      <c r="I5987" s="22">
        <f t="shared" si="187"/>
        <v>-1.2754210676351841E-2</v>
      </c>
      <c r="J5987" s="22" t="str">
        <f t="shared" si="188"/>
        <v>lost money</v>
      </c>
    </row>
    <row r="5988" spans="1:10">
      <c r="A5988" s="1">
        <v>41221</v>
      </c>
      <c r="B5988">
        <v>86.39</v>
      </c>
      <c r="C5988">
        <v>87</v>
      </c>
      <c r="D5988">
        <v>84.96</v>
      </c>
      <c r="E5988">
        <v>85.13</v>
      </c>
      <c r="F5988">
        <v>11398400</v>
      </c>
      <c r="G5988">
        <v>81.7</v>
      </c>
      <c r="H5988" t="s">
        <v>13</v>
      </c>
      <c r="I5988" s="22">
        <f t="shared" si="187"/>
        <v>-2.0114576139099501E-2</v>
      </c>
      <c r="J5988" s="22" t="str">
        <f t="shared" si="188"/>
        <v>lost money</v>
      </c>
    </row>
    <row r="5989" spans="1:10">
      <c r="A5989" s="1">
        <v>41222</v>
      </c>
      <c r="B5989">
        <v>84.47</v>
      </c>
      <c r="C5989">
        <v>85.1</v>
      </c>
      <c r="D5989">
        <v>84.05</v>
      </c>
      <c r="E5989">
        <v>84.74</v>
      </c>
      <c r="F5989">
        <v>11030400</v>
      </c>
      <c r="G5989">
        <v>81.33</v>
      </c>
      <c r="H5989" t="s">
        <v>13</v>
      </c>
      <c r="I5989" s="22">
        <f t="shared" si="187"/>
        <v>-4.5390496872733752E-3</v>
      </c>
      <c r="J5989" s="22" t="str">
        <f t="shared" si="188"/>
        <v/>
      </c>
    </row>
    <row r="5990" spans="1:10">
      <c r="A5990" s="1">
        <v>41225</v>
      </c>
      <c r="B5990">
        <v>84.95</v>
      </c>
      <c r="C5990">
        <v>85.3</v>
      </c>
      <c r="D5990">
        <v>84.6</v>
      </c>
      <c r="E5990">
        <v>84.88</v>
      </c>
      <c r="F5990">
        <v>4101900</v>
      </c>
      <c r="G5990">
        <v>81.459999999999994</v>
      </c>
      <c r="H5990" t="s">
        <v>13</v>
      </c>
      <c r="I5990" s="22">
        <f t="shared" si="187"/>
        <v>1.5971500415825153E-3</v>
      </c>
      <c r="J5990" s="22" t="str">
        <f t="shared" si="188"/>
        <v>lost money</v>
      </c>
    </row>
    <row r="5991" spans="1:10">
      <c r="A5991" s="1">
        <v>41226</v>
      </c>
      <c r="B5991">
        <v>84.76</v>
      </c>
      <c r="C5991">
        <v>85.28</v>
      </c>
      <c r="D5991">
        <v>84.52</v>
      </c>
      <c r="E5991">
        <v>84.64</v>
      </c>
      <c r="F5991">
        <v>4842300</v>
      </c>
      <c r="G5991">
        <v>81.23</v>
      </c>
      <c r="H5991" t="s">
        <v>13</v>
      </c>
      <c r="I5991" s="22">
        <f t="shared" si="187"/>
        <v>-2.8274651574039305E-3</v>
      </c>
      <c r="J5991" s="22" t="str">
        <f t="shared" si="188"/>
        <v>lost money</v>
      </c>
    </row>
    <row r="5992" spans="1:10">
      <c r="A5992" s="1">
        <v>41227</v>
      </c>
      <c r="B5992">
        <v>84.85</v>
      </c>
      <c r="C5992">
        <v>85.61</v>
      </c>
      <c r="D5992">
        <v>84.18</v>
      </c>
      <c r="E5992">
        <v>84.62</v>
      </c>
      <c r="F5992">
        <v>8157000</v>
      </c>
      <c r="G5992">
        <v>81.209999999999994</v>
      </c>
      <c r="H5992" t="s">
        <v>13</v>
      </c>
      <c r="I5992" s="22">
        <f t="shared" si="187"/>
        <v>-2.4624476854309679E-4</v>
      </c>
      <c r="J5992" s="22" t="str">
        <f t="shared" si="188"/>
        <v>lost money</v>
      </c>
    </row>
    <row r="5993" spans="1:10">
      <c r="A5993" s="1">
        <v>41228</v>
      </c>
      <c r="B5993">
        <v>84.39</v>
      </c>
      <c r="C5993">
        <v>84.74</v>
      </c>
      <c r="D5993">
        <v>83.61</v>
      </c>
      <c r="E5993">
        <v>84.05</v>
      </c>
      <c r="F5993">
        <v>7639100</v>
      </c>
      <c r="G5993">
        <v>80.66</v>
      </c>
      <c r="H5993" t="s">
        <v>13</v>
      </c>
      <c r="I5993" s="22">
        <f t="shared" si="187"/>
        <v>-6.7956028490973623E-3</v>
      </c>
      <c r="J5993" s="22" t="str">
        <f t="shared" si="188"/>
        <v>lost money</v>
      </c>
    </row>
    <row r="5994" spans="1:10">
      <c r="A5994" s="1">
        <v>41229</v>
      </c>
      <c r="B5994">
        <v>84.17</v>
      </c>
      <c r="C5994">
        <v>84.39</v>
      </c>
      <c r="D5994">
        <v>83.31</v>
      </c>
      <c r="E5994">
        <v>84.12</v>
      </c>
      <c r="F5994">
        <v>6909300</v>
      </c>
      <c r="G5994">
        <v>80.73</v>
      </c>
      <c r="H5994" t="s">
        <v>13</v>
      </c>
      <c r="I5994" s="22">
        <f t="shared" si="187"/>
        <v>8.674639617020747E-4</v>
      </c>
      <c r="J5994" s="22" t="str">
        <f t="shared" si="188"/>
        <v>lost money</v>
      </c>
    </row>
    <row r="5995" spans="1:10">
      <c r="A5995" s="1">
        <v>41232</v>
      </c>
      <c r="B5995">
        <v>84.54</v>
      </c>
      <c r="C5995">
        <v>85.05</v>
      </c>
      <c r="D5995">
        <v>84.37</v>
      </c>
      <c r="E5995">
        <v>85.04</v>
      </c>
      <c r="F5995">
        <v>5559800</v>
      </c>
      <c r="G5995">
        <v>81.62</v>
      </c>
      <c r="H5995" t="s">
        <v>13</v>
      </c>
      <c r="I5995" s="22">
        <f t="shared" si="187"/>
        <v>1.0964076570735573E-2</v>
      </c>
      <c r="J5995" s="22" t="str">
        <f t="shared" si="188"/>
        <v/>
      </c>
    </row>
    <row r="5996" spans="1:10">
      <c r="A5996" s="1">
        <v>41233</v>
      </c>
      <c r="B5996">
        <v>85.17</v>
      </c>
      <c r="C5996">
        <v>86.17</v>
      </c>
      <c r="D5996">
        <v>85.1</v>
      </c>
      <c r="E5996">
        <v>85.68</v>
      </c>
      <c r="F5996">
        <v>5822800</v>
      </c>
      <c r="G5996">
        <v>82.23</v>
      </c>
      <c r="H5996" t="s">
        <v>13</v>
      </c>
      <c r="I5996" s="22">
        <f t="shared" si="187"/>
        <v>7.4458690051445644E-3</v>
      </c>
      <c r="J5996" s="22" t="str">
        <f t="shared" si="188"/>
        <v/>
      </c>
    </row>
    <row r="5997" spans="1:10">
      <c r="A5997" s="1">
        <v>41234</v>
      </c>
      <c r="B5997">
        <v>86.06</v>
      </c>
      <c r="C5997">
        <v>86.26</v>
      </c>
      <c r="D5997">
        <v>85.29</v>
      </c>
      <c r="E5997">
        <v>86.01</v>
      </c>
      <c r="F5997">
        <v>3900700</v>
      </c>
      <c r="G5997">
        <v>82.55</v>
      </c>
      <c r="H5997" t="s">
        <v>13</v>
      </c>
      <c r="I5997" s="22">
        <f t="shared" si="187"/>
        <v>3.8839713833329222E-3</v>
      </c>
      <c r="J5997" s="22" t="str">
        <f t="shared" si="188"/>
        <v>lost money</v>
      </c>
    </row>
    <row r="5998" spans="1:10">
      <c r="A5998" s="1">
        <v>41236</v>
      </c>
      <c r="B5998">
        <v>86.77</v>
      </c>
      <c r="C5998">
        <v>87.07</v>
      </c>
      <c r="D5998">
        <v>86.56</v>
      </c>
      <c r="E5998">
        <v>87.05</v>
      </c>
      <c r="F5998">
        <v>2474400</v>
      </c>
      <c r="G5998">
        <v>83.54</v>
      </c>
      <c r="H5998" t="s">
        <v>13</v>
      </c>
      <c r="I5998" s="22">
        <f t="shared" si="187"/>
        <v>1.1921388702892473E-2</v>
      </c>
      <c r="J5998" s="22" t="str">
        <f t="shared" si="188"/>
        <v/>
      </c>
    </row>
    <row r="5999" spans="1:10">
      <c r="A5999" s="1">
        <v>41239</v>
      </c>
      <c r="B5999">
        <v>86.53</v>
      </c>
      <c r="C5999">
        <v>86.67</v>
      </c>
      <c r="D5999">
        <v>85.8</v>
      </c>
      <c r="E5999">
        <v>86.24</v>
      </c>
      <c r="F5999">
        <v>5619200</v>
      </c>
      <c r="G5999">
        <v>82.77</v>
      </c>
      <c r="H5999" t="s">
        <v>13</v>
      </c>
      <c r="I5999" s="22">
        <f t="shared" si="187"/>
        <v>-9.2598821717249837E-3</v>
      </c>
      <c r="J5999" s="22" t="str">
        <f t="shared" si="188"/>
        <v>lost money</v>
      </c>
    </row>
    <row r="6000" spans="1:10">
      <c r="A6000" s="1">
        <v>41240</v>
      </c>
      <c r="B6000">
        <v>86.24</v>
      </c>
      <c r="C6000">
        <v>86.46</v>
      </c>
      <c r="D6000">
        <v>85.82</v>
      </c>
      <c r="E6000">
        <v>85.92</v>
      </c>
      <c r="F6000">
        <v>4633200</v>
      </c>
      <c r="G6000">
        <v>82.46</v>
      </c>
      <c r="H6000" t="s">
        <v>13</v>
      </c>
      <c r="I6000" s="22">
        <f t="shared" si="187"/>
        <v>-3.7523496185504642E-3</v>
      </c>
      <c r="J6000" s="22" t="str">
        <f t="shared" si="188"/>
        <v>lost money</v>
      </c>
    </row>
    <row r="6001" spans="1:10">
      <c r="A6001" s="1">
        <v>41241</v>
      </c>
      <c r="B6001">
        <v>85.91</v>
      </c>
      <c r="C6001">
        <v>86.66</v>
      </c>
      <c r="D6001">
        <v>85.69</v>
      </c>
      <c r="E6001">
        <v>86.52</v>
      </c>
      <c r="F6001">
        <v>7155400</v>
      </c>
      <c r="G6001">
        <v>83.04</v>
      </c>
      <c r="H6001" t="s">
        <v>13</v>
      </c>
      <c r="I6001" s="22">
        <f t="shared" si="187"/>
        <v>7.0090921388247631E-3</v>
      </c>
      <c r="J6001" s="22" t="str">
        <f t="shared" si="188"/>
        <v/>
      </c>
    </row>
    <row r="6002" spans="1:10">
      <c r="A6002" s="1">
        <v>41242</v>
      </c>
      <c r="B6002">
        <v>86.44</v>
      </c>
      <c r="C6002">
        <v>86.98</v>
      </c>
      <c r="D6002">
        <v>86.1</v>
      </c>
      <c r="E6002">
        <v>86.49</v>
      </c>
      <c r="F6002">
        <v>4873900</v>
      </c>
      <c r="G6002">
        <v>83.75</v>
      </c>
      <c r="H6002" t="s">
        <v>13</v>
      </c>
      <c r="I6002" s="22">
        <f t="shared" si="187"/>
        <v>8.5137512875972602E-3</v>
      </c>
      <c r="J6002" s="22" t="str">
        <f t="shared" si="188"/>
        <v/>
      </c>
    </row>
    <row r="6003" spans="1:10">
      <c r="A6003" s="1">
        <v>41243</v>
      </c>
      <c r="B6003">
        <v>86.08</v>
      </c>
      <c r="C6003">
        <v>87.31</v>
      </c>
      <c r="D6003">
        <v>85.95</v>
      </c>
      <c r="E6003">
        <v>87.04</v>
      </c>
      <c r="F6003">
        <v>7369800</v>
      </c>
      <c r="G6003">
        <v>84.28</v>
      </c>
      <c r="H6003" t="s">
        <v>13</v>
      </c>
      <c r="I6003" s="22">
        <f t="shared" si="187"/>
        <v>6.3084182308125207E-3</v>
      </c>
      <c r="J6003" s="22" t="str">
        <f t="shared" si="188"/>
        <v/>
      </c>
    </row>
    <row r="6004" spans="1:10">
      <c r="A6004" s="1">
        <v>41246</v>
      </c>
      <c r="B6004">
        <v>87.42</v>
      </c>
      <c r="C6004">
        <v>87.43</v>
      </c>
      <c r="D6004">
        <v>86.76</v>
      </c>
      <c r="E6004">
        <v>87.06</v>
      </c>
      <c r="F6004">
        <v>6638100</v>
      </c>
      <c r="G6004">
        <v>84.3</v>
      </c>
      <c r="H6004" t="s">
        <v>13</v>
      </c>
      <c r="I6004" s="22">
        <f t="shared" si="187"/>
        <v>2.3727607182143405E-4</v>
      </c>
      <c r="J6004" s="22" t="str">
        <f t="shared" si="188"/>
        <v>lost money</v>
      </c>
    </row>
    <row r="6005" spans="1:10">
      <c r="A6005" s="1">
        <v>41247</v>
      </c>
      <c r="B6005">
        <v>86.64</v>
      </c>
      <c r="C6005">
        <v>87.38</v>
      </c>
      <c r="D6005">
        <v>86.27</v>
      </c>
      <c r="E6005">
        <v>87.2</v>
      </c>
      <c r="F6005">
        <v>6109700</v>
      </c>
      <c r="G6005">
        <v>84.44</v>
      </c>
      <c r="H6005" t="s">
        <v>13</v>
      </c>
      <c r="I6005" s="22">
        <f t="shared" si="187"/>
        <v>1.6593579723101493E-3</v>
      </c>
      <c r="J6005" s="22" t="str">
        <f t="shared" si="188"/>
        <v/>
      </c>
    </row>
    <row r="6006" spans="1:10">
      <c r="A6006" s="1">
        <v>41248</v>
      </c>
      <c r="B6006">
        <v>87.43</v>
      </c>
      <c r="C6006">
        <v>87.97</v>
      </c>
      <c r="D6006">
        <v>86.73</v>
      </c>
      <c r="E6006">
        <v>86.97</v>
      </c>
      <c r="F6006">
        <v>5349700</v>
      </c>
      <c r="G6006">
        <v>84.22</v>
      </c>
      <c r="H6006" t="s">
        <v>13</v>
      </c>
      <c r="I6006" s="22">
        <f t="shared" si="187"/>
        <v>-2.6088002463381722E-3</v>
      </c>
      <c r="J6006" s="22" t="str">
        <f t="shared" si="188"/>
        <v>lost money</v>
      </c>
    </row>
    <row r="6007" spans="1:10">
      <c r="A6007" s="1">
        <v>41249</v>
      </c>
      <c r="B6007">
        <v>87.11</v>
      </c>
      <c r="C6007">
        <v>88.39</v>
      </c>
      <c r="D6007">
        <v>87.1</v>
      </c>
      <c r="E6007">
        <v>88.09</v>
      </c>
      <c r="F6007">
        <v>6580200</v>
      </c>
      <c r="G6007">
        <v>85.3</v>
      </c>
      <c r="H6007" t="s">
        <v>13</v>
      </c>
      <c r="I6007" s="22">
        <f t="shared" si="187"/>
        <v>1.2742031763851691E-2</v>
      </c>
      <c r="J6007" s="22" t="str">
        <f t="shared" si="188"/>
        <v/>
      </c>
    </row>
    <row r="6008" spans="1:10">
      <c r="A6008" s="1">
        <v>41250</v>
      </c>
      <c r="B6008">
        <v>89.09</v>
      </c>
      <c r="C6008">
        <v>89.14</v>
      </c>
      <c r="D6008">
        <v>88.2</v>
      </c>
      <c r="E6008">
        <v>88.48</v>
      </c>
      <c r="F6008">
        <v>8086500</v>
      </c>
      <c r="G6008">
        <v>85.68</v>
      </c>
      <c r="H6008" t="s">
        <v>13</v>
      </c>
      <c r="I6008" s="22">
        <f t="shared" si="187"/>
        <v>4.4449716418600745E-3</v>
      </c>
      <c r="J6008" s="22" t="str">
        <f t="shared" si="188"/>
        <v>lost money</v>
      </c>
    </row>
    <row r="6009" spans="1:10">
      <c r="A6009" s="1">
        <v>41253</v>
      </c>
      <c r="B6009">
        <v>89.97</v>
      </c>
      <c r="C6009">
        <v>90.17</v>
      </c>
      <c r="D6009">
        <v>89.01</v>
      </c>
      <c r="E6009">
        <v>89.41</v>
      </c>
      <c r="F6009">
        <v>9276400</v>
      </c>
      <c r="G6009">
        <v>86.58</v>
      </c>
      <c r="H6009" t="s">
        <v>13</v>
      </c>
      <c r="I6009" s="22">
        <f t="shared" si="187"/>
        <v>1.044941587434114E-2</v>
      </c>
      <c r="J6009" s="22" t="str">
        <f t="shared" si="188"/>
        <v>lost money</v>
      </c>
    </row>
    <row r="6010" spans="1:10">
      <c r="A6010" s="1">
        <v>41254</v>
      </c>
      <c r="B6010">
        <v>89.76</v>
      </c>
      <c r="C6010">
        <v>89.81</v>
      </c>
      <c r="D6010">
        <v>89</v>
      </c>
      <c r="E6010">
        <v>89.62</v>
      </c>
      <c r="F6010">
        <v>7333000</v>
      </c>
      <c r="G6010">
        <v>86.78</v>
      </c>
      <c r="H6010" t="s">
        <v>13</v>
      </c>
      <c r="I6010" s="22">
        <f t="shared" si="187"/>
        <v>2.3073383563702744E-3</v>
      </c>
      <c r="J6010" s="22" t="str">
        <f t="shared" si="188"/>
        <v>lost money</v>
      </c>
    </row>
    <row r="6011" spans="1:10">
      <c r="A6011" s="1">
        <v>41255</v>
      </c>
      <c r="B6011">
        <v>89.87</v>
      </c>
      <c r="C6011">
        <v>89.99</v>
      </c>
      <c r="D6011">
        <v>89.2</v>
      </c>
      <c r="E6011">
        <v>89.31</v>
      </c>
      <c r="F6011">
        <v>4219500</v>
      </c>
      <c r="G6011">
        <v>86.48</v>
      </c>
      <c r="H6011" t="s">
        <v>13</v>
      </c>
      <c r="I6011" s="22">
        <f t="shared" si="187"/>
        <v>-3.4630070392517357E-3</v>
      </c>
      <c r="J6011" s="22" t="str">
        <f t="shared" si="188"/>
        <v>lost money</v>
      </c>
    </row>
    <row r="6012" spans="1:10">
      <c r="A6012" s="1">
        <v>41256</v>
      </c>
      <c r="B6012">
        <v>89.27</v>
      </c>
      <c r="C6012">
        <v>89.73</v>
      </c>
      <c r="D6012">
        <v>88.93</v>
      </c>
      <c r="E6012">
        <v>89.17</v>
      </c>
      <c r="F6012">
        <v>4639700</v>
      </c>
      <c r="G6012">
        <v>86.35</v>
      </c>
      <c r="H6012" t="s">
        <v>13</v>
      </c>
      <c r="I6012" s="22">
        <f t="shared" si="187"/>
        <v>-1.5043687382653051E-3</v>
      </c>
      <c r="J6012" s="22" t="str">
        <f t="shared" si="188"/>
        <v>lost money</v>
      </c>
    </row>
    <row r="6013" spans="1:10">
      <c r="A6013" s="1">
        <v>41257</v>
      </c>
      <c r="B6013">
        <v>88.84</v>
      </c>
      <c r="C6013">
        <v>89.39</v>
      </c>
      <c r="D6013">
        <v>88.5</v>
      </c>
      <c r="E6013">
        <v>88.88</v>
      </c>
      <c r="F6013">
        <v>4364600</v>
      </c>
      <c r="G6013">
        <v>86.07</v>
      </c>
      <c r="H6013" t="s">
        <v>13</v>
      </c>
      <c r="I6013" s="22">
        <f t="shared" si="187"/>
        <v>-3.2478859313045155E-3</v>
      </c>
      <c r="J6013" s="22" t="str">
        <f t="shared" si="188"/>
        <v/>
      </c>
    </row>
    <row r="6014" spans="1:10">
      <c r="A6014" s="1">
        <v>41260</v>
      </c>
      <c r="B6014">
        <v>89.14</v>
      </c>
      <c r="C6014">
        <v>89.93</v>
      </c>
      <c r="D6014">
        <v>89.01</v>
      </c>
      <c r="E6014">
        <v>89.91</v>
      </c>
      <c r="F6014">
        <v>5956500</v>
      </c>
      <c r="G6014">
        <v>87.06</v>
      </c>
      <c r="H6014" t="s">
        <v>13</v>
      </c>
      <c r="I6014" s="22">
        <f t="shared" si="187"/>
        <v>1.1436617462768564E-2</v>
      </c>
      <c r="J6014" s="22" t="str">
        <f t="shared" si="188"/>
        <v/>
      </c>
    </row>
    <row r="6015" spans="1:10">
      <c r="A6015" s="1">
        <v>41261</v>
      </c>
      <c r="B6015">
        <v>89.99</v>
      </c>
      <c r="C6015">
        <v>90.8</v>
      </c>
      <c r="D6015">
        <v>89.92</v>
      </c>
      <c r="E6015">
        <v>90.52</v>
      </c>
      <c r="F6015">
        <v>5340500</v>
      </c>
      <c r="G6015">
        <v>87.65</v>
      </c>
      <c r="H6015" t="s">
        <v>13</v>
      </c>
      <c r="I6015" s="22">
        <f t="shared" si="187"/>
        <v>6.7540752430920829E-3</v>
      </c>
      <c r="J6015" s="22" t="str">
        <f t="shared" si="188"/>
        <v/>
      </c>
    </row>
    <row r="6016" spans="1:10">
      <c r="A6016" s="1">
        <v>41262</v>
      </c>
      <c r="B6016">
        <v>90.73</v>
      </c>
      <c r="C6016">
        <v>90.85</v>
      </c>
      <c r="D6016">
        <v>89.7</v>
      </c>
      <c r="E6016">
        <v>89.71</v>
      </c>
      <c r="F6016">
        <v>5152900</v>
      </c>
      <c r="G6016">
        <v>86.87</v>
      </c>
      <c r="H6016" t="s">
        <v>13</v>
      </c>
      <c r="I6016" s="22">
        <f t="shared" si="187"/>
        <v>-8.9388630954144212E-3</v>
      </c>
      <c r="J6016" s="22" t="str">
        <f t="shared" si="188"/>
        <v>lost money</v>
      </c>
    </row>
    <row r="6017" spans="1:10">
      <c r="A6017" s="1">
        <v>41263</v>
      </c>
      <c r="B6017">
        <v>89.97</v>
      </c>
      <c r="C6017">
        <v>90.12</v>
      </c>
      <c r="D6017">
        <v>89.45</v>
      </c>
      <c r="E6017">
        <v>90.04</v>
      </c>
      <c r="F6017">
        <v>4298900</v>
      </c>
      <c r="G6017">
        <v>87.19</v>
      </c>
      <c r="H6017" t="s">
        <v>13</v>
      </c>
      <c r="I6017" s="22">
        <f t="shared" si="187"/>
        <v>3.6768971678943717E-3</v>
      </c>
      <c r="J6017" s="22" t="str">
        <f t="shared" si="188"/>
        <v/>
      </c>
    </row>
    <row r="6018" spans="1:10">
      <c r="A6018" s="1">
        <v>41264</v>
      </c>
      <c r="B6018">
        <v>89.65</v>
      </c>
      <c r="C6018">
        <v>90.19</v>
      </c>
      <c r="D6018">
        <v>89.11</v>
      </c>
      <c r="E6018">
        <v>90.18</v>
      </c>
      <c r="F6018">
        <v>10730000</v>
      </c>
      <c r="G6018">
        <v>87.33</v>
      </c>
      <c r="H6018" t="s">
        <v>13</v>
      </c>
      <c r="I6018" s="22">
        <f t="shared" si="187"/>
        <v>1.6044009859179642E-3</v>
      </c>
      <c r="J6018" s="22" t="str">
        <f t="shared" si="188"/>
        <v/>
      </c>
    </row>
    <row r="6019" spans="1:10">
      <c r="A6019" s="1">
        <v>41267</v>
      </c>
      <c r="B6019">
        <v>89.59</v>
      </c>
      <c r="C6019">
        <v>89.69</v>
      </c>
      <c r="D6019">
        <v>89.1</v>
      </c>
      <c r="E6019">
        <v>89.29</v>
      </c>
      <c r="F6019">
        <v>2375000</v>
      </c>
      <c r="G6019">
        <v>86.46</v>
      </c>
      <c r="H6019" t="s">
        <v>13</v>
      </c>
      <c r="I6019" s="22">
        <f t="shared" ref="I6019:I6082" si="189">IF(A6019=$A$2,"",LN(G6019/G6018))</f>
        <v>-1.0012167186155904E-2</v>
      </c>
      <c r="J6019" s="22" t="str">
        <f t="shared" ref="J6019:J6082" si="190">IF(B6019&gt;E6019,"lost money","")</f>
        <v>lost money</v>
      </c>
    </row>
    <row r="6020" spans="1:10">
      <c r="A6020" s="1">
        <v>41269</v>
      </c>
      <c r="B6020">
        <v>89.12</v>
      </c>
      <c r="C6020">
        <v>89.37</v>
      </c>
      <c r="D6020">
        <v>88.39</v>
      </c>
      <c r="E6020">
        <v>88.74</v>
      </c>
      <c r="F6020">
        <v>3054000</v>
      </c>
      <c r="G6020">
        <v>85.93</v>
      </c>
      <c r="H6020" t="s">
        <v>13</v>
      </c>
      <c r="I6020" s="22">
        <f t="shared" si="189"/>
        <v>-6.1488679143539065E-3</v>
      </c>
      <c r="J6020" s="22" t="str">
        <f t="shared" si="190"/>
        <v>lost money</v>
      </c>
    </row>
    <row r="6021" spans="1:10">
      <c r="A6021" s="1">
        <v>41270</v>
      </c>
      <c r="B6021">
        <v>88.9</v>
      </c>
      <c r="C6021">
        <v>89.13</v>
      </c>
      <c r="D6021">
        <v>87.76</v>
      </c>
      <c r="E6021">
        <v>88.72</v>
      </c>
      <c r="F6021">
        <v>4576600</v>
      </c>
      <c r="G6021">
        <v>85.91</v>
      </c>
      <c r="H6021" t="s">
        <v>13</v>
      </c>
      <c r="I6021" s="22">
        <f t="shared" si="189"/>
        <v>-2.3277467516665139E-4</v>
      </c>
      <c r="J6021" s="22" t="str">
        <f t="shared" si="190"/>
        <v>lost money</v>
      </c>
    </row>
    <row r="6022" spans="1:10">
      <c r="A6022" s="1">
        <v>41271</v>
      </c>
      <c r="B6022">
        <v>88.24</v>
      </c>
      <c r="C6022">
        <v>88.54</v>
      </c>
      <c r="D6022">
        <v>87.47</v>
      </c>
      <c r="E6022">
        <v>87.58</v>
      </c>
      <c r="F6022">
        <v>3725600</v>
      </c>
      <c r="G6022">
        <v>84.81</v>
      </c>
      <c r="H6022" t="s">
        <v>13</v>
      </c>
      <c r="I6022" s="22">
        <f t="shared" si="189"/>
        <v>-1.2886776276356428E-2</v>
      </c>
      <c r="J6022" s="22" t="str">
        <f t="shared" si="190"/>
        <v>lost money</v>
      </c>
    </row>
    <row r="6023" spans="1:10">
      <c r="A6023" s="1">
        <v>41274</v>
      </c>
      <c r="B6023">
        <v>87.42</v>
      </c>
      <c r="C6023">
        <v>88.25</v>
      </c>
      <c r="D6023">
        <v>86.81</v>
      </c>
      <c r="E6023">
        <v>88.21</v>
      </c>
      <c r="F6023">
        <v>6236600</v>
      </c>
      <c r="G6023">
        <v>85.42</v>
      </c>
      <c r="H6023" t="s">
        <v>13</v>
      </c>
      <c r="I6023" s="22">
        <f t="shared" si="189"/>
        <v>7.1668050397118667E-3</v>
      </c>
      <c r="J6023" s="22" t="str">
        <f t="shared" si="190"/>
        <v/>
      </c>
    </row>
    <row r="6024" spans="1:10">
      <c r="A6024" s="1">
        <v>41276</v>
      </c>
      <c r="B6024">
        <v>89.4</v>
      </c>
      <c r="C6024">
        <v>90.35</v>
      </c>
      <c r="D6024">
        <v>89.33</v>
      </c>
      <c r="E6024">
        <v>90.12</v>
      </c>
      <c r="F6024">
        <v>7377200</v>
      </c>
      <c r="G6024">
        <v>87.27</v>
      </c>
      <c r="H6024" t="s">
        <v>13</v>
      </c>
      <c r="I6024" s="22">
        <f t="shared" si="189"/>
        <v>2.142649576189937E-2</v>
      </c>
      <c r="J6024" s="22" t="str">
        <f t="shared" si="190"/>
        <v/>
      </c>
    </row>
    <row r="6025" spans="1:10">
      <c r="A6025" s="1">
        <v>41277</v>
      </c>
      <c r="B6025">
        <v>90.31</v>
      </c>
      <c r="C6025">
        <v>90.7</v>
      </c>
      <c r="D6025">
        <v>90.16</v>
      </c>
      <c r="E6025">
        <v>90.63</v>
      </c>
      <c r="F6025">
        <v>5473500</v>
      </c>
      <c r="G6025">
        <v>87.76</v>
      </c>
      <c r="H6025" t="s">
        <v>13</v>
      </c>
      <c r="I6025" s="22">
        <f t="shared" si="189"/>
        <v>5.5990547917550574E-3</v>
      </c>
      <c r="J6025" s="22" t="str">
        <f t="shared" si="190"/>
        <v/>
      </c>
    </row>
    <row r="6026" spans="1:10">
      <c r="A6026" s="1">
        <v>41278</v>
      </c>
      <c r="B6026">
        <v>90.62</v>
      </c>
      <c r="C6026">
        <v>90.79</v>
      </c>
      <c r="D6026">
        <v>89.67</v>
      </c>
      <c r="E6026">
        <v>89.85</v>
      </c>
      <c r="F6026">
        <v>5374100</v>
      </c>
      <c r="G6026">
        <v>87.01</v>
      </c>
      <c r="H6026" t="s">
        <v>13</v>
      </c>
      <c r="I6026" s="22">
        <f t="shared" si="189"/>
        <v>-8.582761389041774E-3</v>
      </c>
      <c r="J6026" s="22" t="str">
        <f t="shared" si="190"/>
        <v>lost money</v>
      </c>
    </row>
    <row r="6027" spans="1:10">
      <c r="A6027" s="1">
        <v>41281</v>
      </c>
      <c r="B6027">
        <v>89.77</v>
      </c>
      <c r="C6027">
        <v>91.05</v>
      </c>
      <c r="D6027">
        <v>89.25</v>
      </c>
      <c r="E6027">
        <v>90.91</v>
      </c>
      <c r="F6027">
        <v>5820900</v>
      </c>
      <c r="G6027">
        <v>88.03</v>
      </c>
      <c r="H6027" t="s">
        <v>13</v>
      </c>
      <c r="I6027" s="22">
        <f t="shared" si="189"/>
        <v>1.1654610894881666E-2</v>
      </c>
      <c r="J6027" s="22" t="str">
        <f t="shared" si="190"/>
        <v/>
      </c>
    </row>
    <row r="6028" spans="1:10">
      <c r="A6028" s="1">
        <v>41282</v>
      </c>
      <c r="B6028">
        <v>90.54</v>
      </c>
      <c r="C6028">
        <v>90.96</v>
      </c>
      <c r="D6028">
        <v>89.97</v>
      </c>
      <c r="E6028">
        <v>90.94</v>
      </c>
      <c r="F6028">
        <v>6285200</v>
      </c>
      <c r="G6028">
        <v>88.06</v>
      </c>
      <c r="H6028" t="s">
        <v>13</v>
      </c>
      <c r="I6028" s="22">
        <f t="shared" si="189"/>
        <v>3.4073485479291807E-4</v>
      </c>
      <c r="J6028" s="22" t="str">
        <f t="shared" si="190"/>
        <v/>
      </c>
    </row>
    <row r="6029" spans="1:10">
      <c r="A6029" s="1">
        <v>41283</v>
      </c>
      <c r="B6029">
        <v>90.8</v>
      </c>
      <c r="C6029">
        <v>91.24</v>
      </c>
      <c r="D6029">
        <v>90.36</v>
      </c>
      <c r="E6029">
        <v>90.81</v>
      </c>
      <c r="F6029">
        <v>4822100</v>
      </c>
      <c r="G6029">
        <v>87.94</v>
      </c>
      <c r="H6029" t="s">
        <v>13</v>
      </c>
      <c r="I6029" s="22">
        <f t="shared" si="189"/>
        <v>-1.3636365749437925E-3</v>
      </c>
      <c r="J6029" s="22" t="str">
        <f t="shared" si="190"/>
        <v/>
      </c>
    </row>
    <row r="6030" spans="1:10">
      <c r="A6030" s="1">
        <v>41284</v>
      </c>
      <c r="B6030">
        <v>91.35</v>
      </c>
      <c r="C6030">
        <v>91.64</v>
      </c>
      <c r="D6030">
        <v>91.03</v>
      </c>
      <c r="E6030">
        <v>91.4</v>
      </c>
      <c r="F6030">
        <v>4393300</v>
      </c>
      <c r="G6030">
        <v>88.51</v>
      </c>
      <c r="H6030" t="s">
        <v>13</v>
      </c>
      <c r="I6030" s="22">
        <f t="shared" si="189"/>
        <v>6.4607762281216029E-3</v>
      </c>
      <c r="J6030" s="22" t="str">
        <f t="shared" si="190"/>
        <v/>
      </c>
    </row>
    <row r="6031" spans="1:10">
      <c r="A6031" s="1">
        <v>41285</v>
      </c>
      <c r="B6031">
        <v>91.94</v>
      </c>
      <c r="C6031">
        <v>91.98</v>
      </c>
      <c r="D6031">
        <v>91.05</v>
      </c>
      <c r="E6031">
        <v>91.73</v>
      </c>
      <c r="F6031">
        <v>3692600</v>
      </c>
      <c r="G6031">
        <v>88.83</v>
      </c>
      <c r="H6031" t="s">
        <v>13</v>
      </c>
      <c r="I6031" s="22">
        <f t="shared" si="189"/>
        <v>3.608890800823886E-3</v>
      </c>
      <c r="J6031" s="22" t="str">
        <f t="shared" si="190"/>
        <v>lost money</v>
      </c>
    </row>
    <row r="6032" spans="1:10">
      <c r="A6032" s="1">
        <v>41288</v>
      </c>
      <c r="B6032">
        <v>91.76</v>
      </c>
      <c r="C6032">
        <v>92.12</v>
      </c>
      <c r="D6032">
        <v>91.43</v>
      </c>
      <c r="E6032">
        <v>91.53</v>
      </c>
      <c r="F6032">
        <v>3828100</v>
      </c>
      <c r="G6032">
        <v>88.63</v>
      </c>
      <c r="H6032" t="s">
        <v>13</v>
      </c>
      <c r="I6032" s="22">
        <f t="shared" si="189"/>
        <v>-2.2540300313030905E-3</v>
      </c>
      <c r="J6032" s="22" t="str">
        <f t="shared" si="190"/>
        <v>lost money</v>
      </c>
    </row>
    <row r="6033" spans="1:10">
      <c r="A6033" s="1">
        <v>41289</v>
      </c>
      <c r="B6033">
        <v>91.11</v>
      </c>
      <c r="C6033">
        <v>91.63</v>
      </c>
      <c r="D6033">
        <v>90.86</v>
      </c>
      <c r="E6033">
        <v>91.51</v>
      </c>
      <c r="F6033">
        <v>3910400</v>
      </c>
      <c r="G6033">
        <v>88.61</v>
      </c>
      <c r="H6033" t="s">
        <v>13</v>
      </c>
      <c r="I6033" s="22">
        <f t="shared" si="189"/>
        <v>-2.2568269109553841E-4</v>
      </c>
      <c r="J6033" s="22" t="str">
        <f t="shared" si="190"/>
        <v/>
      </c>
    </row>
    <row r="6034" spans="1:10">
      <c r="A6034" s="1">
        <v>41290</v>
      </c>
      <c r="B6034">
        <v>91.13</v>
      </c>
      <c r="C6034">
        <v>91.32</v>
      </c>
      <c r="D6034">
        <v>90.91</v>
      </c>
      <c r="E6034">
        <v>91.1</v>
      </c>
      <c r="F6034">
        <v>2925800</v>
      </c>
      <c r="G6034">
        <v>88.22</v>
      </c>
      <c r="H6034" t="s">
        <v>13</v>
      </c>
      <c r="I6034" s="22">
        <f t="shared" si="189"/>
        <v>-4.4110233824174181E-3</v>
      </c>
      <c r="J6034" s="22" t="str">
        <f t="shared" si="190"/>
        <v>lost money</v>
      </c>
    </row>
    <row r="6035" spans="1:10">
      <c r="A6035" s="1">
        <v>41291</v>
      </c>
      <c r="B6035">
        <v>91.45</v>
      </c>
      <c r="C6035">
        <v>92.1</v>
      </c>
      <c r="D6035">
        <v>91.31</v>
      </c>
      <c r="E6035">
        <v>91.76</v>
      </c>
      <c r="F6035">
        <v>4044600</v>
      </c>
      <c r="G6035">
        <v>88.86</v>
      </c>
      <c r="H6035" t="s">
        <v>13</v>
      </c>
      <c r="I6035" s="22">
        <f t="shared" si="189"/>
        <v>7.2284028309687965E-3</v>
      </c>
      <c r="J6035" s="22" t="str">
        <f t="shared" si="190"/>
        <v/>
      </c>
    </row>
    <row r="6036" spans="1:10">
      <c r="A6036" s="1">
        <v>41292</v>
      </c>
      <c r="B6036">
        <v>92.07</v>
      </c>
      <c r="C6036">
        <v>92.3</v>
      </c>
      <c r="D6036">
        <v>91.85</v>
      </c>
      <c r="E6036">
        <v>92.26</v>
      </c>
      <c r="F6036">
        <v>5579900</v>
      </c>
      <c r="G6036">
        <v>89.34</v>
      </c>
      <c r="H6036" t="s">
        <v>13</v>
      </c>
      <c r="I6036" s="22">
        <f t="shared" si="189"/>
        <v>5.3872184162103206E-3</v>
      </c>
      <c r="J6036" s="22" t="str">
        <f t="shared" si="190"/>
        <v/>
      </c>
    </row>
    <row r="6037" spans="1:10">
      <c r="A6037" s="1">
        <v>41296</v>
      </c>
      <c r="B6037">
        <v>92.15</v>
      </c>
      <c r="C6037">
        <v>93.33</v>
      </c>
      <c r="D6037">
        <v>91.81</v>
      </c>
      <c r="E6037">
        <v>92.95</v>
      </c>
      <c r="F6037">
        <v>6967300</v>
      </c>
      <c r="G6037">
        <v>90.01</v>
      </c>
      <c r="H6037" t="s">
        <v>13</v>
      </c>
      <c r="I6037" s="22">
        <f t="shared" si="189"/>
        <v>7.4714593450212058E-3</v>
      </c>
      <c r="J6037" s="22" t="str">
        <f t="shared" si="190"/>
        <v/>
      </c>
    </row>
    <row r="6038" spans="1:10">
      <c r="A6038" s="1">
        <v>41297</v>
      </c>
      <c r="B6038">
        <v>93.45</v>
      </c>
      <c r="C6038">
        <v>93.75</v>
      </c>
      <c r="D6038">
        <v>92.25</v>
      </c>
      <c r="E6038">
        <v>93.48</v>
      </c>
      <c r="F6038">
        <v>9368000</v>
      </c>
      <c r="G6038">
        <v>90.52</v>
      </c>
      <c r="H6038" t="s">
        <v>13</v>
      </c>
      <c r="I6038" s="22">
        <f t="shared" si="189"/>
        <v>5.6500454963427302E-3</v>
      </c>
      <c r="J6038" s="22" t="str">
        <f t="shared" si="190"/>
        <v/>
      </c>
    </row>
    <row r="6039" spans="1:10">
      <c r="A6039" s="1">
        <v>41298</v>
      </c>
      <c r="B6039">
        <v>93.58</v>
      </c>
      <c r="C6039">
        <v>93.6</v>
      </c>
      <c r="D6039">
        <v>93.02</v>
      </c>
      <c r="E6039">
        <v>93.31</v>
      </c>
      <c r="F6039">
        <v>5157200</v>
      </c>
      <c r="G6039">
        <v>90.36</v>
      </c>
      <c r="H6039" t="s">
        <v>13</v>
      </c>
      <c r="I6039" s="22">
        <f t="shared" si="189"/>
        <v>-1.7691291655340558E-3</v>
      </c>
      <c r="J6039" s="22" t="str">
        <f t="shared" si="190"/>
        <v>lost money</v>
      </c>
    </row>
    <row r="6040" spans="1:10">
      <c r="A6040" s="1">
        <v>41299</v>
      </c>
      <c r="B6040">
        <v>93.31</v>
      </c>
      <c r="C6040">
        <v>93.94</v>
      </c>
      <c r="D6040">
        <v>93.28</v>
      </c>
      <c r="E6040">
        <v>93.72</v>
      </c>
      <c r="F6040">
        <v>5461600</v>
      </c>
      <c r="G6040">
        <v>90.75</v>
      </c>
      <c r="H6040" t="s">
        <v>13</v>
      </c>
      <c r="I6040" s="22">
        <f t="shared" si="189"/>
        <v>4.3067815451576369E-3</v>
      </c>
      <c r="J6040" s="22" t="str">
        <f t="shared" si="190"/>
        <v/>
      </c>
    </row>
    <row r="6041" spans="1:10">
      <c r="A6041" s="1">
        <v>41302</v>
      </c>
      <c r="B6041">
        <v>93.94</v>
      </c>
      <c r="C6041">
        <v>94.58</v>
      </c>
      <c r="D6041">
        <v>93.64</v>
      </c>
      <c r="E6041">
        <v>94.36</v>
      </c>
      <c r="F6041">
        <v>4564600</v>
      </c>
      <c r="G6041">
        <v>91.37</v>
      </c>
      <c r="H6041" t="s">
        <v>13</v>
      </c>
      <c r="I6041" s="22">
        <f t="shared" si="189"/>
        <v>6.8087238655691537E-3</v>
      </c>
      <c r="J6041" s="22" t="str">
        <f t="shared" si="190"/>
        <v/>
      </c>
    </row>
    <row r="6042" spans="1:10">
      <c r="A6042" s="1">
        <v>41303</v>
      </c>
      <c r="B6042">
        <v>94.15</v>
      </c>
      <c r="C6042">
        <v>94.99</v>
      </c>
      <c r="D6042">
        <v>94.05</v>
      </c>
      <c r="E6042">
        <v>94.92</v>
      </c>
      <c r="F6042">
        <v>4929700</v>
      </c>
      <c r="G6042">
        <v>91.92</v>
      </c>
      <c r="H6042" t="s">
        <v>13</v>
      </c>
      <c r="I6042" s="22">
        <f t="shared" si="189"/>
        <v>6.0014365299710061E-3</v>
      </c>
      <c r="J6042" s="22" t="str">
        <f t="shared" si="190"/>
        <v/>
      </c>
    </row>
    <row r="6043" spans="1:10">
      <c r="A6043" s="1">
        <v>41304</v>
      </c>
      <c r="B6043">
        <v>94.88</v>
      </c>
      <c r="C6043">
        <v>95.1</v>
      </c>
      <c r="D6043">
        <v>94.43</v>
      </c>
      <c r="E6043">
        <v>94.67</v>
      </c>
      <c r="F6043">
        <v>4657600</v>
      </c>
      <c r="G6043">
        <v>91.67</v>
      </c>
      <c r="H6043" t="s">
        <v>13</v>
      </c>
      <c r="I6043" s="22">
        <f t="shared" si="189"/>
        <v>-2.7234615668160372E-3</v>
      </c>
      <c r="J6043" s="22" t="str">
        <f t="shared" si="190"/>
        <v>lost money</v>
      </c>
    </row>
    <row r="6044" spans="1:10">
      <c r="A6044" s="1">
        <v>41305</v>
      </c>
      <c r="B6044">
        <v>94.6</v>
      </c>
      <c r="C6044">
        <v>95.29</v>
      </c>
      <c r="D6044">
        <v>94.46</v>
      </c>
      <c r="E6044">
        <v>95.29</v>
      </c>
      <c r="F6044">
        <v>5740500</v>
      </c>
      <c r="G6044">
        <v>92.27</v>
      </c>
      <c r="H6044" t="s">
        <v>13</v>
      </c>
      <c r="I6044" s="22">
        <f t="shared" si="189"/>
        <v>6.5238896167801059E-3</v>
      </c>
      <c r="J6044" s="22" t="str">
        <f t="shared" si="190"/>
        <v/>
      </c>
    </row>
    <row r="6045" spans="1:10">
      <c r="A6045" s="1">
        <v>41306</v>
      </c>
      <c r="B6045">
        <v>95.58</v>
      </c>
      <c r="C6045">
        <v>96.32</v>
      </c>
      <c r="D6045">
        <v>95.5</v>
      </c>
      <c r="E6045">
        <v>95.95</v>
      </c>
      <c r="F6045">
        <v>5481100</v>
      </c>
      <c r="G6045">
        <v>92.91</v>
      </c>
      <c r="H6045" t="s">
        <v>13</v>
      </c>
      <c r="I6045" s="22">
        <f t="shared" si="189"/>
        <v>6.9122210627566016E-3</v>
      </c>
      <c r="J6045" s="22" t="str">
        <f t="shared" si="190"/>
        <v/>
      </c>
    </row>
    <row r="6046" spans="1:10">
      <c r="A6046" s="1">
        <v>41309</v>
      </c>
      <c r="B6046">
        <v>95.4</v>
      </c>
      <c r="C6046">
        <v>95.79</v>
      </c>
      <c r="D6046">
        <v>94.5</v>
      </c>
      <c r="E6046">
        <v>94.6</v>
      </c>
      <c r="F6046">
        <v>5933300</v>
      </c>
      <c r="G6046">
        <v>91.61</v>
      </c>
      <c r="H6046" t="s">
        <v>13</v>
      </c>
      <c r="I6046" s="22">
        <f t="shared" si="189"/>
        <v>-1.4090846626103772E-2</v>
      </c>
      <c r="J6046" s="22" t="str">
        <f t="shared" si="190"/>
        <v>lost money</v>
      </c>
    </row>
    <row r="6047" spans="1:10">
      <c r="A6047" s="1">
        <v>41310</v>
      </c>
      <c r="B6047">
        <v>94.59</v>
      </c>
      <c r="C6047">
        <v>95.54</v>
      </c>
      <c r="D6047">
        <v>94.51</v>
      </c>
      <c r="E6047">
        <v>94.91</v>
      </c>
      <c r="F6047">
        <v>4952800</v>
      </c>
      <c r="G6047">
        <v>91.91</v>
      </c>
      <c r="H6047" t="s">
        <v>13</v>
      </c>
      <c r="I6047" s="22">
        <f t="shared" si="189"/>
        <v>3.2694013429008075E-3</v>
      </c>
      <c r="J6047" s="22" t="str">
        <f t="shared" si="190"/>
        <v/>
      </c>
    </row>
    <row r="6048" spans="1:10">
      <c r="A6048" s="1">
        <v>41311</v>
      </c>
      <c r="B6048">
        <v>94.49</v>
      </c>
      <c r="C6048">
        <v>95.33</v>
      </c>
      <c r="D6048">
        <v>94.41</v>
      </c>
      <c r="E6048">
        <v>95.07</v>
      </c>
      <c r="F6048">
        <v>4482700</v>
      </c>
      <c r="G6048">
        <v>92.06</v>
      </c>
      <c r="H6048" t="s">
        <v>13</v>
      </c>
      <c r="I6048" s="22">
        <f t="shared" si="189"/>
        <v>1.630701019077404E-3</v>
      </c>
      <c r="J6048" s="22" t="str">
        <f t="shared" si="190"/>
        <v/>
      </c>
    </row>
    <row r="6049" spans="1:10">
      <c r="A6049" s="1">
        <v>41312</v>
      </c>
      <c r="B6049">
        <v>95.03</v>
      </c>
      <c r="C6049">
        <v>95.06</v>
      </c>
      <c r="D6049">
        <v>94.07</v>
      </c>
      <c r="E6049">
        <v>94.63</v>
      </c>
      <c r="F6049">
        <v>5619600</v>
      </c>
      <c r="G6049">
        <v>91.63</v>
      </c>
      <c r="H6049" t="s">
        <v>13</v>
      </c>
      <c r="I6049" s="22">
        <f t="shared" si="189"/>
        <v>-4.6818094119736239E-3</v>
      </c>
      <c r="J6049" s="22" t="str">
        <f t="shared" si="190"/>
        <v>lost money</v>
      </c>
    </row>
    <row r="6050" spans="1:10">
      <c r="A6050" s="1">
        <v>41313</v>
      </c>
      <c r="B6050">
        <v>94.39</v>
      </c>
      <c r="C6050">
        <v>95.48</v>
      </c>
      <c r="D6050">
        <v>94.36</v>
      </c>
      <c r="E6050">
        <v>94.87</v>
      </c>
      <c r="F6050">
        <v>5331600</v>
      </c>
      <c r="G6050">
        <v>91.87</v>
      </c>
      <c r="H6050" t="s">
        <v>13</v>
      </c>
      <c r="I6050" s="22">
        <f t="shared" si="189"/>
        <v>2.6158053062532338E-3</v>
      </c>
      <c r="J6050" s="22" t="str">
        <f t="shared" si="190"/>
        <v/>
      </c>
    </row>
    <row r="6051" spans="1:10">
      <c r="A6051" s="1">
        <v>41316</v>
      </c>
      <c r="B6051">
        <v>94.75</v>
      </c>
      <c r="C6051">
        <v>95.31</v>
      </c>
      <c r="D6051">
        <v>94.6</v>
      </c>
      <c r="E6051">
        <v>95.17</v>
      </c>
      <c r="F6051">
        <v>3557600</v>
      </c>
      <c r="G6051">
        <v>92.16</v>
      </c>
      <c r="H6051" t="s">
        <v>13</v>
      </c>
      <c r="I6051" s="22">
        <f t="shared" si="189"/>
        <v>3.151662664206033E-3</v>
      </c>
      <c r="J6051" s="22" t="str">
        <f t="shared" si="190"/>
        <v/>
      </c>
    </row>
    <row r="6052" spans="1:10">
      <c r="A6052" s="1">
        <v>41317</v>
      </c>
      <c r="B6052">
        <v>95.05</v>
      </c>
      <c r="C6052">
        <v>95.34</v>
      </c>
      <c r="D6052">
        <v>94.81</v>
      </c>
      <c r="E6052">
        <v>95.1</v>
      </c>
      <c r="F6052">
        <v>4526900</v>
      </c>
      <c r="G6052">
        <v>92.09</v>
      </c>
      <c r="H6052" t="s">
        <v>13</v>
      </c>
      <c r="I6052" s="22">
        <f t="shared" si="189"/>
        <v>-7.5983721430539382E-4</v>
      </c>
      <c r="J6052" s="22" t="str">
        <f t="shared" si="190"/>
        <v/>
      </c>
    </row>
    <row r="6053" spans="1:10">
      <c r="A6053" s="1">
        <v>41318</v>
      </c>
      <c r="B6053">
        <v>94.64</v>
      </c>
      <c r="C6053">
        <v>94.75</v>
      </c>
      <c r="D6053">
        <v>93.48</v>
      </c>
      <c r="E6053">
        <v>94</v>
      </c>
      <c r="F6053">
        <v>6663100</v>
      </c>
      <c r="G6053">
        <v>91.02</v>
      </c>
      <c r="H6053" t="s">
        <v>13</v>
      </c>
      <c r="I6053" s="22">
        <f t="shared" si="189"/>
        <v>-1.1687097144779853E-2</v>
      </c>
      <c r="J6053" s="22" t="str">
        <f t="shared" si="190"/>
        <v>lost money</v>
      </c>
    </row>
    <row r="6054" spans="1:10">
      <c r="A6054" s="1">
        <v>41319</v>
      </c>
      <c r="B6054">
        <v>93.86</v>
      </c>
      <c r="C6054">
        <v>93.89</v>
      </c>
      <c r="D6054">
        <v>93.19</v>
      </c>
      <c r="E6054">
        <v>93.56</v>
      </c>
      <c r="F6054">
        <v>5360900</v>
      </c>
      <c r="G6054">
        <v>90.6</v>
      </c>
      <c r="H6054" t="s">
        <v>13</v>
      </c>
      <c r="I6054" s="22">
        <f t="shared" si="189"/>
        <v>-4.6250495395622699E-3</v>
      </c>
      <c r="J6054" s="22" t="str">
        <f t="shared" si="190"/>
        <v>lost money</v>
      </c>
    </row>
    <row r="6055" spans="1:10">
      <c r="A6055" s="1">
        <v>41320</v>
      </c>
      <c r="B6055">
        <v>93.81</v>
      </c>
      <c r="C6055">
        <v>94.31</v>
      </c>
      <c r="D6055">
        <v>93.21</v>
      </c>
      <c r="E6055">
        <v>93.9</v>
      </c>
      <c r="F6055">
        <v>5094100</v>
      </c>
      <c r="G6055">
        <v>90.93</v>
      </c>
      <c r="H6055" t="s">
        <v>13</v>
      </c>
      <c r="I6055" s="22">
        <f t="shared" si="189"/>
        <v>3.635766688887859E-3</v>
      </c>
      <c r="J6055" s="22" t="str">
        <f t="shared" si="190"/>
        <v/>
      </c>
    </row>
    <row r="6056" spans="1:10">
      <c r="A6056" s="1">
        <v>41324</v>
      </c>
      <c r="B6056">
        <v>94.14</v>
      </c>
      <c r="C6056">
        <v>94.49</v>
      </c>
      <c r="D6056">
        <v>93.77</v>
      </c>
      <c r="E6056">
        <v>93.85</v>
      </c>
      <c r="F6056">
        <v>4401900</v>
      </c>
      <c r="G6056">
        <v>90.88</v>
      </c>
      <c r="H6056" t="s">
        <v>13</v>
      </c>
      <c r="I6056" s="22">
        <f t="shared" si="189"/>
        <v>-5.5002476498036462E-4</v>
      </c>
      <c r="J6056" s="22" t="str">
        <f t="shared" si="190"/>
        <v>lost money</v>
      </c>
    </row>
    <row r="6057" spans="1:10">
      <c r="A6057" s="1">
        <v>41325</v>
      </c>
      <c r="B6057">
        <v>93.93</v>
      </c>
      <c r="C6057">
        <v>94.48</v>
      </c>
      <c r="D6057">
        <v>93.75</v>
      </c>
      <c r="E6057">
        <v>93.91</v>
      </c>
      <c r="F6057">
        <v>4023800</v>
      </c>
      <c r="G6057">
        <v>90.94</v>
      </c>
      <c r="H6057" t="s">
        <v>13</v>
      </c>
      <c r="I6057" s="22">
        <f t="shared" si="189"/>
        <v>6.599934240233853E-4</v>
      </c>
      <c r="J6057" s="22" t="str">
        <f t="shared" si="190"/>
        <v>lost money</v>
      </c>
    </row>
    <row r="6058" spans="1:10">
      <c r="A6058" s="1">
        <v>41326</v>
      </c>
      <c r="B6058">
        <v>93.44</v>
      </c>
      <c r="C6058">
        <v>94.45</v>
      </c>
      <c r="D6058">
        <v>93.3</v>
      </c>
      <c r="E6058">
        <v>94.14</v>
      </c>
      <c r="F6058">
        <v>4424600</v>
      </c>
      <c r="G6058">
        <v>91.16</v>
      </c>
      <c r="H6058" t="s">
        <v>13</v>
      </c>
      <c r="I6058" s="22">
        <f t="shared" si="189"/>
        <v>2.4162559806190104E-3</v>
      </c>
      <c r="J6058" s="22" t="str">
        <f t="shared" si="190"/>
        <v/>
      </c>
    </row>
    <row r="6059" spans="1:10">
      <c r="A6059" s="1">
        <v>41327</v>
      </c>
      <c r="B6059">
        <v>94.27</v>
      </c>
      <c r="C6059">
        <v>95.25</v>
      </c>
      <c r="D6059">
        <v>93.85</v>
      </c>
      <c r="E6059">
        <v>95.25</v>
      </c>
      <c r="F6059">
        <v>4421300</v>
      </c>
      <c r="G6059">
        <v>92.23</v>
      </c>
      <c r="H6059" t="s">
        <v>13</v>
      </c>
      <c r="I6059" s="22">
        <f t="shared" si="189"/>
        <v>1.166925287014417E-2</v>
      </c>
      <c r="J6059" s="22" t="str">
        <f t="shared" si="190"/>
        <v/>
      </c>
    </row>
    <row r="6060" spans="1:10">
      <c r="A6060" s="1">
        <v>41330</v>
      </c>
      <c r="B6060">
        <v>95.38</v>
      </c>
      <c r="C6060">
        <v>96.78</v>
      </c>
      <c r="D6060">
        <v>95.26</v>
      </c>
      <c r="E6060">
        <v>96.14</v>
      </c>
      <c r="F6060">
        <v>9028000</v>
      </c>
      <c r="G6060">
        <v>93.1</v>
      </c>
      <c r="H6060" t="s">
        <v>13</v>
      </c>
      <c r="I6060" s="22">
        <f t="shared" si="189"/>
        <v>9.3887270353936736E-3</v>
      </c>
      <c r="J6060" s="22" t="str">
        <f t="shared" si="190"/>
        <v/>
      </c>
    </row>
    <row r="6061" spans="1:10">
      <c r="A6061" s="1">
        <v>41331</v>
      </c>
      <c r="B6061">
        <v>96.35</v>
      </c>
      <c r="C6061">
        <v>96.57</v>
      </c>
      <c r="D6061">
        <v>96.05</v>
      </c>
      <c r="E6061">
        <v>96.22</v>
      </c>
      <c r="F6061">
        <v>6451100</v>
      </c>
      <c r="G6061">
        <v>93.17</v>
      </c>
      <c r="H6061" t="s">
        <v>13</v>
      </c>
      <c r="I6061" s="22">
        <f t="shared" si="189"/>
        <v>7.5159717931234384E-4</v>
      </c>
      <c r="J6061" s="22" t="str">
        <f t="shared" si="190"/>
        <v>lost money</v>
      </c>
    </row>
    <row r="6062" spans="1:10">
      <c r="A6062" s="1">
        <v>41332</v>
      </c>
      <c r="B6062">
        <v>95.36</v>
      </c>
      <c r="C6062">
        <v>95.95</v>
      </c>
      <c r="D6062">
        <v>95.11</v>
      </c>
      <c r="E6062">
        <v>95.73</v>
      </c>
      <c r="F6062">
        <v>4326800</v>
      </c>
      <c r="G6062">
        <v>93.45</v>
      </c>
      <c r="H6062" t="s">
        <v>13</v>
      </c>
      <c r="I6062" s="22">
        <f t="shared" si="189"/>
        <v>3.0007524392382419E-3</v>
      </c>
      <c r="J6062" s="22" t="str">
        <f t="shared" si="190"/>
        <v/>
      </c>
    </row>
    <row r="6063" spans="1:10">
      <c r="A6063" s="1">
        <v>41333</v>
      </c>
      <c r="B6063">
        <v>95.71</v>
      </c>
      <c r="C6063">
        <v>96.22</v>
      </c>
      <c r="D6063">
        <v>95.51</v>
      </c>
      <c r="E6063">
        <v>95.9</v>
      </c>
      <c r="F6063">
        <v>3967600</v>
      </c>
      <c r="G6063">
        <v>93.61</v>
      </c>
      <c r="H6063" t="s">
        <v>13</v>
      </c>
      <c r="I6063" s="22">
        <f t="shared" si="189"/>
        <v>1.7106814820815311E-3</v>
      </c>
      <c r="J6063" s="22" t="str">
        <f t="shared" si="190"/>
        <v/>
      </c>
    </row>
    <row r="6064" spans="1:10">
      <c r="A6064" s="1">
        <v>41334</v>
      </c>
      <c r="B6064">
        <v>95.68</v>
      </c>
      <c r="C6064">
        <v>95.82</v>
      </c>
      <c r="D6064">
        <v>94.96</v>
      </c>
      <c r="E6064">
        <v>95.68</v>
      </c>
      <c r="F6064">
        <v>3823200</v>
      </c>
      <c r="G6064">
        <v>93.4</v>
      </c>
      <c r="H6064" t="s">
        <v>13</v>
      </c>
      <c r="I6064" s="22">
        <f t="shared" si="189"/>
        <v>-2.2458701488563371E-3</v>
      </c>
      <c r="J6064" s="22" t="str">
        <f t="shared" si="190"/>
        <v/>
      </c>
    </row>
    <row r="6065" spans="1:10">
      <c r="A6065" s="1">
        <v>41337</v>
      </c>
      <c r="B6065">
        <v>95.6</v>
      </c>
      <c r="C6065">
        <v>95.67</v>
      </c>
      <c r="D6065">
        <v>94.87</v>
      </c>
      <c r="E6065">
        <v>95.07</v>
      </c>
      <c r="F6065">
        <v>4636900</v>
      </c>
      <c r="G6065">
        <v>92.8</v>
      </c>
      <c r="H6065" t="s">
        <v>13</v>
      </c>
      <c r="I6065" s="22">
        <f t="shared" si="189"/>
        <v>-6.4447054426420951E-3</v>
      </c>
      <c r="J6065" s="22" t="str">
        <f t="shared" si="190"/>
        <v>lost money</v>
      </c>
    </row>
    <row r="6066" spans="1:10">
      <c r="A6066" s="1">
        <v>41338</v>
      </c>
      <c r="B6066">
        <v>95.54</v>
      </c>
      <c r="C6066">
        <v>96.1</v>
      </c>
      <c r="D6066">
        <v>95.33</v>
      </c>
      <c r="E6066">
        <v>95.81</v>
      </c>
      <c r="F6066">
        <v>5643000</v>
      </c>
      <c r="G6066">
        <v>93.53</v>
      </c>
      <c r="H6066" t="s">
        <v>13</v>
      </c>
      <c r="I6066" s="22">
        <f t="shared" si="189"/>
        <v>7.8356006543047352E-3</v>
      </c>
      <c r="J6066" s="22" t="str">
        <f t="shared" si="190"/>
        <v/>
      </c>
    </row>
    <row r="6067" spans="1:10">
      <c r="A6067" s="1">
        <v>41339</v>
      </c>
      <c r="B6067">
        <v>95.95</v>
      </c>
      <c r="C6067">
        <v>96.82</v>
      </c>
      <c r="D6067">
        <v>95.93</v>
      </c>
      <c r="E6067">
        <v>96.81</v>
      </c>
      <c r="F6067">
        <v>5052000</v>
      </c>
      <c r="G6067">
        <v>94.5</v>
      </c>
      <c r="H6067" t="s">
        <v>13</v>
      </c>
      <c r="I6067" s="22">
        <f t="shared" si="189"/>
        <v>1.0317594053237414E-2</v>
      </c>
      <c r="J6067" s="22" t="str">
        <f t="shared" si="190"/>
        <v/>
      </c>
    </row>
    <row r="6068" spans="1:10">
      <c r="A6068" s="1">
        <v>41340</v>
      </c>
      <c r="B6068">
        <v>96.64</v>
      </c>
      <c r="C6068">
        <v>97.16</v>
      </c>
      <c r="D6068">
        <v>96.64</v>
      </c>
      <c r="E6068">
        <v>97.09</v>
      </c>
      <c r="F6068">
        <v>4566400</v>
      </c>
      <c r="G6068">
        <v>94.77</v>
      </c>
      <c r="H6068" t="s">
        <v>13</v>
      </c>
      <c r="I6068" s="22">
        <f t="shared" si="189"/>
        <v>2.8530689824064807E-3</v>
      </c>
      <c r="J6068" s="22" t="str">
        <f t="shared" si="190"/>
        <v/>
      </c>
    </row>
    <row r="6069" spans="1:10">
      <c r="A6069" s="1">
        <v>41341</v>
      </c>
      <c r="B6069">
        <v>98.13</v>
      </c>
      <c r="C6069">
        <v>98.95</v>
      </c>
      <c r="D6069">
        <v>98.03</v>
      </c>
      <c r="E6069">
        <v>98.71</v>
      </c>
      <c r="F6069">
        <v>8838100</v>
      </c>
      <c r="G6069">
        <v>96.36</v>
      </c>
      <c r="H6069" t="s">
        <v>13</v>
      </c>
      <c r="I6069" s="22">
        <f t="shared" si="189"/>
        <v>1.6638274264567033E-2</v>
      </c>
      <c r="J6069" s="22" t="str">
        <f t="shared" si="190"/>
        <v/>
      </c>
    </row>
    <row r="6070" spans="1:10">
      <c r="A6070" s="1">
        <v>41344</v>
      </c>
      <c r="B6070">
        <v>98.46</v>
      </c>
      <c r="C6070">
        <v>98.89</v>
      </c>
      <c r="D6070">
        <v>98.28</v>
      </c>
      <c r="E6070">
        <v>98.89</v>
      </c>
      <c r="F6070">
        <v>4853400</v>
      </c>
      <c r="G6070">
        <v>96.53</v>
      </c>
      <c r="H6070" t="s">
        <v>13</v>
      </c>
      <c r="I6070" s="22">
        <f t="shared" si="189"/>
        <v>1.7626631138531776E-3</v>
      </c>
      <c r="J6070" s="22" t="str">
        <f t="shared" si="190"/>
        <v/>
      </c>
    </row>
    <row r="6071" spans="1:10">
      <c r="A6071" s="1">
        <v>41345</v>
      </c>
      <c r="B6071">
        <v>98.86</v>
      </c>
      <c r="C6071">
        <v>98.87</v>
      </c>
      <c r="D6071">
        <v>98.53</v>
      </c>
      <c r="E6071">
        <v>98.76</v>
      </c>
      <c r="F6071">
        <v>3856000</v>
      </c>
      <c r="G6071">
        <v>96.41</v>
      </c>
      <c r="H6071" t="s">
        <v>13</v>
      </c>
      <c r="I6071" s="22">
        <f t="shared" si="189"/>
        <v>-1.2439101842348335E-3</v>
      </c>
      <c r="J6071" s="22" t="str">
        <f t="shared" si="190"/>
        <v>lost money</v>
      </c>
    </row>
    <row r="6072" spans="1:10">
      <c r="A6072" s="1">
        <v>41346</v>
      </c>
      <c r="B6072">
        <v>98.74</v>
      </c>
      <c r="C6072">
        <v>99.47</v>
      </c>
      <c r="D6072">
        <v>98.54</v>
      </c>
      <c r="E6072">
        <v>99.38</v>
      </c>
      <c r="F6072">
        <v>3896600</v>
      </c>
      <c r="G6072">
        <v>97.01</v>
      </c>
      <c r="H6072" t="s">
        <v>13</v>
      </c>
      <c r="I6072" s="22">
        <f t="shared" si="189"/>
        <v>6.2041352969031752E-3</v>
      </c>
      <c r="J6072" s="22" t="str">
        <f t="shared" si="190"/>
        <v/>
      </c>
    </row>
    <row r="6073" spans="1:10">
      <c r="A6073" s="1">
        <v>41347</v>
      </c>
      <c r="B6073">
        <v>99.36</v>
      </c>
      <c r="C6073">
        <v>99.38</v>
      </c>
      <c r="D6073">
        <v>98.9</v>
      </c>
      <c r="E6073">
        <v>99.31</v>
      </c>
      <c r="F6073">
        <v>3649900</v>
      </c>
      <c r="G6073">
        <v>96.94</v>
      </c>
      <c r="H6073" t="s">
        <v>13</v>
      </c>
      <c r="I6073" s="22">
        <f t="shared" si="189"/>
        <v>-7.2183555596233627E-4</v>
      </c>
      <c r="J6073" s="22" t="str">
        <f t="shared" si="190"/>
        <v>lost money</v>
      </c>
    </row>
    <row r="6074" spans="1:10">
      <c r="A6074" s="1">
        <v>41348</v>
      </c>
      <c r="B6074">
        <v>98.97</v>
      </c>
      <c r="C6074">
        <v>99.7</v>
      </c>
      <c r="D6074">
        <v>98.82</v>
      </c>
      <c r="E6074">
        <v>99.67</v>
      </c>
      <c r="F6074">
        <v>6388000</v>
      </c>
      <c r="G6074">
        <v>97.29</v>
      </c>
      <c r="H6074" t="s">
        <v>13</v>
      </c>
      <c r="I6074" s="22">
        <f t="shared" si="189"/>
        <v>3.6039785701064897E-3</v>
      </c>
      <c r="J6074" s="22" t="str">
        <f t="shared" si="190"/>
        <v/>
      </c>
    </row>
    <row r="6075" spans="1:10">
      <c r="A6075" s="1">
        <v>41351</v>
      </c>
      <c r="B6075">
        <v>98.95</v>
      </c>
      <c r="C6075">
        <v>99.34</v>
      </c>
      <c r="D6075">
        <v>98.21</v>
      </c>
      <c r="E6075">
        <v>98.57</v>
      </c>
      <c r="F6075">
        <v>3934500</v>
      </c>
      <c r="G6075">
        <v>96.22</v>
      </c>
      <c r="H6075" t="s">
        <v>13</v>
      </c>
      <c r="I6075" s="22">
        <f t="shared" si="189"/>
        <v>-1.105897271602877E-2</v>
      </c>
      <c r="J6075" s="22" t="str">
        <f t="shared" si="190"/>
        <v>lost money</v>
      </c>
    </row>
    <row r="6076" spans="1:10">
      <c r="A6076" s="1">
        <v>41352</v>
      </c>
      <c r="B6076">
        <v>98.78</v>
      </c>
      <c r="C6076">
        <v>98.99</v>
      </c>
      <c r="D6076">
        <v>98.2</v>
      </c>
      <c r="E6076">
        <v>98.4</v>
      </c>
      <c r="F6076">
        <v>4648500</v>
      </c>
      <c r="G6076">
        <v>96.05</v>
      </c>
      <c r="H6076" t="s">
        <v>13</v>
      </c>
      <c r="I6076" s="22">
        <f t="shared" si="189"/>
        <v>-1.7683470567420034E-3</v>
      </c>
      <c r="J6076" s="22" t="str">
        <f t="shared" si="190"/>
        <v>lost money</v>
      </c>
    </row>
    <row r="6077" spans="1:10">
      <c r="A6077" s="1">
        <v>41353</v>
      </c>
      <c r="B6077">
        <v>98.59</v>
      </c>
      <c r="C6077">
        <v>98.9</v>
      </c>
      <c r="D6077">
        <v>98.59</v>
      </c>
      <c r="E6077">
        <v>98.77</v>
      </c>
      <c r="F6077">
        <v>3534900</v>
      </c>
      <c r="G6077">
        <v>96.41</v>
      </c>
      <c r="H6077" t="s">
        <v>13</v>
      </c>
      <c r="I6077" s="22">
        <f t="shared" si="189"/>
        <v>3.7410414617234117E-3</v>
      </c>
      <c r="J6077" s="22" t="str">
        <f t="shared" si="190"/>
        <v/>
      </c>
    </row>
    <row r="6078" spans="1:10">
      <c r="A6078" s="1">
        <v>41354</v>
      </c>
      <c r="B6078">
        <v>98.5</v>
      </c>
      <c r="C6078">
        <v>98.88</v>
      </c>
      <c r="D6078">
        <v>98.42</v>
      </c>
      <c r="E6078">
        <v>98.53</v>
      </c>
      <c r="F6078">
        <v>3523400</v>
      </c>
      <c r="G6078">
        <v>96.18</v>
      </c>
      <c r="H6078" t="s">
        <v>13</v>
      </c>
      <c r="I6078" s="22">
        <f t="shared" si="189"/>
        <v>-2.3884948267722727E-3</v>
      </c>
      <c r="J6078" s="22" t="str">
        <f t="shared" si="190"/>
        <v/>
      </c>
    </row>
    <row r="6079" spans="1:10">
      <c r="A6079" s="1">
        <v>41355</v>
      </c>
      <c r="B6079">
        <v>98.52</v>
      </c>
      <c r="C6079">
        <v>99.62</v>
      </c>
      <c r="D6079">
        <v>98.52</v>
      </c>
      <c r="E6079">
        <v>99.27</v>
      </c>
      <c r="F6079">
        <v>4160000</v>
      </c>
      <c r="G6079">
        <v>96.9</v>
      </c>
      <c r="H6079" t="s">
        <v>13</v>
      </c>
      <c r="I6079" s="22">
        <f t="shared" si="189"/>
        <v>7.458083047203916E-3</v>
      </c>
      <c r="J6079" s="22" t="str">
        <f t="shared" si="190"/>
        <v/>
      </c>
    </row>
    <row r="6080" spans="1:10">
      <c r="A6080" s="1">
        <v>41358</v>
      </c>
      <c r="B6080">
        <v>99.46</v>
      </c>
      <c r="C6080">
        <v>99.6</v>
      </c>
      <c r="D6080">
        <v>98.12</v>
      </c>
      <c r="E6080">
        <v>98.24</v>
      </c>
      <c r="F6080">
        <v>4932500</v>
      </c>
      <c r="G6080">
        <v>95.9</v>
      </c>
      <c r="H6080" t="s">
        <v>13</v>
      </c>
      <c r="I6080" s="22">
        <f t="shared" si="189"/>
        <v>-1.0373537007328057E-2</v>
      </c>
      <c r="J6080" s="22" t="str">
        <f t="shared" si="190"/>
        <v>lost money</v>
      </c>
    </row>
    <row r="6081" spans="1:10">
      <c r="A6081" s="1">
        <v>41359</v>
      </c>
      <c r="B6081">
        <v>98.35</v>
      </c>
      <c r="C6081">
        <v>98.67</v>
      </c>
      <c r="D6081">
        <v>98.26</v>
      </c>
      <c r="E6081">
        <v>98.5</v>
      </c>
      <c r="F6081">
        <v>4434000</v>
      </c>
      <c r="G6081">
        <v>96.15</v>
      </c>
      <c r="H6081" t="s">
        <v>13</v>
      </c>
      <c r="I6081" s="22">
        <f t="shared" si="189"/>
        <v>2.6034901453962536E-3</v>
      </c>
      <c r="J6081" s="22" t="str">
        <f t="shared" si="190"/>
        <v/>
      </c>
    </row>
    <row r="6082" spans="1:10">
      <c r="A6082" s="1">
        <v>41360</v>
      </c>
      <c r="B6082">
        <v>98.19</v>
      </c>
      <c r="C6082">
        <v>99.29</v>
      </c>
      <c r="D6082">
        <v>98.18</v>
      </c>
      <c r="E6082">
        <v>98.9</v>
      </c>
      <c r="F6082">
        <v>4401700</v>
      </c>
      <c r="G6082">
        <v>96.54</v>
      </c>
      <c r="H6082" t="s">
        <v>13</v>
      </c>
      <c r="I6082" s="22">
        <f t="shared" si="189"/>
        <v>4.0479581975581035E-3</v>
      </c>
      <c r="J6082" s="22" t="str">
        <f t="shared" si="190"/>
        <v/>
      </c>
    </row>
    <row r="6083" spans="1:10">
      <c r="A6083" s="1">
        <v>41361</v>
      </c>
      <c r="B6083">
        <v>98.88</v>
      </c>
      <c r="C6083">
        <v>99.78</v>
      </c>
      <c r="D6083">
        <v>98.67</v>
      </c>
      <c r="E6083">
        <v>99.69</v>
      </c>
      <c r="F6083">
        <v>3954700</v>
      </c>
      <c r="G6083">
        <v>97.31</v>
      </c>
      <c r="H6083" t="s">
        <v>13</v>
      </c>
      <c r="I6083" s="22">
        <f t="shared" ref="I6083:I6146" si="191">IF(A6083=$A$2,"",LN(G6083/G6082))</f>
        <v>7.9443286015506969E-3</v>
      </c>
      <c r="J6083" s="22" t="str">
        <f t="shared" ref="J6083:J6146" si="192">IF(B6083&gt;E6083,"lost money","")</f>
        <v/>
      </c>
    </row>
    <row r="6084" spans="1:10">
      <c r="A6084" s="1">
        <v>41365</v>
      </c>
      <c r="B6084">
        <v>99.41</v>
      </c>
      <c r="C6084">
        <v>99.68</v>
      </c>
      <c r="D6084">
        <v>98.85</v>
      </c>
      <c r="E6084">
        <v>99.05</v>
      </c>
      <c r="F6084">
        <v>3155800</v>
      </c>
      <c r="G6084">
        <v>96.69</v>
      </c>
      <c r="H6084" t="s">
        <v>13</v>
      </c>
      <c r="I6084" s="22">
        <f t="shared" si="191"/>
        <v>-6.3917743384414756E-3</v>
      </c>
      <c r="J6084" s="22" t="str">
        <f t="shared" si="192"/>
        <v>lost money</v>
      </c>
    </row>
    <row r="6085" spans="1:10">
      <c r="A6085" s="1">
        <v>41366</v>
      </c>
      <c r="B6085">
        <v>99.4</v>
      </c>
      <c r="C6085">
        <v>100.42</v>
      </c>
      <c r="D6085">
        <v>99.03</v>
      </c>
      <c r="E6085">
        <v>100.26</v>
      </c>
      <c r="F6085">
        <v>5136800</v>
      </c>
      <c r="G6085">
        <v>97.87</v>
      </c>
      <c r="H6085" t="s">
        <v>13</v>
      </c>
      <c r="I6085" s="22">
        <f t="shared" si="191"/>
        <v>1.2130082942272137E-2</v>
      </c>
      <c r="J6085" s="22" t="str">
        <f t="shared" si="192"/>
        <v/>
      </c>
    </row>
    <row r="6086" spans="1:10">
      <c r="A6086" s="1">
        <v>41367</v>
      </c>
      <c r="B6086">
        <v>100.21</v>
      </c>
      <c r="C6086">
        <v>100.5</v>
      </c>
      <c r="D6086">
        <v>99.06</v>
      </c>
      <c r="E6086">
        <v>99.25</v>
      </c>
      <c r="F6086">
        <v>4454400</v>
      </c>
      <c r="G6086">
        <v>96.88</v>
      </c>
      <c r="H6086" t="s">
        <v>13</v>
      </c>
      <c r="I6086" s="22">
        <f t="shared" si="191"/>
        <v>-1.016696819289141E-2</v>
      </c>
      <c r="J6086" s="22" t="str">
        <f t="shared" si="192"/>
        <v>lost money</v>
      </c>
    </row>
    <row r="6087" spans="1:10">
      <c r="A6087" s="1">
        <v>41368</v>
      </c>
      <c r="B6087">
        <v>99.54</v>
      </c>
      <c r="C6087">
        <v>100.81</v>
      </c>
      <c r="D6087">
        <v>99.53</v>
      </c>
      <c r="E6087">
        <v>100.63</v>
      </c>
      <c r="F6087">
        <v>5860600</v>
      </c>
      <c r="G6087">
        <v>98.23</v>
      </c>
      <c r="H6087" t="s">
        <v>13</v>
      </c>
      <c r="I6087" s="22">
        <f t="shared" si="191"/>
        <v>1.383856844194143E-2</v>
      </c>
      <c r="J6087" s="22" t="str">
        <f t="shared" si="192"/>
        <v/>
      </c>
    </row>
    <row r="6088" spans="1:10">
      <c r="A6088" s="1">
        <v>41369</v>
      </c>
      <c r="B6088">
        <v>100.17</v>
      </c>
      <c r="C6088">
        <v>101.47</v>
      </c>
      <c r="D6088">
        <v>99.81</v>
      </c>
      <c r="E6088">
        <v>101.42</v>
      </c>
      <c r="F6088">
        <v>5693000</v>
      </c>
      <c r="G6088">
        <v>99</v>
      </c>
      <c r="H6088" t="s">
        <v>13</v>
      </c>
      <c r="I6088" s="22">
        <f t="shared" si="191"/>
        <v>7.808182447811709E-3</v>
      </c>
      <c r="J6088" s="22" t="str">
        <f t="shared" si="192"/>
        <v/>
      </c>
    </row>
    <row r="6089" spans="1:10">
      <c r="A6089" s="1">
        <v>41372</v>
      </c>
      <c r="B6089">
        <v>101.08</v>
      </c>
      <c r="C6089">
        <v>101.5</v>
      </c>
      <c r="D6089">
        <v>100.85</v>
      </c>
      <c r="E6089">
        <v>101.5</v>
      </c>
      <c r="F6089">
        <v>4163600</v>
      </c>
      <c r="G6089">
        <v>99.08</v>
      </c>
      <c r="H6089" t="s">
        <v>13</v>
      </c>
      <c r="I6089" s="22">
        <f t="shared" si="191"/>
        <v>8.0775448656888668E-4</v>
      </c>
      <c r="J6089" s="22" t="str">
        <f t="shared" si="192"/>
        <v/>
      </c>
    </row>
    <row r="6090" spans="1:10">
      <c r="A6090" s="1">
        <v>41373</v>
      </c>
      <c r="B6090">
        <v>101.5</v>
      </c>
      <c r="C6090">
        <v>101.5</v>
      </c>
      <c r="D6090">
        <v>100.57</v>
      </c>
      <c r="E6090">
        <v>101.06</v>
      </c>
      <c r="F6090">
        <v>3690400</v>
      </c>
      <c r="G6090">
        <v>98.65</v>
      </c>
      <c r="H6090" t="s">
        <v>13</v>
      </c>
      <c r="I6090" s="22">
        <f t="shared" si="191"/>
        <v>-4.3493721525343998E-3</v>
      </c>
      <c r="J6090" s="22" t="str">
        <f t="shared" si="192"/>
        <v>lost money</v>
      </c>
    </row>
    <row r="6091" spans="1:10">
      <c r="A6091" s="1">
        <v>41374</v>
      </c>
      <c r="B6091">
        <v>101.12</v>
      </c>
      <c r="C6091">
        <v>101.74</v>
      </c>
      <c r="D6091">
        <v>101.01</v>
      </c>
      <c r="E6091">
        <v>101.49</v>
      </c>
      <c r="F6091">
        <v>3159400</v>
      </c>
      <c r="G6091">
        <v>99.07</v>
      </c>
      <c r="H6091" t="s">
        <v>13</v>
      </c>
      <c r="I6091" s="22">
        <f t="shared" si="191"/>
        <v>4.2484385163143491E-3</v>
      </c>
      <c r="J6091" s="22" t="str">
        <f t="shared" si="192"/>
        <v/>
      </c>
    </row>
    <row r="6092" spans="1:10">
      <c r="A6092" s="1">
        <v>41375</v>
      </c>
      <c r="B6092">
        <v>101.34</v>
      </c>
      <c r="C6092">
        <v>102.47</v>
      </c>
      <c r="D6092">
        <v>101.34</v>
      </c>
      <c r="E6092">
        <v>101.99</v>
      </c>
      <c r="F6092">
        <v>4049400</v>
      </c>
      <c r="G6092">
        <v>99.56</v>
      </c>
      <c r="H6092" t="s">
        <v>13</v>
      </c>
      <c r="I6092" s="22">
        <f t="shared" si="191"/>
        <v>4.9338065144524518E-3</v>
      </c>
      <c r="J6092" s="22" t="str">
        <f t="shared" si="192"/>
        <v/>
      </c>
    </row>
    <row r="6093" spans="1:10">
      <c r="A6093" s="1">
        <v>41376</v>
      </c>
      <c r="B6093">
        <v>101.5</v>
      </c>
      <c r="C6093">
        <v>103.7</v>
      </c>
      <c r="D6093">
        <v>101.5</v>
      </c>
      <c r="E6093">
        <v>103.59</v>
      </c>
      <c r="F6093">
        <v>5714000</v>
      </c>
      <c r="G6093">
        <v>101.12</v>
      </c>
      <c r="H6093" t="s">
        <v>13</v>
      </c>
      <c r="I6093" s="22">
        <f t="shared" si="191"/>
        <v>1.5547452899156079E-2</v>
      </c>
      <c r="J6093" s="22" t="str">
        <f t="shared" si="192"/>
        <v/>
      </c>
    </row>
    <row r="6094" spans="1:10">
      <c r="A6094" s="1">
        <v>41379</v>
      </c>
      <c r="B6094">
        <v>103.14</v>
      </c>
      <c r="C6094">
        <v>103.44</v>
      </c>
      <c r="D6094">
        <v>102.13</v>
      </c>
      <c r="E6094">
        <v>102.15</v>
      </c>
      <c r="F6094">
        <v>5643600</v>
      </c>
      <c r="G6094">
        <v>99.71</v>
      </c>
      <c r="H6094" t="s">
        <v>13</v>
      </c>
      <c r="I6094" s="22">
        <f t="shared" si="191"/>
        <v>-1.4041957557845798E-2</v>
      </c>
      <c r="J6094" s="22" t="str">
        <f t="shared" si="192"/>
        <v>lost money</v>
      </c>
    </row>
    <row r="6095" spans="1:10">
      <c r="A6095" s="1">
        <v>41380</v>
      </c>
      <c r="B6095">
        <v>102.4</v>
      </c>
      <c r="C6095">
        <v>103.05</v>
      </c>
      <c r="D6095">
        <v>102.02</v>
      </c>
      <c r="E6095">
        <v>103.04</v>
      </c>
      <c r="F6095">
        <v>3199300</v>
      </c>
      <c r="G6095">
        <v>100.58</v>
      </c>
      <c r="H6095" t="s">
        <v>13</v>
      </c>
      <c r="I6095" s="22">
        <f t="shared" si="191"/>
        <v>8.6874579031170976E-3</v>
      </c>
      <c r="J6095" s="22" t="str">
        <f t="shared" si="192"/>
        <v/>
      </c>
    </row>
    <row r="6096" spans="1:10">
      <c r="A6096" s="1">
        <v>41381</v>
      </c>
      <c r="B6096">
        <v>102.56</v>
      </c>
      <c r="C6096">
        <v>103.11</v>
      </c>
      <c r="D6096">
        <v>102</v>
      </c>
      <c r="E6096">
        <v>102.54</v>
      </c>
      <c r="F6096">
        <v>4191500</v>
      </c>
      <c r="G6096">
        <v>100.09</v>
      </c>
      <c r="H6096" t="s">
        <v>13</v>
      </c>
      <c r="I6096" s="22">
        <f t="shared" si="191"/>
        <v>-4.8836495128912307E-3</v>
      </c>
      <c r="J6096" s="22" t="str">
        <f t="shared" si="192"/>
        <v>lost money</v>
      </c>
    </row>
    <row r="6097" spans="1:10">
      <c r="A6097" s="1">
        <v>41382</v>
      </c>
      <c r="B6097">
        <v>102.08</v>
      </c>
      <c r="C6097">
        <v>102.23</v>
      </c>
      <c r="D6097">
        <v>100.1</v>
      </c>
      <c r="E6097">
        <v>101.91</v>
      </c>
      <c r="F6097">
        <v>5696900</v>
      </c>
      <c r="G6097">
        <v>99.48</v>
      </c>
      <c r="H6097" t="s">
        <v>13</v>
      </c>
      <c r="I6097" s="22">
        <f t="shared" si="191"/>
        <v>-6.1131622957235508E-3</v>
      </c>
      <c r="J6097" s="22" t="str">
        <f t="shared" si="192"/>
        <v>lost money</v>
      </c>
    </row>
    <row r="6098" spans="1:10">
      <c r="A6098" s="1">
        <v>41383</v>
      </c>
      <c r="B6098">
        <v>100.58</v>
      </c>
      <c r="C6098">
        <v>101.44</v>
      </c>
      <c r="D6098">
        <v>99.45</v>
      </c>
      <c r="E6098">
        <v>99.92</v>
      </c>
      <c r="F6098">
        <v>8227700</v>
      </c>
      <c r="G6098">
        <v>97.54</v>
      </c>
      <c r="H6098" t="s">
        <v>13</v>
      </c>
      <c r="I6098" s="22">
        <f t="shared" si="191"/>
        <v>-1.9694068653297325E-2</v>
      </c>
      <c r="J6098" s="22" t="str">
        <f t="shared" si="192"/>
        <v>lost money</v>
      </c>
    </row>
    <row r="6099" spans="1:10">
      <c r="A6099" s="1">
        <v>41386</v>
      </c>
      <c r="B6099">
        <v>99.35</v>
      </c>
      <c r="C6099">
        <v>99.66</v>
      </c>
      <c r="D6099">
        <v>98.38</v>
      </c>
      <c r="E6099">
        <v>99.32</v>
      </c>
      <c r="F6099">
        <v>5620500</v>
      </c>
      <c r="G6099">
        <v>96.95</v>
      </c>
      <c r="H6099" t="s">
        <v>13</v>
      </c>
      <c r="I6099" s="22">
        <f t="shared" si="191"/>
        <v>-6.0671685932458044E-3</v>
      </c>
      <c r="J6099" s="22" t="str">
        <f t="shared" si="192"/>
        <v>lost money</v>
      </c>
    </row>
    <row r="6100" spans="1:10">
      <c r="A6100" s="1">
        <v>41387</v>
      </c>
      <c r="B6100">
        <v>99.27</v>
      </c>
      <c r="C6100">
        <v>100.24</v>
      </c>
      <c r="D6100">
        <v>99.21</v>
      </c>
      <c r="E6100">
        <v>99.76</v>
      </c>
      <c r="F6100">
        <v>5753500</v>
      </c>
      <c r="G6100">
        <v>97.38</v>
      </c>
      <c r="H6100" t="s">
        <v>13</v>
      </c>
      <c r="I6100" s="22">
        <f t="shared" si="191"/>
        <v>4.4254690658939704E-3</v>
      </c>
      <c r="J6100" s="22" t="str">
        <f t="shared" si="192"/>
        <v/>
      </c>
    </row>
    <row r="6101" spans="1:10">
      <c r="A6101" s="1">
        <v>41388</v>
      </c>
      <c r="B6101">
        <v>100.09</v>
      </c>
      <c r="C6101">
        <v>101.24</v>
      </c>
      <c r="D6101">
        <v>100.09</v>
      </c>
      <c r="E6101">
        <v>101.02</v>
      </c>
      <c r="F6101">
        <v>4593000</v>
      </c>
      <c r="G6101">
        <v>98.61</v>
      </c>
      <c r="H6101" t="s">
        <v>13</v>
      </c>
      <c r="I6101" s="22">
        <f t="shared" si="191"/>
        <v>1.2551825589682859E-2</v>
      </c>
      <c r="J6101" s="22" t="str">
        <f t="shared" si="192"/>
        <v/>
      </c>
    </row>
    <row r="6102" spans="1:10">
      <c r="A6102" s="1">
        <v>41389</v>
      </c>
      <c r="B6102">
        <v>101.27</v>
      </c>
      <c r="C6102">
        <v>101.63</v>
      </c>
      <c r="D6102">
        <v>100.85</v>
      </c>
      <c r="E6102">
        <v>100.94</v>
      </c>
      <c r="F6102">
        <v>3529400</v>
      </c>
      <c r="G6102">
        <v>98.53</v>
      </c>
      <c r="H6102" t="s">
        <v>13</v>
      </c>
      <c r="I6102" s="22">
        <f t="shared" si="191"/>
        <v>-8.1160600985457124E-4</v>
      </c>
      <c r="J6102" s="22" t="str">
        <f t="shared" si="192"/>
        <v>lost money</v>
      </c>
    </row>
    <row r="6103" spans="1:10">
      <c r="A6103" s="1">
        <v>41390</v>
      </c>
      <c r="B6103">
        <v>100.83</v>
      </c>
      <c r="C6103">
        <v>100.99</v>
      </c>
      <c r="D6103">
        <v>100.4</v>
      </c>
      <c r="E6103">
        <v>100.89</v>
      </c>
      <c r="F6103">
        <v>3113600</v>
      </c>
      <c r="G6103">
        <v>98.48</v>
      </c>
      <c r="H6103" t="s">
        <v>13</v>
      </c>
      <c r="I6103" s="22">
        <f t="shared" si="191"/>
        <v>-5.0758845818504612E-4</v>
      </c>
      <c r="J6103" s="22" t="str">
        <f t="shared" si="192"/>
        <v/>
      </c>
    </row>
    <row r="6104" spans="1:10">
      <c r="A6104" s="1">
        <v>41393</v>
      </c>
      <c r="B6104">
        <v>101.56</v>
      </c>
      <c r="C6104">
        <v>102.52</v>
      </c>
      <c r="D6104">
        <v>101.15</v>
      </c>
      <c r="E6104">
        <v>102.18</v>
      </c>
      <c r="F6104">
        <v>3417700</v>
      </c>
      <c r="G6104">
        <v>99.74</v>
      </c>
      <c r="H6104" t="s">
        <v>13</v>
      </c>
      <c r="I6104" s="22">
        <f t="shared" si="191"/>
        <v>1.2713318241778359E-2</v>
      </c>
      <c r="J6104" s="22" t="str">
        <f t="shared" si="192"/>
        <v/>
      </c>
    </row>
    <row r="6105" spans="1:10">
      <c r="A6105" s="1">
        <v>41394</v>
      </c>
      <c r="B6105">
        <v>102.27</v>
      </c>
      <c r="C6105">
        <v>102.36</v>
      </c>
      <c r="D6105">
        <v>101.56</v>
      </c>
      <c r="E6105">
        <v>102.14</v>
      </c>
      <c r="F6105">
        <v>4205200</v>
      </c>
      <c r="G6105">
        <v>99.7</v>
      </c>
      <c r="H6105" t="s">
        <v>13</v>
      </c>
      <c r="I6105" s="22">
        <f t="shared" si="191"/>
        <v>-4.0112315018379658E-4</v>
      </c>
      <c r="J6105" s="22" t="str">
        <f t="shared" si="192"/>
        <v>lost money</v>
      </c>
    </row>
    <row r="6106" spans="1:10">
      <c r="A6106" s="1">
        <v>41395</v>
      </c>
      <c r="B6106">
        <v>101.98</v>
      </c>
      <c r="C6106">
        <v>102.44</v>
      </c>
      <c r="D6106">
        <v>101.33</v>
      </c>
      <c r="E6106">
        <v>101.38</v>
      </c>
      <c r="F6106">
        <v>2720100</v>
      </c>
      <c r="G6106">
        <v>98.96</v>
      </c>
      <c r="H6106" t="s">
        <v>13</v>
      </c>
      <c r="I6106" s="22">
        <f t="shared" si="191"/>
        <v>-7.4499488835602394E-3</v>
      </c>
      <c r="J6106" s="22" t="str">
        <f t="shared" si="192"/>
        <v>lost money</v>
      </c>
    </row>
    <row r="6107" spans="1:10">
      <c r="A6107" s="1">
        <v>41396</v>
      </c>
      <c r="B6107">
        <v>101.46</v>
      </c>
      <c r="C6107">
        <v>102.34</v>
      </c>
      <c r="D6107">
        <v>101.12</v>
      </c>
      <c r="E6107">
        <v>102.06</v>
      </c>
      <c r="F6107">
        <v>3821100</v>
      </c>
      <c r="G6107">
        <v>99.63</v>
      </c>
      <c r="H6107" t="s">
        <v>13</v>
      </c>
      <c r="I6107" s="22">
        <f t="shared" si="191"/>
        <v>6.7475959725323458E-3</v>
      </c>
      <c r="J6107" s="22" t="str">
        <f t="shared" si="192"/>
        <v/>
      </c>
    </row>
    <row r="6108" spans="1:10">
      <c r="A6108" s="1">
        <v>41397</v>
      </c>
      <c r="B6108">
        <v>102.92</v>
      </c>
      <c r="C6108">
        <v>103.34</v>
      </c>
      <c r="D6108">
        <v>102.55</v>
      </c>
      <c r="E6108">
        <v>102.92</v>
      </c>
      <c r="F6108">
        <v>4109400</v>
      </c>
      <c r="G6108">
        <v>100.47</v>
      </c>
      <c r="H6108" t="s">
        <v>13</v>
      </c>
      <c r="I6108" s="22">
        <f t="shared" si="191"/>
        <v>8.3958514174580379E-3</v>
      </c>
      <c r="J6108" s="22" t="str">
        <f t="shared" si="192"/>
        <v/>
      </c>
    </row>
    <row r="6109" spans="1:10">
      <c r="A6109" s="1">
        <v>41400</v>
      </c>
      <c r="B6109">
        <v>102.76</v>
      </c>
      <c r="C6109">
        <v>102.8</v>
      </c>
      <c r="D6109">
        <v>102.05</v>
      </c>
      <c r="E6109">
        <v>102.07</v>
      </c>
      <c r="F6109">
        <v>3314200</v>
      </c>
      <c r="G6109">
        <v>99.64</v>
      </c>
      <c r="H6109" t="s">
        <v>13</v>
      </c>
      <c r="I6109" s="22">
        <f t="shared" si="191"/>
        <v>-8.2954850802431992E-3</v>
      </c>
      <c r="J6109" s="22" t="str">
        <f t="shared" si="192"/>
        <v>lost money</v>
      </c>
    </row>
    <row r="6110" spans="1:10">
      <c r="A6110" s="1">
        <v>41401</v>
      </c>
      <c r="B6110">
        <v>102.09</v>
      </c>
      <c r="C6110">
        <v>102.52</v>
      </c>
      <c r="D6110">
        <v>101.79</v>
      </c>
      <c r="E6110">
        <v>102.29</v>
      </c>
      <c r="F6110">
        <v>4304200</v>
      </c>
      <c r="G6110">
        <v>99.85</v>
      </c>
      <c r="H6110" t="s">
        <v>13</v>
      </c>
      <c r="I6110" s="22">
        <f t="shared" si="191"/>
        <v>2.1053694678444287E-3</v>
      </c>
      <c r="J6110" s="22" t="str">
        <f t="shared" si="192"/>
        <v/>
      </c>
    </row>
    <row r="6111" spans="1:10">
      <c r="A6111" s="1">
        <v>41402</v>
      </c>
      <c r="B6111">
        <v>102.28</v>
      </c>
      <c r="C6111">
        <v>102.28</v>
      </c>
      <c r="D6111">
        <v>100.76</v>
      </c>
      <c r="E6111">
        <v>100.95</v>
      </c>
      <c r="F6111">
        <v>5228800</v>
      </c>
      <c r="G6111">
        <v>98.54</v>
      </c>
      <c r="H6111" t="s">
        <v>13</v>
      </c>
      <c r="I6111" s="22">
        <f t="shared" si="191"/>
        <v>-1.3206502746007116E-2</v>
      </c>
      <c r="J6111" s="22" t="str">
        <f t="shared" si="192"/>
        <v>lost money</v>
      </c>
    </row>
    <row r="6112" spans="1:10">
      <c r="A6112" s="1">
        <v>41403</v>
      </c>
      <c r="B6112">
        <v>100.78</v>
      </c>
      <c r="C6112">
        <v>101.23</v>
      </c>
      <c r="D6112">
        <v>99.46</v>
      </c>
      <c r="E6112">
        <v>99.69</v>
      </c>
      <c r="F6112">
        <v>10628500</v>
      </c>
      <c r="G6112">
        <v>97.31</v>
      </c>
      <c r="H6112" t="s">
        <v>13</v>
      </c>
      <c r="I6112" s="22">
        <f t="shared" si="191"/>
        <v>-1.2560798281919425E-2</v>
      </c>
      <c r="J6112" s="22" t="str">
        <f t="shared" si="192"/>
        <v>lost money</v>
      </c>
    </row>
    <row r="6113" spans="1:10">
      <c r="A6113" s="1">
        <v>41404</v>
      </c>
      <c r="B6113">
        <v>99.95</v>
      </c>
      <c r="C6113">
        <v>100.2</v>
      </c>
      <c r="D6113">
        <v>99.4</v>
      </c>
      <c r="E6113">
        <v>100.2</v>
      </c>
      <c r="F6113">
        <v>5036900</v>
      </c>
      <c r="G6113">
        <v>97.81</v>
      </c>
      <c r="H6113" t="s">
        <v>13</v>
      </c>
      <c r="I6113" s="22">
        <f t="shared" si="191"/>
        <v>5.1250624685038933E-3</v>
      </c>
      <c r="J6113" s="22" t="str">
        <f t="shared" si="192"/>
        <v/>
      </c>
    </row>
    <row r="6114" spans="1:10">
      <c r="A6114" s="1">
        <v>41407</v>
      </c>
      <c r="B6114">
        <v>100.02</v>
      </c>
      <c r="C6114">
        <v>100.7</v>
      </c>
      <c r="D6114">
        <v>99.8</v>
      </c>
      <c r="E6114">
        <v>100.38</v>
      </c>
      <c r="F6114">
        <v>3154100</v>
      </c>
      <c r="G6114">
        <v>97.99</v>
      </c>
      <c r="H6114" t="s">
        <v>13</v>
      </c>
      <c r="I6114" s="22">
        <f t="shared" si="191"/>
        <v>1.8386113453254531E-3</v>
      </c>
      <c r="J6114" s="22" t="str">
        <f t="shared" si="192"/>
        <v/>
      </c>
    </row>
    <row r="6115" spans="1:10">
      <c r="A6115" s="1">
        <v>41408</v>
      </c>
      <c r="B6115">
        <v>100.48</v>
      </c>
      <c r="C6115">
        <v>101.49</v>
      </c>
      <c r="D6115">
        <v>100.44</v>
      </c>
      <c r="E6115">
        <v>101.2</v>
      </c>
      <c r="F6115">
        <v>3810800</v>
      </c>
      <c r="G6115">
        <v>98.79</v>
      </c>
      <c r="H6115" t="s">
        <v>13</v>
      </c>
      <c r="I6115" s="22">
        <f t="shared" si="191"/>
        <v>8.130952408655686E-3</v>
      </c>
      <c r="J6115" s="22" t="str">
        <f t="shared" si="192"/>
        <v/>
      </c>
    </row>
    <row r="6116" spans="1:10">
      <c r="A6116" s="1">
        <v>41409</v>
      </c>
      <c r="B6116">
        <v>101.3</v>
      </c>
      <c r="C6116">
        <v>102.03</v>
      </c>
      <c r="D6116">
        <v>101.3</v>
      </c>
      <c r="E6116">
        <v>101.95</v>
      </c>
      <c r="F6116">
        <v>3402600</v>
      </c>
      <c r="G6116">
        <v>99.52</v>
      </c>
      <c r="H6116" t="s">
        <v>13</v>
      </c>
      <c r="I6116" s="22">
        <f t="shared" si="191"/>
        <v>7.3622439344866297E-3</v>
      </c>
      <c r="J6116" s="22" t="str">
        <f t="shared" si="192"/>
        <v/>
      </c>
    </row>
    <row r="6117" spans="1:10">
      <c r="A6117" s="1">
        <v>41410</v>
      </c>
      <c r="B6117">
        <v>101.58</v>
      </c>
      <c r="C6117">
        <v>101.78</v>
      </c>
      <c r="D6117">
        <v>100.84</v>
      </c>
      <c r="E6117">
        <v>101.12</v>
      </c>
      <c r="F6117">
        <v>4251800</v>
      </c>
      <c r="G6117">
        <v>98.71</v>
      </c>
      <c r="H6117" t="s">
        <v>13</v>
      </c>
      <c r="I6117" s="22">
        <f t="shared" si="191"/>
        <v>-8.1723705610727039E-3</v>
      </c>
      <c r="J6117" s="22" t="str">
        <f t="shared" si="192"/>
        <v>lost money</v>
      </c>
    </row>
    <row r="6118" spans="1:10">
      <c r="A6118" s="1">
        <v>41411</v>
      </c>
      <c r="B6118">
        <v>101.1</v>
      </c>
      <c r="C6118">
        <v>101.9</v>
      </c>
      <c r="D6118">
        <v>100.8</v>
      </c>
      <c r="E6118">
        <v>101.54</v>
      </c>
      <c r="F6118">
        <v>4015300</v>
      </c>
      <c r="G6118">
        <v>99.12</v>
      </c>
      <c r="H6118" t="s">
        <v>13</v>
      </c>
      <c r="I6118" s="22">
        <f t="shared" si="191"/>
        <v>4.1449788910904667E-3</v>
      </c>
      <c r="J6118" s="22" t="str">
        <f t="shared" si="192"/>
        <v/>
      </c>
    </row>
    <row r="6119" spans="1:10">
      <c r="A6119" s="1">
        <v>41414</v>
      </c>
      <c r="B6119">
        <v>101.24</v>
      </c>
      <c r="C6119">
        <v>101.94</v>
      </c>
      <c r="D6119">
        <v>101.24</v>
      </c>
      <c r="E6119">
        <v>101.54</v>
      </c>
      <c r="F6119">
        <v>2233100</v>
      </c>
      <c r="G6119">
        <v>99.12</v>
      </c>
      <c r="H6119" t="s">
        <v>13</v>
      </c>
      <c r="I6119" s="22">
        <f t="shared" si="191"/>
        <v>0</v>
      </c>
      <c r="J6119" s="22" t="str">
        <f t="shared" si="192"/>
        <v/>
      </c>
    </row>
    <row r="6120" spans="1:10">
      <c r="A6120" s="1">
        <v>41415</v>
      </c>
      <c r="B6120">
        <v>101.65</v>
      </c>
      <c r="C6120">
        <v>102.62</v>
      </c>
      <c r="D6120">
        <v>101.42</v>
      </c>
      <c r="E6120">
        <v>102.14</v>
      </c>
      <c r="F6120">
        <v>4078600</v>
      </c>
      <c r="G6120">
        <v>99.7</v>
      </c>
      <c r="H6120" t="s">
        <v>13</v>
      </c>
      <c r="I6120" s="22">
        <f t="shared" si="191"/>
        <v>5.8344396469056448E-3</v>
      </c>
      <c r="J6120" s="22" t="str">
        <f t="shared" si="192"/>
        <v/>
      </c>
    </row>
    <row r="6121" spans="1:10">
      <c r="A6121" s="1">
        <v>41416</v>
      </c>
      <c r="B6121">
        <v>102.18</v>
      </c>
      <c r="C6121">
        <v>102.4</v>
      </c>
      <c r="D6121">
        <v>101.41</v>
      </c>
      <c r="E6121">
        <v>101.74</v>
      </c>
      <c r="F6121">
        <v>4648200</v>
      </c>
      <c r="G6121">
        <v>99.31</v>
      </c>
      <c r="H6121" t="s">
        <v>13</v>
      </c>
      <c r="I6121" s="22">
        <f t="shared" si="191"/>
        <v>-3.9194060525254374E-3</v>
      </c>
      <c r="J6121" s="22" t="str">
        <f t="shared" si="192"/>
        <v>lost money</v>
      </c>
    </row>
    <row r="6122" spans="1:10">
      <c r="A6122" s="1">
        <v>41417</v>
      </c>
      <c r="B6122">
        <v>101.14</v>
      </c>
      <c r="C6122">
        <v>101.51</v>
      </c>
      <c r="D6122">
        <v>100.35</v>
      </c>
      <c r="E6122">
        <v>101.03</v>
      </c>
      <c r="F6122">
        <v>13743100</v>
      </c>
      <c r="G6122">
        <v>98.62</v>
      </c>
      <c r="H6122" t="s">
        <v>13</v>
      </c>
      <c r="I6122" s="22">
        <f t="shared" si="191"/>
        <v>-6.9721901192871579E-3</v>
      </c>
      <c r="J6122" s="22" t="str">
        <f t="shared" si="192"/>
        <v>lost money</v>
      </c>
    </row>
    <row r="6123" spans="1:10">
      <c r="A6123" s="1">
        <v>41418</v>
      </c>
      <c r="B6123">
        <v>100.66</v>
      </c>
      <c r="C6123">
        <v>100.66</v>
      </c>
      <c r="D6123">
        <v>99.73</v>
      </c>
      <c r="E6123">
        <v>100.29</v>
      </c>
      <c r="F6123">
        <v>13161000</v>
      </c>
      <c r="G6123">
        <v>97.9</v>
      </c>
      <c r="H6123" t="s">
        <v>13</v>
      </c>
      <c r="I6123" s="22">
        <f t="shared" si="191"/>
        <v>-7.3275312595152894E-3</v>
      </c>
      <c r="J6123" s="22" t="str">
        <f t="shared" si="192"/>
        <v>lost money</v>
      </c>
    </row>
    <row r="6124" spans="1:10">
      <c r="A6124" s="1">
        <v>41422</v>
      </c>
      <c r="B6124">
        <v>101.06</v>
      </c>
      <c r="C6124">
        <v>101.94</v>
      </c>
      <c r="D6124">
        <v>100.88</v>
      </c>
      <c r="E6124">
        <v>101.24</v>
      </c>
      <c r="F6124">
        <v>14083800</v>
      </c>
      <c r="G6124">
        <v>98.83</v>
      </c>
      <c r="H6124" t="s">
        <v>13</v>
      </c>
      <c r="I6124" s="22">
        <f t="shared" si="191"/>
        <v>9.4546528516278299E-3</v>
      </c>
      <c r="J6124" s="22" t="str">
        <f t="shared" si="192"/>
        <v/>
      </c>
    </row>
    <row r="6125" spans="1:10">
      <c r="A6125" s="1">
        <v>41423</v>
      </c>
      <c r="B6125">
        <v>100.64</v>
      </c>
      <c r="C6125">
        <v>100.64</v>
      </c>
      <c r="D6125">
        <v>98.28</v>
      </c>
      <c r="E6125">
        <v>99.05</v>
      </c>
      <c r="F6125">
        <v>8770700</v>
      </c>
      <c r="G6125">
        <v>96.69</v>
      </c>
      <c r="H6125" t="s">
        <v>13</v>
      </c>
      <c r="I6125" s="22">
        <f t="shared" si="191"/>
        <v>-2.1891217892636414E-2</v>
      </c>
      <c r="J6125" s="22" t="str">
        <f t="shared" si="192"/>
        <v>lost money</v>
      </c>
    </row>
    <row r="6126" spans="1:10">
      <c r="A6126" s="1">
        <v>41424</v>
      </c>
      <c r="B6126">
        <v>98.42</v>
      </c>
      <c r="C6126">
        <v>98.59</v>
      </c>
      <c r="D6126">
        <v>96.79</v>
      </c>
      <c r="E6126">
        <v>97.07</v>
      </c>
      <c r="F6126">
        <v>8028900</v>
      </c>
      <c r="G6126">
        <v>95.5</v>
      </c>
      <c r="H6126" t="s">
        <v>13</v>
      </c>
      <c r="I6126" s="22">
        <f t="shared" si="191"/>
        <v>-1.2383737008771628E-2</v>
      </c>
      <c r="J6126" s="22" t="str">
        <f t="shared" si="192"/>
        <v>lost money</v>
      </c>
    </row>
    <row r="6127" spans="1:10">
      <c r="A6127" s="1">
        <v>41425</v>
      </c>
      <c r="B6127">
        <v>96.89</v>
      </c>
      <c r="C6127">
        <v>97.71</v>
      </c>
      <c r="D6127">
        <v>96.56</v>
      </c>
      <c r="E6127">
        <v>96.57</v>
      </c>
      <c r="F6127">
        <v>5443400</v>
      </c>
      <c r="G6127">
        <v>95.01</v>
      </c>
      <c r="H6127" t="s">
        <v>13</v>
      </c>
      <c r="I6127" s="22">
        <f t="shared" si="191"/>
        <v>-5.1440982680264306E-3</v>
      </c>
      <c r="J6127" s="22" t="str">
        <f t="shared" si="192"/>
        <v>lost money</v>
      </c>
    </row>
    <row r="6128" spans="1:10">
      <c r="A6128" s="1">
        <v>41428</v>
      </c>
      <c r="B6128">
        <v>96.77</v>
      </c>
      <c r="C6128">
        <v>97.99</v>
      </c>
      <c r="D6128">
        <v>96.57</v>
      </c>
      <c r="E6128">
        <v>97.96</v>
      </c>
      <c r="F6128">
        <v>4224000</v>
      </c>
      <c r="G6128">
        <v>96.37</v>
      </c>
      <c r="H6128" t="s">
        <v>13</v>
      </c>
      <c r="I6128" s="22">
        <f t="shared" si="191"/>
        <v>1.4212800644537928E-2</v>
      </c>
      <c r="J6128" s="22" t="str">
        <f t="shared" si="192"/>
        <v/>
      </c>
    </row>
    <row r="6129" spans="1:10">
      <c r="A6129" s="1">
        <v>41429</v>
      </c>
      <c r="B6129">
        <v>98.01</v>
      </c>
      <c r="C6129">
        <v>98.68</v>
      </c>
      <c r="D6129">
        <v>97.64</v>
      </c>
      <c r="E6129">
        <v>98.37</v>
      </c>
      <c r="F6129">
        <v>4902300</v>
      </c>
      <c r="G6129">
        <v>96.78</v>
      </c>
      <c r="H6129" t="s">
        <v>13</v>
      </c>
      <c r="I6129" s="22">
        <f t="shared" si="191"/>
        <v>4.2454115019763504E-3</v>
      </c>
      <c r="J6129" s="22" t="str">
        <f t="shared" si="192"/>
        <v/>
      </c>
    </row>
    <row r="6130" spans="1:10">
      <c r="A6130" s="1">
        <v>41430</v>
      </c>
      <c r="B6130">
        <v>98.13</v>
      </c>
      <c r="C6130">
        <v>98.16</v>
      </c>
      <c r="D6130">
        <v>96.12</v>
      </c>
      <c r="E6130">
        <v>96.42</v>
      </c>
      <c r="F6130">
        <v>5394800</v>
      </c>
      <c r="G6130">
        <v>94.86</v>
      </c>
      <c r="H6130" t="s">
        <v>13</v>
      </c>
      <c r="I6130" s="22">
        <f t="shared" si="191"/>
        <v>-2.0038240915736839E-2</v>
      </c>
      <c r="J6130" s="22" t="str">
        <f t="shared" si="192"/>
        <v>lost money</v>
      </c>
    </row>
    <row r="6131" spans="1:10">
      <c r="A6131" s="1">
        <v>41431</v>
      </c>
      <c r="B6131">
        <v>96.39</v>
      </c>
      <c r="C6131">
        <v>96.83</v>
      </c>
      <c r="D6131">
        <v>95.16</v>
      </c>
      <c r="E6131">
        <v>96.68</v>
      </c>
      <c r="F6131">
        <v>5817300</v>
      </c>
      <c r="G6131">
        <v>95.11</v>
      </c>
      <c r="H6131" t="s">
        <v>13</v>
      </c>
      <c r="I6131" s="22">
        <f t="shared" si="191"/>
        <v>2.6319960448583798E-3</v>
      </c>
      <c r="J6131" s="22" t="str">
        <f t="shared" si="192"/>
        <v/>
      </c>
    </row>
    <row r="6132" spans="1:10">
      <c r="A6132" s="1">
        <v>41432</v>
      </c>
      <c r="B6132">
        <v>97.06</v>
      </c>
      <c r="C6132">
        <v>98.69</v>
      </c>
      <c r="D6132">
        <v>97</v>
      </c>
      <c r="E6132">
        <v>98.28</v>
      </c>
      <c r="F6132">
        <v>5036800</v>
      </c>
      <c r="G6132">
        <v>96.69</v>
      </c>
      <c r="H6132" t="s">
        <v>13</v>
      </c>
      <c r="I6132" s="22">
        <f t="shared" si="191"/>
        <v>1.6475868001161964E-2</v>
      </c>
      <c r="J6132" s="22" t="str">
        <f t="shared" si="192"/>
        <v/>
      </c>
    </row>
    <row r="6133" spans="1:10">
      <c r="A6133" s="1">
        <v>41435</v>
      </c>
      <c r="B6133">
        <v>99.8</v>
      </c>
      <c r="C6133">
        <v>100.18</v>
      </c>
      <c r="D6133">
        <v>99.12</v>
      </c>
      <c r="E6133">
        <v>99.53</v>
      </c>
      <c r="F6133">
        <v>5718400</v>
      </c>
      <c r="G6133">
        <v>97.92</v>
      </c>
      <c r="H6133" t="s">
        <v>13</v>
      </c>
      <c r="I6133" s="22">
        <f t="shared" si="191"/>
        <v>1.2640834268559727E-2</v>
      </c>
      <c r="J6133" s="22" t="str">
        <f t="shared" si="192"/>
        <v>lost money</v>
      </c>
    </row>
    <row r="6134" spans="1:10">
      <c r="A6134" s="1">
        <v>41436</v>
      </c>
      <c r="B6134">
        <v>99.02</v>
      </c>
      <c r="C6134">
        <v>99.49</v>
      </c>
      <c r="D6134">
        <v>98.07</v>
      </c>
      <c r="E6134">
        <v>98.23</v>
      </c>
      <c r="F6134">
        <v>4812800</v>
      </c>
      <c r="G6134">
        <v>96.64</v>
      </c>
      <c r="H6134" t="s">
        <v>13</v>
      </c>
      <c r="I6134" s="22">
        <f t="shared" si="191"/>
        <v>-1.3158084577511199E-2</v>
      </c>
      <c r="J6134" s="22" t="str">
        <f t="shared" si="192"/>
        <v>lost money</v>
      </c>
    </row>
    <row r="6135" spans="1:10">
      <c r="A6135" s="1">
        <v>41437</v>
      </c>
      <c r="B6135">
        <v>98.74</v>
      </c>
      <c r="C6135">
        <v>99.1</v>
      </c>
      <c r="D6135">
        <v>98.07</v>
      </c>
      <c r="E6135">
        <v>98.24</v>
      </c>
      <c r="F6135">
        <v>4485200</v>
      </c>
      <c r="G6135">
        <v>96.65</v>
      </c>
      <c r="H6135" t="s">
        <v>13</v>
      </c>
      <c r="I6135" s="22">
        <f t="shared" si="191"/>
        <v>1.0347146783508376E-4</v>
      </c>
      <c r="J6135" s="22" t="str">
        <f t="shared" si="192"/>
        <v>lost money</v>
      </c>
    </row>
    <row r="6136" spans="1:10">
      <c r="A6136" s="1">
        <v>41438</v>
      </c>
      <c r="B6136">
        <v>98.1</v>
      </c>
      <c r="C6136">
        <v>99.07</v>
      </c>
      <c r="D6136">
        <v>97.87</v>
      </c>
      <c r="E6136">
        <v>98.88</v>
      </c>
      <c r="F6136">
        <v>2927800</v>
      </c>
      <c r="G6136">
        <v>97.28</v>
      </c>
      <c r="H6136" t="s">
        <v>13</v>
      </c>
      <c r="I6136" s="22">
        <f t="shared" si="191"/>
        <v>6.4972125635168552E-3</v>
      </c>
      <c r="J6136" s="22" t="str">
        <f t="shared" si="192"/>
        <v/>
      </c>
    </row>
    <row r="6137" spans="1:10">
      <c r="A6137" s="1">
        <v>41439</v>
      </c>
      <c r="B6137">
        <v>98.83</v>
      </c>
      <c r="C6137">
        <v>99.42</v>
      </c>
      <c r="D6137">
        <v>98.23</v>
      </c>
      <c r="E6137">
        <v>98.42</v>
      </c>
      <c r="F6137">
        <v>3351100</v>
      </c>
      <c r="G6137">
        <v>96.83</v>
      </c>
      <c r="H6137" t="s">
        <v>13</v>
      </c>
      <c r="I6137" s="22">
        <f t="shared" si="191"/>
        <v>-4.6365545944172127E-3</v>
      </c>
      <c r="J6137" s="22" t="str">
        <f t="shared" si="192"/>
        <v>lost money</v>
      </c>
    </row>
    <row r="6138" spans="1:10">
      <c r="A6138" s="1">
        <v>41442</v>
      </c>
      <c r="B6138">
        <v>99.3</v>
      </c>
      <c r="C6138">
        <v>99.69</v>
      </c>
      <c r="D6138">
        <v>98.3</v>
      </c>
      <c r="E6138">
        <v>98.74</v>
      </c>
      <c r="F6138">
        <v>4884800</v>
      </c>
      <c r="G6138">
        <v>97.14</v>
      </c>
      <c r="H6138" t="s">
        <v>13</v>
      </c>
      <c r="I6138" s="22">
        <f t="shared" si="191"/>
        <v>3.19637329415912E-3</v>
      </c>
      <c r="J6138" s="22" t="str">
        <f t="shared" si="192"/>
        <v>lost money</v>
      </c>
    </row>
    <row r="6139" spans="1:10">
      <c r="A6139" s="1">
        <v>41443</v>
      </c>
      <c r="B6139">
        <v>98.98</v>
      </c>
      <c r="C6139">
        <v>100.04</v>
      </c>
      <c r="D6139">
        <v>98.95</v>
      </c>
      <c r="E6139">
        <v>99.75</v>
      </c>
      <c r="F6139">
        <v>3340100</v>
      </c>
      <c r="G6139">
        <v>98.13</v>
      </c>
      <c r="H6139" t="s">
        <v>13</v>
      </c>
      <c r="I6139" s="22">
        <f t="shared" si="191"/>
        <v>1.0139893300803346E-2</v>
      </c>
      <c r="J6139" s="22" t="str">
        <f t="shared" si="192"/>
        <v/>
      </c>
    </row>
    <row r="6140" spans="1:10">
      <c r="A6140" s="1">
        <v>41444</v>
      </c>
      <c r="B6140">
        <v>99.71</v>
      </c>
      <c r="C6140">
        <v>100.07</v>
      </c>
      <c r="D6140">
        <v>98.53</v>
      </c>
      <c r="E6140">
        <v>98.81</v>
      </c>
      <c r="F6140">
        <v>3518200</v>
      </c>
      <c r="G6140">
        <v>97.21</v>
      </c>
      <c r="H6140" t="s">
        <v>13</v>
      </c>
      <c r="I6140" s="22">
        <f t="shared" si="191"/>
        <v>-9.4195433854246877E-3</v>
      </c>
      <c r="J6140" s="22" t="str">
        <f t="shared" si="192"/>
        <v>lost money</v>
      </c>
    </row>
    <row r="6141" spans="1:10">
      <c r="A6141" s="1">
        <v>41445</v>
      </c>
      <c r="B6141">
        <v>98.37</v>
      </c>
      <c r="C6141">
        <v>98.68</v>
      </c>
      <c r="D6141">
        <v>96.62</v>
      </c>
      <c r="E6141">
        <v>96.79</v>
      </c>
      <c r="F6141">
        <v>5550100</v>
      </c>
      <c r="G6141">
        <v>95.22</v>
      </c>
      <c r="H6141" t="s">
        <v>13</v>
      </c>
      <c r="I6141" s="22">
        <f t="shared" si="191"/>
        <v>-2.0683583066604859E-2</v>
      </c>
      <c r="J6141" s="22" t="str">
        <f t="shared" si="192"/>
        <v>lost money</v>
      </c>
    </row>
    <row r="6142" spans="1:10">
      <c r="A6142" s="1">
        <v>41446</v>
      </c>
      <c r="B6142">
        <v>97.36</v>
      </c>
      <c r="C6142">
        <v>97.75</v>
      </c>
      <c r="D6142">
        <v>96.89</v>
      </c>
      <c r="E6142">
        <v>97.23</v>
      </c>
      <c r="F6142">
        <v>7227000</v>
      </c>
      <c r="G6142">
        <v>95.66</v>
      </c>
      <c r="H6142" t="s">
        <v>13</v>
      </c>
      <c r="I6142" s="22">
        <f t="shared" si="191"/>
        <v>4.6102344857781958E-3</v>
      </c>
      <c r="J6142" s="22" t="str">
        <f t="shared" si="192"/>
        <v>lost money</v>
      </c>
    </row>
    <row r="6143" spans="1:10">
      <c r="A6143" s="1">
        <v>41449</v>
      </c>
      <c r="B6143">
        <v>96.54</v>
      </c>
      <c r="C6143">
        <v>97.71</v>
      </c>
      <c r="D6143">
        <v>96.02</v>
      </c>
      <c r="E6143">
        <v>97.29</v>
      </c>
      <c r="F6143">
        <v>4244500</v>
      </c>
      <c r="G6143">
        <v>95.71</v>
      </c>
      <c r="H6143" t="s">
        <v>13</v>
      </c>
      <c r="I6143" s="22">
        <f t="shared" si="191"/>
        <v>5.225479556642224E-4</v>
      </c>
      <c r="J6143" s="22" t="str">
        <f t="shared" si="192"/>
        <v/>
      </c>
    </row>
    <row r="6144" spans="1:10">
      <c r="A6144" s="1">
        <v>41450</v>
      </c>
      <c r="B6144">
        <v>97.91</v>
      </c>
      <c r="C6144">
        <v>97.99</v>
      </c>
      <c r="D6144">
        <v>97.14</v>
      </c>
      <c r="E6144">
        <v>97.52</v>
      </c>
      <c r="F6144">
        <v>3211300</v>
      </c>
      <c r="G6144">
        <v>95.94</v>
      </c>
      <c r="H6144" t="s">
        <v>13</v>
      </c>
      <c r="I6144" s="22">
        <f t="shared" si="191"/>
        <v>2.400209866102735E-3</v>
      </c>
      <c r="J6144" s="22" t="str">
        <f t="shared" si="192"/>
        <v>lost money</v>
      </c>
    </row>
    <row r="6145" spans="1:10">
      <c r="A6145" s="1">
        <v>41451</v>
      </c>
      <c r="B6145">
        <v>98.36</v>
      </c>
      <c r="C6145">
        <v>99.14</v>
      </c>
      <c r="D6145">
        <v>98.04</v>
      </c>
      <c r="E6145">
        <v>98.84</v>
      </c>
      <c r="F6145">
        <v>3585500</v>
      </c>
      <c r="G6145">
        <v>97.24</v>
      </c>
      <c r="H6145" t="s">
        <v>13</v>
      </c>
      <c r="I6145" s="22">
        <f t="shared" si="191"/>
        <v>1.3459153374004711E-2</v>
      </c>
      <c r="J6145" s="22" t="str">
        <f t="shared" si="192"/>
        <v/>
      </c>
    </row>
    <row r="6146" spans="1:10">
      <c r="A6146" s="1">
        <v>41452</v>
      </c>
      <c r="B6146">
        <v>99.45</v>
      </c>
      <c r="C6146">
        <v>99.82</v>
      </c>
      <c r="D6146">
        <v>99.13</v>
      </c>
      <c r="E6146">
        <v>99.65</v>
      </c>
      <c r="F6146">
        <v>4497100</v>
      </c>
      <c r="G6146">
        <v>98.04</v>
      </c>
      <c r="H6146" t="s">
        <v>13</v>
      </c>
      <c r="I6146" s="22">
        <f t="shared" si="191"/>
        <v>8.1934092119893658E-3</v>
      </c>
      <c r="J6146" s="22" t="str">
        <f t="shared" si="192"/>
        <v/>
      </c>
    </row>
    <row r="6147" spans="1:10">
      <c r="A6147" s="1">
        <v>41453</v>
      </c>
      <c r="B6147">
        <v>99.51</v>
      </c>
      <c r="C6147">
        <v>100.11</v>
      </c>
      <c r="D6147">
        <v>98.93</v>
      </c>
      <c r="E6147">
        <v>99</v>
      </c>
      <c r="F6147">
        <v>5386400</v>
      </c>
      <c r="G6147">
        <v>97.4</v>
      </c>
      <c r="H6147" t="s">
        <v>13</v>
      </c>
      <c r="I6147" s="22">
        <f t="shared" ref="I6147:I6210" si="193">IF(A6147=$A$2,"",LN(G6147/G6146))</f>
        <v>-6.5493480114223622E-3</v>
      </c>
      <c r="J6147" s="22" t="str">
        <f t="shared" ref="J6147:J6210" si="194">IF(B6147&gt;E6147,"lost money","")</f>
        <v>lost money</v>
      </c>
    </row>
    <row r="6148" spans="1:10">
      <c r="A6148" s="1">
        <v>41456</v>
      </c>
      <c r="B6148">
        <v>99.35</v>
      </c>
      <c r="C6148">
        <v>100.3</v>
      </c>
      <c r="D6148">
        <v>99.26</v>
      </c>
      <c r="E6148">
        <v>99.82</v>
      </c>
      <c r="F6148">
        <v>4053500</v>
      </c>
      <c r="G6148">
        <v>98.2</v>
      </c>
      <c r="H6148" t="s">
        <v>13</v>
      </c>
      <c r="I6148" s="22">
        <f t="shared" si="193"/>
        <v>8.1800047119306891E-3</v>
      </c>
      <c r="J6148" s="22" t="str">
        <f t="shared" si="194"/>
        <v/>
      </c>
    </row>
    <row r="6149" spans="1:10">
      <c r="A6149" s="1">
        <v>41457</v>
      </c>
      <c r="B6149">
        <v>99.82</v>
      </c>
      <c r="C6149">
        <v>100.5</v>
      </c>
      <c r="D6149">
        <v>99.39</v>
      </c>
      <c r="E6149">
        <v>99.93</v>
      </c>
      <c r="F6149">
        <v>3850500</v>
      </c>
      <c r="G6149">
        <v>98.31</v>
      </c>
      <c r="H6149" t="s">
        <v>13</v>
      </c>
      <c r="I6149" s="22">
        <f t="shared" si="193"/>
        <v>1.1195360184126496E-3</v>
      </c>
      <c r="J6149" s="22" t="str">
        <f t="shared" si="194"/>
        <v/>
      </c>
    </row>
    <row r="6150" spans="1:10">
      <c r="A6150" s="1">
        <v>41458</v>
      </c>
      <c r="B6150">
        <v>99.95</v>
      </c>
      <c r="C6150">
        <v>100.56</v>
      </c>
      <c r="D6150">
        <v>99.71</v>
      </c>
      <c r="E6150">
        <v>100.35</v>
      </c>
      <c r="F6150">
        <v>1676300</v>
      </c>
      <c r="G6150">
        <v>98.72</v>
      </c>
      <c r="H6150" t="s">
        <v>13</v>
      </c>
      <c r="I6150" s="22">
        <f t="shared" si="193"/>
        <v>4.1618087782447502E-3</v>
      </c>
      <c r="J6150" s="22" t="str">
        <f t="shared" si="194"/>
        <v/>
      </c>
    </row>
    <row r="6151" spans="1:10">
      <c r="A6151" s="1">
        <v>41460</v>
      </c>
      <c r="B6151">
        <v>100.69</v>
      </c>
      <c r="C6151">
        <v>100.84</v>
      </c>
      <c r="D6151">
        <v>99.25</v>
      </c>
      <c r="E6151">
        <v>99.86</v>
      </c>
      <c r="F6151">
        <v>3933900</v>
      </c>
      <c r="G6151">
        <v>98.24</v>
      </c>
      <c r="H6151" t="s">
        <v>13</v>
      </c>
      <c r="I6151" s="22">
        <f t="shared" si="193"/>
        <v>-4.8740957582454067E-3</v>
      </c>
      <c r="J6151" s="22" t="str">
        <f t="shared" si="194"/>
        <v>lost money</v>
      </c>
    </row>
    <row r="6152" spans="1:10">
      <c r="A6152" s="1">
        <v>41463</v>
      </c>
      <c r="B6152">
        <v>100.28</v>
      </c>
      <c r="C6152">
        <v>100.5</v>
      </c>
      <c r="D6152">
        <v>99.55</v>
      </c>
      <c r="E6152">
        <v>99.88</v>
      </c>
      <c r="F6152">
        <v>4064300</v>
      </c>
      <c r="G6152">
        <v>98.26</v>
      </c>
      <c r="H6152" t="s">
        <v>13</v>
      </c>
      <c r="I6152" s="22">
        <f t="shared" si="193"/>
        <v>2.0356234166998832E-4</v>
      </c>
      <c r="J6152" s="22" t="str">
        <f t="shared" si="194"/>
        <v>lost money</v>
      </c>
    </row>
    <row r="6153" spans="1:10">
      <c r="A6153" s="1">
        <v>41464</v>
      </c>
      <c r="B6153">
        <v>100.24</v>
      </c>
      <c r="C6153">
        <v>100.37</v>
      </c>
      <c r="D6153">
        <v>99.2</v>
      </c>
      <c r="E6153">
        <v>99.99</v>
      </c>
      <c r="F6153">
        <v>4120100</v>
      </c>
      <c r="G6153">
        <v>98.37</v>
      </c>
      <c r="H6153" t="s">
        <v>13</v>
      </c>
      <c r="I6153" s="22">
        <f t="shared" si="193"/>
        <v>1.1188527841643908E-3</v>
      </c>
      <c r="J6153" s="22" t="str">
        <f t="shared" si="194"/>
        <v>lost money</v>
      </c>
    </row>
    <row r="6154" spans="1:10">
      <c r="A6154" s="1">
        <v>41465</v>
      </c>
      <c r="B6154">
        <v>100.15</v>
      </c>
      <c r="C6154">
        <v>100.36</v>
      </c>
      <c r="D6154">
        <v>99.4</v>
      </c>
      <c r="E6154">
        <v>99.98</v>
      </c>
      <c r="F6154">
        <v>3532400</v>
      </c>
      <c r="G6154">
        <v>98.36</v>
      </c>
      <c r="H6154" t="s">
        <v>13</v>
      </c>
      <c r="I6154" s="22">
        <f t="shared" si="193"/>
        <v>-1.0166217667477068E-4</v>
      </c>
      <c r="J6154" s="22" t="str">
        <f t="shared" si="194"/>
        <v>lost money</v>
      </c>
    </row>
    <row r="6155" spans="1:10">
      <c r="A6155" s="1">
        <v>41466</v>
      </c>
      <c r="B6155">
        <v>100.75</v>
      </c>
      <c r="C6155">
        <v>100.96</v>
      </c>
      <c r="D6155">
        <v>99.76</v>
      </c>
      <c r="E6155">
        <v>100.79</v>
      </c>
      <c r="F6155">
        <v>4064100</v>
      </c>
      <c r="G6155">
        <v>99.16</v>
      </c>
      <c r="H6155" t="s">
        <v>13</v>
      </c>
      <c r="I6155" s="22">
        <f t="shared" si="193"/>
        <v>8.1004898189979812E-3</v>
      </c>
      <c r="J6155" s="22" t="str">
        <f t="shared" si="194"/>
        <v/>
      </c>
    </row>
    <row r="6156" spans="1:10">
      <c r="A6156" s="1">
        <v>41467</v>
      </c>
      <c r="B6156">
        <v>100.59</v>
      </c>
      <c r="C6156">
        <v>101.81</v>
      </c>
      <c r="D6156">
        <v>100.5</v>
      </c>
      <c r="E6156">
        <v>101.58</v>
      </c>
      <c r="F6156">
        <v>4766800</v>
      </c>
      <c r="G6156">
        <v>99.93</v>
      </c>
      <c r="H6156" t="s">
        <v>13</v>
      </c>
      <c r="I6156" s="22">
        <f t="shared" si="193"/>
        <v>7.7352337067083284E-3</v>
      </c>
      <c r="J6156" s="22" t="str">
        <f t="shared" si="194"/>
        <v/>
      </c>
    </row>
    <row r="6157" spans="1:10">
      <c r="A6157" s="1">
        <v>41470</v>
      </c>
      <c r="B6157">
        <v>101.6</v>
      </c>
      <c r="C6157">
        <v>101.73</v>
      </c>
      <c r="D6157">
        <v>100.7</v>
      </c>
      <c r="E6157">
        <v>100.75</v>
      </c>
      <c r="F6157">
        <v>4480700</v>
      </c>
      <c r="G6157">
        <v>99.12</v>
      </c>
      <c r="H6157" t="s">
        <v>13</v>
      </c>
      <c r="I6157" s="22">
        <f t="shared" si="193"/>
        <v>-8.138703552811025E-3</v>
      </c>
      <c r="J6157" s="22" t="str">
        <f t="shared" si="194"/>
        <v>lost money</v>
      </c>
    </row>
    <row r="6158" spans="1:10">
      <c r="A6158" s="1">
        <v>41471</v>
      </c>
      <c r="B6158">
        <v>100.18</v>
      </c>
      <c r="C6158">
        <v>101.12</v>
      </c>
      <c r="D6158">
        <v>99.47</v>
      </c>
      <c r="E6158">
        <v>100.88</v>
      </c>
      <c r="F6158">
        <v>4406200</v>
      </c>
      <c r="G6158">
        <v>99.25</v>
      </c>
      <c r="H6158" t="s">
        <v>13</v>
      </c>
      <c r="I6158" s="22">
        <f t="shared" si="193"/>
        <v>1.3106822464126621E-3</v>
      </c>
      <c r="J6158" s="22" t="str">
        <f t="shared" si="194"/>
        <v/>
      </c>
    </row>
    <row r="6159" spans="1:10">
      <c r="A6159" s="1">
        <v>41472</v>
      </c>
      <c r="B6159">
        <v>100.05</v>
      </c>
      <c r="C6159">
        <v>100.35</v>
      </c>
      <c r="D6159">
        <v>99.3</v>
      </c>
      <c r="E6159">
        <v>100.1</v>
      </c>
      <c r="F6159">
        <v>5377400</v>
      </c>
      <c r="G6159">
        <v>98.48</v>
      </c>
      <c r="H6159" t="s">
        <v>13</v>
      </c>
      <c r="I6159" s="22">
        <f t="shared" si="193"/>
        <v>-7.7884376911017041E-3</v>
      </c>
      <c r="J6159" s="22" t="str">
        <f t="shared" si="194"/>
        <v/>
      </c>
    </row>
    <row r="6160" spans="1:10">
      <c r="A6160" s="1">
        <v>41473</v>
      </c>
      <c r="B6160">
        <v>100.48</v>
      </c>
      <c r="C6160">
        <v>100.77</v>
      </c>
      <c r="D6160">
        <v>99.99</v>
      </c>
      <c r="E6160">
        <v>100.18</v>
      </c>
      <c r="F6160">
        <v>3401600</v>
      </c>
      <c r="G6160">
        <v>98.56</v>
      </c>
      <c r="H6160" t="s">
        <v>13</v>
      </c>
      <c r="I6160" s="22">
        <f t="shared" si="193"/>
        <v>8.1201790901145666E-4</v>
      </c>
      <c r="J6160" s="22" t="str">
        <f t="shared" si="194"/>
        <v>lost money</v>
      </c>
    </row>
    <row r="6161" spans="1:10">
      <c r="A6161" s="1">
        <v>41474</v>
      </c>
      <c r="B6161">
        <v>100.2</v>
      </c>
      <c r="C6161">
        <v>100.41</v>
      </c>
      <c r="D6161">
        <v>99.53</v>
      </c>
      <c r="E6161">
        <v>100.27</v>
      </c>
      <c r="F6161">
        <v>4508300</v>
      </c>
      <c r="G6161">
        <v>98.65</v>
      </c>
      <c r="H6161" t="s">
        <v>13</v>
      </c>
      <c r="I6161" s="22">
        <f t="shared" si="193"/>
        <v>9.1273268341469991E-4</v>
      </c>
      <c r="J6161" s="22" t="str">
        <f t="shared" si="194"/>
        <v/>
      </c>
    </row>
    <row r="6162" spans="1:10">
      <c r="A6162" s="1">
        <v>41477</v>
      </c>
      <c r="B6162">
        <v>97.75</v>
      </c>
      <c r="C6162">
        <v>97.93</v>
      </c>
      <c r="D6162">
        <v>97.06</v>
      </c>
      <c r="E6162">
        <v>97.58</v>
      </c>
      <c r="F6162">
        <v>13209600</v>
      </c>
      <c r="G6162">
        <v>96</v>
      </c>
      <c r="H6162" t="s">
        <v>13</v>
      </c>
      <c r="I6162" s="22">
        <f t="shared" si="193"/>
        <v>-2.7230041000788158E-2</v>
      </c>
      <c r="J6162" s="22" t="str">
        <f t="shared" si="194"/>
        <v>lost money</v>
      </c>
    </row>
    <row r="6163" spans="1:10">
      <c r="A6163" s="1">
        <v>41478</v>
      </c>
      <c r="B6163">
        <v>97.55</v>
      </c>
      <c r="C6163">
        <v>97.72</v>
      </c>
      <c r="D6163">
        <v>96.68</v>
      </c>
      <c r="E6163">
        <v>96.76</v>
      </c>
      <c r="F6163">
        <v>6989300</v>
      </c>
      <c r="G6163">
        <v>95.19</v>
      </c>
      <c r="H6163" t="s">
        <v>13</v>
      </c>
      <c r="I6163" s="22">
        <f t="shared" si="193"/>
        <v>-8.4732972046223341E-3</v>
      </c>
      <c r="J6163" s="22" t="str">
        <f t="shared" si="194"/>
        <v>lost money</v>
      </c>
    </row>
    <row r="6164" spans="1:10">
      <c r="A6164" s="1">
        <v>41479</v>
      </c>
      <c r="B6164">
        <v>97.21</v>
      </c>
      <c r="C6164">
        <v>97.4</v>
      </c>
      <c r="D6164">
        <v>96.3</v>
      </c>
      <c r="E6164">
        <v>96.66</v>
      </c>
      <c r="F6164">
        <v>5197900</v>
      </c>
      <c r="G6164">
        <v>95.09</v>
      </c>
      <c r="H6164" t="s">
        <v>13</v>
      </c>
      <c r="I6164" s="22">
        <f t="shared" si="193"/>
        <v>-1.0510827118609561E-3</v>
      </c>
      <c r="J6164" s="22" t="str">
        <f t="shared" si="194"/>
        <v>lost money</v>
      </c>
    </row>
    <row r="6165" spans="1:10">
      <c r="A6165" s="1">
        <v>41480</v>
      </c>
      <c r="B6165">
        <v>96.67</v>
      </c>
      <c r="C6165">
        <v>97.59</v>
      </c>
      <c r="D6165">
        <v>96.56</v>
      </c>
      <c r="E6165">
        <v>97.49</v>
      </c>
      <c r="F6165">
        <v>4208100</v>
      </c>
      <c r="G6165">
        <v>95.91</v>
      </c>
      <c r="H6165" t="s">
        <v>13</v>
      </c>
      <c r="I6165" s="22">
        <f t="shared" si="193"/>
        <v>8.5864401885069191E-3</v>
      </c>
      <c r="J6165" s="22" t="str">
        <f t="shared" si="194"/>
        <v/>
      </c>
    </row>
    <row r="6166" spans="1:10">
      <c r="A6166" s="1">
        <v>41481</v>
      </c>
      <c r="B6166">
        <v>97.25</v>
      </c>
      <c r="C6166">
        <v>98.08</v>
      </c>
      <c r="D6166">
        <v>96.92</v>
      </c>
      <c r="E6166">
        <v>98.03</v>
      </c>
      <c r="F6166">
        <v>4561600</v>
      </c>
      <c r="G6166">
        <v>96.44</v>
      </c>
      <c r="H6166" t="s">
        <v>13</v>
      </c>
      <c r="I6166" s="22">
        <f t="shared" si="193"/>
        <v>5.5108015731104663E-3</v>
      </c>
      <c r="J6166" s="22" t="str">
        <f t="shared" si="194"/>
        <v/>
      </c>
    </row>
    <row r="6167" spans="1:10">
      <c r="A6167" s="1">
        <v>41484</v>
      </c>
      <c r="B6167">
        <v>97.96</v>
      </c>
      <c r="C6167">
        <v>98.03</v>
      </c>
      <c r="D6167">
        <v>97.39</v>
      </c>
      <c r="E6167">
        <v>97.87</v>
      </c>
      <c r="F6167">
        <v>3592500</v>
      </c>
      <c r="G6167">
        <v>96.28</v>
      </c>
      <c r="H6167" t="s">
        <v>13</v>
      </c>
      <c r="I6167" s="22">
        <f t="shared" si="193"/>
        <v>-1.6604403980990696E-3</v>
      </c>
      <c r="J6167" s="22" t="str">
        <f t="shared" si="194"/>
        <v>lost money</v>
      </c>
    </row>
    <row r="6168" spans="1:10">
      <c r="A6168" s="1">
        <v>41485</v>
      </c>
      <c r="B6168">
        <v>98</v>
      </c>
      <c r="C6168">
        <v>98.54</v>
      </c>
      <c r="D6168">
        <v>97.84</v>
      </c>
      <c r="E6168">
        <v>98.37</v>
      </c>
      <c r="F6168">
        <v>4127400</v>
      </c>
      <c r="G6168">
        <v>96.78</v>
      </c>
      <c r="H6168" t="s">
        <v>13</v>
      </c>
      <c r="I6168" s="22">
        <f t="shared" si="193"/>
        <v>5.1797484503012881E-3</v>
      </c>
      <c r="J6168" s="22" t="str">
        <f t="shared" si="194"/>
        <v/>
      </c>
    </row>
    <row r="6169" spans="1:10">
      <c r="A6169" s="1">
        <v>41486</v>
      </c>
      <c r="B6169">
        <v>98.32</v>
      </c>
      <c r="C6169">
        <v>98.54</v>
      </c>
      <c r="D6169">
        <v>97.63</v>
      </c>
      <c r="E6169">
        <v>98.08</v>
      </c>
      <c r="F6169">
        <v>5343000</v>
      </c>
      <c r="G6169">
        <v>96.49</v>
      </c>
      <c r="H6169" t="s">
        <v>13</v>
      </c>
      <c r="I6169" s="22">
        <f t="shared" si="193"/>
        <v>-3.0009853328801651E-3</v>
      </c>
      <c r="J6169" s="22" t="str">
        <f t="shared" si="194"/>
        <v>lost money</v>
      </c>
    </row>
    <row r="6170" spans="1:10">
      <c r="A6170" s="1">
        <v>41487</v>
      </c>
      <c r="B6170">
        <v>98.62</v>
      </c>
      <c r="C6170">
        <v>99.24</v>
      </c>
      <c r="D6170">
        <v>98.32</v>
      </c>
      <c r="E6170">
        <v>99</v>
      </c>
      <c r="F6170">
        <v>3954600</v>
      </c>
      <c r="G6170">
        <v>97.4</v>
      </c>
      <c r="H6170" t="s">
        <v>13</v>
      </c>
      <c r="I6170" s="22">
        <f t="shared" si="193"/>
        <v>9.3868346161969981E-3</v>
      </c>
      <c r="J6170" s="22" t="str">
        <f t="shared" si="194"/>
        <v/>
      </c>
    </row>
    <row r="6171" spans="1:10">
      <c r="A6171" s="1">
        <v>41488</v>
      </c>
      <c r="B6171">
        <v>98.81</v>
      </c>
      <c r="C6171">
        <v>99.2</v>
      </c>
      <c r="D6171">
        <v>98.45</v>
      </c>
      <c r="E6171">
        <v>99.2</v>
      </c>
      <c r="F6171">
        <v>3224300</v>
      </c>
      <c r="G6171">
        <v>97.59</v>
      </c>
      <c r="H6171" t="s">
        <v>13</v>
      </c>
      <c r="I6171" s="22">
        <f t="shared" si="193"/>
        <v>1.9488185048803723E-3</v>
      </c>
      <c r="J6171" s="22" t="str">
        <f t="shared" si="194"/>
        <v/>
      </c>
    </row>
    <row r="6172" spans="1:10">
      <c r="A6172" s="1">
        <v>41491</v>
      </c>
      <c r="B6172">
        <v>99.01</v>
      </c>
      <c r="C6172">
        <v>99.44</v>
      </c>
      <c r="D6172">
        <v>98.83</v>
      </c>
      <c r="E6172">
        <v>99.31</v>
      </c>
      <c r="F6172">
        <v>3326400</v>
      </c>
      <c r="G6172">
        <v>97.7</v>
      </c>
      <c r="H6172" t="s">
        <v>13</v>
      </c>
      <c r="I6172" s="22">
        <f t="shared" si="193"/>
        <v>1.1265298953673085E-3</v>
      </c>
      <c r="J6172" s="22" t="str">
        <f t="shared" si="194"/>
        <v/>
      </c>
    </row>
    <row r="6173" spans="1:10">
      <c r="A6173" s="1">
        <v>41492</v>
      </c>
      <c r="B6173">
        <v>99.33</v>
      </c>
      <c r="C6173">
        <v>99.4</v>
      </c>
      <c r="D6173">
        <v>98.37</v>
      </c>
      <c r="E6173">
        <v>98.69</v>
      </c>
      <c r="F6173">
        <v>3507200</v>
      </c>
      <c r="G6173">
        <v>97.09</v>
      </c>
      <c r="H6173" t="s">
        <v>13</v>
      </c>
      <c r="I6173" s="22">
        <f t="shared" si="193"/>
        <v>-6.2631756666835367E-3</v>
      </c>
      <c r="J6173" s="22" t="str">
        <f t="shared" si="194"/>
        <v>lost money</v>
      </c>
    </row>
    <row r="6174" spans="1:10">
      <c r="A6174" s="1">
        <v>41493</v>
      </c>
      <c r="B6174">
        <v>98.6</v>
      </c>
      <c r="C6174">
        <v>98.99</v>
      </c>
      <c r="D6174">
        <v>98.27</v>
      </c>
      <c r="E6174">
        <v>98.33</v>
      </c>
      <c r="F6174">
        <v>3256400</v>
      </c>
      <c r="G6174">
        <v>96.74</v>
      </c>
      <c r="H6174" t="s">
        <v>13</v>
      </c>
      <c r="I6174" s="22">
        <f t="shared" si="193"/>
        <v>-3.6114159872164386E-3</v>
      </c>
      <c r="J6174" s="22" t="str">
        <f t="shared" si="194"/>
        <v>lost money</v>
      </c>
    </row>
    <row r="6175" spans="1:10">
      <c r="A6175" s="1">
        <v>41494</v>
      </c>
      <c r="B6175">
        <v>98.64</v>
      </c>
      <c r="C6175">
        <v>98.99</v>
      </c>
      <c r="D6175">
        <v>97.44</v>
      </c>
      <c r="E6175">
        <v>98.04</v>
      </c>
      <c r="F6175">
        <v>4862300</v>
      </c>
      <c r="G6175">
        <v>96.45</v>
      </c>
      <c r="H6175" t="s">
        <v>13</v>
      </c>
      <c r="I6175" s="22">
        <f t="shared" si="193"/>
        <v>-3.0022280430989272E-3</v>
      </c>
      <c r="J6175" s="22" t="str">
        <f t="shared" si="194"/>
        <v>lost money</v>
      </c>
    </row>
    <row r="6176" spans="1:10">
      <c r="A6176" s="1">
        <v>41495</v>
      </c>
      <c r="B6176">
        <v>97.9</v>
      </c>
      <c r="C6176">
        <v>98.4</v>
      </c>
      <c r="D6176">
        <v>97.07</v>
      </c>
      <c r="E6176">
        <v>97.62</v>
      </c>
      <c r="F6176">
        <v>4041800</v>
      </c>
      <c r="G6176">
        <v>96.04</v>
      </c>
      <c r="H6176" t="s">
        <v>13</v>
      </c>
      <c r="I6176" s="22">
        <f t="shared" si="193"/>
        <v>-4.2599679986856176E-3</v>
      </c>
      <c r="J6176" s="22" t="str">
        <f t="shared" si="194"/>
        <v>lost money</v>
      </c>
    </row>
    <row r="6177" spans="1:10">
      <c r="A6177" s="1">
        <v>41498</v>
      </c>
      <c r="B6177">
        <v>97.49</v>
      </c>
      <c r="C6177">
        <v>97.8</v>
      </c>
      <c r="D6177">
        <v>97</v>
      </c>
      <c r="E6177">
        <v>97.04</v>
      </c>
      <c r="F6177">
        <v>3256800</v>
      </c>
      <c r="G6177">
        <v>95.47</v>
      </c>
      <c r="H6177" t="s">
        <v>13</v>
      </c>
      <c r="I6177" s="22">
        <f t="shared" si="193"/>
        <v>-5.9527093431107451E-3</v>
      </c>
      <c r="J6177" s="22" t="str">
        <f t="shared" si="194"/>
        <v>lost money</v>
      </c>
    </row>
    <row r="6178" spans="1:10">
      <c r="A6178" s="1">
        <v>41499</v>
      </c>
      <c r="B6178">
        <v>97.02</v>
      </c>
      <c r="C6178">
        <v>97.1</v>
      </c>
      <c r="D6178">
        <v>96.11</v>
      </c>
      <c r="E6178">
        <v>96.45</v>
      </c>
      <c r="F6178">
        <v>5188300</v>
      </c>
      <c r="G6178">
        <v>94.89</v>
      </c>
      <c r="H6178" t="s">
        <v>13</v>
      </c>
      <c r="I6178" s="22">
        <f t="shared" si="193"/>
        <v>-6.0937360242745804E-3</v>
      </c>
      <c r="J6178" s="22" t="str">
        <f t="shared" si="194"/>
        <v>lost money</v>
      </c>
    </row>
    <row r="6179" spans="1:10">
      <c r="A6179" s="1">
        <v>41500</v>
      </c>
      <c r="B6179">
        <v>96.24</v>
      </c>
      <c r="C6179">
        <v>96.37</v>
      </c>
      <c r="D6179">
        <v>95.64</v>
      </c>
      <c r="E6179">
        <v>96.11</v>
      </c>
      <c r="F6179">
        <v>5448700</v>
      </c>
      <c r="G6179">
        <v>94.55</v>
      </c>
      <c r="H6179" t="s">
        <v>13</v>
      </c>
      <c r="I6179" s="22">
        <f t="shared" si="193"/>
        <v>-3.5895308812006928E-3</v>
      </c>
      <c r="J6179" s="22" t="str">
        <f t="shared" si="194"/>
        <v>lost money</v>
      </c>
    </row>
    <row r="6180" spans="1:10">
      <c r="A6180" s="1">
        <v>41501</v>
      </c>
      <c r="B6180">
        <v>95.55</v>
      </c>
      <c r="C6180">
        <v>95.91</v>
      </c>
      <c r="D6180">
        <v>95.19</v>
      </c>
      <c r="E6180">
        <v>95.39</v>
      </c>
      <c r="F6180">
        <v>4207500</v>
      </c>
      <c r="G6180">
        <v>93.85</v>
      </c>
      <c r="H6180" t="s">
        <v>13</v>
      </c>
      <c r="I6180" s="22">
        <f t="shared" si="193"/>
        <v>-7.4310320719486985E-3</v>
      </c>
      <c r="J6180" s="22" t="str">
        <f t="shared" si="194"/>
        <v>lost money</v>
      </c>
    </row>
    <row r="6181" spans="1:10">
      <c r="A6181" s="1">
        <v>41502</v>
      </c>
      <c r="B6181">
        <v>95.2</v>
      </c>
      <c r="C6181">
        <v>95.5</v>
      </c>
      <c r="D6181">
        <v>95.01</v>
      </c>
      <c r="E6181">
        <v>95.03</v>
      </c>
      <c r="F6181">
        <v>3324000</v>
      </c>
      <c r="G6181">
        <v>93.49</v>
      </c>
      <c r="H6181" t="s">
        <v>13</v>
      </c>
      <c r="I6181" s="22">
        <f t="shared" si="193"/>
        <v>-3.8432843292935028E-3</v>
      </c>
      <c r="J6181" s="22" t="str">
        <f t="shared" si="194"/>
        <v>lost money</v>
      </c>
    </row>
    <row r="6182" spans="1:10">
      <c r="A6182" s="1">
        <v>41505</v>
      </c>
      <c r="B6182">
        <v>95.12</v>
      </c>
      <c r="C6182">
        <v>95.99</v>
      </c>
      <c r="D6182">
        <v>95.05</v>
      </c>
      <c r="E6182">
        <v>95.48</v>
      </c>
      <c r="F6182">
        <v>3126200</v>
      </c>
      <c r="G6182">
        <v>93.93</v>
      </c>
      <c r="H6182" t="s">
        <v>13</v>
      </c>
      <c r="I6182" s="22">
        <f t="shared" si="193"/>
        <v>4.6953453031997527E-3</v>
      </c>
      <c r="J6182" s="22" t="str">
        <f t="shared" si="194"/>
        <v/>
      </c>
    </row>
    <row r="6183" spans="1:10">
      <c r="A6183" s="1">
        <v>41506</v>
      </c>
      <c r="B6183">
        <v>95.51</v>
      </c>
      <c r="C6183">
        <v>95.9</v>
      </c>
      <c r="D6183">
        <v>95.36</v>
      </c>
      <c r="E6183">
        <v>95.5</v>
      </c>
      <c r="F6183">
        <v>2827800</v>
      </c>
      <c r="G6183">
        <v>93.95</v>
      </c>
      <c r="H6183" t="s">
        <v>13</v>
      </c>
      <c r="I6183" s="22">
        <f t="shared" si="193"/>
        <v>2.12901853050297E-4</v>
      </c>
      <c r="J6183" s="22" t="str">
        <f t="shared" si="194"/>
        <v>lost money</v>
      </c>
    </row>
    <row r="6184" spans="1:10">
      <c r="A6184" s="1">
        <v>41507</v>
      </c>
      <c r="B6184">
        <v>95.41</v>
      </c>
      <c r="C6184">
        <v>95.82</v>
      </c>
      <c r="D6184">
        <v>95.11</v>
      </c>
      <c r="E6184">
        <v>95.11</v>
      </c>
      <c r="F6184">
        <v>3430600</v>
      </c>
      <c r="G6184">
        <v>93.57</v>
      </c>
      <c r="H6184" t="s">
        <v>13</v>
      </c>
      <c r="I6184" s="22">
        <f t="shared" si="193"/>
        <v>-4.0529065716528529E-3</v>
      </c>
      <c r="J6184" s="22" t="str">
        <f t="shared" si="194"/>
        <v>lost money</v>
      </c>
    </row>
    <row r="6185" spans="1:10">
      <c r="A6185" s="1">
        <v>41508</v>
      </c>
      <c r="B6185">
        <v>95.37</v>
      </c>
      <c r="C6185">
        <v>95.69</v>
      </c>
      <c r="D6185">
        <v>95.21</v>
      </c>
      <c r="E6185">
        <v>95.46</v>
      </c>
      <c r="F6185">
        <v>15364400</v>
      </c>
      <c r="G6185">
        <v>93.91</v>
      </c>
      <c r="H6185" t="s">
        <v>13</v>
      </c>
      <c r="I6185" s="22">
        <f t="shared" si="193"/>
        <v>3.6270575287006587E-3</v>
      </c>
      <c r="J6185" s="22" t="str">
        <f t="shared" si="194"/>
        <v/>
      </c>
    </row>
    <row r="6186" spans="1:10">
      <c r="A6186" s="1">
        <v>41509</v>
      </c>
      <c r="B6186">
        <v>95.57</v>
      </c>
      <c r="C6186">
        <v>95.68</v>
      </c>
      <c r="D6186">
        <v>94.91</v>
      </c>
      <c r="E6186">
        <v>95.13</v>
      </c>
      <c r="F6186">
        <v>12274200</v>
      </c>
      <c r="G6186">
        <v>93.59</v>
      </c>
      <c r="H6186" t="s">
        <v>13</v>
      </c>
      <c r="I6186" s="22">
        <f t="shared" si="193"/>
        <v>-3.4133366473569852E-3</v>
      </c>
      <c r="J6186" s="22" t="str">
        <f t="shared" si="194"/>
        <v>lost money</v>
      </c>
    </row>
    <row r="6187" spans="1:10">
      <c r="A6187" s="1">
        <v>41512</v>
      </c>
      <c r="B6187">
        <v>95.36</v>
      </c>
      <c r="C6187">
        <v>95.94</v>
      </c>
      <c r="D6187">
        <v>95.1</v>
      </c>
      <c r="E6187">
        <v>95.31</v>
      </c>
      <c r="F6187">
        <v>3060000</v>
      </c>
      <c r="G6187">
        <v>93.77</v>
      </c>
      <c r="H6187" t="s">
        <v>13</v>
      </c>
      <c r="I6187" s="22">
        <f t="shared" si="193"/>
        <v>1.9214352623685964E-3</v>
      </c>
      <c r="J6187" s="22" t="str">
        <f t="shared" si="194"/>
        <v>lost money</v>
      </c>
    </row>
    <row r="6188" spans="1:10">
      <c r="A6188" s="1">
        <v>41513</v>
      </c>
      <c r="B6188">
        <v>94.86</v>
      </c>
      <c r="C6188">
        <v>95.19</v>
      </c>
      <c r="D6188">
        <v>94.01</v>
      </c>
      <c r="E6188">
        <v>94.84</v>
      </c>
      <c r="F6188">
        <v>4513100</v>
      </c>
      <c r="G6188">
        <v>93.3</v>
      </c>
      <c r="H6188" t="s">
        <v>13</v>
      </c>
      <c r="I6188" s="22">
        <f t="shared" si="193"/>
        <v>-5.0248675782356787E-3</v>
      </c>
      <c r="J6188" s="22" t="str">
        <f t="shared" si="194"/>
        <v>lost money</v>
      </c>
    </row>
    <row r="6189" spans="1:10">
      <c r="A6189" s="1">
        <v>41514</v>
      </c>
      <c r="B6189">
        <v>95</v>
      </c>
      <c r="C6189">
        <v>96.33</v>
      </c>
      <c r="D6189">
        <v>95</v>
      </c>
      <c r="E6189">
        <v>96.08</v>
      </c>
      <c r="F6189">
        <v>5482500</v>
      </c>
      <c r="G6189">
        <v>94.52</v>
      </c>
      <c r="H6189" t="s">
        <v>13</v>
      </c>
      <c r="I6189" s="22">
        <f t="shared" si="193"/>
        <v>1.2991344465408877E-2</v>
      </c>
      <c r="J6189" s="22" t="str">
        <f t="shared" si="194"/>
        <v/>
      </c>
    </row>
    <row r="6190" spans="1:10">
      <c r="A6190" s="1">
        <v>41515</v>
      </c>
      <c r="B6190">
        <v>95.65</v>
      </c>
      <c r="C6190">
        <v>95.98</v>
      </c>
      <c r="D6190">
        <v>94.7</v>
      </c>
      <c r="E6190">
        <v>94.86</v>
      </c>
      <c r="F6190">
        <v>4796600</v>
      </c>
      <c r="G6190">
        <v>94.08</v>
      </c>
      <c r="H6190" t="s">
        <v>13</v>
      </c>
      <c r="I6190" s="22">
        <f t="shared" si="193"/>
        <v>-4.6659681683902891E-3</v>
      </c>
      <c r="J6190" s="22" t="str">
        <f t="shared" si="194"/>
        <v>lost money</v>
      </c>
    </row>
    <row r="6191" spans="1:10">
      <c r="A6191" s="1">
        <v>41516</v>
      </c>
      <c r="B6191">
        <v>95</v>
      </c>
      <c r="C6191">
        <v>95.13</v>
      </c>
      <c r="D6191">
        <v>94.14</v>
      </c>
      <c r="E6191">
        <v>94.36</v>
      </c>
      <c r="F6191">
        <v>3993000</v>
      </c>
      <c r="G6191">
        <v>93.58</v>
      </c>
      <c r="H6191" t="s">
        <v>13</v>
      </c>
      <c r="I6191" s="22">
        <f t="shared" si="193"/>
        <v>-5.3287987122465743E-3</v>
      </c>
      <c r="J6191" s="22" t="str">
        <f t="shared" si="194"/>
        <v>lost money</v>
      </c>
    </row>
    <row r="6192" spans="1:10">
      <c r="A6192" s="1">
        <v>41520</v>
      </c>
      <c r="B6192">
        <v>95.1</v>
      </c>
      <c r="C6192">
        <v>95.28</v>
      </c>
      <c r="D6192">
        <v>94.12</v>
      </c>
      <c r="E6192">
        <v>94.52</v>
      </c>
      <c r="F6192">
        <v>3672100</v>
      </c>
      <c r="G6192">
        <v>93.74</v>
      </c>
      <c r="H6192" t="s">
        <v>13</v>
      </c>
      <c r="I6192" s="22">
        <f t="shared" si="193"/>
        <v>1.7083070564896993E-3</v>
      </c>
      <c r="J6192" s="22" t="str">
        <f t="shared" si="194"/>
        <v>lost money</v>
      </c>
    </row>
    <row r="6193" spans="1:10">
      <c r="A6193" s="1">
        <v>41521</v>
      </c>
      <c r="B6193">
        <v>94.5</v>
      </c>
      <c r="C6193">
        <v>95.36</v>
      </c>
      <c r="D6193">
        <v>94.34</v>
      </c>
      <c r="E6193">
        <v>95.16</v>
      </c>
      <c r="F6193">
        <v>2898800</v>
      </c>
      <c r="G6193">
        <v>94.38</v>
      </c>
      <c r="H6193" t="s">
        <v>13</v>
      </c>
      <c r="I6193" s="22">
        <f t="shared" si="193"/>
        <v>6.8041938036815051E-3</v>
      </c>
      <c r="J6193" s="22" t="str">
        <f t="shared" si="194"/>
        <v/>
      </c>
    </row>
    <row r="6194" spans="1:10">
      <c r="A6194" s="1">
        <v>41522</v>
      </c>
      <c r="B6194">
        <v>95.33</v>
      </c>
      <c r="C6194">
        <v>96.46</v>
      </c>
      <c r="D6194">
        <v>95.08</v>
      </c>
      <c r="E6194">
        <v>95.66</v>
      </c>
      <c r="F6194">
        <v>4275300</v>
      </c>
      <c r="G6194">
        <v>94.87</v>
      </c>
      <c r="H6194" t="s">
        <v>13</v>
      </c>
      <c r="I6194" s="22">
        <f t="shared" si="193"/>
        <v>5.1783471065440364E-3</v>
      </c>
      <c r="J6194" s="22" t="str">
        <f t="shared" si="194"/>
        <v/>
      </c>
    </row>
    <row r="6195" spans="1:10">
      <c r="A6195" s="1">
        <v>41523</v>
      </c>
      <c r="B6195">
        <v>95.87</v>
      </c>
      <c r="C6195">
        <v>96.75</v>
      </c>
      <c r="D6195">
        <v>95.25</v>
      </c>
      <c r="E6195">
        <v>96.26</v>
      </c>
      <c r="F6195">
        <v>4485800</v>
      </c>
      <c r="G6195">
        <v>95.47</v>
      </c>
      <c r="H6195" t="s">
        <v>13</v>
      </c>
      <c r="I6195" s="22">
        <f t="shared" si="193"/>
        <v>6.3045286051563384E-3</v>
      </c>
      <c r="J6195" s="22" t="str">
        <f t="shared" si="194"/>
        <v/>
      </c>
    </row>
    <row r="6196" spans="1:10">
      <c r="A6196" s="1">
        <v>41526</v>
      </c>
      <c r="B6196">
        <v>96.22</v>
      </c>
      <c r="C6196">
        <v>96.79</v>
      </c>
      <c r="D6196">
        <v>96.21</v>
      </c>
      <c r="E6196">
        <v>96.45</v>
      </c>
      <c r="F6196">
        <v>3525200</v>
      </c>
      <c r="G6196">
        <v>95.65</v>
      </c>
      <c r="H6196" t="s">
        <v>13</v>
      </c>
      <c r="I6196" s="22">
        <f t="shared" si="193"/>
        <v>1.8836338763200675E-3</v>
      </c>
      <c r="J6196" s="22" t="str">
        <f t="shared" si="194"/>
        <v/>
      </c>
    </row>
    <row r="6197" spans="1:10">
      <c r="A6197" s="1">
        <v>41527</v>
      </c>
      <c r="B6197">
        <v>97.1</v>
      </c>
      <c r="C6197">
        <v>97.36</v>
      </c>
      <c r="D6197">
        <v>96.5</v>
      </c>
      <c r="E6197">
        <v>96.89</v>
      </c>
      <c r="F6197">
        <v>4984300</v>
      </c>
      <c r="G6197">
        <v>96.09</v>
      </c>
      <c r="H6197" t="s">
        <v>13</v>
      </c>
      <c r="I6197" s="22">
        <f t="shared" si="193"/>
        <v>4.5895564029145054E-3</v>
      </c>
      <c r="J6197" s="22" t="str">
        <f t="shared" si="194"/>
        <v>lost money</v>
      </c>
    </row>
    <row r="6198" spans="1:10">
      <c r="A6198" s="1">
        <v>41528</v>
      </c>
      <c r="B6198">
        <v>96.66</v>
      </c>
      <c r="C6198">
        <v>97.46</v>
      </c>
      <c r="D6198">
        <v>96.37</v>
      </c>
      <c r="E6198">
        <v>97.46</v>
      </c>
      <c r="F6198">
        <v>3928600</v>
      </c>
      <c r="G6198">
        <v>96.66</v>
      </c>
      <c r="H6198" t="s">
        <v>13</v>
      </c>
      <c r="I6198" s="22">
        <f t="shared" si="193"/>
        <v>5.9144141277614288E-3</v>
      </c>
      <c r="J6198" s="22" t="str">
        <f t="shared" si="194"/>
        <v/>
      </c>
    </row>
    <row r="6199" spans="1:10">
      <c r="A6199" s="1">
        <v>41529</v>
      </c>
      <c r="B6199">
        <v>97.48</v>
      </c>
      <c r="C6199">
        <v>97.85</v>
      </c>
      <c r="D6199">
        <v>97.07</v>
      </c>
      <c r="E6199">
        <v>97.18</v>
      </c>
      <c r="F6199">
        <v>4277300</v>
      </c>
      <c r="G6199">
        <v>96.38</v>
      </c>
      <c r="H6199" t="s">
        <v>13</v>
      </c>
      <c r="I6199" s="22">
        <f t="shared" si="193"/>
        <v>-2.9009552047513615E-3</v>
      </c>
      <c r="J6199" s="22" t="str">
        <f t="shared" si="194"/>
        <v>lost money</v>
      </c>
    </row>
    <row r="6200" spans="1:10">
      <c r="A6200" s="1">
        <v>41530</v>
      </c>
      <c r="B6200">
        <v>97.34</v>
      </c>
      <c r="C6200">
        <v>97.65</v>
      </c>
      <c r="D6200">
        <v>97.13</v>
      </c>
      <c r="E6200">
        <v>97.35</v>
      </c>
      <c r="F6200">
        <v>2668700</v>
      </c>
      <c r="G6200">
        <v>96.55</v>
      </c>
      <c r="H6200" t="s">
        <v>13</v>
      </c>
      <c r="I6200" s="22">
        <f t="shared" si="193"/>
        <v>1.7622976623368825E-3</v>
      </c>
      <c r="J6200" s="22" t="str">
        <f t="shared" si="194"/>
        <v/>
      </c>
    </row>
    <row r="6201" spans="1:10">
      <c r="A6201" s="1">
        <v>41533</v>
      </c>
      <c r="B6201">
        <v>97.88</v>
      </c>
      <c r="C6201">
        <v>98.17</v>
      </c>
      <c r="D6201">
        <v>97.4</v>
      </c>
      <c r="E6201">
        <v>97.71</v>
      </c>
      <c r="F6201">
        <v>3490900</v>
      </c>
      <c r="G6201">
        <v>96.9</v>
      </c>
      <c r="H6201" t="s">
        <v>13</v>
      </c>
      <c r="I6201" s="22">
        <f t="shared" si="193"/>
        <v>3.6185100221972229E-3</v>
      </c>
      <c r="J6201" s="22" t="str">
        <f t="shared" si="194"/>
        <v>lost money</v>
      </c>
    </row>
    <row r="6202" spans="1:10">
      <c r="A6202" s="1">
        <v>41534</v>
      </c>
      <c r="B6202">
        <v>97.58</v>
      </c>
      <c r="C6202">
        <v>98.36</v>
      </c>
      <c r="D6202">
        <v>97.49</v>
      </c>
      <c r="E6202">
        <v>97.92</v>
      </c>
      <c r="F6202">
        <v>3256900</v>
      </c>
      <c r="G6202">
        <v>97.11</v>
      </c>
      <c r="H6202" t="s">
        <v>13</v>
      </c>
      <c r="I6202" s="22">
        <f t="shared" si="193"/>
        <v>2.1648377095421071E-3</v>
      </c>
      <c r="J6202" s="22" t="str">
        <f t="shared" si="194"/>
        <v/>
      </c>
    </row>
    <row r="6203" spans="1:10">
      <c r="A6203" s="1">
        <v>41535</v>
      </c>
      <c r="B6203">
        <v>97.87</v>
      </c>
      <c r="C6203">
        <v>98.99</v>
      </c>
      <c r="D6203">
        <v>97.64</v>
      </c>
      <c r="E6203">
        <v>98.7</v>
      </c>
      <c r="F6203">
        <v>4279600</v>
      </c>
      <c r="G6203">
        <v>97.89</v>
      </c>
      <c r="H6203" t="s">
        <v>13</v>
      </c>
      <c r="I6203" s="22">
        <f t="shared" si="193"/>
        <v>8.0000426670763704E-3</v>
      </c>
      <c r="J6203" s="22" t="str">
        <f t="shared" si="194"/>
        <v/>
      </c>
    </row>
    <row r="6204" spans="1:10">
      <c r="A6204" s="1">
        <v>41536</v>
      </c>
      <c r="B6204">
        <v>98.5</v>
      </c>
      <c r="C6204">
        <v>98.51</v>
      </c>
      <c r="D6204">
        <v>97</v>
      </c>
      <c r="E6204">
        <v>97.92</v>
      </c>
      <c r="F6204">
        <v>6430800</v>
      </c>
      <c r="G6204">
        <v>97.11</v>
      </c>
      <c r="H6204" t="s">
        <v>13</v>
      </c>
      <c r="I6204" s="22">
        <f t="shared" si="193"/>
        <v>-8.0000426670762646E-3</v>
      </c>
      <c r="J6204" s="22" t="str">
        <f t="shared" si="194"/>
        <v>lost money</v>
      </c>
    </row>
    <row r="6205" spans="1:10">
      <c r="A6205" s="1">
        <v>41537</v>
      </c>
      <c r="B6205">
        <v>97.7</v>
      </c>
      <c r="C6205">
        <v>98.05</v>
      </c>
      <c r="D6205">
        <v>96.9</v>
      </c>
      <c r="E6205">
        <v>96.9</v>
      </c>
      <c r="F6205">
        <v>8077000</v>
      </c>
      <c r="G6205">
        <v>96.1</v>
      </c>
      <c r="H6205" t="s">
        <v>13</v>
      </c>
      <c r="I6205" s="22">
        <f t="shared" si="193"/>
        <v>-1.0455040630015946E-2</v>
      </c>
      <c r="J6205" s="22" t="str">
        <f t="shared" si="194"/>
        <v>lost money</v>
      </c>
    </row>
    <row r="6206" spans="1:10">
      <c r="A6206" s="1">
        <v>41540</v>
      </c>
      <c r="B6206">
        <v>96.97</v>
      </c>
      <c r="C6206">
        <v>97.58</v>
      </c>
      <c r="D6206">
        <v>96.82</v>
      </c>
      <c r="E6206">
        <v>97.28</v>
      </c>
      <c r="F6206">
        <v>3301600</v>
      </c>
      <c r="G6206">
        <v>96.48</v>
      </c>
      <c r="H6206" t="s">
        <v>13</v>
      </c>
      <c r="I6206" s="22">
        <f t="shared" si="193"/>
        <v>3.9464170026286107E-3</v>
      </c>
      <c r="J6206" s="22" t="str">
        <f t="shared" si="194"/>
        <v/>
      </c>
    </row>
    <row r="6207" spans="1:10">
      <c r="A6207" s="1">
        <v>41541</v>
      </c>
      <c r="B6207">
        <v>97.14</v>
      </c>
      <c r="C6207">
        <v>98.6</v>
      </c>
      <c r="D6207">
        <v>96.86</v>
      </c>
      <c r="E6207">
        <v>97.78</v>
      </c>
      <c r="F6207">
        <v>4810300</v>
      </c>
      <c r="G6207">
        <v>96.97</v>
      </c>
      <c r="H6207" t="s">
        <v>13</v>
      </c>
      <c r="I6207" s="22">
        <f t="shared" si="193"/>
        <v>5.0659193375795081E-3</v>
      </c>
      <c r="J6207" s="22" t="str">
        <f t="shared" si="194"/>
        <v/>
      </c>
    </row>
    <row r="6208" spans="1:10">
      <c r="A6208" s="1">
        <v>41542</v>
      </c>
      <c r="B6208">
        <v>97.8</v>
      </c>
      <c r="C6208">
        <v>97.99</v>
      </c>
      <c r="D6208">
        <v>97.41</v>
      </c>
      <c r="E6208">
        <v>97.62</v>
      </c>
      <c r="F6208">
        <v>4053200</v>
      </c>
      <c r="G6208">
        <v>96.81</v>
      </c>
      <c r="H6208" t="s">
        <v>13</v>
      </c>
      <c r="I6208" s="22">
        <f t="shared" si="193"/>
        <v>-1.6513575844746622E-3</v>
      </c>
      <c r="J6208" s="22" t="str">
        <f t="shared" si="194"/>
        <v>lost money</v>
      </c>
    </row>
    <row r="6209" spans="1:10">
      <c r="A6209" s="1">
        <v>41543</v>
      </c>
      <c r="B6209">
        <v>97.89</v>
      </c>
      <c r="C6209">
        <v>98.32</v>
      </c>
      <c r="D6209">
        <v>97.79</v>
      </c>
      <c r="E6209">
        <v>98.19</v>
      </c>
      <c r="F6209">
        <v>3604900</v>
      </c>
      <c r="G6209">
        <v>97.38</v>
      </c>
      <c r="H6209" t="s">
        <v>13</v>
      </c>
      <c r="I6209" s="22">
        <f t="shared" si="193"/>
        <v>5.8705560225746582E-3</v>
      </c>
      <c r="J6209" s="22" t="str">
        <f t="shared" si="194"/>
        <v/>
      </c>
    </row>
    <row r="6210" spans="1:10">
      <c r="A6210" s="1">
        <v>41544</v>
      </c>
      <c r="B6210">
        <v>97.89</v>
      </c>
      <c r="C6210">
        <v>97.99</v>
      </c>
      <c r="D6210">
        <v>97</v>
      </c>
      <c r="E6210">
        <v>97.12</v>
      </c>
      <c r="F6210">
        <v>3533100</v>
      </c>
      <c r="G6210">
        <v>96.32</v>
      </c>
      <c r="H6210" t="s">
        <v>13</v>
      </c>
      <c r="I6210" s="22">
        <f t="shared" si="193"/>
        <v>-1.094486919404399E-2</v>
      </c>
      <c r="J6210" s="22" t="str">
        <f t="shared" si="194"/>
        <v>lost money</v>
      </c>
    </row>
    <row r="6211" spans="1:10">
      <c r="A6211" s="1">
        <v>41547</v>
      </c>
      <c r="B6211">
        <v>96.46</v>
      </c>
      <c r="C6211">
        <v>96.69</v>
      </c>
      <c r="D6211">
        <v>95.11</v>
      </c>
      <c r="E6211">
        <v>96.21</v>
      </c>
      <c r="F6211">
        <v>4404500</v>
      </c>
      <c r="G6211">
        <v>95.42</v>
      </c>
      <c r="H6211" t="s">
        <v>13</v>
      </c>
      <c r="I6211" s="22">
        <f t="shared" ref="I6211:I6274" si="195">IF(A6211=$A$2,"",LN(G6211/G6210))</f>
        <v>-9.3877814725498304E-3</v>
      </c>
      <c r="J6211" s="22" t="str">
        <f t="shared" ref="J6211:J6274" si="196">IF(B6211&gt;E6211,"lost money","")</f>
        <v>lost money</v>
      </c>
    </row>
    <row r="6212" spans="1:10">
      <c r="A6212" s="1">
        <v>41548</v>
      </c>
      <c r="B6212">
        <v>96.18</v>
      </c>
      <c r="C6212">
        <v>96.39</v>
      </c>
      <c r="D6212">
        <v>95.85</v>
      </c>
      <c r="E6212">
        <v>96.13</v>
      </c>
      <c r="F6212">
        <v>3240700</v>
      </c>
      <c r="G6212">
        <v>95.34</v>
      </c>
      <c r="H6212" t="s">
        <v>13</v>
      </c>
      <c r="I6212" s="22">
        <f t="shared" si="195"/>
        <v>-8.3875031128135711E-4</v>
      </c>
      <c r="J6212" s="22" t="str">
        <f t="shared" si="196"/>
        <v>lost money</v>
      </c>
    </row>
    <row r="6213" spans="1:10">
      <c r="A6213" s="1">
        <v>41549</v>
      </c>
      <c r="B6213">
        <v>95.58</v>
      </c>
      <c r="C6213">
        <v>95.88</v>
      </c>
      <c r="D6213">
        <v>94.01</v>
      </c>
      <c r="E6213">
        <v>95.28</v>
      </c>
      <c r="F6213">
        <v>7250300</v>
      </c>
      <c r="G6213">
        <v>94.49</v>
      </c>
      <c r="H6213" t="s">
        <v>13</v>
      </c>
      <c r="I6213" s="22">
        <f t="shared" si="195"/>
        <v>-8.955440982145119E-3</v>
      </c>
      <c r="J6213" s="22" t="str">
        <f t="shared" si="196"/>
        <v>lost money</v>
      </c>
    </row>
    <row r="6214" spans="1:10">
      <c r="A6214" s="1">
        <v>41550</v>
      </c>
      <c r="B6214">
        <v>95.15</v>
      </c>
      <c r="C6214">
        <v>95.21</v>
      </c>
      <c r="D6214">
        <v>94.61</v>
      </c>
      <c r="E6214">
        <v>94.67</v>
      </c>
      <c r="F6214">
        <v>4855700</v>
      </c>
      <c r="G6214">
        <v>93.89</v>
      </c>
      <c r="H6214" t="s">
        <v>13</v>
      </c>
      <c r="I6214" s="22">
        <f t="shared" si="195"/>
        <v>-6.3701245240784538E-3</v>
      </c>
      <c r="J6214" s="22" t="str">
        <f t="shared" si="196"/>
        <v>lost money</v>
      </c>
    </row>
    <row r="6215" spans="1:10">
      <c r="A6215" s="1">
        <v>41551</v>
      </c>
      <c r="B6215">
        <v>94.61</v>
      </c>
      <c r="C6215">
        <v>94.8</v>
      </c>
      <c r="D6215">
        <v>94.4</v>
      </c>
      <c r="E6215">
        <v>94.7</v>
      </c>
      <c r="F6215">
        <v>3047700</v>
      </c>
      <c r="G6215">
        <v>93.92</v>
      </c>
      <c r="H6215" t="s">
        <v>13</v>
      </c>
      <c r="I6215" s="22">
        <f t="shared" si="195"/>
        <v>3.1947180933018836E-4</v>
      </c>
      <c r="J6215" s="22" t="str">
        <f t="shared" si="196"/>
        <v/>
      </c>
    </row>
    <row r="6216" spans="1:10">
      <c r="A6216" s="1">
        <v>41554</v>
      </c>
      <c r="B6216">
        <v>94.26</v>
      </c>
      <c r="C6216">
        <v>94.8</v>
      </c>
      <c r="D6216">
        <v>94.14</v>
      </c>
      <c r="E6216">
        <v>94.36</v>
      </c>
      <c r="F6216">
        <v>3037100</v>
      </c>
      <c r="G6216">
        <v>93.58</v>
      </c>
      <c r="H6216" t="s">
        <v>13</v>
      </c>
      <c r="I6216" s="22">
        <f t="shared" si="195"/>
        <v>-3.626670641716134E-3</v>
      </c>
      <c r="J6216" s="22" t="str">
        <f t="shared" si="196"/>
        <v/>
      </c>
    </row>
    <row r="6217" spans="1:10">
      <c r="A6217" s="1">
        <v>41555</v>
      </c>
      <c r="B6217">
        <v>94.27</v>
      </c>
      <c r="C6217">
        <v>94.58</v>
      </c>
      <c r="D6217">
        <v>93.94</v>
      </c>
      <c r="E6217">
        <v>93.94</v>
      </c>
      <c r="F6217">
        <v>3643900</v>
      </c>
      <c r="G6217">
        <v>93.17</v>
      </c>
      <c r="H6217" t="s">
        <v>13</v>
      </c>
      <c r="I6217" s="22">
        <f t="shared" si="195"/>
        <v>-4.390903975736612E-3</v>
      </c>
      <c r="J6217" s="22" t="str">
        <f t="shared" si="196"/>
        <v>lost money</v>
      </c>
    </row>
    <row r="6218" spans="1:10">
      <c r="A6218" s="1">
        <v>41556</v>
      </c>
      <c r="B6218">
        <v>93.82</v>
      </c>
      <c r="C6218">
        <v>93.96</v>
      </c>
      <c r="D6218">
        <v>93.14</v>
      </c>
      <c r="E6218">
        <v>93.27</v>
      </c>
      <c r="F6218">
        <v>5159400</v>
      </c>
      <c r="G6218">
        <v>92.5</v>
      </c>
      <c r="H6218" t="s">
        <v>13</v>
      </c>
      <c r="I6218" s="22">
        <f t="shared" si="195"/>
        <v>-7.217136943954091E-3</v>
      </c>
      <c r="J6218" s="22" t="str">
        <f t="shared" si="196"/>
        <v>lost money</v>
      </c>
    </row>
    <row r="6219" spans="1:10">
      <c r="A6219" s="1">
        <v>41557</v>
      </c>
      <c r="B6219">
        <v>94.22</v>
      </c>
      <c r="C6219">
        <v>94.44</v>
      </c>
      <c r="D6219">
        <v>93.51</v>
      </c>
      <c r="E6219">
        <v>94.44</v>
      </c>
      <c r="F6219">
        <v>4531000</v>
      </c>
      <c r="G6219">
        <v>93.66</v>
      </c>
      <c r="H6219" t="s">
        <v>13</v>
      </c>
      <c r="I6219" s="22">
        <f t="shared" si="195"/>
        <v>1.2462559237016191E-2</v>
      </c>
      <c r="J6219" s="22" t="str">
        <f t="shared" si="196"/>
        <v/>
      </c>
    </row>
    <row r="6220" spans="1:10">
      <c r="A6220" s="1">
        <v>41558</v>
      </c>
      <c r="B6220">
        <v>94.69</v>
      </c>
      <c r="C6220">
        <v>94.8</v>
      </c>
      <c r="D6220">
        <v>94.33</v>
      </c>
      <c r="E6220">
        <v>94.74</v>
      </c>
      <c r="F6220">
        <v>4132600</v>
      </c>
      <c r="G6220">
        <v>93.96</v>
      </c>
      <c r="H6220" t="s">
        <v>13</v>
      </c>
      <c r="I6220" s="22">
        <f t="shared" si="195"/>
        <v>3.1979560353162929E-3</v>
      </c>
      <c r="J6220" s="22" t="str">
        <f t="shared" si="196"/>
        <v/>
      </c>
    </row>
    <row r="6221" spans="1:10">
      <c r="A6221" s="1">
        <v>41561</v>
      </c>
      <c r="B6221">
        <v>94.41</v>
      </c>
      <c r="C6221">
        <v>94.88</v>
      </c>
      <c r="D6221">
        <v>94.18</v>
      </c>
      <c r="E6221">
        <v>94.72</v>
      </c>
      <c r="F6221">
        <v>3429700</v>
      </c>
      <c r="G6221">
        <v>93.94</v>
      </c>
      <c r="H6221" t="s">
        <v>13</v>
      </c>
      <c r="I6221" s="22">
        <f t="shared" si="195"/>
        <v>-2.1287919186299372E-4</v>
      </c>
      <c r="J6221" s="22" t="str">
        <f t="shared" si="196"/>
        <v/>
      </c>
    </row>
    <row r="6222" spans="1:10">
      <c r="A6222" s="1">
        <v>41562</v>
      </c>
      <c r="B6222">
        <v>93.99</v>
      </c>
      <c r="C6222">
        <v>94.2</v>
      </c>
      <c r="D6222">
        <v>93.45</v>
      </c>
      <c r="E6222">
        <v>93.8</v>
      </c>
      <c r="F6222">
        <v>5878900</v>
      </c>
      <c r="G6222">
        <v>93.03</v>
      </c>
      <c r="H6222" t="s">
        <v>13</v>
      </c>
      <c r="I6222" s="22">
        <f t="shared" si="195"/>
        <v>-9.7342588183817538E-3</v>
      </c>
      <c r="J6222" s="22" t="str">
        <f t="shared" si="196"/>
        <v>lost money</v>
      </c>
    </row>
    <row r="6223" spans="1:10">
      <c r="A6223" s="1">
        <v>41563</v>
      </c>
      <c r="B6223">
        <v>94.3</v>
      </c>
      <c r="C6223">
        <v>95.24</v>
      </c>
      <c r="D6223">
        <v>94.14</v>
      </c>
      <c r="E6223">
        <v>95.22</v>
      </c>
      <c r="F6223">
        <v>4708700</v>
      </c>
      <c r="G6223">
        <v>94.43</v>
      </c>
      <c r="H6223" t="s">
        <v>13</v>
      </c>
      <c r="I6223" s="22">
        <f t="shared" si="195"/>
        <v>1.493679749451055E-2</v>
      </c>
      <c r="J6223" s="22" t="str">
        <f t="shared" si="196"/>
        <v/>
      </c>
    </row>
    <row r="6224" spans="1:10">
      <c r="A6224" s="1">
        <v>41564</v>
      </c>
      <c r="B6224">
        <v>95.19</v>
      </c>
      <c r="C6224">
        <v>95.52</v>
      </c>
      <c r="D6224">
        <v>94.65</v>
      </c>
      <c r="E6224">
        <v>95.47</v>
      </c>
      <c r="F6224">
        <v>3860500</v>
      </c>
      <c r="G6224">
        <v>94.68</v>
      </c>
      <c r="H6224" t="s">
        <v>13</v>
      </c>
      <c r="I6224" s="22">
        <f t="shared" si="195"/>
        <v>2.6439653708053546E-3</v>
      </c>
      <c r="J6224" s="22" t="str">
        <f t="shared" si="196"/>
        <v/>
      </c>
    </row>
    <row r="6225" spans="1:10">
      <c r="A6225" s="1">
        <v>41565</v>
      </c>
      <c r="B6225">
        <v>95.7</v>
      </c>
      <c r="C6225">
        <v>95.7</v>
      </c>
      <c r="D6225">
        <v>94.52</v>
      </c>
      <c r="E6225">
        <v>95.2</v>
      </c>
      <c r="F6225">
        <v>7286100</v>
      </c>
      <c r="G6225">
        <v>94.41</v>
      </c>
      <c r="H6225" t="s">
        <v>13</v>
      </c>
      <c r="I6225" s="22">
        <f t="shared" si="195"/>
        <v>-2.8557849013581028E-3</v>
      </c>
      <c r="J6225" s="22" t="str">
        <f t="shared" si="196"/>
        <v>lost money</v>
      </c>
    </row>
    <row r="6226" spans="1:10">
      <c r="A6226" s="1">
        <v>41568</v>
      </c>
      <c r="B6226">
        <v>93.7</v>
      </c>
      <c r="C6226">
        <v>94.85</v>
      </c>
      <c r="D6226">
        <v>93.24</v>
      </c>
      <c r="E6226">
        <v>94.59</v>
      </c>
      <c r="F6226">
        <v>9137700</v>
      </c>
      <c r="G6226">
        <v>93.81</v>
      </c>
      <c r="H6226" t="s">
        <v>13</v>
      </c>
      <c r="I6226" s="22">
        <f t="shared" si="195"/>
        <v>-6.3755396065655005E-3</v>
      </c>
      <c r="J6226" s="22" t="str">
        <f t="shared" si="196"/>
        <v/>
      </c>
    </row>
    <row r="6227" spans="1:10">
      <c r="A6227" s="1">
        <v>41569</v>
      </c>
      <c r="B6227">
        <v>94.68</v>
      </c>
      <c r="C6227">
        <v>95.49</v>
      </c>
      <c r="D6227">
        <v>94.21</v>
      </c>
      <c r="E6227">
        <v>95.12</v>
      </c>
      <c r="F6227">
        <v>5144000</v>
      </c>
      <c r="G6227">
        <v>94.34</v>
      </c>
      <c r="H6227" t="s">
        <v>13</v>
      </c>
      <c r="I6227" s="22">
        <f t="shared" si="195"/>
        <v>5.6338177182560642E-3</v>
      </c>
      <c r="J6227" s="22" t="str">
        <f t="shared" si="196"/>
        <v/>
      </c>
    </row>
    <row r="6228" spans="1:10">
      <c r="A6228" s="1">
        <v>41570</v>
      </c>
      <c r="B6228">
        <v>95.08</v>
      </c>
      <c r="C6228">
        <v>95.2</v>
      </c>
      <c r="D6228">
        <v>93.93</v>
      </c>
      <c r="E6228">
        <v>94.21</v>
      </c>
      <c r="F6228">
        <v>4581200</v>
      </c>
      <c r="G6228">
        <v>93.43</v>
      </c>
      <c r="H6228" t="s">
        <v>13</v>
      </c>
      <c r="I6228" s="22">
        <f t="shared" si="195"/>
        <v>-9.6927850512512712E-3</v>
      </c>
      <c r="J6228" s="22" t="str">
        <f t="shared" si="196"/>
        <v>lost money</v>
      </c>
    </row>
    <row r="6229" spans="1:10">
      <c r="A6229" s="1">
        <v>41571</v>
      </c>
      <c r="B6229">
        <v>94.41</v>
      </c>
      <c r="C6229">
        <v>94.81</v>
      </c>
      <c r="D6229">
        <v>94.24</v>
      </c>
      <c r="E6229">
        <v>94.68</v>
      </c>
      <c r="F6229">
        <v>3640900</v>
      </c>
      <c r="G6229">
        <v>93.9</v>
      </c>
      <c r="H6229" t="s">
        <v>13</v>
      </c>
      <c r="I6229" s="22">
        <f t="shared" si="195"/>
        <v>5.0178934093529984E-3</v>
      </c>
      <c r="J6229" s="22" t="str">
        <f t="shared" si="196"/>
        <v/>
      </c>
    </row>
    <row r="6230" spans="1:10">
      <c r="A6230" s="1">
        <v>41572</v>
      </c>
      <c r="B6230">
        <v>94.78</v>
      </c>
      <c r="C6230">
        <v>94.95</v>
      </c>
      <c r="D6230">
        <v>94.36</v>
      </c>
      <c r="E6230">
        <v>94.78</v>
      </c>
      <c r="F6230">
        <v>3055900</v>
      </c>
      <c r="G6230">
        <v>94</v>
      </c>
      <c r="H6230" t="s">
        <v>13</v>
      </c>
      <c r="I6230" s="22">
        <f t="shared" si="195"/>
        <v>1.0643960557865011E-3</v>
      </c>
      <c r="J6230" s="22" t="str">
        <f t="shared" si="196"/>
        <v/>
      </c>
    </row>
    <row r="6231" spans="1:10">
      <c r="A6231" s="1">
        <v>41575</v>
      </c>
      <c r="B6231">
        <v>94.69</v>
      </c>
      <c r="C6231">
        <v>95.72</v>
      </c>
      <c r="D6231">
        <v>94.68</v>
      </c>
      <c r="E6231">
        <v>95.37</v>
      </c>
      <c r="F6231">
        <v>3836400</v>
      </c>
      <c r="G6231">
        <v>94.58</v>
      </c>
      <c r="H6231" t="s">
        <v>13</v>
      </c>
      <c r="I6231" s="22">
        <f t="shared" si="195"/>
        <v>6.1512549457259057E-3</v>
      </c>
      <c r="J6231" s="22" t="str">
        <f t="shared" si="196"/>
        <v/>
      </c>
    </row>
    <row r="6232" spans="1:10">
      <c r="A6232" s="1">
        <v>41576</v>
      </c>
      <c r="B6232">
        <v>95.62</v>
      </c>
      <c r="C6232">
        <v>96.1</v>
      </c>
      <c r="D6232">
        <v>95.3</v>
      </c>
      <c r="E6232">
        <v>96.05</v>
      </c>
      <c r="F6232">
        <v>3975100</v>
      </c>
      <c r="G6232">
        <v>95.26</v>
      </c>
      <c r="H6232" t="s">
        <v>13</v>
      </c>
      <c r="I6232" s="22">
        <f t="shared" si="195"/>
        <v>7.1639581569846005E-3</v>
      </c>
      <c r="J6232" s="22" t="str">
        <f t="shared" si="196"/>
        <v/>
      </c>
    </row>
    <row r="6233" spans="1:10">
      <c r="A6233" s="1">
        <v>41577</v>
      </c>
      <c r="B6233">
        <v>96.17</v>
      </c>
      <c r="C6233">
        <v>96.45</v>
      </c>
      <c r="D6233">
        <v>95.73</v>
      </c>
      <c r="E6233">
        <v>96.03</v>
      </c>
      <c r="F6233">
        <v>3404300</v>
      </c>
      <c r="G6233">
        <v>95.24</v>
      </c>
      <c r="H6233" t="s">
        <v>13</v>
      </c>
      <c r="I6233" s="22">
        <f t="shared" si="195"/>
        <v>-2.0997375405245914E-4</v>
      </c>
      <c r="J6233" s="22" t="str">
        <f t="shared" si="196"/>
        <v>lost money</v>
      </c>
    </row>
    <row r="6234" spans="1:10">
      <c r="A6234" s="1">
        <v>41578</v>
      </c>
      <c r="B6234">
        <v>96.2</v>
      </c>
      <c r="C6234">
        <v>96.7</v>
      </c>
      <c r="D6234">
        <v>96.11</v>
      </c>
      <c r="E6234">
        <v>96.52</v>
      </c>
      <c r="F6234">
        <v>4271300</v>
      </c>
      <c r="G6234">
        <v>95.72</v>
      </c>
      <c r="H6234" t="s">
        <v>13</v>
      </c>
      <c r="I6234" s="22">
        <f t="shared" si="195"/>
        <v>5.0272414215105565E-3</v>
      </c>
      <c r="J6234" s="22" t="str">
        <f t="shared" si="196"/>
        <v/>
      </c>
    </row>
    <row r="6235" spans="1:10">
      <c r="A6235" s="1">
        <v>41579</v>
      </c>
      <c r="B6235">
        <v>96.52</v>
      </c>
      <c r="C6235">
        <v>97.5</v>
      </c>
      <c r="D6235">
        <v>96.52</v>
      </c>
      <c r="E6235">
        <v>97.24</v>
      </c>
      <c r="F6235">
        <v>5127300</v>
      </c>
      <c r="G6235">
        <v>96.44</v>
      </c>
      <c r="H6235" t="s">
        <v>13</v>
      </c>
      <c r="I6235" s="22">
        <f t="shared" si="195"/>
        <v>7.493790272797749E-3</v>
      </c>
      <c r="J6235" s="22" t="str">
        <f t="shared" si="196"/>
        <v/>
      </c>
    </row>
    <row r="6236" spans="1:10">
      <c r="A6236" s="1">
        <v>41582</v>
      </c>
      <c r="B6236">
        <v>97.26</v>
      </c>
      <c r="C6236">
        <v>97.5</v>
      </c>
      <c r="D6236">
        <v>96.83</v>
      </c>
      <c r="E6236">
        <v>97.31</v>
      </c>
      <c r="F6236">
        <v>5023900</v>
      </c>
      <c r="G6236">
        <v>96.51</v>
      </c>
      <c r="H6236" t="s">
        <v>13</v>
      </c>
      <c r="I6236" s="22">
        <f t="shared" si="195"/>
        <v>7.2557660607450994E-4</v>
      </c>
      <c r="J6236" s="22" t="str">
        <f t="shared" si="196"/>
        <v/>
      </c>
    </row>
    <row r="6237" spans="1:10">
      <c r="A6237" s="1">
        <v>41583</v>
      </c>
      <c r="B6237">
        <v>97.38</v>
      </c>
      <c r="C6237">
        <v>97.75</v>
      </c>
      <c r="D6237">
        <v>97.02</v>
      </c>
      <c r="E6237">
        <v>97.41</v>
      </c>
      <c r="F6237">
        <v>4338200</v>
      </c>
      <c r="G6237">
        <v>96.61</v>
      </c>
      <c r="H6237" t="s">
        <v>13</v>
      </c>
      <c r="I6237" s="22">
        <f t="shared" si="195"/>
        <v>1.0356256103735567E-3</v>
      </c>
      <c r="J6237" s="22" t="str">
        <f t="shared" si="196"/>
        <v/>
      </c>
    </row>
    <row r="6238" spans="1:10">
      <c r="A6238" s="1">
        <v>41584</v>
      </c>
      <c r="B6238">
        <v>97.66</v>
      </c>
      <c r="C6238">
        <v>98.19</v>
      </c>
      <c r="D6238">
        <v>97.47</v>
      </c>
      <c r="E6238">
        <v>97.9</v>
      </c>
      <c r="F6238">
        <v>4365900</v>
      </c>
      <c r="G6238">
        <v>97.09</v>
      </c>
      <c r="H6238" t="s">
        <v>13</v>
      </c>
      <c r="I6238" s="22">
        <f t="shared" si="195"/>
        <v>4.9561278526352708E-3</v>
      </c>
      <c r="J6238" s="22" t="str">
        <f t="shared" si="196"/>
        <v/>
      </c>
    </row>
    <row r="6239" spans="1:10">
      <c r="A6239" s="1">
        <v>41585</v>
      </c>
      <c r="B6239">
        <v>97.96</v>
      </c>
      <c r="C6239">
        <v>98.09</v>
      </c>
      <c r="D6239">
        <v>96.78</v>
      </c>
      <c r="E6239">
        <v>97.2</v>
      </c>
      <c r="F6239">
        <v>4921000</v>
      </c>
      <c r="G6239">
        <v>96.4</v>
      </c>
      <c r="H6239" t="s">
        <v>13</v>
      </c>
      <c r="I6239" s="22">
        <f t="shared" si="195"/>
        <v>-7.1321817655535394E-3</v>
      </c>
      <c r="J6239" s="22" t="str">
        <f t="shared" si="196"/>
        <v>lost money</v>
      </c>
    </row>
    <row r="6240" spans="1:10">
      <c r="A6240" s="1">
        <v>41586</v>
      </c>
      <c r="B6240">
        <v>97.17</v>
      </c>
      <c r="C6240">
        <v>97.3</v>
      </c>
      <c r="D6240">
        <v>96.32</v>
      </c>
      <c r="E6240">
        <v>97.01</v>
      </c>
      <c r="F6240">
        <v>5052400</v>
      </c>
      <c r="G6240">
        <v>96.21</v>
      </c>
      <c r="H6240" t="s">
        <v>13</v>
      </c>
      <c r="I6240" s="22">
        <f t="shared" si="195"/>
        <v>-1.9728992433267942E-3</v>
      </c>
      <c r="J6240" s="22" t="str">
        <f t="shared" si="196"/>
        <v>lost money</v>
      </c>
    </row>
    <row r="6241" spans="1:10">
      <c r="A6241" s="1">
        <v>41589</v>
      </c>
      <c r="B6241">
        <v>96.83</v>
      </c>
      <c r="C6241">
        <v>97.49</v>
      </c>
      <c r="D6241">
        <v>96.8</v>
      </c>
      <c r="E6241">
        <v>97.09</v>
      </c>
      <c r="F6241">
        <v>2573800</v>
      </c>
      <c r="G6241">
        <v>96.29</v>
      </c>
      <c r="H6241" t="s">
        <v>13</v>
      </c>
      <c r="I6241" s="22">
        <f t="shared" si="195"/>
        <v>8.3116887901940053E-4</v>
      </c>
      <c r="J6241" s="22" t="str">
        <f t="shared" si="196"/>
        <v/>
      </c>
    </row>
    <row r="6242" spans="1:10">
      <c r="A6242" s="1">
        <v>41590</v>
      </c>
      <c r="B6242">
        <v>97.07</v>
      </c>
      <c r="C6242">
        <v>97.76</v>
      </c>
      <c r="D6242">
        <v>96.85</v>
      </c>
      <c r="E6242">
        <v>97.66</v>
      </c>
      <c r="F6242">
        <v>3845000</v>
      </c>
      <c r="G6242">
        <v>96.85</v>
      </c>
      <c r="H6242" t="s">
        <v>13</v>
      </c>
      <c r="I6242" s="22">
        <f t="shared" si="195"/>
        <v>5.7989186008121823E-3</v>
      </c>
      <c r="J6242" s="22" t="str">
        <f t="shared" si="196"/>
        <v/>
      </c>
    </row>
    <row r="6243" spans="1:10">
      <c r="A6243" s="1">
        <v>41591</v>
      </c>
      <c r="B6243">
        <v>97.47</v>
      </c>
      <c r="C6243">
        <v>98.12</v>
      </c>
      <c r="D6243">
        <v>97.31</v>
      </c>
      <c r="E6243">
        <v>98.11</v>
      </c>
      <c r="F6243">
        <v>4164800</v>
      </c>
      <c r="G6243">
        <v>97.3</v>
      </c>
      <c r="H6243" t="s">
        <v>13</v>
      </c>
      <c r="I6243" s="22">
        <f t="shared" si="195"/>
        <v>4.6355993389546324E-3</v>
      </c>
      <c r="J6243" s="22" t="str">
        <f t="shared" si="196"/>
        <v/>
      </c>
    </row>
    <row r="6244" spans="1:10">
      <c r="A6244" s="1">
        <v>41592</v>
      </c>
      <c r="B6244">
        <v>98.18</v>
      </c>
      <c r="C6244">
        <v>98.7</v>
      </c>
      <c r="D6244">
        <v>97.18</v>
      </c>
      <c r="E6244">
        <v>97.56</v>
      </c>
      <c r="F6244">
        <v>6594200</v>
      </c>
      <c r="G6244">
        <v>96.76</v>
      </c>
      <c r="H6244" t="s">
        <v>13</v>
      </c>
      <c r="I6244" s="22">
        <f t="shared" si="195"/>
        <v>-5.5653034501327806E-3</v>
      </c>
      <c r="J6244" s="22" t="str">
        <f t="shared" si="196"/>
        <v>lost money</v>
      </c>
    </row>
    <row r="6245" spans="1:10">
      <c r="A6245" s="1">
        <v>41593</v>
      </c>
      <c r="B6245">
        <v>97.45</v>
      </c>
      <c r="C6245">
        <v>97.71</v>
      </c>
      <c r="D6245">
        <v>96.4</v>
      </c>
      <c r="E6245">
        <v>96.92</v>
      </c>
      <c r="F6245">
        <v>7096800</v>
      </c>
      <c r="G6245">
        <v>96.12</v>
      </c>
      <c r="H6245" t="s">
        <v>13</v>
      </c>
      <c r="I6245" s="22">
        <f t="shared" si="195"/>
        <v>-6.6362748735583022E-3</v>
      </c>
      <c r="J6245" s="22" t="str">
        <f t="shared" si="196"/>
        <v>lost money</v>
      </c>
    </row>
    <row r="6246" spans="1:10">
      <c r="A6246" s="1">
        <v>41596</v>
      </c>
      <c r="B6246">
        <v>96.9</v>
      </c>
      <c r="C6246">
        <v>97.79</v>
      </c>
      <c r="D6246">
        <v>96.9</v>
      </c>
      <c r="E6246">
        <v>97.65</v>
      </c>
      <c r="F6246">
        <v>4966700</v>
      </c>
      <c r="G6246">
        <v>96.84</v>
      </c>
      <c r="H6246" t="s">
        <v>13</v>
      </c>
      <c r="I6246" s="22">
        <f t="shared" si="195"/>
        <v>7.4627212015895943E-3</v>
      </c>
      <c r="J6246" s="22" t="str">
        <f t="shared" si="196"/>
        <v/>
      </c>
    </row>
    <row r="6247" spans="1:10">
      <c r="A6247" s="1">
        <v>41597</v>
      </c>
      <c r="B6247">
        <v>97.52</v>
      </c>
      <c r="C6247">
        <v>98.29</v>
      </c>
      <c r="D6247">
        <v>97.36</v>
      </c>
      <c r="E6247">
        <v>97.98</v>
      </c>
      <c r="F6247">
        <v>3836600</v>
      </c>
      <c r="G6247">
        <v>97.17</v>
      </c>
      <c r="H6247" t="s">
        <v>13</v>
      </c>
      <c r="I6247" s="22">
        <f t="shared" si="195"/>
        <v>3.4018897814899387E-3</v>
      </c>
      <c r="J6247" s="22" t="str">
        <f t="shared" si="196"/>
        <v/>
      </c>
    </row>
    <row r="6248" spans="1:10">
      <c r="A6248" s="1">
        <v>41598</v>
      </c>
      <c r="B6248">
        <v>97.57</v>
      </c>
      <c r="C6248">
        <v>98.05</v>
      </c>
      <c r="D6248">
        <v>97.18</v>
      </c>
      <c r="E6248">
        <v>97.54</v>
      </c>
      <c r="F6248">
        <v>3815100</v>
      </c>
      <c r="G6248">
        <v>96.74</v>
      </c>
      <c r="H6248" t="s">
        <v>13</v>
      </c>
      <c r="I6248" s="22">
        <f t="shared" si="195"/>
        <v>-4.4350544565105142E-3</v>
      </c>
      <c r="J6248" s="22" t="str">
        <f t="shared" si="196"/>
        <v>lost money</v>
      </c>
    </row>
    <row r="6249" spans="1:10">
      <c r="A6249" s="1">
        <v>41599</v>
      </c>
      <c r="B6249">
        <v>97.8</v>
      </c>
      <c r="C6249">
        <v>98.09</v>
      </c>
      <c r="D6249">
        <v>97.59</v>
      </c>
      <c r="E6249">
        <v>97.7</v>
      </c>
      <c r="F6249">
        <v>12884800</v>
      </c>
      <c r="G6249">
        <v>96.89</v>
      </c>
      <c r="H6249" t="s">
        <v>13</v>
      </c>
      <c r="I6249" s="22">
        <f t="shared" si="195"/>
        <v>1.5493470020756604E-3</v>
      </c>
      <c r="J6249" s="22" t="str">
        <f t="shared" si="196"/>
        <v>lost money</v>
      </c>
    </row>
    <row r="6250" spans="1:10">
      <c r="A6250" s="1">
        <v>41600</v>
      </c>
      <c r="B6250">
        <v>97.84</v>
      </c>
      <c r="C6250">
        <v>98.51</v>
      </c>
      <c r="D6250">
        <v>97.37</v>
      </c>
      <c r="E6250">
        <v>98.27</v>
      </c>
      <c r="F6250">
        <v>16495500</v>
      </c>
      <c r="G6250">
        <v>97.46</v>
      </c>
      <c r="H6250" t="s">
        <v>13</v>
      </c>
      <c r="I6250" s="22">
        <f t="shared" si="195"/>
        <v>5.8657230184472921E-3</v>
      </c>
      <c r="J6250" s="22" t="str">
        <f t="shared" si="196"/>
        <v/>
      </c>
    </row>
    <row r="6251" spans="1:10">
      <c r="A6251" s="1">
        <v>41603</v>
      </c>
      <c r="B6251">
        <v>98.75</v>
      </c>
      <c r="C6251">
        <v>99.27</v>
      </c>
      <c r="D6251">
        <v>98.65</v>
      </c>
      <c r="E6251">
        <v>98.92</v>
      </c>
      <c r="F6251">
        <v>20420800</v>
      </c>
      <c r="G6251">
        <v>98.1</v>
      </c>
      <c r="H6251" t="s">
        <v>13</v>
      </c>
      <c r="I6251" s="22">
        <f t="shared" si="195"/>
        <v>6.5453291559571984E-3</v>
      </c>
      <c r="J6251" s="22" t="str">
        <f t="shared" si="196"/>
        <v/>
      </c>
    </row>
    <row r="6252" spans="1:10">
      <c r="A6252" s="1">
        <v>41604</v>
      </c>
      <c r="B6252">
        <v>98.8</v>
      </c>
      <c r="C6252">
        <v>99.09</v>
      </c>
      <c r="D6252">
        <v>98.15</v>
      </c>
      <c r="E6252">
        <v>98.2</v>
      </c>
      <c r="F6252">
        <v>5517400</v>
      </c>
      <c r="G6252">
        <v>97.39</v>
      </c>
      <c r="H6252" t="s">
        <v>13</v>
      </c>
      <c r="I6252" s="22">
        <f t="shared" si="195"/>
        <v>-7.2638305982094522E-3</v>
      </c>
      <c r="J6252" s="22" t="str">
        <f t="shared" si="196"/>
        <v>lost money</v>
      </c>
    </row>
    <row r="6253" spans="1:10">
      <c r="A6253" s="1">
        <v>41605</v>
      </c>
      <c r="B6253">
        <v>97.62</v>
      </c>
      <c r="C6253">
        <v>97.66</v>
      </c>
      <c r="D6253">
        <v>96.95</v>
      </c>
      <c r="E6253">
        <v>97.06</v>
      </c>
      <c r="F6253">
        <v>3501500</v>
      </c>
      <c r="G6253">
        <v>97.06</v>
      </c>
      <c r="H6253" t="s">
        <v>13</v>
      </c>
      <c r="I6253" s="22">
        <f t="shared" si="195"/>
        <v>-3.3941919960376798E-3</v>
      </c>
      <c r="J6253" s="22" t="str">
        <f t="shared" si="196"/>
        <v>lost money</v>
      </c>
    </row>
    <row r="6254" spans="1:10">
      <c r="A6254" s="1">
        <v>41607</v>
      </c>
      <c r="B6254">
        <v>97.25</v>
      </c>
      <c r="C6254">
        <v>97.6</v>
      </c>
      <c r="D6254">
        <v>97.08</v>
      </c>
      <c r="E6254">
        <v>97.37</v>
      </c>
      <c r="F6254">
        <v>2920300</v>
      </c>
      <c r="G6254">
        <v>97.37</v>
      </c>
      <c r="H6254" t="s">
        <v>13</v>
      </c>
      <c r="I6254" s="22">
        <f t="shared" si="195"/>
        <v>3.1888110135946625E-3</v>
      </c>
      <c r="J6254" s="22" t="str">
        <f t="shared" si="196"/>
        <v/>
      </c>
    </row>
    <row r="6255" spans="1:10">
      <c r="A6255" s="1">
        <v>40911</v>
      </c>
      <c r="B6255">
        <v>26.55</v>
      </c>
      <c r="C6255">
        <v>26.96</v>
      </c>
      <c r="D6255">
        <v>26.39</v>
      </c>
      <c r="E6255">
        <v>26.77</v>
      </c>
      <c r="F6255">
        <v>64731500</v>
      </c>
      <c r="G6255">
        <v>25.27</v>
      </c>
      <c r="H6255" t="s">
        <v>6</v>
      </c>
      <c r="I6255" s="22" t="str">
        <f t="shared" si="195"/>
        <v/>
      </c>
      <c r="J6255" s="22" t="str">
        <f t="shared" si="196"/>
        <v/>
      </c>
    </row>
    <row r="6256" spans="1:10">
      <c r="A6256" s="1">
        <v>40912</v>
      </c>
      <c r="B6256">
        <v>26.82</v>
      </c>
      <c r="C6256">
        <v>27.47</v>
      </c>
      <c r="D6256">
        <v>26.78</v>
      </c>
      <c r="E6256">
        <v>27.4</v>
      </c>
      <c r="F6256">
        <v>80516100</v>
      </c>
      <c r="G6256">
        <v>25.86</v>
      </c>
      <c r="H6256" t="s">
        <v>6</v>
      </c>
      <c r="I6256" s="22">
        <f t="shared" si="195"/>
        <v>2.3079451943608595E-2</v>
      </c>
      <c r="J6256" s="22" t="str">
        <f t="shared" si="196"/>
        <v/>
      </c>
    </row>
    <row r="6257" spans="1:10">
      <c r="A6257" s="1">
        <v>40913</v>
      </c>
      <c r="B6257">
        <v>27.38</v>
      </c>
      <c r="C6257">
        <v>27.73</v>
      </c>
      <c r="D6257">
        <v>27.29</v>
      </c>
      <c r="E6257">
        <v>27.68</v>
      </c>
      <c r="F6257">
        <v>56081400</v>
      </c>
      <c r="G6257">
        <v>26.13</v>
      </c>
      <c r="H6257" t="s">
        <v>6</v>
      </c>
      <c r="I6257" s="22">
        <f t="shared" si="195"/>
        <v>1.0386706188809623E-2</v>
      </c>
      <c r="J6257" s="22" t="str">
        <f t="shared" si="196"/>
        <v/>
      </c>
    </row>
    <row r="6258" spans="1:10">
      <c r="A6258" s="1">
        <v>40914</v>
      </c>
      <c r="B6258">
        <v>27.53</v>
      </c>
      <c r="C6258">
        <v>28.19</v>
      </c>
      <c r="D6258">
        <v>27.53</v>
      </c>
      <c r="E6258">
        <v>28.11</v>
      </c>
      <c r="F6258">
        <v>99455500</v>
      </c>
      <c r="G6258">
        <v>26.53</v>
      </c>
      <c r="H6258" t="s">
        <v>6</v>
      </c>
      <c r="I6258" s="22">
        <f t="shared" si="195"/>
        <v>1.5192088617127165E-2</v>
      </c>
      <c r="J6258" s="22" t="str">
        <f t="shared" si="196"/>
        <v/>
      </c>
    </row>
    <row r="6259" spans="1:10">
      <c r="A6259" s="1">
        <v>40917</v>
      </c>
      <c r="B6259">
        <v>28.05</v>
      </c>
      <c r="C6259">
        <v>28.1</v>
      </c>
      <c r="D6259">
        <v>27.72</v>
      </c>
      <c r="E6259">
        <v>27.74</v>
      </c>
      <c r="F6259">
        <v>59706800</v>
      </c>
      <c r="G6259">
        <v>26.18</v>
      </c>
      <c r="H6259" t="s">
        <v>6</v>
      </c>
      <c r="I6259" s="22">
        <f t="shared" si="195"/>
        <v>-1.3280407667894491E-2</v>
      </c>
      <c r="J6259" s="22" t="str">
        <f t="shared" si="196"/>
        <v>lost money</v>
      </c>
    </row>
    <row r="6260" spans="1:10">
      <c r="A6260" s="1">
        <v>40918</v>
      </c>
      <c r="B6260">
        <v>27.93</v>
      </c>
      <c r="C6260">
        <v>28.15</v>
      </c>
      <c r="D6260">
        <v>27.75</v>
      </c>
      <c r="E6260">
        <v>27.84</v>
      </c>
      <c r="F6260">
        <v>60014400</v>
      </c>
      <c r="G6260">
        <v>26.28</v>
      </c>
      <c r="H6260" t="s">
        <v>6</v>
      </c>
      <c r="I6260" s="22">
        <f t="shared" si="195"/>
        <v>3.8124331346559388E-3</v>
      </c>
      <c r="J6260" s="22" t="str">
        <f t="shared" si="196"/>
        <v>lost money</v>
      </c>
    </row>
    <row r="6261" spans="1:10">
      <c r="A6261" s="1">
        <v>40919</v>
      </c>
      <c r="B6261">
        <v>27.43</v>
      </c>
      <c r="C6261">
        <v>27.98</v>
      </c>
      <c r="D6261">
        <v>27.37</v>
      </c>
      <c r="E6261">
        <v>27.72</v>
      </c>
      <c r="F6261">
        <v>65582400</v>
      </c>
      <c r="G6261">
        <v>26.17</v>
      </c>
      <c r="H6261" t="s">
        <v>6</v>
      </c>
      <c r="I6261" s="22">
        <f t="shared" si="195"/>
        <v>-4.1944770743552037E-3</v>
      </c>
      <c r="J6261" s="22" t="str">
        <f t="shared" si="196"/>
        <v/>
      </c>
    </row>
    <row r="6262" spans="1:10">
      <c r="A6262" s="1">
        <v>40920</v>
      </c>
      <c r="B6262">
        <v>27.87</v>
      </c>
      <c r="C6262">
        <v>28.02</v>
      </c>
      <c r="D6262">
        <v>27.65</v>
      </c>
      <c r="E6262">
        <v>28</v>
      </c>
      <c r="F6262">
        <v>49370800</v>
      </c>
      <c r="G6262">
        <v>26.43</v>
      </c>
      <c r="H6262" t="s">
        <v>6</v>
      </c>
      <c r="I6262" s="22">
        <f t="shared" si="195"/>
        <v>9.8860120741432328E-3</v>
      </c>
      <c r="J6262" s="22" t="str">
        <f t="shared" si="196"/>
        <v/>
      </c>
    </row>
    <row r="6263" spans="1:10">
      <c r="A6263" s="1">
        <v>40921</v>
      </c>
      <c r="B6263">
        <v>27.93</v>
      </c>
      <c r="C6263">
        <v>28.25</v>
      </c>
      <c r="D6263">
        <v>27.79</v>
      </c>
      <c r="E6263">
        <v>28.25</v>
      </c>
      <c r="F6263">
        <v>60196100</v>
      </c>
      <c r="G6263">
        <v>26.67</v>
      </c>
      <c r="H6263" t="s">
        <v>6</v>
      </c>
      <c r="I6263" s="22">
        <f t="shared" si="195"/>
        <v>9.0396095777250697E-3</v>
      </c>
      <c r="J6263" s="22" t="str">
        <f t="shared" si="196"/>
        <v/>
      </c>
    </row>
    <row r="6264" spans="1:10">
      <c r="A6264" s="1">
        <v>40925</v>
      </c>
      <c r="B6264">
        <v>28.4</v>
      </c>
      <c r="C6264">
        <v>28.65</v>
      </c>
      <c r="D6264">
        <v>28.17</v>
      </c>
      <c r="E6264">
        <v>28.26</v>
      </c>
      <c r="F6264">
        <v>72395300</v>
      </c>
      <c r="G6264">
        <v>26.68</v>
      </c>
      <c r="H6264" t="s">
        <v>6</v>
      </c>
      <c r="I6264" s="22">
        <f t="shared" si="195"/>
        <v>3.7488285349998205E-4</v>
      </c>
      <c r="J6264" s="22" t="str">
        <f t="shared" si="196"/>
        <v>lost money</v>
      </c>
    </row>
    <row r="6265" spans="1:10">
      <c r="A6265" s="1">
        <v>40926</v>
      </c>
      <c r="B6265">
        <v>28.31</v>
      </c>
      <c r="C6265">
        <v>28.4</v>
      </c>
      <c r="D6265">
        <v>27.97</v>
      </c>
      <c r="E6265">
        <v>28.23</v>
      </c>
      <c r="F6265">
        <v>64860600</v>
      </c>
      <c r="G6265">
        <v>26.65</v>
      </c>
      <c r="H6265" t="s">
        <v>6</v>
      </c>
      <c r="I6265" s="22">
        <f t="shared" si="195"/>
        <v>-1.1250704355694656E-3</v>
      </c>
      <c r="J6265" s="22" t="str">
        <f t="shared" si="196"/>
        <v>lost money</v>
      </c>
    </row>
    <row r="6266" spans="1:10">
      <c r="A6266" s="1">
        <v>40927</v>
      </c>
      <c r="B6266">
        <v>28.16</v>
      </c>
      <c r="C6266">
        <v>28.44</v>
      </c>
      <c r="D6266">
        <v>28.03</v>
      </c>
      <c r="E6266">
        <v>28.12</v>
      </c>
      <c r="F6266">
        <v>74053500</v>
      </c>
      <c r="G6266">
        <v>26.54</v>
      </c>
      <c r="H6266" t="s">
        <v>6</v>
      </c>
      <c r="I6266" s="22">
        <f t="shared" si="195"/>
        <v>-4.1361217077920563E-3</v>
      </c>
      <c r="J6266" s="22" t="str">
        <f t="shared" si="196"/>
        <v>lost money</v>
      </c>
    </row>
    <row r="6267" spans="1:10">
      <c r="A6267" s="1">
        <v>40928</v>
      </c>
      <c r="B6267">
        <v>28.82</v>
      </c>
      <c r="C6267">
        <v>29.74</v>
      </c>
      <c r="D6267">
        <v>28.75</v>
      </c>
      <c r="E6267">
        <v>29.71</v>
      </c>
      <c r="F6267">
        <v>165902900</v>
      </c>
      <c r="G6267">
        <v>28.04</v>
      </c>
      <c r="H6267" t="s">
        <v>6</v>
      </c>
      <c r="I6267" s="22">
        <f t="shared" si="195"/>
        <v>5.497903326232785E-2</v>
      </c>
      <c r="J6267" s="22" t="str">
        <f t="shared" si="196"/>
        <v/>
      </c>
    </row>
    <row r="6268" spans="1:10">
      <c r="A6268" s="1">
        <v>40931</v>
      </c>
      <c r="B6268">
        <v>29.55</v>
      </c>
      <c r="C6268">
        <v>29.95</v>
      </c>
      <c r="D6268">
        <v>29.35</v>
      </c>
      <c r="E6268">
        <v>29.73</v>
      </c>
      <c r="F6268">
        <v>76078100</v>
      </c>
      <c r="G6268">
        <v>28.06</v>
      </c>
      <c r="H6268" t="s">
        <v>6</v>
      </c>
      <c r="I6268" s="22">
        <f t="shared" si="195"/>
        <v>7.1301250792549849E-4</v>
      </c>
      <c r="J6268" s="22" t="str">
        <f t="shared" si="196"/>
        <v/>
      </c>
    </row>
    <row r="6269" spans="1:10">
      <c r="A6269" s="1">
        <v>40932</v>
      </c>
      <c r="B6269">
        <v>29.47</v>
      </c>
      <c r="C6269">
        <v>29.57</v>
      </c>
      <c r="D6269">
        <v>29.18</v>
      </c>
      <c r="E6269">
        <v>29.34</v>
      </c>
      <c r="F6269">
        <v>51703300</v>
      </c>
      <c r="G6269">
        <v>27.7</v>
      </c>
      <c r="H6269" t="s">
        <v>6</v>
      </c>
      <c r="I6269" s="22">
        <f t="shared" si="195"/>
        <v>-1.291266148102203E-2</v>
      </c>
      <c r="J6269" s="22" t="str">
        <f t="shared" si="196"/>
        <v>lost money</v>
      </c>
    </row>
    <row r="6270" spans="1:10">
      <c r="A6270" s="1">
        <v>40933</v>
      </c>
      <c r="B6270">
        <v>29.07</v>
      </c>
      <c r="C6270">
        <v>29.65</v>
      </c>
      <c r="D6270">
        <v>29.07</v>
      </c>
      <c r="E6270">
        <v>29.56</v>
      </c>
      <c r="F6270">
        <v>59231700</v>
      </c>
      <c r="G6270">
        <v>27.9</v>
      </c>
      <c r="H6270" t="s">
        <v>6</v>
      </c>
      <c r="I6270" s="22">
        <f t="shared" si="195"/>
        <v>7.1942756340270106E-3</v>
      </c>
      <c r="J6270" s="22" t="str">
        <f t="shared" si="196"/>
        <v/>
      </c>
    </row>
    <row r="6271" spans="1:10">
      <c r="A6271" s="1">
        <v>40934</v>
      </c>
      <c r="B6271">
        <v>29.61</v>
      </c>
      <c r="C6271">
        <v>29.7</v>
      </c>
      <c r="D6271">
        <v>29.4</v>
      </c>
      <c r="E6271">
        <v>29.5</v>
      </c>
      <c r="F6271">
        <v>49102800</v>
      </c>
      <c r="G6271">
        <v>27.85</v>
      </c>
      <c r="H6271" t="s">
        <v>6</v>
      </c>
      <c r="I6271" s="22">
        <f t="shared" si="195"/>
        <v>-1.7937224540267663E-3</v>
      </c>
      <c r="J6271" s="22" t="str">
        <f t="shared" si="196"/>
        <v>lost money</v>
      </c>
    </row>
    <row r="6272" spans="1:10">
      <c r="A6272" s="1">
        <v>40935</v>
      </c>
      <c r="B6272">
        <v>29.45</v>
      </c>
      <c r="C6272">
        <v>29.53</v>
      </c>
      <c r="D6272">
        <v>29.17</v>
      </c>
      <c r="E6272">
        <v>29.23</v>
      </c>
      <c r="F6272">
        <v>44187700</v>
      </c>
      <c r="G6272">
        <v>27.59</v>
      </c>
      <c r="H6272" t="s">
        <v>6</v>
      </c>
      <c r="I6272" s="22">
        <f t="shared" si="195"/>
        <v>-9.3795781440984098E-3</v>
      </c>
      <c r="J6272" s="22" t="str">
        <f t="shared" si="196"/>
        <v>lost money</v>
      </c>
    </row>
    <row r="6273" spans="1:10">
      <c r="A6273" s="1">
        <v>40938</v>
      </c>
      <c r="B6273">
        <v>28.97</v>
      </c>
      <c r="C6273">
        <v>29.62</v>
      </c>
      <c r="D6273">
        <v>28.83</v>
      </c>
      <c r="E6273">
        <v>29.61</v>
      </c>
      <c r="F6273">
        <v>51114800</v>
      </c>
      <c r="G6273">
        <v>27.95</v>
      </c>
      <c r="H6273" t="s">
        <v>6</v>
      </c>
      <c r="I6273" s="22">
        <f t="shared" si="195"/>
        <v>1.2963811371913339E-2</v>
      </c>
      <c r="J6273" s="22" t="str">
        <f t="shared" si="196"/>
        <v/>
      </c>
    </row>
    <row r="6274" spans="1:10">
      <c r="A6274" s="1">
        <v>40939</v>
      </c>
      <c r="B6274">
        <v>29.66</v>
      </c>
      <c r="C6274">
        <v>29.7</v>
      </c>
      <c r="D6274">
        <v>29.23</v>
      </c>
      <c r="E6274">
        <v>29.53</v>
      </c>
      <c r="F6274">
        <v>50572400</v>
      </c>
      <c r="G6274">
        <v>27.87</v>
      </c>
      <c r="H6274" t="s">
        <v>6</v>
      </c>
      <c r="I6274" s="22">
        <f t="shared" si="195"/>
        <v>-2.8663581072512997E-3</v>
      </c>
      <c r="J6274" s="22" t="str">
        <f t="shared" si="196"/>
        <v>lost money</v>
      </c>
    </row>
    <row r="6275" spans="1:10">
      <c r="A6275" s="1">
        <v>40940</v>
      </c>
      <c r="B6275">
        <v>29.79</v>
      </c>
      <c r="C6275">
        <v>30.05</v>
      </c>
      <c r="D6275">
        <v>29.76</v>
      </c>
      <c r="E6275">
        <v>29.89</v>
      </c>
      <c r="F6275">
        <v>67409900</v>
      </c>
      <c r="G6275">
        <v>28.21</v>
      </c>
      <c r="H6275" t="s">
        <v>6</v>
      </c>
      <c r="I6275" s="22">
        <f t="shared" ref="I6275:I6338" si="197">IF(A6275=$A$2,"",LN(G6275/G6274))</f>
        <v>1.2125683520048072E-2</v>
      </c>
      <c r="J6275" s="22" t="str">
        <f t="shared" ref="J6275:J6338" si="198">IF(B6275&gt;E6275,"lost money","")</f>
        <v/>
      </c>
    </row>
    <row r="6276" spans="1:10">
      <c r="A6276" s="1">
        <v>40941</v>
      </c>
      <c r="B6276">
        <v>29.9</v>
      </c>
      <c r="C6276">
        <v>30.17</v>
      </c>
      <c r="D6276">
        <v>29.71</v>
      </c>
      <c r="E6276">
        <v>29.95</v>
      </c>
      <c r="F6276">
        <v>52223300</v>
      </c>
      <c r="G6276">
        <v>28.27</v>
      </c>
      <c r="H6276" t="s">
        <v>6</v>
      </c>
      <c r="I6276" s="22">
        <f t="shared" si="197"/>
        <v>2.1246466915940121E-3</v>
      </c>
      <c r="J6276" s="22" t="str">
        <f t="shared" si="198"/>
        <v/>
      </c>
    </row>
    <row r="6277" spans="1:10">
      <c r="A6277" s="1">
        <v>40942</v>
      </c>
      <c r="B6277">
        <v>30.14</v>
      </c>
      <c r="C6277">
        <v>30.4</v>
      </c>
      <c r="D6277">
        <v>30.09</v>
      </c>
      <c r="E6277">
        <v>30.24</v>
      </c>
      <c r="F6277">
        <v>41838500</v>
      </c>
      <c r="G6277">
        <v>28.54</v>
      </c>
      <c r="H6277" t="s">
        <v>6</v>
      </c>
      <c r="I6277" s="22">
        <f t="shared" si="197"/>
        <v>9.5054403431914306E-3</v>
      </c>
      <c r="J6277" s="22" t="str">
        <f t="shared" si="198"/>
        <v/>
      </c>
    </row>
    <row r="6278" spans="1:10">
      <c r="A6278" s="1">
        <v>40945</v>
      </c>
      <c r="B6278">
        <v>30.04</v>
      </c>
      <c r="C6278">
        <v>30.22</v>
      </c>
      <c r="D6278">
        <v>29.97</v>
      </c>
      <c r="E6278">
        <v>30.2</v>
      </c>
      <c r="F6278">
        <v>28039700</v>
      </c>
      <c r="G6278">
        <v>28.51</v>
      </c>
      <c r="H6278" t="s">
        <v>6</v>
      </c>
      <c r="I6278" s="22">
        <f t="shared" si="197"/>
        <v>-1.0517091241096454E-3</v>
      </c>
      <c r="J6278" s="22" t="str">
        <f t="shared" si="198"/>
        <v/>
      </c>
    </row>
    <row r="6279" spans="1:10">
      <c r="A6279" s="1">
        <v>40946</v>
      </c>
      <c r="B6279">
        <v>30.15</v>
      </c>
      <c r="C6279">
        <v>30.49</v>
      </c>
      <c r="D6279">
        <v>30.05</v>
      </c>
      <c r="E6279">
        <v>30.35</v>
      </c>
      <c r="F6279">
        <v>39242400</v>
      </c>
      <c r="G6279">
        <v>28.65</v>
      </c>
      <c r="H6279" t="s">
        <v>6</v>
      </c>
      <c r="I6279" s="22">
        <f t="shared" si="197"/>
        <v>4.8985402361678915E-3</v>
      </c>
      <c r="J6279" s="22" t="str">
        <f t="shared" si="198"/>
        <v/>
      </c>
    </row>
    <row r="6280" spans="1:10">
      <c r="A6280" s="1">
        <v>40947</v>
      </c>
      <c r="B6280">
        <v>30.26</v>
      </c>
      <c r="C6280">
        <v>30.67</v>
      </c>
      <c r="D6280">
        <v>30.22</v>
      </c>
      <c r="E6280">
        <v>30.66</v>
      </c>
      <c r="F6280">
        <v>49659100</v>
      </c>
      <c r="G6280">
        <v>28.94</v>
      </c>
      <c r="H6280" t="s">
        <v>6</v>
      </c>
      <c r="I6280" s="22">
        <f t="shared" si="197"/>
        <v>1.00712780425894E-2</v>
      </c>
      <c r="J6280" s="22" t="str">
        <f t="shared" si="198"/>
        <v/>
      </c>
    </row>
    <row r="6281" spans="1:10">
      <c r="A6281" s="1">
        <v>40948</v>
      </c>
      <c r="B6281">
        <v>30.68</v>
      </c>
      <c r="C6281">
        <v>30.8</v>
      </c>
      <c r="D6281">
        <v>30.48</v>
      </c>
      <c r="E6281">
        <v>30.77</v>
      </c>
      <c r="F6281">
        <v>50481600</v>
      </c>
      <c r="G6281">
        <v>29.04</v>
      </c>
      <c r="H6281" t="s">
        <v>6</v>
      </c>
      <c r="I6281" s="22">
        <f t="shared" si="197"/>
        <v>3.4494687532575482E-3</v>
      </c>
      <c r="J6281" s="22" t="str">
        <f t="shared" si="198"/>
        <v/>
      </c>
    </row>
    <row r="6282" spans="1:10">
      <c r="A6282" s="1">
        <v>40949</v>
      </c>
      <c r="B6282">
        <v>30.64</v>
      </c>
      <c r="C6282">
        <v>30.8</v>
      </c>
      <c r="D6282">
        <v>30.36</v>
      </c>
      <c r="E6282">
        <v>30.5</v>
      </c>
      <c r="F6282">
        <v>44605300</v>
      </c>
      <c r="G6282">
        <v>28.79</v>
      </c>
      <c r="H6282" t="s">
        <v>6</v>
      </c>
      <c r="I6282" s="22">
        <f t="shared" si="197"/>
        <v>-8.6460853325107979E-3</v>
      </c>
      <c r="J6282" s="22" t="str">
        <f t="shared" si="198"/>
        <v>lost money</v>
      </c>
    </row>
    <row r="6283" spans="1:10">
      <c r="A6283" s="1">
        <v>40952</v>
      </c>
      <c r="B6283">
        <v>30.63</v>
      </c>
      <c r="C6283">
        <v>30.77</v>
      </c>
      <c r="D6283">
        <v>30.43</v>
      </c>
      <c r="E6283">
        <v>30.58</v>
      </c>
      <c r="F6283">
        <v>33319800</v>
      </c>
      <c r="G6283">
        <v>28.87</v>
      </c>
      <c r="H6283" t="s">
        <v>6</v>
      </c>
      <c r="I6283" s="22">
        <f t="shared" si="197"/>
        <v>2.7748890507592393E-3</v>
      </c>
      <c r="J6283" s="22" t="str">
        <f t="shared" si="198"/>
        <v>lost money</v>
      </c>
    </row>
    <row r="6284" spans="1:10">
      <c r="A6284" s="1">
        <v>40953</v>
      </c>
      <c r="B6284">
        <v>30.33</v>
      </c>
      <c r="C6284">
        <v>30.46</v>
      </c>
      <c r="D6284">
        <v>29.85</v>
      </c>
      <c r="E6284">
        <v>30.25</v>
      </c>
      <c r="F6284">
        <v>59644000</v>
      </c>
      <c r="G6284">
        <v>28.74</v>
      </c>
      <c r="H6284" t="s">
        <v>6</v>
      </c>
      <c r="I6284" s="22">
        <f t="shared" si="197"/>
        <v>-4.5131130239649264E-3</v>
      </c>
      <c r="J6284" s="22" t="str">
        <f t="shared" si="198"/>
        <v>lost money</v>
      </c>
    </row>
    <row r="6285" spans="1:10">
      <c r="A6285" s="1">
        <v>40954</v>
      </c>
      <c r="B6285">
        <v>30.33</v>
      </c>
      <c r="C6285">
        <v>30.39</v>
      </c>
      <c r="D6285">
        <v>30.03</v>
      </c>
      <c r="E6285">
        <v>30.05</v>
      </c>
      <c r="F6285">
        <v>43311300</v>
      </c>
      <c r="G6285">
        <v>28.55</v>
      </c>
      <c r="H6285" t="s">
        <v>6</v>
      </c>
      <c r="I6285" s="22">
        <f t="shared" si="197"/>
        <v>-6.6329445488595169E-3</v>
      </c>
      <c r="J6285" s="22" t="str">
        <f t="shared" si="198"/>
        <v>lost money</v>
      </c>
    </row>
    <row r="6286" spans="1:10">
      <c r="A6286" s="1">
        <v>40955</v>
      </c>
      <c r="B6286">
        <v>30.31</v>
      </c>
      <c r="C6286">
        <v>31.55</v>
      </c>
      <c r="D6286">
        <v>30.3</v>
      </c>
      <c r="E6286">
        <v>31.29</v>
      </c>
      <c r="F6286">
        <v>94705100</v>
      </c>
      <c r="G6286">
        <v>29.73</v>
      </c>
      <c r="H6286" t="s">
        <v>6</v>
      </c>
      <c r="I6286" s="22">
        <f t="shared" si="197"/>
        <v>4.0499700907987046E-2</v>
      </c>
      <c r="J6286" s="22" t="str">
        <f t="shared" si="198"/>
        <v/>
      </c>
    </row>
    <row r="6287" spans="1:10">
      <c r="A6287" s="1">
        <v>40956</v>
      </c>
      <c r="B6287">
        <v>31.2</v>
      </c>
      <c r="C6287">
        <v>31.32</v>
      </c>
      <c r="D6287">
        <v>30.95</v>
      </c>
      <c r="E6287">
        <v>31.25</v>
      </c>
      <c r="F6287">
        <v>70036500</v>
      </c>
      <c r="G6287">
        <v>29.69</v>
      </c>
      <c r="H6287" t="s">
        <v>6</v>
      </c>
      <c r="I6287" s="22">
        <f t="shared" si="197"/>
        <v>-1.3463482343378814E-3</v>
      </c>
      <c r="J6287" s="22" t="str">
        <f t="shared" si="198"/>
        <v/>
      </c>
    </row>
    <row r="6288" spans="1:10">
      <c r="A6288" s="1">
        <v>40960</v>
      </c>
      <c r="B6288">
        <v>31.18</v>
      </c>
      <c r="C6288">
        <v>31.61</v>
      </c>
      <c r="D6288">
        <v>31.15</v>
      </c>
      <c r="E6288">
        <v>31.44</v>
      </c>
      <c r="F6288">
        <v>50829900</v>
      </c>
      <c r="G6288">
        <v>29.87</v>
      </c>
      <c r="H6288" t="s">
        <v>6</v>
      </c>
      <c r="I6288" s="22">
        <f t="shared" si="197"/>
        <v>6.0443434523500105E-3</v>
      </c>
      <c r="J6288" s="22" t="str">
        <f t="shared" si="198"/>
        <v/>
      </c>
    </row>
    <row r="6289" spans="1:10">
      <c r="A6289" s="1">
        <v>40961</v>
      </c>
      <c r="B6289">
        <v>31.45</v>
      </c>
      <c r="C6289">
        <v>31.68</v>
      </c>
      <c r="D6289">
        <v>31.18</v>
      </c>
      <c r="E6289">
        <v>31.27</v>
      </c>
      <c r="F6289">
        <v>49253200</v>
      </c>
      <c r="G6289">
        <v>29.71</v>
      </c>
      <c r="H6289" t="s">
        <v>6</v>
      </c>
      <c r="I6289" s="22">
        <f t="shared" si="197"/>
        <v>-5.3709427535021271E-3</v>
      </c>
      <c r="J6289" s="22" t="str">
        <f t="shared" si="198"/>
        <v>lost money</v>
      </c>
    </row>
    <row r="6290" spans="1:10">
      <c r="A6290" s="1">
        <v>40962</v>
      </c>
      <c r="B6290">
        <v>31.2</v>
      </c>
      <c r="C6290">
        <v>31.59</v>
      </c>
      <c r="D6290">
        <v>31</v>
      </c>
      <c r="E6290">
        <v>31.37</v>
      </c>
      <c r="F6290">
        <v>35034700</v>
      </c>
      <c r="G6290">
        <v>29.81</v>
      </c>
      <c r="H6290" t="s">
        <v>6</v>
      </c>
      <c r="I6290" s="22">
        <f t="shared" si="197"/>
        <v>3.3602182154636364E-3</v>
      </c>
      <c r="J6290" s="22" t="str">
        <f t="shared" si="198"/>
        <v/>
      </c>
    </row>
    <row r="6291" spans="1:10">
      <c r="A6291" s="1">
        <v>40963</v>
      </c>
      <c r="B6291">
        <v>31.48</v>
      </c>
      <c r="C6291">
        <v>31.5</v>
      </c>
      <c r="D6291">
        <v>31.24</v>
      </c>
      <c r="E6291">
        <v>31.48</v>
      </c>
      <c r="F6291">
        <v>35575400</v>
      </c>
      <c r="G6291">
        <v>29.91</v>
      </c>
      <c r="H6291" t="s">
        <v>6</v>
      </c>
      <c r="I6291" s="22">
        <f t="shared" si="197"/>
        <v>3.3489649518766529E-3</v>
      </c>
      <c r="J6291" s="22" t="str">
        <f t="shared" si="198"/>
        <v/>
      </c>
    </row>
    <row r="6292" spans="1:10">
      <c r="A6292" s="1">
        <v>40966</v>
      </c>
      <c r="B6292">
        <v>31.24</v>
      </c>
      <c r="C6292">
        <v>31.5</v>
      </c>
      <c r="D6292">
        <v>31.1</v>
      </c>
      <c r="E6292">
        <v>31.35</v>
      </c>
      <c r="F6292">
        <v>34568400</v>
      </c>
      <c r="G6292">
        <v>29.79</v>
      </c>
      <c r="H6292" t="s">
        <v>6</v>
      </c>
      <c r="I6292" s="22">
        <f t="shared" si="197"/>
        <v>-4.0201059166657758E-3</v>
      </c>
      <c r="J6292" s="22" t="str">
        <f t="shared" si="198"/>
        <v/>
      </c>
    </row>
    <row r="6293" spans="1:10">
      <c r="A6293" s="1">
        <v>40967</v>
      </c>
      <c r="B6293">
        <v>31.41</v>
      </c>
      <c r="C6293">
        <v>31.93</v>
      </c>
      <c r="D6293">
        <v>31.38</v>
      </c>
      <c r="E6293">
        <v>31.87</v>
      </c>
      <c r="F6293">
        <v>45230600</v>
      </c>
      <c r="G6293">
        <v>30.28</v>
      </c>
      <c r="H6293" t="s">
        <v>6</v>
      </c>
      <c r="I6293" s="22">
        <f t="shared" si="197"/>
        <v>1.6314661844057134E-2</v>
      </c>
      <c r="J6293" s="22" t="str">
        <f t="shared" si="198"/>
        <v/>
      </c>
    </row>
    <row r="6294" spans="1:10">
      <c r="A6294" s="1">
        <v>40968</v>
      </c>
      <c r="B6294">
        <v>31.89</v>
      </c>
      <c r="C6294">
        <v>32</v>
      </c>
      <c r="D6294">
        <v>31.61</v>
      </c>
      <c r="E6294">
        <v>31.74</v>
      </c>
      <c r="F6294">
        <v>59323600</v>
      </c>
      <c r="G6294">
        <v>30.16</v>
      </c>
      <c r="H6294" t="s">
        <v>6</v>
      </c>
      <c r="I6294" s="22">
        <f t="shared" si="197"/>
        <v>-3.9708854294927317E-3</v>
      </c>
      <c r="J6294" s="22" t="str">
        <f t="shared" si="198"/>
        <v>lost money</v>
      </c>
    </row>
    <row r="6295" spans="1:10">
      <c r="A6295" s="1">
        <v>40969</v>
      </c>
      <c r="B6295">
        <v>31.93</v>
      </c>
      <c r="C6295">
        <v>32.39</v>
      </c>
      <c r="D6295">
        <v>31.85</v>
      </c>
      <c r="E6295">
        <v>32.29</v>
      </c>
      <c r="F6295">
        <v>77344100</v>
      </c>
      <c r="G6295">
        <v>30.68</v>
      </c>
      <c r="H6295" t="s">
        <v>6</v>
      </c>
      <c r="I6295" s="22">
        <f t="shared" si="197"/>
        <v>1.709443335930004E-2</v>
      </c>
      <c r="J6295" s="22" t="str">
        <f t="shared" si="198"/>
        <v/>
      </c>
    </row>
    <row r="6296" spans="1:10">
      <c r="A6296" s="1">
        <v>40970</v>
      </c>
      <c r="B6296">
        <v>32.31</v>
      </c>
      <c r="C6296">
        <v>32.44</v>
      </c>
      <c r="D6296">
        <v>32</v>
      </c>
      <c r="E6296">
        <v>32.08</v>
      </c>
      <c r="F6296">
        <v>47314200</v>
      </c>
      <c r="G6296">
        <v>30.48</v>
      </c>
      <c r="H6296" t="s">
        <v>6</v>
      </c>
      <c r="I6296" s="22">
        <f t="shared" si="197"/>
        <v>-6.5402456806098784E-3</v>
      </c>
      <c r="J6296" s="22" t="str">
        <f t="shared" si="198"/>
        <v>lost money</v>
      </c>
    </row>
    <row r="6297" spans="1:10">
      <c r="A6297" s="1">
        <v>40973</v>
      </c>
      <c r="B6297">
        <v>32.01</v>
      </c>
      <c r="C6297">
        <v>32.049999999999997</v>
      </c>
      <c r="D6297">
        <v>31.62</v>
      </c>
      <c r="E6297">
        <v>31.8</v>
      </c>
      <c r="F6297">
        <v>45240000</v>
      </c>
      <c r="G6297">
        <v>30.21</v>
      </c>
      <c r="H6297" t="s">
        <v>6</v>
      </c>
      <c r="I6297" s="22">
        <f t="shared" si="197"/>
        <v>-8.8977354198648915E-3</v>
      </c>
      <c r="J6297" s="22" t="str">
        <f t="shared" si="198"/>
        <v>lost money</v>
      </c>
    </row>
    <row r="6298" spans="1:10">
      <c r="A6298" s="1">
        <v>40974</v>
      </c>
      <c r="B6298">
        <v>31.54</v>
      </c>
      <c r="C6298">
        <v>31.98</v>
      </c>
      <c r="D6298">
        <v>31.49</v>
      </c>
      <c r="E6298">
        <v>31.56</v>
      </c>
      <c r="F6298">
        <v>51932900</v>
      </c>
      <c r="G6298">
        <v>29.99</v>
      </c>
      <c r="H6298" t="s">
        <v>6</v>
      </c>
      <c r="I6298" s="22">
        <f t="shared" si="197"/>
        <v>-7.3090026376630189E-3</v>
      </c>
      <c r="J6298" s="22" t="str">
        <f t="shared" si="198"/>
        <v/>
      </c>
    </row>
    <row r="6299" spans="1:10">
      <c r="A6299" s="1">
        <v>40975</v>
      </c>
      <c r="B6299">
        <v>31.67</v>
      </c>
      <c r="C6299">
        <v>31.92</v>
      </c>
      <c r="D6299">
        <v>31.53</v>
      </c>
      <c r="E6299">
        <v>31.84</v>
      </c>
      <c r="F6299">
        <v>34340400</v>
      </c>
      <c r="G6299">
        <v>30.25</v>
      </c>
      <c r="H6299" t="s">
        <v>6</v>
      </c>
      <c r="I6299" s="22">
        <f t="shared" si="197"/>
        <v>8.6321917159328503E-3</v>
      </c>
      <c r="J6299" s="22" t="str">
        <f t="shared" si="198"/>
        <v/>
      </c>
    </row>
    <row r="6300" spans="1:10">
      <c r="A6300" s="1">
        <v>40976</v>
      </c>
      <c r="B6300">
        <v>32.04</v>
      </c>
      <c r="C6300">
        <v>32.21</v>
      </c>
      <c r="D6300">
        <v>31.9</v>
      </c>
      <c r="E6300">
        <v>32.01</v>
      </c>
      <c r="F6300">
        <v>36747400</v>
      </c>
      <c r="G6300">
        <v>30.41</v>
      </c>
      <c r="H6300" t="s">
        <v>6</v>
      </c>
      <c r="I6300" s="22">
        <f t="shared" si="197"/>
        <v>5.2753172124227823E-3</v>
      </c>
      <c r="J6300" s="22" t="str">
        <f t="shared" si="198"/>
        <v>lost money</v>
      </c>
    </row>
    <row r="6301" spans="1:10">
      <c r="A6301" s="1">
        <v>40977</v>
      </c>
      <c r="B6301">
        <v>32.1</v>
      </c>
      <c r="C6301">
        <v>32.159999999999997</v>
      </c>
      <c r="D6301">
        <v>31.92</v>
      </c>
      <c r="E6301">
        <v>31.99</v>
      </c>
      <c r="F6301">
        <v>34628400</v>
      </c>
      <c r="G6301">
        <v>30.4</v>
      </c>
      <c r="H6301" t="s">
        <v>6</v>
      </c>
      <c r="I6301" s="22">
        <f t="shared" si="197"/>
        <v>-3.2889327709728671E-4</v>
      </c>
      <c r="J6301" s="22" t="str">
        <f t="shared" si="198"/>
        <v>lost money</v>
      </c>
    </row>
    <row r="6302" spans="1:10">
      <c r="A6302" s="1">
        <v>40980</v>
      </c>
      <c r="B6302">
        <v>31.97</v>
      </c>
      <c r="C6302">
        <v>32.200000000000003</v>
      </c>
      <c r="D6302">
        <v>31.82</v>
      </c>
      <c r="E6302">
        <v>32.04</v>
      </c>
      <c r="F6302">
        <v>34073600</v>
      </c>
      <c r="G6302">
        <v>30.44</v>
      </c>
      <c r="H6302" t="s">
        <v>6</v>
      </c>
      <c r="I6302" s="22">
        <f t="shared" si="197"/>
        <v>1.3149245813092439E-3</v>
      </c>
      <c r="J6302" s="22" t="str">
        <f t="shared" si="198"/>
        <v/>
      </c>
    </row>
    <row r="6303" spans="1:10">
      <c r="A6303" s="1">
        <v>40981</v>
      </c>
      <c r="B6303">
        <v>32.24</v>
      </c>
      <c r="C6303">
        <v>32.69</v>
      </c>
      <c r="D6303">
        <v>32.15</v>
      </c>
      <c r="E6303">
        <v>32.67</v>
      </c>
      <c r="F6303">
        <v>48951700</v>
      </c>
      <c r="G6303">
        <v>31.04</v>
      </c>
      <c r="H6303" t="s">
        <v>6</v>
      </c>
      <c r="I6303" s="22">
        <f t="shared" si="197"/>
        <v>1.9519162321532911E-2</v>
      </c>
      <c r="J6303" s="22" t="str">
        <f t="shared" si="198"/>
        <v/>
      </c>
    </row>
    <row r="6304" spans="1:10">
      <c r="A6304" s="1">
        <v>40982</v>
      </c>
      <c r="B6304">
        <v>32.53</v>
      </c>
      <c r="C6304">
        <v>32.880000000000003</v>
      </c>
      <c r="D6304">
        <v>32.49</v>
      </c>
      <c r="E6304">
        <v>32.770000000000003</v>
      </c>
      <c r="F6304">
        <v>41986900</v>
      </c>
      <c r="G6304">
        <v>31.14</v>
      </c>
      <c r="H6304" t="s">
        <v>6</v>
      </c>
      <c r="I6304" s="22">
        <f t="shared" si="197"/>
        <v>3.2164710908342583E-3</v>
      </c>
      <c r="J6304" s="22" t="str">
        <f t="shared" si="198"/>
        <v/>
      </c>
    </row>
    <row r="6305" spans="1:10">
      <c r="A6305" s="1">
        <v>40983</v>
      </c>
      <c r="B6305">
        <v>32.79</v>
      </c>
      <c r="C6305">
        <v>32.94</v>
      </c>
      <c r="D6305">
        <v>32.58</v>
      </c>
      <c r="E6305">
        <v>32.85</v>
      </c>
      <c r="F6305">
        <v>49068300</v>
      </c>
      <c r="G6305">
        <v>31.21</v>
      </c>
      <c r="H6305" t="s">
        <v>6</v>
      </c>
      <c r="I6305" s="22">
        <f t="shared" si="197"/>
        <v>2.2453898768358478E-3</v>
      </c>
      <c r="J6305" s="22" t="str">
        <f t="shared" si="198"/>
        <v/>
      </c>
    </row>
    <row r="6306" spans="1:10">
      <c r="A6306" s="1">
        <v>40984</v>
      </c>
      <c r="B6306">
        <v>32.909999999999997</v>
      </c>
      <c r="C6306">
        <v>32.950000000000003</v>
      </c>
      <c r="D6306">
        <v>32.5</v>
      </c>
      <c r="E6306">
        <v>32.6</v>
      </c>
      <c r="F6306">
        <v>65626400</v>
      </c>
      <c r="G6306">
        <v>30.97</v>
      </c>
      <c r="H6306" t="s">
        <v>6</v>
      </c>
      <c r="I6306" s="22">
        <f t="shared" si="197"/>
        <v>-7.7195622975767203E-3</v>
      </c>
      <c r="J6306" s="22" t="str">
        <f t="shared" si="198"/>
        <v>lost money</v>
      </c>
    </row>
    <row r="6307" spans="1:10">
      <c r="A6307" s="1">
        <v>40987</v>
      </c>
      <c r="B6307">
        <v>32.54</v>
      </c>
      <c r="C6307">
        <v>32.61</v>
      </c>
      <c r="D6307">
        <v>32.15</v>
      </c>
      <c r="E6307">
        <v>32.200000000000003</v>
      </c>
      <c r="F6307">
        <v>44789200</v>
      </c>
      <c r="G6307">
        <v>30.59</v>
      </c>
      <c r="H6307" t="s">
        <v>6</v>
      </c>
      <c r="I6307" s="22">
        <f t="shared" si="197"/>
        <v>-1.2345835822299266E-2</v>
      </c>
      <c r="J6307" s="22" t="str">
        <f t="shared" si="198"/>
        <v>lost money</v>
      </c>
    </row>
    <row r="6308" spans="1:10">
      <c r="A6308" s="1">
        <v>40988</v>
      </c>
      <c r="B6308">
        <v>32.1</v>
      </c>
      <c r="C6308">
        <v>32.15</v>
      </c>
      <c r="D6308">
        <v>31.74</v>
      </c>
      <c r="E6308">
        <v>31.99</v>
      </c>
      <c r="F6308">
        <v>41566800</v>
      </c>
      <c r="G6308">
        <v>30.4</v>
      </c>
      <c r="H6308" t="s">
        <v>6</v>
      </c>
      <c r="I6308" s="22">
        <f t="shared" si="197"/>
        <v>-6.2305497506360864E-3</v>
      </c>
      <c r="J6308" s="22" t="str">
        <f t="shared" si="198"/>
        <v>lost money</v>
      </c>
    </row>
    <row r="6309" spans="1:10">
      <c r="A6309" s="1">
        <v>40989</v>
      </c>
      <c r="B6309">
        <v>31.96</v>
      </c>
      <c r="C6309">
        <v>32.15</v>
      </c>
      <c r="D6309">
        <v>31.82</v>
      </c>
      <c r="E6309">
        <v>31.91</v>
      </c>
      <c r="F6309">
        <v>37928600</v>
      </c>
      <c r="G6309">
        <v>30.32</v>
      </c>
      <c r="H6309" t="s">
        <v>6</v>
      </c>
      <c r="I6309" s="22">
        <f t="shared" si="197"/>
        <v>-2.6350476380050023E-3</v>
      </c>
      <c r="J6309" s="22" t="str">
        <f t="shared" si="198"/>
        <v>lost money</v>
      </c>
    </row>
    <row r="6310" spans="1:10">
      <c r="A6310" s="1">
        <v>40990</v>
      </c>
      <c r="B6310">
        <v>31.81</v>
      </c>
      <c r="C6310">
        <v>32.090000000000003</v>
      </c>
      <c r="D6310">
        <v>31.79</v>
      </c>
      <c r="E6310">
        <v>32</v>
      </c>
      <c r="F6310">
        <v>31749500</v>
      </c>
      <c r="G6310">
        <v>30.4</v>
      </c>
      <c r="H6310" t="s">
        <v>6</v>
      </c>
      <c r="I6310" s="22">
        <f t="shared" si="197"/>
        <v>2.6350476380050318E-3</v>
      </c>
      <c r="J6310" s="22" t="str">
        <f t="shared" si="198"/>
        <v/>
      </c>
    </row>
    <row r="6311" spans="1:10">
      <c r="A6311" s="1">
        <v>40991</v>
      </c>
      <c r="B6311">
        <v>32.1</v>
      </c>
      <c r="C6311">
        <v>32.11</v>
      </c>
      <c r="D6311">
        <v>31.72</v>
      </c>
      <c r="E6311">
        <v>32.01</v>
      </c>
      <c r="F6311">
        <v>35912200</v>
      </c>
      <c r="G6311">
        <v>30.41</v>
      </c>
      <c r="H6311" t="s">
        <v>6</v>
      </c>
      <c r="I6311" s="22">
        <f t="shared" si="197"/>
        <v>3.2889327709736249E-4</v>
      </c>
      <c r="J6311" s="22" t="str">
        <f t="shared" si="198"/>
        <v>lost money</v>
      </c>
    </row>
    <row r="6312" spans="1:10">
      <c r="A6312" s="1">
        <v>40994</v>
      </c>
      <c r="B6312">
        <v>32.19</v>
      </c>
      <c r="C6312">
        <v>32.61</v>
      </c>
      <c r="D6312">
        <v>32.15</v>
      </c>
      <c r="E6312">
        <v>32.590000000000003</v>
      </c>
      <c r="F6312">
        <v>36758300</v>
      </c>
      <c r="G6312">
        <v>30.97</v>
      </c>
      <c r="H6312" t="s">
        <v>6</v>
      </c>
      <c r="I6312" s="22">
        <f t="shared" si="197"/>
        <v>1.824749229583807E-2</v>
      </c>
      <c r="J6312" s="22" t="str">
        <f t="shared" si="198"/>
        <v/>
      </c>
    </row>
    <row r="6313" spans="1:10">
      <c r="A6313" s="1">
        <v>40995</v>
      </c>
      <c r="B6313">
        <v>32.65</v>
      </c>
      <c r="C6313">
        <v>32.700000000000003</v>
      </c>
      <c r="D6313">
        <v>32.4</v>
      </c>
      <c r="E6313">
        <v>32.520000000000003</v>
      </c>
      <c r="F6313">
        <v>36274900</v>
      </c>
      <c r="G6313">
        <v>30.9</v>
      </c>
      <c r="H6313" t="s">
        <v>6</v>
      </c>
      <c r="I6313" s="22">
        <f t="shared" si="197"/>
        <v>-2.26281008141167E-3</v>
      </c>
      <c r="J6313" s="22" t="str">
        <f t="shared" si="198"/>
        <v>lost money</v>
      </c>
    </row>
    <row r="6314" spans="1:10">
      <c r="A6314" s="1">
        <v>40996</v>
      </c>
      <c r="B6314">
        <v>32.520000000000003</v>
      </c>
      <c r="C6314">
        <v>32.700000000000003</v>
      </c>
      <c r="D6314">
        <v>32.04</v>
      </c>
      <c r="E6314">
        <v>32.19</v>
      </c>
      <c r="F6314">
        <v>41344800</v>
      </c>
      <c r="G6314">
        <v>30.59</v>
      </c>
      <c r="H6314" t="s">
        <v>6</v>
      </c>
      <c r="I6314" s="22">
        <f t="shared" si="197"/>
        <v>-1.0083025740887626E-2</v>
      </c>
      <c r="J6314" s="22" t="str">
        <f t="shared" si="198"/>
        <v>lost money</v>
      </c>
    </row>
    <row r="6315" spans="1:10">
      <c r="A6315" s="1">
        <v>40997</v>
      </c>
      <c r="B6315">
        <v>32.06</v>
      </c>
      <c r="C6315">
        <v>32.19</v>
      </c>
      <c r="D6315">
        <v>31.81</v>
      </c>
      <c r="E6315">
        <v>32.119999999999997</v>
      </c>
      <c r="F6315">
        <v>37038500</v>
      </c>
      <c r="G6315">
        <v>30.52</v>
      </c>
      <c r="H6315" t="s">
        <v>6</v>
      </c>
      <c r="I6315" s="22">
        <f t="shared" si="197"/>
        <v>-2.2909517465558244E-3</v>
      </c>
      <c r="J6315" s="22" t="str">
        <f t="shared" si="198"/>
        <v/>
      </c>
    </row>
    <row r="6316" spans="1:10">
      <c r="A6316" s="1">
        <v>40998</v>
      </c>
      <c r="B6316">
        <v>32.4</v>
      </c>
      <c r="C6316">
        <v>32.409999999999997</v>
      </c>
      <c r="D6316">
        <v>32.04</v>
      </c>
      <c r="E6316">
        <v>32.26</v>
      </c>
      <c r="F6316">
        <v>31749400</v>
      </c>
      <c r="G6316">
        <v>30.65</v>
      </c>
      <c r="H6316" t="s">
        <v>6</v>
      </c>
      <c r="I6316" s="22">
        <f t="shared" si="197"/>
        <v>4.2504559659641162E-3</v>
      </c>
      <c r="J6316" s="22" t="str">
        <f t="shared" si="198"/>
        <v>lost money</v>
      </c>
    </row>
    <row r="6317" spans="1:10">
      <c r="A6317" s="1">
        <v>41001</v>
      </c>
      <c r="B6317">
        <v>32.22</v>
      </c>
      <c r="C6317">
        <v>32.46</v>
      </c>
      <c r="D6317">
        <v>31.95</v>
      </c>
      <c r="E6317">
        <v>32.29</v>
      </c>
      <c r="F6317">
        <v>35853600</v>
      </c>
      <c r="G6317">
        <v>30.68</v>
      </c>
      <c r="H6317" t="s">
        <v>6</v>
      </c>
      <c r="I6317" s="22">
        <f t="shared" si="197"/>
        <v>9.783141168351083E-4</v>
      </c>
      <c r="J6317" s="22" t="str">
        <f t="shared" si="198"/>
        <v/>
      </c>
    </row>
    <row r="6318" spans="1:10">
      <c r="A6318" s="1">
        <v>41002</v>
      </c>
      <c r="B6318">
        <v>32.159999999999997</v>
      </c>
      <c r="C6318">
        <v>32.19</v>
      </c>
      <c r="D6318">
        <v>31.66</v>
      </c>
      <c r="E6318">
        <v>31.94</v>
      </c>
      <c r="F6318">
        <v>42752100</v>
      </c>
      <c r="G6318">
        <v>30.35</v>
      </c>
      <c r="H6318" t="s">
        <v>6</v>
      </c>
      <c r="I6318" s="22">
        <f t="shared" si="197"/>
        <v>-1.0814458993548123E-2</v>
      </c>
      <c r="J6318" s="22" t="str">
        <f t="shared" si="198"/>
        <v>lost money</v>
      </c>
    </row>
    <row r="6319" spans="1:10">
      <c r="A6319" s="1">
        <v>41003</v>
      </c>
      <c r="B6319">
        <v>31.66</v>
      </c>
      <c r="C6319">
        <v>31.69</v>
      </c>
      <c r="D6319">
        <v>31.05</v>
      </c>
      <c r="E6319">
        <v>31.21</v>
      </c>
      <c r="F6319">
        <v>49455900</v>
      </c>
      <c r="G6319">
        <v>29.65</v>
      </c>
      <c r="H6319" t="s">
        <v>6</v>
      </c>
      <c r="I6319" s="22">
        <f t="shared" si="197"/>
        <v>-2.333439206177286E-2</v>
      </c>
      <c r="J6319" s="22" t="str">
        <f t="shared" si="198"/>
        <v>lost money</v>
      </c>
    </row>
    <row r="6320" spans="1:10">
      <c r="A6320" s="1">
        <v>41004</v>
      </c>
      <c r="B6320">
        <v>31.15</v>
      </c>
      <c r="C6320">
        <v>31.63</v>
      </c>
      <c r="D6320">
        <v>31.05</v>
      </c>
      <c r="E6320">
        <v>31.52</v>
      </c>
      <c r="F6320">
        <v>50368600</v>
      </c>
      <c r="G6320">
        <v>29.95</v>
      </c>
      <c r="H6320" t="s">
        <v>6</v>
      </c>
      <c r="I6320" s="22">
        <f t="shared" si="197"/>
        <v>1.0067199117723941E-2</v>
      </c>
      <c r="J6320" s="22" t="str">
        <f t="shared" si="198"/>
        <v/>
      </c>
    </row>
    <row r="6321" spans="1:10">
      <c r="A6321" s="1">
        <v>41008</v>
      </c>
      <c r="B6321">
        <v>31.22</v>
      </c>
      <c r="C6321">
        <v>31.4</v>
      </c>
      <c r="D6321">
        <v>30.97</v>
      </c>
      <c r="E6321">
        <v>31.1</v>
      </c>
      <c r="F6321">
        <v>31056400</v>
      </c>
      <c r="G6321">
        <v>29.55</v>
      </c>
      <c r="H6321" t="s">
        <v>6</v>
      </c>
      <c r="I6321" s="22">
        <f t="shared" si="197"/>
        <v>-1.3445580709351097E-2</v>
      </c>
      <c r="J6321" s="22" t="str">
        <f t="shared" si="198"/>
        <v>lost money</v>
      </c>
    </row>
    <row r="6322" spans="1:10">
      <c r="A6322" s="1">
        <v>41009</v>
      </c>
      <c r="B6322">
        <v>31.06</v>
      </c>
      <c r="C6322">
        <v>31.19</v>
      </c>
      <c r="D6322">
        <v>30.3</v>
      </c>
      <c r="E6322">
        <v>30.47</v>
      </c>
      <c r="F6322">
        <v>54131300</v>
      </c>
      <c r="G6322">
        <v>28.95</v>
      </c>
      <c r="H6322" t="s">
        <v>6</v>
      </c>
      <c r="I6322" s="22">
        <f t="shared" si="197"/>
        <v>-2.0513539833103018E-2</v>
      </c>
      <c r="J6322" s="22" t="str">
        <f t="shared" si="198"/>
        <v>lost money</v>
      </c>
    </row>
    <row r="6323" spans="1:10">
      <c r="A6323" s="1">
        <v>41010</v>
      </c>
      <c r="B6323">
        <v>30.43</v>
      </c>
      <c r="C6323">
        <v>30.53</v>
      </c>
      <c r="D6323">
        <v>30.23</v>
      </c>
      <c r="E6323">
        <v>30.35</v>
      </c>
      <c r="F6323">
        <v>43014000</v>
      </c>
      <c r="G6323">
        <v>28.84</v>
      </c>
      <c r="H6323" t="s">
        <v>6</v>
      </c>
      <c r="I6323" s="22">
        <f t="shared" si="197"/>
        <v>-3.8068916022558773E-3</v>
      </c>
      <c r="J6323" s="22" t="str">
        <f t="shared" si="198"/>
        <v>lost money</v>
      </c>
    </row>
    <row r="6324" spans="1:10">
      <c r="A6324" s="1">
        <v>41011</v>
      </c>
      <c r="B6324">
        <v>30.48</v>
      </c>
      <c r="C6324">
        <v>31.04</v>
      </c>
      <c r="D6324">
        <v>30.42</v>
      </c>
      <c r="E6324">
        <v>30.98</v>
      </c>
      <c r="F6324">
        <v>38304000</v>
      </c>
      <c r="G6324">
        <v>29.44</v>
      </c>
      <c r="H6324" t="s">
        <v>6</v>
      </c>
      <c r="I6324" s="22">
        <f t="shared" si="197"/>
        <v>2.0590981443927153E-2</v>
      </c>
      <c r="J6324" s="22" t="str">
        <f t="shared" si="198"/>
        <v/>
      </c>
    </row>
    <row r="6325" spans="1:10">
      <c r="A6325" s="1">
        <v>41012</v>
      </c>
      <c r="B6325">
        <v>30.89</v>
      </c>
      <c r="C6325">
        <v>31.16</v>
      </c>
      <c r="D6325">
        <v>30.72</v>
      </c>
      <c r="E6325">
        <v>30.81</v>
      </c>
      <c r="F6325">
        <v>39749200</v>
      </c>
      <c r="G6325">
        <v>29.27</v>
      </c>
      <c r="H6325" t="s">
        <v>6</v>
      </c>
      <c r="I6325" s="22">
        <f t="shared" si="197"/>
        <v>-5.7911931568810126E-3</v>
      </c>
      <c r="J6325" s="22" t="str">
        <f t="shared" si="198"/>
        <v>lost money</v>
      </c>
    </row>
    <row r="6326" spans="1:10">
      <c r="A6326" s="1">
        <v>41015</v>
      </c>
      <c r="B6326">
        <v>30.99</v>
      </c>
      <c r="C6326">
        <v>31.19</v>
      </c>
      <c r="D6326">
        <v>30.77</v>
      </c>
      <c r="E6326">
        <v>31.08</v>
      </c>
      <c r="F6326">
        <v>38124800</v>
      </c>
      <c r="G6326">
        <v>29.53</v>
      </c>
      <c r="H6326" t="s">
        <v>6</v>
      </c>
      <c r="I6326" s="22">
        <f t="shared" si="197"/>
        <v>8.8435950520368393E-3</v>
      </c>
      <c r="J6326" s="22" t="str">
        <f t="shared" si="198"/>
        <v/>
      </c>
    </row>
    <row r="6327" spans="1:10">
      <c r="A6327" s="1">
        <v>41016</v>
      </c>
      <c r="B6327">
        <v>31.27</v>
      </c>
      <c r="C6327">
        <v>31.61</v>
      </c>
      <c r="D6327">
        <v>31.2</v>
      </c>
      <c r="E6327">
        <v>31.44</v>
      </c>
      <c r="F6327">
        <v>34361500</v>
      </c>
      <c r="G6327">
        <v>29.87</v>
      </c>
      <c r="H6327" t="s">
        <v>6</v>
      </c>
      <c r="I6327" s="22">
        <f t="shared" si="197"/>
        <v>1.144793647218705E-2</v>
      </c>
      <c r="J6327" s="22" t="str">
        <f t="shared" si="198"/>
        <v/>
      </c>
    </row>
    <row r="6328" spans="1:10">
      <c r="A6328" s="1">
        <v>41017</v>
      </c>
      <c r="B6328">
        <v>31.28</v>
      </c>
      <c r="C6328">
        <v>31.31</v>
      </c>
      <c r="D6328">
        <v>31.04</v>
      </c>
      <c r="E6328">
        <v>31.14</v>
      </c>
      <c r="F6328">
        <v>40552900</v>
      </c>
      <c r="G6328">
        <v>29.59</v>
      </c>
      <c r="H6328" t="s">
        <v>6</v>
      </c>
      <c r="I6328" s="22">
        <f t="shared" si="197"/>
        <v>-9.4181658159002354E-3</v>
      </c>
      <c r="J6328" s="22" t="str">
        <f t="shared" si="198"/>
        <v>lost money</v>
      </c>
    </row>
    <row r="6329" spans="1:10">
      <c r="A6329" s="1">
        <v>41018</v>
      </c>
      <c r="B6329">
        <v>31.13</v>
      </c>
      <c r="C6329">
        <v>31.68</v>
      </c>
      <c r="D6329">
        <v>30.94</v>
      </c>
      <c r="E6329">
        <v>31.01</v>
      </c>
      <c r="F6329">
        <v>54781200</v>
      </c>
      <c r="G6329">
        <v>29.46</v>
      </c>
      <c r="H6329" t="s">
        <v>6</v>
      </c>
      <c r="I6329" s="22">
        <f t="shared" si="197"/>
        <v>-4.4030553776340242E-3</v>
      </c>
      <c r="J6329" s="22" t="str">
        <f t="shared" si="198"/>
        <v>lost money</v>
      </c>
    </row>
    <row r="6330" spans="1:10">
      <c r="A6330" s="1">
        <v>41019</v>
      </c>
      <c r="B6330">
        <v>32.15</v>
      </c>
      <c r="C6330">
        <v>32.89</v>
      </c>
      <c r="D6330">
        <v>32.049999999999997</v>
      </c>
      <c r="E6330">
        <v>32.42</v>
      </c>
      <c r="F6330">
        <v>106045000</v>
      </c>
      <c r="G6330">
        <v>30.8</v>
      </c>
      <c r="H6330" t="s">
        <v>6</v>
      </c>
      <c r="I6330" s="22">
        <f t="shared" si="197"/>
        <v>4.448127894504466E-2</v>
      </c>
      <c r="J6330" s="22" t="str">
        <f t="shared" si="198"/>
        <v/>
      </c>
    </row>
    <row r="6331" spans="1:10">
      <c r="A6331" s="1">
        <v>41022</v>
      </c>
      <c r="B6331">
        <v>32.31</v>
      </c>
      <c r="C6331">
        <v>32.5</v>
      </c>
      <c r="D6331">
        <v>32.03</v>
      </c>
      <c r="E6331">
        <v>32.119999999999997</v>
      </c>
      <c r="F6331">
        <v>61398200</v>
      </c>
      <c r="G6331">
        <v>30.52</v>
      </c>
      <c r="H6331" t="s">
        <v>6</v>
      </c>
      <c r="I6331" s="22">
        <f t="shared" si="197"/>
        <v>-9.1324835632725868E-3</v>
      </c>
      <c r="J6331" s="22" t="str">
        <f t="shared" si="198"/>
        <v>lost money</v>
      </c>
    </row>
    <row r="6332" spans="1:10">
      <c r="A6332" s="1">
        <v>41023</v>
      </c>
      <c r="B6332">
        <v>32.21</v>
      </c>
      <c r="C6332">
        <v>32.520000000000003</v>
      </c>
      <c r="D6332">
        <v>31.83</v>
      </c>
      <c r="E6332">
        <v>31.92</v>
      </c>
      <c r="F6332">
        <v>40871100</v>
      </c>
      <c r="G6332">
        <v>30.33</v>
      </c>
      <c r="H6332" t="s">
        <v>6</v>
      </c>
      <c r="I6332" s="22">
        <f t="shared" si="197"/>
        <v>-6.244884715766519E-3</v>
      </c>
      <c r="J6332" s="22" t="str">
        <f t="shared" si="198"/>
        <v>lost money</v>
      </c>
    </row>
    <row r="6333" spans="1:10">
      <c r="A6333" s="1">
        <v>41024</v>
      </c>
      <c r="B6333">
        <v>31.92</v>
      </c>
      <c r="C6333">
        <v>32.32</v>
      </c>
      <c r="D6333">
        <v>31.87</v>
      </c>
      <c r="E6333">
        <v>32.200000000000003</v>
      </c>
      <c r="F6333">
        <v>62495500</v>
      </c>
      <c r="G6333">
        <v>30.59</v>
      </c>
      <c r="H6333" t="s">
        <v>6</v>
      </c>
      <c r="I6333" s="22">
        <f t="shared" si="197"/>
        <v>8.5358364623223972E-3</v>
      </c>
      <c r="J6333" s="22" t="str">
        <f t="shared" si="198"/>
        <v/>
      </c>
    </row>
    <row r="6334" spans="1:10">
      <c r="A6334" s="1">
        <v>41025</v>
      </c>
      <c r="B6334">
        <v>32.119999999999997</v>
      </c>
      <c r="C6334">
        <v>32.229999999999997</v>
      </c>
      <c r="D6334">
        <v>31.92</v>
      </c>
      <c r="E6334">
        <v>32.11</v>
      </c>
      <c r="F6334">
        <v>40308100</v>
      </c>
      <c r="G6334">
        <v>30.51</v>
      </c>
      <c r="H6334" t="s">
        <v>6</v>
      </c>
      <c r="I6334" s="22">
        <f t="shared" si="197"/>
        <v>-2.6186594342337889E-3</v>
      </c>
      <c r="J6334" s="22" t="str">
        <f t="shared" si="198"/>
        <v>lost money</v>
      </c>
    </row>
    <row r="6335" spans="1:10">
      <c r="A6335" s="1">
        <v>41026</v>
      </c>
      <c r="B6335">
        <v>32.119999999999997</v>
      </c>
      <c r="C6335">
        <v>32.22</v>
      </c>
      <c r="D6335">
        <v>31.88</v>
      </c>
      <c r="E6335">
        <v>31.98</v>
      </c>
      <c r="F6335">
        <v>41419100</v>
      </c>
      <c r="G6335">
        <v>30.39</v>
      </c>
      <c r="H6335" t="s">
        <v>6</v>
      </c>
      <c r="I6335" s="22">
        <f t="shared" si="197"/>
        <v>-3.9408917998765896E-3</v>
      </c>
      <c r="J6335" s="22" t="str">
        <f t="shared" si="198"/>
        <v>lost money</v>
      </c>
    </row>
    <row r="6336" spans="1:10">
      <c r="A6336" s="1">
        <v>41029</v>
      </c>
      <c r="B6336">
        <v>31.98</v>
      </c>
      <c r="C6336">
        <v>32.11</v>
      </c>
      <c r="D6336">
        <v>31.92</v>
      </c>
      <c r="E6336">
        <v>32.020000000000003</v>
      </c>
      <c r="F6336">
        <v>35697200</v>
      </c>
      <c r="G6336">
        <v>30.42</v>
      </c>
      <c r="H6336" t="s">
        <v>6</v>
      </c>
      <c r="I6336" s="22">
        <f t="shared" si="197"/>
        <v>9.8667990244510635E-4</v>
      </c>
      <c r="J6336" s="22" t="str">
        <f t="shared" si="198"/>
        <v/>
      </c>
    </row>
    <row r="6337" spans="1:10">
      <c r="A6337" s="1">
        <v>41030</v>
      </c>
      <c r="B6337">
        <v>32.049999999999997</v>
      </c>
      <c r="C6337">
        <v>32.340000000000003</v>
      </c>
      <c r="D6337">
        <v>31.95</v>
      </c>
      <c r="E6337">
        <v>32.01</v>
      </c>
      <c r="F6337">
        <v>43832300</v>
      </c>
      <c r="G6337">
        <v>30.41</v>
      </c>
      <c r="H6337" t="s">
        <v>6</v>
      </c>
      <c r="I6337" s="22">
        <f t="shared" si="197"/>
        <v>-3.2878514187359399E-4</v>
      </c>
      <c r="J6337" s="22" t="str">
        <f t="shared" si="198"/>
        <v>lost money</v>
      </c>
    </row>
    <row r="6338" spans="1:10">
      <c r="A6338" s="1">
        <v>41031</v>
      </c>
      <c r="B6338">
        <v>31.85</v>
      </c>
      <c r="C6338">
        <v>31.93</v>
      </c>
      <c r="D6338">
        <v>31.64</v>
      </c>
      <c r="E6338">
        <v>31.8</v>
      </c>
      <c r="F6338">
        <v>37385300</v>
      </c>
      <c r="G6338">
        <v>30.21</v>
      </c>
      <c r="H6338" t="s">
        <v>6</v>
      </c>
      <c r="I6338" s="22">
        <f t="shared" si="197"/>
        <v>-6.5985062906926632E-3</v>
      </c>
      <c r="J6338" s="22" t="str">
        <f t="shared" si="198"/>
        <v>lost money</v>
      </c>
    </row>
    <row r="6339" spans="1:10">
      <c r="A6339" s="1">
        <v>41032</v>
      </c>
      <c r="B6339">
        <v>31.88</v>
      </c>
      <c r="C6339">
        <v>31.9</v>
      </c>
      <c r="D6339">
        <v>31.61</v>
      </c>
      <c r="E6339">
        <v>31.76</v>
      </c>
      <c r="F6339">
        <v>31501300</v>
      </c>
      <c r="G6339">
        <v>30.18</v>
      </c>
      <c r="H6339" t="s">
        <v>6</v>
      </c>
      <c r="I6339" s="22">
        <f t="shared" ref="I6339:I6402" si="199">IF(A6339=$A$2,"",LN(G6339/G6338))</f>
        <v>-9.9354205887778983E-4</v>
      </c>
      <c r="J6339" s="22" t="str">
        <f t="shared" ref="J6339:J6402" si="200">IF(B6339&gt;E6339,"lost money","")</f>
        <v>lost money</v>
      </c>
    </row>
    <row r="6340" spans="1:10">
      <c r="A6340" s="1">
        <v>41033</v>
      </c>
      <c r="B6340">
        <v>31.45</v>
      </c>
      <c r="C6340">
        <v>31.57</v>
      </c>
      <c r="D6340">
        <v>30.92</v>
      </c>
      <c r="E6340">
        <v>30.98</v>
      </c>
      <c r="F6340">
        <v>57927200</v>
      </c>
      <c r="G6340">
        <v>29.44</v>
      </c>
      <c r="H6340" t="s">
        <v>6</v>
      </c>
      <c r="I6340" s="22">
        <f t="shared" si="199"/>
        <v>-2.4825159479027331E-2</v>
      </c>
      <c r="J6340" s="22" t="str">
        <f t="shared" si="200"/>
        <v>lost money</v>
      </c>
    </row>
    <row r="6341" spans="1:10">
      <c r="A6341" s="1">
        <v>41036</v>
      </c>
      <c r="B6341">
        <v>30.7</v>
      </c>
      <c r="C6341">
        <v>30.86</v>
      </c>
      <c r="D6341">
        <v>30.57</v>
      </c>
      <c r="E6341">
        <v>30.65</v>
      </c>
      <c r="F6341">
        <v>48641400</v>
      </c>
      <c r="G6341">
        <v>29.12</v>
      </c>
      <c r="H6341" t="s">
        <v>6</v>
      </c>
      <c r="I6341" s="22">
        <f t="shared" si="199"/>
        <v>-1.0929070532190317E-2</v>
      </c>
      <c r="J6341" s="22" t="str">
        <f t="shared" si="200"/>
        <v>lost money</v>
      </c>
    </row>
    <row r="6342" spans="1:10">
      <c r="A6342" s="1">
        <v>41037</v>
      </c>
      <c r="B6342">
        <v>30.48</v>
      </c>
      <c r="C6342">
        <v>30.78</v>
      </c>
      <c r="D6342">
        <v>30.17</v>
      </c>
      <c r="E6342">
        <v>30.5</v>
      </c>
      <c r="F6342">
        <v>46328300</v>
      </c>
      <c r="G6342">
        <v>28.98</v>
      </c>
      <c r="H6342" t="s">
        <v>6</v>
      </c>
      <c r="I6342" s="22">
        <f t="shared" si="199"/>
        <v>-4.8192864359488828E-3</v>
      </c>
      <c r="J6342" s="22" t="str">
        <f t="shared" si="200"/>
        <v/>
      </c>
    </row>
    <row r="6343" spans="1:10">
      <c r="A6343" s="1">
        <v>41038</v>
      </c>
      <c r="B6343">
        <v>30.19</v>
      </c>
      <c r="C6343">
        <v>30.83</v>
      </c>
      <c r="D6343">
        <v>30.1</v>
      </c>
      <c r="E6343">
        <v>30.76</v>
      </c>
      <c r="F6343">
        <v>50309300</v>
      </c>
      <c r="G6343">
        <v>29.23</v>
      </c>
      <c r="H6343" t="s">
        <v>6</v>
      </c>
      <c r="I6343" s="22">
        <f t="shared" si="199"/>
        <v>8.5896422306181632E-3</v>
      </c>
      <c r="J6343" s="22" t="str">
        <f t="shared" si="200"/>
        <v/>
      </c>
    </row>
    <row r="6344" spans="1:10">
      <c r="A6344" s="1">
        <v>41039</v>
      </c>
      <c r="B6344">
        <v>30.86</v>
      </c>
      <c r="C6344">
        <v>31.02</v>
      </c>
      <c r="D6344">
        <v>30.45</v>
      </c>
      <c r="E6344">
        <v>30.74</v>
      </c>
      <c r="F6344">
        <v>43839200</v>
      </c>
      <c r="G6344">
        <v>29.21</v>
      </c>
      <c r="H6344" t="s">
        <v>6</v>
      </c>
      <c r="I6344" s="22">
        <f t="shared" si="199"/>
        <v>-6.8446272350492128E-4</v>
      </c>
      <c r="J6344" s="22" t="str">
        <f t="shared" si="200"/>
        <v>lost money</v>
      </c>
    </row>
    <row r="6345" spans="1:10">
      <c r="A6345" s="1">
        <v>41040</v>
      </c>
      <c r="B6345">
        <v>30.69</v>
      </c>
      <c r="C6345">
        <v>31.54</v>
      </c>
      <c r="D6345">
        <v>30.69</v>
      </c>
      <c r="E6345">
        <v>31.16</v>
      </c>
      <c r="F6345">
        <v>43459300</v>
      </c>
      <c r="G6345">
        <v>29.61</v>
      </c>
      <c r="H6345" t="s">
        <v>6</v>
      </c>
      <c r="I6345" s="22">
        <f t="shared" si="199"/>
        <v>1.3601025713850154E-2</v>
      </c>
      <c r="J6345" s="22" t="str">
        <f t="shared" si="200"/>
        <v/>
      </c>
    </row>
    <row r="6346" spans="1:10">
      <c r="A6346" s="1">
        <v>41043</v>
      </c>
      <c r="B6346">
        <v>30.82</v>
      </c>
      <c r="C6346">
        <v>31.04</v>
      </c>
      <c r="D6346">
        <v>30.64</v>
      </c>
      <c r="E6346">
        <v>30.68</v>
      </c>
      <c r="F6346">
        <v>40528900</v>
      </c>
      <c r="G6346">
        <v>29.15</v>
      </c>
      <c r="H6346" t="s">
        <v>6</v>
      </c>
      <c r="I6346" s="22">
        <f t="shared" si="199"/>
        <v>-1.5657229316998592E-2</v>
      </c>
      <c r="J6346" s="22" t="str">
        <f t="shared" si="200"/>
        <v>lost money</v>
      </c>
    </row>
    <row r="6347" spans="1:10">
      <c r="A6347" s="1">
        <v>41044</v>
      </c>
      <c r="B6347">
        <v>30.64</v>
      </c>
      <c r="C6347">
        <v>30.8</v>
      </c>
      <c r="D6347">
        <v>30.15</v>
      </c>
      <c r="E6347">
        <v>30.21</v>
      </c>
      <c r="F6347">
        <v>61822800</v>
      </c>
      <c r="G6347">
        <v>28.89</v>
      </c>
      <c r="H6347" t="s">
        <v>6</v>
      </c>
      <c r="I6347" s="22">
        <f t="shared" si="199"/>
        <v>-8.9593983183574831E-3</v>
      </c>
      <c r="J6347" s="22" t="str">
        <f t="shared" si="200"/>
        <v>lost money</v>
      </c>
    </row>
    <row r="6348" spans="1:10">
      <c r="A6348" s="1">
        <v>41045</v>
      </c>
      <c r="B6348">
        <v>30.31</v>
      </c>
      <c r="C6348">
        <v>30.32</v>
      </c>
      <c r="D6348">
        <v>29.74</v>
      </c>
      <c r="E6348">
        <v>29.9</v>
      </c>
      <c r="F6348">
        <v>60083700</v>
      </c>
      <c r="G6348">
        <v>28.6</v>
      </c>
      <c r="H6348" t="s">
        <v>6</v>
      </c>
      <c r="I6348" s="22">
        <f t="shared" si="199"/>
        <v>-1.0088796652336987E-2</v>
      </c>
      <c r="J6348" s="22" t="str">
        <f t="shared" si="200"/>
        <v>lost money</v>
      </c>
    </row>
    <row r="6349" spans="1:10">
      <c r="A6349" s="1">
        <v>41046</v>
      </c>
      <c r="B6349">
        <v>29.99</v>
      </c>
      <c r="C6349">
        <v>30.21</v>
      </c>
      <c r="D6349">
        <v>29.71</v>
      </c>
      <c r="E6349">
        <v>29.72</v>
      </c>
      <c r="F6349">
        <v>48484000</v>
      </c>
      <c r="G6349">
        <v>28.42</v>
      </c>
      <c r="H6349" t="s">
        <v>6</v>
      </c>
      <c r="I6349" s="22">
        <f t="shared" si="199"/>
        <v>-6.3135951568523245E-3</v>
      </c>
      <c r="J6349" s="22" t="str">
        <f t="shared" si="200"/>
        <v>lost money</v>
      </c>
    </row>
    <row r="6350" spans="1:10">
      <c r="A6350" s="1">
        <v>41047</v>
      </c>
      <c r="B6350">
        <v>29.79</v>
      </c>
      <c r="C6350">
        <v>29.81</v>
      </c>
      <c r="D6350">
        <v>29.17</v>
      </c>
      <c r="E6350">
        <v>29.27</v>
      </c>
      <c r="F6350">
        <v>56205300</v>
      </c>
      <c r="G6350">
        <v>27.99</v>
      </c>
      <c r="H6350" t="s">
        <v>6</v>
      </c>
      <c r="I6350" s="22">
        <f t="shared" si="199"/>
        <v>-1.5245819141592547E-2</v>
      </c>
      <c r="J6350" s="22" t="str">
        <f t="shared" si="200"/>
        <v>lost money</v>
      </c>
    </row>
    <row r="6351" spans="1:10">
      <c r="A6351" s="1">
        <v>41050</v>
      </c>
      <c r="B6351">
        <v>29.1</v>
      </c>
      <c r="C6351">
        <v>29.79</v>
      </c>
      <c r="D6351">
        <v>29.06</v>
      </c>
      <c r="E6351">
        <v>29.75</v>
      </c>
      <c r="F6351">
        <v>38787900</v>
      </c>
      <c r="G6351">
        <v>28.45</v>
      </c>
      <c r="H6351" t="s">
        <v>6</v>
      </c>
      <c r="I6351" s="22">
        <f t="shared" si="199"/>
        <v>1.6300857044977714E-2</v>
      </c>
      <c r="J6351" s="22" t="str">
        <f t="shared" si="200"/>
        <v/>
      </c>
    </row>
    <row r="6352" spans="1:10">
      <c r="A6352" s="1">
        <v>41051</v>
      </c>
      <c r="B6352">
        <v>29.69</v>
      </c>
      <c r="C6352">
        <v>29.88</v>
      </c>
      <c r="D6352">
        <v>29.5</v>
      </c>
      <c r="E6352">
        <v>29.76</v>
      </c>
      <c r="F6352">
        <v>39504900</v>
      </c>
      <c r="G6352">
        <v>28.46</v>
      </c>
      <c r="H6352" t="s">
        <v>6</v>
      </c>
      <c r="I6352" s="22">
        <f t="shared" si="199"/>
        <v>3.5143208936653581E-4</v>
      </c>
      <c r="J6352" s="22" t="str">
        <f t="shared" si="200"/>
        <v/>
      </c>
    </row>
    <row r="6353" spans="1:10">
      <c r="A6353" s="1">
        <v>41052</v>
      </c>
      <c r="B6353">
        <v>29.35</v>
      </c>
      <c r="C6353">
        <v>29.4</v>
      </c>
      <c r="D6353">
        <v>28.64</v>
      </c>
      <c r="E6353">
        <v>29.11</v>
      </c>
      <c r="F6353">
        <v>65171000</v>
      </c>
      <c r="G6353">
        <v>27.84</v>
      </c>
      <c r="H6353" t="s">
        <v>6</v>
      </c>
      <c r="I6353" s="22">
        <f t="shared" si="199"/>
        <v>-2.2025757195487401E-2</v>
      </c>
      <c r="J6353" s="22" t="str">
        <f t="shared" si="200"/>
        <v>lost money</v>
      </c>
    </row>
    <row r="6354" spans="1:10">
      <c r="A6354" s="1">
        <v>41053</v>
      </c>
      <c r="B6354">
        <v>29.16</v>
      </c>
      <c r="C6354">
        <v>29.3</v>
      </c>
      <c r="D6354">
        <v>28.76</v>
      </c>
      <c r="E6354">
        <v>29.07</v>
      </c>
      <c r="F6354">
        <v>52575000</v>
      </c>
      <c r="G6354">
        <v>27.8</v>
      </c>
      <c r="H6354" t="s">
        <v>6</v>
      </c>
      <c r="I6354" s="22">
        <f t="shared" si="199"/>
        <v>-1.4378147696274715E-3</v>
      </c>
      <c r="J6354" s="22" t="str">
        <f t="shared" si="200"/>
        <v>lost money</v>
      </c>
    </row>
    <row r="6355" spans="1:10">
      <c r="A6355" s="1">
        <v>41054</v>
      </c>
      <c r="B6355">
        <v>29.2</v>
      </c>
      <c r="C6355">
        <v>29.36</v>
      </c>
      <c r="D6355">
        <v>29.01</v>
      </c>
      <c r="E6355">
        <v>29.06</v>
      </c>
      <c r="F6355">
        <v>29507200</v>
      </c>
      <c r="G6355">
        <v>27.79</v>
      </c>
      <c r="H6355" t="s">
        <v>6</v>
      </c>
      <c r="I6355" s="22">
        <f t="shared" si="199"/>
        <v>-3.5977694217911903E-4</v>
      </c>
      <c r="J6355" s="22" t="str">
        <f t="shared" si="200"/>
        <v>lost money</v>
      </c>
    </row>
    <row r="6356" spans="1:10">
      <c r="A6356" s="1">
        <v>41058</v>
      </c>
      <c r="B6356">
        <v>29.38</v>
      </c>
      <c r="C6356">
        <v>29.72</v>
      </c>
      <c r="D6356">
        <v>29.22</v>
      </c>
      <c r="E6356">
        <v>29.56</v>
      </c>
      <c r="F6356">
        <v>37758800</v>
      </c>
      <c r="G6356">
        <v>28.27</v>
      </c>
      <c r="H6356" t="s">
        <v>6</v>
      </c>
      <c r="I6356" s="22">
        <f t="shared" si="199"/>
        <v>1.7124927951086562E-2</v>
      </c>
      <c r="J6356" s="22" t="str">
        <f t="shared" si="200"/>
        <v/>
      </c>
    </row>
    <row r="6357" spans="1:10">
      <c r="A6357" s="1">
        <v>41059</v>
      </c>
      <c r="B6357">
        <v>29.35</v>
      </c>
      <c r="C6357">
        <v>29.48</v>
      </c>
      <c r="D6357">
        <v>29.12</v>
      </c>
      <c r="E6357">
        <v>29.34</v>
      </c>
      <c r="F6357">
        <v>41585500</v>
      </c>
      <c r="G6357">
        <v>28.06</v>
      </c>
      <c r="H6357" t="s">
        <v>6</v>
      </c>
      <c r="I6357" s="22">
        <f t="shared" si="199"/>
        <v>-7.4560970311841179E-3</v>
      </c>
      <c r="J6357" s="22" t="str">
        <f t="shared" si="200"/>
        <v>lost money</v>
      </c>
    </row>
    <row r="6358" spans="1:10">
      <c r="A6358" s="1">
        <v>41060</v>
      </c>
      <c r="B6358">
        <v>29.3</v>
      </c>
      <c r="C6358">
        <v>29.42</v>
      </c>
      <c r="D6358">
        <v>28.94</v>
      </c>
      <c r="E6358">
        <v>29.19</v>
      </c>
      <c r="F6358">
        <v>39134000</v>
      </c>
      <c r="G6358">
        <v>27.92</v>
      </c>
      <c r="H6358" t="s">
        <v>6</v>
      </c>
      <c r="I6358" s="22">
        <f t="shared" si="199"/>
        <v>-5.0017967801430077E-3</v>
      </c>
      <c r="J6358" s="22" t="str">
        <f t="shared" si="200"/>
        <v>lost money</v>
      </c>
    </row>
    <row r="6359" spans="1:10">
      <c r="A6359" s="1">
        <v>41061</v>
      </c>
      <c r="B6359">
        <v>28.76</v>
      </c>
      <c r="C6359">
        <v>28.96</v>
      </c>
      <c r="D6359">
        <v>28.44</v>
      </c>
      <c r="E6359">
        <v>28.45</v>
      </c>
      <c r="F6359">
        <v>56634300</v>
      </c>
      <c r="G6359">
        <v>27.21</v>
      </c>
      <c r="H6359" t="s">
        <v>6</v>
      </c>
      <c r="I6359" s="22">
        <f t="shared" si="199"/>
        <v>-2.5758725099016829E-2</v>
      </c>
      <c r="J6359" s="22" t="str">
        <f t="shared" si="200"/>
        <v>lost money</v>
      </c>
    </row>
    <row r="6360" spans="1:10">
      <c r="A6360" s="1">
        <v>41064</v>
      </c>
      <c r="B6360">
        <v>28.62</v>
      </c>
      <c r="C6360">
        <v>28.78</v>
      </c>
      <c r="D6360">
        <v>28.32</v>
      </c>
      <c r="E6360">
        <v>28.55</v>
      </c>
      <c r="F6360">
        <v>47926300</v>
      </c>
      <c r="G6360">
        <v>27.3</v>
      </c>
      <c r="H6360" t="s">
        <v>6</v>
      </c>
      <c r="I6360" s="22">
        <f t="shared" si="199"/>
        <v>3.3021493957590318E-3</v>
      </c>
      <c r="J6360" s="22" t="str">
        <f t="shared" si="200"/>
        <v>lost money</v>
      </c>
    </row>
    <row r="6361" spans="1:10">
      <c r="A6361" s="1">
        <v>41065</v>
      </c>
      <c r="B6361">
        <v>28.51</v>
      </c>
      <c r="C6361">
        <v>28.75</v>
      </c>
      <c r="D6361">
        <v>28.39</v>
      </c>
      <c r="E6361">
        <v>28.51</v>
      </c>
      <c r="F6361">
        <v>45715400</v>
      </c>
      <c r="G6361">
        <v>27.27</v>
      </c>
      <c r="H6361" t="s">
        <v>6</v>
      </c>
      <c r="I6361" s="22">
        <f t="shared" si="199"/>
        <v>-1.0995053334168876E-3</v>
      </c>
      <c r="J6361" s="22" t="str">
        <f t="shared" si="200"/>
        <v/>
      </c>
    </row>
    <row r="6362" spans="1:10">
      <c r="A6362" s="1">
        <v>41066</v>
      </c>
      <c r="B6362">
        <v>28.88</v>
      </c>
      <c r="C6362">
        <v>29.37</v>
      </c>
      <c r="D6362">
        <v>28.81</v>
      </c>
      <c r="E6362">
        <v>29.35</v>
      </c>
      <c r="F6362">
        <v>46860500</v>
      </c>
      <c r="G6362">
        <v>28.07</v>
      </c>
      <c r="H6362" t="s">
        <v>6</v>
      </c>
      <c r="I6362" s="22">
        <f t="shared" si="199"/>
        <v>2.8914193516294071E-2</v>
      </c>
      <c r="J6362" s="22" t="str">
        <f t="shared" si="200"/>
        <v/>
      </c>
    </row>
    <row r="6363" spans="1:10">
      <c r="A6363" s="1">
        <v>41067</v>
      </c>
      <c r="B6363">
        <v>29.64</v>
      </c>
      <c r="C6363">
        <v>29.7</v>
      </c>
      <c r="D6363">
        <v>29.17</v>
      </c>
      <c r="E6363">
        <v>29.23</v>
      </c>
      <c r="F6363">
        <v>37792800</v>
      </c>
      <c r="G6363">
        <v>27.96</v>
      </c>
      <c r="H6363" t="s">
        <v>6</v>
      </c>
      <c r="I6363" s="22">
        <f t="shared" si="199"/>
        <v>-3.9264730081816088E-3</v>
      </c>
      <c r="J6363" s="22" t="str">
        <f t="shared" si="200"/>
        <v>lost money</v>
      </c>
    </row>
    <row r="6364" spans="1:10">
      <c r="A6364" s="1">
        <v>41068</v>
      </c>
      <c r="B6364">
        <v>29.21</v>
      </c>
      <c r="C6364">
        <v>29.68</v>
      </c>
      <c r="D6364">
        <v>29.05</v>
      </c>
      <c r="E6364">
        <v>29.65</v>
      </c>
      <c r="F6364">
        <v>42551100</v>
      </c>
      <c r="G6364">
        <v>28.36</v>
      </c>
      <c r="H6364" t="s">
        <v>6</v>
      </c>
      <c r="I6364" s="22">
        <f t="shared" si="199"/>
        <v>1.4204784298317235E-2</v>
      </c>
      <c r="J6364" s="22" t="str">
        <f t="shared" si="200"/>
        <v/>
      </c>
    </row>
    <row r="6365" spans="1:10">
      <c r="A6365" s="1">
        <v>41071</v>
      </c>
      <c r="B6365">
        <v>29.73</v>
      </c>
      <c r="C6365">
        <v>29.81</v>
      </c>
      <c r="D6365">
        <v>28.82</v>
      </c>
      <c r="E6365">
        <v>28.9</v>
      </c>
      <c r="F6365">
        <v>46361900</v>
      </c>
      <c r="G6365">
        <v>27.64</v>
      </c>
      <c r="H6365" t="s">
        <v>6</v>
      </c>
      <c r="I6365" s="22">
        <f t="shared" si="199"/>
        <v>-2.5715702764457563E-2</v>
      </c>
      <c r="J6365" s="22" t="str">
        <f t="shared" si="200"/>
        <v>lost money</v>
      </c>
    </row>
    <row r="6366" spans="1:10">
      <c r="A6366" s="1">
        <v>41072</v>
      </c>
      <c r="B6366">
        <v>29.1</v>
      </c>
      <c r="C6366">
        <v>29.3</v>
      </c>
      <c r="D6366">
        <v>28.84</v>
      </c>
      <c r="E6366">
        <v>29.29</v>
      </c>
      <c r="F6366">
        <v>35337900</v>
      </c>
      <c r="G6366">
        <v>28.01</v>
      </c>
      <c r="H6366" t="s">
        <v>6</v>
      </c>
      <c r="I6366" s="22">
        <f t="shared" si="199"/>
        <v>1.3297590372548084E-2</v>
      </c>
      <c r="J6366" s="22" t="str">
        <f t="shared" si="200"/>
        <v/>
      </c>
    </row>
    <row r="6367" spans="1:10">
      <c r="A6367" s="1">
        <v>41073</v>
      </c>
      <c r="B6367">
        <v>29.22</v>
      </c>
      <c r="C6367">
        <v>29.44</v>
      </c>
      <c r="D6367">
        <v>29.05</v>
      </c>
      <c r="E6367">
        <v>29.13</v>
      </c>
      <c r="F6367">
        <v>32984600</v>
      </c>
      <c r="G6367">
        <v>27.86</v>
      </c>
      <c r="H6367" t="s">
        <v>6</v>
      </c>
      <c r="I6367" s="22">
        <f t="shared" si="199"/>
        <v>-5.3696209203576168E-3</v>
      </c>
      <c r="J6367" s="22" t="str">
        <f t="shared" si="200"/>
        <v>lost money</v>
      </c>
    </row>
    <row r="6368" spans="1:10">
      <c r="A6368" s="1">
        <v>41074</v>
      </c>
      <c r="B6368">
        <v>29.33</v>
      </c>
      <c r="C6368">
        <v>29.46</v>
      </c>
      <c r="D6368">
        <v>28.88</v>
      </c>
      <c r="E6368">
        <v>29.34</v>
      </c>
      <c r="F6368">
        <v>39458900</v>
      </c>
      <c r="G6368">
        <v>28.06</v>
      </c>
      <c r="H6368" t="s">
        <v>6</v>
      </c>
      <c r="I6368" s="22">
        <f t="shared" si="199"/>
        <v>7.1531063226551441E-3</v>
      </c>
      <c r="J6368" s="22" t="str">
        <f t="shared" si="200"/>
        <v/>
      </c>
    </row>
    <row r="6369" spans="1:10">
      <c r="A6369" s="1">
        <v>41075</v>
      </c>
      <c r="B6369">
        <v>29.59</v>
      </c>
      <c r="C6369">
        <v>30.08</v>
      </c>
      <c r="D6369">
        <v>29.49</v>
      </c>
      <c r="E6369">
        <v>30.02</v>
      </c>
      <c r="F6369">
        <v>62314400</v>
      </c>
      <c r="G6369">
        <v>28.71</v>
      </c>
      <c r="H6369" t="s">
        <v>6</v>
      </c>
      <c r="I6369" s="22">
        <f t="shared" si="199"/>
        <v>2.2900419458657818E-2</v>
      </c>
      <c r="J6369" s="22" t="str">
        <f t="shared" si="200"/>
        <v/>
      </c>
    </row>
    <row r="6370" spans="1:10">
      <c r="A6370" s="1">
        <v>41078</v>
      </c>
      <c r="B6370">
        <v>29.99</v>
      </c>
      <c r="C6370">
        <v>30.03</v>
      </c>
      <c r="D6370">
        <v>29.71</v>
      </c>
      <c r="E6370">
        <v>29.84</v>
      </c>
      <c r="F6370">
        <v>58679900</v>
      </c>
      <c r="G6370">
        <v>28.54</v>
      </c>
      <c r="H6370" t="s">
        <v>6</v>
      </c>
      <c r="I6370" s="22">
        <f t="shared" si="199"/>
        <v>-5.9388820842823081E-3</v>
      </c>
      <c r="J6370" s="22" t="str">
        <f t="shared" si="200"/>
        <v>lost money</v>
      </c>
    </row>
    <row r="6371" spans="1:10">
      <c r="A6371" s="1">
        <v>41079</v>
      </c>
      <c r="B6371">
        <v>30.19</v>
      </c>
      <c r="C6371">
        <v>31.11</v>
      </c>
      <c r="D6371">
        <v>30.05</v>
      </c>
      <c r="E6371">
        <v>30.7</v>
      </c>
      <c r="F6371">
        <v>75725800</v>
      </c>
      <c r="G6371">
        <v>29.36</v>
      </c>
      <c r="H6371" t="s">
        <v>6</v>
      </c>
      <c r="I6371" s="22">
        <f t="shared" si="199"/>
        <v>2.8326591697624432E-2</v>
      </c>
      <c r="J6371" s="22" t="str">
        <f t="shared" si="200"/>
        <v/>
      </c>
    </row>
    <row r="6372" spans="1:10">
      <c r="A6372" s="1">
        <v>41080</v>
      </c>
      <c r="B6372">
        <v>30.93</v>
      </c>
      <c r="C6372">
        <v>31.05</v>
      </c>
      <c r="D6372">
        <v>30.64</v>
      </c>
      <c r="E6372">
        <v>30.93</v>
      </c>
      <c r="F6372">
        <v>36257100</v>
      </c>
      <c r="G6372">
        <v>29.58</v>
      </c>
      <c r="H6372" t="s">
        <v>6</v>
      </c>
      <c r="I6372" s="22">
        <f t="shared" si="199"/>
        <v>7.4652535363387701E-3</v>
      </c>
      <c r="J6372" s="22" t="str">
        <f t="shared" si="200"/>
        <v/>
      </c>
    </row>
    <row r="6373" spans="1:10">
      <c r="A6373" s="1">
        <v>41081</v>
      </c>
      <c r="B6373">
        <v>30.96</v>
      </c>
      <c r="C6373">
        <v>31.14</v>
      </c>
      <c r="D6373">
        <v>30.06</v>
      </c>
      <c r="E6373">
        <v>30.14</v>
      </c>
      <c r="F6373">
        <v>48456600</v>
      </c>
      <c r="G6373">
        <v>28.83</v>
      </c>
      <c r="H6373" t="s">
        <v>6</v>
      </c>
      <c r="I6373" s="22">
        <f t="shared" si="199"/>
        <v>-2.5681945632342905E-2</v>
      </c>
      <c r="J6373" s="22" t="str">
        <f t="shared" si="200"/>
        <v>lost money</v>
      </c>
    </row>
    <row r="6374" spans="1:10">
      <c r="A6374" s="1">
        <v>41082</v>
      </c>
      <c r="B6374">
        <v>30.3</v>
      </c>
      <c r="C6374">
        <v>30.73</v>
      </c>
      <c r="D6374">
        <v>30.03</v>
      </c>
      <c r="E6374">
        <v>30.7</v>
      </c>
      <c r="F6374">
        <v>45098100</v>
      </c>
      <c r="G6374">
        <v>29.36</v>
      </c>
      <c r="H6374" t="s">
        <v>6</v>
      </c>
      <c r="I6374" s="22">
        <f t="shared" si="199"/>
        <v>1.8216692096003972E-2</v>
      </c>
      <c r="J6374" s="22" t="str">
        <f t="shared" si="200"/>
        <v/>
      </c>
    </row>
    <row r="6375" spans="1:10">
      <c r="A6375" s="1">
        <v>41085</v>
      </c>
      <c r="B6375">
        <v>30.3</v>
      </c>
      <c r="C6375">
        <v>30.32</v>
      </c>
      <c r="D6375">
        <v>29.62</v>
      </c>
      <c r="E6375">
        <v>29.87</v>
      </c>
      <c r="F6375">
        <v>42217200</v>
      </c>
      <c r="G6375">
        <v>28.57</v>
      </c>
      <c r="H6375" t="s">
        <v>6</v>
      </c>
      <c r="I6375" s="22">
        <f t="shared" si="199"/>
        <v>-2.7275987503633123E-2</v>
      </c>
      <c r="J6375" s="22" t="str">
        <f t="shared" si="200"/>
        <v>lost money</v>
      </c>
    </row>
    <row r="6376" spans="1:10">
      <c r="A6376" s="1">
        <v>41086</v>
      </c>
      <c r="B6376">
        <v>30</v>
      </c>
      <c r="C6376">
        <v>30.27</v>
      </c>
      <c r="D6376">
        <v>29.94</v>
      </c>
      <c r="E6376">
        <v>30.02</v>
      </c>
      <c r="F6376">
        <v>38421300</v>
      </c>
      <c r="G6376">
        <v>28.71</v>
      </c>
      <c r="H6376" t="s">
        <v>6</v>
      </c>
      <c r="I6376" s="22">
        <f t="shared" si="199"/>
        <v>4.8882778902908843E-3</v>
      </c>
      <c r="J6376" s="22" t="str">
        <f t="shared" si="200"/>
        <v/>
      </c>
    </row>
    <row r="6377" spans="1:10">
      <c r="A6377" s="1">
        <v>41087</v>
      </c>
      <c r="B6377">
        <v>30.19</v>
      </c>
      <c r="C6377">
        <v>30.5</v>
      </c>
      <c r="D6377">
        <v>30.03</v>
      </c>
      <c r="E6377">
        <v>30.17</v>
      </c>
      <c r="F6377">
        <v>33781700</v>
      </c>
      <c r="G6377">
        <v>28.85</v>
      </c>
      <c r="H6377" t="s">
        <v>6</v>
      </c>
      <c r="I6377" s="22">
        <f t="shared" si="199"/>
        <v>4.8644988211359831E-3</v>
      </c>
      <c r="J6377" s="22" t="str">
        <f t="shared" si="200"/>
        <v>lost money</v>
      </c>
    </row>
    <row r="6378" spans="1:10">
      <c r="A6378" s="1">
        <v>41088</v>
      </c>
      <c r="B6378">
        <v>29.98</v>
      </c>
      <c r="C6378">
        <v>30.05</v>
      </c>
      <c r="D6378">
        <v>29.42</v>
      </c>
      <c r="E6378">
        <v>29.91</v>
      </c>
      <c r="F6378">
        <v>45328400</v>
      </c>
      <c r="G6378">
        <v>28.61</v>
      </c>
      <c r="H6378" t="s">
        <v>6</v>
      </c>
      <c r="I6378" s="22">
        <f t="shared" si="199"/>
        <v>-8.3536858920897853E-3</v>
      </c>
      <c r="J6378" s="22" t="str">
        <f t="shared" si="200"/>
        <v>lost money</v>
      </c>
    </row>
    <row r="6379" spans="1:10">
      <c r="A6379" s="1">
        <v>41089</v>
      </c>
      <c r="B6379">
        <v>30.45</v>
      </c>
      <c r="C6379">
        <v>30.69</v>
      </c>
      <c r="D6379">
        <v>30.14</v>
      </c>
      <c r="E6379">
        <v>30.59</v>
      </c>
      <c r="F6379">
        <v>55227200</v>
      </c>
      <c r="G6379">
        <v>29.26</v>
      </c>
      <c r="H6379" t="s">
        <v>6</v>
      </c>
      <c r="I6379" s="22">
        <f t="shared" si="199"/>
        <v>2.246508852995948E-2</v>
      </c>
      <c r="J6379" s="22" t="str">
        <f t="shared" si="200"/>
        <v/>
      </c>
    </row>
    <row r="6380" spans="1:10">
      <c r="A6380" s="1">
        <v>41092</v>
      </c>
      <c r="B6380">
        <v>30.62</v>
      </c>
      <c r="C6380">
        <v>30.62</v>
      </c>
      <c r="D6380">
        <v>30.21</v>
      </c>
      <c r="E6380">
        <v>30.56</v>
      </c>
      <c r="F6380">
        <v>30589100</v>
      </c>
      <c r="G6380">
        <v>29.23</v>
      </c>
      <c r="H6380" t="s">
        <v>6</v>
      </c>
      <c r="I6380" s="22">
        <f t="shared" si="199"/>
        <v>-1.0258164688236775E-3</v>
      </c>
      <c r="J6380" s="22" t="str">
        <f t="shared" si="200"/>
        <v>lost money</v>
      </c>
    </row>
    <row r="6381" spans="1:10">
      <c r="A6381" s="1">
        <v>41093</v>
      </c>
      <c r="B6381">
        <v>30.23</v>
      </c>
      <c r="C6381">
        <v>30.76</v>
      </c>
      <c r="D6381">
        <v>30.17</v>
      </c>
      <c r="E6381">
        <v>30.76</v>
      </c>
      <c r="F6381">
        <v>20938100</v>
      </c>
      <c r="G6381">
        <v>29.42</v>
      </c>
      <c r="H6381" t="s">
        <v>6</v>
      </c>
      <c r="I6381" s="22">
        <f t="shared" si="199"/>
        <v>6.4791360501368815E-3</v>
      </c>
      <c r="J6381" s="22" t="str">
        <f t="shared" si="200"/>
        <v/>
      </c>
    </row>
    <row r="6382" spans="1:10">
      <c r="A6382" s="1">
        <v>41095</v>
      </c>
      <c r="B6382">
        <v>30.59</v>
      </c>
      <c r="C6382">
        <v>30.78</v>
      </c>
      <c r="D6382">
        <v>30.38</v>
      </c>
      <c r="E6382">
        <v>30.7</v>
      </c>
      <c r="F6382">
        <v>28801900</v>
      </c>
      <c r="G6382">
        <v>29.36</v>
      </c>
      <c r="H6382" t="s">
        <v>6</v>
      </c>
      <c r="I6382" s="22">
        <f t="shared" si="199"/>
        <v>-2.0415114269766847E-3</v>
      </c>
      <c r="J6382" s="22" t="str">
        <f t="shared" si="200"/>
        <v/>
      </c>
    </row>
    <row r="6383" spans="1:10">
      <c r="A6383" s="1">
        <v>41096</v>
      </c>
      <c r="B6383">
        <v>30.61</v>
      </c>
      <c r="C6383">
        <v>30.7</v>
      </c>
      <c r="D6383">
        <v>29.95</v>
      </c>
      <c r="E6383">
        <v>30.19</v>
      </c>
      <c r="F6383">
        <v>38294800</v>
      </c>
      <c r="G6383">
        <v>28.87</v>
      </c>
      <c r="H6383" t="s">
        <v>6</v>
      </c>
      <c r="I6383" s="22">
        <f t="shared" si="199"/>
        <v>-1.6830210071471088E-2</v>
      </c>
      <c r="J6383" s="22" t="str">
        <f t="shared" si="200"/>
        <v>lost money</v>
      </c>
    </row>
    <row r="6384" spans="1:10">
      <c r="A6384" s="1">
        <v>41099</v>
      </c>
      <c r="B6384">
        <v>30.12</v>
      </c>
      <c r="C6384">
        <v>30.23</v>
      </c>
      <c r="D6384">
        <v>29.78</v>
      </c>
      <c r="E6384">
        <v>30</v>
      </c>
      <c r="F6384">
        <v>30680800</v>
      </c>
      <c r="G6384">
        <v>28.69</v>
      </c>
      <c r="H6384" t="s">
        <v>6</v>
      </c>
      <c r="I6384" s="22">
        <f t="shared" si="199"/>
        <v>-6.2543636815702627E-3</v>
      </c>
      <c r="J6384" s="22" t="str">
        <f t="shared" si="200"/>
        <v>lost money</v>
      </c>
    </row>
    <row r="6385" spans="1:10">
      <c r="A6385" s="1">
        <v>41100</v>
      </c>
      <c r="B6385">
        <v>30.08</v>
      </c>
      <c r="C6385">
        <v>30.22</v>
      </c>
      <c r="D6385">
        <v>29.51</v>
      </c>
      <c r="E6385">
        <v>29.74</v>
      </c>
      <c r="F6385">
        <v>37534100</v>
      </c>
      <c r="G6385">
        <v>28.44</v>
      </c>
      <c r="H6385" t="s">
        <v>6</v>
      </c>
      <c r="I6385" s="22">
        <f t="shared" si="199"/>
        <v>-8.7520250582333019E-3</v>
      </c>
      <c r="J6385" s="22" t="str">
        <f t="shared" si="200"/>
        <v>lost money</v>
      </c>
    </row>
    <row r="6386" spans="1:10">
      <c r="A6386" s="1">
        <v>41101</v>
      </c>
      <c r="B6386">
        <v>29.71</v>
      </c>
      <c r="C6386">
        <v>29.74</v>
      </c>
      <c r="D6386">
        <v>29.11</v>
      </c>
      <c r="E6386">
        <v>29.3</v>
      </c>
      <c r="F6386">
        <v>39184900</v>
      </c>
      <c r="G6386">
        <v>28.02</v>
      </c>
      <c r="H6386" t="s">
        <v>6</v>
      </c>
      <c r="I6386" s="22">
        <f t="shared" si="199"/>
        <v>-1.4878064026179225E-2</v>
      </c>
      <c r="J6386" s="22" t="str">
        <f t="shared" si="200"/>
        <v>lost money</v>
      </c>
    </row>
    <row r="6387" spans="1:10">
      <c r="A6387" s="1">
        <v>41102</v>
      </c>
      <c r="B6387">
        <v>29.15</v>
      </c>
      <c r="C6387">
        <v>29.18</v>
      </c>
      <c r="D6387">
        <v>28.54</v>
      </c>
      <c r="E6387">
        <v>28.63</v>
      </c>
      <c r="F6387">
        <v>63523600</v>
      </c>
      <c r="G6387">
        <v>27.38</v>
      </c>
      <c r="H6387" t="s">
        <v>6</v>
      </c>
      <c r="I6387" s="22">
        <f t="shared" si="199"/>
        <v>-2.3105721048558139E-2</v>
      </c>
      <c r="J6387" s="22" t="str">
        <f t="shared" si="200"/>
        <v>lost money</v>
      </c>
    </row>
    <row r="6388" spans="1:10">
      <c r="A6388" s="1">
        <v>41103</v>
      </c>
      <c r="B6388">
        <v>28.76</v>
      </c>
      <c r="C6388">
        <v>29.48</v>
      </c>
      <c r="D6388">
        <v>28.72</v>
      </c>
      <c r="E6388">
        <v>29.39</v>
      </c>
      <c r="F6388">
        <v>39085000</v>
      </c>
      <c r="G6388">
        <v>28.11</v>
      </c>
      <c r="H6388" t="s">
        <v>6</v>
      </c>
      <c r="I6388" s="22">
        <f t="shared" si="199"/>
        <v>2.6312565058137748E-2</v>
      </c>
      <c r="J6388" s="22" t="str">
        <f t="shared" si="200"/>
        <v/>
      </c>
    </row>
    <row r="6389" spans="1:10">
      <c r="A6389" s="1">
        <v>41106</v>
      </c>
      <c r="B6389">
        <v>29.48</v>
      </c>
      <c r="C6389">
        <v>29.53</v>
      </c>
      <c r="D6389">
        <v>29.04</v>
      </c>
      <c r="E6389">
        <v>29.44</v>
      </c>
      <c r="F6389">
        <v>27900600</v>
      </c>
      <c r="G6389">
        <v>28.16</v>
      </c>
      <c r="H6389" t="s">
        <v>6</v>
      </c>
      <c r="I6389" s="22">
        <f t="shared" si="199"/>
        <v>1.7771463714010736E-3</v>
      </c>
      <c r="J6389" s="22" t="str">
        <f t="shared" si="200"/>
        <v>lost money</v>
      </c>
    </row>
    <row r="6390" spans="1:10">
      <c r="A6390" s="1">
        <v>41107</v>
      </c>
      <c r="B6390">
        <v>29.64</v>
      </c>
      <c r="C6390">
        <v>29.86</v>
      </c>
      <c r="D6390">
        <v>29.2</v>
      </c>
      <c r="E6390">
        <v>29.66</v>
      </c>
      <c r="F6390">
        <v>33771300</v>
      </c>
      <c r="G6390">
        <v>28.37</v>
      </c>
      <c r="H6390" t="s">
        <v>6</v>
      </c>
      <c r="I6390" s="22">
        <f t="shared" si="199"/>
        <v>7.4297175309184296E-3</v>
      </c>
      <c r="J6390" s="22" t="str">
        <f t="shared" si="200"/>
        <v/>
      </c>
    </row>
    <row r="6391" spans="1:10">
      <c r="A6391" s="1">
        <v>41108</v>
      </c>
      <c r="B6391">
        <v>29.6</v>
      </c>
      <c r="C6391">
        <v>30.45</v>
      </c>
      <c r="D6391">
        <v>29.46</v>
      </c>
      <c r="E6391">
        <v>30.45</v>
      </c>
      <c r="F6391">
        <v>41090400</v>
      </c>
      <c r="G6391">
        <v>29.12</v>
      </c>
      <c r="H6391" t="s">
        <v>6</v>
      </c>
      <c r="I6391" s="22">
        <f t="shared" si="199"/>
        <v>2.6092974507725297E-2</v>
      </c>
      <c r="J6391" s="22" t="str">
        <f t="shared" si="200"/>
        <v/>
      </c>
    </row>
    <row r="6392" spans="1:10">
      <c r="A6392" s="1">
        <v>41109</v>
      </c>
      <c r="B6392">
        <v>30.51</v>
      </c>
      <c r="C6392">
        <v>30.8</v>
      </c>
      <c r="D6392">
        <v>30.38</v>
      </c>
      <c r="E6392">
        <v>30.67</v>
      </c>
      <c r="F6392">
        <v>46663200</v>
      </c>
      <c r="G6392">
        <v>29.33</v>
      </c>
      <c r="H6392" t="s">
        <v>6</v>
      </c>
      <c r="I6392" s="22">
        <f t="shared" si="199"/>
        <v>7.1856596608743124E-3</v>
      </c>
      <c r="J6392" s="22" t="str">
        <f t="shared" si="200"/>
        <v/>
      </c>
    </row>
    <row r="6393" spans="1:10">
      <c r="A6393" s="1">
        <v>41110</v>
      </c>
      <c r="B6393">
        <v>31</v>
      </c>
      <c r="C6393">
        <v>31.05</v>
      </c>
      <c r="D6393">
        <v>30.05</v>
      </c>
      <c r="E6393">
        <v>30.12</v>
      </c>
      <c r="F6393">
        <v>64021700</v>
      </c>
      <c r="G6393">
        <v>28.81</v>
      </c>
      <c r="H6393" t="s">
        <v>6</v>
      </c>
      <c r="I6393" s="22">
        <f t="shared" si="199"/>
        <v>-1.7888333892922572E-2</v>
      </c>
      <c r="J6393" s="22" t="str">
        <f t="shared" si="200"/>
        <v>lost money</v>
      </c>
    </row>
    <row r="6394" spans="1:10">
      <c r="A6394" s="1">
        <v>41113</v>
      </c>
      <c r="B6394">
        <v>29.57</v>
      </c>
      <c r="C6394">
        <v>29.58</v>
      </c>
      <c r="D6394">
        <v>29.01</v>
      </c>
      <c r="E6394">
        <v>29.28</v>
      </c>
      <c r="F6394">
        <v>55151900</v>
      </c>
      <c r="G6394">
        <v>28</v>
      </c>
      <c r="H6394" t="s">
        <v>6</v>
      </c>
      <c r="I6394" s="22">
        <f t="shared" si="199"/>
        <v>-2.8518038921233099E-2</v>
      </c>
      <c r="J6394" s="22" t="str">
        <f t="shared" si="200"/>
        <v>lost money</v>
      </c>
    </row>
    <row r="6395" spans="1:10">
      <c r="A6395" s="1">
        <v>41114</v>
      </c>
      <c r="B6395">
        <v>29.24</v>
      </c>
      <c r="C6395">
        <v>29.36</v>
      </c>
      <c r="D6395">
        <v>28.9</v>
      </c>
      <c r="E6395">
        <v>29.15</v>
      </c>
      <c r="F6395">
        <v>47723300</v>
      </c>
      <c r="G6395">
        <v>27.88</v>
      </c>
      <c r="H6395" t="s">
        <v>6</v>
      </c>
      <c r="I6395" s="22">
        <f t="shared" si="199"/>
        <v>-4.2949242828808406E-3</v>
      </c>
      <c r="J6395" s="22" t="str">
        <f t="shared" si="200"/>
        <v>lost money</v>
      </c>
    </row>
    <row r="6396" spans="1:10">
      <c r="A6396" s="1">
        <v>41115</v>
      </c>
      <c r="B6396">
        <v>29.24</v>
      </c>
      <c r="C6396">
        <v>29.33</v>
      </c>
      <c r="D6396">
        <v>28.78</v>
      </c>
      <c r="E6396">
        <v>28.83</v>
      </c>
      <c r="F6396">
        <v>45579500</v>
      </c>
      <c r="G6396">
        <v>27.57</v>
      </c>
      <c r="H6396" t="s">
        <v>6</v>
      </c>
      <c r="I6396" s="22">
        <f t="shared" si="199"/>
        <v>-1.1181360856617752E-2</v>
      </c>
      <c r="J6396" s="22" t="str">
        <f t="shared" si="200"/>
        <v>lost money</v>
      </c>
    </row>
    <row r="6397" spans="1:10">
      <c r="A6397" s="1">
        <v>41116</v>
      </c>
      <c r="B6397">
        <v>29.23</v>
      </c>
      <c r="C6397">
        <v>29.5</v>
      </c>
      <c r="D6397">
        <v>29.09</v>
      </c>
      <c r="E6397">
        <v>29.16</v>
      </c>
      <c r="F6397">
        <v>45301400</v>
      </c>
      <c r="G6397">
        <v>27.89</v>
      </c>
      <c r="H6397" t="s">
        <v>6</v>
      </c>
      <c r="I6397" s="22">
        <f t="shared" si="199"/>
        <v>1.1539976603692314E-2</v>
      </c>
      <c r="J6397" s="22" t="str">
        <f t="shared" si="200"/>
        <v>lost money</v>
      </c>
    </row>
    <row r="6398" spans="1:10">
      <c r="A6398" s="1">
        <v>41117</v>
      </c>
      <c r="B6398">
        <v>29.48</v>
      </c>
      <c r="C6398">
        <v>29.85</v>
      </c>
      <c r="D6398">
        <v>29.18</v>
      </c>
      <c r="E6398">
        <v>29.76</v>
      </c>
      <c r="F6398">
        <v>44242600</v>
      </c>
      <c r="G6398">
        <v>28.46</v>
      </c>
      <c r="H6398" t="s">
        <v>6</v>
      </c>
      <c r="I6398" s="22">
        <f t="shared" si="199"/>
        <v>2.0231391022308812E-2</v>
      </c>
      <c r="J6398" s="22" t="str">
        <f t="shared" si="200"/>
        <v/>
      </c>
    </row>
    <row r="6399" spans="1:10">
      <c r="A6399" s="1">
        <v>41120</v>
      </c>
      <c r="B6399">
        <v>29.75</v>
      </c>
      <c r="C6399">
        <v>29.82</v>
      </c>
      <c r="D6399">
        <v>29.46</v>
      </c>
      <c r="E6399">
        <v>29.64</v>
      </c>
      <c r="F6399">
        <v>28905000</v>
      </c>
      <c r="G6399">
        <v>28.35</v>
      </c>
      <c r="H6399" t="s">
        <v>6</v>
      </c>
      <c r="I6399" s="22">
        <f t="shared" si="199"/>
        <v>-3.8725624879452653E-3</v>
      </c>
      <c r="J6399" s="22" t="str">
        <f t="shared" si="200"/>
        <v>lost money</v>
      </c>
    </row>
    <row r="6400" spans="1:10">
      <c r="A6400" s="1">
        <v>41121</v>
      </c>
      <c r="B6400">
        <v>29.48</v>
      </c>
      <c r="C6400">
        <v>29.71</v>
      </c>
      <c r="D6400">
        <v>29.33</v>
      </c>
      <c r="E6400">
        <v>29.47</v>
      </c>
      <c r="F6400">
        <v>37620900</v>
      </c>
      <c r="G6400">
        <v>28.18</v>
      </c>
      <c r="H6400" t="s">
        <v>6</v>
      </c>
      <c r="I6400" s="22">
        <f t="shared" si="199"/>
        <v>-6.0145237032269965E-3</v>
      </c>
      <c r="J6400" s="22" t="str">
        <f t="shared" si="200"/>
        <v>lost money</v>
      </c>
    </row>
    <row r="6401" spans="1:10">
      <c r="A6401" s="1">
        <v>41122</v>
      </c>
      <c r="B6401">
        <v>29.59</v>
      </c>
      <c r="C6401">
        <v>29.65</v>
      </c>
      <c r="D6401">
        <v>29.21</v>
      </c>
      <c r="E6401">
        <v>29.41</v>
      </c>
      <c r="F6401">
        <v>31721800</v>
      </c>
      <c r="G6401">
        <v>28.13</v>
      </c>
      <c r="H6401" t="s">
        <v>6</v>
      </c>
      <c r="I6401" s="22">
        <f t="shared" si="199"/>
        <v>-1.7758839687687556E-3</v>
      </c>
      <c r="J6401" s="22" t="str">
        <f t="shared" si="200"/>
        <v>lost money</v>
      </c>
    </row>
    <row r="6402" spans="1:10">
      <c r="A6402" s="1">
        <v>41123</v>
      </c>
      <c r="B6402">
        <v>29.21</v>
      </c>
      <c r="C6402">
        <v>29.53</v>
      </c>
      <c r="D6402">
        <v>28.97</v>
      </c>
      <c r="E6402">
        <v>29.19</v>
      </c>
      <c r="F6402">
        <v>39520500</v>
      </c>
      <c r="G6402">
        <v>27.92</v>
      </c>
      <c r="H6402" t="s">
        <v>6</v>
      </c>
      <c r="I6402" s="22">
        <f t="shared" si="199"/>
        <v>-7.4933446075936888E-3</v>
      </c>
      <c r="J6402" s="22" t="str">
        <f t="shared" si="200"/>
        <v>lost money</v>
      </c>
    </row>
    <row r="6403" spans="1:10">
      <c r="A6403" s="1">
        <v>41124</v>
      </c>
      <c r="B6403">
        <v>29.53</v>
      </c>
      <c r="C6403">
        <v>29.94</v>
      </c>
      <c r="D6403">
        <v>29.48</v>
      </c>
      <c r="E6403">
        <v>29.75</v>
      </c>
      <c r="F6403">
        <v>35859400</v>
      </c>
      <c r="G6403">
        <v>28.45</v>
      </c>
      <c r="H6403" t="s">
        <v>6</v>
      </c>
      <c r="I6403" s="22">
        <f t="shared" ref="I6403:I6466" si="201">IF(A6403=$A$2,"",LN(G6403/G6402))</f>
        <v>1.8804882678168194E-2</v>
      </c>
      <c r="J6403" s="22" t="str">
        <f t="shared" ref="J6403:J6466" si="202">IF(B6403&gt;E6403,"lost money","")</f>
        <v/>
      </c>
    </row>
    <row r="6404" spans="1:10">
      <c r="A6404" s="1">
        <v>41127</v>
      </c>
      <c r="B6404">
        <v>30</v>
      </c>
      <c r="C6404">
        <v>30.11</v>
      </c>
      <c r="D6404">
        <v>29.81</v>
      </c>
      <c r="E6404">
        <v>29.95</v>
      </c>
      <c r="F6404">
        <v>27471800</v>
      </c>
      <c r="G6404">
        <v>28.64</v>
      </c>
      <c r="H6404" t="s">
        <v>6</v>
      </c>
      <c r="I6404" s="22">
        <f t="shared" si="201"/>
        <v>6.6561815201049562E-3</v>
      </c>
      <c r="J6404" s="22" t="str">
        <f t="shared" si="202"/>
        <v>lost money</v>
      </c>
    </row>
    <row r="6405" spans="1:10">
      <c r="A6405" s="1">
        <v>41128</v>
      </c>
      <c r="B6405">
        <v>30.07</v>
      </c>
      <c r="C6405">
        <v>30.35</v>
      </c>
      <c r="D6405">
        <v>29.87</v>
      </c>
      <c r="E6405">
        <v>30.26</v>
      </c>
      <c r="F6405">
        <v>28002900</v>
      </c>
      <c r="G6405">
        <v>28.94</v>
      </c>
      <c r="H6405" t="s">
        <v>6</v>
      </c>
      <c r="I6405" s="22">
        <f t="shared" si="201"/>
        <v>1.042037911089303E-2</v>
      </c>
      <c r="J6405" s="22" t="str">
        <f t="shared" si="202"/>
        <v/>
      </c>
    </row>
    <row r="6406" spans="1:10">
      <c r="A6406" s="1">
        <v>41129</v>
      </c>
      <c r="B6406">
        <v>30.21</v>
      </c>
      <c r="C6406">
        <v>30.47</v>
      </c>
      <c r="D6406">
        <v>30.11</v>
      </c>
      <c r="E6406">
        <v>30.33</v>
      </c>
      <c r="F6406">
        <v>26257600</v>
      </c>
      <c r="G6406">
        <v>29.01</v>
      </c>
      <c r="H6406" t="s">
        <v>6</v>
      </c>
      <c r="I6406" s="22">
        <f t="shared" si="201"/>
        <v>2.4158769299748098E-3</v>
      </c>
      <c r="J6406" s="22" t="str">
        <f t="shared" si="202"/>
        <v/>
      </c>
    </row>
    <row r="6407" spans="1:10">
      <c r="A6407" s="1">
        <v>41130</v>
      </c>
      <c r="B6407">
        <v>30.39</v>
      </c>
      <c r="C6407">
        <v>30.65</v>
      </c>
      <c r="D6407">
        <v>30.3</v>
      </c>
      <c r="E6407">
        <v>30.5</v>
      </c>
      <c r="F6407">
        <v>24920800</v>
      </c>
      <c r="G6407">
        <v>29.17</v>
      </c>
      <c r="H6407" t="s">
        <v>6</v>
      </c>
      <c r="I6407" s="22">
        <f t="shared" si="201"/>
        <v>5.5001857463173355E-3</v>
      </c>
      <c r="J6407" s="22" t="str">
        <f t="shared" si="202"/>
        <v/>
      </c>
    </row>
    <row r="6408" spans="1:10">
      <c r="A6408" s="1">
        <v>41131</v>
      </c>
      <c r="B6408">
        <v>30.5</v>
      </c>
      <c r="C6408">
        <v>30.62</v>
      </c>
      <c r="D6408">
        <v>30.25</v>
      </c>
      <c r="E6408">
        <v>30.42</v>
      </c>
      <c r="F6408">
        <v>27810300</v>
      </c>
      <c r="G6408">
        <v>29.09</v>
      </c>
      <c r="H6408" t="s">
        <v>6</v>
      </c>
      <c r="I6408" s="22">
        <f t="shared" si="201"/>
        <v>-2.7463113725198101E-3</v>
      </c>
      <c r="J6408" s="22" t="str">
        <f t="shared" si="202"/>
        <v>lost money</v>
      </c>
    </row>
    <row r="6409" spans="1:10">
      <c r="A6409" s="1">
        <v>41134</v>
      </c>
      <c r="B6409">
        <v>30.35</v>
      </c>
      <c r="C6409">
        <v>30.46</v>
      </c>
      <c r="D6409">
        <v>30.16</v>
      </c>
      <c r="E6409">
        <v>30.39</v>
      </c>
      <c r="F6409">
        <v>23049100</v>
      </c>
      <c r="G6409">
        <v>29.06</v>
      </c>
      <c r="H6409" t="s">
        <v>6</v>
      </c>
      <c r="I6409" s="22">
        <f t="shared" si="201"/>
        <v>-1.0318143649734597E-3</v>
      </c>
      <c r="J6409" s="22" t="str">
        <f t="shared" si="202"/>
        <v/>
      </c>
    </row>
    <row r="6410" spans="1:10">
      <c r="A6410" s="1">
        <v>41135</v>
      </c>
      <c r="B6410">
        <v>30.3</v>
      </c>
      <c r="C6410">
        <v>30.39</v>
      </c>
      <c r="D6410">
        <v>30.01</v>
      </c>
      <c r="E6410">
        <v>30.13</v>
      </c>
      <c r="F6410">
        <v>34551400</v>
      </c>
      <c r="G6410">
        <v>29.01</v>
      </c>
      <c r="H6410" t="s">
        <v>6</v>
      </c>
      <c r="I6410" s="22">
        <f t="shared" si="201"/>
        <v>-1.7220600088241162E-3</v>
      </c>
      <c r="J6410" s="22" t="str">
        <f t="shared" si="202"/>
        <v>lost money</v>
      </c>
    </row>
    <row r="6411" spans="1:10">
      <c r="A6411" s="1">
        <v>41136</v>
      </c>
      <c r="B6411">
        <v>30.11</v>
      </c>
      <c r="C6411">
        <v>30.28</v>
      </c>
      <c r="D6411">
        <v>30.02</v>
      </c>
      <c r="E6411">
        <v>30.2</v>
      </c>
      <c r="F6411">
        <v>24351000</v>
      </c>
      <c r="G6411">
        <v>29.07</v>
      </c>
      <c r="H6411" t="s">
        <v>6</v>
      </c>
      <c r="I6411" s="22">
        <f t="shared" si="201"/>
        <v>2.0661164374719087E-3</v>
      </c>
      <c r="J6411" s="22" t="str">
        <f t="shared" si="202"/>
        <v/>
      </c>
    </row>
    <row r="6412" spans="1:10">
      <c r="A6412" s="1">
        <v>41137</v>
      </c>
      <c r="B6412">
        <v>30.36</v>
      </c>
      <c r="C6412">
        <v>30.94</v>
      </c>
      <c r="D6412">
        <v>30.26</v>
      </c>
      <c r="E6412">
        <v>30.78</v>
      </c>
      <c r="F6412">
        <v>35787200</v>
      </c>
      <c r="G6412">
        <v>29.63</v>
      </c>
      <c r="H6412" t="s">
        <v>6</v>
      </c>
      <c r="I6412" s="22">
        <f t="shared" si="201"/>
        <v>1.9080647014689343E-2</v>
      </c>
      <c r="J6412" s="22" t="str">
        <f t="shared" si="202"/>
        <v/>
      </c>
    </row>
    <row r="6413" spans="1:10">
      <c r="A6413" s="1">
        <v>41138</v>
      </c>
      <c r="B6413">
        <v>30.92</v>
      </c>
      <c r="C6413">
        <v>30.92</v>
      </c>
      <c r="D6413">
        <v>30.59</v>
      </c>
      <c r="E6413">
        <v>30.9</v>
      </c>
      <c r="F6413">
        <v>32589900</v>
      </c>
      <c r="G6413">
        <v>29.75</v>
      </c>
      <c r="H6413" t="s">
        <v>6</v>
      </c>
      <c r="I6413" s="22">
        <f t="shared" si="201"/>
        <v>4.0417704061648336E-3</v>
      </c>
      <c r="J6413" s="22" t="str">
        <f t="shared" si="202"/>
        <v>lost money</v>
      </c>
    </row>
    <row r="6414" spans="1:10">
      <c r="A6414" s="1">
        <v>41141</v>
      </c>
      <c r="B6414">
        <v>30.82</v>
      </c>
      <c r="C6414">
        <v>30.85</v>
      </c>
      <c r="D6414">
        <v>30.58</v>
      </c>
      <c r="E6414">
        <v>30.74</v>
      </c>
      <c r="F6414">
        <v>23737700</v>
      </c>
      <c r="G6414">
        <v>29.59</v>
      </c>
      <c r="H6414" t="s">
        <v>6</v>
      </c>
      <c r="I6414" s="22">
        <f t="shared" si="201"/>
        <v>-5.3926655795205093E-3</v>
      </c>
      <c r="J6414" s="22" t="str">
        <f t="shared" si="202"/>
        <v>lost money</v>
      </c>
    </row>
    <row r="6415" spans="1:10">
      <c r="A6415" s="1">
        <v>41142</v>
      </c>
      <c r="B6415">
        <v>30.76</v>
      </c>
      <c r="C6415">
        <v>30.96</v>
      </c>
      <c r="D6415">
        <v>30.61</v>
      </c>
      <c r="E6415">
        <v>30.8</v>
      </c>
      <c r="F6415">
        <v>28822700</v>
      </c>
      <c r="G6415">
        <v>29.65</v>
      </c>
      <c r="H6415" t="s">
        <v>6</v>
      </c>
      <c r="I6415" s="22">
        <f t="shared" si="201"/>
        <v>2.0256590316162235E-3</v>
      </c>
      <c r="J6415" s="22" t="str">
        <f t="shared" si="202"/>
        <v/>
      </c>
    </row>
    <row r="6416" spans="1:10">
      <c r="A6416" s="1">
        <v>41143</v>
      </c>
      <c r="B6416">
        <v>30.59</v>
      </c>
      <c r="C6416">
        <v>30.76</v>
      </c>
      <c r="D6416">
        <v>30.47</v>
      </c>
      <c r="E6416">
        <v>30.54</v>
      </c>
      <c r="F6416">
        <v>33437400</v>
      </c>
      <c r="G6416">
        <v>29.4</v>
      </c>
      <c r="H6416" t="s">
        <v>6</v>
      </c>
      <c r="I6416" s="22">
        <f t="shared" si="201"/>
        <v>-8.4674510990984941E-3</v>
      </c>
      <c r="J6416" s="22" t="str">
        <f t="shared" si="202"/>
        <v>lost money</v>
      </c>
    </row>
    <row r="6417" spans="1:10">
      <c r="A6417" s="1">
        <v>41144</v>
      </c>
      <c r="B6417">
        <v>30.39</v>
      </c>
      <c r="C6417">
        <v>30.4</v>
      </c>
      <c r="D6417">
        <v>30.08</v>
      </c>
      <c r="E6417">
        <v>30.26</v>
      </c>
      <c r="F6417">
        <v>28355600</v>
      </c>
      <c r="G6417">
        <v>29.13</v>
      </c>
      <c r="H6417" t="s">
        <v>6</v>
      </c>
      <c r="I6417" s="22">
        <f t="shared" si="201"/>
        <v>-9.2261033732926913E-3</v>
      </c>
      <c r="J6417" s="22" t="str">
        <f t="shared" si="202"/>
        <v>lost money</v>
      </c>
    </row>
    <row r="6418" spans="1:10">
      <c r="A6418" s="1">
        <v>41145</v>
      </c>
      <c r="B6418">
        <v>30.25</v>
      </c>
      <c r="C6418">
        <v>30.63</v>
      </c>
      <c r="D6418">
        <v>30.18</v>
      </c>
      <c r="E6418">
        <v>30.56</v>
      </c>
      <c r="F6418">
        <v>22943300</v>
      </c>
      <c r="G6418">
        <v>29.42</v>
      </c>
      <c r="H6418" t="s">
        <v>6</v>
      </c>
      <c r="I6418" s="22">
        <f t="shared" si="201"/>
        <v>9.906144201948389E-3</v>
      </c>
      <c r="J6418" s="22" t="str">
        <f t="shared" si="202"/>
        <v/>
      </c>
    </row>
    <row r="6419" spans="1:10">
      <c r="A6419" s="1">
        <v>41148</v>
      </c>
      <c r="B6419">
        <v>30.93</v>
      </c>
      <c r="C6419">
        <v>30.96</v>
      </c>
      <c r="D6419">
        <v>30.59</v>
      </c>
      <c r="E6419">
        <v>30.69</v>
      </c>
      <c r="F6419">
        <v>34691100</v>
      </c>
      <c r="G6419">
        <v>29.55</v>
      </c>
      <c r="H6419" t="s">
        <v>6</v>
      </c>
      <c r="I6419" s="22">
        <f t="shared" si="201"/>
        <v>4.409028678815684E-3</v>
      </c>
      <c r="J6419" s="22" t="str">
        <f t="shared" si="202"/>
        <v>lost money</v>
      </c>
    </row>
    <row r="6420" spans="1:10">
      <c r="A6420" s="1">
        <v>41149</v>
      </c>
      <c r="B6420">
        <v>30.7</v>
      </c>
      <c r="C6420">
        <v>30.8</v>
      </c>
      <c r="D6420">
        <v>30.52</v>
      </c>
      <c r="E6420">
        <v>30.63</v>
      </c>
      <c r="F6420">
        <v>23947900</v>
      </c>
      <c r="G6420">
        <v>29.49</v>
      </c>
      <c r="H6420" t="s">
        <v>6</v>
      </c>
      <c r="I6420" s="22">
        <f t="shared" si="201"/>
        <v>-2.0325210249223578E-3</v>
      </c>
      <c r="J6420" s="22" t="str">
        <f t="shared" si="202"/>
        <v>lost money</v>
      </c>
    </row>
    <row r="6421" spans="1:10">
      <c r="A6421" s="1">
        <v>41150</v>
      </c>
      <c r="B6421">
        <v>30.65</v>
      </c>
      <c r="C6421">
        <v>30.75</v>
      </c>
      <c r="D6421">
        <v>30.44</v>
      </c>
      <c r="E6421">
        <v>30.65</v>
      </c>
      <c r="F6421">
        <v>23346800</v>
      </c>
      <c r="G6421">
        <v>29.51</v>
      </c>
      <c r="H6421" t="s">
        <v>6</v>
      </c>
      <c r="I6421" s="22">
        <f t="shared" si="201"/>
        <v>6.7796612766327536E-4</v>
      </c>
      <c r="J6421" s="22" t="str">
        <f t="shared" si="202"/>
        <v/>
      </c>
    </row>
    <row r="6422" spans="1:10">
      <c r="A6422" s="1">
        <v>41151</v>
      </c>
      <c r="B6422">
        <v>30.53</v>
      </c>
      <c r="C6422">
        <v>30.61</v>
      </c>
      <c r="D6422">
        <v>30.22</v>
      </c>
      <c r="E6422">
        <v>30.32</v>
      </c>
      <c r="F6422">
        <v>23982100</v>
      </c>
      <c r="G6422">
        <v>29.19</v>
      </c>
      <c r="H6422" t="s">
        <v>6</v>
      </c>
      <c r="I6422" s="22">
        <f t="shared" si="201"/>
        <v>-1.0903004088824648E-2</v>
      </c>
      <c r="J6422" s="22" t="str">
        <f t="shared" si="202"/>
        <v>lost money</v>
      </c>
    </row>
    <row r="6423" spans="1:10">
      <c r="A6423" s="1">
        <v>41152</v>
      </c>
      <c r="B6423">
        <v>30.6</v>
      </c>
      <c r="C6423">
        <v>30.96</v>
      </c>
      <c r="D6423">
        <v>30.38</v>
      </c>
      <c r="E6423">
        <v>30.82</v>
      </c>
      <c r="F6423">
        <v>36590100</v>
      </c>
      <c r="G6423">
        <v>29.67</v>
      </c>
      <c r="H6423" t="s">
        <v>6</v>
      </c>
      <c r="I6423" s="22">
        <f t="shared" si="201"/>
        <v>1.6310249436707076E-2</v>
      </c>
      <c r="J6423" s="22" t="str">
        <f t="shared" si="202"/>
        <v/>
      </c>
    </row>
    <row r="6424" spans="1:10">
      <c r="A6424" s="1">
        <v>41156</v>
      </c>
      <c r="B6424">
        <v>30.45</v>
      </c>
      <c r="C6424">
        <v>30.66</v>
      </c>
      <c r="D6424">
        <v>30.15</v>
      </c>
      <c r="E6424">
        <v>30.39</v>
      </c>
      <c r="F6424">
        <v>48556700</v>
      </c>
      <c r="G6424">
        <v>29.26</v>
      </c>
      <c r="H6424" t="s">
        <v>6</v>
      </c>
      <c r="I6424" s="22">
        <f t="shared" si="201"/>
        <v>-1.3915038710752203E-2</v>
      </c>
      <c r="J6424" s="22" t="str">
        <f t="shared" si="202"/>
        <v>lost money</v>
      </c>
    </row>
    <row r="6425" spans="1:10">
      <c r="A6425" s="1">
        <v>41157</v>
      </c>
      <c r="B6425">
        <v>30.22</v>
      </c>
      <c r="C6425">
        <v>30.53</v>
      </c>
      <c r="D6425">
        <v>30.21</v>
      </c>
      <c r="E6425">
        <v>30.39</v>
      </c>
      <c r="F6425">
        <v>33650000</v>
      </c>
      <c r="G6425">
        <v>29.26</v>
      </c>
      <c r="H6425" t="s">
        <v>6</v>
      </c>
      <c r="I6425" s="22">
        <f t="shared" si="201"/>
        <v>0</v>
      </c>
      <c r="J6425" s="22" t="str">
        <f t="shared" si="202"/>
        <v/>
      </c>
    </row>
    <row r="6426" spans="1:10">
      <c r="A6426" s="1">
        <v>41158</v>
      </c>
      <c r="B6426">
        <v>30.5</v>
      </c>
      <c r="C6426">
        <v>31.36</v>
      </c>
      <c r="D6426">
        <v>30.46</v>
      </c>
      <c r="E6426">
        <v>31.35</v>
      </c>
      <c r="F6426">
        <v>48371700</v>
      </c>
      <c r="G6426">
        <v>30.18</v>
      </c>
      <c r="H6426" t="s">
        <v>6</v>
      </c>
      <c r="I6426" s="22">
        <f t="shared" si="201"/>
        <v>3.0958057747724439E-2</v>
      </c>
      <c r="J6426" s="22" t="str">
        <f t="shared" si="202"/>
        <v/>
      </c>
    </row>
    <row r="6427" spans="1:10">
      <c r="A6427" s="1">
        <v>41159</v>
      </c>
      <c r="B6427">
        <v>31.04</v>
      </c>
      <c r="C6427">
        <v>31.07</v>
      </c>
      <c r="D6427">
        <v>30.73</v>
      </c>
      <c r="E6427">
        <v>30.95</v>
      </c>
      <c r="F6427">
        <v>42649100</v>
      </c>
      <c r="G6427">
        <v>29.8</v>
      </c>
      <c r="H6427" t="s">
        <v>6</v>
      </c>
      <c r="I6427" s="22">
        <f t="shared" si="201"/>
        <v>-1.2671059828344012E-2</v>
      </c>
      <c r="J6427" s="22" t="str">
        <f t="shared" si="202"/>
        <v>lost money</v>
      </c>
    </row>
    <row r="6428" spans="1:10">
      <c r="A6428" s="1">
        <v>41162</v>
      </c>
      <c r="B6428">
        <v>30.83</v>
      </c>
      <c r="C6428">
        <v>30.9</v>
      </c>
      <c r="D6428">
        <v>30.51</v>
      </c>
      <c r="E6428">
        <v>30.72</v>
      </c>
      <c r="F6428">
        <v>40524000</v>
      </c>
      <c r="G6428">
        <v>29.57</v>
      </c>
      <c r="H6428" t="s">
        <v>6</v>
      </c>
      <c r="I6428" s="22">
        <f t="shared" si="201"/>
        <v>-7.7480596469729447E-3</v>
      </c>
      <c r="J6428" s="22" t="str">
        <f t="shared" si="202"/>
        <v>lost money</v>
      </c>
    </row>
    <row r="6429" spans="1:10">
      <c r="A6429" s="1">
        <v>41163</v>
      </c>
      <c r="B6429">
        <v>30.69</v>
      </c>
      <c r="C6429">
        <v>30.91</v>
      </c>
      <c r="D6429">
        <v>30.61</v>
      </c>
      <c r="E6429">
        <v>30.79</v>
      </c>
      <c r="F6429">
        <v>25191800</v>
      </c>
      <c r="G6429">
        <v>29.64</v>
      </c>
      <c r="H6429" t="s">
        <v>6</v>
      </c>
      <c r="I6429" s="22">
        <f t="shared" si="201"/>
        <v>2.3644665635002577E-3</v>
      </c>
      <c r="J6429" s="22" t="str">
        <f t="shared" si="202"/>
        <v/>
      </c>
    </row>
    <row r="6430" spans="1:10">
      <c r="A6430" s="1">
        <v>41164</v>
      </c>
      <c r="B6430">
        <v>30.94</v>
      </c>
      <c r="C6430">
        <v>31.18</v>
      </c>
      <c r="D6430">
        <v>30.73</v>
      </c>
      <c r="E6430">
        <v>30.78</v>
      </c>
      <c r="F6430">
        <v>32775800</v>
      </c>
      <c r="G6430">
        <v>29.63</v>
      </c>
      <c r="H6430" t="s">
        <v>6</v>
      </c>
      <c r="I6430" s="22">
        <f t="shared" si="201"/>
        <v>-3.3743884241235159E-4</v>
      </c>
      <c r="J6430" s="22" t="str">
        <f t="shared" si="202"/>
        <v>lost money</v>
      </c>
    </row>
    <row r="6431" spans="1:10">
      <c r="A6431" s="1">
        <v>41165</v>
      </c>
      <c r="B6431">
        <v>30.89</v>
      </c>
      <c r="C6431">
        <v>31.18</v>
      </c>
      <c r="D6431">
        <v>30.4</v>
      </c>
      <c r="E6431">
        <v>30.94</v>
      </c>
      <c r="F6431">
        <v>45047300</v>
      </c>
      <c r="G6431">
        <v>29.79</v>
      </c>
      <c r="H6431" t="s">
        <v>6</v>
      </c>
      <c r="I6431" s="22">
        <f t="shared" si="201"/>
        <v>5.3854051397171096E-3</v>
      </c>
      <c r="J6431" s="22" t="str">
        <f t="shared" si="202"/>
        <v/>
      </c>
    </row>
    <row r="6432" spans="1:10">
      <c r="A6432" s="1">
        <v>41166</v>
      </c>
      <c r="B6432">
        <v>31.01</v>
      </c>
      <c r="C6432">
        <v>31.25</v>
      </c>
      <c r="D6432">
        <v>30.81</v>
      </c>
      <c r="E6432">
        <v>31.21</v>
      </c>
      <c r="F6432">
        <v>51422800</v>
      </c>
      <c r="G6432">
        <v>30.05</v>
      </c>
      <c r="H6432" t="s">
        <v>6</v>
      </c>
      <c r="I6432" s="22">
        <f t="shared" si="201"/>
        <v>8.6898942560256955E-3</v>
      </c>
      <c r="J6432" s="22" t="str">
        <f t="shared" si="202"/>
        <v/>
      </c>
    </row>
    <row r="6433" spans="1:10">
      <c r="A6433" s="1">
        <v>41169</v>
      </c>
      <c r="B6433">
        <v>31.19</v>
      </c>
      <c r="C6433">
        <v>31.26</v>
      </c>
      <c r="D6433">
        <v>31.04</v>
      </c>
      <c r="E6433">
        <v>31.21</v>
      </c>
      <c r="F6433">
        <v>36488500</v>
      </c>
      <c r="G6433">
        <v>30.05</v>
      </c>
      <c r="H6433" t="s">
        <v>6</v>
      </c>
      <c r="I6433" s="22">
        <f t="shared" si="201"/>
        <v>0</v>
      </c>
      <c r="J6433" s="22" t="str">
        <f t="shared" si="202"/>
        <v/>
      </c>
    </row>
    <row r="6434" spans="1:10">
      <c r="A6434" s="1">
        <v>41170</v>
      </c>
      <c r="B6434">
        <v>31.1</v>
      </c>
      <c r="C6434">
        <v>31.21</v>
      </c>
      <c r="D6434">
        <v>31.03</v>
      </c>
      <c r="E6434">
        <v>31.18</v>
      </c>
      <c r="F6434">
        <v>34542700</v>
      </c>
      <c r="G6434">
        <v>30.02</v>
      </c>
      <c r="H6434" t="s">
        <v>6</v>
      </c>
      <c r="I6434" s="22">
        <f t="shared" si="201"/>
        <v>-9.9883477590075606E-4</v>
      </c>
      <c r="J6434" s="22" t="str">
        <f t="shared" si="202"/>
        <v/>
      </c>
    </row>
    <row r="6435" spans="1:10">
      <c r="A6435" s="1">
        <v>41171</v>
      </c>
      <c r="B6435">
        <v>31.09</v>
      </c>
      <c r="C6435">
        <v>31.19</v>
      </c>
      <c r="D6435">
        <v>31.04</v>
      </c>
      <c r="E6435">
        <v>31.05</v>
      </c>
      <c r="F6435">
        <v>48871900</v>
      </c>
      <c r="G6435">
        <v>29.89</v>
      </c>
      <c r="H6435" t="s">
        <v>6</v>
      </c>
      <c r="I6435" s="22">
        <f t="shared" si="201"/>
        <v>-4.3398499094693226E-3</v>
      </c>
      <c r="J6435" s="22" t="str">
        <f t="shared" si="202"/>
        <v>lost money</v>
      </c>
    </row>
    <row r="6436" spans="1:10">
      <c r="A6436" s="1">
        <v>41172</v>
      </c>
      <c r="B6436">
        <v>30.95</v>
      </c>
      <c r="C6436">
        <v>31.48</v>
      </c>
      <c r="D6436">
        <v>30.91</v>
      </c>
      <c r="E6436">
        <v>31.45</v>
      </c>
      <c r="F6436">
        <v>45543000</v>
      </c>
      <c r="G6436">
        <v>30.28</v>
      </c>
      <c r="H6436" t="s">
        <v>6</v>
      </c>
      <c r="I6436" s="22">
        <f t="shared" si="201"/>
        <v>1.296345227340155E-2</v>
      </c>
      <c r="J6436" s="22" t="str">
        <f t="shared" si="202"/>
        <v/>
      </c>
    </row>
    <row r="6437" spans="1:10">
      <c r="A6437" s="1">
        <v>41173</v>
      </c>
      <c r="B6437">
        <v>31.43</v>
      </c>
      <c r="C6437">
        <v>31.61</v>
      </c>
      <c r="D6437">
        <v>31.09</v>
      </c>
      <c r="E6437">
        <v>31.19</v>
      </c>
      <c r="F6437">
        <v>102348900</v>
      </c>
      <c r="G6437">
        <v>30.03</v>
      </c>
      <c r="H6437" t="s">
        <v>6</v>
      </c>
      <c r="I6437" s="22">
        <f t="shared" si="201"/>
        <v>-8.2905465740091017E-3</v>
      </c>
      <c r="J6437" s="22" t="str">
        <f t="shared" si="202"/>
        <v>lost money</v>
      </c>
    </row>
    <row r="6438" spans="1:10">
      <c r="A6438" s="1">
        <v>41176</v>
      </c>
      <c r="B6438">
        <v>31</v>
      </c>
      <c r="C6438">
        <v>31.07</v>
      </c>
      <c r="D6438">
        <v>30.64</v>
      </c>
      <c r="E6438">
        <v>30.78</v>
      </c>
      <c r="F6438">
        <v>46825900</v>
      </c>
      <c r="G6438">
        <v>29.63</v>
      </c>
      <c r="H6438" t="s">
        <v>6</v>
      </c>
      <c r="I6438" s="22">
        <f t="shared" si="201"/>
        <v>-1.3409520409765141E-2</v>
      </c>
      <c r="J6438" s="22" t="str">
        <f t="shared" si="202"/>
        <v>lost money</v>
      </c>
    </row>
    <row r="6439" spans="1:10">
      <c r="A6439" s="1">
        <v>41177</v>
      </c>
      <c r="B6439">
        <v>30.95</v>
      </c>
      <c r="C6439">
        <v>31</v>
      </c>
      <c r="D6439">
        <v>30.36</v>
      </c>
      <c r="E6439">
        <v>30.39</v>
      </c>
      <c r="F6439">
        <v>54266400</v>
      </c>
      <c r="G6439">
        <v>29.26</v>
      </c>
      <c r="H6439" t="s">
        <v>6</v>
      </c>
      <c r="I6439" s="22">
        <f t="shared" si="201"/>
        <v>-1.2565965993495527E-2</v>
      </c>
      <c r="J6439" s="22" t="str">
        <f t="shared" si="202"/>
        <v>lost money</v>
      </c>
    </row>
    <row r="6440" spans="1:10">
      <c r="A6440" s="1">
        <v>41178</v>
      </c>
      <c r="B6440">
        <v>30.28</v>
      </c>
      <c r="C6440">
        <v>30.6</v>
      </c>
      <c r="D6440">
        <v>30.04</v>
      </c>
      <c r="E6440">
        <v>30.17</v>
      </c>
      <c r="F6440">
        <v>54672000</v>
      </c>
      <c r="G6440">
        <v>29.05</v>
      </c>
      <c r="H6440" t="s">
        <v>6</v>
      </c>
      <c r="I6440" s="22">
        <f t="shared" si="201"/>
        <v>-7.2029122940579973E-3</v>
      </c>
      <c r="J6440" s="22" t="str">
        <f t="shared" si="202"/>
        <v>lost money</v>
      </c>
    </row>
    <row r="6441" spans="1:10">
      <c r="A6441" s="1">
        <v>41179</v>
      </c>
      <c r="B6441">
        <v>30.17</v>
      </c>
      <c r="C6441">
        <v>30.4</v>
      </c>
      <c r="D6441">
        <v>29.89</v>
      </c>
      <c r="E6441">
        <v>30.16</v>
      </c>
      <c r="F6441">
        <v>47129900</v>
      </c>
      <c r="G6441">
        <v>29.04</v>
      </c>
      <c r="H6441" t="s">
        <v>6</v>
      </c>
      <c r="I6441" s="22">
        <f t="shared" si="201"/>
        <v>-3.4429334132500121E-4</v>
      </c>
      <c r="J6441" s="22" t="str">
        <f t="shared" si="202"/>
        <v>lost money</v>
      </c>
    </row>
    <row r="6442" spans="1:10">
      <c r="A6442" s="1">
        <v>41180</v>
      </c>
      <c r="B6442">
        <v>30.18</v>
      </c>
      <c r="C6442">
        <v>30.26</v>
      </c>
      <c r="D6442">
        <v>29.74</v>
      </c>
      <c r="E6442">
        <v>29.76</v>
      </c>
      <c r="F6442">
        <v>54229300</v>
      </c>
      <c r="G6442">
        <v>28.65</v>
      </c>
      <c r="H6442" t="s">
        <v>6</v>
      </c>
      <c r="I6442" s="22">
        <f t="shared" si="201"/>
        <v>-1.3520746795846809E-2</v>
      </c>
      <c r="J6442" s="22" t="str">
        <f t="shared" si="202"/>
        <v>lost money</v>
      </c>
    </row>
    <row r="6443" spans="1:10">
      <c r="A6443" s="1">
        <v>41183</v>
      </c>
      <c r="B6443">
        <v>29.81</v>
      </c>
      <c r="C6443">
        <v>29.98</v>
      </c>
      <c r="D6443">
        <v>29.42</v>
      </c>
      <c r="E6443">
        <v>29.49</v>
      </c>
      <c r="F6443">
        <v>54042700</v>
      </c>
      <c r="G6443">
        <v>28.39</v>
      </c>
      <c r="H6443" t="s">
        <v>6</v>
      </c>
      <c r="I6443" s="22">
        <f t="shared" si="201"/>
        <v>-9.1164726758687312E-3</v>
      </c>
      <c r="J6443" s="22" t="str">
        <f t="shared" si="202"/>
        <v>lost money</v>
      </c>
    </row>
    <row r="6444" spans="1:10">
      <c r="A6444" s="1">
        <v>41184</v>
      </c>
      <c r="B6444">
        <v>29.68</v>
      </c>
      <c r="C6444">
        <v>29.89</v>
      </c>
      <c r="D6444">
        <v>29.5</v>
      </c>
      <c r="E6444">
        <v>29.66</v>
      </c>
      <c r="F6444">
        <v>43338900</v>
      </c>
      <c r="G6444">
        <v>28.55</v>
      </c>
      <c r="H6444" t="s">
        <v>6</v>
      </c>
      <c r="I6444" s="22">
        <f t="shared" si="201"/>
        <v>5.6199656171394092E-3</v>
      </c>
      <c r="J6444" s="22" t="str">
        <f t="shared" si="202"/>
        <v>lost money</v>
      </c>
    </row>
    <row r="6445" spans="1:10">
      <c r="A6445" s="1">
        <v>41185</v>
      </c>
      <c r="B6445">
        <v>29.75</v>
      </c>
      <c r="C6445">
        <v>29.99</v>
      </c>
      <c r="D6445">
        <v>29.67</v>
      </c>
      <c r="E6445">
        <v>29.86</v>
      </c>
      <c r="F6445">
        <v>46655900</v>
      </c>
      <c r="G6445">
        <v>28.75</v>
      </c>
      <c r="H6445" t="s">
        <v>6</v>
      </c>
      <c r="I6445" s="22">
        <f t="shared" si="201"/>
        <v>6.9808311413401408E-3</v>
      </c>
      <c r="J6445" s="22" t="str">
        <f t="shared" si="202"/>
        <v/>
      </c>
    </row>
    <row r="6446" spans="1:10">
      <c r="A6446" s="1">
        <v>41186</v>
      </c>
      <c r="B6446">
        <v>29.97</v>
      </c>
      <c r="C6446">
        <v>30.03</v>
      </c>
      <c r="D6446">
        <v>29.57</v>
      </c>
      <c r="E6446">
        <v>30.03</v>
      </c>
      <c r="F6446">
        <v>43634900</v>
      </c>
      <c r="G6446">
        <v>28.91</v>
      </c>
      <c r="H6446" t="s">
        <v>6</v>
      </c>
      <c r="I6446" s="22">
        <f t="shared" si="201"/>
        <v>5.5497887848952321E-3</v>
      </c>
      <c r="J6446" s="22" t="str">
        <f t="shared" si="202"/>
        <v/>
      </c>
    </row>
    <row r="6447" spans="1:10">
      <c r="A6447" s="1">
        <v>41187</v>
      </c>
      <c r="B6447">
        <v>30.23</v>
      </c>
      <c r="C6447">
        <v>30.25</v>
      </c>
      <c r="D6447">
        <v>29.74</v>
      </c>
      <c r="E6447">
        <v>29.85</v>
      </c>
      <c r="F6447">
        <v>41133900</v>
      </c>
      <c r="G6447">
        <v>28.74</v>
      </c>
      <c r="H6447" t="s">
        <v>6</v>
      </c>
      <c r="I6447" s="22">
        <f t="shared" si="201"/>
        <v>-5.8976753773759185E-3</v>
      </c>
      <c r="J6447" s="22" t="str">
        <f t="shared" si="202"/>
        <v>lost money</v>
      </c>
    </row>
    <row r="6448" spans="1:10">
      <c r="A6448" s="1">
        <v>41190</v>
      </c>
      <c r="B6448">
        <v>29.64</v>
      </c>
      <c r="C6448">
        <v>29.92</v>
      </c>
      <c r="D6448">
        <v>29.55</v>
      </c>
      <c r="E6448">
        <v>29.78</v>
      </c>
      <c r="F6448">
        <v>29752000</v>
      </c>
      <c r="G6448">
        <v>28.67</v>
      </c>
      <c r="H6448" t="s">
        <v>6</v>
      </c>
      <c r="I6448" s="22">
        <f t="shared" si="201"/>
        <v>-2.4386007556003067E-3</v>
      </c>
      <c r="J6448" s="22" t="str">
        <f t="shared" si="202"/>
        <v/>
      </c>
    </row>
    <row r="6449" spans="1:10">
      <c r="A6449" s="1">
        <v>41191</v>
      </c>
      <c r="B6449">
        <v>29.68</v>
      </c>
      <c r="C6449">
        <v>29.74</v>
      </c>
      <c r="D6449">
        <v>29.18</v>
      </c>
      <c r="E6449">
        <v>29.28</v>
      </c>
      <c r="F6449">
        <v>45121100</v>
      </c>
      <c r="G6449">
        <v>28.19</v>
      </c>
      <c r="H6449" t="s">
        <v>6</v>
      </c>
      <c r="I6449" s="22">
        <f t="shared" si="201"/>
        <v>-1.6883974769257345E-2</v>
      </c>
      <c r="J6449" s="22" t="str">
        <f t="shared" si="202"/>
        <v>lost money</v>
      </c>
    </row>
    <row r="6450" spans="1:10">
      <c r="A6450" s="1">
        <v>41192</v>
      </c>
      <c r="B6450">
        <v>29.15</v>
      </c>
      <c r="C6450">
        <v>29.31</v>
      </c>
      <c r="D6450">
        <v>28.95</v>
      </c>
      <c r="E6450">
        <v>28.98</v>
      </c>
      <c r="F6450">
        <v>47227100</v>
      </c>
      <c r="G6450">
        <v>27.9</v>
      </c>
      <c r="H6450" t="s">
        <v>6</v>
      </c>
      <c r="I6450" s="22">
        <f t="shared" si="201"/>
        <v>-1.0340616298701357E-2</v>
      </c>
      <c r="J6450" s="22" t="str">
        <f t="shared" si="202"/>
        <v>lost money</v>
      </c>
    </row>
    <row r="6451" spans="1:10">
      <c r="A6451" s="1">
        <v>41193</v>
      </c>
      <c r="B6451">
        <v>29.22</v>
      </c>
      <c r="C6451">
        <v>29.25</v>
      </c>
      <c r="D6451">
        <v>28.87</v>
      </c>
      <c r="E6451">
        <v>28.95</v>
      </c>
      <c r="F6451">
        <v>41488500</v>
      </c>
      <c r="G6451">
        <v>27.87</v>
      </c>
      <c r="H6451" t="s">
        <v>6</v>
      </c>
      <c r="I6451" s="22">
        <f t="shared" si="201"/>
        <v>-1.0758473334630141E-3</v>
      </c>
      <c r="J6451" s="22" t="str">
        <f t="shared" si="202"/>
        <v>lost money</v>
      </c>
    </row>
    <row r="6452" spans="1:10">
      <c r="A6452" s="1">
        <v>41194</v>
      </c>
      <c r="B6452">
        <v>28.97</v>
      </c>
      <c r="C6452">
        <v>29.32</v>
      </c>
      <c r="D6452">
        <v>28.8</v>
      </c>
      <c r="E6452">
        <v>29.2</v>
      </c>
      <c r="F6452">
        <v>46464700</v>
      </c>
      <c r="G6452">
        <v>28.11</v>
      </c>
      <c r="H6452" t="s">
        <v>6</v>
      </c>
      <c r="I6452" s="22">
        <f t="shared" si="201"/>
        <v>8.5745434245837176E-3</v>
      </c>
      <c r="J6452" s="22" t="str">
        <f t="shared" si="202"/>
        <v/>
      </c>
    </row>
    <row r="6453" spans="1:10">
      <c r="A6453" s="1">
        <v>41197</v>
      </c>
      <c r="B6453">
        <v>29.37</v>
      </c>
      <c r="C6453">
        <v>29.72</v>
      </c>
      <c r="D6453">
        <v>29.25</v>
      </c>
      <c r="E6453">
        <v>29.51</v>
      </c>
      <c r="F6453">
        <v>42440200</v>
      </c>
      <c r="G6453">
        <v>28.41</v>
      </c>
      <c r="H6453" t="s">
        <v>6</v>
      </c>
      <c r="I6453" s="22">
        <f t="shared" si="201"/>
        <v>1.0615810947656099E-2</v>
      </c>
      <c r="J6453" s="22" t="str">
        <f t="shared" si="202"/>
        <v/>
      </c>
    </row>
    <row r="6454" spans="1:10">
      <c r="A6454" s="1">
        <v>41198</v>
      </c>
      <c r="B6454">
        <v>29.45</v>
      </c>
      <c r="C6454">
        <v>29.74</v>
      </c>
      <c r="D6454">
        <v>29.32</v>
      </c>
      <c r="E6454">
        <v>29.49</v>
      </c>
      <c r="F6454">
        <v>47739400</v>
      </c>
      <c r="G6454">
        <v>28.39</v>
      </c>
      <c r="H6454" t="s">
        <v>6</v>
      </c>
      <c r="I6454" s="22">
        <f t="shared" si="201"/>
        <v>-7.0422538121675971E-4</v>
      </c>
      <c r="J6454" s="22" t="str">
        <f t="shared" si="202"/>
        <v/>
      </c>
    </row>
    <row r="6455" spans="1:10">
      <c r="A6455" s="1">
        <v>41199</v>
      </c>
      <c r="B6455">
        <v>29.3</v>
      </c>
      <c r="C6455">
        <v>29.64</v>
      </c>
      <c r="D6455">
        <v>29.09</v>
      </c>
      <c r="E6455">
        <v>29.59</v>
      </c>
      <c r="F6455">
        <v>44206100</v>
      </c>
      <c r="G6455">
        <v>28.49</v>
      </c>
      <c r="H6455" t="s">
        <v>6</v>
      </c>
      <c r="I6455" s="22">
        <f t="shared" si="201"/>
        <v>3.5161780249370815E-3</v>
      </c>
      <c r="J6455" s="22" t="str">
        <f t="shared" si="202"/>
        <v/>
      </c>
    </row>
    <row r="6456" spans="1:10">
      <c r="A6456" s="1">
        <v>41200</v>
      </c>
      <c r="B6456">
        <v>29.65</v>
      </c>
      <c r="C6456">
        <v>29.73</v>
      </c>
      <c r="D6456">
        <v>29.26</v>
      </c>
      <c r="E6456">
        <v>29.5</v>
      </c>
      <c r="F6456">
        <v>59238500</v>
      </c>
      <c r="G6456">
        <v>28.4</v>
      </c>
      <c r="H6456" t="s">
        <v>6</v>
      </c>
      <c r="I6456" s="22">
        <f t="shared" si="201"/>
        <v>-3.1640033426566035E-3</v>
      </c>
      <c r="J6456" s="22" t="str">
        <f t="shared" si="202"/>
        <v>lost money</v>
      </c>
    </row>
    <row r="6457" spans="1:10">
      <c r="A6457" s="1">
        <v>41201</v>
      </c>
      <c r="B6457">
        <v>29.05</v>
      </c>
      <c r="C6457">
        <v>29.08</v>
      </c>
      <c r="D6457">
        <v>28.5</v>
      </c>
      <c r="E6457">
        <v>28.64</v>
      </c>
      <c r="F6457">
        <v>90470800</v>
      </c>
      <c r="G6457">
        <v>27.57</v>
      </c>
      <c r="H6457" t="s">
        <v>6</v>
      </c>
      <c r="I6457" s="22">
        <f t="shared" si="201"/>
        <v>-2.9660920131454886E-2</v>
      </c>
      <c r="J6457" s="22" t="str">
        <f t="shared" si="202"/>
        <v>lost money</v>
      </c>
    </row>
    <row r="6458" spans="1:10">
      <c r="A6458" s="1">
        <v>41204</v>
      </c>
      <c r="B6458">
        <v>28.73</v>
      </c>
      <c r="C6458">
        <v>28.83</v>
      </c>
      <c r="D6458">
        <v>27.83</v>
      </c>
      <c r="E6458">
        <v>28</v>
      </c>
      <c r="F6458">
        <v>83374000</v>
      </c>
      <c r="G6458">
        <v>26.96</v>
      </c>
      <c r="H6458" t="s">
        <v>6</v>
      </c>
      <c r="I6458" s="22">
        <f t="shared" si="201"/>
        <v>-2.2373938991599094E-2</v>
      </c>
      <c r="J6458" s="22" t="str">
        <f t="shared" si="202"/>
        <v>lost money</v>
      </c>
    </row>
    <row r="6459" spans="1:10">
      <c r="A6459" s="1">
        <v>41205</v>
      </c>
      <c r="B6459">
        <v>27.77</v>
      </c>
      <c r="C6459">
        <v>28.2</v>
      </c>
      <c r="D6459">
        <v>27.76</v>
      </c>
      <c r="E6459">
        <v>28.05</v>
      </c>
      <c r="F6459">
        <v>64414800</v>
      </c>
      <c r="G6459">
        <v>27</v>
      </c>
      <c r="H6459" t="s">
        <v>6</v>
      </c>
      <c r="I6459" s="22">
        <f t="shared" si="201"/>
        <v>1.4825799602226743E-3</v>
      </c>
      <c r="J6459" s="22" t="str">
        <f t="shared" si="202"/>
        <v/>
      </c>
    </row>
    <row r="6460" spans="1:10">
      <c r="A6460" s="1">
        <v>41206</v>
      </c>
      <c r="B6460">
        <v>28.16</v>
      </c>
      <c r="C6460">
        <v>28.2</v>
      </c>
      <c r="D6460">
        <v>27.87</v>
      </c>
      <c r="E6460">
        <v>27.9</v>
      </c>
      <c r="F6460">
        <v>53320400</v>
      </c>
      <c r="G6460">
        <v>26.86</v>
      </c>
      <c r="H6460" t="s">
        <v>6</v>
      </c>
      <c r="I6460" s="22">
        <f t="shared" si="201"/>
        <v>-5.1986749092375545E-3</v>
      </c>
      <c r="J6460" s="22" t="str">
        <f t="shared" si="202"/>
        <v>lost money</v>
      </c>
    </row>
    <row r="6461" spans="1:10">
      <c r="A6461" s="1">
        <v>41207</v>
      </c>
      <c r="B6461">
        <v>28.19</v>
      </c>
      <c r="C6461">
        <v>28.2</v>
      </c>
      <c r="D6461">
        <v>27.86</v>
      </c>
      <c r="E6461">
        <v>27.88</v>
      </c>
      <c r="F6461">
        <v>54084300</v>
      </c>
      <c r="G6461">
        <v>26.84</v>
      </c>
      <c r="H6461" t="s">
        <v>6</v>
      </c>
      <c r="I6461" s="22">
        <f t="shared" si="201"/>
        <v>-7.4487899161048928E-4</v>
      </c>
      <c r="J6461" s="22" t="str">
        <f t="shared" si="202"/>
        <v>lost money</v>
      </c>
    </row>
    <row r="6462" spans="1:10">
      <c r="A6462" s="1">
        <v>41208</v>
      </c>
      <c r="B6462">
        <v>27.86</v>
      </c>
      <c r="C6462">
        <v>28.34</v>
      </c>
      <c r="D6462">
        <v>27.84</v>
      </c>
      <c r="E6462">
        <v>28.21</v>
      </c>
      <c r="F6462">
        <v>57790000</v>
      </c>
      <c r="G6462">
        <v>27.16</v>
      </c>
      <c r="H6462" t="s">
        <v>6</v>
      </c>
      <c r="I6462" s="22">
        <f t="shared" si="201"/>
        <v>1.1851990587014328E-2</v>
      </c>
      <c r="J6462" s="22" t="str">
        <f t="shared" si="202"/>
        <v/>
      </c>
    </row>
    <row r="6463" spans="1:10">
      <c r="A6463" s="1">
        <v>41213</v>
      </c>
      <c r="B6463">
        <v>28.55</v>
      </c>
      <c r="C6463">
        <v>28.88</v>
      </c>
      <c r="D6463">
        <v>28.5</v>
      </c>
      <c r="E6463">
        <v>28.54</v>
      </c>
      <c r="F6463">
        <v>69464100</v>
      </c>
      <c r="G6463">
        <v>27.48</v>
      </c>
      <c r="H6463" t="s">
        <v>6</v>
      </c>
      <c r="I6463" s="22">
        <f t="shared" si="201"/>
        <v>1.171316466365317E-2</v>
      </c>
      <c r="J6463" s="22" t="str">
        <f t="shared" si="202"/>
        <v>lost money</v>
      </c>
    </row>
    <row r="6464" spans="1:10">
      <c r="A6464" s="1">
        <v>41214</v>
      </c>
      <c r="B6464">
        <v>28.84</v>
      </c>
      <c r="C6464">
        <v>29.56</v>
      </c>
      <c r="D6464">
        <v>28.82</v>
      </c>
      <c r="E6464">
        <v>29.52</v>
      </c>
      <c r="F6464">
        <v>72047900</v>
      </c>
      <c r="G6464">
        <v>28.42</v>
      </c>
      <c r="H6464" t="s">
        <v>6</v>
      </c>
      <c r="I6464" s="22">
        <f t="shared" si="201"/>
        <v>3.3634655314805938E-2</v>
      </c>
      <c r="J6464" s="22" t="str">
        <f t="shared" si="202"/>
        <v/>
      </c>
    </row>
    <row r="6465" spans="1:10">
      <c r="A6465" s="1">
        <v>41215</v>
      </c>
      <c r="B6465">
        <v>29.59</v>
      </c>
      <c r="C6465">
        <v>29.77</v>
      </c>
      <c r="D6465">
        <v>29.33</v>
      </c>
      <c r="E6465">
        <v>29.5</v>
      </c>
      <c r="F6465">
        <v>57131600</v>
      </c>
      <c r="G6465">
        <v>28.4</v>
      </c>
      <c r="H6465" t="s">
        <v>6</v>
      </c>
      <c r="I6465" s="22">
        <f t="shared" si="201"/>
        <v>-7.0397750179438051E-4</v>
      </c>
      <c r="J6465" s="22" t="str">
        <f t="shared" si="202"/>
        <v>lost money</v>
      </c>
    </row>
    <row r="6466" spans="1:10">
      <c r="A6466" s="1">
        <v>41218</v>
      </c>
      <c r="B6466">
        <v>29.62</v>
      </c>
      <c r="C6466">
        <v>29.74</v>
      </c>
      <c r="D6466">
        <v>29.33</v>
      </c>
      <c r="E6466">
        <v>29.63</v>
      </c>
      <c r="F6466">
        <v>38070800</v>
      </c>
      <c r="G6466">
        <v>28.53</v>
      </c>
      <c r="H6466" t="s">
        <v>6</v>
      </c>
      <c r="I6466" s="22">
        <f t="shared" si="201"/>
        <v>4.5670200582483217E-3</v>
      </c>
      <c r="J6466" s="22" t="str">
        <f t="shared" si="202"/>
        <v/>
      </c>
    </row>
    <row r="6467" spans="1:10">
      <c r="A6467" s="1">
        <v>41219</v>
      </c>
      <c r="B6467">
        <v>29.82</v>
      </c>
      <c r="C6467">
        <v>30.2</v>
      </c>
      <c r="D6467">
        <v>29.61</v>
      </c>
      <c r="E6467">
        <v>29.86</v>
      </c>
      <c r="F6467">
        <v>43401500</v>
      </c>
      <c r="G6467">
        <v>28.75</v>
      </c>
      <c r="H6467" t="s">
        <v>6</v>
      </c>
      <c r="I6467" s="22">
        <f t="shared" ref="I6467:I6530" si="203">IF(A6467=$A$2,"",LN(G6467/G6466))</f>
        <v>7.6816020179506965E-3</v>
      </c>
      <c r="J6467" s="22" t="str">
        <f t="shared" ref="J6467:J6530" si="204">IF(B6467&gt;E6467,"lost money","")</f>
        <v/>
      </c>
    </row>
    <row r="6468" spans="1:10">
      <c r="A6468" s="1">
        <v>41220</v>
      </c>
      <c r="B6468">
        <v>29.53</v>
      </c>
      <c r="C6468">
        <v>29.83</v>
      </c>
      <c r="D6468">
        <v>29.05</v>
      </c>
      <c r="E6468">
        <v>29.08</v>
      </c>
      <c r="F6468">
        <v>57871800</v>
      </c>
      <c r="G6468">
        <v>28</v>
      </c>
      <c r="H6468" t="s">
        <v>6</v>
      </c>
      <c r="I6468" s="22">
        <f t="shared" si="203"/>
        <v>-2.6433257068155483E-2</v>
      </c>
      <c r="J6468" s="22" t="str">
        <f t="shared" si="204"/>
        <v>lost money</v>
      </c>
    </row>
    <row r="6469" spans="1:10">
      <c r="A6469" s="1">
        <v>41221</v>
      </c>
      <c r="B6469">
        <v>29.12</v>
      </c>
      <c r="C6469">
        <v>29.37</v>
      </c>
      <c r="D6469">
        <v>28.8</v>
      </c>
      <c r="E6469">
        <v>28.81</v>
      </c>
      <c r="F6469">
        <v>49841800</v>
      </c>
      <c r="G6469">
        <v>27.74</v>
      </c>
      <c r="H6469" t="s">
        <v>6</v>
      </c>
      <c r="I6469" s="22">
        <f t="shared" si="203"/>
        <v>-9.3290952885184495E-3</v>
      </c>
      <c r="J6469" s="22" t="str">
        <f t="shared" si="204"/>
        <v>lost money</v>
      </c>
    </row>
    <row r="6470" spans="1:10">
      <c r="A6470" s="1">
        <v>41222</v>
      </c>
      <c r="B6470">
        <v>28.88</v>
      </c>
      <c r="C6470">
        <v>29.19</v>
      </c>
      <c r="D6470">
        <v>28.81</v>
      </c>
      <c r="E6470">
        <v>28.83</v>
      </c>
      <c r="F6470">
        <v>43291200</v>
      </c>
      <c r="G6470">
        <v>27.76</v>
      </c>
      <c r="H6470" t="s">
        <v>6</v>
      </c>
      <c r="I6470" s="22">
        <f t="shared" si="203"/>
        <v>7.2072075191838844E-4</v>
      </c>
      <c r="J6470" s="22" t="str">
        <f t="shared" si="204"/>
        <v>lost money</v>
      </c>
    </row>
    <row r="6471" spans="1:10">
      <c r="A6471" s="1">
        <v>41225</v>
      </c>
      <c r="B6471">
        <v>28.94</v>
      </c>
      <c r="C6471">
        <v>29.01</v>
      </c>
      <c r="D6471">
        <v>28.21</v>
      </c>
      <c r="E6471">
        <v>28.22</v>
      </c>
      <c r="F6471">
        <v>61112300</v>
      </c>
      <c r="G6471">
        <v>27.17</v>
      </c>
      <c r="H6471" t="s">
        <v>6</v>
      </c>
      <c r="I6471" s="22">
        <f t="shared" si="203"/>
        <v>-2.1482712200347337E-2</v>
      </c>
      <c r="J6471" s="22" t="str">
        <f t="shared" si="204"/>
        <v>lost money</v>
      </c>
    </row>
    <row r="6472" spans="1:10">
      <c r="A6472" s="1">
        <v>41226</v>
      </c>
      <c r="B6472">
        <v>27.02</v>
      </c>
      <c r="C6472">
        <v>27.3</v>
      </c>
      <c r="D6472">
        <v>26.75</v>
      </c>
      <c r="E6472">
        <v>27.09</v>
      </c>
      <c r="F6472">
        <v>131689200</v>
      </c>
      <c r="G6472">
        <v>26.29</v>
      </c>
      <c r="H6472" t="s">
        <v>6</v>
      </c>
      <c r="I6472" s="22">
        <f t="shared" si="203"/>
        <v>-3.2924784696466612E-2</v>
      </c>
      <c r="J6472" s="22" t="str">
        <f t="shared" si="204"/>
        <v/>
      </c>
    </row>
    <row r="6473" spans="1:10">
      <c r="A6473" s="1">
        <v>41227</v>
      </c>
      <c r="B6473">
        <v>27.24</v>
      </c>
      <c r="C6473">
        <v>27.29</v>
      </c>
      <c r="D6473">
        <v>26.8</v>
      </c>
      <c r="E6473">
        <v>26.84</v>
      </c>
      <c r="F6473">
        <v>76086100</v>
      </c>
      <c r="G6473">
        <v>26.05</v>
      </c>
      <c r="H6473" t="s">
        <v>6</v>
      </c>
      <c r="I6473" s="22">
        <f t="shared" si="203"/>
        <v>-9.1708705424138198E-3</v>
      </c>
      <c r="J6473" s="22" t="str">
        <f t="shared" si="204"/>
        <v>lost money</v>
      </c>
    </row>
    <row r="6474" spans="1:10">
      <c r="A6474" s="1">
        <v>41228</v>
      </c>
      <c r="B6474">
        <v>26.88</v>
      </c>
      <c r="C6474">
        <v>26.97</v>
      </c>
      <c r="D6474">
        <v>26.63</v>
      </c>
      <c r="E6474">
        <v>26.66</v>
      </c>
      <c r="F6474">
        <v>50955600</v>
      </c>
      <c r="G6474">
        <v>25.88</v>
      </c>
      <c r="H6474" t="s">
        <v>6</v>
      </c>
      <c r="I6474" s="22">
        <f t="shared" si="203"/>
        <v>-6.5472985666762025E-3</v>
      </c>
      <c r="J6474" s="22" t="str">
        <f t="shared" si="204"/>
        <v>lost money</v>
      </c>
    </row>
    <row r="6475" spans="1:10">
      <c r="A6475" s="1">
        <v>41229</v>
      </c>
      <c r="B6475">
        <v>26.67</v>
      </c>
      <c r="C6475">
        <v>26.7</v>
      </c>
      <c r="D6475">
        <v>26.34</v>
      </c>
      <c r="E6475">
        <v>26.52</v>
      </c>
      <c r="F6475">
        <v>64083300</v>
      </c>
      <c r="G6475">
        <v>25.74</v>
      </c>
      <c r="H6475" t="s">
        <v>6</v>
      </c>
      <c r="I6475" s="22">
        <f t="shared" si="203"/>
        <v>-5.424267464719263E-3</v>
      </c>
      <c r="J6475" s="22" t="str">
        <f t="shared" si="204"/>
        <v>lost money</v>
      </c>
    </row>
    <row r="6476" spans="1:10">
      <c r="A6476" s="1">
        <v>41232</v>
      </c>
      <c r="B6476">
        <v>26.8</v>
      </c>
      <c r="C6476">
        <v>26.8</v>
      </c>
      <c r="D6476">
        <v>26.47</v>
      </c>
      <c r="E6476">
        <v>26.73</v>
      </c>
      <c r="F6476">
        <v>57179300</v>
      </c>
      <c r="G6476">
        <v>25.94</v>
      </c>
      <c r="H6476" t="s">
        <v>6</v>
      </c>
      <c r="I6476" s="22">
        <f t="shared" si="203"/>
        <v>7.739976720317252E-3</v>
      </c>
      <c r="J6476" s="22" t="str">
        <f t="shared" si="204"/>
        <v>lost money</v>
      </c>
    </row>
    <row r="6477" spans="1:10">
      <c r="A6477" s="1">
        <v>41233</v>
      </c>
      <c r="B6477">
        <v>26.76</v>
      </c>
      <c r="C6477">
        <v>26.8</v>
      </c>
      <c r="D6477">
        <v>26.46</v>
      </c>
      <c r="E6477">
        <v>26.71</v>
      </c>
      <c r="F6477">
        <v>47070400</v>
      </c>
      <c r="G6477">
        <v>25.93</v>
      </c>
      <c r="H6477" t="s">
        <v>6</v>
      </c>
      <c r="I6477" s="22">
        <f t="shared" si="203"/>
        <v>-3.8557933772485756E-4</v>
      </c>
      <c r="J6477" s="22" t="str">
        <f t="shared" si="204"/>
        <v>lost money</v>
      </c>
    </row>
    <row r="6478" spans="1:10">
      <c r="A6478" s="1">
        <v>41234</v>
      </c>
      <c r="B6478">
        <v>26.71</v>
      </c>
      <c r="C6478">
        <v>27.17</v>
      </c>
      <c r="D6478">
        <v>26.67</v>
      </c>
      <c r="E6478">
        <v>26.95</v>
      </c>
      <c r="F6478">
        <v>66360300</v>
      </c>
      <c r="G6478">
        <v>26.16</v>
      </c>
      <c r="H6478" t="s">
        <v>6</v>
      </c>
      <c r="I6478" s="22">
        <f t="shared" si="203"/>
        <v>8.830927038424986E-3</v>
      </c>
      <c r="J6478" s="22" t="str">
        <f t="shared" si="204"/>
        <v/>
      </c>
    </row>
    <row r="6479" spans="1:10">
      <c r="A6479" s="1">
        <v>41236</v>
      </c>
      <c r="B6479">
        <v>27.23</v>
      </c>
      <c r="C6479">
        <v>27.77</v>
      </c>
      <c r="D6479">
        <v>27.2</v>
      </c>
      <c r="E6479">
        <v>27.7</v>
      </c>
      <c r="F6479">
        <v>57845700</v>
      </c>
      <c r="G6479">
        <v>26.89</v>
      </c>
      <c r="H6479" t="s">
        <v>6</v>
      </c>
      <c r="I6479" s="22">
        <f t="shared" si="203"/>
        <v>2.7522943691775395E-2</v>
      </c>
      <c r="J6479" s="22" t="str">
        <f t="shared" si="204"/>
        <v/>
      </c>
    </row>
    <row r="6480" spans="1:10">
      <c r="A6480" s="1">
        <v>41239</v>
      </c>
      <c r="B6480">
        <v>27.54</v>
      </c>
      <c r="C6480">
        <v>27.58</v>
      </c>
      <c r="D6480">
        <v>27.17</v>
      </c>
      <c r="E6480">
        <v>27.39</v>
      </c>
      <c r="F6480">
        <v>85198700</v>
      </c>
      <c r="G6480">
        <v>26.59</v>
      </c>
      <c r="H6480" t="s">
        <v>6</v>
      </c>
      <c r="I6480" s="22">
        <f t="shared" si="203"/>
        <v>-1.1219265025844867E-2</v>
      </c>
      <c r="J6480" s="22" t="str">
        <f t="shared" si="204"/>
        <v>lost money</v>
      </c>
    </row>
    <row r="6481" spans="1:10">
      <c r="A6481" s="1">
        <v>41240</v>
      </c>
      <c r="B6481">
        <v>27.36</v>
      </c>
      <c r="C6481">
        <v>27.38</v>
      </c>
      <c r="D6481">
        <v>27.04</v>
      </c>
      <c r="E6481">
        <v>27.08</v>
      </c>
      <c r="F6481">
        <v>45018600</v>
      </c>
      <c r="G6481">
        <v>26.28</v>
      </c>
      <c r="H6481" t="s">
        <v>6</v>
      </c>
      <c r="I6481" s="22">
        <f t="shared" si="203"/>
        <v>-1.1727011638518652E-2</v>
      </c>
      <c r="J6481" s="22" t="str">
        <f t="shared" si="204"/>
        <v>lost money</v>
      </c>
    </row>
    <row r="6482" spans="1:10">
      <c r="A6482" s="1">
        <v>41241</v>
      </c>
      <c r="B6482">
        <v>27.01</v>
      </c>
      <c r="C6482">
        <v>27.39</v>
      </c>
      <c r="D6482">
        <v>26.77</v>
      </c>
      <c r="E6482">
        <v>27.36</v>
      </c>
      <c r="F6482">
        <v>53018400</v>
      </c>
      <c r="G6482">
        <v>26.56</v>
      </c>
      <c r="H6482" t="s">
        <v>6</v>
      </c>
      <c r="I6482" s="22">
        <f t="shared" si="203"/>
        <v>1.0598130991823284E-2</v>
      </c>
      <c r="J6482" s="22" t="str">
        <f t="shared" si="204"/>
        <v/>
      </c>
    </row>
    <row r="6483" spans="1:10">
      <c r="A6483" s="1">
        <v>41242</v>
      </c>
      <c r="B6483">
        <v>27.11</v>
      </c>
      <c r="C6483">
        <v>27.36</v>
      </c>
      <c r="D6483">
        <v>26.86</v>
      </c>
      <c r="E6483">
        <v>26.95</v>
      </c>
      <c r="F6483">
        <v>69551400</v>
      </c>
      <c r="G6483">
        <v>26.16</v>
      </c>
      <c r="H6483" t="s">
        <v>6</v>
      </c>
      <c r="I6483" s="22">
        <f t="shared" si="203"/>
        <v>-1.5174798019235115E-2</v>
      </c>
      <c r="J6483" s="22" t="str">
        <f t="shared" si="204"/>
        <v>lost money</v>
      </c>
    </row>
    <row r="6484" spans="1:10">
      <c r="A6484" s="1">
        <v>41243</v>
      </c>
      <c r="B6484">
        <v>27.05</v>
      </c>
      <c r="C6484">
        <v>27.13</v>
      </c>
      <c r="D6484">
        <v>26.49</v>
      </c>
      <c r="E6484">
        <v>26.62</v>
      </c>
      <c r="F6484">
        <v>83690200</v>
      </c>
      <c r="G6484">
        <v>25.84</v>
      </c>
      <c r="H6484" t="s">
        <v>6</v>
      </c>
      <c r="I6484" s="22">
        <f t="shared" si="203"/>
        <v>-1.2307847674596814E-2</v>
      </c>
      <c r="J6484" s="22" t="str">
        <f t="shared" si="204"/>
        <v>lost money</v>
      </c>
    </row>
    <row r="6485" spans="1:10">
      <c r="A6485" s="1">
        <v>41246</v>
      </c>
      <c r="B6485">
        <v>26.78</v>
      </c>
      <c r="C6485">
        <v>26.82</v>
      </c>
      <c r="D6485">
        <v>26.4</v>
      </c>
      <c r="E6485">
        <v>26.43</v>
      </c>
      <c r="F6485">
        <v>53173800</v>
      </c>
      <c r="G6485">
        <v>25.65</v>
      </c>
      <c r="H6485" t="s">
        <v>6</v>
      </c>
      <c r="I6485" s="22">
        <f t="shared" si="203"/>
        <v>-7.3801072976226456E-3</v>
      </c>
      <c r="J6485" s="22" t="str">
        <f t="shared" si="204"/>
        <v>lost money</v>
      </c>
    </row>
    <row r="6486" spans="1:10">
      <c r="A6486" s="1">
        <v>41247</v>
      </c>
      <c r="B6486">
        <v>26.5</v>
      </c>
      <c r="C6486">
        <v>26.63</v>
      </c>
      <c r="D6486">
        <v>26.34</v>
      </c>
      <c r="E6486">
        <v>26.37</v>
      </c>
      <c r="F6486">
        <v>49777500</v>
      </c>
      <c r="G6486">
        <v>25.6</v>
      </c>
      <c r="H6486" t="s">
        <v>6</v>
      </c>
      <c r="I6486" s="22">
        <f t="shared" si="203"/>
        <v>-1.9512201312616936E-3</v>
      </c>
      <c r="J6486" s="22" t="str">
        <f t="shared" si="204"/>
        <v>lost money</v>
      </c>
    </row>
    <row r="6487" spans="1:10">
      <c r="A6487" s="1">
        <v>41248</v>
      </c>
      <c r="B6487">
        <v>26.38</v>
      </c>
      <c r="C6487">
        <v>26.93</v>
      </c>
      <c r="D6487">
        <v>26.26</v>
      </c>
      <c r="E6487">
        <v>26.67</v>
      </c>
      <c r="F6487">
        <v>68283800</v>
      </c>
      <c r="G6487">
        <v>25.89</v>
      </c>
      <c r="H6487" t="s">
        <v>6</v>
      </c>
      <c r="I6487" s="22">
        <f t="shared" si="203"/>
        <v>1.1264442277929389E-2</v>
      </c>
      <c r="J6487" s="22" t="str">
        <f t="shared" si="204"/>
        <v/>
      </c>
    </row>
    <row r="6488" spans="1:10">
      <c r="A6488" s="1">
        <v>41249</v>
      </c>
      <c r="B6488">
        <v>26.81</v>
      </c>
      <c r="C6488">
        <v>26.98</v>
      </c>
      <c r="D6488">
        <v>26.61</v>
      </c>
      <c r="E6488">
        <v>26.73</v>
      </c>
      <c r="F6488">
        <v>39182300</v>
      </c>
      <c r="G6488">
        <v>25.94</v>
      </c>
      <c r="H6488" t="s">
        <v>6</v>
      </c>
      <c r="I6488" s="22">
        <f t="shared" si="203"/>
        <v>1.9293851248515801E-3</v>
      </c>
      <c r="J6488" s="22" t="str">
        <f t="shared" si="204"/>
        <v>lost money</v>
      </c>
    </row>
    <row r="6489" spans="1:10">
      <c r="A6489" s="1">
        <v>41250</v>
      </c>
      <c r="B6489">
        <v>26.82</v>
      </c>
      <c r="C6489">
        <v>26.82</v>
      </c>
      <c r="D6489">
        <v>26.37</v>
      </c>
      <c r="E6489">
        <v>26.46</v>
      </c>
      <c r="F6489">
        <v>46162100</v>
      </c>
      <c r="G6489">
        <v>25.68</v>
      </c>
      <c r="H6489" t="s">
        <v>6</v>
      </c>
      <c r="I6489" s="22">
        <f t="shared" si="203"/>
        <v>-1.0073700066537508E-2</v>
      </c>
      <c r="J6489" s="22" t="str">
        <f t="shared" si="204"/>
        <v>lost money</v>
      </c>
    </row>
    <row r="6490" spans="1:10">
      <c r="A6490" s="1">
        <v>41253</v>
      </c>
      <c r="B6490">
        <v>26.56</v>
      </c>
      <c r="C6490">
        <v>26.97</v>
      </c>
      <c r="D6490">
        <v>26.52</v>
      </c>
      <c r="E6490">
        <v>26.94</v>
      </c>
      <c r="F6490">
        <v>47031100</v>
      </c>
      <c r="G6490">
        <v>26.15</v>
      </c>
      <c r="H6490" t="s">
        <v>6</v>
      </c>
      <c r="I6490" s="22">
        <f t="shared" si="203"/>
        <v>1.8136711689171497E-2</v>
      </c>
      <c r="J6490" s="22" t="str">
        <f t="shared" si="204"/>
        <v/>
      </c>
    </row>
    <row r="6491" spans="1:10">
      <c r="A6491" s="1">
        <v>41254</v>
      </c>
      <c r="B6491">
        <v>27.05</v>
      </c>
      <c r="C6491">
        <v>27.49</v>
      </c>
      <c r="D6491">
        <v>27.05</v>
      </c>
      <c r="E6491">
        <v>27.32</v>
      </c>
      <c r="F6491">
        <v>52282800</v>
      </c>
      <c r="G6491">
        <v>26.52</v>
      </c>
      <c r="H6491" t="s">
        <v>6</v>
      </c>
      <c r="I6491" s="22">
        <f t="shared" si="203"/>
        <v>1.404997480672999E-2</v>
      </c>
      <c r="J6491" s="22" t="str">
        <f t="shared" si="204"/>
        <v/>
      </c>
    </row>
    <row r="6492" spans="1:10">
      <c r="A6492" s="1">
        <v>41255</v>
      </c>
      <c r="B6492">
        <v>27.53</v>
      </c>
      <c r="C6492">
        <v>27.62</v>
      </c>
      <c r="D6492">
        <v>27.08</v>
      </c>
      <c r="E6492">
        <v>27.24</v>
      </c>
      <c r="F6492">
        <v>43966300</v>
      </c>
      <c r="G6492">
        <v>26.44</v>
      </c>
      <c r="H6492" t="s">
        <v>6</v>
      </c>
      <c r="I6492" s="22">
        <f t="shared" si="203"/>
        <v>-3.0211503341762112E-3</v>
      </c>
      <c r="J6492" s="22" t="str">
        <f t="shared" si="204"/>
        <v>lost money</v>
      </c>
    </row>
    <row r="6493" spans="1:10">
      <c r="A6493" s="1">
        <v>41256</v>
      </c>
      <c r="B6493">
        <v>27.32</v>
      </c>
      <c r="C6493">
        <v>27.52</v>
      </c>
      <c r="D6493">
        <v>26.95</v>
      </c>
      <c r="E6493">
        <v>27.11</v>
      </c>
      <c r="F6493">
        <v>45080100</v>
      </c>
      <c r="G6493">
        <v>26.31</v>
      </c>
      <c r="H6493" t="s">
        <v>6</v>
      </c>
      <c r="I6493" s="22">
        <f t="shared" si="203"/>
        <v>-4.9289199312842211E-3</v>
      </c>
      <c r="J6493" s="22" t="str">
        <f t="shared" si="204"/>
        <v>lost money</v>
      </c>
    </row>
    <row r="6494" spans="1:10">
      <c r="A6494" s="1">
        <v>41257</v>
      </c>
      <c r="B6494">
        <v>27.11</v>
      </c>
      <c r="C6494">
        <v>27.13</v>
      </c>
      <c r="D6494">
        <v>26.7</v>
      </c>
      <c r="E6494">
        <v>26.81</v>
      </c>
      <c r="F6494">
        <v>42077500</v>
      </c>
      <c r="G6494">
        <v>26.02</v>
      </c>
      <c r="H6494" t="s">
        <v>6</v>
      </c>
      <c r="I6494" s="22">
        <f t="shared" si="203"/>
        <v>-1.1083621967842155E-2</v>
      </c>
      <c r="J6494" s="22" t="str">
        <f t="shared" si="204"/>
        <v>lost money</v>
      </c>
    </row>
    <row r="6495" spans="1:10">
      <c r="A6495" s="1">
        <v>41260</v>
      </c>
      <c r="B6495">
        <v>26.79</v>
      </c>
      <c r="C6495">
        <v>27.22</v>
      </c>
      <c r="D6495">
        <v>26.68</v>
      </c>
      <c r="E6495">
        <v>27.1</v>
      </c>
      <c r="F6495">
        <v>42046100</v>
      </c>
      <c r="G6495">
        <v>26.3</v>
      </c>
      <c r="H6495" t="s">
        <v>6</v>
      </c>
      <c r="I6495" s="22">
        <f t="shared" si="203"/>
        <v>1.0703466099359613E-2</v>
      </c>
      <c r="J6495" s="22" t="str">
        <f t="shared" si="204"/>
        <v/>
      </c>
    </row>
    <row r="6496" spans="1:10">
      <c r="A6496" s="1">
        <v>41261</v>
      </c>
      <c r="B6496">
        <v>27.25</v>
      </c>
      <c r="C6496">
        <v>27.63</v>
      </c>
      <c r="D6496">
        <v>27.14</v>
      </c>
      <c r="E6496">
        <v>27.56</v>
      </c>
      <c r="F6496">
        <v>50486900</v>
      </c>
      <c r="G6496">
        <v>26.75</v>
      </c>
      <c r="H6496" t="s">
        <v>6</v>
      </c>
      <c r="I6496" s="22">
        <f t="shared" si="203"/>
        <v>1.6965534158296668E-2</v>
      </c>
      <c r="J6496" s="22" t="str">
        <f t="shared" si="204"/>
        <v/>
      </c>
    </row>
    <row r="6497" spans="1:10">
      <c r="A6497" s="1">
        <v>41262</v>
      </c>
      <c r="B6497">
        <v>27.69</v>
      </c>
      <c r="C6497">
        <v>27.73</v>
      </c>
      <c r="D6497">
        <v>27.25</v>
      </c>
      <c r="E6497">
        <v>27.31</v>
      </c>
      <c r="F6497">
        <v>53519900</v>
      </c>
      <c r="G6497">
        <v>26.51</v>
      </c>
      <c r="H6497" t="s">
        <v>6</v>
      </c>
      <c r="I6497" s="22">
        <f t="shared" si="203"/>
        <v>-9.0124530410813797E-3</v>
      </c>
      <c r="J6497" s="22" t="str">
        <f t="shared" si="204"/>
        <v>lost money</v>
      </c>
    </row>
    <row r="6498" spans="1:10">
      <c r="A6498" s="1">
        <v>41263</v>
      </c>
      <c r="B6498">
        <v>27.36</v>
      </c>
      <c r="C6498">
        <v>27.68</v>
      </c>
      <c r="D6498">
        <v>27.15</v>
      </c>
      <c r="E6498">
        <v>27.68</v>
      </c>
      <c r="F6498">
        <v>52607300</v>
      </c>
      <c r="G6498">
        <v>26.87</v>
      </c>
      <c r="H6498" t="s">
        <v>6</v>
      </c>
      <c r="I6498" s="22">
        <f t="shared" si="203"/>
        <v>1.3488402326465579E-2</v>
      </c>
      <c r="J6498" s="22" t="str">
        <f t="shared" si="204"/>
        <v/>
      </c>
    </row>
    <row r="6499" spans="1:10">
      <c r="A6499" s="1">
        <v>41264</v>
      </c>
      <c r="B6499">
        <v>27.45</v>
      </c>
      <c r="C6499">
        <v>27.49</v>
      </c>
      <c r="D6499">
        <v>27</v>
      </c>
      <c r="E6499">
        <v>27.45</v>
      </c>
      <c r="F6499">
        <v>98776500</v>
      </c>
      <c r="G6499">
        <v>26.64</v>
      </c>
      <c r="H6499" t="s">
        <v>6</v>
      </c>
      <c r="I6499" s="22">
        <f t="shared" si="203"/>
        <v>-8.5965769552114896E-3</v>
      </c>
      <c r="J6499" s="22" t="str">
        <f t="shared" si="204"/>
        <v/>
      </c>
    </row>
    <row r="6500" spans="1:10">
      <c r="A6500" s="1">
        <v>41267</v>
      </c>
      <c r="B6500">
        <v>27.2</v>
      </c>
      <c r="C6500">
        <v>27.25</v>
      </c>
      <c r="D6500">
        <v>27</v>
      </c>
      <c r="E6500">
        <v>27.06</v>
      </c>
      <c r="F6500">
        <v>20842400</v>
      </c>
      <c r="G6500">
        <v>26.27</v>
      </c>
      <c r="H6500" t="s">
        <v>6</v>
      </c>
      <c r="I6500" s="22">
        <f t="shared" si="203"/>
        <v>-1.3986241974739952E-2</v>
      </c>
      <c r="J6500" s="22" t="str">
        <f t="shared" si="204"/>
        <v>lost money</v>
      </c>
    </row>
    <row r="6501" spans="1:10">
      <c r="A6501" s="1">
        <v>41269</v>
      </c>
      <c r="B6501">
        <v>27.03</v>
      </c>
      <c r="C6501">
        <v>27.2</v>
      </c>
      <c r="D6501">
        <v>26.7</v>
      </c>
      <c r="E6501">
        <v>26.86</v>
      </c>
      <c r="F6501">
        <v>31631100</v>
      </c>
      <c r="G6501">
        <v>26.07</v>
      </c>
      <c r="H6501" t="s">
        <v>6</v>
      </c>
      <c r="I6501" s="22">
        <f t="shared" si="203"/>
        <v>-7.6423757520381348E-3</v>
      </c>
      <c r="J6501" s="22" t="str">
        <f t="shared" si="204"/>
        <v>lost money</v>
      </c>
    </row>
    <row r="6502" spans="1:10">
      <c r="A6502" s="1">
        <v>41270</v>
      </c>
      <c r="B6502">
        <v>26.89</v>
      </c>
      <c r="C6502">
        <v>27.09</v>
      </c>
      <c r="D6502">
        <v>26.57</v>
      </c>
      <c r="E6502">
        <v>26.96</v>
      </c>
      <c r="F6502">
        <v>39394000</v>
      </c>
      <c r="G6502">
        <v>26.17</v>
      </c>
      <c r="H6502" t="s">
        <v>6</v>
      </c>
      <c r="I6502" s="22">
        <f t="shared" si="203"/>
        <v>3.8284885966442419E-3</v>
      </c>
      <c r="J6502" s="22" t="str">
        <f t="shared" si="204"/>
        <v/>
      </c>
    </row>
    <row r="6503" spans="1:10">
      <c r="A6503" s="1">
        <v>41271</v>
      </c>
      <c r="B6503">
        <v>26.71</v>
      </c>
      <c r="C6503">
        <v>26.9</v>
      </c>
      <c r="D6503">
        <v>26.55</v>
      </c>
      <c r="E6503">
        <v>26.55</v>
      </c>
      <c r="F6503">
        <v>28239900</v>
      </c>
      <c r="G6503">
        <v>25.77</v>
      </c>
      <c r="H6503" t="s">
        <v>6</v>
      </c>
      <c r="I6503" s="22">
        <f t="shared" si="203"/>
        <v>-1.5402691877780846E-2</v>
      </c>
      <c r="J6503" s="22" t="str">
        <f t="shared" si="204"/>
        <v>lost money</v>
      </c>
    </row>
    <row r="6504" spans="1:10">
      <c r="A6504" s="1">
        <v>41274</v>
      </c>
      <c r="B6504">
        <v>26.59</v>
      </c>
      <c r="C6504">
        <v>26.77</v>
      </c>
      <c r="D6504">
        <v>26.37</v>
      </c>
      <c r="E6504">
        <v>26.71</v>
      </c>
      <c r="F6504">
        <v>42749500</v>
      </c>
      <c r="G6504">
        <v>25.93</v>
      </c>
      <c r="H6504" t="s">
        <v>6</v>
      </c>
      <c r="I6504" s="22">
        <f t="shared" si="203"/>
        <v>6.189574886299269E-3</v>
      </c>
      <c r="J6504" s="22" t="str">
        <f t="shared" si="204"/>
        <v/>
      </c>
    </row>
    <row r="6505" spans="1:10">
      <c r="A6505" s="1">
        <v>41276</v>
      </c>
      <c r="B6505">
        <v>27.25</v>
      </c>
      <c r="C6505">
        <v>27.73</v>
      </c>
      <c r="D6505">
        <v>27.15</v>
      </c>
      <c r="E6505">
        <v>27.62</v>
      </c>
      <c r="F6505">
        <v>52899300</v>
      </c>
      <c r="G6505">
        <v>26.81</v>
      </c>
      <c r="H6505" t="s">
        <v>6</v>
      </c>
      <c r="I6505" s="22">
        <f t="shared" si="203"/>
        <v>3.3374352697294773E-2</v>
      </c>
      <c r="J6505" s="22" t="str">
        <f t="shared" si="204"/>
        <v/>
      </c>
    </row>
    <row r="6506" spans="1:10">
      <c r="A6506" s="1">
        <v>41277</v>
      </c>
      <c r="B6506">
        <v>27.63</v>
      </c>
      <c r="C6506">
        <v>27.65</v>
      </c>
      <c r="D6506">
        <v>27.16</v>
      </c>
      <c r="E6506">
        <v>27.25</v>
      </c>
      <c r="F6506">
        <v>48294400</v>
      </c>
      <c r="G6506">
        <v>26.45</v>
      </c>
      <c r="H6506" t="s">
        <v>6</v>
      </c>
      <c r="I6506" s="22">
        <f t="shared" si="203"/>
        <v>-1.3518793943559494E-2</v>
      </c>
      <c r="J6506" s="22" t="str">
        <f t="shared" si="204"/>
        <v>lost money</v>
      </c>
    </row>
    <row r="6507" spans="1:10">
      <c r="A6507" s="1">
        <v>41278</v>
      </c>
      <c r="B6507">
        <v>27.27</v>
      </c>
      <c r="C6507">
        <v>27.34</v>
      </c>
      <c r="D6507">
        <v>26.73</v>
      </c>
      <c r="E6507">
        <v>26.74</v>
      </c>
      <c r="F6507">
        <v>52521100</v>
      </c>
      <c r="G6507">
        <v>25.95</v>
      </c>
      <c r="H6507" t="s">
        <v>6</v>
      </c>
      <c r="I6507" s="22">
        <f t="shared" si="203"/>
        <v>-1.9084548692410701E-2</v>
      </c>
      <c r="J6507" s="22" t="str">
        <f t="shared" si="204"/>
        <v>lost money</v>
      </c>
    </row>
    <row r="6508" spans="1:10">
      <c r="A6508" s="1">
        <v>41281</v>
      </c>
      <c r="B6508">
        <v>26.77</v>
      </c>
      <c r="C6508">
        <v>26.88</v>
      </c>
      <c r="D6508">
        <v>26.64</v>
      </c>
      <c r="E6508">
        <v>26.69</v>
      </c>
      <c r="F6508">
        <v>37110400</v>
      </c>
      <c r="G6508">
        <v>25.91</v>
      </c>
      <c r="H6508" t="s">
        <v>6</v>
      </c>
      <c r="I6508" s="22">
        <f t="shared" si="203"/>
        <v>-1.5426150378789662E-3</v>
      </c>
      <c r="J6508" s="22" t="str">
        <f t="shared" si="204"/>
        <v>lost money</v>
      </c>
    </row>
    <row r="6509" spans="1:10">
      <c r="A6509" s="1">
        <v>41282</v>
      </c>
      <c r="B6509">
        <v>26.75</v>
      </c>
      <c r="C6509">
        <v>26.79</v>
      </c>
      <c r="D6509">
        <v>26.46</v>
      </c>
      <c r="E6509">
        <v>26.55</v>
      </c>
      <c r="F6509">
        <v>44703100</v>
      </c>
      <c r="G6509">
        <v>25.77</v>
      </c>
      <c r="H6509" t="s">
        <v>6</v>
      </c>
      <c r="I6509" s="22">
        <f t="shared" si="203"/>
        <v>-5.4179699097449754E-3</v>
      </c>
      <c r="J6509" s="22" t="str">
        <f t="shared" si="204"/>
        <v>lost money</v>
      </c>
    </row>
    <row r="6510" spans="1:10">
      <c r="A6510" s="1">
        <v>41283</v>
      </c>
      <c r="B6510">
        <v>26.72</v>
      </c>
      <c r="C6510">
        <v>26.75</v>
      </c>
      <c r="D6510">
        <v>26.56</v>
      </c>
      <c r="E6510">
        <v>26.7</v>
      </c>
      <c r="F6510">
        <v>49047900</v>
      </c>
      <c r="G6510">
        <v>25.92</v>
      </c>
      <c r="H6510" t="s">
        <v>6</v>
      </c>
      <c r="I6510" s="22">
        <f t="shared" si="203"/>
        <v>5.803846819800269E-3</v>
      </c>
      <c r="J6510" s="22" t="str">
        <f t="shared" si="204"/>
        <v>lost money</v>
      </c>
    </row>
    <row r="6511" spans="1:10">
      <c r="A6511" s="1">
        <v>41284</v>
      </c>
      <c r="B6511">
        <v>26.65</v>
      </c>
      <c r="C6511">
        <v>26.98</v>
      </c>
      <c r="D6511">
        <v>26.29</v>
      </c>
      <c r="E6511">
        <v>26.46</v>
      </c>
      <c r="F6511">
        <v>71431300</v>
      </c>
      <c r="G6511">
        <v>25.68</v>
      </c>
      <c r="H6511" t="s">
        <v>6</v>
      </c>
      <c r="I6511" s="22">
        <f t="shared" si="203"/>
        <v>-9.3023926623135612E-3</v>
      </c>
      <c r="J6511" s="22" t="str">
        <f t="shared" si="204"/>
        <v>lost money</v>
      </c>
    </row>
    <row r="6512" spans="1:10">
      <c r="A6512" s="1">
        <v>41285</v>
      </c>
      <c r="B6512">
        <v>26.49</v>
      </c>
      <c r="C6512">
        <v>26.93</v>
      </c>
      <c r="D6512">
        <v>26.28</v>
      </c>
      <c r="E6512">
        <v>26.83</v>
      </c>
      <c r="F6512">
        <v>55512100</v>
      </c>
      <c r="G6512">
        <v>26.04</v>
      </c>
      <c r="H6512" t="s">
        <v>6</v>
      </c>
      <c r="I6512" s="22">
        <f t="shared" si="203"/>
        <v>1.3921338518608014E-2</v>
      </c>
      <c r="J6512" s="22" t="str">
        <f t="shared" si="204"/>
        <v/>
      </c>
    </row>
    <row r="6513" spans="1:10">
      <c r="A6513" s="1">
        <v>41288</v>
      </c>
      <c r="B6513">
        <v>26.9</v>
      </c>
      <c r="C6513">
        <v>27.08</v>
      </c>
      <c r="D6513">
        <v>26.76</v>
      </c>
      <c r="E6513">
        <v>26.89</v>
      </c>
      <c r="F6513">
        <v>48324400</v>
      </c>
      <c r="G6513">
        <v>26.1</v>
      </c>
      <c r="H6513" t="s">
        <v>6</v>
      </c>
      <c r="I6513" s="22">
        <f t="shared" si="203"/>
        <v>2.301496988279389E-3</v>
      </c>
      <c r="J6513" s="22" t="str">
        <f t="shared" si="204"/>
        <v>lost money</v>
      </c>
    </row>
    <row r="6514" spans="1:10">
      <c r="A6514" s="1">
        <v>41289</v>
      </c>
      <c r="B6514">
        <v>26.83</v>
      </c>
      <c r="C6514">
        <v>27.29</v>
      </c>
      <c r="D6514">
        <v>26.83</v>
      </c>
      <c r="E6514">
        <v>27.21</v>
      </c>
      <c r="F6514">
        <v>48244500</v>
      </c>
      <c r="G6514">
        <v>26.41</v>
      </c>
      <c r="H6514" t="s">
        <v>6</v>
      </c>
      <c r="I6514" s="22">
        <f t="shared" si="203"/>
        <v>1.1807411980393135E-2</v>
      </c>
      <c r="J6514" s="22" t="str">
        <f t="shared" si="204"/>
        <v/>
      </c>
    </row>
    <row r="6515" spans="1:10">
      <c r="A6515" s="1">
        <v>41290</v>
      </c>
      <c r="B6515">
        <v>27.15</v>
      </c>
      <c r="C6515">
        <v>27.23</v>
      </c>
      <c r="D6515">
        <v>27.01</v>
      </c>
      <c r="E6515">
        <v>27.04</v>
      </c>
      <c r="F6515">
        <v>41077400</v>
      </c>
      <c r="G6515">
        <v>26.25</v>
      </c>
      <c r="H6515" t="s">
        <v>6</v>
      </c>
      <c r="I6515" s="22">
        <f t="shared" si="203"/>
        <v>-6.0767372714081473E-3</v>
      </c>
      <c r="J6515" s="22" t="str">
        <f t="shared" si="204"/>
        <v>lost money</v>
      </c>
    </row>
    <row r="6516" spans="1:10">
      <c r="A6516" s="1">
        <v>41291</v>
      </c>
      <c r="B6516">
        <v>27.19</v>
      </c>
      <c r="C6516">
        <v>27.47</v>
      </c>
      <c r="D6516">
        <v>27.06</v>
      </c>
      <c r="E6516">
        <v>27.25</v>
      </c>
      <c r="F6516">
        <v>51685900</v>
      </c>
      <c r="G6516">
        <v>26.45</v>
      </c>
      <c r="H6516" t="s">
        <v>6</v>
      </c>
      <c r="I6516" s="22">
        <f t="shared" si="203"/>
        <v>7.5901692666756528E-3</v>
      </c>
      <c r="J6516" s="22" t="str">
        <f t="shared" si="204"/>
        <v/>
      </c>
    </row>
    <row r="6517" spans="1:10">
      <c r="A6517" s="1">
        <v>41292</v>
      </c>
      <c r="B6517">
        <v>27.1</v>
      </c>
      <c r="C6517">
        <v>27.29</v>
      </c>
      <c r="D6517">
        <v>27.04</v>
      </c>
      <c r="E6517">
        <v>27.25</v>
      </c>
      <c r="F6517">
        <v>52167700</v>
      </c>
      <c r="G6517">
        <v>26.45</v>
      </c>
      <c r="H6517" t="s">
        <v>6</v>
      </c>
      <c r="I6517" s="22">
        <f t="shared" si="203"/>
        <v>0</v>
      </c>
      <c r="J6517" s="22" t="str">
        <f t="shared" si="204"/>
        <v/>
      </c>
    </row>
    <row r="6518" spans="1:10">
      <c r="A6518" s="1">
        <v>41296</v>
      </c>
      <c r="B6518">
        <v>27.3</v>
      </c>
      <c r="C6518">
        <v>27.45</v>
      </c>
      <c r="D6518">
        <v>27</v>
      </c>
      <c r="E6518">
        <v>27.15</v>
      </c>
      <c r="F6518">
        <v>58650600</v>
      </c>
      <c r="G6518">
        <v>26.35</v>
      </c>
      <c r="H6518" t="s">
        <v>6</v>
      </c>
      <c r="I6518" s="22">
        <f t="shared" si="203"/>
        <v>-3.7878833169369803E-3</v>
      </c>
      <c r="J6518" s="22" t="str">
        <f t="shared" si="204"/>
        <v>lost money</v>
      </c>
    </row>
    <row r="6519" spans="1:10">
      <c r="A6519" s="1">
        <v>41297</v>
      </c>
      <c r="B6519">
        <v>27.2</v>
      </c>
      <c r="C6519">
        <v>27.64</v>
      </c>
      <c r="D6519">
        <v>27.2</v>
      </c>
      <c r="E6519">
        <v>27.61</v>
      </c>
      <c r="F6519">
        <v>50387700</v>
      </c>
      <c r="G6519">
        <v>26.8</v>
      </c>
      <c r="H6519" t="s">
        <v>6</v>
      </c>
      <c r="I6519" s="22">
        <f t="shared" si="203"/>
        <v>1.6933612529439673E-2</v>
      </c>
      <c r="J6519" s="22" t="str">
        <f t="shared" si="204"/>
        <v/>
      </c>
    </row>
    <row r="6520" spans="1:10">
      <c r="A6520" s="1">
        <v>41298</v>
      </c>
      <c r="B6520">
        <v>27.7</v>
      </c>
      <c r="C6520">
        <v>28.07</v>
      </c>
      <c r="D6520">
        <v>27.47</v>
      </c>
      <c r="E6520">
        <v>27.63</v>
      </c>
      <c r="F6520">
        <v>101739300</v>
      </c>
      <c r="G6520">
        <v>26.82</v>
      </c>
      <c r="H6520" t="s">
        <v>6</v>
      </c>
      <c r="I6520" s="22">
        <f t="shared" si="203"/>
        <v>7.4599033672139521E-4</v>
      </c>
      <c r="J6520" s="22" t="str">
        <f t="shared" si="204"/>
        <v>lost money</v>
      </c>
    </row>
    <row r="6521" spans="1:10">
      <c r="A6521" s="1">
        <v>41299</v>
      </c>
      <c r="B6521">
        <v>27.58</v>
      </c>
      <c r="C6521">
        <v>28.23</v>
      </c>
      <c r="D6521">
        <v>27.39</v>
      </c>
      <c r="E6521">
        <v>27.88</v>
      </c>
      <c r="F6521">
        <v>81847700</v>
      </c>
      <c r="G6521">
        <v>27.06</v>
      </c>
      <c r="H6521" t="s">
        <v>6</v>
      </c>
      <c r="I6521" s="22">
        <f t="shared" si="203"/>
        <v>8.9087448891094299E-3</v>
      </c>
      <c r="J6521" s="22" t="str">
        <f t="shared" si="204"/>
        <v/>
      </c>
    </row>
    <row r="6522" spans="1:10">
      <c r="A6522" s="1">
        <v>41302</v>
      </c>
      <c r="B6522">
        <v>28.01</v>
      </c>
      <c r="C6522">
        <v>28.23</v>
      </c>
      <c r="D6522">
        <v>27.76</v>
      </c>
      <c r="E6522">
        <v>27.91</v>
      </c>
      <c r="F6522">
        <v>56056500</v>
      </c>
      <c r="G6522">
        <v>27.09</v>
      </c>
      <c r="H6522" t="s">
        <v>6</v>
      </c>
      <c r="I6522" s="22">
        <f t="shared" si="203"/>
        <v>1.1080333543618645E-3</v>
      </c>
      <c r="J6522" s="22" t="str">
        <f t="shared" si="204"/>
        <v>lost money</v>
      </c>
    </row>
    <row r="6523" spans="1:10">
      <c r="A6523" s="1">
        <v>41303</v>
      </c>
      <c r="B6523">
        <v>27.82</v>
      </c>
      <c r="C6523">
        <v>28.13</v>
      </c>
      <c r="D6523">
        <v>27.6</v>
      </c>
      <c r="E6523">
        <v>28.01</v>
      </c>
      <c r="F6523">
        <v>49242600</v>
      </c>
      <c r="G6523">
        <v>27.19</v>
      </c>
      <c r="H6523" t="s">
        <v>6</v>
      </c>
      <c r="I6523" s="22">
        <f t="shared" si="203"/>
        <v>3.6846025473756504E-3</v>
      </c>
      <c r="J6523" s="22" t="str">
        <f t="shared" si="204"/>
        <v/>
      </c>
    </row>
    <row r="6524" spans="1:10">
      <c r="A6524" s="1">
        <v>41304</v>
      </c>
      <c r="B6524">
        <v>28.01</v>
      </c>
      <c r="C6524">
        <v>28.19</v>
      </c>
      <c r="D6524">
        <v>27.76</v>
      </c>
      <c r="E6524">
        <v>27.85</v>
      </c>
      <c r="F6524">
        <v>43580500</v>
      </c>
      <c r="G6524">
        <v>27.03</v>
      </c>
      <c r="H6524" t="s">
        <v>6</v>
      </c>
      <c r="I6524" s="22">
        <f t="shared" si="203"/>
        <v>-5.9018983560231181E-3</v>
      </c>
      <c r="J6524" s="22" t="str">
        <f t="shared" si="204"/>
        <v>lost money</v>
      </c>
    </row>
    <row r="6525" spans="1:10">
      <c r="A6525" s="1">
        <v>41305</v>
      </c>
      <c r="B6525">
        <v>27.79</v>
      </c>
      <c r="C6525">
        <v>27.97</v>
      </c>
      <c r="D6525">
        <v>27.4</v>
      </c>
      <c r="E6525">
        <v>27.45</v>
      </c>
      <c r="F6525">
        <v>50530000</v>
      </c>
      <c r="G6525">
        <v>26.64</v>
      </c>
      <c r="H6525" t="s">
        <v>6</v>
      </c>
      <c r="I6525" s="22">
        <f t="shared" si="203"/>
        <v>-1.4533514616167907E-2</v>
      </c>
      <c r="J6525" s="22" t="str">
        <f t="shared" si="204"/>
        <v>lost money</v>
      </c>
    </row>
    <row r="6526" spans="1:10">
      <c r="A6526" s="1">
        <v>41306</v>
      </c>
      <c r="B6526">
        <v>27.67</v>
      </c>
      <c r="C6526">
        <v>28.05</v>
      </c>
      <c r="D6526">
        <v>27.55</v>
      </c>
      <c r="E6526">
        <v>27.93</v>
      </c>
      <c r="F6526">
        <v>55565900</v>
      </c>
      <c r="G6526">
        <v>27.11</v>
      </c>
      <c r="H6526" t="s">
        <v>6</v>
      </c>
      <c r="I6526" s="22">
        <f t="shared" si="203"/>
        <v>1.7488817838385722E-2</v>
      </c>
      <c r="J6526" s="22" t="str">
        <f t="shared" si="204"/>
        <v/>
      </c>
    </row>
    <row r="6527" spans="1:10">
      <c r="A6527" s="1">
        <v>41309</v>
      </c>
      <c r="B6527">
        <v>27.87</v>
      </c>
      <c r="C6527">
        <v>28.02</v>
      </c>
      <c r="D6527">
        <v>27.42</v>
      </c>
      <c r="E6527">
        <v>27.44</v>
      </c>
      <c r="F6527">
        <v>50540000</v>
      </c>
      <c r="G6527">
        <v>26.63</v>
      </c>
      <c r="H6527" t="s">
        <v>6</v>
      </c>
      <c r="I6527" s="22">
        <f t="shared" si="203"/>
        <v>-1.7864263684733254E-2</v>
      </c>
      <c r="J6527" s="22" t="str">
        <f t="shared" si="204"/>
        <v>lost money</v>
      </c>
    </row>
    <row r="6528" spans="1:10">
      <c r="A6528" s="1">
        <v>41310</v>
      </c>
      <c r="B6528">
        <v>27.62</v>
      </c>
      <c r="C6528">
        <v>27.66</v>
      </c>
      <c r="D6528">
        <v>27.36</v>
      </c>
      <c r="E6528">
        <v>27.5</v>
      </c>
      <c r="F6528">
        <v>35410400</v>
      </c>
      <c r="G6528">
        <v>26.69</v>
      </c>
      <c r="H6528" t="s">
        <v>6</v>
      </c>
      <c r="I6528" s="22">
        <f t="shared" si="203"/>
        <v>2.2505635905919587E-3</v>
      </c>
      <c r="J6528" s="22" t="str">
        <f t="shared" si="204"/>
        <v>lost money</v>
      </c>
    </row>
    <row r="6529" spans="1:10">
      <c r="A6529" s="1">
        <v>41311</v>
      </c>
      <c r="B6529">
        <v>27.38</v>
      </c>
      <c r="C6529">
        <v>27.54</v>
      </c>
      <c r="D6529">
        <v>27.25</v>
      </c>
      <c r="E6529">
        <v>27.34</v>
      </c>
      <c r="F6529">
        <v>41889600</v>
      </c>
      <c r="G6529">
        <v>26.54</v>
      </c>
      <c r="H6529" t="s">
        <v>6</v>
      </c>
      <c r="I6529" s="22">
        <f t="shared" si="203"/>
        <v>-5.6359345123714166E-3</v>
      </c>
      <c r="J6529" s="22" t="str">
        <f t="shared" si="204"/>
        <v>lost money</v>
      </c>
    </row>
    <row r="6530" spans="1:10">
      <c r="A6530" s="1">
        <v>41312</v>
      </c>
      <c r="B6530">
        <v>27.35</v>
      </c>
      <c r="C6530">
        <v>27.39</v>
      </c>
      <c r="D6530">
        <v>27.1</v>
      </c>
      <c r="E6530">
        <v>27.28</v>
      </c>
      <c r="F6530">
        <v>38028300</v>
      </c>
      <c r="G6530">
        <v>26.48</v>
      </c>
      <c r="H6530" t="s">
        <v>6</v>
      </c>
      <c r="I6530" s="22">
        <f t="shared" si="203"/>
        <v>-2.2632978352539346E-3</v>
      </c>
      <c r="J6530" s="22" t="str">
        <f t="shared" si="204"/>
        <v>lost money</v>
      </c>
    </row>
    <row r="6531" spans="1:10">
      <c r="A6531" s="1">
        <v>41313</v>
      </c>
      <c r="B6531">
        <v>27.35</v>
      </c>
      <c r="C6531">
        <v>27.71</v>
      </c>
      <c r="D6531">
        <v>27.31</v>
      </c>
      <c r="E6531">
        <v>27.55</v>
      </c>
      <c r="F6531">
        <v>33318500</v>
      </c>
      <c r="G6531">
        <v>26.74</v>
      </c>
      <c r="H6531" t="s">
        <v>6</v>
      </c>
      <c r="I6531" s="22">
        <f t="shared" ref="I6531:I6594" si="205">IF(A6531=$A$2,"",LN(G6531/G6530))</f>
        <v>9.7708406049894954E-3</v>
      </c>
      <c r="J6531" s="22" t="str">
        <f t="shared" ref="J6531:J6594" si="206">IF(B6531&gt;E6531,"lost money","")</f>
        <v/>
      </c>
    </row>
    <row r="6532" spans="1:10">
      <c r="A6532" s="1">
        <v>41316</v>
      </c>
      <c r="B6532">
        <v>27.65</v>
      </c>
      <c r="C6532">
        <v>27.92</v>
      </c>
      <c r="D6532">
        <v>27.5</v>
      </c>
      <c r="E6532">
        <v>27.86</v>
      </c>
      <c r="F6532">
        <v>32247700</v>
      </c>
      <c r="G6532">
        <v>27.04</v>
      </c>
      <c r="H6532" t="s">
        <v>6</v>
      </c>
      <c r="I6532" s="22">
        <f t="shared" si="205"/>
        <v>1.115667950096621E-2</v>
      </c>
      <c r="J6532" s="22" t="str">
        <f t="shared" si="206"/>
        <v/>
      </c>
    </row>
    <row r="6533" spans="1:10">
      <c r="A6533" s="1">
        <v>41317</v>
      </c>
      <c r="B6533">
        <v>27.88</v>
      </c>
      <c r="C6533">
        <v>28</v>
      </c>
      <c r="D6533">
        <v>27.75</v>
      </c>
      <c r="E6533">
        <v>27.88</v>
      </c>
      <c r="F6533">
        <v>35990900</v>
      </c>
      <c r="G6533">
        <v>27.06</v>
      </c>
      <c r="H6533" t="s">
        <v>6</v>
      </c>
      <c r="I6533" s="22">
        <f t="shared" si="205"/>
        <v>7.3937156787867047E-4</v>
      </c>
      <c r="J6533" s="22" t="str">
        <f t="shared" si="206"/>
        <v/>
      </c>
    </row>
    <row r="6534" spans="1:10">
      <c r="A6534" s="1">
        <v>41318</v>
      </c>
      <c r="B6534">
        <v>27.93</v>
      </c>
      <c r="C6534">
        <v>28.11</v>
      </c>
      <c r="D6534">
        <v>27.88</v>
      </c>
      <c r="E6534">
        <v>28.03</v>
      </c>
      <c r="F6534">
        <v>41715600</v>
      </c>
      <c r="G6534">
        <v>27.21</v>
      </c>
      <c r="H6534" t="s">
        <v>6</v>
      </c>
      <c r="I6534" s="22">
        <f t="shared" si="205"/>
        <v>5.5279300525130108E-3</v>
      </c>
      <c r="J6534" s="22" t="str">
        <f t="shared" si="206"/>
        <v/>
      </c>
    </row>
    <row r="6535" spans="1:10">
      <c r="A6535" s="1">
        <v>41319</v>
      </c>
      <c r="B6535">
        <v>27.92</v>
      </c>
      <c r="C6535">
        <v>28.06</v>
      </c>
      <c r="D6535">
        <v>27.87</v>
      </c>
      <c r="E6535">
        <v>28.04</v>
      </c>
      <c r="F6535">
        <v>32663200</v>
      </c>
      <c r="G6535">
        <v>27.22</v>
      </c>
      <c r="H6535" t="s">
        <v>6</v>
      </c>
      <c r="I6535" s="22">
        <f t="shared" si="205"/>
        <v>3.6744442816510149E-4</v>
      </c>
      <c r="J6535" s="22" t="str">
        <f t="shared" si="206"/>
        <v/>
      </c>
    </row>
    <row r="6536" spans="1:10">
      <c r="A6536" s="1">
        <v>41320</v>
      </c>
      <c r="B6536">
        <v>28.04</v>
      </c>
      <c r="C6536">
        <v>28.16</v>
      </c>
      <c r="D6536">
        <v>27.88</v>
      </c>
      <c r="E6536">
        <v>28.01</v>
      </c>
      <c r="F6536">
        <v>49650900</v>
      </c>
      <c r="G6536">
        <v>27.19</v>
      </c>
      <c r="H6536" t="s">
        <v>6</v>
      </c>
      <c r="I6536" s="22">
        <f t="shared" si="205"/>
        <v>-1.102738578940524E-3</v>
      </c>
      <c r="J6536" s="22" t="str">
        <f t="shared" si="206"/>
        <v>lost money</v>
      </c>
    </row>
    <row r="6537" spans="1:10">
      <c r="A6537" s="1">
        <v>41324</v>
      </c>
      <c r="B6537">
        <v>27.88</v>
      </c>
      <c r="C6537">
        <v>28.09</v>
      </c>
      <c r="D6537">
        <v>27.8</v>
      </c>
      <c r="E6537">
        <v>28.05</v>
      </c>
      <c r="F6537">
        <v>38781400</v>
      </c>
      <c r="G6537">
        <v>27.45</v>
      </c>
      <c r="H6537" t="s">
        <v>6</v>
      </c>
      <c r="I6537" s="22">
        <f t="shared" si="205"/>
        <v>9.5169093111601866E-3</v>
      </c>
      <c r="J6537" s="22" t="str">
        <f t="shared" si="206"/>
        <v/>
      </c>
    </row>
    <row r="6538" spans="1:10">
      <c r="A6538" s="1">
        <v>41325</v>
      </c>
      <c r="B6538">
        <v>28.13</v>
      </c>
      <c r="C6538">
        <v>28.2</v>
      </c>
      <c r="D6538">
        <v>27.83</v>
      </c>
      <c r="E6538">
        <v>27.87</v>
      </c>
      <c r="F6538">
        <v>44110200</v>
      </c>
      <c r="G6538">
        <v>27.28</v>
      </c>
      <c r="H6538" t="s">
        <v>6</v>
      </c>
      <c r="I6538" s="22">
        <f t="shared" si="205"/>
        <v>-6.2123349802781979E-3</v>
      </c>
      <c r="J6538" s="22" t="str">
        <f t="shared" si="206"/>
        <v>lost money</v>
      </c>
    </row>
    <row r="6539" spans="1:10">
      <c r="A6539" s="1">
        <v>41326</v>
      </c>
      <c r="B6539">
        <v>27.74</v>
      </c>
      <c r="C6539">
        <v>27.74</v>
      </c>
      <c r="D6539">
        <v>27.23</v>
      </c>
      <c r="E6539">
        <v>27.49</v>
      </c>
      <c r="F6539">
        <v>49078500</v>
      </c>
      <c r="G6539">
        <v>26.9</v>
      </c>
      <c r="H6539" t="s">
        <v>6</v>
      </c>
      <c r="I6539" s="22">
        <f t="shared" si="205"/>
        <v>-1.4027546367468028E-2</v>
      </c>
      <c r="J6539" s="22" t="str">
        <f t="shared" si="206"/>
        <v>lost money</v>
      </c>
    </row>
    <row r="6540" spans="1:10">
      <c r="A6540" s="1">
        <v>41327</v>
      </c>
      <c r="B6540">
        <v>27.68</v>
      </c>
      <c r="C6540">
        <v>27.76</v>
      </c>
      <c r="D6540">
        <v>27.48</v>
      </c>
      <c r="E6540">
        <v>27.76</v>
      </c>
      <c r="F6540">
        <v>31425900</v>
      </c>
      <c r="G6540">
        <v>27.17</v>
      </c>
      <c r="H6540" t="s">
        <v>6</v>
      </c>
      <c r="I6540" s="22">
        <f t="shared" si="205"/>
        <v>9.9871368304631693E-3</v>
      </c>
      <c r="J6540" s="22" t="str">
        <f t="shared" si="206"/>
        <v/>
      </c>
    </row>
    <row r="6541" spans="1:10">
      <c r="A6541" s="1">
        <v>41330</v>
      </c>
      <c r="B6541">
        <v>27.97</v>
      </c>
      <c r="C6541">
        <v>28.05</v>
      </c>
      <c r="D6541">
        <v>27.37</v>
      </c>
      <c r="E6541">
        <v>27.37</v>
      </c>
      <c r="F6541">
        <v>48011800</v>
      </c>
      <c r="G6541">
        <v>26.79</v>
      </c>
      <c r="H6541" t="s">
        <v>6</v>
      </c>
      <c r="I6541" s="22">
        <f t="shared" si="205"/>
        <v>-1.4084739881739085E-2</v>
      </c>
      <c r="J6541" s="22" t="str">
        <f t="shared" si="206"/>
        <v>lost money</v>
      </c>
    </row>
    <row r="6542" spans="1:10">
      <c r="A6542" s="1">
        <v>41331</v>
      </c>
      <c r="B6542">
        <v>27.38</v>
      </c>
      <c r="C6542">
        <v>27.6</v>
      </c>
      <c r="D6542">
        <v>27.34</v>
      </c>
      <c r="E6542">
        <v>27.37</v>
      </c>
      <c r="F6542">
        <v>49923300</v>
      </c>
      <c r="G6542">
        <v>26.79</v>
      </c>
      <c r="H6542" t="s">
        <v>6</v>
      </c>
      <c r="I6542" s="22">
        <f t="shared" si="205"/>
        <v>0</v>
      </c>
      <c r="J6542" s="22" t="str">
        <f t="shared" si="206"/>
        <v>lost money</v>
      </c>
    </row>
    <row r="6543" spans="1:10">
      <c r="A6543" s="1">
        <v>41332</v>
      </c>
      <c r="B6543">
        <v>27.42</v>
      </c>
      <c r="C6543">
        <v>28</v>
      </c>
      <c r="D6543">
        <v>27.33</v>
      </c>
      <c r="E6543">
        <v>27.81</v>
      </c>
      <c r="F6543">
        <v>36394700</v>
      </c>
      <c r="G6543">
        <v>27.22</v>
      </c>
      <c r="H6543" t="s">
        <v>6</v>
      </c>
      <c r="I6543" s="22">
        <f t="shared" si="205"/>
        <v>1.5923313666802705E-2</v>
      </c>
      <c r="J6543" s="22" t="str">
        <f t="shared" si="206"/>
        <v/>
      </c>
    </row>
    <row r="6544" spans="1:10">
      <c r="A6544" s="1">
        <v>41333</v>
      </c>
      <c r="B6544">
        <v>27.88</v>
      </c>
      <c r="C6544">
        <v>27.97</v>
      </c>
      <c r="D6544">
        <v>27.74</v>
      </c>
      <c r="E6544">
        <v>27.8</v>
      </c>
      <c r="F6544">
        <v>35840200</v>
      </c>
      <c r="G6544">
        <v>27.21</v>
      </c>
      <c r="H6544" t="s">
        <v>6</v>
      </c>
      <c r="I6544" s="22">
        <f t="shared" si="205"/>
        <v>-3.6744442816500191E-4</v>
      </c>
      <c r="J6544" s="22" t="str">
        <f t="shared" si="206"/>
        <v>lost money</v>
      </c>
    </row>
    <row r="6545" spans="1:10">
      <c r="A6545" s="1">
        <v>41334</v>
      </c>
      <c r="B6545">
        <v>27.72</v>
      </c>
      <c r="C6545">
        <v>27.98</v>
      </c>
      <c r="D6545">
        <v>27.52</v>
      </c>
      <c r="E6545">
        <v>27.95</v>
      </c>
      <c r="F6545">
        <v>34849700</v>
      </c>
      <c r="G6545">
        <v>27.35</v>
      </c>
      <c r="H6545" t="s">
        <v>6</v>
      </c>
      <c r="I6545" s="22">
        <f t="shared" si="205"/>
        <v>5.1319760728352681E-3</v>
      </c>
      <c r="J6545" s="22" t="str">
        <f t="shared" si="206"/>
        <v/>
      </c>
    </row>
    <row r="6546" spans="1:10">
      <c r="A6546" s="1">
        <v>41337</v>
      </c>
      <c r="B6546">
        <v>27.85</v>
      </c>
      <c r="C6546">
        <v>28.15</v>
      </c>
      <c r="D6546">
        <v>27.7</v>
      </c>
      <c r="E6546">
        <v>28.15</v>
      </c>
      <c r="F6546">
        <v>38157500</v>
      </c>
      <c r="G6546">
        <v>27.55</v>
      </c>
      <c r="H6546" t="s">
        <v>6</v>
      </c>
      <c r="I6546" s="22">
        <f t="shared" si="205"/>
        <v>7.2860067309333133E-3</v>
      </c>
      <c r="J6546" s="22" t="str">
        <f t="shared" si="206"/>
        <v/>
      </c>
    </row>
    <row r="6547" spans="1:10">
      <c r="A6547" s="1">
        <v>41338</v>
      </c>
      <c r="B6547">
        <v>28.29</v>
      </c>
      <c r="C6547">
        <v>28.54</v>
      </c>
      <c r="D6547">
        <v>28.16</v>
      </c>
      <c r="E6547">
        <v>28.35</v>
      </c>
      <c r="F6547">
        <v>41432200</v>
      </c>
      <c r="G6547">
        <v>27.75</v>
      </c>
      <c r="H6547" t="s">
        <v>6</v>
      </c>
      <c r="I6547" s="22">
        <f t="shared" si="205"/>
        <v>7.2333045935200607E-3</v>
      </c>
      <c r="J6547" s="22" t="str">
        <f t="shared" si="206"/>
        <v/>
      </c>
    </row>
    <row r="6548" spans="1:10">
      <c r="A6548" s="1">
        <v>41339</v>
      </c>
      <c r="B6548">
        <v>28.21</v>
      </c>
      <c r="C6548">
        <v>28.23</v>
      </c>
      <c r="D6548">
        <v>27.78</v>
      </c>
      <c r="E6548">
        <v>28.09</v>
      </c>
      <c r="F6548">
        <v>51448500</v>
      </c>
      <c r="G6548">
        <v>27.49</v>
      </c>
      <c r="H6548" t="s">
        <v>6</v>
      </c>
      <c r="I6548" s="22">
        <f t="shared" si="205"/>
        <v>-9.4135380152891874E-3</v>
      </c>
      <c r="J6548" s="22" t="str">
        <f t="shared" si="206"/>
        <v>lost money</v>
      </c>
    </row>
    <row r="6549" spans="1:10">
      <c r="A6549" s="1">
        <v>41340</v>
      </c>
      <c r="B6549">
        <v>28.11</v>
      </c>
      <c r="C6549">
        <v>28.28</v>
      </c>
      <c r="D6549">
        <v>28.01</v>
      </c>
      <c r="E6549">
        <v>28.14</v>
      </c>
      <c r="F6549">
        <v>29196700</v>
      </c>
      <c r="G6549">
        <v>27.54</v>
      </c>
      <c r="H6549" t="s">
        <v>6</v>
      </c>
      <c r="I6549" s="22">
        <f t="shared" si="205"/>
        <v>1.8171911233545418E-3</v>
      </c>
      <c r="J6549" s="22" t="str">
        <f t="shared" si="206"/>
        <v/>
      </c>
    </row>
    <row r="6550" spans="1:10">
      <c r="A6550" s="1">
        <v>41341</v>
      </c>
      <c r="B6550">
        <v>28.25</v>
      </c>
      <c r="C6550">
        <v>28.33</v>
      </c>
      <c r="D6550">
        <v>27.96</v>
      </c>
      <c r="E6550">
        <v>28</v>
      </c>
      <c r="F6550">
        <v>37667800</v>
      </c>
      <c r="G6550">
        <v>27.4</v>
      </c>
      <c r="H6550" t="s">
        <v>6</v>
      </c>
      <c r="I6550" s="22">
        <f t="shared" si="205"/>
        <v>-5.0964799064843148E-3</v>
      </c>
      <c r="J6550" s="22" t="str">
        <f t="shared" si="206"/>
        <v>lost money</v>
      </c>
    </row>
    <row r="6551" spans="1:10">
      <c r="A6551" s="1">
        <v>41344</v>
      </c>
      <c r="B6551">
        <v>27.94</v>
      </c>
      <c r="C6551">
        <v>27.97</v>
      </c>
      <c r="D6551">
        <v>27.67</v>
      </c>
      <c r="E6551">
        <v>27.87</v>
      </c>
      <c r="F6551">
        <v>36627500</v>
      </c>
      <c r="G6551">
        <v>27.28</v>
      </c>
      <c r="H6551" t="s">
        <v>6</v>
      </c>
      <c r="I6551" s="22">
        <f t="shared" si="205"/>
        <v>-4.3891804187630957E-3</v>
      </c>
      <c r="J6551" s="22" t="str">
        <f t="shared" si="206"/>
        <v>lost money</v>
      </c>
    </row>
    <row r="6552" spans="1:10">
      <c r="A6552" s="1">
        <v>41345</v>
      </c>
      <c r="B6552">
        <v>27.84</v>
      </c>
      <c r="C6552">
        <v>27.95</v>
      </c>
      <c r="D6552">
        <v>27.64</v>
      </c>
      <c r="E6552">
        <v>27.91</v>
      </c>
      <c r="F6552">
        <v>39255200</v>
      </c>
      <c r="G6552">
        <v>27.31</v>
      </c>
      <c r="H6552" t="s">
        <v>6</v>
      </c>
      <c r="I6552" s="22">
        <f t="shared" si="205"/>
        <v>1.0991025103521783E-3</v>
      </c>
      <c r="J6552" s="22" t="str">
        <f t="shared" si="206"/>
        <v/>
      </c>
    </row>
    <row r="6553" spans="1:10">
      <c r="A6553" s="1">
        <v>41346</v>
      </c>
      <c r="B6553">
        <v>27.87</v>
      </c>
      <c r="C6553">
        <v>28.02</v>
      </c>
      <c r="D6553">
        <v>27.75</v>
      </c>
      <c r="E6553">
        <v>27.92</v>
      </c>
      <c r="F6553">
        <v>29093400</v>
      </c>
      <c r="G6553">
        <v>27.32</v>
      </c>
      <c r="H6553" t="s">
        <v>6</v>
      </c>
      <c r="I6553" s="22">
        <f t="shared" si="205"/>
        <v>3.6609921697567375E-4</v>
      </c>
      <c r="J6553" s="22" t="str">
        <f t="shared" si="206"/>
        <v/>
      </c>
    </row>
    <row r="6554" spans="1:10">
      <c r="A6554" s="1">
        <v>41347</v>
      </c>
      <c r="B6554">
        <v>28</v>
      </c>
      <c r="C6554">
        <v>28.16</v>
      </c>
      <c r="D6554">
        <v>27.93</v>
      </c>
      <c r="E6554">
        <v>28.14</v>
      </c>
      <c r="F6554">
        <v>55914800</v>
      </c>
      <c r="G6554">
        <v>27.54</v>
      </c>
      <c r="H6554" t="s">
        <v>6</v>
      </c>
      <c r="I6554" s="22">
        <f t="shared" si="205"/>
        <v>8.0204585979194599E-3</v>
      </c>
      <c r="J6554" s="22" t="str">
        <f t="shared" si="206"/>
        <v/>
      </c>
    </row>
    <row r="6555" spans="1:10">
      <c r="A6555" s="1">
        <v>41348</v>
      </c>
      <c r="B6555">
        <v>28.03</v>
      </c>
      <c r="C6555">
        <v>28.16</v>
      </c>
      <c r="D6555">
        <v>27.98</v>
      </c>
      <c r="E6555">
        <v>28.04</v>
      </c>
      <c r="F6555">
        <v>92710300</v>
      </c>
      <c r="G6555">
        <v>27.44</v>
      </c>
      <c r="H6555" t="s">
        <v>6</v>
      </c>
      <c r="I6555" s="22">
        <f t="shared" si="205"/>
        <v>-3.6376904428242493E-3</v>
      </c>
      <c r="J6555" s="22" t="str">
        <f t="shared" si="206"/>
        <v/>
      </c>
    </row>
    <row r="6556" spans="1:10">
      <c r="A6556" s="1">
        <v>41351</v>
      </c>
      <c r="B6556">
        <v>27.88</v>
      </c>
      <c r="C6556">
        <v>28.28</v>
      </c>
      <c r="D6556">
        <v>27.81</v>
      </c>
      <c r="E6556">
        <v>28.1</v>
      </c>
      <c r="F6556">
        <v>44809400</v>
      </c>
      <c r="G6556">
        <v>27.5</v>
      </c>
      <c r="H6556" t="s">
        <v>6</v>
      </c>
      <c r="I6556" s="22">
        <f t="shared" si="205"/>
        <v>2.1842018148409857E-3</v>
      </c>
      <c r="J6556" s="22" t="str">
        <f t="shared" si="206"/>
        <v/>
      </c>
    </row>
    <row r="6557" spans="1:10">
      <c r="A6557" s="1">
        <v>41352</v>
      </c>
      <c r="B6557">
        <v>28.12</v>
      </c>
      <c r="C6557">
        <v>28.22</v>
      </c>
      <c r="D6557">
        <v>28.03</v>
      </c>
      <c r="E6557">
        <v>28.18</v>
      </c>
      <c r="F6557">
        <v>51901600</v>
      </c>
      <c r="G6557">
        <v>27.58</v>
      </c>
      <c r="H6557" t="s">
        <v>6</v>
      </c>
      <c r="I6557" s="22">
        <f t="shared" si="205"/>
        <v>2.9048676926299857E-3</v>
      </c>
      <c r="J6557" s="22" t="str">
        <f t="shared" si="206"/>
        <v/>
      </c>
    </row>
    <row r="6558" spans="1:10">
      <c r="A6558" s="1">
        <v>41353</v>
      </c>
      <c r="B6558">
        <v>28.34</v>
      </c>
      <c r="C6558">
        <v>28.49</v>
      </c>
      <c r="D6558">
        <v>28.18</v>
      </c>
      <c r="E6558">
        <v>28.32</v>
      </c>
      <c r="F6558">
        <v>35447800</v>
      </c>
      <c r="G6558">
        <v>27.72</v>
      </c>
      <c r="H6558" t="s">
        <v>6</v>
      </c>
      <c r="I6558" s="22">
        <f t="shared" si="205"/>
        <v>5.0633019565468548E-3</v>
      </c>
      <c r="J6558" s="22" t="str">
        <f t="shared" si="206"/>
        <v>lost money</v>
      </c>
    </row>
    <row r="6559" spans="1:10">
      <c r="A6559" s="1">
        <v>41354</v>
      </c>
      <c r="B6559">
        <v>28.11</v>
      </c>
      <c r="C6559">
        <v>28.36</v>
      </c>
      <c r="D6559">
        <v>28.05</v>
      </c>
      <c r="E6559">
        <v>28.11</v>
      </c>
      <c r="F6559">
        <v>34233200</v>
      </c>
      <c r="G6559">
        <v>27.51</v>
      </c>
      <c r="H6559" t="s">
        <v>6</v>
      </c>
      <c r="I6559" s="22">
        <f t="shared" si="205"/>
        <v>-7.6045993852191917E-3</v>
      </c>
      <c r="J6559" s="22" t="str">
        <f t="shared" si="206"/>
        <v/>
      </c>
    </row>
    <row r="6560" spans="1:10">
      <c r="A6560" s="1">
        <v>41355</v>
      </c>
      <c r="B6560">
        <v>28.19</v>
      </c>
      <c r="C6560">
        <v>28.34</v>
      </c>
      <c r="D6560">
        <v>28.1</v>
      </c>
      <c r="E6560">
        <v>28.25</v>
      </c>
      <c r="F6560">
        <v>28720900</v>
      </c>
      <c r="G6560">
        <v>27.65</v>
      </c>
      <c r="H6560" t="s">
        <v>6</v>
      </c>
      <c r="I6560" s="22">
        <f t="shared" si="205"/>
        <v>5.0761530318605679E-3</v>
      </c>
      <c r="J6560" s="22" t="str">
        <f t="shared" si="206"/>
        <v/>
      </c>
    </row>
    <row r="6561" spans="1:10">
      <c r="A6561" s="1">
        <v>41358</v>
      </c>
      <c r="B6561">
        <v>28.3</v>
      </c>
      <c r="C6561">
        <v>28.35</v>
      </c>
      <c r="D6561">
        <v>27.96</v>
      </c>
      <c r="E6561">
        <v>28.16</v>
      </c>
      <c r="F6561">
        <v>44154000</v>
      </c>
      <c r="G6561">
        <v>27.56</v>
      </c>
      <c r="H6561" t="s">
        <v>6</v>
      </c>
      <c r="I6561" s="22">
        <f t="shared" si="205"/>
        <v>-3.2602818228859706E-3</v>
      </c>
      <c r="J6561" s="22" t="str">
        <f t="shared" si="206"/>
        <v>lost money</v>
      </c>
    </row>
    <row r="6562" spans="1:10">
      <c r="A6562" s="1">
        <v>41359</v>
      </c>
      <c r="B6562">
        <v>28.24</v>
      </c>
      <c r="C6562">
        <v>28.34</v>
      </c>
      <c r="D6562">
        <v>28.11</v>
      </c>
      <c r="E6562">
        <v>28.16</v>
      </c>
      <c r="F6562">
        <v>27824300</v>
      </c>
      <c r="G6562">
        <v>27.56</v>
      </c>
      <c r="H6562" t="s">
        <v>6</v>
      </c>
      <c r="I6562" s="22">
        <f t="shared" si="205"/>
        <v>0</v>
      </c>
      <c r="J6562" s="22" t="str">
        <f t="shared" si="206"/>
        <v>lost money</v>
      </c>
    </row>
    <row r="6563" spans="1:10">
      <c r="A6563" s="1">
        <v>41360</v>
      </c>
      <c r="B6563">
        <v>28.14</v>
      </c>
      <c r="C6563">
        <v>28.45</v>
      </c>
      <c r="D6563">
        <v>28.08</v>
      </c>
      <c r="E6563">
        <v>28.37</v>
      </c>
      <c r="F6563">
        <v>36047400</v>
      </c>
      <c r="G6563">
        <v>27.76</v>
      </c>
      <c r="H6563" t="s">
        <v>6</v>
      </c>
      <c r="I6563" s="22">
        <f t="shared" si="205"/>
        <v>7.2306894931459809E-3</v>
      </c>
      <c r="J6563" s="22" t="str">
        <f t="shared" si="206"/>
        <v/>
      </c>
    </row>
    <row r="6564" spans="1:10">
      <c r="A6564" s="1">
        <v>41361</v>
      </c>
      <c r="B6564">
        <v>28.32</v>
      </c>
      <c r="C6564">
        <v>28.66</v>
      </c>
      <c r="D6564">
        <v>28.26</v>
      </c>
      <c r="E6564">
        <v>28.61</v>
      </c>
      <c r="F6564">
        <v>55453800</v>
      </c>
      <c r="G6564">
        <v>28</v>
      </c>
      <c r="H6564" t="s">
        <v>6</v>
      </c>
      <c r="I6564" s="22">
        <f t="shared" si="205"/>
        <v>8.6083745366001014E-3</v>
      </c>
      <c r="J6564" s="22" t="str">
        <f t="shared" si="206"/>
        <v/>
      </c>
    </row>
    <row r="6565" spans="1:10">
      <c r="A6565" s="1">
        <v>41365</v>
      </c>
      <c r="B6565">
        <v>28.64</v>
      </c>
      <c r="C6565">
        <v>28.66</v>
      </c>
      <c r="D6565">
        <v>28.36</v>
      </c>
      <c r="E6565">
        <v>28.61</v>
      </c>
      <c r="F6565">
        <v>29201100</v>
      </c>
      <c r="G6565">
        <v>28</v>
      </c>
      <c r="H6565" t="s">
        <v>6</v>
      </c>
      <c r="I6565" s="22">
        <f t="shared" si="205"/>
        <v>0</v>
      </c>
      <c r="J6565" s="22" t="str">
        <f t="shared" si="206"/>
        <v>lost money</v>
      </c>
    </row>
    <row r="6566" spans="1:10">
      <c r="A6566" s="1">
        <v>41366</v>
      </c>
      <c r="B6566">
        <v>28.59</v>
      </c>
      <c r="C6566">
        <v>28.85</v>
      </c>
      <c r="D6566">
        <v>28.52</v>
      </c>
      <c r="E6566">
        <v>28.8</v>
      </c>
      <c r="F6566">
        <v>28456500</v>
      </c>
      <c r="G6566">
        <v>28.19</v>
      </c>
      <c r="H6566" t="s">
        <v>6</v>
      </c>
      <c r="I6566" s="22">
        <f t="shared" si="205"/>
        <v>6.7627949508173657E-3</v>
      </c>
      <c r="J6566" s="22" t="str">
        <f t="shared" si="206"/>
        <v/>
      </c>
    </row>
    <row r="6567" spans="1:10">
      <c r="A6567" s="1">
        <v>41367</v>
      </c>
      <c r="B6567">
        <v>28.75</v>
      </c>
      <c r="C6567">
        <v>28.95</v>
      </c>
      <c r="D6567">
        <v>28.54</v>
      </c>
      <c r="E6567">
        <v>28.56</v>
      </c>
      <c r="F6567">
        <v>35062800</v>
      </c>
      <c r="G6567">
        <v>27.95</v>
      </c>
      <c r="H6567" t="s">
        <v>6</v>
      </c>
      <c r="I6567" s="22">
        <f t="shared" si="205"/>
        <v>-8.5501055249131031E-3</v>
      </c>
      <c r="J6567" s="22" t="str">
        <f t="shared" si="206"/>
        <v>lost money</v>
      </c>
    </row>
    <row r="6568" spans="1:10">
      <c r="A6568" s="1">
        <v>41368</v>
      </c>
      <c r="B6568">
        <v>28.39</v>
      </c>
      <c r="C6568">
        <v>28.61</v>
      </c>
      <c r="D6568">
        <v>28.27</v>
      </c>
      <c r="E6568">
        <v>28.6</v>
      </c>
      <c r="F6568">
        <v>45263200</v>
      </c>
      <c r="G6568">
        <v>27.99</v>
      </c>
      <c r="H6568" t="s">
        <v>6</v>
      </c>
      <c r="I6568" s="22">
        <f t="shared" si="205"/>
        <v>1.4301039262538593E-3</v>
      </c>
      <c r="J6568" s="22" t="str">
        <f t="shared" si="206"/>
        <v/>
      </c>
    </row>
    <row r="6569" spans="1:10">
      <c r="A6569" s="1">
        <v>41369</v>
      </c>
      <c r="B6569">
        <v>28.22</v>
      </c>
      <c r="C6569">
        <v>28.78</v>
      </c>
      <c r="D6569">
        <v>28.11</v>
      </c>
      <c r="E6569">
        <v>28.7</v>
      </c>
      <c r="F6569">
        <v>50927300</v>
      </c>
      <c r="G6569">
        <v>28.09</v>
      </c>
      <c r="H6569" t="s">
        <v>6</v>
      </c>
      <c r="I6569" s="22">
        <f t="shared" si="205"/>
        <v>3.5663375887902142E-3</v>
      </c>
      <c r="J6569" s="22" t="str">
        <f t="shared" si="206"/>
        <v/>
      </c>
    </row>
    <row r="6570" spans="1:10">
      <c r="A6570" s="1">
        <v>41372</v>
      </c>
      <c r="B6570">
        <v>28.73</v>
      </c>
      <c r="C6570">
        <v>28.73</v>
      </c>
      <c r="D6570">
        <v>28.47</v>
      </c>
      <c r="E6570">
        <v>28.59</v>
      </c>
      <c r="F6570">
        <v>34759500</v>
      </c>
      <c r="G6570">
        <v>27.98</v>
      </c>
      <c r="H6570" t="s">
        <v>6</v>
      </c>
      <c r="I6570" s="22">
        <f t="shared" si="205"/>
        <v>-3.9236718788171893E-3</v>
      </c>
      <c r="J6570" s="22" t="str">
        <f t="shared" si="206"/>
        <v>lost money</v>
      </c>
    </row>
    <row r="6571" spans="1:10">
      <c r="A6571" s="1">
        <v>41373</v>
      </c>
      <c r="B6571">
        <v>28.73</v>
      </c>
      <c r="C6571">
        <v>29.82</v>
      </c>
      <c r="D6571">
        <v>28.68</v>
      </c>
      <c r="E6571">
        <v>29.61</v>
      </c>
      <c r="F6571">
        <v>77733800</v>
      </c>
      <c r="G6571">
        <v>28.98</v>
      </c>
      <c r="H6571" t="s">
        <v>6</v>
      </c>
      <c r="I6571" s="22">
        <f t="shared" si="205"/>
        <v>3.5115967655201141E-2</v>
      </c>
      <c r="J6571" s="22" t="str">
        <f t="shared" si="206"/>
        <v/>
      </c>
    </row>
    <row r="6572" spans="1:10">
      <c r="A6572" s="1">
        <v>41374</v>
      </c>
      <c r="B6572">
        <v>29.57</v>
      </c>
      <c r="C6572">
        <v>30.32</v>
      </c>
      <c r="D6572">
        <v>29.52</v>
      </c>
      <c r="E6572">
        <v>30.28</v>
      </c>
      <c r="F6572">
        <v>71116700</v>
      </c>
      <c r="G6572">
        <v>29.63</v>
      </c>
      <c r="H6572" t="s">
        <v>6</v>
      </c>
      <c r="I6572" s="22">
        <f t="shared" si="205"/>
        <v>2.2181424692937587E-2</v>
      </c>
      <c r="J6572" s="22" t="str">
        <f t="shared" si="206"/>
        <v/>
      </c>
    </row>
    <row r="6573" spans="1:10">
      <c r="A6573" s="1">
        <v>41375</v>
      </c>
      <c r="B6573">
        <v>29.1</v>
      </c>
      <c r="C6573">
        <v>29.2</v>
      </c>
      <c r="D6573">
        <v>28.73</v>
      </c>
      <c r="E6573">
        <v>28.94</v>
      </c>
      <c r="F6573">
        <v>130923200</v>
      </c>
      <c r="G6573">
        <v>28.32</v>
      </c>
      <c r="H6573" t="s">
        <v>6</v>
      </c>
      <c r="I6573" s="22">
        <f t="shared" si="205"/>
        <v>-4.5219092759954775E-2</v>
      </c>
      <c r="J6573" s="22" t="str">
        <f t="shared" si="206"/>
        <v>lost money</v>
      </c>
    </row>
    <row r="6574" spans="1:10">
      <c r="A6574" s="1">
        <v>41376</v>
      </c>
      <c r="B6574">
        <v>28.85</v>
      </c>
      <c r="C6574">
        <v>29.02</v>
      </c>
      <c r="D6574">
        <v>28.66</v>
      </c>
      <c r="E6574">
        <v>28.79</v>
      </c>
      <c r="F6574">
        <v>62886300</v>
      </c>
      <c r="G6574">
        <v>28.18</v>
      </c>
      <c r="H6574" t="s">
        <v>6</v>
      </c>
      <c r="I6574" s="22">
        <f t="shared" si="205"/>
        <v>-4.9557623549848773E-3</v>
      </c>
      <c r="J6574" s="22" t="str">
        <f t="shared" si="206"/>
        <v>lost money</v>
      </c>
    </row>
    <row r="6575" spans="1:10">
      <c r="A6575" s="1">
        <v>41379</v>
      </c>
      <c r="B6575">
        <v>28.65</v>
      </c>
      <c r="C6575">
        <v>28.98</v>
      </c>
      <c r="D6575">
        <v>28.51</v>
      </c>
      <c r="E6575">
        <v>28.69</v>
      </c>
      <c r="F6575">
        <v>56332900</v>
      </c>
      <c r="G6575">
        <v>28.08</v>
      </c>
      <c r="H6575" t="s">
        <v>6</v>
      </c>
      <c r="I6575" s="22">
        <f t="shared" si="205"/>
        <v>-3.5549273129238338E-3</v>
      </c>
      <c r="J6575" s="22" t="str">
        <f t="shared" si="206"/>
        <v/>
      </c>
    </row>
    <row r="6576" spans="1:10">
      <c r="A6576" s="1">
        <v>41380</v>
      </c>
      <c r="B6576">
        <v>28.9</v>
      </c>
      <c r="C6576">
        <v>29.14</v>
      </c>
      <c r="D6576">
        <v>28.7</v>
      </c>
      <c r="E6576">
        <v>28.97</v>
      </c>
      <c r="F6576">
        <v>52797300</v>
      </c>
      <c r="G6576">
        <v>28.35</v>
      </c>
      <c r="H6576" t="s">
        <v>6</v>
      </c>
      <c r="I6576" s="22">
        <f t="shared" si="205"/>
        <v>9.5694510161508928E-3</v>
      </c>
      <c r="J6576" s="22" t="str">
        <f t="shared" si="206"/>
        <v/>
      </c>
    </row>
    <row r="6577" spans="1:10">
      <c r="A6577" s="1">
        <v>41381</v>
      </c>
      <c r="B6577">
        <v>28.85</v>
      </c>
      <c r="C6577">
        <v>29.04</v>
      </c>
      <c r="D6577">
        <v>28.6</v>
      </c>
      <c r="E6577">
        <v>28.83</v>
      </c>
      <c r="F6577">
        <v>52840700</v>
      </c>
      <c r="G6577">
        <v>28.21</v>
      </c>
      <c r="H6577" t="s">
        <v>6</v>
      </c>
      <c r="I6577" s="22">
        <f t="shared" si="205"/>
        <v>-4.9505051598562029E-3</v>
      </c>
      <c r="J6577" s="22" t="str">
        <f t="shared" si="206"/>
        <v>lost money</v>
      </c>
    </row>
    <row r="6578" spans="1:10">
      <c r="A6578" s="1">
        <v>41382</v>
      </c>
      <c r="B6578">
        <v>28.95</v>
      </c>
      <c r="C6578">
        <v>28.98</v>
      </c>
      <c r="D6578">
        <v>28.5</v>
      </c>
      <c r="E6578">
        <v>28.79</v>
      </c>
      <c r="F6578">
        <v>56906600</v>
      </c>
      <c r="G6578">
        <v>28.18</v>
      </c>
      <c r="H6578" t="s">
        <v>6</v>
      </c>
      <c r="I6578" s="22">
        <f t="shared" si="205"/>
        <v>-1.0640185433708502E-3</v>
      </c>
      <c r="J6578" s="22" t="str">
        <f t="shared" si="206"/>
        <v>lost money</v>
      </c>
    </row>
    <row r="6579" spans="1:10">
      <c r="A6579" s="1">
        <v>41383</v>
      </c>
      <c r="B6579">
        <v>29.62</v>
      </c>
      <c r="C6579">
        <v>30.24</v>
      </c>
      <c r="D6579">
        <v>29.61</v>
      </c>
      <c r="E6579">
        <v>29.77</v>
      </c>
      <c r="F6579">
        <v>99790700</v>
      </c>
      <c r="G6579">
        <v>29.13</v>
      </c>
      <c r="H6579" t="s">
        <v>6</v>
      </c>
      <c r="I6579" s="22">
        <f t="shared" si="205"/>
        <v>3.3156064500809122E-2</v>
      </c>
      <c r="J6579" s="22" t="str">
        <f t="shared" si="206"/>
        <v/>
      </c>
    </row>
    <row r="6580" spans="1:10">
      <c r="A6580" s="1">
        <v>41386</v>
      </c>
      <c r="B6580">
        <v>30.3</v>
      </c>
      <c r="C6580">
        <v>31.18</v>
      </c>
      <c r="D6580">
        <v>30.27</v>
      </c>
      <c r="E6580">
        <v>30.83</v>
      </c>
      <c r="F6580">
        <v>137904000</v>
      </c>
      <c r="G6580">
        <v>30.17</v>
      </c>
      <c r="H6580" t="s">
        <v>6</v>
      </c>
      <c r="I6580" s="22">
        <f t="shared" si="205"/>
        <v>3.5079482199626678E-2</v>
      </c>
      <c r="J6580" s="22" t="str">
        <f t="shared" si="206"/>
        <v/>
      </c>
    </row>
    <row r="6581" spans="1:10">
      <c r="A6581" s="1">
        <v>41387</v>
      </c>
      <c r="B6581">
        <v>30.7</v>
      </c>
      <c r="C6581">
        <v>30.9</v>
      </c>
      <c r="D6581">
        <v>30.38</v>
      </c>
      <c r="E6581">
        <v>30.6</v>
      </c>
      <c r="F6581">
        <v>59126900</v>
      </c>
      <c r="G6581">
        <v>29.95</v>
      </c>
      <c r="H6581" t="s">
        <v>6</v>
      </c>
      <c r="I6581" s="22">
        <f t="shared" si="205"/>
        <v>-7.3187286095114769E-3</v>
      </c>
      <c r="J6581" s="22" t="str">
        <f t="shared" si="206"/>
        <v>lost money</v>
      </c>
    </row>
    <row r="6582" spans="1:10">
      <c r="A6582" s="1">
        <v>41388</v>
      </c>
      <c r="B6582">
        <v>30.62</v>
      </c>
      <c r="C6582">
        <v>31.92</v>
      </c>
      <c r="D6582">
        <v>30.6</v>
      </c>
      <c r="E6582">
        <v>31.76</v>
      </c>
      <c r="F6582">
        <v>90946600</v>
      </c>
      <c r="G6582">
        <v>31.08</v>
      </c>
      <c r="H6582" t="s">
        <v>6</v>
      </c>
      <c r="I6582" s="22">
        <f t="shared" si="205"/>
        <v>3.7035200937988365E-2</v>
      </c>
      <c r="J6582" s="22" t="str">
        <f t="shared" si="206"/>
        <v/>
      </c>
    </row>
    <row r="6583" spans="1:10">
      <c r="A6583" s="1">
        <v>41389</v>
      </c>
      <c r="B6583">
        <v>31.71</v>
      </c>
      <c r="C6583">
        <v>32.840000000000003</v>
      </c>
      <c r="D6583">
        <v>31.54</v>
      </c>
      <c r="E6583">
        <v>31.94</v>
      </c>
      <c r="F6583">
        <v>110700200</v>
      </c>
      <c r="G6583">
        <v>31.26</v>
      </c>
      <c r="H6583" t="s">
        <v>6</v>
      </c>
      <c r="I6583" s="22">
        <f t="shared" si="205"/>
        <v>5.7747994938839578E-3</v>
      </c>
      <c r="J6583" s="22" t="str">
        <f t="shared" si="206"/>
        <v/>
      </c>
    </row>
    <row r="6584" spans="1:10">
      <c r="A6584" s="1">
        <v>41390</v>
      </c>
      <c r="B6584">
        <v>31.9</v>
      </c>
      <c r="C6584">
        <v>31.98</v>
      </c>
      <c r="D6584">
        <v>31.45</v>
      </c>
      <c r="E6584">
        <v>31.79</v>
      </c>
      <c r="F6584">
        <v>47799300</v>
      </c>
      <c r="G6584">
        <v>31.11</v>
      </c>
      <c r="H6584" t="s">
        <v>6</v>
      </c>
      <c r="I6584" s="22">
        <f t="shared" si="205"/>
        <v>-4.8100140837849205E-3</v>
      </c>
      <c r="J6584" s="22" t="str">
        <f t="shared" si="206"/>
        <v>lost money</v>
      </c>
    </row>
    <row r="6585" spans="1:10">
      <c r="A6585" s="1">
        <v>41393</v>
      </c>
      <c r="B6585">
        <v>31.8</v>
      </c>
      <c r="C6585">
        <v>32.68</v>
      </c>
      <c r="D6585">
        <v>31.77</v>
      </c>
      <c r="E6585">
        <v>32.61</v>
      </c>
      <c r="F6585">
        <v>59116400</v>
      </c>
      <c r="G6585">
        <v>31.91</v>
      </c>
      <c r="H6585" t="s">
        <v>6</v>
      </c>
      <c r="I6585" s="22">
        <f t="shared" si="205"/>
        <v>2.5390129380606453E-2</v>
      </c>
      <c r="J6585" s="22" t="str">
        <f t="shared" si="206"/>
        <v/>
      </c>
    </row>
    <row r="6586" spans="1:10">
      <c r="A6586" s="1">
        <v>41394</v>
      </c>
      <c r="B6586">
        <v>32.56</v>
      </c>
      <c r="C6586">
        <v>33.11</v>
      </c>
      <c r="D6586">
        <v>32.28</v>
      </c>
      <c r="E6586">
        <v>33.1</v>
      </c>
      <c r="F6586">
        <v>75165200</v>
      </c>
      <c r="G6586">
        <v>32.39</v>
      </c>
      <c r="H6586" t="s">
        <v>6</v>
      </c>
      <c r="I6586" s="22">
        <f t="shared" si="205"/>
        <v>1.4930292893085789E-2</v>
      </c>
      <c r="J6586" s="22" t="str">
        <f t="shared" si="206"/>
        <v/>
      </c>
    </row>
    <row r="6587" spans="1:10">
      <c r="A6587" s="1">
        <v>41395</v>
      </c>
      <c r="B6587">
        <v>32.93</v>
      </c>
      <c r="C6587">
        <v>33.08</v>
      </c>
      <c r="D6587">
        <v>32.6</v>
      </c>
      <c r="E6587">
        <v>32.72</v>
      </c>
      <c r="F6587">
        <v>54330900</v>
      </c>
      <c r="G6587">
        <v>32.020000000000003</v>
      </c>
      <c r="H6587" t="s">
        <v>6</v>
      </c>
      <c r="I6587" s="22">
        <f t="shared" si="205"/>
        <v>-1.148902561466918E-2</v>
      </c>
      <c r="J6587" s="22" t="str">
        <f t="shared" si="206"/>
        <v>lost money</v>
      </c>
    </row>
    <row r="6588" spans="1:10">
      <c r="A6588" s="1">
        <v>41396</v>
      </c>
      <c r="B6588">
        <v>32.630000000000003</v>
      </c>
      <c r="C6588">
        <v>33.17</v>
      </c>
      <c r="D6588">
        <v>32.39</v>
      </c>
      <c r="E6588">
        <v>33.159999999999997</v>
      </c>
      <c r="F6588">
        <v>46059500</v>
      </c>
      <c r="G6588">
        <v>32.450000000000003</v>
      </c>
      <c r="H6588" t="s">
        <v>6</v>
      </c>
      <c r="I6588" s="22">
        <f t="shared" si="205"/>
        <v>1.3339735581530355E-2</v>
      </c>
      <c r="J6588" s="22" t="str">
        <f t="shared" si="206"/>
        <v/>
      </c>
    </row>
    <row r="6589" spans="1:10">
      <c r="A6589" s="1">
        <v>41397</v>
      </c>
      <c r="B6589">
        <v>33.229999999999997</v>
      </c>
      <c r="C6589">
        <v>33.520000000000003</v>
      </c>
      <c r="D6589">
        <v>33.08</v>
      </c>
      <c r="E6589">
        <v>33.49</v>
      </c>
      <c r="F6589">
        <v>46784600</v>
      </c>
      <c r="G6589">
        <v>32.78</v>
      </c>
      <c r="H6589" t="s">
        <v>6</v>
      </c>
      <c r="I6589" s="22">
        <f t="shared" si="205"/>
        <v>1.0118130165584466E-2</v>
      </c>
      <c r="J6589" s="22" t="str">
        <f t="shared" si="206"/>
        <v/>
      </c>
    </row>
    <row r="6590" spans="1:10">
      <c r="A6590" s="1">
        <v>41400</v>
      </c>
      <c r="B6590">
        <v>33.42</v>
      </c>
      <c r="C6590">
        <v>33.909999999999997</v>
      </c>
      <c r="D6590">
        <v>33.25</v>
      </c>
      <c r="E6590">
        <v>33.75</v>
      </c>
      <c r="F6590">
        <v>40978300</v>
      </c>
      <c r="G6590">
        <v>33.03</v>
      </c>
      <c r="H6590" t="s">
        <v>6</v>
      </c>
      <c r="I6590" s="22">
        <f t="shared" si="205"/>
        <v>7.5976660870146337E-3</v>
      </c>
      <c r="J6590" s="22" t="str">
        <f t="shared" si="206"/>
        <v/>
      </c>
    </row>
    <row r="6591" spans="1:10">
      <c r="A6591" s="1">
        <v>41401</v>
      </c>
      <c r="B6591">
        <v>33.65</v>
      </c>
      <c r="C6591">
        <v>33.79</v>
      </c>
      <c r="D6591">
        <v>33.24</v>
      </c>
      <c r="E6591">
        <v>33.31</v>
      </c>
      <c r="F6591">
        <v>43078300</v>
      </c>
      <c r="G6591">
        <v>32.6</v>
      </c>
      <c r="H6591" t="s">
        <v>6</v>
      </c>
      <c r="I6591" s="22">
        <f t="shared" si="205"/>
        <v>-1.3103951030036372E-2</v>
      </c>
      <c r="J6591" s="22" t="str">
        <f t="shared" si="206"/>
        <v>lost money</v>
      </c>
    </row>
    <row r="6592" spans="1:10">
      <c r="A6592" s="1">
        <v>41402</v>
      </c>
      <c r="B6592">
        <v>33.07</v>
      </c>
      <c r="C6592">
        <v>33.24</v>
      </c>
      <c r="D6592">
        <v>32.65</v>
      </c>
      <c r="E6592">
        <v>32.99</v>
      </c>
      <c r="F6592">
        <v>51595700</v>
      </c>
      <c r="G6592">
        <v>32.29</v>
      </c>
      <c r="H6592" t="s">
        <v>6</v>
      </c>
      <c r="I6592" s="22">
        <f t="shared" si="205"/>
        <v>-9.5547036024781692E-3</v>
      </c>
      <c r="J6592" s="22" t="str">
        <f t="shared" si="206"/>
        <v>lost money</v>
      </c>
    </row>
    <row r="6593" spans="1:10">
      <c r="A6593" s="1">
        <v>41403</v>
      </c>
      <c r="B6593">
        <v>32.85</v>
      </c>
      <c r="C6593">
        <v>33</v>
      </c>
      <c r="D6593">
        <v>32.590000000000003</v>
      </c>
      <c r="E6593">
        <v>32.659999999999997</v>
      </c>
      <c r="F6593">
        <v>46417800</v>
      </c>
      <c r="G6593">
        <v>31.96</v>
      </c>
      <c r="H6593" t="s">
        <v>6</v>
      </c>
      <c r="I6593" s="22">
        <f t="shared" si="205"/>
        <v>-1.0272463872109883E-2</v>
      </c>
      <c r="J6593" s="22" t="str">
        <f t="shared" si="206"/>
        <v>lost money</v>
      </c>
    </row>
    <row r="6594" spans="1:10">
      <c r="A6594" s="1">
        <v>41404</v>
      </c>
      <c r="B6594">
        <v>32.67</v>
      </c>
      <c r="C6594">
        <v>32.72</v>
      </c>
      <c r="D6594">
        <v>32.32</v>
      </c>
      <c r="E6594">
        <v>32.69</v>
      </c>
      <c r="F6594">
        <v>36394900</v>
      </c>
      <c r="G6594">
        <v>31.99</v>
      </c>
      <c r="H6594" t="s">
        <v>6</v>
      </c>
      <c r="I6594" s="22">
        <f t="shared" si="205"/>
        <v>9.3823306335258762E-4</v>
      </c>
      <c r="J6594" s="22" t="str">
        <f t="shared" si="206"/>
        <v/>
      </c>
    </row>
    <row r="6595" spans="1:10">
      <c r="A6595" s="1">
        <v>41407</v>
      </c>
      <c r="B6595">
        <v>32.61</v>
      </c>
      <c r="C6595">
        <v>33.07</v>
      </c>
      <c r="D6595">
        <v>32.549999999999997</v>
      </c>
      <c r="E6595">
        <v>33.03</v>
      </c>
      <c r="F6595">
        <v>36027600</v>
      </c>
      <c r="G6595">
        <v>32.33</v>
      </c>
      <c r="H6595" t="s">
        <v>6</v>
      </c>
      <c r="I6595" s="22">
        <f t="shared" ref="I6595:I6658" si="207">IF(A6595=$A$2,"",LN(G6595/G6594))</f>
        <v>1.0572237775914983E-2</v>
      </c>
      <c r="J6595" s="22" t="str">
        <f t="shared" ref="J6595:J6658" si="208">IF(B6595&gt;E6595,"lost money","")</f>
        <v/>
      </c>
    </row>
    <row r="6596" spans="1:10">
      <c r="A6596" s="1">
        <v>41408</v>
      </c>
      <c r="B6596">
        <v>32.86</v>
      </c>
      <c r="C6596">
        <v>33.53</v>
      </c>
      <c r="D6596">
        <v>32.799999999999997</v>
      </c>
      <c r="E6596">
        <v>33.53</v>
      </c>
      <c r="F6596">
        <v>56870100</v>
      </c>
      <c r="G6596">
        <v>33.04</v>
      </c>
      <c r="H6596" t="s">
        <v>6</v>
      </c>
      <c r="I6596" s="22">
        <f t="shared" si="207"/>
        <v>2.1723356915435678E-2</v>
      </c>
      <c r="J6596" s="22" t="str">
        <f t="shared" si="208"/>
        <v/>
      </c>
    </row>
    <row r="6597" spans="1:10">
      <c r="A6597" s="1">
        <v>41409</v>
      </c>
      <c r="B6597">
        <v>33.450000000000003</v>
      </c>
      <c r="C6597">
        <v>33.9</v>
      </c>
      <c r="D6597">
        <v>33.43</v>
      </c>
      <c r="E6597">
        <v>33.85</v>
      </c>
      <c r="F6597">
        <v>46303900</v>
      </c>
      <c r="G6597">
        <v>33.36</v>
      </c>
      <c r="H6597" t="s">
        <v>6</v>
      </c>
      <c r="I6597" s="22">
        <f t="shared" si="207"/>
        <v>9.6386288377687934E-3</v>
      </c>
      <c r="J6597" s="22" t="str">
        <f t="shared" si="208"/>
        <v/>
      </c>
    </row>
    <row r="6598" spans="1:10">
      <c r="A6598" s="1">
        <v>41410</v>
      </c>
      <c r="B6598">
        <v>33.64</v>
      </c>
      <c r="C6598">
        <v>34.15</v>
      </c>
      <c r="D6598">
        <v>33.549999999999997</v>
      </c>
      <c r="E6598">
        <v>34.08</v>
      </c>
      <c r="F6598">
        <v>59382900</v>
      </c>
      <c r="G6598">
        <v>33.590000000000003</v>
      </c>
      <c r="H6598" t="s">
        <v>6</v>
      </c>
      <c r="I6598" s="22">
        <f t="shared" si="207"/>
        <v>6.8708261336554366E-3</v>
      </c>
      <c r="J6598" s="22" t="str">
        <f t="shared" si="208"/>
        <v/>
      </c>
    </row>
    <row r="6599" spans="1:10">
      <c r="A6599" s="1">
        <v>41411</v>
      </c>
      <c r="B6599">
        <v>34.130000000000003</v>
      </c>
      <c r="C6599">
        <v>34.869999999999997</v>
      </c>
      <c r="D6599">
        <v>34.1</v>
      </c>
      <c r="E6599">
        <v>34.869999999999997</v>
      </c>
      <c r="F6599">
        <v>60666700</v>
      </c>
      <c r="G6599">
        <v>34.369999999999997</v>
      </c>
      <c r="H6599" t="s">
        <v>6</v>
      </c>
      <c r="I6599" s="22">
        <f t="shared" si="207"/>
        <v>2.2955687237540868E-2</v>
      </c>
      <c r="J6599" s="22" t="str">
        <f t="shared" si="208"/>
        <v/>
      </c>
    </row>
    <row r="6600" spans="1:10">
      <c r="A6600" s="1">
        <v>41414</v>
      </c>
      <c r="B6600">
        <v>34.729999999999997</v>
      </c>
      <c r="C6600">
        <v>35.1</v>
      </c>
      <c r="D6600">
        <v>34.68</v>
      </c>
      <c r="E6600">
        <v>35.08</v>
      </c>
      <c r="F6600">
        <v>54020800</v>
      </c>
      <c r="G6600">
        <v>34.57</v>
      </c>
      <c r="H6600" t="s">
        <v>6</v>
      </c>
      <c r="I6600" s="22">
        <f t="shared" si="207"/>
        <v>5.8021630717907417E-3</v>
      </c>
      <c r="J6600" s="22" t="str">
        <f t="shared" si="208"/>
        <v/>
      </c>
    </row>
    <row r="6601" spans="1:10">
      <c r="A6601" s="1">
        <v>41415</v>
      </c>
      <c r="B6601">
        <v>35.1</v>
      </c>
      <c r="C6601">
        <v>35.270000000000003</v>
      </c>
      <c r="D6601">
        <v>34.72</v>
      </c>
      <c r="E6601">
        <v>34.85</v>
      </c>
      <c r="F6601">
        <v>48702400</v>
      </c>
      <c r="G6601">
        <v>34.35</v>
      </c>
      <c r="H6601" t="s">
        <v>6</v>
      </c>
      <c r="I6601" s="22">
        <f t="shared" si="207"/>
        <v>-6.3842352651747444E-3</v>
      </c>
      <c r="J6601" s="22" t="str">
        <f t="shared" si="208"/>
        <v>lost money</v>
      </c>
    </row>
    <row r="6602" spans="1:10">
      <c r="A6602" s="1">
        <v>41416</v>
      </c>
      <c r="B6602">
        <v>34.79</v>
      </c>
      <c r="C6602">
        <v>34.840000000000003</v>
      </c>
      <c r="D6602">
        <v>34.36</v>
      </c>
      <c r="E6602">
        <v>34.61</v>
      </c>
      <c r="F6602">
        <v>66047500</v>
      </c>
      <c r="G6602">
        <v>34.11</v>
      </c>
      <c r="H6602" t="s">
        <v>6</v>
      </c>
      <c r="I6602" s="22">
        <f t="shared" si="207"/>
        <v>-7.0114222378040896E-3</v>
      </c>
      <c r="J6602" s="22" t="str">
        <f t="shared" si="208"/>
        <v>lost money</v>
      </c>
    </row>
    <row r="6603" spans="1:10">
      <c r="A6603" s="1">
        <v>41417</v>
      </c>
      <c r="B6603">
        <v>34.229999999999997</v>
      </c>
      <c r="C6603">
        <v>34.549999999999997</v>
      </c>
      <c r="D6603">
        <v>33.9</v>
      </c>
      <c r="E6603">
        <v>34.15</v>
      </c>
      <c r="F6603">
        <v>51102700</v>
      </c>
      <c r="G6603">
        <v>33.659999999999997</v>
      </c>
      <c r="H6603" t="s">
        <v>6</v>
      </c>
      <c r="I6603" s="22">
        <f t="shared" si="207"/>
        <v>-1.3280407667894491E-2</v>
      </c>
      <c r="J6603" s="22" t="str">
        <f t="shared" si="208"/>
        <v>lost money</v>
      </c>
    </row>
    <row r="6604" spans="1:10">
      <c r="A6604" s="1">
        <v>41418</v>
      </c>
      <c r="B6604">
        <v>33.92</v>
      </c>
      <c r="C6604">
        <v>34.28</v>
      </c>
      <c r="D6604">
        <v>33.9</v>
      </c>
      <c r="E6604">
        <v>34.270000000000003</v>
      </c>
      <c r="F6604">
        <v>33174400</v>
      </c>
      <c r="G6604">
        <v>33.770000000000003</v>
      </c>
      <c r="H6604" t="s">
        <v>6</v>
      </c>
      <c r="I6604" s="22">
        <f t="shared" si="207"/>
        <v>3.262645634816591E-3</v>
      </c>
      <c r="J6604" s="22" t="str">
        <f t="shared" si="208"/>
        <v/>
      </c>
    </row>
    <row r="6605" spans="1:10">
      <c r="A6605" s="1">
        <v>41422</v>
      </c>
      <c r="B6605">
        <v>34.42</v>
      </c>
      <c r="C6605">
        <v>35.18</v>
      </c>
      <c r="D6605">
        <v>34.409999999999997</v>
      </c>
      <c r="E6605">
        <v>35.020000000000003</v>
      </c>
      <c r="F6605">
        <v>48212100</v>
      </c>
      <c r="G6605">
        <v>34.51</v>
      </c>
      <c r="H6605" t="s">
        <v>6</v>
      </c>
      <c r="I6605" s="22">
        <f t="shared" si="207"/>
        <v>2.1676302712435588E-2</v>
      </c>
      <c r="J6605" s="22" t="str">
        <f t="shared" si="208"/>
        <v/>
      </c>
    </row>
    <row r="6606" spans="1:10">
      <c r="A6606" s="1">
        <v>41423</v>
      </c>
      <c r="B6606">
        <v>34.74</v>
      </c>
      <c r="C6606">
        <v>35.020000000000003</v>
      </c>
      <c r="D6606">
        <v>34.57</v>
      </c>
      <c r="E6606">
        <v>34.880000000000003</v>
      </c>
      <c r="F6606">
        <v>38412200</v>
      </c>
      <c r="G6606">
        <v>34.380000000000003</v>
      </c>
      <c r="H6606" t="s">
        <v>6</v>
      </c>
      <c r="I6606" s="22">
        <f t="shared" si="207"/>
        <v>-3.7741371552087381E-3</v>
      </c>
      <c r="J6606" s="22" t="str">
        <f t="shared" si="208"/>
        <v/>
      </c>
    </row>
    <row r="6607" spans="1:10">
      <c r="A6607" s="1">
        <v>41424</v>
      </c>
      <c r="B6607">
        <v>34.85</v>
      </c>
      <c r="C6607">
        <v>35.25</v>
      </c>
      <c r="D6607">
        <v>34.81</v>
      </c>
      <c r="E6607">
        <v>35.03</v>
      </c>
      <c r="F6607">
        <v>51131000</v>
      </c>
      <c r="G6607">
        <v>34.520000000000003</v>
      </c>
      <c r="H6607" t="s">
        <v>6</v>
      </c>
      <c r="I6607" s="22">
        <f t="shared" si="207"/>
        <v>4.0638662605239602E-3</v>
      </c>
      <c r="J6607" s="22" t="str">
        <f t="shared" si="208"/>
        <v/>
      </c>
    </row>
    <row r="6608" spans="1:10">
      <c r="A6608" s="1">
        <v>41425</v>
      </c>
      <c r="B6608">
        <v>34.82</v>
      </c>
      <c r="C6608">
        <v>35.28</v>
      </c>
      <c r="D6608">
        <v>34.79</v>
      </c>
      <c r="E6608">
        <v>34.9</v>
      </c>
      <c r="F6608">
        <v>56165700</v>
      </c>
      <c r="G6608">
        <v>34.39</v>
      </c>
      <c r="H6608" t="s">
        <v>6</v>
      </c>
      <c r="I6608" s="22">
        <f t="shared" si="207"/>
        <v>-3.7730417710524298E-3</v>
      </c>
      <c r="J6608" s="22" t="str">
        <f t="shared" si="208"/>
        <v/>
      </c>
    </row>
    <row r="6609" spans="1:10">
      <c r="A6609" s="1">
        <v>41428</v>
      </c>
      <c r="B6609">
        <v>34.92</v>
      </c>
      <c r="C6609">
        <v>35.630000000000003</v>
      </c>
      <c r="D6609">
        <v>34.83</v>
      </c>
      <c r="E6609">
        <v>35.590000000000003</v>
      </c>
      <c r="F6609">
        <v>51252600</v>
      </c>
      <c r="G6609">
        <v>35.07</v>
      </c>
      <c r="H6609" t="s">
        <v>6</v>
      </c>
      <c r="I6609" s="22">
        <f t="shared" si="207"/>
        <v>1.9580239707911961E-2</v>
      </c>
      <c r="J6609" s="22" t="str">
        <f t="shared" si="208"/>
        <v/>
      </c>
    </row>
    <row r="6610" spans="1:10">
      <c r="A6610" s="1">
        <v>41429</v>
      </c>
      <c r="B6610">
        <v>35.619999999999997</v>
      </c>
      <c r="C6610">
        <v>35.74</v>
      </c>
      <c r="D6610">
        <v>34.770000000000003</v>
      </c>
      <c r="E6610">
        <v>34.99</v>
      </c>
      <c r="F6610">
        <v>65529500</v>
      </c>
      <c r="G6610">
        <v>34.479999999999997</v>
      </c>
      <c r="H6610" t="s">
        <v>6</v>
      </c>
      <c r="I6610" s="22">
        <f t="shared" si="207"/>
        <v>-1.6966618356594451E-2</v>
      </c>
      <c r="J6610" s="22" t="str">
        <f t="shared" si="208"/>
        <v>lost money</v>
      </c>
    </row>
    <row r="6611" spans="1:10">
      <c r="A6611" s="1">
        <v>41430</v>
      </c>
      <c r="B6611">
        <v>34.6</v>
      </c>
      <c r="C6611">
        <v>34.89</v>
      </c>
      <c r="D6611">
        <v>34.43</v>
      </c>
      <c r="E6611">
        <v>34.78</v>
      </c>
      <c r="F6611">
        <v>46025100</v>
      </c>
      <c r="G6611">
        <v>34.28</v>
      </c>
      <c r="H6611" t="s">
        <v>6</v>
      </c>
      <c r="I6611" s="22">
        <f t="shared" si="207"/>
        <v>-5.8173520659132024E-3</v>
      </c>
      <c r="J6611" s="22" t="str">
        <f t="shared" si="208"/>
        <v/>
      </c>
    </row>
    <row r="6612" spans="1:10">
      <c r="A6612" s="1">
        <v>41431</v>
      </c>
      <c r="B6612">
        <v>34.840000000000003</v>
      </c>
      <c r="C6612">
        <v>35.11</v>
      </c>
      <c r="D6612">
        <v>34.49</v>
      </c>
      <c r="E6612">
        <v>34.96</v>
      </c>
      <c r="F6612">
        <v>37618500</v>
      </c>
      <c r="G6612">
        <v>34.450000000000003</v>
      </c>
      <c r="H6612" t="s">
        <v>6</v>
      </c>
      <c r="I6612" s="22">
        <f t="shared" si="207"/>
        <v>4.9469037300886205E-3</v>
      </c>
      <c r="J6612" s="22" t="str">
        <f t="shared" si="208"/>
        <v/>
      </c>
    </row>
    <row r="6613" spans="1:10">
      <c r="A6613" s="1">
        <v>41432</v>
      </c>
      <c r="B6613">
        <v>35.25</v>
      </c>
      <c r="C6613">
        <v>35.78</v>
      </c>
      <c r="D6613">
        <v>35.06</v>
      </c>
      <c r="E6613">
        <v>35.67</v>
      </c>
      <c r="F6613">
        <v>40757300</v>
      </c>
      <c r="G6613">
        <v>35.15</v>
      </c>
      <c r="H6613" t="s">
        <v>6</v>
      </c>
      <c r="I6613" s="22">
        <f t="shared" si="207"/>
        <v>2.0115620797006295E-2</v>
      </c>
      <c r="J6613" s="22" t="str">
        <f t="shared" si="208"/>
        <v/>
      </c>
    </row>
    <row r="6614" spans="1:10">
      <c r="A6614" s="1">
        <v>41435</v>
      </c>
      <c r="B6614">
        <v>35.51</v>
      </c>
      <c r="C6614">
        <v>35.65</v>
      </c>
      <c r="D6614">
        <v>35.14</v>
      </c>
      <c r="E6614">
        <v>35.47</v>
      </c>
      <c r="F6614">
        <v>35994500</v>
      </c>
      <c r="G6614">
        <v>34.96</v>
      </c>
      <c r="H6614" t="s">
        <v>6</v>
      </c>
      <c r="I6614" s="22">
        <f t="shared" si="207"/>
        <v>-5.4200674693391446E-3</v>
      </c>
      <c r="J6614" s="22" t="str">
        <f t="shared" si="208"/>
        <v>lost money</v>
      </c>
    </row>
    <row r="6615" spans="1:10">
      <c r="A6615" s="1">
        <v>41436</v>
      </c>
      <c r="B6615">
        <v>35.049999999999997</v>
      </c>
      <c r="C6615">
        <v>35.18</v>
      </c>
      <c r="D6615">
        <v>34.68</v>
      </c>
      <c r="E6615">
        <v>34.840000000000003</v>
      </c>
      <c r="F6615">
        <v>39435900</v>
      </c>
      <c r="G6615">
        <v>34.340000000000003</v>
      </c>
      <c r="H6615" t="s">
        <v>6</v>
      </c>
      <c r="I6615" s="22">
        <f t="shared" si="207"/>
        <v>-1.7893695318005151E-2</v>
      </c>
      <c r="J6615" s="22" t="str">
        <f t="shared" si="208"/>
        <v>lost money</v>
      </c>
    </row>
    <row r="6616" spans="1:10">
      <c r="A6616" s="1">
        <v>41437</v>
      </c>
      <c r="B6616">
        <v>35.14</v>
      </c>
      <c r="C6616">
        <v>35.270000000000003</v>
      </c>
      <c r="D6616">
        <v>34.85</v>
      </c>
      <c r="E6616">
        <v>35</v>
      </c>
      <c r="F6616">
        <v>37372700</v>
      </c>
      <c r="G6616">
        <v>34.49</v>
      </c>
      <c r="H6616" t="s">
        <v>6</v>
      </c>
      <c r="I6616" s="22">
        <f t="shared" si="207"/>
        <v>4.3585714794200309E-3</v>
      </c>
      <c r="J6616" s="22" t="str">
        <f t="shared" si="208"/>
        <v>lost money</v>
      </c>
    </row>
    <row r="6617" spans="1:10">
      <c r="A6617" s="1">
        <v>41438</v>
      </c>
      <c r="B6617">
        <v>34.99</v>
      </c>
      <c r="C6617">
        <v>35.020000000000003</v>
      </c>
      <c r="D6617">
        <v>34.590000000000003</v>
      </c>
      <c r="E6617">
        <v>34.72</v>
      </c>
      <c r="F6617">
        <v>45654900</v>
      </c>
      <c r="G6617">
        <v>34.22</v>
      </c>
      <c r="H6617" t="s">
        <v>6</v>
      </c>
      <c r="I6617" s="22">
        <f t="shared" si="207"/>
        <v>-7.8591584847021966E-3</v>
      </c>
      <c r="J6617" s="22" t="str">
        <f t="shared" si="208"/>
        <v>lost money</v>
      </c>
    </row>
    <row r="6618" spans="1:10">
      <c r="A6618" s="1">
        <v>41439</v>
      </c>
      <c r="B6618">
        <v>34.549999999999997</v>
      </c>
      <c r="C6618">
        <v>34.69</v>
      </c>
      <c r="D6618">
        <v>34.25</v>
      </c>
      <c r="E6618">
        <v>34.4</v>
      </c>
      <c r="F6618">
        <v>53192600</v>
      </c>
      <c r="G6618">
        <v>33.9</v>
      </c>
      <c r="H6618" t="s">
        <v>6</v>
      </c>
      <c r="I6618" s="22">
        <f t="shared" si="207"/>
        <v>-9.3952540776428371E-3</v>
      </c>
      <c r="J6618" s="22" t="str">
        <f t="shared" si="208"/>
        <v>lost money</v>
      </c>
    </row>
    <row r="6619" spans="1:10">
      <c r="A6619" s="1">
        <v>41442</v>
      </c>
      <c r="B6619">
        <v>34.69</v>
      </c>
      <c r="C6619">
        <v>35.159999999999997</v>
      </c>
      <c r="D6619">
        <v>34.630000000000003</v>
      </c>
      <c r="E6619">
        <v>35</v>
      </c>
      <c r="F6619">
        <v>49670100</v>
      </c>
      <c r="G6619">
        <v>34.49</v>
      </c>
      <c r="H6619" t="s">
        <v>6</v>
      </c>
      <c r="I6619" s="22">
        <f t="shared" si="207"/>
        <v>1.7254412562344997E-2</v>
      </c>
      <c r="J6619" s="22" t="str">
        <f t="shared" si="208"/>
        <v/>
      </c>
    </row>
    <row r="6620" spans="1:10">
      <c r="A6620" s="1">
        <v>41443</v>
      </c>
      <c r="B6620">
        <v>34.97</v>
      </c>
      <c r="C6620">
        <v>35.17</v>
      </c>
      <c r="D6620">
        <v>34.9</v>
      </c>
      <c r="E6620">
        <v>34.979999999999997</v>
      </c>
      <c r="F6620">
        <v>28616500</v>
      </c>
      <c r="G6620">
        <v>34.47</v>
      </c>
      <c r="H6620" t="s">
        <v>6</v>
      </c>
      <c r="I6620" s="22">
        <f t="shared" si="207"/>
        <v>-5.800464199756096E-4</v>
      </c>
      <c r="J6620" s="22" t="str">
        <f t="shared" si="208"/>
        <v/>
      </c>
    </row>
    <row r="6621" spans="1:10">
      <c r="A6621" s="1">
        <v>41444</v>
      </c>
      <c r="B6621">
        <v>34.96</v>
      </c>
      <c r="C6621">
        <v>35.090000000000003</v>
      </c>
      <c r="D6621">
        <v>34.590000000000003</v>
      </c>
      <c r="E6621">
        <v>34.590000000000003</v>
      </c>
      <c r="F6621">
        <v>30816200</v>
      </c>
      <c r="G6621">
        <v>34.090000000000003</v>
      </c>
      <c r="H6621" t="s">
        <v>6</v>
      </c>
      <c r="I6621" s="22">
        <f t="shared" si="207"/>
        <v>-1.1085294378962196E-2</v>
      </c>
      <c r="J6621" s="22" t="str">
        <f t="shared" si="208"/>
        <v>lost money</v>
      </c>
    </row>
    <row r="6622" spans="1:10">
      <c r="A6622" s="1">
        <v>41445</v>
      </c>
      <c r="B6622">
        <v>34.26</v>
      </c>
      <c r="C6622">
        <v>34.33</v>
      </c>
      <c r="D6622">
        <v>33.369999999999997</v>
      </c>
      <c r="E6622">
        <v>33.49</v>
      </c>
      <c r="F6622">
        <v>54493700</v>
      </c>
      <c r="G6622">
        <v>33.01</v>
      </c>
      <c r="H6622" t="s">
        <v>6</v>
      </c>
      <c r="I6622" s="22">
        <f t="shared" si="207"/>
        <v>-3.2193540284710241E-2</v>
      </c>
      <c r="J6622" s="22" t="str">
        <f t="shared" si="208"/>
        <v>lost money</v>
      </c>
    </row>
    <row r="6623" spans="1:10">
      <c r="A6623" s="1">
        <v>41446</v>
      </c>
      <c r="B6623">
        <v>33.659999999999997</v>
      </c>
      <c r="C6623">
        <v>33.729999999999997</v>
      </c>
      <c r="D6623">
        <v>33.049999999999997</v>
      </c>
      <c r="E6623">
        <v>33.270000000000003</v>
      </c>
      <c r="F6623">
        <v>85338500</v>
      </c>
      <c r="G6623">
        <v>32.79</v>
      </c>
      <c r="H6623" t="s">
        <v>6</v>
      </c>
      <c r="I6623" s="22">
        <f t="shared" si="207"/>
        <v>-6.686955008544701E-3</v>
      </c>
      <c r="J6623" s="22" t="str">
        <f t="shared" si="208"/>
        <v>lost money</v>
      </c>
    </row>
    <row r="6624" spans="1:10">
      <c r="A6624" s="1">
        <v>41449</v>
      </c>
      <c r="B6624">
        <v>32.94</v>
      </c>
      <c r="C6624">
        <v>34.200000000000003</v>
      </c>
      <c r="D6624">
        <v>32.57</v>
      </c>
      <c r="E6624">
        <v>33.72</v>
      </c>
      <c r="F6624">
        <v>56109000</v>
      </c>
      <c r="G6624">
        <v>33.229999999999997</v>
      </c>
      <c r="H6624" t="s">
        <v>6</v>
      </c>
      <c r="I6624" s="22">
        <f t="shared" si="207"/>
        <v>1.3329491509946022E-2</v>
      </c>
      <c r="J6624" s="22" t="str">
        <f t="shared" si="208"/>
        <v/>
      </c>
    </row>
    <row r="6625" spans="1:10">
      <c r="A6625" s="1">
        <v>41450</v>
      </c>
      <c r="B6625">
        <v>34.08</v>
      </c>
      <c r="C6625">
        <v>34.380000000000003</v>
      </c>
      <c r="D6625">
        <v>33.46</v>
      </c>
      <c r="E6625">
        <v>33.67</v>
      </c>
      <c r="F6625">
        <v>44073400</v>
      </c>
      <c r="G6625">
        <v>33.18</v>
      </c>
      <c r="H6625" t="s">
        <v>6</v>
      </c>
      <c r="I6625" s="22">
        <f t="shared" si="207"/>
        <v>-1.505797604204354E-3</v>
      </c>
      <c r="J6625" s="22" t="str">
        <f t="shared" si="208"/>
        <v>lost money</v>
      </c>
    </row>
    <row r="6626" spans="1:10">
      <c r="A6626" s="1">
        <v>41451</v>
      </c>
      <c r="B6626">
        <v>34.119999999999997</v>
      </c>
      <c r="C6626">
        <v>34.479999999999997</v>
      </c>
      <c r="D6626">
        <v>33.89</v>
      </c>
      <c r="E6626">
        <v>34.35</v>
      </c>
      <c r="F6626">
        <v>48665900</v>
      </c>
      <c r="G6626">
        <v>33.85</v>
      </c>
      <c r="H6626" t="s">
        <v>6</v>
      </c>
      <c r="I6626" s="22">
        <f t="shared" si="207"/>
        <v>1.9991714595985623E-2</v>
      </c>
      <c r="J6626" s="22" t="str">
        <f t="shared" si="208"/>
        <v/>
      </c>
    </row>
    <row r="6627" spans="1:10">
      <c r="A6627" s="1">
        <v>41452</v>
      </c>
      <c r="B6627">
        <v>34.520000000000003</v>
      </c>
      <c r="C6627">
        <v>34.78</v>
      </c>
      <c r="D6627">
        <v>34.5</v>
      </c>
      <c r="E6627">
        <v>34.619999999999997</v>
      </c>
      <c r="F6627">
        <v>28993100</v>
      </c>
      <c r="G6627">
        <v>34.119999999999997</v>
      </c>
      <c r="H6627" t="s">
        <v>6</v>
      </c>
      <c r="I6627" s="22">
        <f t="shared" si="207"/>
        <v>7.944723265194218E-3</v>
      </c>
      <c r="J6627" s="22" t="str">
        <f t="shared" si="208"/>
        <v/>
      </c>
    </row>
    <row r="6628" spans="1:10">
      <c r="A6628" s="1">
        <v>41453</v>
      </c>
      <c r="B6628">
        <v>34.380000000000003</v>
      </c>
      <c r="C6628">
        <v>34.79</v>
      </c>
      <c r="D6628">
        <v>34.340000000000003</v>
      </c>
      <c r="E6628">
        <v>34.54</v>
      </c>
      <c r="F6628">
        <v>65545500</v>
      </c>
      <c r="G6628">
        <v>34.04</v>
      </c>
      <c r="H6628" t="s">
        <v>6</v>
      </c>
      <c r="I6628" s="22">
        <f t="shared" si="207"/>
        <v>-2.3474189183048965E-3</v>
      </c>
      <c r="J6628" s="22" t="str">
        <f t="shared" si="208"/>
        <v/>
      </c>
    </row>
    <row r="6629" spans="1:10">
      <c r="A6629" s="1">
        <v>41456</v>
      </c>
      <c r="B6629">
        <v>34.75</v>
      </c>
      <c r="C6629">
        <v>34.99</v>
      </c>
      <c r="D6629">
        <v>34.33</v>
      </c>
      <c r="E6629">
        <v>34.36</v>
      </c>
      <c r="F6629">
        <v>31055400</v>
      </c>
      <c r="G6629">
        <v>33.86</v>
      </c>
      <c r="H6629" t="s">
        <v>6</v>
      </c>
      <c r="I6629" s="22">
        <f t="shared" si="207"/>
        <v>-5.3019270001840894E-3</v>
      </c>
      <c r="J6629" s="22" t="str">
        <f t="shared" si="208"/>
        <v>lost money</v>
      </c>
    </row>
    <row r="6630" spans="1:10">
      <c r="A6630" s="1">
        <v>41457</v>
      </c>
      <c r="B6630">
        <v>34.409999999999997</v>
      </c>
      <c r="C6630">
        <v>34.44</v>
      </c>
      <c r="D6630">
        <v>33.630000000000003</v>
      </c>
      <c r="E6630">
        <v>33.94</v>
      </c>
      <c r="F6630">
        <v>37630000</v>
      </c>
      <c r="G6630">
        <v>33.450000000000003</v>
      </c>
      <c r="H6630" t="s">
        <v>6</v>
      </c>
      <c r="I6630" s="22">
        <f t="shared" si="207"/>
        <v>-1.218259013075167E-2</v>
      </c>
      <c r="J6630" s="22" t="str">
        <f t="shared" si="208"/>
        <v>lost money</v>
      </c>
    </row>
    <row r="6631" spans="1:10">
      <c r="A6631" s="1">
        <v>41458</v>
      </c>
      <c r="B6631">
        <v>33.659999999999997</v>
      </c>
      <c r="C6631">
        <v>34.369999999999997</v>
      </c>
      <c r="D6631">
        <v>33.6</v>
      </c>
      <c r="E6631">
        <v>34.01</v>
      </c>
      <c r="F6631">
        <v>15994400</v>
      </c>
      <c r="G6631">
        <v>33.520000000000003</v>
      </c>
      <c r="H6631" t="s">
        <v>6</v>
      </c>
      <c r="I6631" s="22">
        <f t="shared" si="207"/>
        <v>2.0904890396448998E-3</v>
      </c>
      <c r="J6631" s="22" t="str">
        <f t="shared" si="208"/>
        <v/>
      </c>
    </row>
    <row r="6632" spans="1:10">
      <c r="A6632" s="1">
        <v>41460</v>
      </c>
      <c r="B6632">
        <v>34.090000000000003</v>
      </c>
      <c r="C6632">
        <v>34.24</v>
      </c>
      <c r="D6632">
        <v>33.58</v>
      </c>
      <c r="E6632">
        <v>34.21</v>
      </c>
      <c r="F6632">
        <v>26085900</v>
      </c>
      <c r="G6632">
        <v>33.71</v>
      </c>
      <c r="H6632" t="s">
        <v>6</v>
      </c>
      <c r="I6632" s="22">
        <f t="shared" si="207"/>
        <v>5.6522536320870315E-3</v>
      </c>
      <c r="J6632" s="22" t="str">
        <f t="shared" si="208"/>
        <v/>
      </c>
    </row>
    <row r="6633" spans="1:10">
      <c r="A6633" s="1">
        <v>41463</v>
      </c>
      <c r="B6633">
        <v>34.35</v>
      </c>
      <c r="C6633">
        <v>34.590000000000003</v>
      </c>
      <c r="D6633">
        <v>33.979999999999997</v>
      </c>
      <c r="E6633">
        <v>34.33</v>
      </c>
      <c r="F6633">
        <v>32396900</v>
      </c>
      <c r="G6633">
        <v>33.83</v>
      </c>
      <c r="H6633" t="s">
        <v>6</v>
      </c>
      <c r="I6633" s="22">
        <f t="shared" si="207"/>
        <v>3.5534535466476814E-3</v>
      </c>
      <c r="J6633" s="22" t="str">
        <f t="shared" si="208"/>
        <v>lost money</v>
      </c>
    </row>
    <row r="6634" spans="1:10">
      <c r="A6634" s="1">
        <v>41464</v>
      </c>
      <c r="B6634">
        <v>34.58</v>
      </c>
      <c r="C6634">
        <v>34.6</v>
      </c>
      <c r="D6634">
        <v>34.14</v>
      </c>
      <c r="E6634">
        <v>34.35</v>
      </c>
      <c r="F6634">
        <v>25318500</v>
      </c>
      <c r="G6634">
        <v>33.85</v>
      </c>
      <c r="H6634" t="s">
        <v>6</v>
      </c>
      <c r="I6634" s="22">
        <f t="shared" si="207"/>
        <v>5.9101656566694697E-4</v>
      </c>
      <c r="J6634" s="22" t="str">
        <f t="shared" si="208"/>
        <v>lost money</v>
      </c>
    </row>
    <row r="6635" spans="1:10">
      <c r="A6635" s="1">
        <v>41465</v>
      </c>
      <c r="B6635">
        <v>34.340000000000003</v>
      </c>
      <c r="C6635">
        <v>34.81</v>
      </c>
      <c r="D6635">
        <v>34.32</v>
      </c>
      <c r="E6635">
        <v>34.700000000000003</v>
      </c>
      <c r="F6635">
        <v>29658800</v>
      </c>
      <c r="G6635">
        <v>34.200000000000003</v>
      </c>
      <c r="H6635" t="s">
        <v>6</v>
      </c>
      <c r="I6635" s="22">
        <f t="shared" si="207"/>
        <v>1.0286644710275525E-2</v>
      </c>
      <c r="J6635" s="22" t="str">
        <f t="shared" si="208"/>
        <v/>
      </c>
    </row>
    <row r="6636" spans="1:10">
      <c r="A6636" s="1">
        <v>41466</v>
      </c>
      <c r="B6636">
        <v>35</v>
      </c>
      <c r="C6636">
        <v>35.770000000000003</v>
      </c>
      <c r="D6636">
        <v>34.9</v>
      </c>
      <c r="E6636">
        <v>35.69</v>
      </c>
      <c r="F6636">
        <v>53638300</v>
      </c>
      <c r="G6636">
        <v>35.17</v>
      </c>
      <c r="H6636" t="s">
        <v>6</v>
      </c>
      <c r="I6636" s="22">
        <f t="shared" si="207"/>
        <v>2.7967802417331669E-2</v>
      </c>
      <c r="J6636" s="22" t="str">
        <f t="shared" si="208"/>
        <v/>
      </c>
    </row>
    <row r="6637" spans="1:10">
      <c r="A6637" s="1">
        <v>41467</v>
      </c>
      <c r="B6637">
        <v>35.58</v>
      </c>
      <c r="C6637">
        <v>35.729999999999997</v>
      </c>
      <c r="D6637">
        <v>35.28</v>
      </c>
      <c r="E6637">
        <v>35.67</v>
      </c>
      <c r="F6637">
        <v>35501200</v>
      </c>
      <c r="G6637">
        <v>35.15</v>
      </c>
      <c r="H6637" t="s">
        <v>6</v>
      </c>
      <c r="I6637" s="22">
        <f t="shared" si="207"/>
        <v>-5.6882822921729245E-4</v>
      </c>
      <c r="J6637" s="22" t="str">
        <f t="shared" si="208"/>
        <v/>
      </c>
    </row>
    <row r="6638" spans="1:10">
      <c r="A6638" s="1">
        <v>41470</v>
      </c>
      <c r="B6638">
        <v>35.659999999999997</v>
      </c>
      <c r="C6638">
        <v>36.22</v>
      </c>
      <c r="D6638">
        <v>35.58</v>
      </c>
      <c r="E6638">
        <v>36.17</v>
      </c>
      <c r="F6638">
        <v>34142600</v>
      </c>
      <c r="G6638">
        <v>35.65</v>
      </c>
      <c r="H6638" t="s">
        <v>6</v>
      </c>
      <c r="I6638" s="22">
        <f t="shared" si="207"/>
        <v>1.4124528603630981E-2</v>
      </c>
      <c r="J6638" s="22" t="str">
        <f t="shared" si="208"/>
        <v/>
      </c>
    </row>
    <row r="6639" spans="1:10">
      <c r="A6639" s="1">
        <v>41471</v>
      </c>
      <c r="B6639">
        <v>36.01</v>
      </c>
      <c r="C6639">
        <v>36.43</v>
      </c>
      <c r="D6639">
        <v>35.96</v>
      </c>
      <c r="E6639">
        <v>36.270000000000003</v>
      </c>
      <c r="F6639">
        <v>36378500</v>
      </c>
      <c r="G6639">
        <v>35.75</v>
      </c>
      <c r="H6639" t="s">
        <v>6</v>
      </c>
      <c r="I6639" s="22">
        <f t="shared" si="207"/>
        <v>2.8011222797117733E-3</v>
      </c>
      <c r="J6639" s="22" t="str">
        <f t="shared" si="208"/>
        <v/>
      </c>
    </row>
    <row r="6640" spans="1:10">
      <c r="A6640" s="1">
        <v>41472</v>
      </c>
      <c r="B6640">
        <v>36.340000000000003</v>
      </c>
      <c r="C6640">
        <v>36.39</v>
      </c>
      <c r="D6640">
        <v>35.49</v>
      </c>
      <c r="E6640">
        <v>35.74</v>
      </c>
      <c r="F6640">
        <v>37285100</v>
      </c>
      <c r="G6640">
        <v>35.22</v>
      </c>
      <c r="H6640" t="s">
        <v>6</v>
      </c>
      <c r="I6640" s="22">
        <f t="shared" si="207"/>
        <v>-1.4936166071956625E-2</v>
      </c>
      <c r="J6640" s="22" t="str">
        <f t="shared" si="208"/>
        <v>lost money</v>
      </c>
    </row>
    <row r="6641" spans="1:10">
      <c r="A6641" s="1">
        <v>41473</v>
      </c>
      <c r="B6641">
        <v>35.72</v>
      </c>
      <c r="C6641">
        <v>35.89</v>
      </c>
      <c r="D6641">
        <v>35.22</v>
      </c>
      <c r="E6641">
        <v>35.44</v>
      </c>
      <c r="F6641">
        <v>49547100</v>
      </c>
      <c r="G6641">
        <v>34.93</v>
      </c>
      <c r="H6641" t="s">
        <v>6</v>
      </c>
      <c r="I6641" s="22">
        <f t="shared" si="207"/>
        <v>-8.2680442493194284E-3</v>
      </c>
      <c r="J6641" s="22" t="str">
        <f t="shared" si="208"/>
        <v>lost money</v>
      </c>
    </row>
    <row r="6642" spans="1:10">
      <c r="A6642" s="1">
        <v>41474</v>
      </c>
      <c r="B6642">
        <v>32.4</v>
      </c>
      <c r="C6642">
        <v>32.67</v>
      </c>
      <c r="D6642">
        <v>31.02</v>
      </c>
      <c r="E6642">
        <v>31.4</v>
      </c>
      <c r="F6642">
        <v>248428500</v>
      </c>
      <c r="G6642">
        <v>30.95</v>
      </c>
      <c r="H6642" t="s">
        <v>6</v>
      </c>
      <c r="I6642" s="22">
        <f t="shared" si="207"/>
        <v>-0.12097305968813556</v>
      </c>
      <c r="J6642" s="22" t="str">
        <f t="shared" si="208"/>
        <v>lost money</v>
      </c>
    </row>
    <row r="6643" spans="1:10">
      <c r="A6643" s="1">
        <v>41477</v>
      </c>
      <c r="B6643">
        <v>31.7</v>
      </c>
      <c r="C6643">
        <v>32.01</v>
      </c>
      <c r="D6643">
        <v>31.6</v>
      </c>
      <c r="E6643">
        <v>32.01</v>
      </c>
      <c r="F6643">
        <v>79040700</v>
      </c>
      <c r="G6643">
        <v>31.55</v>
      </c>
      <c r="H6643" t="s">
        <v>6</v>
      </c>
      <c r="I6643" s="22">
        <f t="shared" si="207"/>
        <v>1.9200589856617153E-2</v>
      </c>
      <c r="J6643" s="22" t="str">
        <f t="shared" si="208"/>
        <v/>
      </c>
    </row>
    <row r="6644" spans="1:10">
      <c r="A6644" s="1">
        <v>41478</v>
      </c>
      <c r="B6644">
        <v>31.91</v>
      </c>
      <c r="C6644">
        <v>32.04</v>
      </c>
      <c r="D6644">
        <v>31.71</v>
      </c>
      <c r="E6644">
        <v>31.82</v>
      </c>
      <c r="F6644">
        <v>65810400</v>
      </c>
      <c r="G6644">
        <v>31.36</v>
      </c>
      <c r="H6644" t="s">
        <v>6</v>
      </c>
      <c r="I6644" s="22">
        <f t="shared" si="207"/>
        <v>-6.0403935050151389E-3</v>
      </c>
      <c r="J6644" s="22" t="str">
        <f t="shared" si="208"/>
        <v>lost money</v>
      </c>
    </row>
    <row r="6645" spans="1:10">
      <c r="A6645" s="1">
        <v>41479</v>
      </c>
      <c r="B6645">
        <v>32.04</v>
      </c>
      <c r="C6645">
        <v>32.19</v>
      </c>
      <c r="D6645">
        <v>31.89</v>
      </c>
      <c r="E6645">
        <v>31.96</v>
      </c>
      <c r="F6645">
        <v>52803100</v>
      </c>
      <c r="G6645">
        <v>31.5</v>
      </c>
      <c r="H6645" t="s">
        <v>6</v>
      </c>
      <c r="I6645" s="22">
        <f t="shared" si="207"/>
        <v>4.4543503493803746E-3</v>
      </c>
      <c r="J6645" s="22" t="str">
        <f t="shared" si="208"/>
        <v>lost money</v>
      </c>
    </row>
    <row r="6646" spans="1:10">
      <c r="A6646" s="1">
        <v>41480</v>
      </c>
      <c r="B6646">
        <v>31.62</v>
      </c>
      <c r="C6646">
        <v>31.65</v>
      </c>
      <c r="D6646">
        <v>31.25</v>
      </c>
      <c r="E6646">
        <v>31.39</v>
      </c>
      <c r="F6646">
        <v>63213000</v>
      </c>
      <c r="G6646">
        <v>30.94</v>
      </c>
      <c r="H6646" t="s">
        <v>6</v>
      </c>
      <c r="I6646" s="22">
        <f t="shared" si="207"/>
        <v>-1.7937700686667318E-2</v>
      </c>
      <c r="J6646" s="22" t="str">
        <f t="shared" si="208"/>
        <v>lost money</v>
      </c>
    </row>
    <row r="6647" spans="1:10">
      <c r="A6647" s="1">
        <v>41481</v>
      </c>
      <c r="B6647">
        <v>31.26</v>
      </c>
      <c r="C6647">
        <v>31.62</v>
      </c>
      <c r="D6647">
        <v>31.21</v>
      </c>
      <c r="E6647">
        <v>31.62</v>
      </c>
      <c r="F6647">
        <v>38633600</v>
      </c>
      <c r="G6647">
        <v>31.16</v>
      </c>
      <c r="H6647" t="s">
        <v>6</v>
      </c>
      <c r="I6647" s="22">
        <f t="shared" si="207"/>
        <v>7.0853758576274271E-3</v>
      </c>
      <c r="J6647" s="22" t="str">
        <f t="shared" si="208"/>
        <v/>
      </c>
    </row>
    <row r="6648" spans="1:10">
      <c r="A6648" s="1">
        <v>41484</v>
      </c>
      <c r="B6648">
        <v>31.47</v>
      </c>
      <c r="C6648">
        <v>31.6</v>
      </c>
      <c r="D6648">
        <v>31.4</v>
      </c>
      <c r="E6648">
        <v>31.54</v>
      </c>
      <c r="F6648">
        <v>28870700</v>
      </c>
      <c r="G6648">
        <v>31.08</v>
      </c>
      <c r="H6648" t="s">
        <v>6</v>
      </c>
      <c r="I6648" s="22">
        <f t="shared" si="207"/>
        <v>-2.5706955031008661E-3</v>
      </c>
      <c r="J6648" s="22" t="str">
        <f t="shared" si="208"/>
        <v/>
      </c>
    </row>
    <row r="6649" spans="1:10">
      <c r="A6649" s="1">
        <v>41485</v>
      </c>
      <c r="B6649">
        <v>31.78</v>
      </c>
      <c r="C6649">
        <v>32.119999999999997</v>
      </c>
      <c r="D6649">
        <v>31.55</v>
      </c>
      <c r="E6649">
        <v>31.85</v>
      </c>
      <c r="F6649">
        <v>45799500</v>
      </c>
      <c r="G6649">
        <v>31.39</v>
      </c>
      <c r="H6649" t="s">
        <v>6</v>
      </c>
      <c r="I6649" s="22">
        <f t="shared" si="207"/>
        <v>9.9248453544155645E-3</v>
      </c>
      <c r="J6649" s="22" t="str">
        <f t="shared" si="208"/>
        <v/>
      </c>
    </row>
    <row r="6650" spans="1:10">
      <c r="A6650" s="1">
        <v>41486</v>
      </c>
      <c r="B6650">
        <v>31.97</v>
      </c>
      <c r="C6650">
        <v>32.049999999999997</v>
      </c>
      <c r="D6650">
        <v>31.71</v>
      </c>
      <c r="E6650">
        <v>31.84</v>
      </c>
      <c r="F6650">
        <v>43898400</v>
      </c>
      <c r="G6650">
        <v>31.38</v>
      </c>
      <c r="H6650" t="s">
        <v>6</v>
      </c>
      <c r="I6650" s="22">
        <f t="shared" si="207"/>
        <v>-3.1862354897572455E-4</v>
      </c>
      <c r="J6650" s="22" t="str">
        <f t="shared" si="208"/>
        <v>lost money</v>
      </c>
    </row>
    <row r="6651" spans="1:10">
      <c r="A6651" s="1">
        <v>41487</v>
      </c>
      <c r="B6651">
        <v>32.06</v>
      </c>
      <c r="C6651">
        <v>32.090000000000003</v>
      </c>
      <c r="D6651">
        <v>31.6</v>
      </c>
      <c r="E6651">
        <v>31.67</v>
      </c>
      <c r="F6651">
        <v>42557900</v>
      </c>
      <c r="G6651">
        <v>31.21</v>
      </c>
      <c r="H6651" t="s">
        <v>6</v>
      </c>
      <c r="I6651" s="22">
        <f t="shared" si="207"/>
        <v>-5.4321910221984231E-3</v>
      </c>
      <c r="J6651" s="22" t="str">
        <f t="shared" si="208"/>
        <v>lost money</v>
      </c>
    </row>
    <row r="6652" spans="1:10">
      <c r="A6652" s="1">
        <v>41488</v>
      </c>
      <c r="B6652">
        <v>31.69</v>
      </c>
      <c r="C6652">
        <v>31.9</v>
      </c>
      <c r="D6652">
        <v>31.57</v>
      </c>
      <c r="E6652">
        <v>31.89</v>
      </c>
      <c r="F6652">
        <v>29199900</v>
      </c>
      <c r="G6652">
        <v>31.43</v>
      </c>
      <c r="H6652" t="s">
        <v>6</v>
      </c>
      <c r="I6652" s="22">
        <f t="shared" si="207"/>
        <v>7.0242945267881898E-3</v>
      </c>
      <c r="J6652" s="22" t="str">
        <f t="shared" si="208"/>
        <v/>
      </c>
    </row>
    <row r="6653" spans="1:10">
      <c r="A6653" s="1">
        <v>41491</v>
      </c>
      <c r="B6653">
        <v>31.9</v>
      </c>
      <c r="C6653">
        <v>32</v>
      </c>
      <c r="D6653">
        <v>31.64</v>
      </c>
      <c r="E6653">
        <v>31.7</v>
      </c>
      <c r="F6653">
        <v>30984000</v>
      </c>
      <c r="G6653">
        <v>31.24</v>
      </c>
      <c r="H6653" t="s">
        <v>6</v>
      </c>
      <c r="I6653" s="22">
        <f t="shared" si="207"/>
        <v>-6.0635258379910656E-3</v>
      </c>
      <c r="J6653" s="22" t="str">
        <f t="shared" si="208"/>
        <v>lost money</v>
      </c>
    </row>
    <row r="6654" spans="1:10">
      <c r="A6654" s="1">
        <v>41492</v>
      </c>
      <c r="B6654">
        <v>31.55</v>
      </c>
      <c r="C6654">
        <v>31.67</v>
      </c>
      <c r="D6654">
        <v>31.38</v>
      </c>
      <c r="E6654">
        <v>31.58</v>
      </c>
      <c r="F6654">
        <v>36331500</v>
      </c>
      <c r="G6654">
        <v>31.12</v>
      </c>
      <c r="H6654" t="s">
        <v>6</v>
      </c>
      <c r="I6654" s="22">
        <f t="shared" si="207"/>
        <v>-3.8486256612942265E-3</v>
      </c>
      <c r="J6654" s="22" t="str">
        <f t="shared" si="208"/>
        <v/>
      </c>
    </row>
    <row r="6655" spans="1:10">
      <c r="A6655" s="1">
        <v>41493</v>
      </c>
      <c r="B6655">
        <v>31.54</v>
      </c>
      <c r="C6655">
        <v>32.1</v>
      </c>
      <c r="D6655">
        <v>31.25</v>
      </c>
      <c r="E6655">
        <v>32.06</v>
      </c>
      <c r="F6655">
        <v>38078600</v>
      </c>
      <c r="G6655">
        <v>31.6</v>
      </c>
      <c r="H6655" t="s">
        <v>6</v>
      </c>
      <c r="I6655" s="22">
        <f t="shared" si="207"/>
        <v>1.5306421282675507E-2</v>
      </c>
      <c r="J6655" s="22" t="str">
        <f t="shared" si="208"/>
        <v/>
      </c>
    </row>
    <row r="6656" spans="1:10">
      <c r="A6656" s="1">
        <v>41494</v>
      </c>
      <c r="B6656">
        <v>32.24</v>
      </c>
      <c r="C6656">
        <v>33.07</v>
      </c>
      <c r="D6656">
        <v>32.049999999999997</v>
      </c>
      <c r="E6656">
        <v>32.89</v>
      </c>
      <c r="F6656">
        <v>59034400</v>
      </c>
      <c r="G6656">
        <v>32.409999999999997</v>
      </c>
      <c r="H6656" t="s">
        <v>6</v>
      </c>
      <c r="I6656" s="22">
        <f t="shared" si="207"/>
        <v>2.53098965605895E-2</v>
      </c>
      <c r="J6656" s="22" t="str">
        <f t="shared" si="208"/>
        <v/>
      </c>
    </row>
    <row r="6657" spans="1:10">
      <c r="A6657" s="1">
        <v>41495</v>
      </c>
      <c r="B6657">
        <v>32.770000000000003</v>
      </c>
      <c r="C6657">
        <v>32.9</v>
      </c>
      <c r="D6657">
        <v>32.47</v>
      </c>
      <c r="E6657">
        <v>32.700000000000003</v>
      </c>
      <c r="F6657">
        <v>26800700</v>
      </c>
      <c r="G6657">
        <v>32.229999999999997</v>
      </c>
      <c r="H6657" t="s">
        <v>6</v>
      </c>
      <c r="I6657" s="22">
        <f t="shared" si="207"/>
        <v>-5.5693213261094983E-3</v>
      </c>
      <c r="J6657" s="22" t="str">
        <f t="shared" si="208"/>
        <v>lost money</v>
      </c>
    </row>
    <row r="6658" spans="1:10">
      <c r="A6658" s="1">
        <v>41498</v>
      </c>
      <c r="B6658">
        <v>32.46</v>
      </c>
      <c r="C6658">
        <v>32.97</v>
      </c>
      <c r="D6658">
        <v>32.46</v>
      </c>
      <c r="E6658">
        <v>32.869999999999997</v>
      </c>
      <c r="F6658">
        <v>25493700</v>
      </c>
      <c r="G6658">
        <v>32.39</v>
      </c>
      <c r="H6658" t="s">
        <v>6</v>
      </c>
      <c r="I6658" s="22">
        <f t="shared" si="207"/>
        <v>4.9520373558914815E-3</v>
      </c>
      <c r="J6658" s="22" t="str">
        <f t="shared" si="208"/>
        <v/>
      </c>
    </row>
    <row r="6659" spans="1:10">
      <c r="A6659" s="1">
        <v>41499</v>
      </c>
      <c r="B6659">
        <v>32.51</v>
      </c>
      <c r="C6659">
        <v>32.549999999999997</v>
      </c>
      <c r="D6659">
        <v>32.21</v>
      </c>
      <c r="E6659">
        <v>32.229999999999997</v>
      </c>
      <c r="F6659">
        <v>39464100</v>
      </c>
      <c r="G6659">
        <v>31.99</v>
      </c>
      <c r="H6659" t="s">
        <v>6</v>
      </c>
      <c r="I6659" s="22">
        <f t="shared" ref="I6659:I6722" si="209">IF(A6659=$A$2,"",LN(G6659/G6658))</f>
        <v>-1.2426379221811399E-2</v>
      </c>
      <c r="J6659" s="22" t="str">
        <f t="shared" ref="J6659:J6722" si="210">IF(B6659&gt;E6659,"lost money","")</f>
        <v>lost money</v>
      </c>
    </row>
    <row r="6660" spans="1:10">
      <c r="A6660" s="1">
        <v>41500</v>
      </c>
      <c r="B6660">
        <v>32.14</v>
      </c>
      <c r="C6660">
        <v>33.36</v>
      </c>
      <c r="D6660">
        <v>31.7</v>
      </c>
      <c r="E6660">
        <v>32.35</v>
      </c>
      <c r="F6660">
        <v>48519600</v>
      </c>
      <c r="G6660">
        <v>32.11</v>
      </c>
      <c r="H6660" t="s">
        <v>6</v>
      </c>
      <c r="I6660" s="22">
        <f t="shared" si="209"/>
        <v>3.7441541399959978E-3</v>
      </c>
      <c r="J6660" s="22" t="str">
        <f t="shared" si="210"/>
        <v/>
      </c>
    </row>
    <row r="6661" spans="1:10">
      <c r="A6661" s="1">
        <v>41501</v>
      </c>
      <c r="B6661">
        <v>32</v>
      </c>
      <c r="C6661">
        <v>32.18</v>
      </c>
      <c r="D6661">
        <v>30.84</v>
      </c>
      <c r="E6661">
        <v>31.79</v>
      </c>
      <c r="F6661">
        <v>33338000</v>
      </c>
      <c r="G6661">
        <v>31.55</v>
      </c>
      <c r="H6661" t="s">
        <v>6</v>
      </c>
      <c r="I6661" s="22">
        <f t="shared" si="209"/>
        <v>-1.7593919114200326E-2</v>
      </c>
      <c r="J6661" s="22" t="str">
        <f t="shared" si="210"/>
        <v>lost money</v>
      </c>
    </row>
    <row r="6662" spans="1:10">
      <c r="A6662" s="1">
        <v>41502</v>
      </c>
      <c r="B6662">
        <v>31.79</v>
      </c>
      <c r="C6662">
        <v>31.99</v>
      </c>
      <c r="D6662">
        <v>31.66</v>
      </c>
      <c r="E6662">
        <v>31.8</v>
      </c>
      <c r="F6662">
        <v>32866300</v>
      </c>
      <c r="G6662">
        <v>31.56</v>
      </c>
      <c r="H6662" t="s">
        <v>6</v>
      </c>
      <c r="I6662" s="22">
        <f t="shared" si="209"/>
        <v>3.1690699045118726E-4</v>
      </c>
      <c r="J6662" s="22" t="str">
        <f t="shared" si="210"/>
        <v/>
      </c>
    </row>
    <row r="6663" spans="1:10">
      <c r="A6663" s="1">
        <v>41505</v>
      </c>
      <c r="B6663">
        <v>31.76</v>
      </c>
      <c r="C6663">
        <v>31.97</v>
      </c>
      <c r="D6663">
        <v>31.38</v>
      </c>
      <c r="E6663">
        <v>31.39</v>
      </c>
      <c r="F6663">
        <v>27902500</v>
      </c>
      <c r="G6663">
        <v>31.15</v>
      </c>
      <c r="H6663" t="s">
        <v>6</v>
      </c>
      <c r="I6663" s="22">
        <f t="shared" si="209"/>
        <v>-1.307625074421139E-2</v>
      </c>
      <c r="J6663" s="22" t="str">
        <f t="shared" si="210"/>
        <v>lost money</v>
      </c>
    </row>
    <row r="6664" spans="1:10">
      <c r="A6664" s="1">
        <v>41506</v>
      </c>
      <c r="B6664">
        <v>31.44</v>
      </c>
      <c r="C6664">
        <v>31.9</v>
      </c>
      <c r="D6664">
        <v>31.37</v>
      </c>
      <c r="E6664">
        <v>31.62</v>
      </c>
      <c r="F6664">
        <v>22979600</v>
      </c>
      <c r="G6664">
        <v>31.38</v>
      </c>
      <c r="H6664" t="s">
        <v>6</v>
      </c>
      <c r="I6664" s="22">
        <f t="shared" si="209"/>
        <v>7.3565020714244393E-3</v>
      </c>
      <c r="J6664" s="22" t="str">
        <f t="shared" si="210"/>
        <v/>
      </c>
    </row>
    <row r="6665" spans="1:10">
      <c r="A6665" s="1">
        <v>41507</v>
      </c>
      <c r="B6665">
        <v>31.61</v>
      </c>
      <c r="C6665">
        <v>32.01</v>
      </c>
      <c r="D6665">
        <v>31.54</v>
      </c>
      <c r="E6665">
        <v>31.61</v>
      </c>
      <c r="F6665">
        <v>37409100</v>
      </c>
      <c r="G6665">
        <v>31.37</v>
      </c>
      <c r="H6665" t="s">
        <v>6</v>
      </c>
      <c r="I6665" s="22">
        <f t="shared" si="209"/>
        <v>-3.1872510229963888E-4</v>
      </c>
      <c r="J6665" s="22" t="str">
        <f t="shared" si="210"/>
        <v/>
      </c>
    </row>
    <row r="6666" spans="1:10">
      <c r="A6666" s="1">
        <v>41508</v>
      </c>
      <c r="B6666">
        <v>32.19</v>
      </c>
      <c r="C6666">
        <v>32.49</v>
      </c>
      <c r="D6666">
        <v>32.1</v>
      </c>
      <c r="E6666">
        <v>32.39</v>
      </c>
      <c r="F6666">
        <v>31169900</v>
      </c>
      <c r="G6666">
        <v>32.15</v>
      </c>
      <c r="H6666" t="s">
        <v>6</v>
      </c>
      <c r="I6666" s="22">
        <f t="shared" si="209"/>
        <v>2.4560428481041632E-2</v>
      </c>
      <c r="J6666" s="22" t="str">
        <f t="shared" si="210"/>
        <v/>
      </c>
    </row>
    <row r="6667" spans="1:10">
      <c r="A6667" s="1">
        <v>41509</v>
      </c>
      <c r="B6667">
        <v>35.17</v>
      </c>
      <c r="C6667">
        <v>35.200000000000003</v>
      </c>
      <c r="D6667">
        <v>34</v>
      </c>
      <c r="E6667">
        <v>34.75</v>
      </c>
      <c r="F6667">
        <v>225493800</v>
      </c>
      <c r="G6667">
        <v>34.49</v>
      </c>
      <c r="H6667" t="s">
        <v>6</v>
      </c>
      <c r="I6667" s="22">
        <f t="shared" si="209"/>
        <v>7.025697626512116E-2</v>
      </c>
      <c r="J6667" s="22" t="str">
        <f t="shared" si="210"/>
        <v>lost money</v>
      </c>
    </row>
    <row r="6668" spans="1:10">
      <c r="A6668" s="1">
        <v>41512</v>
      </c>
      <c r="B6668">
        <v>34.4</v>
      </c>
      <c r="C6668">
        <v>34.67</v>
      </c>
      <c r="D6668">
        <v>34.03</v>
      </c>
      <c r="E6668">
        <v>34.15</v>
      </c>
      <c r="F6668">
        <v>72786800</v>
      </c>
      <c r="G6668">
        <v>33.89</v>
      </c>
      <c r="H6668" t="s">
        <v>6</v>
      </c>
      <c r="I6668" s="22">
        <f t="shared" si="209"/>
        <v>-1.7549441329789618E-2</v>
      </c>
      <c r="J6668" s="22" t="str">
        <f t="shared" si="210"/>
        <v>lost money</v>
      </c>
    </row>
    <row r="6669" spans="1:10">
      <c r="A6669" s="1">
        <v>41513</v>
      </c>
      <c r="B6669">
        <v>33.520000000000003</v>
      </c>
      <c r="C6669">
        <v>34.1</v>
      </c>
      <c r="D6669">
        <v>33.15</v>
      </c>
      <c r="E6669">
        <v>33.26</v>
      </c>
      <c r="F6669">
        <v>58522300</v>
      </c>
      <c r="G6669">
        <v>33.01</v>
      </c>
      <c r="H6669" t="s">
        <v>6</v>
      </c>
      <c r="I6669" s="22">
        <f t="shared" si="209"/>
        <v>-2.6309439753858448E-2</v>
      </c>
      <c r="J6669" s="22" t="str">
        <f t="shared" si="210"/>
        <v>lost money</v>
      </c>
    </row>
    <row r="6670" spans="1:10">
      <c r="A6670" s="1">
        <v>41514</v>
      </c>
      <c r="B6670">
        <v>33.39</v>
      </c>
      <c r="C6670">
        <v>33.6</v>
      </c>
      <c r="D6670">
        <v>33</v>
      </c>
      <c r="E6670">
        <v>33.020000000000003</v>
      </c>
      <c r="F6670">
        <v>44257400</v>
      </c>
      <c r="G6670">
        <v>32.770000000000003</v>
      </c>
      <c r="H6670" t="s">
        <v>6</v>
      </c>
      <c r="I6670" s="22">
        <f t="shared" si="209"/>
        <v>-7.29708315437823E-3</v>
      </c>
      <c r="J6670" s="22" t="str">
        <f t="shared" si="210"/>
        <v>lost money</v>
      </c>
    </row>
    <row r="6671" spans="1:10">
      <c r="A6671" s="1">
        <v>41515</v>
      </c>
      <c r="B6671">
        <v>32.93</v>
      </c>
      <c r="C6671">
        <v>33.6</v>
      </c>
      <c r="D6671">
        <v>32.799999999999997</v>
      </c>
      <c r="E6671">
        <v>33.549999999999997</v>
      </c>
      <c r="F6671">
        <v>45284700</v>
      </c>
      <c r="G6671">
        <v>33.299999999999997</v>
      </c>
      <c r="H6671" t="s">
        <v>6</v>
      </c>
      <c r="I6671" s="22">
        <f t="shared" si="209"/>
        <v>1.6043934275674819E-2</v>
      </c>
      <c r="J6671" s="22" t="str">
        <f t="shared" si="210"/>
        <v/>
      </c>
    </row>
    <row r="6672" spans="1:10">
      <c r="A6672" s="1">
        <v>41516</v>
      </c>
      <c r="B6672">
        <v>33.369999999999997</v>
      </c>
      <c r="C6672">
        <v>33.479999999999997</v>
      </c>
      <c r="D6672">
        <v>33.090000000000003</v>
      </c>
      <c r="E6672">
        <v>33.4</v>
      </c>
      <c r="F6672">
        <v>42790200</v>
      </c>
      <c r="G6672">
        <v>33.15</v>
      </c>
      <c r="H6672" t="s">
        <v>6</v>
      </c>
      <c r="I6672" s="22">
        <f t="shared" si="209"/>
        <v>-4.5146803545265827E-3</v>
      </c>
      <c r="J6672" s="22" t="str">
        <f t="shared" si="210"/>
        <v/>
      </c>
    </row>
    <row r="6673" spans="1:10">
      <c r="A6673" s="1">
        <v>41520</v>
      </c>
      <c r="B6673">
        <v>31.75</v>
      </c>
      <c r="C6673">
        <v>32.07</v>
      </c>
      <c r="D6673">
        <v>31.29</v>
      </c>
      <c r="E6673">
        <v>31.88</v>
      </c>
      <c r="F6673">
        <v>154507000</v>
      </c>
      <c r="G6673">
        <v>31.64</v>
      </c>
      <c r="H6673" t="s">
        <v>6</v>
      </c>
      <c r="I6673" s="22">
        <f t="shared" si="209"/>
        <v>-4.662057373241834E-2</v>
      </c>
      <c r="J6673" s="22" t="str">
        <f t="shared" si="210"/>
        <v/>
      </c>
    </row>
    <row r="6674" spans="1:10">
      <c r="A6674" s="1">
        <v>41521</v>
      </c>
      <c r="B6674">
        <v>31.39</v>
      </c>
      <c r="C6674">
        <v>31.47</v>
      </c>
      <c r="D6674">
        <v>31.11</v>
      </c>
      <c r="E6674">
        <v>31.2</v>
      </c>
      <c r="F6674">
        <v>142320600</v>
      </c>
      <c r="G6674">
        <v>30.97</v>
      </c>
      <c r="H6674" t="s">
        <v>6</v>
      </c>
      <c r="I6674" s="22">
        <f t="shared" si="209"/>
        <v>-2.1403148914341724E-2</v>
      </c>
      <c r="J6674" s="22" t="str">
        <f t="shared" si="210"/>
        <v>lost money</v>
      </c>
    </row>
    <row r="6675" spans="1:10">
      <c r="A6675" s="1">
        <v>41522</v>
      </c>
      <c r="B6675">
        <v>31.1</v>
      </c>
      <c r="C6675">
        <v>31.44</v>
      </c>
      <c r="D6675">
        <v>30.95</v>
      </c>
      <c r="E6675">
        <v>31.23</v>
      </c>
      <c r="F6675">
        <v>71644900</v>
      </c>
      <c r="G6675">
        <v>30.99</v>
      </c>
      <c r="H6675" t="s">
        <v>6</v>
      </c>
      <c r="I6675" s="22">
        <f t="shared" si="209"/>
        <v>6.4557781454532338E-4</v>
      </c>
      <c r="J6675" s="22" t="str">
        <f t="shared" si="210"/>
        <v/>
      </c>
    </row>
    <row r="6676" spans="1:10">
      <c r="A6676" s="1">
        <v>41523</v>
      </c>
      <c r="B6676">
        <v>31.31</v>
      </c>
      <c r="C6676">
        <v>31.39</v>
      </c>
      <c r="D6676">
        <v>31.13</v>
      </c>
      <c r="E6676">
        <v>31.15</v>
      </c>
      <c r="F6676">
        <v>75434900</v>
      </c>
      <c r="G6676">
        <v>30.92</v>
      </c>
      <c r="H6676" t="s">
        <v>6</v>
      </c>
      <c r="I6676" s="22">
        <f t="shared" si="209"/>
        <v>-2.2613480804355873E-3</v>
      </c>
      <c r="J6676" s="22" t="str">
        <f t="shared" si="210"/>
        <v>lost money</v>
      </c>
    </row>
    <row r="6677" spans="1:10">
      <c r="A6677" s="1">
        <v>41526</v>
      </c>
      <c r="B6677">
        <v>31.22</v>
      </c>
      <c r="C6677">
        <v>31.79</v>
      </c>
      <c r="D6677">
        <v>31.2</v>
      </c>
      <c r="E6677">
        <v>31.66</v>
      </c>
      <c r="F6677">
        <v>49628500</v>
      </c>
      <c r="G6677">
        <v>31.42</v>
      </c>
      <c r="H6677" t="s">
        <v>6</v>
      </c>
      <c r="I6677" s="22">
        <f t="shared" si="209"/>
        <v>1.6041409108253881E-2</v>
      </c>
      <c r="J6677" s="22" t="str">
        <f t="shared" si="210"/>
        <v/>
      </c>
    </row>
    <row r="6678" spans="1:10">
      <c r="A6678" s="1">
        <v>41527</v>
      </c>
      <c r="B6678">
        <v>31.9</v>
      </c>
      <c r="C6678">
        <v>32.4</v>
      </c>
      <c r="D6678">
        <v>31.79</v>
      </c>
      <c r="E6678">
        <v>32.39</v>
      </c>
      <c r="F6678">
        <v>56881200</v>
      </c>
      <c r="G6678">
        <v>32.15</v>
      </c>
      <c r="H6678" t="s">
        <v>6</v>
      </c>
      <c r="I6678" s="22">
        <f t="shared" si="209"/>
        <v>2.2967817856153119E-2</v>
      </c>
      <c r="J6678" s="22" t="str">
        <f t="shared" si="210"/>
        <v/>
      </c>
    </row>
    <row r="6679" spans="1:10">
      <c r="A6679" s="1">
        <v>41528</v>
      </c>
      <c r="B6679">
        <v>32.57</v>
      </c>
      <c r="C6679">
        <v>32.93</v>
      </c>
      <c r="D6679">
        <v>32.53</v>
      </c>
      <c r="E6679">
        <v>32.74</v>
      </c>
      <c r="F6679">
        <v>39087500</v>
      </c>
      <c r="G6679">
        <v>32.49</v>
      </c>
      <c r="H6679" t="s">
        <v>6</v>
      </c>
      <c r="I6679" s="22">
        <f t="shared" si="209"/>
        <v>1.0519898997380596E-2</v>
      </c>
      <c r="J6679" s="22" t="str">
        <f t="shared" si="210"/>
        <v/>
      </c>
    </row>
    <row r="6680" spans="1:10">
      <c r="A6680" s="1">
        <v>41529</v>
      </c>
      <c r="B6680">
        <v>32.72</v>
      </c>
      <c r="C6680">
        <v>32.78</v>
      </c>
      <c r="D6680">
        <v>32.590000000000003</v>
      </c>
      <c r="E6680">
        <v>32.69</v>
      </c>
      <c r="F6680">
        <v>32860200</v>
      </c>
      <c r="G6680">
        <v>32.44</v>
      </c>
      <c r="H6680" t="s">
        <v>6</v>
      </c>
      <c r="I6680" s="22">
        <f t="shared" si="209"/>
        <v>-1.5401204337968592E-3</v>
      </c>
      <c r="J6680" s="22" t="str">
        <f t="shared" si="210"/>
        <v>lost money</v>
      </c>
    </row>
    <row r="6681" spans="1:10">
      <c r="A6681" s="1">
        <v>41530</v>
      </c>
      <c r="B6681">
        <v>32.770000000000003</v>
      </c>
      <c r="C6681">
        <v>33.07</v>
      </c>
      <c r="D6681">
        <v>32.51</v>
      </c>
      <c r="E6681">
        <v>33.03</v>
      </c>
      <c r="F6681">
        <v>40899000</v>
      </c>
      <c r="G6681">
        <v>32.78</v>
      </c>
      <c r="H6681" t="s">
        <v>6</v>
      </c>
      <c r="I6681" s="22">
        <f t="shared" si="209"/>
        <v>1.042634406847151E-2</v>
      </c>
      <c r="J6681" s="22" t="str">
        <f t="shared" si="210"/>
        <v/>
      </c>
    </row>
    <row r="6682" spans="1:10">
      <c r="A6682" s="1">
        <v>41533</v>
      </c>
      <c r="B6682">
        <v>33.380000000000003</v>
      </c>
      <c r="C6682">
        <v>33.5</v>
      </c>
      <c r="D6682">
        <v>32.729999999999997</v>
      </c>
      <c r="E6682">
        <v>32.799999999999997</v>
      </c>
      <c r="F6682">
        <v>52839700</v>
      </c>
      <c r="G6682">
        <v>32.549999999999997</v>
      </c>
      <c r="H6682" t="s">
        <v>6</v>
      </c>
      <c r="I6682" s="22">
        <f t="shared" si="209"/>
        <v>-7.0412046611054739E-3</v>
      </c>
      <c r="J6682" s="22" t="str">
        <f t="shared" si="210"/>
        <v>lost money</v>
      </c>
    </row>
    <row r="6683" spans="1:10">
      <c r="A6683" s="1">
        <v>41534</v>
      </c>
      <c r="B6683">
        <v>33.42</v>
      </c>
      <c r="C6683">
        <v>33.47</v>
      </c>
      <c r="D6683">
        <v>32.9</v>
      </c>
      <c r="E6683">
        <v>32.93</v>
      </c>
      <c r="F6683">
        <v>84716500</v>
      </c>
      <c r="G6683">
        <v>32.68</v>
      </c>
      <c r="H6683" t="s">
        <v>6</v>
      </c>
      <c r="I6683" s="22">
        <f t="shared" si="209"/>
        <v>3.9859013372239641E-3</v>
      </c>
      <c r="J6683" s="22" t="str">
        <f t="shared" si="210"/>
        <v>lost money</v>
      </c>
    </row>
    <row r="6684" spans="1:10">
      <c r="A6684" s="1">
        <v>41535</v>
      </c>
      <c r="B6684">
        <v>32.99</v>
      </c>
      <c r="C6684">
        <v>33.4</v>
      </c>
      <c r="D6684">
        <v>32.83</v>
      </c>
      <c r="E6684">
        <v>33.32</v>
      </c>
      <c r="F6684">
        <v>64099900</v>
      </c>
      <c r="G6684">
        <v>33.07</v>
      </c>
      <c r="H6684" t="s">
        <v>6</v>
      </c>
      <c r="I6684" s="22">
        <f t="shared" si="209"/>
        <v>1.186325700189937E-2</v>
      </c>
      <c r="J6684" s="22" t="str">
        <f t="shared" si="210"/>
        <v/>
      </c>
    </row>
    <row r="6685" spans="1:10">
      <c r="A6685" s="1">
        <v>41536</v>
      </c>
      <c r="B6685">
        <v>33.479999999999997</v>
      </c>
      <c r="C6685">
        <v>33.68</v>
      </c>
      <c r="D6685">
        <v>33.32</v>
      </c>
      <c r="E6685">
        <v>33.64</v>
      </c>
      <c r="F6685">
        <v>42026600</v>
      </c>
      <c r="G6685">
        <v>33.39</v>
      </c>
      <c r="H6685" t="s">
        <v>6</v>
      </c>
      <c r="I6685" s="22">
        <f t="shared" si="209"/>
        <v>9.6299269618616862E-3</v>
      </c>
      <c r="J6685" s="22" t="str">
        <f t="shared" si="210"/>
        <v/>
      </c>
    </row>
    <row r="6686" spans="1:10">
      <c r="A6686" s="1">
        <v>41537</v>
      </c>
      <c r="B6686">
        <v>33.409999999999997</v>
      </c>
      <c r="C6686">
        <v>33.479999999999997</v>
      </c>
      <c r="D6686">
        <v>32.69</v>
      </c>
      <c r="E6686">
        <v>32.79</v>
      </c>
      <c r="F6686">
        <v>102904900</v>
      </c>
      <c r="G6686">
        <v>32.54</v>
      </c>
      <c r="H6686" t="s">
        <v>6</v>
      </c>
      <c r="I6686" s="22">
        <f t="shared" si="209"/>
        <v>-2.5786352164671414E-2</v>
      </c>
      <c r="J6686" s="22" t="str">
        <f t="shared" si="210"/>
        <v>lost money</v>
      </c>
    </row>
    <row r="6687" spans="1:10">
      <c r="A6687" s="1">
        <v>41540</v>
      </c>
      <c r="B6687">
        <v>32.54</v>
      </c>
      <c r="C6687">
        <v>32.97</v>
      </c>
      <c r="D6687">
        <v>32.5</v>
      </c>
      <c r="E6687">
        <v>32.74</v>
      </c>
      <c r="F6687">
        <v>39826100</v>
      </c>
      <c r="G6687">
        <v>32.49</v>
      </c>
      <c r="H6687" t="s">
        <v>6</v>
      </c>
      <c r="I6687" s="22">
        <f t="shared" si="209"/>
        <v>-1.5377521098826855E-3</v>
      </c>
      <c r="J6687" s="22" t="str">
        <f t="shared" si="210"/>
        <v/>
      </c>
    </row>
    <row r="6688" spans="1:10">
      <c r="A6688" s="1">
        <v>41541</v>
      </c>
      <c r="B6688">
        <v>32.869999999999997</v>
      </c>
      <c r="C6688">
        <v>32.869999999999997</v>
      </c>
      <c r="D6688">
        <v>32.15</v>
      </c>
      <c r="E6688">
        <v>32.450000000000003</v>
      </c>
      <c r="F6688">
        <v>40685000</v>
      </c>
      <c r="G6688">
        <v>32.21</v>
      </c>
      <c r="H6688" t="s">
        <v>6</v>
      </c>
      <c r="I6688" s="22">
        <f t="shared" si="209"/>
        <v>-8.6553863379015064E-3</v>
      </c>
      <c r="J6688" s="22" t="str">
        <f t="shared" si="210"/>
        <v>lost money</v>
      </c>
    </row>
    <row r="6689" spans="1:10">
      <c r="A6689" s="1">
        <v>41542</v>
      </c>
      <c r="B6689">
        <v>32.49</v>
      </c>
      <c r="C6689">
        <v>32.799999999999997</v>
      </c>
      <c r="D6689">
        <v>32.4</v>
      </c>
      <c r="E6689">
        <v>32.51</v>
      </c>
      <c r="F6689">
        <v>28907500</v>
      </c>
      <c r="G6689">
        <v>32.270000000000003</v>
      </c>
      <c r="H6689" t="s">
        <v>6</v>
      </c>
      <c r="I6689" s="22">
        <f t="shared" si="209"/>
        <v>1.8610427207630645E-3</v>
      </c>
      <c r="J6689" s="22" t="str">
        <f t="shared" si="210"/>
        <v/>
      </c>
    </row>
    <row r="6690" spans="1:10">
      <c r="A6690" s="1">
        <v>41543</v>
      </c>
      <c r="B6690">
        <v>32.64</v>
      </c>
      <c r="C6690">
        <v>33</v>
      </c>
      <c r="D6690">
        <v>32.590000000000003</v>
      </c>
      <c r="E6690">
        <v>32.770000000000003</v>
      </c>
      <c r="F6690">
        <v>28504000</v>
      </c>
      <c r="G6690">
        <v>32.520000000000003</v>
      </c>
      <c r="H6690" t="s">
        <v>6</v>
      </c>
      <c r="I6690" s="22">
        <f t="shared" si="209"/>
        <v>7.7172786157393451E-3</v>
      </c>
      <c r="J6690" s="22" t="str">
        <f t="shared" si="210"/>
        <v/>
      </c>
    </row>
    <row r="6691" spans="1:10">
      <c r="A6691" s="1">
        <v>41544</v>
      </c>
      <c r="B6691">
        <v>32.880000000000003</v>
      </c>
      <c r="C6691">
        <v>33.75</v>
      </c>
      <c r="D6691">
        <v>32.869999999999997</v>
      </c>
      <c r="E6691">
        <v>33.270000000000003</v>
      </c>
      <c r="F6691">
        <v>55348000</v>
      </c>
      <c r="G6691">
        <v>33.020000000000003</v>
      </c>
      <c r="H6691" t="s">
        <v>6</v>
      </c>
      <c r="I6691" s="22">
        <f t="shared" si="209"/>
        <v>1.5258153812372012E-2</v>
      </c>
      <c r="J6691" s="22" t="str">
        <f t="shared" si="210"/>
        <v/>
      </c>
    </row>
    <row r="6692" spans="1:10">
      <c r="A6692" s="1">
        <v>41547</v>
      </c>
      <c r="B6692">
        <v>33</v>
      </c>
      <c r="C6692">
        <v>33.31</v>
      </c>
      <c r="D6692">
        <v>32.700000000000003</v>
      </c>
      <c r="E6692">
        <v>33.28</v>
      </c>
      <c r="F6692">
        <v>39839500</v>
      </c>
      <c r="G6692">
        <v>33.03</v>
      </c>
      <c r="H6692" t="s">
        <v>6</v>
      </c>
      <c r="I6692" s="22">
        <f t="shared" si="209"/>
        <v>3.0280091071628411E-4</v>
      </c>
      <c r="J6692" s="22" t="str">
        <f t="shared" si="210"/>
        <v/>
      </c>
    </row>
    <row r="6693" spans="1:10">
      <c r="A6693" s="1">
        <v>41548</v>
      </c>
      <c r="B6693">
        <v>33.35</v>
      </c>
      <c r="C6693">
        <v>33.61</v>
      </c>
      <c r="D6693">
        <v>33.299999999999997</v>
      </c>
      <c r="E6693">
        <v>33.58</v>
      </c>
      <c r="F6693">
        <v>36718700</v>
      </c>
      <c r="G6693">
        <v>33.33</v>
      </c>
      <c r="H6693" t="s">
        <v>6</v>
      </c>
      <c r="I6693" s="22">
        <f t="shared" si="209"/>
        <v>9.0416529169499455E-3</v>
      </c>
      <c r="J6693" s="22" t="str">
        <f t="shared" si="210"/>
        <v/>
      </c>
    </row>
    <row r="6694" spans="1:10">
      <c r="A6694" s="1">
        <v>41549</v>
      </c>
      <c r="B6694">
        <v>33.36</v>
      </c>
      <c r="C6694">
        <v>34.03</v>
      </c>
      <c r="D6694">
        <v>33.29</v>
      </c>
      <c r="E6694">
        <v>33.92</v>
      </c>
      <c r="F6694">
        <v>46946800</v>
      </c>
      <c r="G6694">
        <v>33.659999999999997</v>
      </c>
      <c r="H6694" t="s">
        <v>6</v>
      </c>
      <c r="I6694" s="22">
        <f t="shared" si="209"/>
        <v>9.8522964430116395E-3</v>
      </c>
      <c r="J6694" s="22" t="str">
        <f t="shared" si="210"/>
        <v/>
      </c>
    </row>
    <row r="6695" spans="1:10">
      <c r="A6695" s="1">
        <v>41550</v>
      </c>
      <c r="B6695">
        <v>33.880000000000003</v>
      </c>
      <c r="C6695">
        <v>34</v>
      </c>
      <c r="D6695">
        <v>33.42</v>
      </c>
      <c r="E6695">
        <v>33.86</v>
      </c>
      <c r="F6695">
        <v>38703800</v>
      </c>
      <c r="G6695">
        <v>33.61</v>
      </c>
      <c r="H6695" t="s">
        <v>6</v>
      </c>
      <c r="I6695" s="22">
        <f t="shared" si="209"/>
        <v>-1.4865470256455982E-3</v>
      </c>
      <c r="J6695" s="22" t="str">
        <f t="shared" si="210"/>
        <v>lost money</v>
      </c>
    </row>
    <row r="6696" spans="1:10">
      <c r="A6696" s="1">
        <v>41551</v>
      </c>
      <c r="B6696">
        <v>33.69</v>
      </c>
      <c r="C6696">
        <v>33.99</v>
      </c>
      <c r="D6696">
        <v>33.619999999999997</v>
      </c>
      <c r="E6696">
        <v>33.880000000000003</v>
      </c>
      <c r="F6696">
        <v>33008100</v>
      </c>
      <c r="G6696">
        <v>33.619999999999997</v>
      </c>
      <c r="H6696" t="s">
        <v>6</v>
      </c>
      <c r="I6696" s="22">
        <f t="shared" si="209"/>
        <v>2.9748624345530005E-4</v>
      </c>
      <c r="J6696" s="22" t="str">
        <f t="shared" si="210"/>
        <v/>
      </c>
    </row>
    <row r="6697" spans="1:10">
      <c r="A6697" s="1">
        <v>41554</v>
      </c>
      <c r="B6697">
        <v>33.6</v>
      </c>
      <c r="C6697">
        <v>33.71</v>
      </c>
      <c r="D6697">
        <v>33.200000000000003</v>
      </c>
      <c r="E6697">
        <v>33.299999999999997</v>
      </c>
      <c r="F6697">
        <v>35069300</v>
      </c>
      <c r="G6697">
        <v>33.049999999999997</v>
      </c>
      <c r="H6697" t="s">
        <v>6</v>
      </c>
      <c r="I6697" s="22">
        <f t="shared" si="209"/>
        <v>-1.709956168277426E-2</v>
      </c>
      <c r="J6697" s="22" t="str">
        <f t="shared" si="210"/>
        <v>lost money</v>
      </c>
    </row>
    <row r="6698" spans="1:10">
      <c r="A6698" s="1">
        <v>41555</v>
      </c>
      <c r="B6698">
        <v>33.31</v>
      </c>
      <c r="C6698">
        <v>33.33</v>
      </c>
      <c r="D6698">
        <v>32.799999999999997</v>
      </c>
      <c r="E6698">
        <v>33.01</v>
      </c>
      <c r="F6698">
        <v>41017600</v>
      </c>
      <c r="G6698">
        <v>32.76</v>
      </c>
      <c r="H6698" t="s">
        <v>6</v>
      </c>
      <c r="I6698" s="22">
        <f t="shared" si="209"/>
        <v>-8.8133073128265921E-3</v>
      </c>
      <c r="J6698" s="22" t="str">
        <f t="shared" si="210"/>
        <v>lost money</v>
      </c>
    </row>
    <row r="6699" spans="1:10">
      <c r="A6699" s="1">
        <v>41556</v>
      </c>
      <c r="B6699">
        <v>33.07</v>
      </c>
      <c r="C6699">
        <v>33.35</v>
      </c>
      <c r="D6699">
        <v>32.96</v>
      </c>
      <c r="E6699">
        <v>33.07</v>
      </c>
      <c r="F6699">
        <v>35878600</v>
      </c>
      <c r="G6699">
        <v>32.82</v>
      </c>
      <c r="H6699" t="s">
        <v>6</v>
      </c>
      <c r="I6699" s="22">
        <f t="shared" si="209"/>
        <v>1.8298266770761572E-3</v>
      </c>
      <c r="J6699" s="22" t="str">
        <f t="shared" si="210"/>
        <v/>
      </c>
    </row>
    <row r="6700" spans="1:10">
      <c r="A6700" s="1">
        <v>41557</v>
      </c>
      <c r="B6700">
        <v>33.31</v>
      </c>
      <c r="C6700">
        <v>33.89</v>
      </c>
      <c r="D6700">
        <v>33.26</v>
      </c>
      <c r="E6700">
        <v>33.76</v>
      </c>
      <c r="F6700">
        <v>42875100</v>
      </c>
      <c r="G6700">
        <v>33.51</v>
      </c>
      <c r="H6700" t="s">
        <v>6</v>
      </c>
      <c r="I6700" s="22">
        <f t="shared" si="209"/>
        <v>2.0805816087274203E-2</v>
      </c>
      <c r="J6700" s="22" t="str">
        <f t="shared" si="210"/>
        <v/>
      </c>
    </row>
    <row r="6701" spans="1:10">
      <c r="A6701" s="1">
        <v>41558</v>
      </c>
      <c r="B6701">
        <v>33.68</v>
      </c>
      <c r="C6701">
        <v>34.14</v>
      </c>
      <c r="D6701">
        <v>33.68</v>
      </c>
      <c r="E6701">
        <v>34.130000000000003</v>
      </c>
      <c r="F6701">
        <v>30033300</v>
      </c>
      <c r="G6701">
        <v>33.869999999999997</v>
      </c>
      <c r="H6701" t="s">
        <v>6</v>
      </c>
      <c r="I6701" s="22">
        <f t="shared" si="209"/>
        <v>1.0685765080461316E-2</v>
      </c>
      <c r="J6701" s="22" t="str">
        <f t="shared" si="210"/>
        <v/>
      </c>
    </row>
    <row r="6702" spans="1:10">
      <c r="A6702" s="1">
        <v>41561</v>
      </c>
      <c r="B6702">
        <v>33.9</v>
      </c>
      <c r="C6702">
        <v>34.5</v>
      </c>
      <c r="D6702">
        <v>33.78</v>
      </c>
      <c r="E6702">
        <v>34.450000000000003</v>
      </c>
      <c r="F6702">
        <v>27757900</v>
      </c>
      <c r="G6702">
        <v>34.19</v>
      </c>
      <c r="H6702" t="s">
        <v>6</v>
      </c>
      <c r="I6702" s="22">
        <f t="shared" si="209"/>
        <v>9.4035368215296001E-3</v>
      </c>
      <c r="J6702" s="22" t="str">
        <f t="shared" si="210"/>
        <v/>
      </c>
    </row>
    <row r="6703" spans="1:10">
      <c r="A6703" s="1">
        <v>41562</v>
      </c>
      <c r="B6703">
        <v>34.67</v>
      </c>
      <c r="C6703">
        <v>34.99</v>
      </c>
      <c r="D6703">
        <v>34.47</v>
      </c>
      <c r="E6703">
        <v>34.49</v>
      </c>
      <c r="F6703">
        <v>47097800</v>
      </c>
      <c r="G6703">
        <v>34.229999999999997</v>
      </c>
      <c r="H6703" t="s">
        <v>6</v>
      </c>
      <c r="I6703" s="22">
        <f t="shared" si="209"/>
        <v>1.1692488908840704E-3</v>
      </c>
      <c r="J6703" s="22" t="str">
        <f t="shared" si="210"/>
        <v>lost money</v>
      </c>
    </row>
    <row r="6704" spans="1:10">
      <c r="A6704" s="1">
        <v>41563</v>
      </c>
      <c r="B6704">
        <v>34.6</v>
      </c>
      <c r="C6704">
        <v>34.9</v>
      </c>
      <c r="D6704">
        <v>34.56</v>
      </c>
      <c r="E6704">
        <v>34.64</v>
      </c>
      <c r="F6704">
        <v>35111600</v>
      </c>
      <c r="G6704">
        <v>34.380000000000003</v>
      </c>
      <c r="H6704" t="s">
        <v>6</v>
      </c>
      <c r="I6704" s="22">
        <f t="shared" si="209"/>
        <v>4.3725474126093357E-3</v>
      </c>
      <c r="J6704" s="22" t="str">
        <f t="shared" si="210"/>
        <v/>
      </c>
    </row>
    <row r="6705" spans="1:10">
      <c r="A6705" s="1">
        <v>41564</v>
      </c>
      <c r="B6705">
        <v>34.450000000000003</v>
      </c>
      <c r="C6705">
        <v>34.99</v>
      </c>
      <c r="D6705">
        <v>34.369999999999997</v>
      </c>
      <c r="E6705">
        <v>34.92</v>
      </c>
      <c r="F6705">
        <v>31359200</v>
      </c>
      <c r="G6705">
        <v>34.659999999999997</v>
      </c>
      <c r="H6705" t="s">
        <v>6</v>
      </c>
      <c r="I6705" s="22">
        <f t="shared" si="209"/>
        <v>8.1112843327567474E-3</v>
      </c>
      <c r="J6705" s="22" t="str">
        <f t="shared" si="210"/>
        <v/>
      </c>
    </row>
    <row r="6706" spans="1:10">
      <c r="A6706" s="1">
        <v>41565</v>
      </c>
      <c r="B6706">
        <v>34.82</v>
      </c>
      <c r="C6706">
        <v>34.99</v>
      </c>
      <c r="D6706">
        <v>34.33</v>
      </c>
      <c r="E6706">
        <v>34.96</v>
      </c>
      <c r="F6706">
        <v>41811700</v>
      </c>
      <c r="G6706">
        <v>34.700000000000003</v>
      </c>
      <c r="H6706" t="s">
        <v>6</v>
      </c>
      <c r="I6706" s="22">
        <f t="shared" si="209"/>
        <v>1.1534026653536773E-3</v>
      </c>
      <c r="J6706" s="22" t="str">
        <f t="shared" si="210"/>
        <v/>
      </c>
    </row>
    <row r="6707" spans="1:10">
      <c r="A6707" s="1">
        <v>41568</v>
      </c>
      <c r="B6707">
        <v>34.979999999999997</v>
      </c>
      <c r="C6707">
        <v>35.200000000000003</v>
      </c>
      <c r="D6707">
        <v>34.909999999999997</v>
      </c>
      <c r="E6707">
        <v>34.99</v>
      </c>
      <c r="F6707">
        <v>27433500</v>
      </c>
      <c r="G6707">
        <v>34.729999999999997</v>
      </c>
      <c r="H6707" t="s">
        <v>6</v>
      </c>
      <c r="I6707" s="22">
        <f t="shared" si="209"/>
        <v>8.641798031690474E-4</v>
      </c>
      <c r="J6707" s="22" t="str">
        <f t="shared" si="210"/>
        <v/>
      </c>
    </row>
    <row r="6708" spans="1:10">
      <c r="A6708" s="1">
        <v>41569</v>
      </c>
      <c r="B6708">
        <v>35.020000000000003</v>
      </c>
      <c r="C6708">
        <v>35.1</v>
      </c>
      <c r="D6708">
        <v>34.520000000000003</v>
      </c>
      <c r="E6708">
        <v>34.58</v>
      </c>
      <c r="F6708">
        <v>40438500</v>
      </c>
      <c r="G6708">
        <v>34.32</v>
      </c>
      <c r="H6708" t="s">
        <v>6</v>
      </c>
      <c r="I6708" s="22">
        <f t="shared" si="209"/>
        <v>-1.1875592136221054E-2</v>
      </c>
      <c r="J6708" s="22" t="str">
        <f t="shared" si="210"/>
        <v>lost money</v>
      </c>
    </row>
    <row r="6709" spans="1:10">
      <c r="A6709" s="1">
        <v>41570</v>
      </c>
      <c r="B6709">
        <v>34.35</v>
      </c>
      <c r="C6709">
        <v>34.49</v>
      </c>
      <c r="D6709">
        <v>33.67</v>
      </c>
      <c r="E6709">
        <v>33.76</v>
      </c>
      <c r="F6709">
        <v>58600500</v>
      </c>
      <c r="G6709">
        <v>33.51</v>
      </c>
      <c r="H6709" t="s">
        <v>6</v>
      </c>
      <c r="I6709" s="22">
        <f t="shared" si="209"/>
        <v>-2.3884372870542549E-2</v>
      </c>
      <c r="J6709" s="22" t="str">
        <f t="shared" si="210"/>
        <v>lost money</v>
      </c>
    </row>
    <row r="6710" spans="1:10">
      <c r="A6710" s="1">
        <v>41571</v>
      </c>
      <c r="B6710">
        <v>33.82</v>
      </c>
      <c r="C6710">
        <v>34.1</v>
      </c>
      <c r="D6710">
        <v>33.57</v>
      </c>
      <c r="E6710">
        <v>33.72</v>
      </c>
      <c r="F6710">
        <v>53209700</v>
      </c>
      <c r="G6710">
        <v>33.47</v>
      </c>
      <c r="H6710" t="s">
        <v>6</v>
      </c>
      <c r="I6710" s="22">
        <f t="shared" si="209"/>
        <v>-1.1943865259837539E-3</v>
      </c>
      <c r="J6710" s="22" t="str">
        <f t="shared" si="210"/>
        <v>lost money</v>
      </c>
    </row>
    <row r="6711" spans="1:10">
      <c r="A6711" s="1">
        <v>41572</v>
      </c>
      <c r="B6711">
        <v>35.880000000000003</v>
      </c>
      <c r="C6711">
        <v>36.29</v>
      </c>
      <c r="D6711">
        <v>35.47</v>
      </c>
      <c r="E6711">
        <v>35.729999999999997</v>
      </c>
      <c r="F6711">
        <v>113494000</v>
      </c>
      <c r="G6711">
        <v>35.46</v>
      </c>
      <c r="H6711" t="s">
        <v>6</v>
      </c>
      <c r="I6711" s="22">
        <f t="shared" si="209"/>
        <v>5.7755785422826729E-2</v>
      </c>
      <c r="J6711" s="22" t="str">
        <f t="shared" si="210"/>
        <v>lost money</v>
      </c>
    </row>
    <row r="6712" spans="1:10">
      <c r="A6712" s="1">
        <v>41575</v>
      </c>
      <c r="B6712">
        <v>35.61</v>
      </c>
      <c r="C6712">
        <v>35.729999999999997</v>
      </c>
      <c r="D6712">
        <v>35.270000000000003</v>
      </c>
      <c r="E6712">
        <v>35.57</v>
      </c>
      <c r="F6712">
        <v>38383600</v>
      </c>
      <c r="G6712">
        <v>35.299999999999997</v>
      </c>
      <c r="H6712" t="s">
        <v>6</v>
      </c>
      <c r="I6712" s="22">
        <f t="shared" si="209"/>
        <v>-4.5223367068108105E-3</v>
      </c>
      <c r="J6712" s="22" t="str">
        <f t="shared" si="210"/>
        <v>lost money</v>
      </c>
    </row>
    <row r="6713" spans="1:10">
      <c r="A6713" s="1">
        <v>41576</v>
      </c>
      <c r="B6713">
        <v>35.630000000000003</v>
      </c>
      <c r="C6713">
        <v>35.72</v>
      </c>
      <c r="D6713">
        <v>35.26</v>
      </c>
      <c r="E6713">
        <v>35.520000000000003</v>
      </c>
      <c r="F6713">
        <v>31702200</v>
      </c>
      <c r="G6713">
        <v>35.25</v>
      </c>
      <c r="H6713" t="s">
        <v>6</v>
      </c>
      <c r="I6713" s="22">
        <f t="shared" si="209"/>
        <v>-1.4174346809733935E-3</v>
      </c>
      <c r="J6713" s="22" t="str">
        <f t="shared" si="210"/>
        <v>lost money</v>
      </c>
    </row>
    <row r="6714" spans="1:10">
      <c r="A6714" s="1">
        <v>41577</v>
      </c>
      <c r="B6714">
        <v>35.53</v>
      </c>
      <c r="C6714">
        <v>35.79</v>
      </c>
      <c r="D6714">
        <v>35.43</v>
      </c>
      <c r="E6714">
        <v>35.54</v>
      </c>
      <c r="F6714">
        <v>36997700</v>
      </c>
      <c r="G6714">
        <v>35.270000000000003</v>
      </c>
      <c r="H6714" t="s">
        <v>6</v>
      </c>
      <c r="I6714" s="22">
        <f t="shared" si="209"/>
        <v>5.6721498968314503E-4</v>
      </c>
      <c r="J6714" s="22" t="str">
        <f t="shared" si="210"/>
        <v/>
      </c>
    </row>
    <row r="6715" spans="1:10">
      <c r="A6715" s="1">
        <v>41578</v>
      </c>
      <c r="B6715">
        <v>35.659999999999997</v>
      </c>
      <c r="C6715">
        <v>35.69</v>
      </c>
      <c r="D6715">
        <v>35.340000000000003</v>
      </c>
      <c r="E6715">
        <v>35.409999999999997</v>
      </c>
      <c r="F6715">
        <v>41682300</v>
      </c>
      <c r="G6715">
        <v>35.14</v>
      </c>
      <c r="H6715" t="s">
        <v>6</v>
      </c>
      <c r="I6715" s="22">
        <f t="shared" si="209"/>
        <v>-3.6926614890095541E-3</v>
      </c>
      <c r="J6715" s="22" t="str">
        <f t="shared" si="210"/>
        <v>lost money</v>
      </c>
    </row>
    <row r="6716" spans="1:10">
      <c r="A6716" s="1">
        <v>41579</v>
      </c>
      <c r="B6716">
        <v>35.67</v>
      </c>
      <c r="C6716">
        <v>35.69</v>
      </c>
      <c r="D6716">
        <v>35.39</v>
      </c>
      <c r="E6716">
        <v>35.53</v>
      </c>
      <c r="F6716">
        <v>40264600</v>
      </c>
      <c r="G6716">
        <v>35.26</v>
      </c>
      <c r="H6716" t="s">
        <v>6</v>
      </c>
      <c r="I6716" s="22">
        <f t="shared" si="209"/>
        <v>3.4090942107728749E-3</v>
      </c>
      <c r="J6716" s="22" t="str">
        <f t="shared" si="210"/>
        <v>lost money</v>
      </c>
    </row>
    <row r="6717" spans="1:10">
      <c r="A6717" s="1">
        <v>41582</v>
      </c>
      <c r="B6717">
        <v>35.590000000000003</v>
      </c>
      <c r="C6717">
        <v>35.979999999999997</v>
      </c>
      <c r="D6717">
        <v>35.549999999999997</v>
      </c>
      <c r="E6717">
        <v>35.94</v>
      </c>
      <c r="F6717">
        <v>28060700</v>
      </c>
      <c r="G6717">
        <v>35.67</v>
      </c>
      <c r="H6717" t="s">
        <v>6</v>
      </c>
      <c r="I6717" s="22">
        <f t="shared" si="209"/>
        <v>1.1560822401076006E-2</v>
      </c>
      <c r="J6717" s="22" t="str">
        <f t="shared" si="210"/>
        <v/>
      </c>
    </row>
    <row r="6718" spans="1:10">
      <c r="A6718" s="1">
        <v>41583</v>
      </c>
      <c r="B6718">
        <v>35.79</v>
      </c>
      <c r="C6718">
        <v>36.71</v>
      </c>
      <c r="D6718">
        <v>35.770000000000003</v>
      </c>
      <c r="E6718">
        <v>36.64</v>
      </c>
      <c r="F6718">
        <v>51681900</v>
      </c>
      <c r="G6718">
        <v>36.36</v>
      </c>
      <c r="H6718" t="s">
        <v>6</v>
      </c>
      <c r="I6718" s="22">
        <f t="shared" si="209"/>
        <v>1.9159269938477819E-2</v>
      </c>
      <c r="J6718" s="22" t="str">
        <f t="shared" si="210"/>
        <v/>
      </c>
    </row>
    <row r="6719" spans="1:10">
      <c r="A6719" s="1">
        <v>41584</v>
      </c>
      <c r="B6719">
        <v>37.24</v>
      </c>
      <c r="C6719">
        <v>38.22</v>
      </c>
      <c r="D6719">
        <v>37.06</v>
      </c>
      <c r="E6719">
        <v>38.18</v>
      </c>
      <c r="F6719">
        <v>88948800</v>
      </c>
      <c r="G6719">
        <v>37.89</v>
      </c>
      <c r="H6719" t="s">
        <v>6</v>
      </c>
      <c r="I6719" s="22">
        <f t="shared" si="209"/>
        <v>4.1217955721231381E-2</v>
      </c>
      <c r="J6719" s="22" t="str">
        <f t="shared" si="210"/>
        <v/>
      </c>
    </row>
    <row r="6720" spans="1:10">
      <c r="A6720" s="1">
        <v>41585</v>
      </c>
      <c r="B6720">
        <v>37.96</v>
      </c>
      <c r="C6720">
        <v>38.01</v>
      </c>
      <c r="D6720">
        <v>37.43</v>
      </c>
      <c r="E6720">
        <v>37.5</v>
      </c>
      <c r="F6720">
        <v>60437400</v>
      </c>
      <c r="G6720">
        <v>37.22</v>
      </c>
      <c r="H6720" t="s">
        <v>6</v>
      </c>
      <c r="I6720" s="22">
        <f t="shared" si="209"/>
        <v>-1.784097381640477E-2</v>
      </c>
      <c r="J6720" s="22" t="str">
        <f t="shared" si="210"/>
        <v>lost money</v>
      </c>
    </row>
    <row r="6721" spans="1:10">
      <c r="A6721" s="1">
        <v>41586</v>
      </c>
      <c r="B6721">
        <v>37.67</v>
      </c>
      <c r="C6721">
        <v>37.78</v>
      </c>
      <c r="D6721">
        <v>37.340000000000003</v>
      </c>
      <c r="E6721">
        <v>37.78</v>
      </c>
      <c r="F6721">
        <v>36737800</v>
      </c>
      <c r="G6721">
        <v>37.5</v>
      </c>
      <c r="H6721" t="s">
        <v>6</v>
      </c>
      <c r="I6721" s="22">
        <f t="shared" si="209"/>
        <v>7.4946817622603829E-3</v>
      </c>
      <c r="J6721" s="22" t="str">
        <f t="shared" si="210"/>
        <v/>
      </c>
    </row>
    <row r="6722" spans="1:10">
      <c r="A6722" s="1">
        <v>41589</v>
      </c>
      <c r="B6722">
        <v>37.69</v>
      </c>
      <c r="C6722">
        <v>37.78</v>
      </c>
      <c r="D6722">
        <v>37.35</v>
      </c>
      <c r="E6722">
        <v>37.590000000000003</v>
      </c>
      <c r="F6722">
        <v>26872500</v>
      </c>
      <c r="G6722">
        <v>37.31</v>
      </c>
      <c r="H6722" t="s">
        <v>6</v>
      </c>
      <c r="I6722" s="22">
        <f t="shared" si="209"/>
        <v>-5.0795457432985395E-3</v>
      </c>
      <c r="J6722" s="22" t="str">
        <f t="shared" si="210"/>
        <v>lost money</v>
      </c>
    </row>
    <row r="6723" spans="1:10">
      <c r="A6723" s="1">
        <v>41590</v>
      </c>
      <c r="B6723">
        <v>37.380000000000003</v>
      </c>
      <c r="C6723">
        <v>37.6</v>
      </c>
      <c r="D6723">
        <v>37.200000000000003</v>
      </c>
      <c r="E6723">
        <v>37.36</v>
      </c>
      <c r="F6723">
        <v>31651600</v>
      </c>
      <c r="G6723">
        <v>37.08</v>
      </c>
      <c r="H6723" t="s">
        <v>6</v>
      </c>
      <c r="I6723" s="22">
        <f t="shared" ref="I6723:I6786" si="211">IF(A6723=$A$2,"",LN(G6723/G6722))</f>
        <v>-6.1836465354121678E-3</v>
      </c>
      <c r="J6723" s="22" t="str">
        <f t="shared" ref="J6723:J6786" si="212">IF(B6723&gt;E6723,"lost money","")</f>
        <v>lost money</v>
      </c>
    </row>
    <row r="6724" spans="1:10">
      <c r="A6724" s="1">
        <v>41591</v>
      </c>
      <c r="B6724">
        <v>36.979999999999997</v>
      </c>
      <c r="C6724">
        <v>38.159999999999997</v>
      </c>
      <c r="D6724">
        <v>36.9</v>
      </c>
      <c r="E6724">
        <v>38.159999999999997</v>
      </c>
      <c r="F6724">
        <v>44957600</v>
      </c>
      <c r="G6724">
        <v>37.869999999999997</v>
      </c>
      <c r="H6724" t="s">
        <v>6</v>
      </c>
      <c r="I6724" s="22">
        <f t="shared" si="211"/>
        <v>2.1081501216049032E-2</v>
      </c>
      <c r="J6724" s="22" t="str">
        <f t="shared" si="212"/>
        <v/>
      </c>
    </row>
    <row r="6725" spans="1:10">
      <c r="A6725" s="1">
        <v>41592</v>
      </c>
      <c r="B6725">
        <v>37.869999999999997</v>
      </c>
      <c r="C6725">
        <v>38.130000000000003</v>
      </c>
      <c r="D6725">
        <v>37.72</v>
      </c>
      <c r="E6725">
        <v>38.020000000000003</v>
      </c>
      <c r="F6725">
        <v>46183700</v>
      </c>
      <c r="G6725">
        <v>37.729999999999997</v>
      </c>
      <c r="H6725" t="s">
        <v>6</v>
      </c>
      <c r="I6725" s="22">
        <f t="shared" si="211"/>
        <v>-3.7037079374844144E-3</v>
      </c>
      <c r="J6725" s="22" t="str">
        <f t="shared" si="212"/>
        <v/>
      </c>
    </row>
    <row r="6726" spans="1:10">
      <c r="A6726" s="1">
        <v>41593</v>
      </c>
      <c r="B6726">
        <v>37.950000000000003</v>
      </c>
      <c r="C6726">
        <v>38.020000000000003</v>
      </c>
      <c r="D6726">
        <v>37.72</v>
      </c>
      <c r="E6726">
        <v>37.840000000000003</v>
      </c>
      <c r="F6726">
        <v>50601300</v>
      </c>
      <c r="G6726">
        <v>37.56</v>
      </c>
      <c r="H6726" t="s">
        <v>6</v>
      </c>
      <c r="I6726" s="22">
        <f t="shared" si="211"/>
        <v>-4.5158796361567406E-3</v>
      </c>
      <c r="J6726" s="22" t="str">
        <f t="shared" si="212"/>
        <v>lost money</v>
      </c>
    </row>
    <row r="6727" spans="1:10">
      <c r="A6727" s="1">
        <v>41596</v>
      </c>
      <c r="B6727">
        <v>37.35</v>
      </c>
      <c r="C6727">
        <v>37.58</v>
      </c>
      <c r="D6727">
        <v>37.07</v>
      </c>
      <c r="E6727">
        <v>37.200000000000003</v>
      </c>
      <c r="F6727">
        <v>53277500</v>
      </c>
      <c r="G6727">
        <v>36.92</v>
      </c>
      <c r="H6727" t="s">
        <v>6</v>
      </c>
      <c r="I6727" s="22">
        <f t="shared" si="211"/>
        <v>-1.7186244705410789E-2</v>
      </c>
      <c r="J6727" s="22" t="str">
        <f t="shared" si="212"/>
        <v>lost money</v>
      </c>
    </row>
    <row r="6728" spans="1:10">
      <c r="A6728" s="1">
        <v>41597</v>
      </c>
      <c r="B6728">
        <v>36.85</v>
      </c>
      <c r="C6728">
        <v>37.229999999999997</v>
      </c>
      <c r="D6728">
        <v>36.67</v>
      </c>
      <c r="E6728">
        <v>36.74</v>
      </c>
      <c r="F6728">
        <v>44275000</v>
      </c>
      <c r="G6728">
        <v>36.74</v>
      </c>
      <c r="H6728" t="s">
        <v>6</v>
      </c>
      <c r="I6728" s="22">
        <f t="shared" si="211"/>
        <v>-4.8873298476717914E-3</v>
      </c>
      <c r="J6728" s="22" t="str">
        <f t="shared" si="212"/>
        <v>lost money</v>
      </c>
    </row>
    <row r="6729" spans="1:10">
      <c r="A6729" s="1">
        <v>41598</v>
      </c>
      <c r="B6729">
        <v>36.92</v>
      </c>
      <c r="C6729">
        <v>37.409999999999997</v>
      </c>
      <c r="D6729">
        <v>36.86</v>
      </c>
      <c r="E6729">
        <v>37.08</v>
      </c>
      <c r="F6729">
        <v>32229900</v>
      </c>
      <c r="G6729">
        <v>37.08</v>
      </c>
      <c r="H6729" t="s">
        <v>6</v>
      </c>
      <c r="I6729" s="22">
        <f t="shared" si="211"/>
        <v>9.2116609106747144E-3</v>
      </c>
      <c r="J6729" s="22" t="str">
        <f t="shared" si="212"/>
        <v/>
      </c>
    </row>
    <row r="6730" spans="1:10">
      <c r="A6730" s="1">
        <v>41599</v>
      </c>
      <c r="B6730">
        <v>37.270000000000003</v>
      </c>
      <c r="C6730">
        <v>37.53</v>
      </c>
      <c r="D6730">
        <v>37.26</v>
      </c>
      <c r="E6730">
        <v>37.4</v>
      </c>
      <c r="F6730">
        <v>23064700</v>
      </c>
      <c r="G6730">
        <v>37.4</v>
      </c>
      <c r="H6730" t="s">
        <v>6</v>
      </c>
      <c r="I6730" s="22">
        <f t="shared" si="211"/>
        <v>8.5929637228318173E-3</v>
      </c>
      <c r="J6730" s="22" t="str">
        <f t="shared" si="212"/>
        <v/>
      </c>
    </row>
    <row r="6731" spans="1:10">
      <c r="A6731" s="1">
        <v>41600</v>
      </c>
      <c r="B6731">
        <v>37.53</v>
      </c>
      <c r="C6731">
        <v>37.68</v>
      </c>
      <c r="D6731">
        <v>37.33</v>
      </c>
      <c r="E6731">
        <v>37.57</v>
      </c>
      <c r="F6731">
        <v>27982000</v>
      </c>
      <c r="G6731">
        <v>37.57</v>
      </c>
      <c r="H6731" t="s">
        <v>6</v>
      </c>
      <c r="I6731" s="22">
        <f t="shared" si="211"/>
        <v>4.5351551653913628E-3</v>
      </c>
      <c r="J6731" s="22" t="str">
        <f t="shared" si="212"/>
        <v/>
      </c>
    </row>
    <row r="6732" spans="1:10">
      <c r="A6732" s="1">
        <v>41603</v>
      </c>
      <c r="B6732">
        <v>37.93</v>
      </c>
      <c r="C6732">
        <v>37.950000000000003</v>
      </c>
      <c r="D6732">
        <v>37.57</v>
      </c>
      <c r="E6732">
        <v>37.64</v>
      </c>
      <c r="F6732">
        <v>30646800</v>
      </c>
      <c r="G6732">
        <v>37.64</v>
      </c>
      <c r="H6732" t="s">
        <v>6</v>
      </c>
      <c r="I6732" s="22">
        <f t="shared" si="211"/>
        <v>1.8614551313014026E-3</v>
      </c>
      <c r="J6732" s="22" t="str">
        <f t="shared" si="212"/>
        <v>lost money</v>
      </c>
    </row>
    <row r="6733" spans="1:10">
      <c r="A6733" s="1">
        <v>41604</v>
      </c>
      <c r="B6733">
        <v>37.57</v>
      </c>
      <c r="C6733">
        <v>37.65</v>
      </c>
      <c r="D6733">
        <v>37.35</v>
      </c>
      <c r="E6733">
        <v>37.35</v>
      </c>
      <c r="F6733">
        <v>34465300</v>
      </c>
      <c r="G6733">
        <v>37.35</v>
      </c>
      <c r="H6733" t="s">
        <v>6</v>
      </c>
      <c r="I6733" s="22">
        <f t="shared" si="211"/>
        <v>-7.7344031383525117E-3</v>
      </c>
      <c r="J6733" s="22" t="str">
        <f t="shared" si="212"/>
        <v>lost money</v>
      </c>
    </row>
    <row r="6734" spans="1:10">
      <c r="A6734" s="1">
        <v>41605</v>
      </c>
      <c r="B6734">
        <v>37.57</v>
      </c>
      <c r="C6734">
        <v>37.76</v>
      </c>
      <c r="D6734">
        <v>37.49</v>
      </c>
      <c r="E6734">
        <v>37.6</v>
      </c>
      <c r="F6734">
        <v>26002100</v>
      </c>
      <c r="G6734">
        <v>37.6</v>
      </c>
      <c r="H6734" t="s">
        <v>6</v>
      </c>
      <c r="I6734" s="22">
        <f t="shared" si="211"/>
        <v>6.6711388170226007E-3</v>
      </c>
      <c r="J6734" s="22" t="str">
        <f t="shared" si="212"/>
        <v/>
      </c>
    </row>
    <row r="6735" spans="1:10">
      <c r="A6735" s="1">
        <v>41607</v>
      </c>
      <c r="B6735">
        <v>37.82</v>
      </c>
      <c r="C6735">
        <v>38.29</v>
      </c>
      <c r="D6735">
        <v>37.82</v>
      </c>
      <c r="E6735">
        <v>38.130000000000003</v>
      </c>
      <c r="F6735">
        <v>22090400</v>
      </c>
      <c r="G6735">
        <v>38.130000000000003</v>
      </c>
      <c r="H6735" t="s">
        <v>6</v>
      </c>
      <c r="I6735" s="22">
        <f t="shared" si="211"/>
        <v>1.3997323473623651E-2</v>
      </c>
      <c r="J6735" s="22" t="str">
        <f t="shared" si="212"/>
        <v/>
      </c>
    </row>
    <row r="6736" spans="1:10">
      <c r="A6736" s="1">
        <v>40911</v>
      </c>
      <c r="B6736">
        <v>26.33</v>
      </c>
      <c r="C6736">
        <v>26.66</v>
      </c>
      <c r="D6736">
        <v>25.83</v>
      </c>
      <c r="E6736">
        <v>25.87</v>
      </c>
      <c r="F6736">
        <v>37908100</v>
      </c>
      <c r="G6736">
        <v>25.24</v>
      </c>
      <c r="H6736" t="s">
        <v>8</v>
      </c>
      <c r="I6736" s="22" t="str">
        <f t="shared" si="211"/>
        <v/>
      </c>
      <c r="J6736" s="22" t="str">
        <f t="shared" si="212"/>
        <v>lost money</v>
      </c>
    </row>
    <row r="6737" spans="1:10">
      <c r="A6737" s="1">
        <v>40912</v>
      </c>
      <c r="B6737">
        <v>25.95</v>
      </c>
      <c r="C6737">
        <v>26.23</v>
      </c>
      <c r="D6737">
        <v>25.55</v>
      </c>
      <c r="E6737">
        <v>26.01</v>
      </c>
      <c r="F6737">
        <v>45417700</v>
      </c>
      <c r="G6737">
        <v>25.38</v>
      </c>
      <c r="H6737" t="s">
        <v>8</v>
      </c>
      <c r="I6737" s="22">
        <f t="shared" si="211"/>
        <v>5.5314246132292582E-3</v>
      </c>
      <c r="J6737" s="22" t="str">
        <f t="shared" si="212"/>
        <v/>
      </c>
    </row>
    <row r="6738" spans="1:10">
      <c r="A6738" s="1">
        <v>40913</v>
      </c>
      <c r="B6738">
        <v>26.01</v>
      </c>
      <c r="C6738">
        <v>26.9</v>
      </c>
      <c r="D6738">
        <v>25.91</v>
      </c>
      <c r="E6738">
        <v>26.59</v>
      </c>
      <c r="F6738">
        <v>50869000</v>
      </c>
      <c r="G6738">
        <v>25.95</v>
      </c>
      <c r="H6738" t="s">
        <v>8</v>
      </c>
      <c r="I6738" s="22">
        <f t="shared" si="211"/>
        <v>2.2210147325656019E-2</v>
      </c>
      <c r="J6738" s="22" t="str">
        <f t="shared" si="212"/>
        <v/>
      </c>
    </row>
    <row r="6739" spans="1:10">
      <c r="A6739" s="1">
        <v>40914</v>
      </c>
      <c r="B6739">
        <v>26.67</v>
      </c>
      <c r="C6739">
        <v>27.15</v>
      </c>
      <c r="D6739">
        <v>26.36</v>
      </c>
      <c r="E6739">
        <v>26.93</v>
      </c>
      <c r="F6739">
        <v>55684900</v>
      </c>
      <c r="G6739">
        <v>26.28</v>
      </c>
      <c r="H6739" t="s">
        <v>8</v>
      </c>
      <c r="I6739" s="22">
        <f t="shared" si="211"/>
        <v>1.2636584004512275E-2</v>
      </c>
      <c r="J6739" s="22" t="str">
        <f t="shared" si="212"/>
        <v/>
      </c>
    </row>
    <row r="6740" spans="1:10">
      <c r="A6740" s="1">
        <v>40917</v>
      </c>
      <c r="B6740">
        <v>26.9</v>
      </c>
      <c r="C6740">
        <v>27.12</v>
      </c>
      <c r="D6740">
        <v>26.66</v>
      </c>
      <c r="E6740">
        <v>27.03</v>
      </c>
      <c r="F6740">
        <v>38476800</v>
      </c>
      <c r="G6740">
        <v>26.44</v>
      </c>
      <c r="H6740" t="s">
        <v>8</v>
      </c>
      <c r="I6740" s="22">
        <f t="shared" si="211"/>
        <v>6.0698213670757738E-3</v>
      </c>
      <c r="J6740" s="22" t="str">
        <f t="shared" si="212"/>
        <v/>
      </c>
    </row>
    <row r="6741" spans="1:10">
      <c r="A6741" s="1">
        <v>40918</v>
      </c>
      <c r="B6741">
        <v>27.18</v>
      </c>
      <c r="C6741">
        <v>27.6</v>
      </c>
      <c r="D6741">
        <v>26.85</v>
      </c>
      <c r="E6741">
        <v>26.97</v>
      </c>
      <c r="F6741">
        <v>48974800</v>
      </c>
      <c r="G6741">
        <v>26.38</v>
      </c>
      <c r="H6741" t="s">
        <v>8</v>
      </c>
      <c r="I6741" s="22">
        <f t="shared" si="211"/>
        <v>-2.2718676943171302E-3</v>
      </c>
      <c r="J6741" s="22" t="str">
        <f t="shared" si="212"/>
        <v>lost money</v>
      </c>
    </row>
    <row r="6742" spans="1:10">
      <c r="A6742" s="1">
        <v>40919</v>
      </c>
      <c r="B6742">
        <v>26.99</v>
      </c>
      <c r="C6742">
        <v>27.1</v>
      </c>
      <c r="D6742">
        <v>26.75</v>
      </c>
      <c r="E6742">
        <v>26.89</v>
      </c>
      <c r="F6742">
        <v>30832300</v>
      </c>
      <c r="G6742">
        <v>26.3</v>
      </c>
      <c r="H6742" t="s">
        <v>8</v>
      </c>
      <c r="I6742" s="22">
        <f t="shared" si="211"/>
        <v>-3.0372081054495597E-3</v>
      </c>
      <c r="J6742" s="22" t="str">
        <f t="shared" si="212"/>
        <v>lost money</v>
      </c>
    </row>
    <row r="6743" spans="1:10">
      <c r="A6743" s="1">
        <v>40920</v>
      </c>
      <c r="B6743">
        <v>27.02</v>
      </c>
      <c r="C6743">
        <v>27.26</v>
      </c>
      <c r="D6743">
        <v>26.62</v>
      </c>
      <c r="E6743">
        <v>27.17</v>
      </c>
      <c r="F6743">
        <v>31773200</v>
      </c>
      <c r="G6743">
        <v>26.57</v>
      </c>
      <c r="H6743" t="s">
        <v>8</v>
      </c>
      <c r="I6743" s="22">
        <f t="shared" si="211"/>
        <v>1.0213820588003346E-2</v>
      </c>
      <c r="J6743" s="22" t="str">
        <f t="shared" si="212"/>
        <v/>
      </c>
    </row>
    <row r="6744" spans="1:10">
      <c r="A6744" s="1">
        <v>40921</v>
      </c>
      <c r="B6744">
        <v>27.04</v>
      </c>
      <c r="C6744">
        <v>27.37</v>
      </c>
      <c r="D6744">
        <v>26.85</v>
      </c>
      <c r="E6744">
        <v>27.34</v>
      </c>
      <c r="F6744">
        <v>31481800</v>
      </c>
      <c r="G6744">
        <v>26.74</v>
      </c>
      <c r="H6744" t="s">
        <v>8</v>
      </c>
      <c r="I6744" s="22">
        <f t="shared" si="211"/>
        <v>6.3778119020748546E-3</v>
      </c>
      <c r="J6744" s="22" t="str">
        <f t="shared" si="212"/>
        <v/>
      </c>
    </row>
    <row r="6745" spans="1:10">
      <c r="A6745" s="1">
        <v>40925</v>
      </c>
      <c r="B6745">
        <v>27.68</v>
      </c>
      <c r="C6745">
        <v>27.88</v>
      </c>
      <c r="D6745">
        <v>27.48</v>
      </c>
      <c r="E6745">
        <v>27.66</v>
      </c>
      <c r="F6745">
        <v>35769400</v>
      </c>
      <c r="G6745">
        <v>27.05</v>
      </c>
      <c r="H6745" t="s">
        <v>8</v>
      </c>
      <c r="I6745" s="22">
        <f t="shared" si="211"/>
        <v>1.1526433618693441E-2</v>
      </c>
      <c r="J6745" s="22" t="str">
        <f t="shared" si="212"/>
        <v>lost money</v>
      </c>
    </row>
    <row r="6746" spans="1:10">
      <c r="A6746" s="1">
        <v>40926</v>
      </c>
      <c r="B6746">
        <v>27.71</v>
      </c>
      <c r="C6746">
        <v>28.45</v>
      </c>
      <c r="D6746">
        <v>27.61</v>
      </c>
      <c r="E6746">
        <v>28.34</v>
      </c>
      <c r="F6746">
        <v>35342800</v>
      </c>
      <c r="G6746">
        <v>27.72</v>
      </c>
      <c r="H6746" t="s">
        <v>8</v>
      </c>
      <c r="I6746" s="22">
        <f t="shared" si="211"/>
        <v>2.4467169029211783E-2</v>
      </c>
      <c r="J6746" s="22" t="str">
        <f t="shared" si="212"/>
        <v/>
      </c>
    </row>
    <row r="6747" spans="1:10">
      <c r="A6747" s="1">
        <v>40927</v>
      </c>
      <c r="B6747">
        <v>28.48</v>
      </c>
      <c r="C6747">
        <v>28.8</v>
      </c>
      <c r="D6747">
        <v>28.25</v>
      </c>
      <c r="E6747">
        <v>28.56</v>
      </c>
      <c r="F6747">
        <v>36345600</v>
      </c>
      <c r="G6747">
        <v>27.93</v>
      </c>
      <c r="H6747" t="s">
        <v>8</v>
      </c>
      <c r="I6747" s="22">
        <f t="shared" si="211"/>
        <v>7.5472056353829038E-3</v>
      </c>
      <c r="J6747" s="22" t="str">
        <f t="shared" si="212"/>
        <v/>
      </c>
    </row>
    <row r="6748" spans="1:10">
      <c r="A6748" s="1">
        <v>40928</v>
      </c>
      <c r="B6748">
        <v>28.39</v>
      </c>
      <c r="C6748">
        <v>28.95</v>
      </c>
      <c r="D6748">
        <v>28.27</v>
      </c>
      <c r="E6748">
        <v>28.71</v>
      </c>
      <c r="F6748">
        <v>37007600</v>
      </c>
      <c r="G6748">
        <v>28.08</v>
      </c>
      <c r="H6748" t="s">
        <v>8</v>
      </c>
      <c r="I6748" s="22">
        <f t="shared" si="211"/>
        <v>5.35619920052489E-3</v>
      </c>
      <c r="J6748" s="22" t="str">
        <f t="shared" si="212"/>
        <v/>
      </c>
    </row>
    <row r="6749" spans="1:10">
      <c r="A6749" s="1">
        <v>40931</v>
      </c>
      <c r="B6749">
        <v>28.73</v>
      </c>
      <c r="C6749">
        <v>28.91</v>
      </c>
      <c r="D6749">
        <v>28.28</v>
      </c>
      <c r="E6749">
        <v>28.39</v>
      </c>
      <c r="F6749">
        <v>27430900</v>
      </c>
      <c r="G6749">
        <v>27.77</v>
      </c>
      <c r="H6749" t="s">
        <v>8</v>
      </c>
      <c r="I6749" s="22">
        <f t="shared" si="211"/>
        <v>-1.1101277838902189E-2</v>
      </c>
      <c r="J6749" s="22" t="str">
        <f t="shared" si="212"/>
        <v>lost money</v>
      </c>
    </row>
    <row r="6750" spans="1:10">
      <c r="A6750" s="1">
        <v>40932</v>
      </c>
      <c r="B6750">
        <v>28.33</v>
      </c>
      <c r="C6750">
        <v>28.74</v>
      </c>
      <c r="D6750">
        <v>28.25</v>
      </c>
      <c r="E6750">
        <v>28.51</v>
      </c>
      <c r="F6750">
        <v>23697800</v>
      </c>
      <c r="G6750">
        <v>27.88</v>
      </c>
      <c r="H6750" t="s">
        <v>8</v>
      </c>
      <c r="I6750" s="22">
        <f t="shared" si="211"/>
        <v>3.9532845736149208E-3</v>
      </c>
      <c r="J6750" s="22" t="str">
        <f t="shared" si="212"/>
        <v/>
      </c>
    </row>
    <row r="6751" spans="1:10">
      <c r="A6751" s="1">
        <v>40933</v>
      </c>
      <c r="B6751">
        <v>28.26</v>
      </c>
      <c r="C6751">
        <v>28.64</v>
      </c>
      <c r="D6751">
        <v>27.96</v>
      </c>
      <c r="E6751">
        <v>28.51</v>
      </c>
      <c r="F6751">
        <v>39274400</v>
      </c>
      <c r="G6751">
        <v>27.88</v>
      </c>
      <c r="H6751" t="s">
        <v>8</v>
      </c>
      <c r="I6751" s="22">
        <f t="shared" si="211"/>
        <v>0</v>
      </c>
      <c r="J6751" s="22" t="str">
        <f t="shared" si="212"/>
        <v/>
      </c>
    </row>
    <row r="6752" spans="1:10">
      <c r="A6752" s="1">
        <v>40934</v>
      </c>
      <c r="B6752">
        <v>28.56</v>
      </c>
      <c r="C6752">
        <v>28.85</v>
      </c>
      <c r="D6752">
        <v>28.15</v>
      </c>
      <c r="E6752">
        <v>28.29</v>
      </c>
      <c r="F6752">
        <v>34644700</v>
      </c>
      <c r="G6752">
        <v>27.67</v>
      </c>
      <c r="H6752" t="s">
        <v>8</v>
      </c>
      <c r="I6752" s="22">
        <f t="shared" si="211"/>
        <v>-7.5607920934885183E-3</v>
      </c>
      <c r="J6752" s="22" t="str">
        <f t="shared" si="212"/>
        <v>lost money</v>
      </c>
    </row>
    <row r="6753" spans="1:10">
      <c r="A6753" s="1">
        <v>40935</v>
      </c>
      <c r="B6753">
        <v>28.24</v>
      </c>
      <c r="C6753">
        <v>28.63</v>
      </c>
      <c r="D6753">
        <v>28.13</v>
      </c>
      <c r="E6753">
        <v>28.42</v>
      </c>
      <c r="F6753">
        <v>24561000</v>
      </c>
      <c r="G6753">
        <v>27.79</v>
      </c>
      <c r="H6753" t="s">
        <v>8</v>
      </c>
      <c r="I6753" s="22">
        <f t="shared" si="211"/>
        <v>4.3274499555777E-3</v>
      </c>
      <c r="J6753" s="22" t="str">
        <f t="shared" si="212"/>
        <v/>
      </c>
    </row>
    <row r="6754" spans="1:10">
      <c r="A6754" s="1">
        <v>40938</v>
      </c>
      <c r="B6754">
        <v>28.19</v>
      </c>
      <c r="C6754">
        <v>28.69</v>
      </c>
      <c r="D6754">
        <v>28.02</v>
      </c>
      <c r="E6754">
        <v>28.6</v>
      </c>
      <c r="F6754">
        <v>23288600</v>
      </c>
      <c r="G6754">
        <v>27.97</v>
      </c>
      <c r="H6754" t="s">
        <v>8</v>
      </c>
      <c r="I6754" s="22">
        <f t="shared" si="211"/>
        <v>6.4562634594559571E-3</v>
      </c>
      <c r="J6754" s="22" t="str">
        <f t="shared" si="212"/>
        <v/>
      </c>
    </row>
    <row r="6755" spans="1:10">
      <c r="A6755" s="1">
        <v>40939</v>
      </c>
      <c r="B6755">
        <v>28.73</v>
      </c>
      <c r="C6755">
        <v>28.74</v>
      </c>
      <c r="D6755">
        <v>28.05</v>
      </c>
      <c r="E6755">
        <v>28.21</v>
      </c>
      <c r="F6755">
        <v>32745800</v>
      </c>
      <c r="G6755">
        <v>27.59</v>
      </c>
      <c r="H6755" t="s">
        <v>8</v>
      </c>
      <c r="I6755" s="22">
        <f t="shared" si="211"/>
        <v>-1.3679118984673588E-2</v>
      </c>
      <c r="J6755" s="22" t="str">
        <f t="shared" si="212"/>
        <v>lost money</v>
      </c>
    </row>
    <row r="6756" spans="1:10">
      <c r="A6756" s="1">
        <v>40940</v>
      </c>
      <c r="B6756">
        <v>28.48</v>
      </c>
      <c r="C6756">
        <v>28.94</v>
      </c>
      <c r="D6756">
        <v>28.11</v>
      </c>
      <c r="E6756">
        <v>28.88</v>
      </c>
      <c r="F6756">
        <v>38240800</v>
      </c>
      <c r="G6756">
        <v>28.24</v>
      </c>
      <c r="H6756" t="s">
        <v>8</v>
      </c>
      <c r="I6756" s="22">
        <f t="shared" si="211"/>
        <v>2.3286024395846584E-2</v>
      </c>
      <c r="J6756" s="22" t="str">
        <f t="shared" si="212"/>
        <v/>
      </c>
    </row>
    <row r="6757" spans="1:10">
      <c r="A6757" s="1">
        <v>40941</v>
      </c>
      <c r="B6757">
        <v>28.87</v>
      </c>
      <c r="C6757">
        <v>29.25</v>
      </c>
      <c r="D6757">
        <v>28.71</v>
      </c>
      <c r="E6757">
        <v>28.81</v>
      </c>
      <c r="F6757">
        <v>27330400</v>
      </c>
      <c r="G6757">
        <v>28.18</v>
      </c>
      <c r="H6757" t="s">
        <v>8</v>
      </c>
      <c r="I6757" s="22">
        <f t="shared" si="211"/>
        <v>-2.1269061545071792E-3</v>
      </c>
      <c r="J6757" s="22" t="str">
        <f t="shared" si="212"/>
        <v>lost money</v>
      </c>
    </row>
    <row r="6758" spans="1:10">
      <c r="A6758" s="1">
        <v>40942</v>
      </c>
      <c r="B6758">
        <v>29.13</v>
      </c>
      <c r="C6758">
        <v>29.22</v>
      </c>
      <c r="D6758">
        <v>28.78</v>
      </c>
      <c r="E6758">
        <v>29.11</v>
      </c>
      <c r="F6758">
        <v>26275700</v>
      </c>
      <c r="G6758">
        <v>28.47</v>
      </c>
      <c r="H6758" t="s">
        <v>8</v>
      </c>
      <c r="I6758" s="22">
        <f t="shared" si="211"/>
        <v>1.023839481941193E-2</v>
      </c>
      <c r="J6758" s="22" t="str">
        <f t="shared" si="212"/>
        <v>lost money</v>
      </c>
    </row>
    <row r="6759" spans="1:10">
      <c r="A6759" s="1">
        <v>40945</v>
      </c>
      <c r="B6759">
        <v>29.03</v>
      </c>
      <c r="C6759">
        <v>29.07</v>
      </c>
      <c r="D6759">
        <v>28.81</v>
      </c>
      <c r="E6759">
        <v>29</v>
      </c>
      <c r="F6759">
        <v>16582700</v>
      </c>
      <c r="G6759">
        <v>28.36</v>
      </c>
      <c r="H6759" t="s">
        <v>8</v>
      </c>
      <c r="I6759" s="22">
        <f t="shared" si="211"/>
        <v>-3.8711996260193914E-3</v>
      </c>
      <c r="J6759" s="22" t="str">
        <f t="shared" si="212"/>
        <v>lost money</v>
      </c>
    </row>
    <row r="6760" spans="1:10">
      <c r="A6760" s="1">
        <v>40946</v>
      </c>
      <c r="B6760">
        <v>28.91</v>
      </c>
      <c r="C6760">
        <v>29</v>
      </c>
      <c r="D6760">
        <v>28.75</v>
      </c>
      <c r="E6760">
        <v>28.95</v>
      </c>
      <c r="F6760">
        <v>20290500</v>
      </c>
      <c r="G6760">
        <v>28.31</v>
      </c>
      <c r="H6760" t="s">
        <v>8</v>
      </c>
      <c r="I6760" s="22">
        <f t="shared" si="211"/>
        <v>-1.7646025401185698E-3</v>
      </c>
      <c r="J6760" s="22" t="str">
        <f t="shared" si="212"/>
        <v/>
      </c>
    </row>
    <row r="6761" spans="1:10">
      <c r="A6761" s="1">
        <v>40947</v>
      </c>
      <c r="B6761">
        <v>28.92</v>
      </c>
      <c r="C6761">
        <v>28.99</v>
      </c>
      <c r="D6761">
        <v>28.38</v>
      </c>
      <c r="E6761">
        <v>28.73</v>
      </c>
      <c r="F6761">
        <v>29842100</v>
      </c>
      <c r="G6761">
        <v>28.1</v>
      </c>
      <c r="H6761" t="s">
        <v>8</v>
      </c>
      <c r="I6761" s="22">
        <f t="shared" si="211"/>
        <v>-7.4455227841080177E-3</v>
      </c>
      <c r="J6761" s="22" t="str">
        <f t="shared" si="212"/>
        <v>lost money</v>
      </c>
    </row>
    <row r="6762" spans="1:10">
      <c r="A6762" s="1">
        <v>40948</v>
      </c>
      <c r="B6762">
        <v>28.85</v>
      </c>
      <c r="C6762">
        <v>28.9</v>
      </c>
      <c r="D6762">
        <v>28.35</v>
      </c>
      <c r="E6762">
        <v>28.89</v>
      </c>
      <c r="F6762">
        <v>31794400</v>
      </c>
      <c r="G6762">
        <v>28.25</v>
      </c>
      <c r="H6762" t="s">
        <v>8</v>
      </c>
      <c r="I6762" s="22">
        <f t="shared" si="211"/>
        <v>5.3238812527497967E-3</v>
      </c>
      <c r="J6762" s="22" t="str">
        <f t="shared" si="212"/>
        <v/>
      </c>
    </row>
    <row r="6763" spans="1:10">
      <c r="A6763" s="1">
        <v>40949</v>
      </c>
      <c r="B6763">
        <v>28.55</v>
      </c>
      <c r="C6763">
        <v>28.64</v>
      </c>
      <c r="D6763">
        <v>28.28</v>
      </c>
      <c r="E6763">
        <v>28.5</v>
      </c>
      <c r="F6763">
        <v>30232000</v>
      </c>
      <c r="G6763">
        <v>27.87</v>
      </c>
      <c r="H6763" t="s">
        <v>8</v>
      </c>
      <c r="I6763" s="22">
        <f t="shared" si="211"/>
        <v>-1.3542616098593103E-2</v>
      </c>
      <c r="J6763" s="22" t="str">
        <f t="shared" si="212"/>
        <v>lost money</v>
      </c>
    </row>
    <row r="6764" spans="1:10">
      <c r="A6764" s="1">
        <v>40952</v>
      </c>
      <c r="B6764">
        <v>28.59</v>
      </c>
      <c r="C6764">
        <v>28.67</v>
      </c>
      <c r="D6764">
        <v>28.35</v>
      </c>
      <c r="E6764">
        <v>28.43</v>
      </c>
      <c r="F6764">
        <v>20014000</v>
      </c>
      <c r="G6764">
        <v>27.8</v>
      </c>
      <c r="H6764" t="s">
        <v>8</v>
      </c>
      <c r="I6764" s="22">
        <f t="shared" si="211"/>
        <v>-2.5148207972655093E-3</v>
      </c>
      <c r="J6764" s="22" t="str">
        <f t="shared" si="212"/>
        <v>lost money</v>
      </c>
    </row>
    <row r="6765" spans="1:10">
      <c r="A6765" s="1">
        <v>40953</v>
      </c>
      <c r="B6765">
        <v>28.32</v>
      </c>
      <c r="C6765">
        <v>28.45</v>
      </c>
      <c r="D6765">
        <v>28.03</v>
      </c>
      <c r="E6765">
        <v>28.24</v>
      </c>
      <c r="F6765">
        <v>30262900</v>
      </c>
      <c r="G6765">
        <v>27.62</v>
      </c>
      <c r="H6765" t="s">
        <v>8</v>
      </c>
      <c r="I6765" s="22">
        <f t="shared" si="211"/>
        <v>-6.4958727154453269E-3</v>
      </c>
      <c r="J6765" s="22" t="str">
        <f t="shared" si="212"/>
        <v>lost money</v>
      </c>
    </row>
    <row r="6766" spans="1:10">
      <c r="A6766" s="1">
        <v>40954</v>
      </c>
      <c r="B6766">
        <v>28.1</v>
      </c>
      <c r="C6766">
        <v>28.35</v>
      </c>
      <c r="D6766">
        <v>27.92</v>
      </c>
      <c r="E6766">
        <v>27.98</v>
      </c>
      <c r="F6766">
        <v>34611900</v>
      </c>
      <c r="G6766">
        <v>27.36</v>
      </c>
      <c r="H6766" t="s">
        <v>8</v>
      </c>
      <c r="I6766" s="22">
        <f t="shared" si="211"/>
        <v>-9.4580552267964427E-3</v>
      </c>
      <c r="J6766" s="22" t="str">
        <f t="shared" si="212"/>
        <v>lost money</v>
      </c>
    </row>
    <row r="6767" spans="1:10">
      <c r="A6767" s="1">
        <v>40955</v>
      </c>
      <c r="B6767">
        <v>28.16</v>
      </c>
      <c r="C6767">
        <v>29</v>
      </c>
      <c r="D6767">
        <v>28.13</v>
      </c>
      <c r="E6767">
        <v>28.95</v>
      </c>
      <c r="F6767">
        <v>36379200</v>
      </c>
      <c r="G6767">
        <v>28.31</v>
      </c>
      <c r="H6767" t="s">
        <v>8</v>
      </c>
      <c r="I6767" s="22">
        <f t="shared" si="211"/>
        <v>3.4133006369458402E-2</v>
      </c>
      <c r="J6767" s="22" t="str">
        <f t="shared" si="212"/>
        <v/>
      </c>
    </row>
    <row r="6768" spans="1:10">
      <c r="A6768" s="1">
        <v>40956</v>
      </c>
      <c r="B6768">
        <v>29.03</v>
      </c>
      <c r="C6768">
        <v>29.03</v>
      </c>
      <c r="D6768">
        <v>28.64</v>
      </c>
      <c r="E6768">
        <v>28.79</v>
      </c>
      <c r="F6768">
        <v>34059100</v>
      </c>
      <c r="G6768">
        <v>28.16</v>
      </c>
      <c r="H6768" t="s">
        <v>8</v>
      </c>
      <c r="I6768" s="22">
        <f t="shared" si="211"/>
        <v>-5.312567833966486E-3</v>
      </c>
      <c r="J6768" s="22" t="str">
        <f t="shared" si="212"/>
        <v>lost money</v>
      </c>
    </row>
    <row r="6769" spans="1:10">
      <c r="A6769" s="1">
        <v>40960</v>
      </c>
      <c r="B6769">
        <v>28.8</v>
      </c>
      <c r="C6769">
        <v>28.98</v>
      </c>
      <c r="D6769">
        <v>28.49</v>
      </c>
      <c r="E6769">
        <v>28.74</v>
      </c>
      <c r="F6769">
        <v>20611600</v>
      </c>
      <c r="G6769">
        <v>28.11</v>
      </c>
      <c r="H6769" t="s">
        <v>8</v>
      </c>
      <c r="I6769" s="22">
        <f t="shared" si="211"/>
        <v>-1.7771463714011907E-3</v>
      </c>
      <c r="J6769" s="22" t="str">
        <f t="shared" si="212"/>
        <v>lost money</v>
      </c>
    </row>
    <row r="6770" spans="1:10">
      <c r="A6770" s="1">
        <v>40961</v>
      </c>
      <c r="B6770">
        <v>28.72</v>
      </c>
      <c r="C6770">
        <v>29.08</v>
      </c>
      <c r="D6770">
        <v>28.5</v>
      </c>
      <c r="E6770">
        <v>28.55</v>
      </c>
      <c r="F6770">
        <v>25206700</v>
      </c>
      <c r="G6770">
        <v>27.92</v>
      </c>
      <c r="H6770" t="s">
        <v>8</v>
      </c>
      <c r="I6770" s="22">
        <f t="shared" si="211"/>
        <v>-6.7821070242687562E-3</v>
      </c>
      <c r="J6770" s="22" t="str">
        <f t="shared" si="212"/>
        <v>lost money</v>
      </c>
    </row>
    <row r="6771" spans="1:10">
      <c r="A6771" s="1">
        <v>40962</v>
      </c>
      <c r="B6771">
        <v>28.61</v>
      </c>
      <c r="C6771">
        <v>28.88</v>
      </c>
      <c r="D6771">
        <v>28.32</v>
      </c>
      <c r="E6771">
        <v>28.81</v>
      </c>
      <c r="F6771">
        <v>25316000</v>
      </c>
      <c r="G6771">
        <v>28.18</v>
      </c>
      <c r="H6771" t="s">
        <v>8</v>
      </c>
      <c r="I6771" s="22">
        <f t="shared" si="211"/>
        <v>9.2692285763624708E-3</v>
      </c>
      <c r="J6771" s="22" t="str">
        <f t="shared" si="212"/>
        <v/>
      </c>
    </row>
    <row r="6772" spans="1:10">
      <c r="A6772" s="1">
        <v>40963</v>
      </c>
      <c r="B6772">
        <v>29.06</v>
      </c>
      <c r="C6772">
        <v>29.54</v>
      </c>
      <c r="D6772">
        <v>28.84</v>
      </c>
      <c r="E6772">
        <v>29.25</v>
      </c>
      <c r="F6772">
        <v>24950900</v>
      </c>
      <c r="G6772">
        <v>28.61</v>
      </c>
      <c r="H6772" t="s">
        <v>8</v>
      </c>
      <c r="I6772" s="22">
        <f t="shared" si="211"/>
        <v>1.5143800591484631E-2</v>
      </c>
      <c r="J6772" s="22" t="str">
        <f t="shared" si="212"/>
        <v/>
      </c>
    </row>
    <row r="6773" spans="1:10">
      <c r="A6773" s="1">
        <v>40966</v>
      </c>
      <c r="B6773">
        <v>29</v>
      </c>
      <c r="C6773">
        <v>29.38</v>
      </c>
      <c r="D6773">
        <v>28.76</v>
      </c>
      <c r="E6773">
        <v>29.26</v>
      </c>
      <c r="F6773">
        <v>30419400</v>
      </c>
      <c r="G6773">
        <v>28.62</v>
      </c>
      <c r="H6773" t="s">
        <v>8</v>
      </c>
      <c r="I6773" s="22">
        <f t="shared" si="211"/>
        <v>3.4946706628609321E-4</v>
      </c>
      <c r="J6773" s="22" t="str">
        <f t="shared" si="212"/>
        <v/>
      </c>
    </row>
    <row r="6774" spans="1:10">
      <c r="A6774" s="1">
        <v>40967</v>
      </c>
      <c r="B6774">
        <v>29.24</v>
      </c>
      <c r="C6774">
        <v>29.39</v>
      </c>
      <c r="D6774">
        <v>29</v>
      </c>
      <c r="E6774">
        <v>29.39</v>
      </c>
      <c r="F6774">
        <v>29888800</v>
      </c>
      <c r="G6774">
        <v>28.74</v>
      </c>
      <c r="H6774" t="s">
        <v>8</v>
      </c>
      <c r="I6774" s="22">
        <f t="shared" si="211"/>
        <v>4.1841065225738695E-3</v>
      </c>
      <c r="J6774" s="22" t="str">
        <f t="shared" si="212"/>
        <v/>
      </c>
    </row>
    <row r="6775" spans="1:10">
      <c r="A6775" s="1">
        <v>40968</v>
      </c>
      <c r="B6775">
        <v>29.4</v>
      </c>
      <c r="C6775">
        <v>29.44</v>
      </c>
      <c r="D6775">
        <v>29.02</v>
      </c>
      <c r="E6775">
        <v>29.26</v>
      </c>
      <c r="F6775">
        <v>33160700</v>
      </c>
      <c r="G6775">
        <v>28.62</v>
      </c>
      <c r="H6775" t="s">
        <v>8</v>
      </c>
      <c r="I6775" s="22">
        <f t="shared" si="211"/>
        <v>-4.1841065225739849E-3</v>
      </c>
      <c r="J6775" s="22" t="str">
        <f t="shared" si="212"/>
        <v>lost money</v>
      </c>
    </row>
    <row r="6776" spans="1:10">
      <c r="A6776" s="1">
        <v>40969</v>
      </c>
      <c r="B6776">
        <v>29.4</v>
      </c>
      <c r="C6776">
        <v>29.97</v>
      </c>
      <c r="D6776">
        <v>29.23</v>
      </c>
      <c r="E6776">
        <v>29.83</v>
      </c>
      <c r="F6776">
        <v>32909200</v>
      </c>
      <c r="G6776">
        <v>29.17</v>
      </c>
      <c r="H6776" t="s">
        <v>8</v>
      </c>
      <c r="I6776" s="22">
        <f t="shared" si="211"/>
        <v>1.903500975132533E-2</v>
      </c>
      <c r="J6776" s="22" t="str">
        <f t="shared" si="212"/>
        <v/>
      </c>
    </row>
    <row r="6777" spans="1:10">
      <c r="A6777" s="1">
        <v>40970</v>
      </c>
      <c r="B6777">
        <v>29.85</v>
      </c>
      <c r="C6777">
        <v>30.25</v>
      </c>
      <c r="D6777">
        <v>29.76</v>
      </c>
      <c r="E6777">
        <v>29.96</v>
      </c>
      <c r="F6777">
        <v>28176700</v>
      </c>
      <c r="G6777">
        <v>29.3</v>
      </c>
      <c r="H6777" t="s">
        <v>8</v>
      </c>
      <c r="I6777" s="22">
        <f t="shared" si="211"/>
        <v>4.4467321433915678E-3</v>
      </c>
      <c r="J6777" s="22" t="str">
        <f t="shared" si="212"/>
        <v/>
      </c>
    </row>
    <row r="6778" spans="1:10">
      <c r="A6778" s="1">
        <v>40973</v>
      </c>
      <c r="B6778">
        <v>30.24</v>
      </c>
      <c r="C6778">
        <v>30.42</v>
      </c>
      <c r="D6778">
        <v>29.93</v>
      </c>
      <c r="E6778">
        <v>30.24</v>
      </c>
      <c r="F6778">
        <v>33786700</v>
      </c>
      <c r="G6778">
        <v>29.57</v>
      </c>
      <c r="H6778" t="s">
        <v>8</v>
      </c>
      <c r="I6778" s="22">
        <f t="shared" si="211"/>
        <v>9.172817841364209E-3</v>
      </c>
      <c r="J6778" s="22" t="str">
        <f t="shared" si="212"/>
        <v/>
      </c>
    </row>
    <row r="6779" spans="1:10">
      <c r="A6779" s="1">
        <v>40974</v>
      </c>
      <c r="B6779">
        <v>29.94</v>
      </c>
      <c r="C6779">
        <v>30.4</v>
      </c>
      <c r="D6779">
        <v>29.71</v>
      </c>
      <c r="E6779">
        <v>29.95</v>
      </c>
      <c r="F6779">
        <v>28970500</v>
      </c>
      <c r="G6779">
        <v>29.29</v>
      </c>
      <c r="H6779" t="s">
        <v>8</v>
      </c>
      <c r="I6779" s="22">
        <f t="shared" si="211"/>
        <v>-9.5141730247437252E-3</v>
      </c>
      <c r="J6779" s="22" t="str">
        <f t="shared" si="212"/>
        <v/>
      </c>
    </row>
    <row r="6780" spans="1:10">
      <c r="A6780" s="1">
        <v>40975</v>
      </c>
      <c r="B6780">
        <v>30.05</v>
      </c>
      <c r="C6780">
        <v>30.28</v>
      </c>
      <c r="D6780">
        <v>29.83</v>
      </c>
      <c r="E6780">
        <v>30.22</v>
      </c>
      <c r="F6780">
        <v>23690700</v>
      </c>
      <c r="G6780">
        <v>29.56</v>
      </c>
      <c r="H6780" t="s">
        <v>8</v>
      </c>
      <c r="I6780" s="22">
        <f t="shared" si="211"/>
        <v>9.175935240358854E-3</v>
      </c>
      <c r="J6780" s="22" t="str">
        <f t="shared" si="212"/>
        <v/>
      </c>
    </row>
    <row r="6781" spans="1:10">
      <c r="A6781" s="1">
        <v>40976</v>
      </c>
      <c r="B6781">
        <v>30.4</v>
      </c>
      <c r="C6781">
        <v>30.44</v>
      </c>
      <c r="D6781">
        <v>29.85</v>
      </c>
      <c r="E6781">
        <v>30.07</v>
      </c>
      <c r="F6781">
        <v>30927300</v>
      </c>
      <c r="G6781">
        <v>29.41</v>
      </c>
      <c r="H6781" t="s">
        <v>8</v>
      </c>
      <c r="I6781" s="22">
        <f t="shared" si="211"/>
        <v>-5.0873435140973734E-3</v>
      </c>
      <c r="J6781" s="22" t="str">
        <f t="shared" si="212"/>
        <v>lost money</v>
      </c>
    </row>
    <row r="6782" spans="1:10">
      <c r="A6782" s="1">
        <v>40977</v>
      </c>
      <c r="B6782">
        <v>30.05</v>
      </c>
      <c r="C6782">
        <v>30.29</v>
      </c>
      <c r="D6782">
        <v>29.9</v>
      </c>
      <c r="E6782">
        <v>30.13</v>
      </c>
      <c r="F6782">
        <v>30056000</v>
      </c>
      <c r="G6782">
        <v>29.47</v>
      </c>
      <c r="H6782" t="s">
        <v>8</v>
      </c>
      <c r="I6782" s="22">
        <f t="shared" si="211"/>
        <v>2.0380441836995574E-3</v>
      </c>
      <c r="J6782" s="22" t="str">
        <f t="shared" si="212"/>
        <v/>
      </c>
    </row>
    <row r="6783" spans="1:10">
      <c r="A6783" s="1">
        <v>40980</v>
      </c>
      <c r="B6783">
        <v>29.72</v>
      </c>
      <c r="C6783">
        <v>29.92</v>
      </c>
      <c r="D6783">
        <v>29.2</v>
      </c>
      <c r="E6783">
        <v>29.71</v>
      </c>
      <c r="F6783">
        <v>40933900</v>
      </c>
      <c r="G6783">
        <v>29.06</v>
      </c>
      <c r="H6783" t="s">
        <v>8</v>
      </c>
      <c r="I6783" s="22">
        <f t="shared" si="211"/>
        <v>-1.4010138607466541E-2</v>
      </c>
      <c r="J6783" s="22" t="str">
        <f t="shared" si="212"/>
        <v>lost money</v>
      </c>
    </row>
    <row r="6784" spans="1:10">
      <c r="A6784" s="1">
        <v>40981</v>
      </c>
      <c r="B6784">
        <v>29.99</v>
      </c>
      <c r="C6784">
        <v>30.23</v>
      </c>
      <c r="D6784">
        <v>29.91</v>
      </c>
      <c r="E6784">
        <v>30.13</v>
      </c>
      <c r="F6784">
        <v>32336800</v>
      </c>
      <c r="G6784">
        <v>29.47</v>
      </c>
      <c r="H6784" t="s">
        <v>8</v>
      </c>
      <c r="I6784" s="22">
        <f t="shared" si="211"/>
        <v>1.4010138607466457E-2</v>
      </c>
      <c r="J6784" s="22" t="str">
        <f t="shared" si="212"/>
        <v/>
      </c>
    </row>
    <row r="6785" spans="1:10">
      <c r="A6785" s="1">
        <v>40982</v>
      </c>
      <c r="B6785">
        <v>30</v>
      </c>
      <c r="C6785">
        <v>30.16</v>
      </c>
      <c r="D6785">
        <v>29.69</v>
      </c>
      <c r="E6785">
        <v>29.84</v>
      </c>
      <c r="F6785">
        <v>30994500</v>
      </c>
      <c r="G6785">
        <v>29.18</v>
      </c>
      <c r="H6785" t="s">
        <v>8</v>
      </c>
      <c r="I6785" s="22">
        <f t="shared" si="211"/>
        <v>-9.8892536549637037E-3</v>
      </c>
      <c r="J6785" s="22" t="str">
        <f t="shared" si="212"/>
        <v>lost money</v>
      </c>
    </row>
    <row r="6786" spans="1:10">
      <c r="A6786" s="1">
        <v>40983</v>
      </c>
      <c r="B6786">
        <v>29.96</v>
      </c>
      <c r="C6786">
        <v>30.13</v>
      </c>
      <c r="D6786">
        <v>29.74</v>
      </c>
      <c r="E6786">
        <v>30.06</v>
      </c>
      <c r="F6786">
        <v>35527900</v>
      </c>
      <c r="G6786">
        <v>29.4</v>
      </c>
      <c r="H6786" t="s">
        <v>8</v>
      </c>
      <c r="I6786" s="22">
        <f t="shared" si="211"/>
        <v>7.511131249996271E-3</v>
      </c>
      <c r="J6786" s="22" t="str">
        <f t="shared" si="212"/>
        <v/>
      </c>
    </row>
    <row r="6787" spans="1:10">
      <c r="A6787" s="1">
        <v>40984</v>
      </c>
      <c r="B6787">
        <v>30.11</v>
      </c>
      <c r="C6787">
        <v>30.16</v>
      </c>
      <c r="D6787">
        <v>29.58</v>
      </c>
      <c r="E6787">
        <v>29.74</v>
      </c>
      <c r="F6787">
        <v>38651300</v>
      </c>
      <c r="G6787">
        <v>29.09</v>
      </c>
      <c r="H6787" t="s">
        <v>8</v>
      </c>
      <c r="I6787" s="22">
        <f t="shared" ref="I6787:I6850" si="213">IF(A6787=$A$2,"",LN(G6787/G6786))</f>
        <v>-1.0600201837525641E-2</v>
      </c>
      <c r="J6787" s="22" t="str">
        <f t="shared" ref="J6787:J6850" si="214">IF(B6787&gt;E6787,"lost money","")</f>
        <v>lost money</v>
      </c>
    </row>
    <row r="6788" spans="1:10">
      <c r="A6788" s="1">
        <v>40987</v>
      </c>
      <c r="B6788">
        <v>29.59</v>
      </c>
      <c r="C6788">
        <v>29.89</v>
      </c>
      <c r="D6788">
        <v>29.43</v>
      </c>
      <c r="E6788">
        <v>29.76</v>
      </c>
      <c r="F6788">
        <v>32519500</v>
      </c>
      <c r="G6788">
        <v>29.11</v>
      </c>
      <c r="H6788" t="s">
        <v>8</v>
      </c>
      <c r="I6788" s="22">
        <f t="shared" si="213"/>
        <v>6.8728525042154585E-4</v>
      </c>
      <c r="J6788" s="22" t="str">
        <f t="shared" si="214"/>
        <v/>
      </c>
    </row>
    <row r="6789" spans="1:10">
      <c r="A6789" s="1">
        <v>40988</v>
      </c>
      <c r="B6789">
        <v>29.7</v>
      </c>
      <c r="C6789">
        <v>30.14</v>
      </c>
      <c r="D6789">
        <v>29.55</v>
      </c>
      <c r="E6789">
        <v>30.1</v>
      </c>
      <c r="F6789">
        <v>46126500</v>
      </c>
      <c r="G6789">
        <v>29.44</v>
      </c>
      <c r="H6789" t="s">
        <v>8</v>
      </c>
      <c r="I6789" s="22">
        <f t="shared" si="213"/>
        <v>1.1272536103143676E-2</v>
      </c>
      <c r="J6789" s="22" t="str">
        <f t="shared" si="214"/>
        <v/>
      </c>
    </row>
    <row r="6790" spans="1:10">
      <c r="A6790" s="1">
        <v>40989</v>
      </c>
      <c r="B6790">
        <v>30.87</v>
      </c>
      <c r="C6790">
        <v>31.15</v>
      </c>
      <c r="D6790">
        <v>29.34</v>
      </c>
      <c r="E6790">
        <v>29.41</v>
      </c>
      <c r="F6790">
        <v>94668100</v>
      </c>
      <c r="G6790">
        <v>28.76</v>
      </c>
      <c r="H6790" t="s">
        <v>8</v>
      </c>
      <c r="I6790" s="22">
        <f t="shared" si="213"/>
        <v>-2.3368761007829569E-2</v>
      </c>
      <c r="J6790" s="22" t="str">
        <f t="shared" si="214"/>
        <v>lost money</v>
      </c>
    </row>
    <row r="6791" spans="1:10">
      <c r="A6791" s="1">
        <v>40990</v>
      </c>
      <c r="B6791">
        <v>29.33</v>
      </c>
      <c r="C6791">
        <v>29.33</v>
      </c>
      <c r="D6791">
        <v>28.56</v>
      </c>
      <c r="E6791">
        <v>28.63</v>
      </c>
      <c r="F6791">
        <v>59759700</v>
      </c>
      <c r="G6791">
        <v>28</v>
      </c>
      <c r="H6791" t="s">
        <v>8</v>
      </c>
      <c r="I6791" s="22">
        <f t="shared" si="213"/>
        <v>-2.6781022677642069E-2</v>
      </c>
      <c r="J6791" s="22" t="str">
        <f t="shared" si="214"/>
        <v>lost money</v>
      </c>
    </row>
    <row r="6792" spans="1:10">
      <c r="A6792" s="1">
        <v>40991</v>
      </c>
      <c r="B6792">
        <v>28.69</v>
      </c>
      <c r="C6792">
        <v>28.89</v>
      </c>
      <c r="D6792">
        <v>28.52</v>
      </c>
      <c r="E6792">
        <v>28.55</v>
      </c>
      <c r="F6792">
        <v>36696000</v>
      </c>
      <c r="G6792">
        <v>27.92</v>
      </c>
      <c r="H6792" t="s">
        <v>8</v>
      </c>
      <c r="I6792" s="22">
        <f t="shared" si="213"/>
        <v>-2.8612322810321234E-3</v>
      </c>
      <c r="J6792" s="22" t="str">
        <f t="shared" si="214"/>
        <v>lost money</v>
      </c>
    </row>
    <row r="6793" spans="1:10">
      <c r="A6793" s="1">
        <v>40994</v>
      </c>
      <c r="B6793">
        <v>28.78</v>
      </c>
      <c r="C6793">
        <v>29.19</v>
      </c>
      <c r="D6793">
        <v>28.65</v>
      </c>
      <c r="E6793">
        <v>29.16</v>
      </c>
      <c r="F6793">
        <v>30043900</v>
      </c>
      <c r="G6793">
        <v>28.52</v>
      </c>
      <c r="H6793" t="s">
        <v>8</v>
      </c>
      <c r="I6793" s="22">
        <f t="shared" si="213"/>
        <v>2.1262317651923313E-2</v>
      </c>
      <c r="J6793" s="22" t="str">
        <f t="shared" si="214"/>
        <v/>
      </c>
    </row>
    <row r="6794" spans="1:10">
      <c r="A6794" s="1">
        <v>40995</v>
      </c>
      <c r="B6794">
        <v>29.17</v>
      </c>
      <c r="C6794">
        <v>29.52</v>
      </c>
      <c r="D6794">
        <v>29</v>
      </c>
      <c r="E6794">
        <v>29.35</v>
      </c>
      <c r="F6794">
        <v>31710100</v>
      </c>
      <c r="G6794">
        <v>28.7</v>
      </c>
      <c r="H6794" t="s">
        <v>8</v>
      </c>
      <c r="I6794" s="22">
        <f t="shared" si="213"/>
        <v>6.2915272194802507E-3</v>
      </c>
      <c r="J6794" s="22" t="str">
        <f t="shared" si="214"/>
        <v/>
      </c>
    </row>
    <row r="6795" spans="1:10">
      <c r="A6795" s="1">
        <v>40996</v>
      </c>
      <c r="B6795">
        <v>29.38</v>
      </c>
      <c r="C6795">
        <v>29.55</v>
      </c>
      <c r="D6795">
        <v>29.14</v>
      </c>
      <c r="E6795">
        <v>29.36</v>
      </c>
      <c r="F6795">
        <v>29404000</v>
      </c>
      <c r="G6795">
        <v>28.71</v>
      </c>
      <c r="H6795" t="s">
        <v>8</v>
      </c>
      <c r="I6795" s="22">
        <f t="shared" si="213"/>
        <v>3.4837136739722477E-4</v>
      </c>
      <c r="J6795" s="22" t="str">
        <f t="shared" si="214"/>
        <v>lost money</v>
      </c>
    </row>
    <row r="6796" spans="1:10">
      <c r="A6796" s="1">
        <v>40997</v>
      </c>
      <c r="B6796">
        <v>29.21</v>
      </c>
      <c r="C6796">
        <v>29.58</v>
      </c>
      <c r="D6796">
        <v>29.1</v>
      </c>
      <c r="E6796">
        <v>29.3</v>
      </c>
      <c r="F6796">
        <v>34034500</v>
      </c>
      <c r="G6796">
        <v>28.66</v>
      </c>
      <c r="H6796" t="s">
        <v>8</v>
      </c>
      <c r="I6796" s="22">
        <f t="shared" si="213"/>
        <v>-1.7430717329467789E-3</v>
      </c>
      <c r="J6796" s="22" t="str">
        <f t="shared" si="214"/>
        <v/>
      </c>
    </row>
    <row r="6797" spans="1:10">
      <c r="A6797" s="1">
        <v>40998</v>
      </c>
      <c r="B6797">
        <v>29.46</v>
      </c>
      <c r="C6797">
        <v>29.49</v>
      </c>
      <c r="D6797">
        <v>29.04</v>
      </c>
      <c r="E6797">
        <v>29.16</v>
      </c>
      <c r="F6797">
        <v>32005500</v>
      </c>
      <c r="G6797">
        <v>28.52</v>
      </c>
      <c r="H6797" t="s">
        <v>8</v>
      </c>
      <c r="I6797" s="22">
        <f t="shared" si="213"/>
        <v>-4.8968268539306683E-3</v>
      </c>
      <c r="J6797" s="22" t="str">
        <f t="shared" si="214"/>
        <v>lost money</v>
      </c>
    </row>
    <row r="6798" spans="1:10">
      <c r="A6798" s="1">
        <v>41001</v>
      </c>
      <c r="B6798">
        <v>29.12</v>
      </c>
      <c r="C6798">
        <v>29.68</v>
      </c>
      <c r="D6798">
        <v>29</v>
      </c>
      <c r="E6798">
        <v>29.53</v>
      </c>
      <c r="F6798">
        <v>28524300</v>
      </c>
      <c r="G6798">
        <v>28.88</v>
      </c>
      <c r="H6798" t="s">
        <v>8</v>
      </c>
      <c r="I6798" s="22">
        <f t="shared" si="213"/>
        <v>1.254371847853032E-2</v>
      </c>
      <c r="J6798" s="22" t="str">
        <f t="shared" si="214"/>
        <v/>
      </c>
    </row>
    <row r="6799" spans="1:10">
      <c r="A6799" s="1">
        <v>41002</v>
      </c>
      <c r="B6799">
        <v>29.61</v>
      </c>
      <c r="C6799">
        <v>29.7</v>
      </c>
      <c r="D6799">
        <v>29.12</v>
      </c>
      <c r="E6799">
        <v>29.39</v>
      </c>
      <c r="F6799">
        <v>29994200</v>
      </c>
      <c r="G6799">
        <v>28.74</v>
      </c>
      <c r="H6799" t="s">
        <v>8</v>
      </c>
      <c r="I6799" s="22">
        <f t="shared" si="213"/>
        <v>-4.859433373746622E-3</v>
      </c>
      <c r="J6799" s="22" t="str">
        <f t="shared" si="214"/>
        <v>lost money</v>
      </c>
    </row>
    <row r="6800" spans="1:10">
      <c r="A6800" s="1">
        <v>41003</v>
      </c>
      <c r="B6800">
        <v>29.19</v>
      </c>
      <c r="C6800">
        <v>29.48</v>
      </c>
      <c r="D6800">
        <v>28.93</v>
      </c>
      <c r="E6800">
        <v>29.16</v>
      </c>
      <c r="F6800">
        <v>31153000</v>
      </c>
      <c r="G6800">
        <v>28.52</v>
      </c>
      <c r="H6800" t="s">
        <v>8</v>
      </c>
      <c r="I6800" s="22">
        <f t="shared" si="213"/>
        <v>-7.6842851047836556E-3</v>
      </c>
      <c r="J6800" s="22" t="str">
        <f t="shared" si="214"/>
        <v>lost money</v>
      </c>
    </row>
    <row r="6801" spans="1:10">
      <c r="A6801" s="1">
        <v>41004</v>
      </c>
      <c r="B6801">
        <v>29.15</v>
      </c>
      <c r="C6801">
        <v>29.63</v>
      </c>
      <c r="D6801">
        <v>29.13</v>
      </c>
      <c r="E6801">
        <v>29.56</v>
      </c>
      <c r="F6801">
        <v>43273500</v>
      </c>
      <c r="G6801">
        <v>28.91</v>
      </c>
      <c r="H6801" t="s">
        <v>8</v>
      </c>
      <c r="I6801" s="22">
        <f t="shared" si="213"/>
        <v>1.3581960482159608E-2</v>
      </c>
      <c r="J6801" s="22" t="str">
        <f t="shared" si="214"/>
        <v/>
      </c>
    </row>
    <row r="6802" spans="1:10">
      <c r="A6802" s="1">
        <v>41008</v>
      </c>
      <c r="B6802">
        <v>29.1</v>
      </c>
      <c r="C6802">
        <v>29.25</v>
      </c>
      <c r="D6802">
        <v>29</v>
      </c>
      <c r="E6802">
        <v>29.01</v>
      </c>
      <c r="F6802">
        <v>21527200</v>
      </c>
      <c r="G6802">
        <v>28.43</v>
      </c>
      <c r="H6802" t="s">
        <v>8</v>
      </c>
      <c r="I6802" s="22">
        <f t="shared" si="213"/>
        <v>-1.6742630365346293E-2</v>
      </c>
      <c r="J6802" s="22" t="str">
        <f t="shared" si="214"/>
        <v>lost money</v>
      </c>
    </row>
    <row r="6803" spans="1:10">
      <c r="A6803" s="1">
        <v>41009</v>
      </c>
      <c r="B6803">
        <v>28.88</v>
      </c>
      <c r="C6803">
        <v>28.96</v>
      </c>
      <c r="D6803">
        <v>28.08</v>
      </c>
      <c r="E6803">
        <v>28.35</v>
      </c>
      <c r="F6803">
        <v>41175000</v>
      </c>
      <c r="G6803">
        <v>27.78</v>
      </c>
      <c r="H6803" t="s">
        <v>8</v>
      </c>
      <c r="I6803" s="22">
        <f t="shared" si="213"/>
        <v>-2.3128588336710641E-2</v>
      </c>
      <c r="J6803" s="22" t="str">
        <f t="shared" si="214"/>
        <v>lost money</v>
      </c>
    </row>
    <row r="6804" spans="1:10">
      <c r="A6804" s="1">
        <v>41010</v>
      </c>
      <c r="B6804">
        <v>28.49</v>
      </c>
      <c r="C6804">
        <v>28.55</v>
      </c>
      <c r="D6804">
        <v>28.04</v>
      </c>
      <c r="E6804">
        <v>28.14</v>
      </c>
      <c r="F6804">
        <v>30389100</v>
      </c>
      <c r="G6804">
        <v>27.58</v>
      </c>
      <c r="H6804" t="s">
        <v>8</v>
      </c>
      <c r="I6804" s="22">
        <f t="shared" si="213"/>
        <v>-7.2254649610420706E-3</v>
      </c>
      <c r="J6804" s="22" t="str">
        <f t="shared" si="214"/>
        <v>lost money</v>
      </c>
    </row>
    <row r="6805" spans="1:10">
      <c r="A6805" s="1">
        <v>41011</v>
      </c>
      <c r="B6805">
        <v>28.32</v>
      </c>
      <c r="C6805">
        <v>28.72</v>
      </c>
      <c r="D6805">
        <v>28.16</v>
      </c>
      <c r="E6805">
        <v>28.7</v>
      </c>
      <c r="F6805">
        <v>29411000</v>
      </c>
      <c r="G6805">
        <v>28.13</v>
      </c>
      <c r="H6805" t="s">
        <v>8</v>
      </c>
      <c r="I6805" s="22">
        <f t="shared" si="213"/>
        <v>1.974575013660981E-2</v>
      </c>
      <c r="J6805" s="22" t="str">
        <f t="shared" si="214"/>
        <v/>
      </c>
    </row>
    <row r="6806" spans="1:10">
      <c r="A6806" s="1">
        <v>41012</v>
      </c>
      <c r="B6806">
        <v>28.7</v>
      </c>
      <c r="C6806">
        <v>28.77</v>
      </c>
      <c r="D6806">
        <v>28.49</v>
      </c>
      <c r="E6806">
        <v>28.5</v>
      </c>
      <c r="F6806">
        <v>31476500</v>
      </c>
      <c r="G6806">
        <v>27.93</v>
      </c>
      <c r="H6806" t="s">
        <v>8</v>
      </c>
      <c r="I6806" s="22">
        <f t="shared" si="213"/>
        <v>-7.1352425446801126E-3</v>
      </c>
      <c r="J6806" s="22" t="str">
        <f t="shared" si="214"/>
        <v>lost money</v>
      </c>
    </row>
    <row r="6807" spans="1:10">
      <c r="A6807" s="1">
        <v>41015</v>
      </c>
      <c r="B6807">
        <v>28.58</v>
      </c>
      <c r="C6807">
        <v>28.77</v>
      </c>
      <c r="D6807">
        <v>28.31</v>
      </c>
      <c r="E6807">
        <v>28.64</v>
      </c>
      <c r="F6807">
        <v>21476800</v>
      </c>
      <c r="G6807">
        <v>28.07</v>
      </c>
      <c r="H6807" t="s">
        <v>8</v>
      </c>
      <c r="I6807" s="22">
        <f t="shared" si="213"/>
        <v>5.0000104167058392E-3</v>
      </c>
      <c r="J6807" s="22" t="str">
        <f t="shared" si="214"/>
        <v/>
      </c>
    </row>
    <row r="6808" spans="1:10">
      <c r="A6808" s="1">
        <v>41016</v>
      </c>
      <c r="B6808">
        <v>28.72</v>
      </c>
      <c r="C6808">
        <v>29.44</v>
      </c>
      <c r="D6808">
        <v>28.7</v>
      </c>
      <c r="E6808">
        <v>29.28</v>
      </c>
      <c r="F6808">
        <v>24985300</v>
      </c>
      <c r="G6808">
        <v>28.69</v>
      </c>
      <c r="H6808" t="s">
        <v>8</v>
      </c>
      <c r="I6808" s="22">
        <f t="shared" si="213"/>
        <v>2.1847239619482223E-2</v>
      </c>
      <c r="J6808" s="22" t="str">
        <f t="shared" si="214"/>
        <v/>
      </c>
    </row>
    <row r="6809" spans="1:10">
      <c r="A6809" s="1">
        <v>41017</v>
      </c>
      <c r="B6809">
        <v>29.13</v>
      </c>
      <c r="C6809">
        <v>29.35</v>
      </c>
      <c r="D6809">
        <v>29.1</v>
      </c>
      <c r="E6809">
        <v>29.13</v>
      </c>
      <c r="F6809">
        <v>21151400</v>
      </c>
      <c r="G6809">
        <v>28.55</v>
      </c>
      <c r="H6809" t="s">
        <v>8</v>
      </c>
      <c r="I6809" s="22">
        <f t="shared" si="213"/>
        <v>-4.8916938912542517E-3</v>
      </c>
      <c r="J6809" s="22" t="str">
        <f t="shared" si="214"/>
        <v/>
      </c>
    </row>
    <row r="6810" spans="1:10">
      <c r="A6810" s="1">
        <v>41018</v>
      </c>
      <c r="B6810">
        <v>28.99</v>
      </c>
      <c r="C6810">
        <v>29.46</v>
      </c>
      <c r="D6810">
        <v>28.67</v>
      </c>
      <c r="E6810">
        <v>29.01</v>
      </c>
      <c r="F6810">
        <v>26462100</v>
      </c>
      <c r="G6810">
        <v>28.43</v>
      </c>
      <c r="H6810" t="s">
        <v>8</v>
      </c>
      <c r="I6810" s="22">
        <f t="shared" si="213"/>
        <v>-4.2120104391108696E-3</v>
      </c>
      <c r="J6810" s="22" t="str">
        <f t="shared" si="214"/>
        <v/>
      </c>
    </row>
    <row r="6811" spans="1:10">
      <c r="A6811" s="1">
        <v>41019</v>
      </c>
      <c r="B6811">
        <v>29.12</v>
      </c>
      <c r="C6811">
        <v>29.53</v>
      </c>
      <c r="D6811">
        <v>28.88</v>
      </c>
      <c r="E6811">
        <v>28.88</v>
      </c>
      <c r="F6811">
        <v>35727900</v>
      </c>
      <c r="G6811">
        <v>28.3</v>
      </c>
      <c r="H6811" t="s">
        <v>8</v>
      </c>
      <c r="I6811" s="22">
        <f t="shared" si="213"/>
        <v>-4.5831210137164159E-3</v>
      </c>
      <c r="J6811" s="22" t="str">
        <f t="shared" si="214"/>
        <v>lost money</v>
      </c>
    </row>
    <row r="6812" spans="1:10">
      <c r="A6812" s="1">
        <v>41022</v>
      </c>
      <c r="B6812">
        <v>28.6</v>
      </c>
      <c r="C6812">
        <v>28.66</v>
      </c>
      <c r="D6812">
        <v>28.26</v>
      </c>
      <c r="E6812">
        <v>28.48</v>
      </c>
      <c r="F6812">
        <v>23045500</v>
      </c>
      <c r="G6812">
        <v>27.91</v>
      </c>
      <c r="H6812" t="s">
        <v>8</v>
      </c>
      <c r="I6812" s="22">
        <f t="shared" si="213"/>
        <v>-1.3876757100961147E-2</v>
      </c>
      <c r="J6812" s="22" t="str">
        <f t="shared" si="214"/>
        <v>lost money</v>
      </c>
    </row>
    <row r="6813" spans="1:10">
      <c r="A6813" s="1">
        <v>41023</v>
      </c>
      <c r="B6813">
        <v>28.53</v>
      </c>
      <c r="C6813">
        <v>28.85</v>
      </c>
      <c r="D6813">
        <v>28.52</v>
      </c>
      <c r="E6813">
        <v>28.69</v>
      </c>
      <c r="F6813">
        <v>20486900</v>
      </c>
      <c r="G6813">
        <v>28.12</v>
      </c>
      <c r="H6813" t="s">
        <v>8</v>
      </c>
      <c r="I6813" s="22">
        <f t="shared" si="213"/>
        <v>7.4960193942334346E-3</v>
      </c>
      <c r="J6813" s="22" t="str">
        <f t="shared" si="214"/>
        <v/>
      </c>
    </row>
    <row r="6814" spans="1:10">
      <c r="A6814" s="1">
        <v>41024</v>
      </c>
      <c r="B6814">
        <v>28.68</v>
      </c>
      <c r="C6814">
        <v>28.99</v>
      </c>
      <c r="D6814">
        <v>28.6</v>
      </c>
      <c r="E6814">
        <v>28.87</v>
      </c>
      <c r="F6814">
        <v>26902800</v>
      </c>
      <c r="G6814">
        <v>28.29</v>
      </c>
      <c r="H6814" t="s">
        <v>8</v>
      </c>
      <c r="I6814" s="22">
        <f t="shared" si="213"/>
        <v>6.0273183710116193E-3</v>
      </c>
      <c r="J6814" s="22" t="str">
        <f t="shared" si="214"/>
        <v/>
      </c>
    </row>
    <row r="6815" spans="1:10">
      <c r="A6815" s="1">
        <v>41025</v>
      </c>
      <c r="B6815">
        <v>28.84</v>
      </c>
      <c r="C6815">
        <v>29.22</v>
      </c>
      <c r="D6815">
        <v>28.74</v>
      </c>
      <c r="E6815">
        <v>29.02</v>
      </c>
      <c r="F6815">
        <v>20548300</v>
      </c>
      <c r="G6815">
        <v>28.44</v>
      </c>
      <c r="H6815" t="s">
        <v>8</v>
      </c>
      <c r="I6815" s="22">
        <f t="shared" si="213"/>
        <v>5.2882196215643818E-3</v>
      </c>
      <c r="J6815" s="22" t="str">
        <f t="shared" si="214"/>
        <v/>
      </c>
    </row>
    <row r="6816" spans="1:10">
      <c r="A6816" s="1">
        <v>41026</v>
      </c>
      <c r="B6816">
        <v>29.06</v>
      </c>
      <c r="C6816">
        <v>29.44</v>
      </c>
      <c r="D6816">
        <v>29.06</v>
      </c>
      <c r="E6816">
        <v>29.24</v>
      </c>
      <c r="F6816">
        <v>16847800</v>
      </c>
      <c r="G6816">
        <v>28.65</v>
      </c>
      <c r="H6816" t="s">
        <v>8</v>
      </c>
      <c r="I6816" s="22">
        <f t="shared" si="213"/>
        <v>7.3568382257084087E-3</v>
      </c>
      <c r="J6816" s="22" t="str">
        <f t="shared" si="214"/>
        <v/>
      </c>
    </row>
    <row r="6817" spans="1:10">
      <c r="A6817" s="1">
        <v>41029</v>
      </c>
      <c r="B6817">
        <v>29.23</v>
      </c>
      <c r="C6817">
        <v>29.42</v>
      </c>
      <c r="D6817">
        <v>29.2</v>
      </c>
      <c r="E6817">
        <v>29.4</v>
      </c>
      <c r="F6817">
        <v>18568500</v>
      </c>
      <c r="G6817">
        <v>28.81</v>
      </c>
      <c r="H6817" t="s">
        <v>8</v>
      </c>
      <c r="I6817" s="22">
        <f t="shared" si="213"/>
        <v>5.5691059356884473E-3</v>
      </c>
      <c r="J6817" s="22" t="str">
        <f t="shared" si="214"/>
        <v/>
      </c>
    </row>
    <row r="6818" spans="1:10">
      <c r="A6818" s="1">
        <v>41030</v>
      </c>
      <c r="B6818">
        <v>29.45</v>
      </c>
      <c r="C6818">
        <v>29.78</v>
      </c>
      <c r="D6818">
        <v>29.29</v>
      </c>
      <c r="E6818">
        <v>29.57</v>
      </c>
      <c r="F6818">
        <v>19965400</v>
      </c>
      <c r="G6818">
        <v>28.98</v>
      </c>
      <c r="H6818" t="s">
        <v>8</v>
      </c>
      <c r="I6818" s="22">
        <f t="shared" si="213"/>
        <v>5.8833877960992684E-3</v>
      </c>
      <c r="J6818" s="22" t="str">
        <f t="shared" si="214"/>
        <v/>
      </c>
    </row>
    <row r="6819" spans="1:10">
      <c r="A6819" s="1">
        <v>41031</v>
      </c>
      <c r="B6819">
        <v>29.42</v>
      </c>
      <c r="C6819">
        <v>29.79</v>
      </c>
      <c r="D6819">
        <v>29.19</v>
      </c>
      <c r="E6819">
        <v>29.71</v>
      </c>
      <c r="F6819">
        <v>22579000</v>
      </c>
      <c r="G6819">
        <v>29.12</v>
      </c>
      <c r="H6819" t="s">
        <v>8</v>
      </c>
      <c r="I6819" s="22">
        <f t="shared" si="213"/>
        <v>4.8192864359489218E-3</v>
      </c>
      <c r="J6819" s="22" t="str">
        <f t="shared" si="214"/>
        <v/>
      </c>
    </row>
    <row r="6820" spans="1:10">
      <c r="A6820" s="1">
        <v>41032</v>
      </c>
      <c r="B6820">
        <v>29.74</v>
      </c>
      <c r="C6820">
        <v>29.82</v>
      </c>
      <c r="D6820">
        <v>29.34</v>
      </c>
      <c r="E6820">
        <v>29.38</v>
      </c>
      <c r="F6820">
        <v>19175800</v>
      </c>
      <c r="G6820">
        <v>28.79</v>
      </c>
      <c r="H6820" t="s">
        <v>8</v>
      </c>
      <c r="I6820" s="22">
        <f t="shared" si="213"/>
        <v>-1.1397118704400787E-2</v>
      </c>
      <c r="J6820" s="22" t="str">
        <f t="shared" si="214"/>
        <v>lost money</v>
      </c>
    </row>
    <row r="6821" spans="1:10">
      <c r="A6821" s="1">
        <v>41033</v>
      </c>
      <c r="B6821">
        <v>29.1</v>
      </c>
      <c r="C6821">
        <v>29.15</v>
      </c>
      <c r="D6821">
        <v>28.41</v>
      </c>
      <c r="E6821">
        <v>28.41</v>
      </c>
      <c r="F6821">
        <v>33934300</v>
      </c>
      <c r="G6821">
        <v>27.84</v>
      </c>
      <c r="H6821" t="s">
        <v>8</v>
      </c>
      <c r="I6821" s="22">
        <f t="shared" si="213"/>
        <v>-3.3554269157865614E-2</v>
      </c>
      <c r="J6821" s="22" t="str">
        <f t="shared" si="214"/>
        <v>lost money</v>
      </c>
    </row>
    <row r="6822" spans="1:10">
      <c r="A6822" s="1">
        <v>41036</v>
      </c>
      <c r="B6822">
        <v>28.34</v>
      </c>
      <c r="C6822">
        <v>28.45</v>
      </c>
      <c r="D6822">
        <v>27.85</v>
      </c>
      <c r="E6822">
        <v>27.92</v>
      </c>
      <c r="F6822">
        <v>33670500</v>
      </c>
      <c r="G6822">
        <v>27.36</v>
      </c>
      <c r="H6822" t="s">
        <v>8</v>
      </c>
      <c r="I6822" s="22">
        <f t="shared" si="213"/>
        <v>-1.7391742711869222E-2</v>
      </c>
      <c r="J6822" s="22" t="str">
        <f t="shared" si="214"/>
        <v>lost money</v>
      </c>
    </row>
    <row r="6823" spans="1:10">
      <c r="A6823" s="1">
        <v>41037</v>
      </c>
      <c r="B6823">
        <v>27.71</v>
      </c>
      <c r="C6823">
        <v>28.02</v>
      </c>
      <c r="D6823">
        <v>27.53</v>
      </c>
      <c r="E6823">
        <v>27.93</v>
      </c>
      <c r="F6823">
        <v>24660200</v>
      </c>
      <c r="G6823">
        <v>27.37</v>
      </c>
      <c r="H6823" t="s">
        <v>8</v>
      </c>
      <c r="I6823" s="22">
        <f t="shared" si="213"/>
        <v>3.654302982380061E-4</v>
      </c>
      <c r="J6823" s="22" t="str">
        <f t="shared" si="214"/>
        <v/>
      </c>
    </row>
    <row r="6824" spans="1:10">
      <c r="A6824" s="1">
        <v>41038</v>
      </c>
      <c r="B6824">
        <v>27.62</v>
      </c>
      <c r="C6824">
        <v>27.91</v>
      </c>
      <c r="D6824">
        <v>27.41</v>
      </c>
      <c r="E6824">
        <v>27.78</v>
      </c>
      <c r="F6824">
        <v>25521100</v>
      </c>
      <c r="G6824">
        <v>27.22</v>
      </c>
      <c r="H6824" t="s">
        <v>8</v>
      </c>
      <c r="I6824" s="22">
        <f t="shared" si="213"/>
        <v>-5.495525829267758E-3</v>
      </c>
      <c r="J6824" s="22" t="str">
        <f t="shared" si="214"/>
        <v/>
      </c>
    </row>
    <row r="6825" spans="1:10">
      <c r="A6825" s="1">
        <v>41039</v>
      </c>
      <c r="B6825">
        <v>27.7</v>
      </c>
      <c r="C6825">
        <v>27.75</v>
      </c>
      <c r="D6825">
        <v>26.74</v>
      </c>
      <c r="E6825">
        <v>27.02</v>
      </c>
      <c r="F6825">
        <v>52653300</v>
      </c>
      <c r="G6825">
        <v>26.48</v>
      </c>
      <c r="H6825" t="s">
        <v>8</v>
      </c>
      <c r="I6825" s="22">
        <f t="shared" si="213"/>
        <v>-2.7562266154512485E-2</v>
      </c>
      <c r="J6825" s="22" t="str">
        <f t="shared" si="214"/>
        <v>lost money</v>
      </c>
    </row>
    <row r="6826" spans="1:10">
      <c r="A6826" s="1">
        <v>41040</v>
      </c>
      <c r="B6826">
        <v>26.97</v>
      </c>
      <c r="C6826">
        <v>27.31</v>
      </c>
      <c r="D6826">
        <v>26.77</v>
      </c>
      <c r="E6826">
        <v>27</v>
      </c>
      <c r="F6826">
        <v>25588900</v>
      </c>
      <c r="G6826">
        <v>26.46</v>
      </c>
      <c r="H6826" t="s">
        <v>8</v>
      </c>
      <c r="I6826" s="22">
        <f t="shared" si="213"/>
        <v>-7.5557238199785667E-4</v>
      </c>
      <c r="J6826" s="22" t="str">
        <f t="shared" si="214"/>
        <v/>
      </c>
    </row>
    <row r="6827" spans="1:10">
      <c r="A6827" s="1">
        <v>41043</v>
      </c>
      <c r="B6827">
        <v>26.73</v>
      </c>
      <c r="C6827">
        <v>27.31</v>
      </c>
      <c r="D6827">
        <v>26.66</v>
      </c>
      <c r="E6827">
        <v>26.96</v>
      </c>
      <c r="F6827">
        <v>22485200</v>
      </c>
      <c r="G6827">
        <v>26.42</v>
      </c>
      <c r="H6827" t="s">
        <v>8</v>
      </c>
      <c r="I6827" s="22">
        <f t="shared" si="213"/>
        <v>-1.5128595926303177E-3</v>
      </c>
      <c r="J6827" s="22" t="str">
        <f t="shared" si="214"/>
        <v/>
      </c>
    </row>
    <row r="6828" spans="1:10">
      <c r="A6828" s="1">
        <v>41044</v>
      </c>
      <c r="B6828">
        <v>27.02</v>
      </c>
      <c r="C6828">
        <v>27.53</v>
      </c>
      <c r="D6828">
        <v>26.94</v>
      </c>
      <c r="E6828">
        <v>27.06</v>
      </c>
      <c r="F6828">
        <v>26392900</v>
      </c>
      <c r="G6828">
        <v>26.52</v>
      </c>
      <c r="H6828" t="s">
        <v>8</v>
      </c>
      <c r="I6828" s="22">
        <f t="shared" si="213"/>
        <v>3.7778662234823849E-3</v>
      </c>
      <c r="J6828" s="22" t="str">
        <f t="shared" si="214"/>
        <v/>
      </c>
    </row>
    <row r="6829" spans="1:10">
      <c r="A6829" s="1">
        <v>41045</v>
      </c>
      <c r="B6829">
        <v>27.16</v>
      </c>
      <c r="C6829">
        <v>27.41</v>
      </c>
      <c r="D6829">
        <v>26.68</v>
      </c>
      <c r="E6829">
        <v>26.72</v>
      </c>
      <c r="F6829">
        <v>29672800</v>
      </c>
      <c r="G6829">
        <v>26.19</v>
      </c>
      <c r="H6829" t="s">
        <v>8</v>
      </c>
      <c r="I6829" s="22">
        <f t="shared" si="213"/>
        <v>-1.2521506798041185E-2</v>
      </c>
      <c r="J6829" s="22" t="str">
        <f t="shared" si="214"/>
        <v>lost money</v>
      </c>
    </row>
    <row r="6830" spans="1:10">
      <c r="A6830" s="1">
        <v>41046</v>
      </c>
      <c r="B6830">
        <v>26.7</v>
      </c>
      <c r="C6830">
        <v>26.72</v>
      </c>
      <c r="D6830">
        <v>26.25</v>
      </c>
      <c r="E6830">
        <v>26.25</v>
      </c>
      <c r="F6830">
        <v>29440600</v>
      </c>
      <c r="G6830">
        <v>25.72</v>
      </c>
      <c r="H6830" t="s">
        <v>8</v>
      </c>
      <c r="I6830" s="22">
        <f t="shared" si="213"/>
        <v>-1.8108759150201974E-2</v>
      </c>
      <c r="J6830" s="22" t="str">
        <f t="shared" si="214"/>
        <v>lost money</v>
      </c>
    </row>
    <row r="6831" spans="1:10">
      <c r="A6831" s="1">
        <v>41047</v>
      </c>
      <c r="B6831">
        <v>26.29</v>
      </c>
      <c r="C6831">
        <v>26.29</v>
      </c>
      <c r="D6831">
        <v>25.33</v>
      </c>
      <c r="E6831">
        <v>25.61</v>
      </c>
      <c r="F6831">
        <v>68182500</v>
      </c>
      <c r="G6831">
        <v>25.1</v>
      </c>
      <c r="H6831" t="s">
        <v>8</v>
      </c>
      <c r="I6831" s="22">
        <f t="shared" si="213"/>
        <v>-2.4401053231680323E-2</v>
      </c>
      <c r="J6831" s="22" t="str">
        <f t="shared" si="214"/>
        <v>lost money</v>
      </c>
    </row>
    <row r="6832" spans="1:10">
      <c r="A6832" s="1">
        <v>41050</v>
      </c>
      <c r="B6832">
        <v>25.54</v>
      </c>
      <c r="C6832">
        <v>26.46</v>
      </c>
      <c r="D6832">
        <v>25.53</v>
      </c>
      <c r="E6832">
        <v>26.26</v>
      </c>
      <c r="F6832">
        <v>30712700</v>
      </c>
      <c r="G6832">
        <v>25.73</v>
      </c>
      <c r="H6832" t="s">
        <v>8</v>
      </c>
      <c r="I6832" s="22">
        <f t="shared" si="213"/>
        <v>2.4789780155914664E-2</v>
      </c>
      <c r="J6832" s="22" t="str">
        <f t="shared" si="214"/>
        <v/>
      </c>
    </row>
    <row r="6833" spans="1:10">
      <c r="A6833" s="1">
        <v>41051</v>
      </c>
      <c r="B6833">
        <v>26.33</v>
      </c>
      <c r="C6833">
        <v>26.49</v>
      </c>
      <c r="D6833">
        <v>26.07</v>
      </c>
      <c r="E6833">
        <v>26.36</v>
      </c>
      <c r="F6833">
        <v>22122800</v>
      </c>
      <c r="G6833">
        <v>25.83</v>
      </c>
      <c r="H6833" t="s">
        <v>8</v>
      </c>
      <c r="I6833" s="22">
        <f t="shared" si="213"/>
        <v>3.8789808140961349E-3</v>
      </c>
      <c r="J6833" s="22" t="str">
        <f t="shared" si="214"/>
        <v/>
      </c>
    </row>
    <row r="6834" spans="1:10">
      <c r="A6834" s="1">
        <v>41052</v>
      </c>
      <c r="B6834">
        <v>26.12</v>
      </c>
      <c r="C6834">
        <v>26.85</v>
      </c>
      <c r="D6834">
        <v>26.04</v>
      </c>
      <c r="E6834">
        <v>26.68</v>
      </c>
      <c r="F6834">
        <v>33179600</v>
      </c>
      <c r="G6834">
        <v>26.15</v>
      </c>
      <c r="H6834" t="s">
        <v>8</v>
      </c>
      <c r="I6834" s="22">
        <f t="shared" si="213"/>
        <v>1.2312583403182756E-2</v>
      </c>
      <c r="J6834" s="22" t="str">
        <f t="shared" si="214"/>
        <v/>
      </c>
    </row>
    <row r="6835" spans="1:10">
      <c r="A6835" s="1">
        <v>41053</v>
      </c>
      <c r="B6835">
        <v>26.62</v>
      </c>
      <c r="C6835">
        <v>26.65</v>
      </c>
      <c r="D6835">
        <v>25.9</v>
      </c>
      <c r="E6835">
        <v>26.12</v>
      </c>
      <c r="F6835">
        <v>34232000</v>
      </c>
      <c r="G6835">
        <v>25.6</v>
      </c>
      <c r="H6835" t="s">
        <v>8</v>
      </c>
      <c r="I6835" s="22">
        <f t="shared" si="213"/>
        <v>-2.1256839025415038E-2</v>
      </c>
      <c r="J6835" s="22" t="str">
        <f t="shared" si="214"/>
        <v>lost money</v>
      </c>
    </row>
    <row r="6836" spans="1:10">
      <c r="A6836" s="1">
        <v>41054</v>
      </c>
      <c r="B6836">
        <v>26.18</v>
      </c>
      <c r="C6836">
        <v>26.33</v>
      </c>
      <c r="D6836">
        <v>26.04</v>
      </c>
      <c r="E6836">
        <v>26.14</v>
      </c>
      <c r="F6836">
        <v>18642900</v>
      </c>
      <c r="G6836">
        <v>25.62</v>
      </c>
      <c r="H6836" t="s">
        <v>8</v>
      </c>
      <c r="I6836" s="22">
        <f t="shared" si="213"/>
        <v>7.8094498307135099E-4</v>
      </c>
      <c r="J6836" s="22" t="str">
        <f t="shared" si="214"/>
        <v>lost money</v>
      </c>
    </row>
    <row r="6837" spans="1:10">
      <c r="A6837" s="1">
        <v>41058</v>
      </c>
      <c r="B6837">
        <v>26.41</v>
      </c>
      <c r="C6837">
        <v>26.78</v>
      </c>
      <c r="D6837">
        <v>26.16</v>
      </c>
      <c r="E6837">
        <v>26.46</v>
      </c>
      <c r="F6837">
        <v>24139900</v>
      </c>
      <c r="G6837">
        <v>25.93</v>
      </c>
      <c r="H6837" t="s">
        <v>8</v>
      </c>
      <c r="I6837" s="22">
        <f t="shared" si="213"/>
        <v>1.2027303081984735E-2</v>
      </c>
      <c r="J6837" s="22" t="str">
        <f t="shared" si="214"/>
        <v/>
      </c>
    </row>
    <row r="6838" spans="1:10">
      <c r="A6838" s="1">
        <v>41059</v>
      </c>
      <c r="B6838">
        <v>26.19</v>
      </c>
      <c r="C6838">
        <v>26.34</v>
      </c>
      <c r="D6838">
        <v>25.98</v>
      </c>
      <c r="E6838">
        <v>26.17</v>
      </c>
      <c r="F6838">
        <v>21538300</v>
      </c>
      <c r="G6838">
        <v>25.65</v>
      </c>
      <c r="H6838" t="s">
        <v>8</v>
      </c>
      <c r="I6838" s="22">
        <f t="shared" si="213"/>
        <v>-1.0857027933794573E-2</v>
      </c>
      <c r="J6838" s="22" t="str">
        <f t="shared" si="214"/>
        <v>lost money</v>
      </c>
    </row>
    <row r="6839" spans="1:10">
      <c r="A6839" s="1">
        <v>41060</v>
      </c>
      <c r="B6839">
        <v>26.22</v>
      </c>
      <c r="C6839">
        <v>26.72</v>
      </c>
      <c r="D6839">
        <v>26.17</v>
      </c>
      <c r="E6839">
        <v>26.47</v>
      </c>
      <c r="F6839">
        <v>32192300</v>
      </c>
      <c r="G6839">
        <v>25.94</v>
      </c>
      <c r="H6839" t="s">
        <v>8</v>
      </c>
      <c r="I6839" s="22">
        <f t="shared" si="213"/>
        <v>1.1242607271519293E-2</v>
      </c>
      <c r="J6839" s="22" t="str">
        <f t="shared" si="214"/>
        <v/>
      </c>
    </row>
    <row r="6840" spans="1:10">
      <c r="A6840" s="1">
        <v>41061</v>
      </c>
      <c r="B6840">
        <v>25.98</v>
      </c>
      <c r="C6840">
        <v>26.28</v>
      </c>
      <c r="D6840">
        <v>25.9</v>
      </c>
      <c r="E6840">
        <v>26</v>
      </c>
      <c r="F6840">
        <v>30739700</v>
      </c>
      <c r="G6840">
        <v>25.48</v>
      </c>
      <c r="H6840" t="s">
        <v>8</v>
      </c>
      <c r="I6840" s="22">
        <f t="shared" si="213"/>
        <v>-1.7892348184335247E-2</v>
      </c>
      <c r="J6840" s="22" t="str">
        <f t="shared" si="214"/>
        <v/>
      </c>
    </row>
    <row r="6841" spans="1:10">
      <c r="A6841" s="1">
        <v>41064</v>
      </c>
      <c r="B6841">
        <v>26.04</v>
      </c>
      <c r="C6841">
        <v>26.34</v>
      </c>
      <c r="D6841">
        <v>25.84</v>
      </c>
      <c r="E6841">
        <v>26.2</v>
      </c>
      <c r="F6841">
        <v>28945200</v>
      </c>
      <c r="G6841">
        <v>25.68</v>
      </c>
      <c r="H6841" t="s">
        <v>8</v>
      </c>
      <c r="I6841" s="22">
        <f t="shared" si="213"/>
        <v>7.818648117797769E-3</v>
      </c>
      <c r="J6841" s="22" t="str">
        <f t="shared" si="214"/>
        <v/>
      </c>
    </row>
    <row r="6842" spans="1:10">
      <c r="A6842" s="1">
        <v>41065</v>
      </c>
      <c r="B6842">
        <v>26.07</v>
      </c>
      <c r="C6842">
        <v>26.94</v>
      </c>
      <c r="D6842">
        <v>26.07</v>
      </c>
      <c r="E6842">
        <v>26.71</v>
      </c>
      <c r="F6842">
        <v>28412000</v>
      </c>
      <c r="G6842">
        <v>26.18</v>
      </c>
      <c r="H6842" t="s">
        <v>8</v>
      </c>
      <c r="I6842" s="22">
        <f t="shared" si="213"/>
        <v>1.928328165999342E-2</v>
      </c>
      <c r="J6842" s="22" t="str">
        <f t="shared" si="214"/>
        <v/>
      </c>
    </row>
    <row r="6843" spans="1:10">
      <c r="A6843" s="1">
        <v>41066</v>
      </c>
      <c r="B6843">
        <v>26.99</v>
      </c>
      <c r="C6843">
        <v>27.57</v>
      </c>
      <c r="D6843">
        <v>26.88</v>
      </c>
      <c r="E6843">
        <v>27.53</v>
      </c>
      <c r="F6843">
        <v>27639000</v>
      </c>
      <c r="G6843">
        <v>26.98</v>
      </c>
      <c r="H6843" t="s">
        <v>8</v>
      </c>
      <c r="I6843" s="22">
        <f t="shared" si="213"/>
        <v>3.0100090297855885E-2</v>
      </c>
      <c r="J6843" s="22" t="str">
        <f t="shared" si="214"/>
        <v/>
      </c>
    </row>
    <row r="6844" spans="1:10">
      <c r="A6844" s="1">
        <v>41067</v>
      </c>
      <c r="B6844">
        <v>27.75</v>
      </c>
      <c r="C6844">
        <v>27.76</v>
      </c>
      <c r="D6844">
        <v>27.18</v>
      </c>
      <c r="E6844">
        <v>27.18</v>
      </c>
      <c r="F6844">
        <v>32896100</v>
      </c>
      <c r="G6844">
        <v>26.64</v>
      </c>
      <c r="H6844" t="s">
        <v>8</v>
      </c>
      <c r="I6844" s="22">
        <f t="shared" si="213"/>
        <v>-1.2682005107421401E-2</v>
      </c>
      <c r="J6844" s="22" t="str">
        <f t="shared" si="214"/>
        <v>lost money</v>
      </c>
    </row>
    <row r="6845" spans="1:10">
      <c r="A6845" s="1">
        <v>41068</v>
      </c>
      <c r="B6845">
        <v>27.04</v>
      </c>
      <c r="C6845">
        <v>27.27</v>
      </c>
      <c r="D6845">
        <v>26.8</v>
      </c>
      <c r="E6845">
        <v>27.16</v>
      </c>
      <c r="F6845">
        <v>22343200</v>
      </c>
      <c r="G6845">
        <v>26.62</v>
      </c>
      <c r="H6845" t="s">
        <v>8</v>
      </c>
      <c r="I6845" s="22">
        <f t="shared" si="213"/>
        <v>-7.5103270522276907E-4</v>
      </c>
      <c r="J6845" s="22" t="str">
        <f t="shared" si="214"/>
        <v/>
      </c>
    </row>
    <row r="6846" spans="1:10">
      <c r="A6846" s="1">
        <v>41071</v>
      </c>
      <c r="B6846">
        <v>27.38</v>
      </c>
      <c r="C6846">
        <v>27.42</v>
      </c>
      <c r="D6846">
        <v>26.77</v>
      </c>
      <c r="E6846">
        <v>26.81</v>
      </c>
      <c r="F6846">
        <v>20470800</v>
      </c>
      <c r="G6846">
        <v>26.27</v>
      </c>
      <c r="H6846" t="s">
        <v>8</v>
      </c>
      <c r="I6846" s="22">
        <f t="shared" si="213"/>
        <v>-1.3235209269517084E-2</v>
      </c>
      <c r="J6846" s="22" t="str">
        <f t="shared" si="214"/>
        <v>lost money</v>
      </c>
    </row>
    <row r="6847" spans="1:10">
      <c r="A6847" s="1">
        <v>41072</v>
      </c>
      <c r="B6847">
        <v>27</v>
      </c>
      <c r="C6847">
        <v>27.15</v>
      </c>
      <c r="D6847">
        <v>26.73</v>
      </c>
      <c r="E6847">
        <v>27.03</v>
      </c>
      <c r="F6847">
        <v>26186900</v>
      </c>
      <c r="G6847">
        <v>26.49</v>
      </c>
      <c r="H6847" t="s">
        <v>8</v>
      </c>
      <c r="I6847" s="22">
        <f t="shared" si="213"/>
        <v>8.3396995865297387E-3</v>
      </c>
      <c r="J6847" s="22" t="str">
        <f t="shared" si="214"/>
        <v/>
      </c>
    </row>
    <row r="6848" spans="1:10">
      <c r="A6848" s="1">
        <v>41073</v>
      </c>
      <c r="B6848">
        <v>26.88</v>
      </c>
      <c r="C6848">
        <v>27.38</v>
      </c>
      <c r="D6848">
        <v>26.79</v>
      </c>
      <c r="E6848">
        <v>27.02</v>
      </c>
      <c r="F6848">
        <v>19638800</v>
      </c>
      <c r="G6848">
        <v>26.48</v>
      </c>
      <c r="H6848" t="s">
        <v>8</v>
      </c>
      <c r="I6848" s="22">
        <f t="shared" si="213"/>
        <v>-3.7757221517084561E-4</v>
      </c>
      <c r="J6848" s="22" t="str">
        <f t="shared" si="214"/>
        <v/>
      </c>
    </row>
    <row r="6849" spans="1:10">
      <c r="A6849" s="1">
        <v>41074</v>
      </c>
      <c r="B6849">
        <v>27.09</v>
      </c>
      <c r="C6849">
        <v>27.35</v>
      </c>
      <c r="D6849">
        <v>26.51</v>
      </c>
      <c r="E6849">
        <v>26.91</v>
      </c>
      <c r="F6849">
        <v>34311700</v>
      </c>
      <c r="G6849">
        <v>26.37</v>
      </c>
      <c r="H6849" t="s">
        <v>8</v>
      </c>
      <c r="I6849" s="22">
        <f t="shared" si="213"/>
        <v>-4.1627307036121476E-3</v>
      </c>
      <c r="J6849" s="22" t="str">
        <f t="shared" si="214"/>
        <v>lost money</v>
      </c>
    </row>
    <row r="6850" spans="1:10">
      <c r="A6850" s="1">
        <v>41075</v>
      </c>
      <c r="B6850">
        <v>27.11</v>
      </c>
      <c r="C6850">
        <v>27.76</v>
      </c>
      <c r="D6850">
        <v>26.99</v>
      </c>
      <c r="E6850">
        <v>27.7</v>
      </c>
      <c r="F6850">
        <v>40136400</v>
      </c>
      <c r="G6850">
        <v>27.15</v>
      </c>
      <c r="H6850" t="s">
        <v>8</v>
      </c>
      <c r="I6850" s="22">
        <f t="shared" si="213"/>
        <v>2.9150046014748975E-2</v>
      </c>
      <c r="J6850" s="22" t="str">
        <f t="shared" si="214"/>
        <v/>
      </c>
    </row>
    <row r="6851" spans="1:10">
      <c r="A6851" s="1">
        <v>41078</v>
      </c>
      <c r="B6851">
        <v>27.43</v>
      </c>
      <c r="C6851">
        <v>27.43</v>
      </c>
      <c r="D6851">
        <v>26.69</v>
      </c>
      <c r="E6851">
        <v>27.12</v>
      </c>
      <c r="F6851">
        <v>38322000</v>
      </c>
      <c r="G6851">
        <v>26.58</v>
      </c>
      <c r="H6851" t="s">
        <v>8</v>
      </c>
      <c r="I6851" s="22">
        <f t="shared" ref="I6851:I6914" si="215">IF(A6851=$A$2,"",LN(G6851/G6850))</f>
        <v>-2.1217993094845209E-2</v>
      </c>
      <c r="J6851" s="22" t="str">
        <f t="shared" ref="J6851:J6914" si="216">IF(B6851&gt;E6851,"lost money","")</f>
        <v>lost money</v>
      </c>
    </row>
    <row r="6852" spans="1:10">
      <c r="A6852" s="1">
        <v>41079</v>
      </c>
      <c r="B6852">
        <v>28.39</v>
      </c>
      <c r="C6852">
        <v>28.75</v>
      </c>
      <c r="D6852">
        <v>27.53</v>
      </c>
      <c r="E6852">
        <v>27.96</v>
      </c>
      <c r="F6852">
        <v>81048700</v>
      </c>
      <c r="G6852">
        <v>27.4</v>
      </c>
      <c r="H6852" t="s">
        <v>8</v>
      </c>
      <c r="I6852" s="22">
        <f t="shared" si="215"/>
        <v>3.0383960108925256E-2</v>
      </c>
      <c r="J6852" s="22" t="str">
        <f t="shared" si="216"/>
        <v>lost money</v>
      </c>
    </row>
    <row r="6853" spans="1:10">
      <c r="A6853" s="1">
        <v>41080</v>
      </c>
      <c r="B6853">
        <v>28.04</v>
      </c>
      <c r="C6853">
        <v>28.58</v>
      </c>
      <c r="D6853">
        <v>27.94</v>
      </c>
      <c r="E6853">
        <v>28.49</v>
      </c>
      <c r="F6853">
        <v>29281700</v>
      </c>
      <c r="G6853">
        <v>27.92</v>
      </c>
      <c r="H6853" t="s">
        <v>8</v>
      </c>
      <c r="I6853" s="22">
        <f t="shared" si="215"/>
        <v>1.88002645001474E-2</v>
      </c>
      <c r="J6853" s="22" t="str">
        <f t="shared" si="216"/>
        <v/>
      </c>
    </row>
    <row r="6854" spans="1:10">
      <c r="A6854" s="1">
        <v>41081</v>
      </c>
      <c r="B6854">
        <v>28.49</v>
      </c>
      <c r="C6854">
        <v>28.64</v>
      </c>
      <c r="D6854">
        <v>27.75</v>
      </c>
      <c r="E6854">
        <v>27.81</v>
      </c>
      <c r="F6854">
        <v>32721900</v>
      </c>
      <c r="G6854">
        <v>27.25</v>
      </c>
      <c r="H6854" t="s">
        <v>8</v>
      </c>
      <c r="I6854" s="22">
        <f t="shared" si="215"/>
        <v>-2.4289756784918678E-2</v>
      </c>
      <c r="J6854" s="22" t="str">
        <f t="shared" si="216"/>
        <v>lost money</v>
      </c>
    </row>
    <row r="6855" spans="1:10">
      <c r="A6855" s="1">
        <v>41082</v>
      </c>
      <c r="B6855">
        <v>27.91</v>
      </c>
      <c r="C6855">
        <v>28.14</v>
      </c>
      <c r="D6855">
        <v>27.79</v>
      </c>
      <c r="E6855">
        <v>28</v>
      </c>
      <c r="F6855">
        <v>22163000</v>
      </c>
      <c r="G6855">
        <v>27.44</v>
      </c>
      <c r="H6855" t="s">
        <v>8</v>
      </c>
      <c r="I6855" s="22">
        <f t="shared" si="215"/>
        <v>6.9482817484315378E-3</v>
      </c>
      <c r="J6855" s="22" t="str">
        <f t="shared" si="216"/>
        <v/>
      </c>
    </row>
    <row r="6856" spans="1:10">
      <c r="A6856" s="1">
        <v>41085</v>
      </c>
      <c r="B6856">
        <v>27.54</v>
      </c>
      <c r="C6856">
        <v>27.75</v>
      </c>
      <c r="D6856">
        <v>27.24</v>
      </c>
      <c r="E6856">
        <v>27.62</v>
      </c>
      <c r="F6856">
        <v>24918800</v>
      </c>
      <c r="G6856">
        <v>27.07</v>
      </c>
      <c r="H6856" t="s">
        <v>8</v>
      </c>
      <c r="I6856" s="22">
        <f t="shared" si="215"/>
        <v>-1.3575699231474671E-2</v>
      </c>
      <c r="J6856" s="22" t="str">
        <f t="shared" si="216"/>
        <v/>
      </c>
    </row>
    <row r="6857" spans="1:10">
      <c r="A6857" s="1">
        <v>41086</v>
      </c>
      <c r="B6857">
        <v>27.63</v>
      </c>
      <c r="C6857">
        <v>27.95</v>
      </c>
      <c r="D6857">
        <v>27.52</v>
      </c>
      <c r="E6857">
        <v>27.83</v>
      </c>
      <c r="F6857">
        <v>20614200</v>
      </c>
      <c r="G6857">
        <v>27.27</v>
      </c>
      <c r="H6857" t="s">
        <v>8</v>
      </c>
      <c r="I6857" s="22">
        <f t="shared" si="215"/>
        <v>7.3610932312873599E-3</v>
      </c>
      <c r="J6857" s="22" t="str">
        <f t="shared" si="216"/>
        <v/>
      </c>
    </row>
    <row r="6858" spans="1:10">
      <c r="A6858" s="1">
        <v>41087</v>
      </c>
      <c r="B6858">
        <v>27.76</v>
      </c>
      <c r="C6858">
        <v>28.46</v>
      </c>
      <c r="D6858">
        <v>27.76</v>
      </c>
      <c r="E6858">
        <v>28.17</v>
      </c>
      <c r="F6858">
        <v>19388200</v>
      </c>
      <c r="G6858">
        <v>27.61</v>
      </c>
      <c r="H6858" t="s">
        <v>8</v>
      </c>
      <c r="I6858" s="22">
        <f t="shared" si="215"/>
        <v>1.2390829084566006E-2</v>
      </c>
      <c r="J6858" s="22" t="str">
        <f t="shared" si="216"/>
        <v/>
      </c>
    </row>
    <row r="6859" spans="1:10">
      <c r="A6859" s="1">
        <v>41088</v>
      </c>
      <c r="B6859">
        <v>28.03</v>
      </c>
      <c r="C6859">
        <v>28.26</v>
      </c>
      <c r="D6859">
        <v>27.73</v>
      </c>
      <c r="E6859">
        <v>28.17</v>
      </c>
      <c r="F6859">
        <v>27175800</v>
      </c>
      <c r="G6859">
        <v>27.61</v>
      </c>
      <c r="H6859" t="s">
        <v>8</v>
      </c>
      <c r="I6859" s="22">
        <f t="shared" si="215"/>
        <v>0</v>
      </c>
      <c r="J6859" s="22" t="str">
        <f t="shared" si="216"/>
        <v/>
      </c>
    </row>
    <row r="6860" spans="1:10">
      <c r="A6860" s="1">
        <v>41089</v>
      </c>
      <c r="B6860">
        <v>28.81</v>
      </c>
      <c r="C6860">
        <v>29.71</v>
      </c>
      <c r="D6860">
        <v>28.79</v>
      </c>
      <c r="E6860">
        <v>29.7</v>
      </c>
      <c r="F6860">
        <v>35545300</v>
      </c>
      <c r="G6860">
        <v>29.11</v>
      </c>
      <c r="H6860" t="s">
        <v>8</v>
      </c>
      <c r="I6860" s="22">
        <f t="shared" si="215"/>
        <v>5.2903731815468751E-2</v>
      </c>
      <c r="J6860" s="22" t="str">
        <f t="shared" si="216"/>
        <v/>
      </c>
    </row>
    <row r="6861" spans="1:10">
      <c r="A6861" s="1">
        <v>41092</v>
      </c>
      <c r="B6861">
        <v>29.53</v>
      </c>
      <c r="C6861">
        <v>29.8</v>
      </c>
      <c r="D6861">
        <v>29.15</v>
      </c>
      <c r="E6861">
        <v>29.8</v>
      </c>
      <c r="F6861">
        <v>24445300</v>
      </c>
      <c r="G6861">
        <v>29.2</v>
      </c>
      <c r="H6861" t="s">
        <v>8</v>
      </c>
      <c r="I6861" s="22">
        <f t="shared" si="215"/>
        <v>3.086951516704219E-3</v>
      </c>
      <c r="J6861" s="22" t="str">
        <f t="shared" si="216"/>
        <v/>
      </c>
    </row>
    <row r="6862" spans="1:10">
      <c r="A6862" s="1">
        <v>41093</v>
      </c>
      <c r="B6862">
        <v>29.63</v>
      </c>
      <c r="C6862">
        <v>29.98</v>
      </c>
      <c r="D6862">
        <v>29.61</v>
      </c>
      <c r="E6862">
        <v>29.97</v>
      </c>
      <c r="F6862">
        <v>14468000</v>
      </c>
      <c r="G6862">
        <v>29.37</v>
      </c>
      <c r="H6862" t="s">
        <v>8</v>
      </c>
      <c r="I6862" s="22">
        <f t="shared" si="215"/>
        <v>5.8050359362927422E-3</v>
      </c>
      <c r="J6862" s="22" t="str">
        <f t="shared" si="216"/>
        <v/>
      </c>
    </row>
    <row r="6863" spans="1:10">
      <c r="A6863" s="1">
        <v>41095</v>
      </c>
      <c r="B6863">
        <v>29.83</v>
      </c>
      <c r="C6863">
        <v>29.93</v>
      </c>
      <c r="D6863">
        <v>29.71</v>
      </c>
      <c r="E6863">
        <v>29.72</v>
      </c>
      <c r="F6863">
        <v>19244600</v>
      </c>
      <c r="G6863">
        <v>29.13</v>
      </c>
      <c r="H6863" t="s">
        <v>8</v>
      </c>
      <c r="I6863" s="22">
        <f t="shared" si="215"/>
        <v>-8.2051742391855108E-3</v>
      </c>
      <c r="J6863" s="22" t="str">
        <f t="shared" si="216"/>
        <v>lost money</v>
      </c>
    </row>
    <row r="6864" spans="1:10">
      <c r="A6864" s="1">
        <v>41096</v>
      </c>
      <c r="B6864">
        <v>29.37</v>
      </c>
      <c r="C6864">
        <v>29.48</v>
      </c>
      <c r="D6864">
        <v>28.94</v>
      </c>
      <c r="E6864">
        <v>29.18</v>
      </c>
      <c r="F6864">
        <v>25259400</v>
      </c>
      <c r="G6864">
        <v>28.6</v>
      </c>
      <c r="H6864" t="s">
        <v>8</v>
      </c>
      <c r="I6864" s="22">
        <f t="shared" si="215"/>
        <v>-1.8361853145536202E-2</v>
      </c>
      <c r="J6864" s="22" t="str">
        <f t="shared" si="216"/>
        <v>lost money</v>
      </c>
    </row>
    <row r="6865" spans="1:10">
      <c r="A6865" s="1">
        <v>41099</v>
      </c>
      <c r="B6865">
        <v>29.23</v>
      </c>
      <c r="C6865">
        <v>29.36</v>
      </c>
      <c r="D6865">
        <v>29.02</v>
      </c>
      <c r="E6865">
        <v>29.1</v>
      </c>
      <c r="F6865">
        <v>21873200</v>
      </c>
      <c r="G6865">
        <v>28.52</v>
      </c>
      <c r="H6865" t="s">
        <v>8</v>
      </c>
      <c r="I6865" s="22">
        <f t="shared" si="215"/>
        <v>-2.801122279711779E-3</v>
      </c>
      <c r="J6865" s="22" t="str">
        <f t="shared" si="216"/>
        <v>lost money</v>
      </c>
    </row>
    <row r="6866" spans="1:10">
      <c r="A6866" s="1">
        <v>41100</v>
      </c>
      <c r="B6866">
        <v>29.36</v>
      </c>
      <c r="C6866">
        <v>29.6</v>
      </c>
      <c r="D6866">
        <v>28.85</v>
      </c>
      <c r="E6866">
        <v>29.05</v>
      </c>
      <c r="F6866">
        <v>23424100</v>
      </c>
      <c r="G6866">
        <v>28.47</v>
      </c>
      <c r="H6866" t="s">
        <v>8</v>
      </c>
      <c r="I6866" s="22">
        <f t="shared" si="215"/>
        <v>-1.7546942561489781E-3</v>
      </c>
      <c r="J6866" s="22" t="str">
        <f t="shared" si="216"/>
        <v>lost money</v>
      </c>
    </row>
    <row r="6867" spans="1:10">
      <c r="A6867" s="1">
        <v>41101</v>
      </c>
      <c r="B6867">
        <v>28.98</v>
      </c>
      <c r="C6867">
        <v>29.32</v>
      </c>
      <c r="D6867">
        <v>28.91</v>
      </c>
      <c r="E6867">
        <v>29.23</v>
      </c>
      <c r="F6867">
        <v>27247300</v>
      </c>
      <c r="G6867">
        <v>28.7</v>
      </c>
      <c r="H6867" t="s">
        <v>8</v>
      </c>
      <c r="I6867" s="22">
        <f t="shared" si="215"/>
        <v>8.046221475629358E-3</v>
      </c>
      <c r="J6867" s="22" t="str">
        <f t="shared" si="216"/>
        <v/>
      </c>
    </row>
    <row r="6868" spans="1:10">
      <c r="A6868" s="1">
        <v>41102</v>
      </c>
      <c r="B6868">
        <v>29.45</v>
      </c>
      <c r="C6868">
        <v>29.47</v>
      </c>
      <c r="D6868">
        <v>28.61</v>
      </c>
      <c r="E6868">
        <v>28.82</v>
      </c>
      <c r="F6868">
        <v>23562000</v>
      </c>
      <c r="G6868">
        <v>28.3</v>
      </c>
      <c r="H6868" t="s">
        <v>8</v>
      </c>
      <c r="I6868" s="22">
        <f t="shared" si="215"/>
        <v>-1.4035318116383481E-2</v>
      </c>
      <c r="J6868" s="22" t="str">
        <f t="shared" si="216"/>
        <v>lost money</v>
      </c>
    </row>
    <row r="6869" spans="1:10">
      <c r="A6869" s="1">
        <v>41103</v>
      </c>
      <c r="B6869">
        <v>28.87</v>
      </c>
      <c r="C6869">
        <v>29.66</v>
      </c>
      <c r="D6869">
        <v>28.75</v>
      </c>
      <c r="E6869">
        <v>29.58</v>
      </c>
      <c r="F6869">
        <v>22026800</v>
      </c>
      <c r="G6869">
        <v>29.05</v>
      </c>
      <c r="H6869" t="s">
        <v>8</v>
      </c>
      <c r="I6869" s="22">
        <f t="shared" si="215"/>
        <v>2.6156678648728261E-2</v>
      </c>
      <c r="J6869" s="22" t="str">
        <f t="shared" si="216"/>
        <v/>
      </c>
    </row>
    <row r="6870" spans="1:10">
      <c r="A6870" s="1">
        <v>41106</v>
      </c>
      <c r="B6870">
        <v>29.43</v>
      </c>
      <c r="C6870">
        <v>29.75</v>
      </c>
      <c r="D6870">
        <v>29.28</v>
      </c>
      <c r="E6870">
        <v>29.52</v>
      </c>
      <c r="F6870">
        <v>16819600</v>
      </c>
      <c r="G6870">
        <v>28.99</v>
      </c>
      <c r="H6870" t="s">
        <v>8</v>
      </c>
      <c r="I6870" s="22">
        <f t="shared" si="215"/>
        <v>-2.0675403643561881E-3</v>
      </c>
      <c r="J6870" s="22" t="str">
        <f t="shared" si="216"/>
        <v/>
      </c>
    </row>
    <row r="6871" spans="1:10">
      <c r="A6871" s="1">
        <v>41107</v>
      </c>
      <c r="B6871">
        <v>29.71</v>
      </c>
      <c r="C6871">
        <v>30.05</v>
      </c>
      <c r="D6871">
        <v>29.37</v>
      </c>
      <c r="E6871">
        <v>29.92</v>
      </c>
      <c r="F6871">
        <v>23897100</v>
      </c>
      <c r="G6871">
        <v>29.38</v>
      </c>
      <c r="H6871" t="s">
        <v>8</v>
      </c>
      <c r="I6871" s="22">
        <f t="shared" si="215"/>
        <v>1.3363227812167158E-2</v>
      </c>
      <c r="J6871" s="22" t="str">
        <f t="shared" si="216"/>
        <v/>
      </c>
    </row>
    <row r="6872" spans="1:10">
      <c r="A6872" s="1">
        <v>41108</v>
      </c>
      <c r="B6872">
        <v>29.84</v>
      </c>
      <c r="C6872">
        <v>30.76</v>
      </c>
      <c r="D6872">
        <v>29.82</v>
      </c>
      <c r="E6872">
        <v>30.5</v>
      </c>
      <c r="F6872">
        <v>24988700</v>
      </c>
      <c r="G6872">
        <v>29.95</v>
      </c>
      <c r="H6872" t="s">
        <v>8</v>
      </c>
      <c r="I6872" s="22">
        <f t="shared" si="215"/>
        <v>1.9215153815727082E-2</v>
      </c>
      <c r="J6872" s="22" t="str">
        <f t="shared" si="216"/>
        <v/>
      </c>
    </row>
    <row r="6873" spans="1:10">
      <c r="A6873" s="1">
        <v>41109</v>
      </c>
      <c r="B6873">
        <v>30.6</v>
      </c>
      <c r="C6873">
        <v>31.11</v>
      </c>
      <c r="D6873">
        <v>30.56</v>
      </c>
      <c r="E6873">
        <v>30.87</v>
      </c>
      <c r="F6873">
        <v>26180000</v>
      </c>
      <c r="G6873">
        <v>30.31</v>
      </c>
      <c r="H6873" t="s">
        <v>8</v>
      </c>
      <c r="I6873" s="22">
        <f t="shared" si="215"/>
        <v>1.1948366508253512E-2</v>
      </c>
      <c r="J6873" s="22" t="str">
        <f t="shared" si="216"/>
        <v/>
      </c>
    </row>
    <row r="6874" spans="1:10">
      <c r="A6874" s="1">
        <v>41110</v>
      </c>
      <c r="B6874">
        <v>30.66</v>
      </c>
      <c r="C6874">
        <v>30.83</v>
      </c>
      <c r="D6874">
        <v>30.1</v>
      </c>
      <c r="E6874">
        <v>30.12</v>
      </c>
      <c r="F6874">
        <v>25013000</v>
      </c>
      <c r="G6874">
        <v>29.58</v>
      </c>
      <c r="H6874" t="s">
        <v>8</v>
      </c>
      <c r="I6874" s="22">
        <f t="shared" si="215"/>
        <v>-2.4379233787058068E-2</v>
      </c>
      <c r="J6874" s="22" t="str">
        <f t="shared" si="216"/>
        <v>lost money</v>
      </c>
    </row>
    <row r="6875" spans="1:10">
      <c r="A6875" s="1">
        <v>41113</v>
      </c>
      <c r="B6875">
        <v>29.53</v>
      </c>
      <c r="C6875">
        <v>29.8</v>
      </c>
      <c r="D6875">
        <v>29.11</v>
      </c>
      <c r="E6875">
        <v>29.65</v>
      </c>
      <c r="F6875">
        <v>23403200</v>
      </c>
      <c r="G6875">
        <v>29.12</v>
      </c>
      <c r="H6875" t="s">
        <v>8</v>
      </c>
      <c r="I6875" s="22">
        <f t="shared" si="215"/>
        <v>-1.567323395416842E-2</v>
      </c>
      <c r="J6875" s="22" t="str">
        <f t="shared" si="216"/>
        <v/>
      </c>
    </row>
    <row r="6876" spans="1:10">
      <c r="A6876" s="1">
        <v>41114</v>
      </c>
      <c r="B6876">
        <v>29.59</v>
      </c>
      <c r="C6876">
        <v>29.67</v>
      </c>
      <c r="D6876">
        <v>29.07</v>
      </c>
      <c r="E6876">
        <v>29.32</v>
      </c>
      <c r="F6876">
        <v>23707500</v>
      </c>
      <c r="G6876">
        <v>28.79</v>
      </c>
      <c r="H6876" t="s">
        <v>8</v>
      </c>
      <c r="I6876" s="22">
        <f t="shared" si="215"/>
        <v>-1.1397118704400787E-2</v>
      </c>
      <c r="J6876" s="22" t="str">
        <f t="shared" si="216"/>
        <v>lost money</v>
      </c>
    </row>
    <row r="6877" spans="1:10">
      <c r="A6877" s="1">
        <v>41115</v>
      </c>
      <c r="B6877">
        <v>29.3</v>
      </c>
      <c r="C6877">
        <v>29.56</v>
      </c>
      <c r="D6877">
        <v>29.12</v>
      </c>
      <c r="E6877">
        <v>29.26</v>
      </c>
      <c r="F6877">
        <v>22389100</v>
      </c>
      <c r="G6877">
        <v>28.73</v>
      </c>
      <c r="H6877" t="s">
        <v>8</v>
      </c>
      <c r="I6877" s="22">
        <f t="shared" si="215"/>
        <v>-2.0862316328862768E-3</v>
      </c>
      <c r="J6877" s="22" t="str">
        <f t="shared" si="216"/>
        <v>lost money</v>
      </c>
    </row>
    <row r="6878" spans="1:10">
      <c r="A6878" s="1">
        <v>41116</v>
      </c>
      <c r="B6878">
        <v>29.79</v>
      </c>
      <c r="C6878">
        <v>30.36</v>
      </c>
      <c r="D6878">
        <v>29.7</v>
      </c>
      <c r="E6878">
        <v>30</v>
      </c>
      <c r="F6878">
        <v>26746600</v>
      </c>
      <c r="G6878">
        <v>29.46</v>
      </c>
      <c r="H6878" t="s">
        <v>8</v>
      </c>
      <c r="I6878" s="22">
        <f t="shared" si="215"/>
        <v>2.5091538043286038E-2</v>
      </c>
      <c r="J6878" s="22" t="str">
        <f t="shared" si="216"/>
        <v/>
      </c>
    </row>
    <row r="6879" spans="1:10">
      <c r="A6879" s="1">
        <v>41117</v>
      </c>
      <c r="B6879">
        <v>30.3</v>
      </c>
      <c r="C6879">
        <v>30.84</v>
      </c>
      <c r="D6879">
        <v>30.04</v>
      </c>
      <c r="E6879">
        <v>30.77</v>
      </c>
      <c r="F6879">
        <v>23852100</v>
      </c>
      <c r="G6879">
        <v>30.22</v>
      </c>
      <c r="H6879" t="s">
        <v>8</v>
      </c>
      <c r="I6879" s="22">
        <f t="shared" si="215"/>
        <v>2.5470545810109338E-2</v>
      </c>
      <c r="J6879" s="22" t="str">
        <f t="shared" si="216"/>
        <v/>
      </c>
    </row>
    <row r="6880" spans="1:10">
      <c r="A6880" s="1">
        <v>41120</v>
      </c>
      <c r="B6880">
        <v>30.69</v>
      </c>
      <c r="C6880">
        <v>31</v>
      </c>
      <c r="D6880">
        <v>30.4</v>
      </c>
      <c r="E6880">
        <v>30.58</v>
      </c>
      <c r="F6880">
        <v>20919700</v>
      </c>
      <c r="G6880">
        <v>30.03</v>
      </c>
      <c r="H6880" t="s">
        <v>8</v>
      </c>
      <c r="I6880" s="22">
        <f t="shared" si="215"/>
        <v>-6.3070748493545244E-3</v>
      </c>
      <c r="J6880" s="22" t="str">
        <f t="shared" si="216"/>
        <v>lost money</v>
      </c>
    </row>
    <row r="6881" spans="1:10">
      <c r="A6881" s="1">
        <v>41121</v>
      </c>
      <c r="B6881">
        <v>30.56</v>
      </c>
      <c r="C6881">
        <v>30.69</v>
      </c>
      <c r="D6881">
        <v>30.17</v>
      </c>
      <c r="E6881">
        <v>30.2</v>
      </c>
      <c r="F6881">
        <v>20951600</v>
      </c>
      <c r="G6881">
        <v>29.66</v>
      </c>
      <c r="H6881" t="s">
        <v>8</v>
      </c>
      <c r="I6881" s="22">
        <f t="shared" si="215"/>
        <v>-1.2397545285452899E-2</v>
      </c>
      <c r="J6881" s="22" t="str">
        <f t="shared" si="216"/>
        <v>lost money</v>
      </c>
    </row>
    <row r="6882" spans="1:10">
      <c r="A6882" s="1">
        <v>41122</v>
      </c>
      <c r="B6882">
        <v>30.34</v>
      </c>
      <c r="C6882">
        <v>30.52</v>
      </c>
      <c r="D6882">
        <v>30.03</v>
      </c>
      <c r="E6882">
        <v>30.32</v>
      </c>
      <c r="F6882">
        <v>17344400</v>
      </c>
      <c r="G6882">
        <v>29.77</v>
      </c>
      <c r="H6882" t="s">
        <v>8</v>
      </c>
      <c r="I6882" s="22">
        <f t="shared" si="215"/>
        <v>3.7018383178989279E-3</v>
      </c>
      <c r="J6882" s="22" t="str">
        <f t="shared" si="216"/>
        <v>lost money</v>
      </c>
    </row>
    <row r="6883" spans="1:10">
      <c r="A6883" s="1">
        <v>41123</v>
      </c>
      <c r="B6883">
        <v>29.87</v>
      </c>
      <c r="C6883">
        <v>30.4</v>
      </c>
      <c r="D6883">
        <v>29.74</v>
      </c>
      <c r="E6883">
        <v>29.92</v>
      </c>
      <c r="F6883">
        <v>22103400</v>
      </c>
      <c r="G6883">
        <v>29.38</v>
      </c>
      <c r="H6883" t="s">
        <v>8</v>
      </c>
      <c r="I6883" s="22">
        <f t="shared" si="215"/>
        <v>-1.3187004281953801E-2</v>
      </c>
      <c r="J6883" s="22" t="str">
        <f t="shared" si="216"/>
        <v/>
      </c>
    </row>
    <row r="6884" spans="1:10">
      <c r="A6884" s="1">
        <v>41124</v>
      </c>
      <c r="B6884">
        <v>30.53</v>
      </c>
      <c r="C6884">
        <v>30.87</v>
      </c>
      <c r="D6884">
        <v>30.38</v>
      </c>
      <c r="E6884">
        <v>30.72</v>
      </c>
      <c r="F6884">
        <v>17767200</v>
      </c>
      <c r="G6884">
        <v>30.17</v>
      </c>
      <c r="H6884" t="s">
        <v>8</v>
      </c>
      <c r="I6884" s="22">
        <f t="shared" si="215"/>
        <v>2.6533882425238596E-2</v>
      </c>
      <c r="J6884" s="22" t="str">
        <f t="shared" si="216"/>
        <v/>
      </c>
    </row>
    <row r="6885" spans="1:10">
      <c r="A6885" s="1">
        <v>41127</v>
      </c>
      <c r="B6885">
        <v>30.92</v>
      </c>
      <c r="C6885">
        <v>31.25</v>
      </c>
      <c r="D6885">
        <v>30.78</v>
      </c>
      <c r="E6885">
        <v>31</v>
      </c>
      <c r="F6885">
        <v>18658400</v>
      </c>
      <c r="G6885">
        <v>30.44</v>
      </c>
      <c r="H6885" t="s">
        <v>8</v>
      </c>
      <c r="I6885" s="22">
        <f t="shared" si="215"/>
        <v>8.9094798225152969E-3</v>
      </c>
      <c r="J6885" s="22" t="str">
        <f t="shared" si="216"/>
        <v/>
      </c>
    </row>
    <row r="6886" spans="1:10">
      <c r="A6886" s="1">
        <v>41128</v>
      </c>
      <c r="B6886">
        <v>31.22</v>
      </c>
      <c r="C6886">
        <v>31.7</v>
      </c>
      <c r="D6886">
        <v>31.15</v>
      </c>
      <c r="E6886">
        <v>31.5</v>
      </c>
      <c r="F6886">
        <v>21692700</v>
      </c>
      <c r="G6886">
        <v>30.93</v>
      </c>
      <c r="H6886" t="s">
        <v>8</v>
      </c>
      <c r="I6886" s="22">
        <f t="shared" si="215"/>
        <v>1.5969053703493115E-2</v>
      </c>
      <c r="J6886" s="22" t="str">
        <f t="shared" si="216"/>
        <v/>
      </c>
    </row>
    <row r="6887" spans="1:10">
      <c r="A6887" s="1">
        <v>41129</v>
      </c>
      <c r="B6887">
        <v>31.34</v>
      </c>
      <c r="C6887">
        <v>31.81</v>
      </c>
      <c r="D6887">
        <v>31.07</v>
      </c>
      <c r="E6887">
        <v>31.16</v>
      </c>
      <c r="F6887">
        <v>22436100</v>
      </c>
      <c r="G6887">
        <v>30.6</v>
      </c>
      <c r="H6887" t="s">
        <v>8</v>
      </c>
      <c r="I6887" s="22">
        <f t="shared" si="215"/>
        <v>-1.072657773864311E-2</v>
      </c>
      <c r="J6887" s="22" t="str">
        <f t="shared" si="216"/>
        <v>lost money</v>
      </c>
    </row>
    <row r="6888" spans="1:10">
      <c r="A6888" s="1">
        <v>41130</v>
      </c>
      <c r="B6888">
        <v>31.16</v>
      </c>
      <c r="C6888">
        <v>31.55</v>
      </c>
      <c r="D6888">
        <v>31.15</v>
      </c>
      <c r="E6888">
        <v>31.37</v>
      </c>
      <c r="F6888">
        <v>14578500</v>
      </c>
      <c r="G6888">
        <v>30.81</v>
      </c>
      <c r="H6888" t="s">
        <v>8</v>
      </c>
      <c r="I6888" s="22">
        <f t="shared" si="215"/>
        <v>6.8393036502414411E-3</v>
      </c>
      <c r="J6888" s="22" t="str">
        <f t="shared" si="216"/>
        <v/>
      </c>
    </row>
    <row r="6889" spans="1:10">
      <c r="A6889" s="1">
        <v>41131</v>
      </c>
      <c r="B6889">
        <v>31.19</v>
      </c>
      <c r="C6889">
        <v>31.62</v>
      </c>
      <c r="D6889">
        <v>31.08</v>
      </c>
      <c r="E6889">
        <v>31.61</v>
      </c>
      <c r="F6889">
        <v>13848800</v>
      </c>
      <c r="G6889">
        <v>31.04</v>
      </c>
      <c r="H6889" t="s">
        <v>8</v>
      </c>
      <c r="I6889" s="22">
        <f t="shared" si="215"/>
        <v>7.437382706441357E-3</v>
      </c>
      <c r="J6889" s="22" t="str">
        <f t="shared" si="216"/>
        <v/>
      </c>
    </row>
    <row r="6890" spans="1:10">
      <c r="A6890" s="1">
        <v>41134</v>
      </c>
      <c r="B6890">
        <v>31.45</v>
      </c>
      <c r="C6890">
        <v>31.55</v>
      </c>
      <c r="D6890">
        <v>31.2</v>
      </c>
      <c r="E6890">
        <v>31.36</v>
      </c>
      <c r="F6890">
        <v>14362100</v>
      </c>
      <c r="G6890">
        <v>30.8</v>
      </c>
      <c r="H6890" t="s">
        <v>8</v>
      </c>
      <c r="I6890" s="22">
        <f t="shared" si="215"/>
        <v>-7.7620053354891892E-3</v>
      </c>
      <c r="J6890" s="22" t="str">
        <f t="shared" si="216"/>
        <v>lost money</v>
      </c>
    </row>
    <row r="6891" spans="1:10">
      <c r="A6891" s="1">
        <v>41135</v>
      </c>
      <c r="B6891">
        <v>31.5</v>
      </c>
      <c r="C6891">
        <v>31.63</v>
      </c>
      <c r="D6891">
        <v>31.24</v>
      </c>
      <c r="E6891">
        <v>31.35</v>
      </c>
      <c r="F6891">
        <v>13806800</v>
      </c>
      <c r="G6891">
        <v>30.79</v>
      </c>
      <c r="H6891" t="s">
        <v>8</v>
      </c>
      <c r="I6891" s="22">
        <f t="shared" si="215"/>
        <v>-3.2472804311984823E-4</v>
      </c>
      <c r="J6891" s="22" t="str">
        <f t="shared" si="216"/>
        <v>lost money</v>
      </c>
    </row>
    <row r="6892" spans="1:10">
      <c r="A6892" s="1">
        <v>41136</v>
      </c>
      <c r="B6892">
        <v>31.33</v>
      </c>
      <c r="C6892">
        <v>31.69</v>
      </c>
      <c r="D6892">
        <v>31.33</v>
      </c>
      <c r="E6892">
        <v>31.55</v>
      </c>
      <c r="F6892">
        <v>16230100</v>
      </c>
      <c r="G6892">
        <v>30.98</v>
      </c>
      <c r="H6892" t="s">
        <v>8</v>
      </c>
      <c r="I6892" s="22">
        <f t="shared" si="215"/>
        <v>6.1518730523135367E-3</v>
      </c>
      <c r="J6892" s="22" t="str">
        <f t="shared" si="216"/>
        <v/>
      </c>
    </row>
    <row r="6893" spans="1:10">
      <c r="A6893" s="1">
        <v>41137</v>
      </c>
      <c r="B6893">
        <v>31.64</v>
      </c>
      <c r="C6893">
        <v>32.21</v>
      </c>
      <c r="D6893">
        <v>31.54</v>
      </c>
      <c r="E6893">
        <v>32.03</v>
      </c>
      <c r="F6893">
        <v>20333700</v>
      </c>
      <c r="G6893">
        <v>31.45</v>
      </c>
      <c r="H6893" t="s">
        <v>8</v>
      </c>
      <c r="I6893" s="22">
        <f t="shared" si="215"/>
        <v>1.5057148157726918E-2</v>
      </c>
      <c r="J6893" s="22" t="str">
        <f t="shared" si="216"/>
        <v/>
      </c>
    </row>
    <row r="6894" spans="1:10">
      <c r="A6894" s="1">
        <v>41138</v>
      </c>
      <c r="B6894">
        <v>32.090000000000003</v>
      </c>
      <c r="C6894">
        <v>32.299999999999997</v>
      </c>
      <c r="D6894">
        <v>31.91</v>
      </c>
      <c r="E6894">
        <v>32.200000000000003</v>
      </c>
      <c r="F6894">
        <v>20814500</v>
      </c>
      <c r="G6894">
        <v>31.62</v>
      </c>
      <c r="H6894" t="s">
        <v>8</v>
      </c>
      <c r="I6894" s="22">
        <f t="shared" si="215"/>
        <v>5.390848634876373E-3</v>
      </c>
      <c r="J6894" s="22" t="str">
        <f t="shared" si="216"/>
        <v/>
      </c>
    </row>
    <row r="6895" spans="1:10">
      <c r="A6895" s="1">
        <v>41141</v>
      </c>
      <c r="B6895">
        <v>32.1</v>
      </c>
      <c r="C6895">
        <v>32.15</v>
      </c>
      <c r="D6895">
        <v>31.9</v>
      </c>
      <c r="E6895">
        <v>32.04</v>
      </c>
      <c r="F6895">
        <v>11189200</v>
      </c>
      <c r="G6895">
        <v>31.46</v>
      </c>
      <c r="H6895" t="s">
        <v>8</v>
      </c>
      <c r="I6895" s="22">
        <f t="shared" si="215"/>
        <v>-5.0729341511941426E-3</v>
      </c>
      <c r="J6895" s="22" t="str">
        <f t="shared" si="216"/>
        <v>lost money</v>
      </c>
    </row>
    <row r="6896" spans="1:10">
      <c r="A6896" s="1">
        <v>41142</v>
      </c>
      <c r="B6896">
        <v>32.020000000000003</v>
      </c>
      <c r="C6896">
        <v>32.270000000000003</v>
      </c>
      <c r="D6896">
        <v>31.72</v>
      </c>
      <c r="E6896">
        <v>31.75</v>
      </c>
      <c r="F6896">
        <v>19673100</v>
      </c>
      <c r="G6896">
        <v>31.18</v>
      </c>
      <c r="H6896" t="s">
        <v>8</v>
      </c>
      <c r="I6896" s="22">
        <f t="shared" si="215"/>
        <v>-8.9400340005013259E-3</v>
      </c>
      <c r="J6896" s="22" t="str">
        <f t="shared" si="216"/>
        <v>lost money</v>
      </c>
    </row>
    <row r="6897" spans="1:10">
      <c r="A6897" s="1">
        <v>41143</v>
      </c>
      <c r="B6897">
        <v>31.74</v>
      </c>
      <c r="C6897">
        <v>31.85</v>
      </c>
      <c r="D6897">
        <v>31.52</v>
      </c>
      <c r="E6897">
        <v>31.7</v>
      </c>
      <c r="F6897">
        <v>18087900</v>
      </c>
      <c r="G6897">
        <v>31.13</v>
      </c>
      <c r="H6897" t="s">
        <v>8</v>
      </c>
      <c r="I6897" s="22">
        <f t="shared" si="215"/>
        <v>-1.6048791761136421E-3</v>
      </c>
      <c r="J6897" s="22" t="str">
        <f t="shared" si="216"/>
        <v>lost money</v>
      </c>
    </row>
    <row r="6898" spans="1:10">
      <c r="A6898" s="1">
        <v>41144</v>
      </c>
      <c r="B6898">
        <v>31.56</v>
      </c>
      <c r="C6898">
        <v>31.75</v>
      </c>
      <c r="D6898">
        <v>31.31</v>
      </c>
      <c r="E6898">
        <v>31.59</v>
      </c>
      <c r="F6898">
        <v>14201700</v>
      </c>
      <c r="G6898">
        <v>31.02</v>
      </c>
      <c r="H6898" t="s">
        <v>8</v>
      </c>
      <c r="I6898" s="22">
        <f t="shared" si="215"/>
        <v>-3.5398267051240623E-3</v>
      </c>
      <c r="J6898" s="22" t="str">
        <f t="shared" si="216"/>
        <v/>
      </c>
    </row>
    <row r="6899" spans="1:10">
      <c r="A6899" s="1">
        <v>41145</v>
      </c>
      <c r="B6899">
        <v>31.34</v>
      </c>
      <c r="C6899">
        <v>32</v>
      </c>
      <c r="D6899">
        <v>31.25</v>
      </c>
      <c r="E6899">
        <v>31.95</v>
      </c>
      <c r="F6899">
        <v>14811400</v>
      </c>
      <c r="G6899">
        <v>31.38</v>
      </c>
      <c r="H6899" t="s">
        <v>8</v>
      </c>
      <c r="I6899" s="22">
        <f t="shared" si="215"/>
        <v>1.1538589556493806E-2</v>
      </c>
      <c r="J6899" s="22" t="str">
        <f t="shared" si="216"/>
        <v/>
      </c>
    </row>
    <row r="6900" spans="1:10">
      <c r="A6900" s="1">
        <v>41148</v>
      </c>
      <c r="B6900">
        <v>32.07</v>
      </c>
      <c r="C6900">
        <v>32.07</v>
      </c>
      <c r="D6900">
        <v>31.75</v>
      </c>
      <c r="E6900">
        <v>31.83</v>
      </c>
      <c r="F6900">
        <v>14708300</v>
      </c>
      <c r="G6900">
        <v>31.26</v>
      </c>
      <c r="H6900" t="s">
        <v>8</v>
      </c>
      <c r="I6900" s="22">
        <f t="shared" si="215"/>
        <v>-3.8314223115559487E-3</v>
      </c>
      <c r="J6900" s="22" t="str">
        <f t="shared" si="216"/>
        <v>lost money</v>
      </c>
    </row>
    <row r="6901" spans="1:10">
      <c r="A6901" s="1">
        <v>41149</v>
      </c>
      <c r="B6901">
        <v>31.72</v>
      </c>
      <c r="C6901">
        <v>32</v>
      </c>
      <c r="D6901">
        <v>31.56</v>
      </c>
      <c r="E6901">
        <v>31.58</v>
      </c>
      <c r="F6901">
        <v>15993500</v>
      </c>
      <c r="G6901">
        <v>31.01</v>
      </c>
      <c r="H6901" t="s">
        <v>8</v>
      </c>
      <c r="I6901" s="22">
        <f t="shared" si="215"/>
        <v>-8.029591880972976E-3</v>
      </c>
      <c r="J6901" s="22" t="str">
        <f t="shared" si="216"/>
        <v>lost money</v>
      </c>
    </row>
    <row r="6902" spans="1:10">
      <c r="A6902" s="1">
        <v>41150</v>
      </c>
      <c r="B6902">
        <v>31.65</v>
      </c>
      <c r="C6902">
        <v>31.89</v>
      </c>
      <c r="D6902">
        <v>31.46</v>
      </c>
      <c r="E6902">
        <v>31.49</v>
      </c>
      <c r="F6902">
        <v>15845300</v>
      </c>
      <c r="G6902">
        <v>30.92</v>
      </c>
      <c r="H6902" t="s">
        <v>8</v>
      </c>
      <c r="I6902" s="22">
        <f t="shared" si="215"/>
        <v>-2.9065093931363831E-3</v>
      </c>
      <c r="J6902" s="22" t="str">
        <f t="shared" si="216"/>
        <v>lost money</v>
      </c>
    </row>
    <row r="6903" spans="1:10">
      <c r="A6903" s="1">
        <v>41151</v>
      </c>
      <c r="B6903">
        <v>31.3</v>
      </c>
      <c r="C6903">
        <v>31.38</v>
      </c>
      <c r="D6903">
        <v>31.16</v>
      </c>
      <c r="E6903">
        <v>31.17</v>
      </c>
      <c r="F6903">
        <v>17984700</v>
      </c>
      <c r="G6903">
        <v>30.61</v>
      </c>
      <c r="H6903" t="s">
        <v>8</v>
      </c>
      <c r="I6903" s="22">
        <f t="shared" si="215"/>
        <v>-1.0076470761900097E-2</v>
      </c>
      <c r="J6903" s="22" t="str">
        <f t="shared" si="216"/>
        <v>lost money</v>
      </c>
    </row>
    <row r="6904" spans="1:10">
      <c r="A6904" s="1">
        <v>41152</v>
      </c>
      <c r="B6904">
        <v>31.46</v>
      </c>
      <c r="C6904">
        <v>31.76</v>
      </c>
      <c r="D6904">
        <v>31.13</v>
      </c>
      <c r="E6904">
        <v>31.65</v>
      </c>
      <c r="F6904">
        <v>21240300</v>
      </c>
      <c r="G6904">
        <v>31.08</v>
      </c>
      <c r="H6904" t="s">
        <v>8</v>
      </c>
      <c r="I6904" s="22">
        <f t="shared" si="215"/>
        <v>1.5237772542125419E-2</v>
      </c>
      <c r="J6904" s="22" t="str">
        <f t="shared" si="216"/>
        <v/>
      </c>
    </row>
    <row r="6905" spans="1:10">
      <c r="A6905" s="1">
        <v>41156</v>
      </c>
      <c r="B6905">
        <v>31.63</v>
      </c>
      <c r="C6905">
        <v>31.8</v>
      </c>
      <c r="D6905">
        <v>31.22</v>
      </c>
      <c r="E6905">
        <v>31.57</v>
      </c>
      <c r="F6905">
        <v>16654700</v>
      </c>
      <c r="G6905">
        <v>31</v>
      </c>
      <c r="H6905" t="s">
        <v>8</v>
      </c>
      <c r="I6905" s="22">
        <f t="shared" si="215"/>
        <v>-2.5773210143004033E-3</v>
      </c>
      <c r="J6905" s="22" t="str">
        <f t="shared" si="216"/>
        <v>lost money</v>
      </c>
    </row>
    <row r="6906" spans="1:10">
      <c r="A6906" s="1">
        <v>41157</v>
      </c>
      <c r="B6906">
        <v>31.65</v>
      </c>
      <c r="C6906">
        <v>32.11</v>
      </c>
      <c r="D6906">
        <v>31.61</v>
      </c>
      <c r="E6906">
        <v>32.07</v>
      </c>
      <c r="F6906">
        <v>22994600</v>
      </c>
      <c r="G6906">
        <v>31.49</v>
      </c>
      <c r="H6906" t="s">
        <v>8</v>
      </c>
      <c r="I6906" s="22">
        <f t="shared" si="215"/>
        <v>1.5682830627787088E-2</v>
      </c>
      <c r="J6906" s="22" t="str">
        <f t="shared" si="216"/>
        <v/>
      </c>
    </row>
    <row r="6907" spans="1:10">
      <c r="A6907" s="1">
        <v>41158</v>
      </c>
      <c r="B6907">
        <v>32.18</v>
      </c>
      <c r="C6907">
        <v>32.79</v>
      </c>
      <c r="D6907">
        <v>32.159999999999997</v>
      </c>
      <c r="E6907">
        <v>32.630000000000003</v>
      </c>
      <c r="F6907">
        <v>22699700</v>
      </c>
      <c r="G6907">
        <v>32.04</v>
      </c>
      <c r="H6907" t="s">
        <v>8</v>
      </c>
      <c r="I6907" s="22">
        <f t="shared" si="215"/>
        <v>1.7315087087225189E-2</v>
      </c>
      <c r="J6907" s="22" t="str">
        <f t="shared" si="216"/>
        <v/>
      </c>
    </row>
    <row r="6908" spans="1:10">
      <c r="A6908" s="1">
        <v>41159</v>
      </c>
      <c r="B6908">
        <v>32.64</v>
      </c>
      <c r="C6908">
        <v>32.64</v>
      </c>
      <c r="D6908">
        <v>32.270000000000003</v>
      </c>
      <c r="E6908">
        <v>32.6</v>
      </c>
      <c r="F6908">
        <v>19068700</v>
      </c>
      <c r="G6908">
        <v>32.01</v>
      </c>
      <c r="H6908" t="s">
        <v>8</v>
      </c>
      <c r="I6908" s="22">
        <f t="shared" si="215"/>
        <v>-9.3676821838684023E-4</v>
      </c>
      <c r="J6908" s="22" t="str">
        <f t="shared" si="216"/>
        <v>lost money</v>
      </c>
    </row>
    <row r="6909" spans="1:10">
      <c r="A6909" s="1">
        <v>41162</v>
      </c>
      <c r="B6909">
        <v>32.590000000000003</v>
      </c>
      <c r="C6909">
        <v>32.75</v>
      </c>
      <c r="D6909">
        <v>32.299999999999997</v>
      </c>
      <c r="E6909">
        <v>32.31</v>
      </c>
      <c r="F6909">
        <v>18589900</v>
      </c>
      <c r="G6909">
        <v>31.73</v>
      </c>
      <c r="H6909" t="s">
        <v>8</v>
      </c>
      <c r="I6909" s="22">
        <f t="shared" si="215"/>
        <v>-8.7857483866674389E-3</v>
      </c>
      <c r="J6909" s="22" t="str">
        <f t="shared" si="216"/>
        <v>lost money</v>
      </c>
    </row>
    <row r="6910" spans="1:10">
      <c r="A6910" s="1">
        <v>41163</v>
      </c>
      <c r="B6910">
        <v>32.29</v>
      </c>
      <c r="C6910">
        <v>32.46</v>
      </c>
      <c r="D6910">
        <v>32.159999999999997</v>
      </c>
      <c r="E6910">
        <v>32.32</v>
      </c>
      <c r="F6910">
        <v>21554800</v>
      </c>
      <c r="G6910">
        <v>31.74</v>
      </c>
      <c r="H6910" t="s">
        <v>8</v>
      </c>
      <c r="I6910" s="22">
        <f t="shared" si="215"/>
        <v>3.1510950315874172E-4</v>
      </c>
      <c r="J6910" s="22" t="str">
        <f t="shared" si="216"/>
        <v/>
      </c>
    </row>
    <row r="6911" spans="1:10">
      <c r="A6911" s="1">
        <v>41164</v>
      </c>
      <c r="B6911">
        <v>32.5</v>
      </c>
      <c r="C6911">
        <v>32.5</v>
      </c>
      <c r="D6911">
        <v>32.24</v>
      </c>
      <c r="E6911">
        <v>32.26</v>
      </c>
      <c r="F6911">
        <v>20602100</v>
      </c>
      <c r="G6911">
        <v>31.68</v>
      </c>
      <c r="H6911" t="s">
        <v>8</v>
      </c>
      <c r="I6911" s="22">
        <f t="shared" si="215"/>
        <v>-1.8921481520378152E-3</v>
      </c>
      <c r="J6911" s="22" t="str">
        <f t="shared" si="216"/>
        <v>lost money</v>
      </c>
    </row>
    <row r="6912" spans="1:10">
      <c r="A6912" s="1">
        <v>41165</v>
      </c>
      <c r="B6912">
        <v>32.32</v>
      </c>
      <c r="C6912">
        <v>32.79</v>
      </c>
      <c r="D6912">
        <v>32.090000000000003</v>
      </c>
      <c r="E6912">
        <v>32.619999999999997</v>
      </c>
      <c r="F6912">
        <v>27451700</v>
      </c>
      <c r="G6912">
        <v>32.03</v>
      </c>
      <c r="H6912" t="s">
        <v>8</v>
      </c>
      <c r="I6912" s="22">
        <f t="shared" si="215"/>
        <v>1.0987396674841761E-2</v>
      </c>
      <c r="J6912" s="22" t="str">
        <f t="shared" si="216"/>
        <v/>
      </c>
    </row>
    <row r="6913" spans="1:10">
      <c r="A6913" s="1">
        <v>41166</v>
      </c>
      <c r="B6913">
        <v>32.65</v>
      </c>
      <c r="C6913">
        <v>33</v>
      </c>
      <c r="D6913">
        <v>32.6</v>
      </c>
      <c r="E6913">
        <v>32.950000000000003</v>
      </c>
      <c r="F6913">
        <v>23162900</v>
      </c>
      <c r="G6913">
        <v>32.36</v>
      </c>
      <c r="H6913" t="s">
        <v>8</v>
      </c>
      <c r="I6913" s="22">
        <f t="shared" si="215"/>
        <v>1.0250128569224125E-2</v>
      </c>
      <c r="J6913" s="22" t="str">
        <f t="shared" si="216"/>
        <v/>
      </c>
    </row>
    <row r="6914" spans="1:10">
      <c r="A6914" s="1">
        <v>41169</v>
      </c>
      <c r="B6914">
        <v>32.81</v>
      </c>
      <c r="C6914">
        <v>33.130000000000003</v>
      </c>
      <c r="D6914">
        <v>32.75</v>
      </c>
      <c r="E6914">
        <v>33.1</v>
      </c>
      <c r="F6914">
        <v>25017900</v>
      </c>
      <c r="G6914">
        <v>32.5</v>
      </c>
      <c r="H6914" t="s">
        <v>8</v>
      </c>
      <c r="I6914" s="22">
        <f t="shared" si="215"/>
        <v>4.3169971454009182E-3</v>
      </c>
      <c r="J6914" s="22" t="str">
        <f t="shared" si="216"/>
        <v/>
      </c>
    </row>
    <row r="6915" spans="1:10">
      <c r="A6915" s="1">
        <v>41170</v>
      </c>
      <c r="B6915">
        <v>33.1</v>
      </c>
      <c r="C6915">
        <v>33.270000000000003</v>
      </c>
      <c r="D6915">
        <v>32.94</v>
      </c>
      <c r="E6915">
        <v>33.020000000000003</v>
      </c>
      <c r="F6915">
        <v>25285000</v>
      </c>
      <c r="G6915">
        <v>32.43</v>
      </c>
      <c r="H6915" t="s">
        <v>8</v>
      </c>
      <c r="I6915" s="22">
        <f t="shared" ref="I6915:I6978" si="217">IF(A6915=$A$2,"",LN(G6915/G6914))</f>
        <v>-2.1561690164652193E-3</v>
      </c>
      <c r="J6915" s="22" t="str">
        <f t="shared" ref="J6915:J6978" si="218">IF(B6915&gt;E6915,"lost money","")</f>
        <v>lost money</v>
      </c>
    </row>
    <row r="6916" spans="1:10">
      <c r="A6916" s="1">
        <v>41171</v>
      </c>
      <c r="B6916">
        <v>33.01</v>
      </c>
      <c r="C6916">
        <v>33.08</v>
      </c>
      <c r="D6916">
        <v>32.56</v>
      </c>
      <c r="E6916">
        <v>32.78</v>
      </c>
      <c r="F6916">
        <v>20913400</v>
      </c>
      <c r="G6916">
        <v>32.19</v>
      </c>
      <c r="H6916" t="s">
        <v>8</v>
      </c>
      <c r="I6916" s="22">
        <f t="shared" si="217"/>
        <v>-7.4280750085098605E-3</v>
      </c>
      <c r="J6916" s="22" t="str">
        <f t="shared" si="218"/>
        <v>lost money</v>
      </c>
    </row>
    <row r="6917" spans="1:10">
      <c r="A6917" s="1">
        <v>41172</v>
      </c>
      <c r="B6917">
        <v>32.6</v>
      </c>
      <c r="C6917">
        <v>32.880000000000003</v>
      </c>
      <c r="D6917">
        <v>32.19</v>
      </c>
      <c r="E6917">
        <v>32.26</v>
      </c>
      <c r="F6917">
        <v>38005700</v>
      </c>
      <c r="G6917">
        <v>31.68</v>
      </c>
      <c r="H6917" t="s">
        <v>8</v>
      </c>
      <c r="I6917" s="22">
        <f t="shared" si="217"/>
        <v>-1.5970278364491674E-2</v>
      </c>
      <c r="J6917" s="22" t="str">
        <f t="shared" si="218"/>
        <v>lost money</v>
      </c>
    </row>
    <row r="6918" spans="1:10">
      <c r="A6918" s="1">
        <v>41173</v>
      </c>
      <c r="B6918">
        <v>33.03</v>
      </c>
      <c r="C6918">
        <v>33.29</v>
      </c>
      <c r="D6918">
        <v>32.28</v>
      </c>
      <c r="E6918">
        <v>32.47</v>
      </c>
      <c r="F6918">
        <v>62905800</v>
      </c>
      <c r="G6918">
        <v>31.89</v>
      </c>
      <c r="H6918" t="s">
        <v>8</v>
      </c>
      <c r="I6918" s="22">
        <f t="shared" si="217"/>
        <v>6.6069140757411124E-3</v>
      </c>
      <c r="J6918" s="22" t="str">
        <f t="shared" si="218"/>
        <v>lost money</v>
      </c>
    </row>
    <row r="6919" spans="1:10">
      <c r="A6919" s="1">
        <v>41176</v>
      </c>
      <c r="B6919">
        <v>32.25</v>
      </c>
      <c r="C6919">
        <v>32.44</v>
      </c>
      <c r="D6919">
        <v>32.08</v>
      </c>
      <c r="E6919">
        <v>32.22</v>
      </c>
      <c r="F6919">
        <v>18511200</v>
      </c>
      <c r="G6919">
        <v>31.64</v>
      </c>
      <c r="H6919" t="s">
        <v>8</v>
      </c>
      <c r="I6919" s="22">
        <f t="shared" si="217"/>
        <v>-7.8703381225130979E-3</v>
      </c>
      <c r="J6919" s="22" t="str">
        <f t="shared" si="218"/>
        <v>lost money</v>
      </c>
    </row>
    <row r="6920" spans="1:10">
      <c r="A6920" s="1">
        <v>41177</v>
      </c>
      <c r="B6920">
        <v>32.18</v>
      </c>
      <c r="C6920">
        <v>32.229999999999997</v>
      </c>
      <c r="D6920">
        <v>31.25</v>
      </c>
      <c r="E6920">
        <v>31.3</v>
      </c>
      <c r="F6920">
        <v>30757800</v>
      </c>
      <c r="G6920">
        <v>30.74</v>
      </c>
      <c r="H6920" t="s">
        <v>8</v>
      </c>
      <c r="I6920" s="22">
        <f t="shared" si="217"/>
        <v>-2.8857404789003383E-2</v>
      </c>
      <c r="J6920" s="22" t="str">
        <f t="shared" si="218"/>
        <v>lost money</v>
      </c>
    </row>
    <row r="6921" spans="1:10">
      <c r="A6921" s="1">
        <v>41178</v>
      </c>
      <c r="B6921">
        <v>31.02</v>
      </c>
      <c r="C6921">
        <v>31.08</v>
      </c>
      <c r="D6921">
        <v>30.57</v>
      </c>
      <c r="E6921">
        <v>30.73</v>
      </c>
      <c r="F6921">
        <v>29234500</v>
      </c>
      <c r="G6921">
        <v>30.18</v>
      </c>
      <c r="H6921" t="s">
        <v>8</v>
      </c>
      <c r="I6921" s="22">
        <f t="shared" si="217"/>
        <v>-1.8385284770746975E-2</v>
      </c>
      <c r="J6921" s="22" t="str">
        <f t="shared" si="218"/>
        <v>lost money</v>
      </c>
    </row>
    <row r="6922" spans="1:10">
      <c r="A6922" s="1">
        <v>41179</v>
      </c>
      <c r="B6922">
        <v>30.76</v>
      </c>
      <c r="C6922">
        <v>31.42</v>
      </c>
      <c r="D6922">
        <v>30.7</v>
      </c>
      <c r="E6922">
        <v>31.22</v>
      </c>
      <c r="F6922">
        <v>23400200</v>
      </c>
      <c r="G6922">
        <v>30.66</v>
      </c>
      <c r="H6922" t="s">
        <v>8</v>
      </c>
      <c r="I6922" s="22">
        <f t="shared" si="217"/>
        <v>1.577942010396521E-2</v>
      </c>
      <c r="J6922" s="22" t="str">
        <f t="shared" si="218"/>
        <v/>
      </c>
    </row>
    <row r="6923" spans="1:10">
      <c r="A6923" s="1">
        <v>41180</v>
      </c>
      <c r="B6923">
        <v>31.13</v>
      </c>
      <c r="C6923">
        <v>31.61</v>
      </c>
      <c r="D6923">
        <v>31.07</v>
      </c>
      <c r="E6923">
        <v>31.46</v>
      </c>
      <c r="F6923">
        <v>27014800</v>
      </c>
      <c r="G6923">
        <v>30.89</v>
      </c>
      <c r="H6923" t="s">
        <v>8</v>
      </c>
      <c r="I6923" s="22">
        <f t="shared" si="217"/>
        <v>7.4736334868223536E-3</v>
      </c>
      <c r="J6923" s="22" t="str">
        <f t="shared" si="218"/>
        <v/>
      </c>
    </row>
    <row r="6924" spans="1:10">
      <c r="A6924" s="1">
        <v>41183</v>
      </c>
      <c r="B6924">
        <v>31.71</v>
      </c>
      <c r="C6924">
        <v>32</v>
      </c>
      <c r="D6924">
        <v>31.54</v>
      </c>
      <c r="E6924">
        <v>31.67</v>
      </c>
      <c r="F6924">
        <v>28412900</v>
      </c>
      <c r="G6924">
        <v>31.1</v>
      </c>
      <c r="H6924" t="s">
        <v>8</v>
      </c>
      <c r="I6924" s="22">
        <f t="shared" si="217"/>
        <v>6.7753122546980529E-3</v>
      </c>
      <c r="J6924" s="22" t="str">
        <f t="shared" si="218"/>
        <v>lost money</v>
      </c>
    </row>
    <row r="6925" spans="1:10">
      <c r="A6925" s="1">
        <v>41184</v>
      </c>
      <c r="B6925">
        <v>31.79</v>
      </c>
      <c r="C6925">
        <v>32.01</v>
      </c>
      <c r="D6925">
        <v>31.4</v>
      </c>
      <c r="E6925">
        <v>31.65</v>
      </c>
      <c r="F6925">
        <v>21859900</v>
      </c>
      <c r="G6925">
        <v>31.08</v>
      </c>
      <c r="H6925" t="s">
        <v>8</v>
      </c>
      <c r="I6925" s="22">
        <f t="shared" si="217"/>
        <v>-6.4329368574181877E-4</v>
      </c>
      <c r="J6925" s="22" t="str">
        <f t="shared" si="218"/>
        <v>lost money</v>
      </c>
    </row>
    <row r="6926" spans="1:10">
      <c r="A6926" s="1">
        <v>41185</v>
      </c>
      <c r="B6926">
        <v>31.81</v>
      </c>
      <c r="C6926">
        <v>32.049999999999997</v>
      </c>
      <c r="D6926">
        <v>31.69</v>
      </c>
      <c r="E6926">
        <v>31.82</v>
      </c>
      <c r="F6926">
        <v>19700800</v>
      </c>
      <c r="G6926">
        <v>31.25</v>
      </c>
      <c r="H6926" t="s">
        <v>8</v>
      </c>
      <c r="I6926" s="22">
        <f t="shared" si="217"/>
        <v>5.4548506829639309E-3</v>
      </c>
      <c r="J6926" s="22" t="str">
        <f t="shared" si="218"/>
        <v/>
      </c>
    </row>
    <row r="6927" spans="1:10">
      <c r="A6927" s="1">
        <v>41186</v>
      </c>
      <c r="B6927">
        <v>31.85</v>
      </c>
      <c r="C6927">
        <v>31.98</v>
      </c>
      <c r="D6927">
        <v>31.65</v>
      </c>
      <c r="E6927">
        <v>31.9</v>
      </c>
      <c r="F6927">
        <v>25156900</v>
      </c>
      <c r="G6927">
        <v>31.33</v>
      </c>
      <c r="H6927" t="s">
        <v>8</v>
      </c>
      <c r="I6927" s="22">
        <f t="shared" si="217"/>
        <v>2.5567287816897545E-3</v>
      </c>
      <c r="J6927" s="22" t="str">
        <f t="shared" si="218"/>
        <v/>
      </c>
    </row>
    <row r="6928" spans="1:10">
      <c r="A6928" s="1">
        <v>41187</v>
      </c>
      <c r="B6928">
        <v>32.049999999999997</v>
      </c>
      <c r="C6928">
        <v>32.090000000000003</v>
      </c>
      <c r="D6928">
        <v>31.28</v>
      </c>
      <c r="E6928">
        <v>31.39</v>
      </c>
      <c r="F6928">
        <v>31239000</v>
      </c>
      <c r="G6928">
        <v>30.83</v>
      </c>
      <c r="H6928" t="s">
        <v>8</v>
      </c>
      <c r="I6928" s="22">
        <f t="shared" si="217"/>
        <v>-1.6087863066041427E-2</v>
      </c>
      <c r="J6928" s="22" t="str">
        <f t="shared" si="218"/>
        <v>lost money</v>
      </c>
    </row>
    <row r="6929" spans="1:10">
      <c r="A6929" s="1">
        <v>41190</v>
      </c>
      <c r="B6929">
        <v>31.2</v>
      </c>
      <c r="C6929">
        <v>31.38</v>
      </c>
      <c r="D6929">
        <v>30.86</v>
      </c>
      <c r="E6929">
        <v>31.18</v>
      </c>
      <c r="F6929">
        <v>22261500</v>
      </c>
      <c r="G6929">
        <v>30.62</v>
      </c>
      <c r="H6929" t="s">
        <v>8</v>
      </c>
      <c r="I6929" s="22">
        <f t="shared" si="217"/>
        <v>-6.834851668521243E-3</v>
      </c>
      <c r="J6929" s="22" t="str">
        <f t="shared" si="218"/>
        <v>lost money</v>
      </c>
    </row>
    <row r="6930" spans="1:10">
      <c r="A6930" s="1">
        <v>41191</v>
      </c>
      <c r="B6930">
        <v>31.06</v>
      </c>
      <c r="C6930">
        <v>31.1</v>
      </c>
      <c r="D6930">
        <v>30.44</v>
      </c>
      <c r="E6930">
        <v>30.65</v>
      </c>
      <c r="F6930">
        <v>23311300</v>
      </c>
      <c r="G6930">
        <v>30.1</v>
      </c>
      <c r="H6930" t="s">
        <v>8</v>
      </c>
      <c r="I6930" s="22">
        <f t="shared" si="217"/>
        <v>-1.712821847470767E-2</v>
      </c>
      <c r="J6930" s="22" t="str">
        <f t="shared" si="218"/>
        <v>lost money</v>
      </c>
    </row>
    <row r="6931" spans="1:10">
      <c r="A6931" s="1">
        <v>41192</v>
      </c>
      <c r="B6931">
        <v>30.58</v>
      </c>
      <c r="C6931">
        <v>30.72</v>
      </c>
      <c r="D6931">
        <v>30.43</v>
      </c>
      <c r="E6931">
        <v>30.58</v>
      </c>
      <c r="F6931">
        <v>23103700</v>
      </c>
      <c r="G6931">
        <v>30.09</v>
      </c>
      <c r="H6931" t="s">
        <v>8</v>
      </c>
      <c r="I6931" s="22">
        <f t="shared" si="217"/>
        <v>-3.3228111287629249E-4</v>
      </c>
      <c r="J6931" s="22" t="str">
        <f t="shared" si="218"/>
        <v/>
      </c>
    </row>
    <row r="6932" spans="1:10">
      <c r="A6932" s="1">
        <v>41193</v>
      </c>
      <c r="B6932">
        <v>30.73</v>
      </c>
      <c r="C6932">
        <v>31.09</v>
      </c>
      <c r="D6932">
        <v>30.62</v>
      </c>
      <c r="E6932">
        <v>30.72</v>
      </c>
      <c r="F6932">
        <v>20436300</v>
      </c>
      <c r="G6932">
        <v>30.23</v>
      </c>
      <c r="H6932" t="s">
        <v>8</v>
      </c>
      <c r="I6932" s="22">
        <f t="shared" si="217"/>
        <v>4.6419181494127878E-3</v>
      </c>
      <c r="J6932" s="22" t="str">
        <f t="shared" si="218"/>
        <v>lost money</v>
      </c>
    </row>
    <row r="6933" spans="1:10">
      <c r="A6933" s="1">
        <v>41194</v>
      </c>
      <c r="B6933">
        <v>30.68</v>
      </c>
      <c r="C6933">
        <v>31.19</v>
      </c>
      <c r="D6933">
        <v>30.68</v>
      </c>
      <c r="E6933">
        <v>31</v>
      </c>
      <c r="F6933">
        <v>18639800</v>
      </c>
      <c r="G6933">
        <v>30.5</v>
      </c>
      <c r="H6933" t="s">
        <v>8</v>
      </c>
      <c r="I6933" s="22">
        <f t="shared" si="217"/>
        <v>8.8918748219992769E-3</v>
      </c>
      <c r="J6933" s="22" t="str">
        <f t="shared" si="218"/>
        <v/>
      </c>
    </row>
    <row r="6934" spans="1:10">
      <c r="A6934" s="1">
        <v>41197</v>
      </c>
      <c r="B6934">
        <v>31.06</v>
      </c>
      <c r="C6934">
        <v>31.38</v>
      </c>
      <c r="D6934">
        <v>31.02</v>
      </c>
      <c r="E6934">
        <v>31.3</v>
      </c>
      <c r="F6934">
        <v>26143200</v>
      </c>
      <c r="G6934">
        <v>30.8</v>
      </c>
      <c r="H6934" t="s">
        <v>8</v>
      </c>
      <c r="I6934" s="22">
        <f t="shared" si="217"/>
        <v>9.7880063661629439E-3</v>
      </c>
      <c r="J6934" s="22" t="str">
        <f t="shared" si="218"/>
        <v/>
      </c>
    </row>
    <row r="6935" spans="1:10">
      <c r="A6935" s="1">
        <v>41198</v>
      </c>
      <c r="B6935">
        <v>31.4</v>
      </c>
      <c r="C6935">
        <v>31.89</v>
      </c>
      <c r="D6935">
        <v>31.28</v>
      </c>
      <c r="E6935">
        <v>31.87</v>
      </c>
      <c r="F6935">
        <v>22024500</v>
      </c>
      <c r="G6935">
        <v>31.36</v>
      </c>
      <c r="H6935" t="s">
        <v>8</v>
      </c>
      <c r="I6935" s="22">
        <f t="shared" si="217"/>
        <v>1.8018505502678212E-2</v>
      </c>
      <c r="J6935" s="22" t="str">
        <f t="shared" si="218"/>
        <v/>
      </c>
    </row>
    <row r="6936" spans="1:10">
      <c r="A6936" s="1">
        <v>41199</v>
      </c>
      <c r="B6936">
        <v>31.53</v>
      </c>
      <c r="C6936">
        <v>31.7</v>
      </c>
      <c r="D6936">
        <v>31.21</v>
      </c>
      <c r="E6936">
        <v>31.23</v>
      </c>
      <c r="F6936">
        <v>28326200</v>
      </c>
      <c r="G6936">
        <v>30.73</v>
      </c>
      <c r="H6936" t="s">
        <v>8</v>
      </c>
      <c r="I6936" s="22">
        <f t="shared" si="217"/>
        <v>-2.0293819339813796E-2</v>
      </c>
      <c r="J6936" s="22" t="str">
        <f t="shared" si="218"/>
        <v>lost money</v>
      </c>
    </row>
    <row r="6937" spans="1:10">
      <c r="A6937" s="1">
        <v>41200</v>
      </c>
      <c r="B6937">
        <v>31.14</v>
      </c>
      <c r="C6937">
        <v>31.24</v>
      </c>
      <c r="D6937">
        <v>30.76</v>
      </c>
      <c r="E6937">
        <v>31.12</v>
      </c>
      <c r="F6937">
        <v>26013900</v>
      </c>
      <c r="G6937">
        <v>30.62</v>
      </c>
      <c r="H6937" t="s">
        <v>8</v>
      </c>
      <c r="I6937" s="22">
        <f t="shared" si="217"/>
        <v>-3.5859859128555402E-3</v>
      </c>
      <c r="J6937" s="22" t="str">
        <f t="shared" si="218"/>
        <v>lost money</v>
      </c>
    </row>
    <row r="6938" spans="1:10">
      <c r="A6938" s="1">
        <v>41201</v>
      </c>
      <c r="B6938">
        <v>31.07</v>
      </c>
      <c r="C6938">
        <v>31.25</v>
      </c>
      <c r="D6938">
        <v>30.4</v>
      </c>
      <c r="E6938">
        <v>30.48</v>
      </c>
      <c r="F6938">
        <v>26239700</v>
      </c>
      <c r="G6938">
        <v>29.99</v>
      </c>
      <c r="H6938" t="s">
        <v>8</v>
      </c>
      <c r="I6938" s="22">
        <f t="shared" si="217"/>
        <v>-2.0789397468620009E-2</v>
      </c>
      <c r="J6938" s="22" t="str">
        <f t="shared" si="218"/>
        <v>lost money</v>
      </c>
    </row>
    <row r="6939" spans="1:10">
      <c r="A6939" s="1">
        <v>41204</v>
      </c>
      <c r="B6939">
        <v>30.59</v>
      </c>
      <c r="C6939">
        <v>30.89</v>
      </c>
      <c r="D6939">
        <v>30.31</v>
      </c>
      <c r="E6939">
        <v>30.8</v>
      </c>
      <c r="F6939">
        <v>17338400</v>
      </c>
      <c r="G6939">
        <v>30.31</v>
      </c>
      <c r="H6939" t="s">
        <v>8</v>
      </c>
      <c r="I6939" s="22">
        <f t="shared" si="217"/>
        <v>1.0613698308794122E-2</v>
      </c>
      <c r="J6939" s="22" t="str">
        <f t="shared" si="218"/>
        <v/>
      </c>
    </row>
    <row r="6940" spans="1:10">
      <c r="A6940" s="1">
        <v>41205</v>
      </c>
      <c r="B6940">
        <v>30.52</v>
      </c>
      <c r="C6940">
        <v>30.84</v>
      </c>
      <c r="D6940">
        <v>30.45</v>
      </c>
      <c r="E6940">
        <v>30.59</v>
      </c>
      <c r="F6940">
        <v>21384700</v>
      </c>
      <c r="G6940">
        <v>30.1</v>
      </c>
      <c r="H6940" t="s">
        <v>8</v>
      </c>
      <c r="I6940" s="22">
        <f t="shared" si="217"/>
        <v>-6.9525193148816406E-3</v>
      </c>
      <c r="J6940" s="22" t="str">
        <f t="shared" si="218"/>
        <v/>
      </c>
    </row>
    <row r="6941" spans="1:10">
      <c r="A6941" s="1">
        <v>41206</v>
      </c>
      <c r="B6941">
        <v>30.9</v>
      </c>
      <c r="C6941">
        <v>30.95</v>
      </c>
      <c r="D6941">
        <v>30.37</v>
      </c>
      <c r="E6941">
        <v>30.6</v>
      </c>
      <c r="F6941">
        <v>21642700</v>
      </c>
      <c r="G6941">
        <v>30.11</v>
      </c>
      <c r="H6941" t="s">
        <v>8</v>
      </c>
      <c r="I6941" s="22">
        <f t="shared" si="217"/>
        <v>3.321707388122977E-4</v>
      </c>
      <c r="J6941" s="22" t="str">
        <f t="shared" si="218"/>
        <v>lost money</v>
      </c>
    </row>
    <row r="6942" spans="1:10">
      <c r="A6942" s="1">
        <v>41207</v>
      </c>
      <c r="B6942">
        <v>30.87</v>
      </c>
      <c r="C6942">
        <v>31.22</v>
      </c>
      <c r="D6942">
        <v>30.71</v>
      </c>
      <c r="E6942">
        <v>30.86</v>
      </c>
      <c r="F6942">
        <v>20696000</v>
      </c>
      <c r="G6942">
        <v>30.36</v>
      </c>
      <c r="H6942" t="s">
        <v>8</v>
      </c>
      <c r="I6942" s="22">
        <f t="shared" si="217"/>
        <v>8.2686100337866445E-3</v>
      </c>
      <c r="J6942" s="22" t="str">
        <f t="shared" si="218"/>
        <v>lost money</v>
      </c>
    </row>
    <row r="6943" spans="1:10">
      <c r="A6943" s="1">
        <v>41208</v>
      </c>
      <c r="B6943">
        <v>30.81</v>
      </c>
      <c r="C6943">
        <v>31.1</v>
      </c>
      <c r="D6943">
        <v>30.61</v>
      </c>
      <c r="E6943">
        <v>30.99</v>
      </c>
      <c r="F6943">
        <v>19815600</v>
      </c>
      <c r="G6943">
        <v>30.49</v>
      </c>
      <c r="H6943" t="s">
        <v>8</v>
      </c>
      <c r="I6943" s="22">
        <f t="shared" si="217"/>
        <v>4.2728084727341751E-3</v>
      </c>
      <c r="J6943" s="22" t="str">
        <f t="shared" si="218"/>
        <v/>
      </c>
    </row>
    <row r="6944" spans="1:10">
      <c r="A6944" s="1">
        <v>41213</v>
      </c>
      <c r="B6944">
        <v>31.24</v>
      </c>
      <c r="C6944">
        <v>31.39</v>
      </c>
      <c r="D6944">
        <v>30.86</v>
      </c>
      <c r="E6944">
        <v>31.08</v>
      </c>
      <c r="F6944">
        <v>21844400</v>
      </c>
      <c r="G6944">
        <v>30.58</v>
      </c>
      <c r="H6944" t="s">
        <v>8</v>
      </c>
      <c r="I6944" s="22">
        <f t="shared" si="217"/>
        <v>2.947439500752855E-3</v>
      </c>
      <c r="J6944" s="22" t="str">
        <f t="shared" si="218"/>
        <v>lost money</v>
      </c>
    </row>
    <row r="6945" spans="1:10">
      <c r="A6945" s="1">
        <v>41214</v>
      </c>
      <c r="B6945">
        <v>31.2</v>
      </c>
      <c r="C6945">
        <v>31.52</v>
      </c>
      <c r="D6945">
        <v>30.93</v>
      </c>
      <c r="E6945">
        <v>31.48</v>
      </c>
      <c r="F6945">
        <v>22886100</v>
      </c>
      <c r="G6945">
        <v>30.97</v>
      </c>
      <c r="H6945" t="s">
        <v>8</v>
      </c>
      <c r="I6945" s="22">
        <f t="shared" si="217"/>
        <v>1.2672793484195186E-2</v>
      </c>
      <c r="J6945" s="22" t="str">
        <f t="shared" si="218"/>
        <v/>
      </c>
    </row>
    <row r="6946" spans="1:10">
      <c r="A6946" s="1">
        <v>41215</v>
      </c>
      <c r="B6946">
        <v>31.8</v>
      </c>
      <c r="C6946">
        <v>31.81</v>
      </c>
      <c r="D6946">
        <v>31.18</v>
      </c>
      <c r="E6946">
        <v>31.21</v>
      </c>
      <c r="F6946">
        <v>17251200</v>
      </c>
      <c r="G6946">
        <v>30.71</v>
      </c>
      <c r="H6946" t="s">
        <v>8</v>
      </c>
      <c r="I6946" s="22">
        <f t="shared" si="217"/>
        <v>-8.4306595323804124E-3</v>
      </c>
      <c r="J6946" s="22" t="str">
        <f t="shared" si="218"/>
        <v>lost money</v>
      </c>
    </row>
    <row r="6947" spans="1:10">
      <c r="A6947" s="1">
        <v>41218</v>
      </c>
      <c r="B6947">
        <v>30.95</v>
      </c>
      <c r="C6947">
        <v>31.35</v>
      </c>
      <c r="D6947">
        <v>30.77</v>
      </c>
      <c r="E6947">
        <v>31.25</v>
      </c>
      <c r="F6947">
        <v>13590100</v>
      </c>
      <c r="G6947">
        <v>30.75</v>
      </c>
      <c r="H6947" t="s">
        <v>8</v>
      </c>
      <c r="I6947" s="22">
        <f t="shared" si="217"/>
        <v>1.3016597997959167E-3</v>
      </c>
      <c r="J6947" s="22" t="str">
        <f t="shared" si="218"/>
        <v/>
      </c>
    </row>
    <row r="6948" spans="1:10">
      <c r="A6948" s="1">
        <v>41219</v>
      </c>
      <c r="B6948">
        <v>31.43</v>
      </c>
      <c r="C6948">
        <v>31.91</v>
      </c>
      <c r="D6948">
        <v>31.33</v>
      </c>
      <c r="E6948">
        <v>31.63</v>
      </c>
      <c r="F6948">
        <v>15018800</v>
      </c>
      <c r="G6948">
        <v>31.12</v>
      </c>
      <c r="H6948" t="s">
        <v>8</v>
      </c>
      <c r="I6948" s="22">
        <f t="shared" si="217"/>
        <v>1.1960705057663914E-2</v>
      </c>
      <c r="J6948" s="22" t="str">
        <f t="shared" si="218"/>
        <v/>
      </c>
    </row>
    <row r="6949" spans="1:10">
      <c r="A6949" s="1">
        <v>41220</v>
      </c>
      <c r="B6949">
        <v>31.3</v>
      </c>
      <c r="C6949">
        <v>31.35</v>
      </c>
      <c r="D6949">
        <v>30.76</v>
      </c>
      <c r="E6949">
        <v>30.79</v>
      </c>
      <c r="F6949">
        <v>22295700</v>
      </c>
      <c r="G6949">
        <v>30.3</v>
      </c>
      <c r="H6949" t="s">
        <v>8</v>
      </c>
      <c r="I6949" s="22">
        <f t="shared" si="217"/>
        <v>-2.6702986794867406E-2</v>
      </c>
      <c r="J6949" s="22" t="str">
        <f t="shared" si="218"/>
        <v>lost money</v>
      </c>
    </row>
    <row r="6950" spans="1:10">
      <c r="A6950" s="1">
        <v>41221</v>
      </c>
      <c r="B6950">
        <v>30.73</v>
      </c>
      <c r="C6950">
        <v>30.98</v>
      </c>
      <c r="D6950">
        <v>30.41</v>
      </c>
      <c r="E6950">
        <v>30.42</v>
      </c>
      <c r="F6950">
        <v>17902800</v>
      </c>
      <c r="G6950">
        <v>29.93</v>
      </c>
      <c r="H6950" t="s">
        <v>8</v>
      </c>
      <c r="I6950" s="22">
        <f t="shared" si="217"/>
        <v>-1.2286390650715942E-2</v>
      </c>
      <c r="J6950" s="22" t="str">
        <f t="shared" si="218"/>
        <v>lost money</v>
      </c>
    </row>
    <row r="6951" spans="1:10">
      <c r="A6951" s="1">
        <v>41222</v>
      </c>
      <c r="B6951">
        <v>30.4</v>
      </c>
      <c r="C6951">
        <v>30.73</v>
      </c>
      <c r="D6951">
        <v>30.27</v>
      </c>
      <c r="E6951">
        <v>30.35</v>
      </c>
      <c r="F6951">
        <v>15537900</v>
      </c>
      <c r="G6951">
        <v>29.86</v>
      </c>
      <c r="H6951" t="s">
        <v>8</v>
      </c>
      <c r="I6951" s="22">
        <f t="shared" si="217"/>
        <v>-2.3415297535632445E-3</v>
      </c>
      <c r="J6951" s="22" t="str">
        <f t="shared" si="218"/>
        <v>lost money</v>
      </c>
    </row>
    <row r="6952" spans="1:10">
      <c r="A6952" s="1">
        <v>41225</v>
      </c>
      <c r="B6952">
        <v>30.41</v>
      </c>
      <c r="C6952">
        <v>30.55</v>
      </c>
      <c r="D6952">
        <v>30.09</v>
      </c>
      <c r="E6952">
        <v>30.3</v>
      </c>
      <c r="F6952">
        <v>10964600</v>
      </c>
      <c r="G6952">
        <v>29.81</v>
      </c>
      <c r="H6952" t="s">
        <v>8</v>
      </c>
      <c r="I6952" s="22">
        <f t="shared" si="217"/>
        <v>-1.6758844210642326E-3</v>
      </c>
      <c r="J6952" s="22" t="str">
        <f t="shared" si="218"/>
        <v>lost money</v>
      </c>
    </row>
    <row r="6953" spans="1:10">
      <c r="A6953" s="1">
        <v>41226</v>
      </c>
      <c r="B6953">
        <v>30.08</v>
      </c>
      <c r="C6953">
        <v>30.5</v>
      </c>
      <c r="D6953">
        <v>29.89</v>
      </c>
      <c r="E6953">
        <v>30.02</v>
      </c>
      <c r="F6953">
        <v>20901000</v>
      </c>
      <c r="G6953">
        <v>29.54</v>
      </c>
      <c r="H6953" t="s">
        <v>8</v>
      </c>
      <c r="I6953" s="22">
        <f t="shared" si="217"/>
        <v>-9.0986305867462713E-3</v>
      </c>
      <c r="J6953" s="22" t="str">
        <f t="shared" si="218"/>
        <v>lost money</v>
      </c>
    </row>
    <row r="6954" spans="1:10">
      <c r="A6954" s="1">
        <v>41227</v>
      </c>
      <c r="B6954">
        <v>30.1</v>
      </c>
      <c r="C6954">
        <v>30.15</v>
      </c>
      <c r="D6954">
        <v>29.52</v>
      </c>
      <c r="E6954">
        <v>29.58</v>
      </c>
      <c r="F6954">
        <v>22562900</v>
      </c>
      <c r="G6954">
        <v>29.1</v>
      </c>
      <c r="H6954" t="s">
        <v>8</v>
      </c>
      <c r="I6954" s="22">
        <f t="shared" si="217"/>
        <v>-1.500710292578686E-2</v>
      </c>
      <c r="J6954" s="22" t="str">
        <f t="shared" si="218"/>
        <v>lost money</v>
      </c>
    </row>
    <row r="6955" spans="1:10">
      <c r="A6955" s="1">
        <v>41228</v>
      </c>
      <c r="B6955">
        <v>29.58</v>
      </c>
      <c r="C6955">
        <v>30.07</v>
      </c>
      <c r="D6955">
        <v>29.56</v>
      </c>
      <c r="E6955">
        <v>29.95</v>
      </c>
      <c r="F6955">
        <v>26295000</v>
      </c>
      <c r="G6955">
        <v>29.47</v>
      </c>
      <c r="H6955" t="s">
        <v>8</v>
      </c>
      <c r="I6955" s="22">
        <f t="shared" si="217"/>
        <v>1.263462257215648E-2</v>
      </c>
      <c r="J6955" s="22" t="str">
        <f t="shared" si="218"/>
        <v/>
      </c>
    </row>
    <row r="6956" spans="1:10">
      <c r="A6956" s="1">
        <v>41229</v>
      </c>
      <c r="B6956">
        <v>30.03</v>
      </c>
      <c r="C6956">
        <v>30.13</v>
      </c>
      <c r="D6956">
        <v>29.78</v>
      </c>
      <c r="E6956">
        <v>30</v>
      </c>
      <c r="F6956">
        <v>25491700</v>
      </c>
      <c r="G6956">
        <v>29.52</v>
      </c>
      <c r="H6956" t="s">
        <v>8</v>
      </c>
      <c r="I6956" s="22">
        <f t="shared" si="217"/>
        <v>1.6952029826683662E-3</v>
      </c>
      <c r="J6956" s="22" t="str">
        <f t="shared" si="218"/>
        <v>lost money</v>
      </c>
    </row>
    <row r="6957" spans="1:10">
      <c r="A6957" s="1">
        <v>41232</v>
      </c>
      <c r="B6957">
        <v>30.25</v>
      </c>
      <c r="C6957">
        <v>30.26</v>
      </c>
      <c r="D6957">
        <v>29.85</v>
      </c>
      <c r="E6957">
        <v>30.14</v>
      </c>
      <c r="F6957">
        <v>22551100</v>
      </c>
      <c r="G6957">
        <v>29.66</v>
      </c>
      <c r="H6957" t="s">
        <v>8</v>
      </c>
      <c r="I6957" s="22">
        <f t="shared" si="217"/>
        <v>4.731336977514343E-3</v>
      </c>
      <c r="J6957" s="22" t="str">
        <f t="shared" si="218"/>
        <v>lost money</v>
      </c>
    </row>
    <row r="6958" spans="1:10">
      <c r="A6958" s="1">
        <v>41233</v>
      </c>
      <c r="B6958">
        <v>30.02</v>
      </c>
      <c r="C6958">
        <v>30.2</v>
      </c>
      <c r="D6958">
        <v>29.78</v>
      </c>
      <c r="E6958">
        <v>30.2</v>
      </c>
      <c r="F6958">
        <v>17448200</v>
      </c>
      <c r="G6958">
        <v>29.72</v>
      </c>
      <c r="H6958" t="s">
        <v>8</v>
      </c>
      <c r="I6958" s="22">
        <f t="shared" si="217"/>
        <v>2.0208831397723103E-3</v>
      </c>
      <c r="J6958" s="22" t="str">
        <f t="shared" si="218"/>
        <v/>
      </c>
    </row>
    <row r="6959" spans="1:10">
      <c r="A6959" s="1">
        <v>41234</v>
      </c>
      <c r="B6959">
        <v>30.19</v>
      </c>
      <c r="C6959">
        <v>30.53</v>
      </c>
      <c r="D6959">
        <v>30.13</v>
      </c>
      <c r="E6959">
        <v>30.4</v>
      </c>
      <c r="F6959">
        <v>17423900</v>
      </c>
      <c r="G6959">
        <v>29.91</v>
      </c>
      <c r="H6959" t="s">
        <v>8</v>
      </c>
      <c r="I6959" s="22">
        <f t="shared" si="217"/>
        <v>6.3726527922982621E-3</v>
      </c>
      <c r="J6959" s="22" t="str">
        <f t="shared" si="218"/>
        <v/>
      </c>
    </row>
    <row r="6960" spans="1:10">
      <c r="A6960" s="1">
        <v>41236</v>
      </c>
      <c r="B6960">
        <v>30.65</v>
      </c>
      <c r="C6960">
        <v>31.06</v>
      </c>
      <c r="D6960">
        <v>30.58</v>
      </c>
      <c r="E6960">
        <v>30.92</v>
      </c>
      <c r="F6960">
        <v>8211500</v>
      </c>
      <c r="G6960">
        <v>30.42</v>
      </c>
      <c r="H6960" t="s">
        <v>8</v>
      </c>
      <c r="I6960" s="22">
        <f t="shared" si="217"/>
        <v>1.6907414189290218E-2</v>
      </c>
      <c r="J6960" s="22" t="str">
        <f t="shared" si="218"/>
        <v/>
      </c>
    </row>
    <row r="6961" spans="1:10">
      <c r="A6961" s="1">
        <v>41239</v>
      </c>
      <c r="B6961">
        <v>30.72</v>
      </c>
      <c r="C6961">
        <v>30.97</v>
      </c>
      <c r="D6961">
        <v>30.58</v>
      </c>
      <c r="E6961">
        <v>30.96</v>
      </c>
      <c r="F6961">
        <v>15644900</v>
      </c>
      <c r="G6961">
        <v>30.46</v>
      </c>
      <c r="H6961" t="s">
        <v>8</v>
      </c>
      <c r="I6961" s="22">
        <f t="shared" si="217"/>
        <v>1.3140606358690366E-3</v>
      </c>
      <c r="J6961" s="22" t="str">
        <f t="shared" si="218"/>
        <v/>
      </c>
    </row>
    <row r="6962" spans="1:10">
      <c r="A6962" s="1">
        <v>41240</v>
      </c>
      <c r="B6962">
        <v>31.2</v>
      </c>
      <c r="C6962">
        <v>31.77</v>
      </c>
      <c r="D6962">
        <v>31.16</v>
      </c>
      <c r="E6962">
        <v>31.22</v>
      </c>
      <c r="F6962">
        <v>24696300</v>
      </c>
      <c r="G6962">
        <v>30.72</v>
      </c>
      <c r="H6962" t="s">
        <v>8</v>
      </c>
      <c r="I6962" s="22">
        <f t="shared" si="217"/>
        <v>8.4995608124555835E-3</v>
      </c>
      <c r="J6962" s="22" t="str">
        <f t="shared" si="218"/>
        <v/>
      </c>
    </row>
    <row r="6963" spans="1:10">
      <c r="A6963" s="1">
        <v>41241</v>
      </c>
      <c r="B6963">
        <v>31.15</v>
      </c>
      <c r="C6963">
        <v>31.82</v>
      </c>
      <c r="D6963">
        <v>30.99</v>
      </c>
      <c r="E6963">
        <v>31.8</v>
      </c>
      <c r="F6963">
        <v>21603200</v>
      </c>
      <c r="G6963">
        <v>31.29</v>
      </c>
      <c r="H6963" t="s">
        <v>8</v>
      </c>
      <c r="I6963" s="22">
        <f t="shared" si="217"/>
        <v>1.8384649401319352E-2</v>
      </c>
      <c r="J6963" s="22" t="str">
        <f t="shared" si="218"/>
        <v/>
      </c>
    </row>
    <row r="6964" spans="1:10">
      <c r="A6964" s="1">
        <v>41242</v>
      </c>
      <c r="B6964">
        <v>31.92</v>
      </c>
      <c r="C6964">
        <v>32.14</v>
      </c>
      <c r="D6964">
        <v>31.81</v>
      </c>
      <c r="E6964">
        <v>31.84</v>
      </c>
      <c r="F6964">
        <v>22205300</v>
      </c>
      <c r="G6964">
        <v>31.33</v>
      </c>
      <c r="H6964" t="s">
        <v>8</v>
      </c>
      <c r="I6964" s="22">
        <f t="shared" si="217"/>
        <v>1.2775472833096134E-3</v>
      </c>
      <c r="J6964" s="22" t="str">
        <f t="shared" si="218"/>
        <v>lost money</v>
      </c>
    </row>
    <row r="6965" spans="1:10">
      <c r="A6965" s="1">
        <v>41243</v>
      </c>
      <c r="B6965">
        <v>31.85</v>
      </c>
      <c r="C6965">
        <v>32.24</v>
      </c>
      <c r="D6965">
        <v>31.75</v>
      </c>
      <c r="E6965">
        <v>32.18</v>
      </c>
      <c r="F6965">
        <v>26610600</v>
      </c>
      <c r="G6965">
        <v>31.66</v>
      </c>
      <c r="H6965" t="s">
        <v>8</v>
      </c>
      <c r="I6965" s="22">
        <f t="shared" si="217"/>
        <v>1.047794948876569E-2</v>
      </c>
      <c r="J6965" s="22" t="str">
        <f t="shared" si="218"/>
        <v/>
      </c>
    </row>
    <row r="6966" spans="1:10">
      <c r="A6966" s="1">
        <v>41246</v>
      </c>
      <c r="B6966">
        <v>32.369999999999997</v>
      </c>
      <c r="C6966">
        <v>32.5</v>
      </c>
      <c r="D6966">
        <v>32.21</v>
      </c>
      <c r="E6966">
        <v>32.31</v>
      </c>
      <c r="F6966">
        <v>22159300</v>
      </c>
      <c r="G6966">
        <v>31.79</v>
      </c>
      <c r="H6966" t="s">
        <v>8</v>
      </c>
      <c r="I6966" s="22">
        <f t="shared" si="217"/>
        <v>4.0977204698451359E-3</v>
      </c>
      <c r="J6966" s="22" t="str">
        <f t="shared" si="218"/>
        <v>lost money</v>
      </c>
    </row>
    <row r="6967" spans="1:10">
      <c r="A6967" s="1">
        <v>41247</v>
      </c>
      <c r="B6967">
        <v>32.22</v>
      </c>
      <c r="C6967">
        <v>32.47</v>
      </c>
      <c r="D6967">
        <v>32.01</v>
      </c>
      <c r="E6967">
        <v>32.380000000000003</v>
      </c>
      <c r="F6967">
        <v>17391100</v>
      </c>
      <c r="G6967">
        <v>31.86</v>
      </c>
      <c r="H6967" t="s">
        <v>8</v>
      </c>
      <c r="I6967" s="22">
        <f t="shared" si="217"/>
        <v>2.1995295591912037E-3</v>
      </c>
      <c r="J6967" s="22" t="str">
        <f t="shared" si="218"/>
        <v/>
      </c>
    </row>
    <row r="6968" spans="1:10">
      <c r="A6968" s="1">
        <v>41248</v>
      </c>
      <c r="B6968">
        <v>31.95</v>
      </c>
      <c r="C6968">
        <v>32.119999999999997</v>
      </c>
      <c r="D6968">
        <v>31.31</v>
      </c>
      <c r="E6968">
        <v>32</v>
      </c>
      <c r="F6968">
        <v>30775300</v>
      </c>
      <c r="G6968">
        <v>31.49</v>
      </c>
      <c r="H6968" t="s">
        <v>8</v>
      </c>
      <c r="I6968" s="22">
        <f t="shared" si="217"/>
        <v>-1.1681269368969198E-2</v>
      </c>
      <c r="J6968" s="22" t="str">
        <f t="shared" si="218"/>
        <v/>
      </c>
    </row>
    <row r="6969" spans="1:10">
      <c r="A6969" s="1">
        <v>41249</v>
      </c>
      <c r="B6969">
        <v>31.99</v>
      </c>
      <c r="C6969">
        <v>32.11</v>
      </c>
      <c r="D6969">
        <v>31.9</v>
      </c>
      <c r="E6969">
        <v>32.03</v>
      </c>
      <c r="F6969">
        <v>25132600</v>
      </c>
      <c r="G6969">
        <v>31.52</v>
      </c>
      <c r="H6969" t="s">
        <v>8</v>
      </c>
      <c r="I6969" s="22">
        <f t="shared" si="217"/>
        <v>9.5222987674519041E-4</v>
      </c>
      <c r="J6969" s="22" t="str">
        <f t="shared" si="218"/>
        <v/>
      </c>
    </row>
    <row r="6970" spans="1:10">
      <c r="A6970" s="1">
        <v>41250</v>
      </c>
      <c r="B6970">
        <v>32.15</v>
      </c>
      <c r="C6970">
        <v>32.17</v>
      </c>
      <c r="D6970">
        <v>31.77</v>
      </c>
      <c r="E6970">
        <v>31.92</v>
      </c>
      <c r="F6970">
        <v>18421100</v>
      </c>
      <c r="G6970">
        <v>31.41</v>
      </c>
      <c r="H6970" t="s">
        <v>8</v>
      </c>
      <c r="I6970" s="22">
        <f t="shared" si="217"/>
        <v>-3.4959514391231742E-3</v>
      </c>
      <c r="J6970" s="22" t="str">
        <f t="shared" si="218"/>
        <v>lost money</v>
      </c>
    </row>
    <row r="6971" spans="1:10">
      <c r="A6971" s="1">
        <v>41253</v>
      </c>
      <c r="B6971">
        <v>31.92</v>
      </c>
      <c r="C6971">
        <v>32.229999999999997</v>
      </c>
      <c r="D6971">
        <v>31.92</v>
      </c>
      <c r="E6971">
        <v>32.07</v>
      </c>
      <c r="F6971">
        <v>20712600</v>
      </c>
      <c r="G6971">
        <v>31.56</v>
      </c>
      <c r="H6971" t="s">
        <v>8</v>
      </c>
      <c r="I6971" s="22">
        <f t="shared" si="217"/>
        <v>4.7641824271183793E-3</v>
      </c>
      <c r="J6971" s="22" t="str">
        <f t="shared" si="218"/>
        <v/>
      </c>
    </row>
    <row r="6972" spans="1:10">
      <c r="A6972" s="1">
        <v>41254</v>
      </c>
      <c r="B6972">
        <v>32.18</v>
      </c>
      <c r="C6972">
        <v>32.5</v>
      </c>
      <c r="D6972">
        <v>32.020000000000003</v>
      </c>
      <c r="E6972">
        <v>32.340000000000003</v>
      </c>
      <c r="F6972">
        <v>25716300</v>
      </c>
      <c r="G6972">
        <v>31.82</v>
      </c>
      <c r="H6972" t="s">
        <v>8</v>
      </c>
      <c r="I6972" s="22">
        <f t="shared" si="217"/>
        <v>8.2045269319674045E-3</v>
      </c>
      <c r="J6972" s="22" t="str">
        <f t="shared" si="218"/>
        <v/>
      </c>
    </row>
    <row r="6973" spans="1:10">
      <c r="A6973" s="1">
        <v>41255</v>
      </c>
      <c r="B6973">
        <v>32.21</v>
      </c>
      <c r="C6973">
        <v>32.380000000000003</v>
      </c>
      <c r="D6973">
        <v>31.83</v>
      </c>
      <c r="E6973">
        <v>31.94</v>
      </c>
      <c r="F6973">
        <v>20205300</v>
      </c>
      <c r="G6973">
        <v>31.6</v>
      </c>
      <c r="H6973" t="s">
        <v>8</v>
      </c>
      <c r="I6973" s="22">
        <f t="shared" si="217"/>
        <v>-6.9379023167743534E-3</v>
      </c>
      <c r="J6973" s="22" t="str">
        <f t="shared" si="218"/>
        <v>lost money</v>
      </c>
    </row>
    <row r="6974" spans="1:10">
      <c r="A6974" s="1">
        <v>41256</v>
      </c>
      <c r="B6974">
        <v>31.93</v>
      </c>
      <c r="C6974">
        <v>32.01</v>
      </c>
      <c r="D6974">
        <v>31.39</v>
      </c>
      <c r="E6974">
        <v>31.61</v>
      </c>
      <c r="F6974">
        <v>20608200</v>
      </c>
      <c r="G6974">
        <v>31.28</v>
      </c>
      <c r="H6974" t="s">
        <v>8</v>
      </c>
      <c r="I6974" s="22">
        <f t="shared" si="217"/>
        <v>-1.0178204915756153E-2</v>
      </c>
      <c r="J6974" s="22" t="str">
        <f t="shared" si="218"/>
        <v>lost money</v>
      </c>
    </row>
    <row r="6975" spans="1:10">
      <c r="A6975" s="1">
        <v>41257</v>
      </c>
      <c r="B6975">
        <v>31.54</v>
      </c>
      <c r="C6975">
        <v>32.11</v>
      </c>
      <c r="D6975">
        <v>31.44</v>
      </c>
      <c r="E6975">
        <v>31.96</v>
      </c>
      <c r="F6975">
        <v>21930800</v>
      </c>
      <c r="G6975">
        <v>31.62</v>
      </c>
      <c r="H6975" t="s">
        <v>8</v>
      </c>
      <c r="I6975" s="22">
        <f t="shared" si="217"/>
        <v>1.0810916104215676E-2</v>
      </c>
      <c r="J6975" s="22" t="str">
        <f t="shared" si="218"/>
        <v/>
      </c>
    </row>
    <row r="6976" spans="1:10">
      <c r="A6976" s="1">
        <v>41260</v>
      </c>
      <c r="B6976">
        <v>32</v>
      </c>
      <c r="C6976">
        <v>32.47</v>
      </c>
      <c r="D6976">
        <v>31.8</v>
      </c>
      <c r="E6976">
        <v>32.32</v>
      </c>
      <c r="F6976">
        <v>24047300</v>
      </c>
      <c r="G6976">
        <v>31.98</v>
      </c>
      <c r="H6976" t="s">
        <v>8</v>
      </c>
      <c r="I6976" s="22">
        <f t="shared" si="217"/>
        <v>1.1320875624482293E-2</v>
      </c>
      <c r="J6976" s="22" t="str">
        <f t="shared" si="218"/>
        <v/>
      </c>
    </row>
    <row r="6977" spans="1:10">
      <c r="A6977" s="1">
        <v>41261</v>
      </c>
      <c r="B6977">
        <v>32.49</v>
      </c>
      <c r="C6977">
        <v>32.950000000000003</v>
      </c>
      <c r="D6977">
        <v>32.35</v>
      </c>
      <c r="E6977">
        <v>32.880000000000003</v>
      </c>
      <c r="F6977">
        <v>37797600</v>
      </c>
      <c r="G6977">
        <v>32.53</v>
      </c>
      <c r="H6977" t="s">
        <v>8</v>
      </c>
      <c r="I6977" s="22">
        <f t="shared" si="217"/>
        <v>1.7052033079451918E-2</v>
      </c>
      <c r="J6977" s="22" t="str">
        <f t="shared" si="218"/>
        <v/>
      </c>
    </row>
    <row r="6978" spans="1:10">
      <c r="A6978" s="1">
        <v>41262</v>
      </c>
      <c r="B6978">
        <v>33.86</v>
      </c>
      <c r="C6978">
        <v>34.35</v>
      </c>
      <c r="D6978">
        <v>33.83</v>
      </c>
      <c r="E6978">
        <v>34.090000000000003</v>
      </c>
      <c r="F6978">
        <v>60937600</v>
      </c>
      <c r="G6978">
        <v>33.729999999999997</v>
      </c>
      <c r="H6978" t="s">
        <v>8</v>
      </c>
      <c r="I6978" s="22">
        <f t="shared" si="217"/>
        <v>3.6224908588298722E-2</v>
      </c>
      <c r="J6978" s="22" t="str">
        <f t="shared" si="218"/>
        <v/>
      </c>
    </row>
    <row r="6979" spans="1:10">
      <c r="A6979" s="1">
        <v>41263</v>
      </c>
      <c r="B6979">
        <v>34.090000000000003</v>
      </c>
      <c r="C6979">
        <v>34.25</v>
      </c>
      <c r="D6979">
        <v>33.93</v>
      </c>
      <c r="E6979">
        <v>33.94</v>
      </c>
      <c r="F6979">
        <v>28119900</v>
      </c>
      <c r="G6979">
        <v>33.58</v>
      </c>
      <c r="H6979" t="s">
        <v>8</v>
      </c>
      <c r="I6979" s="22">
        <f t="shared" ref="I6979:I7042" si="219">IF(A6979=$A$2,"",LN(G6979/G6978))</f>
        <v>-4.4569974241640588E-3</v>
      </c>
      <c r="J6979" s="22" t="str">
        <f t="shared" ref="J6979:J7042" si="220">IF(B6979&gt;E6979,"lost money","")</f>
        <v>lost money</v>
      </c>
    </row>
    <row r="6980" spans="1:10">
      <c r="A6980" s="1">
        <v>41264</v>
      </c>
      <c r="B6980">
        <v>33.51</v>
      </c>
      <c r="C6980">
        <v>33.92</v>
      </c>
      <c r="D6980">
        <v>33.200000000000003</v>
      </c>
      <c r="E6980">
        <v>33.76</v>
      </c>
      <c r="F6980">
        <v>45601600</v>
      </c>
      <c r="G6980">
        <v>33.4</v>
      </c>
      <c r="H6980" t="s">
        <v>8</v>
      </c>
      <c r="I6980" s="22">
        <f t="shared" si="219"/>
        <v>-5.3747516667399823E-3</v>
      </c>
      <c r="J6980" s="22" t="str">
        <f t="shared" si="220"/>
        <v/>
      </c>
    </row>
    <row r="6981" spans="1:10">
      <c r="A6981" s="1">
        <v>41267</v>
      </c>
      <c r="B6981">
        <v>33.46</v>
      </c>
      <c r="C6981">
        <v>33.64</v>
      </c>
      <c r="D6981">
        <v>33.42</v>
      </c>
      <c r="E6981">
        <v>33.61</v>
      </c>
      <c r="F6981">
        <v>6451900</v>
      </c>
      <c r="G6981">
        <v>33.26</v>
      </c>
      <c r="H6981" t="s">
        <v>8</v>
      </c>
      <c r="I6981" s="22">
        <f t="shared" si="219"/>
        <v>-4.2004262178731155E-3</v>
      </c>
      <c r="J6981" s="22" t="str">
        <f t="shared" si="220"/>
        <v/>
      </c>
    </row>
    <row r="6982" spans="1:10">
      <c r="A6982" s="1">
        <v>41269</v>
      </c>
      <c r="B6982">
        <v>33.67</v>
      </c>
      <c r="C6982">
        <v>33.85</v>
      </c>
      <c r="D6982">
        <v>33.340000000000003</v>
      </c>
      <c r="E6982">
        <v>33.61</v>
      </c>
      <c r="F6982">
        <v>13282100</v>
      </c>
      <c r="G6982">
        <v>33.26</v>
      </c>
      <c r="H6982" t="s">
        <v>8</v>
      </c>
      <c r="I6982" s="22">
        <f t="shared" si="219"/>
        <v>0</v>
      </c>
      <c r="J6982" s="22" t="str">
        <f t="shared" si="220"/>
        <v>lost money</v>
      </c>
    </row>
    <row r="6983" spans="1:10">
      <c r="A6983" s="1">
        <v>41270</v>
      </c>
      <c r="B6983">
        <v>33.54</v>
      </c>
      <c r="C6983">
        <v>33.619999999999997</v>
      </c>
      <c r="D6983">
        <v>33</v>
      </c>
      <c r="E6983">
        <v>33.270000000000003</v>
      </c>
      <c r="F6983">
        <v>21600200</v>
      </c>
      <c r="G6983">
        <v>32.92</v>
      </c>
      <c r="H6983" t="s">
        <v>8</v>
      </c>
      <c r="I6983" s="22">
        <f t="shared" si="219"/>
        <v>-1.0275097955912492E-2</v>
      </c>
      <c r="J6983" s="22" t="str">
        <f t="shared" si="220"/>
        <v>lost money</v>
      </c>
    </row>
    <row r="6984" spans="1:10">
      <c r="A6984" s="1">
        <v>41271</v>
      </c>
      <c r="B6984">
        <v>33.04</v>
      </c>
      <c r="C6984">
        <v>33.49</v>
      </c>
      <c r="D6984">
        <v>33</v>
      </c>
      <c r="E6984">
        <v>33.020000000000003</v>
      </c>
      <c r="F6984">
        <v>16792100</v>
      </c>
      <c r="G6984">
        <v>32.67</v>
      </c>
      <c r="H6984" t="s">
        <v>8</v>
      </c>
      <c r="I6984" s="22">
        <f t="shared" si="219"/>
        <v>-7.6231501958902966E-3</v>
      </c>
      <c r="J6984" s="22" t="str">
        <f t="shared" si="220"/>
        <v>lost money</v>
      </c>
    </row>
    <row r="6985" spans="1:10">
      <c r="A6985" s="1">
        <v>41274</v>
      </c>
      <c r="B6985">
        <v>32.909999999999997</v>
      </c>
      <c r="C6985">
        <v>33.46</v>
      </c>
      <c r="D6985">
        <v>32.69</v>
      </c>
      <c r="E6985">
        <v>33.32</v>
      </c>
      <c r="F6985">
        <v>25320000</v>
      </c>
      <c r="G6985">
        <v>32.97</v>
      </c>
      <c r="H6985" t="s">
        <v>8</v>
      </c>
      <c r="I6985" s="22">
        <f t="shared" si="219"/>
        <v>9.1408314706609099E-3</v>
      </c>
      <c r="J6985" s="22" t="str">
        <f t="shared" si="220"/>
        <v/>
      </c>
    </row>
    <row r="6986" spans="1:10">
      <c r="A6986" s="1">
        <v>41276</v>
      </c>
      <c r="B6986">
        <v>34.08</v>
      </c>
      <c r="C6986">
        <v>34.74</v>
      </c>
      <c r="D6986">
        <v>33.93</v>
      </c>
      <c r="E6986">
        <v>34.69</v>
      </c>
      <c r="F6986">
        <v>33758400</v>
      </c>
      <c r="G6986">
        <v>34.32</v>
      </c>
      <c r="H6986" t="s">
        <v>8</v>
      </c>
      <c r="I6986" s="22">
        <f t="shared" si="219"/>
        <v>4.0130217536121809E-2</v>
      </c>
      <c r="J6986" s="22" t="str">
        <f t="shared" si="220"/>
        <v/>
      </c>
    </row>
    <row r="6987" spans="1:10">
      <c r="A6987" s="1">
        <v>41277</v>
      </c>
      <c r="B6987">
        <v>34.630000000000003</v>
      </c>
      <c r="C6987">
        <v>34.75</v>
      </c>
      <c r="D6987">
        <v>34.14</v>
      </c>
      <c r="E6987">
        <v>34.31</v>
      </c>
      <c r="F6987">
        <v>21819500</v>
      </c>
      <c r="G6987">
        <v>33.950000000000003</v>
      </c>
      <c r="H6987" t="s">
        <v>8</v>
      </c>
      <c r="I6987" s="22">
        <f t="shared" si="219"/>
        <v>-1.0839420615056267E-2</v>
      </c>
      <c r="J6987" s="22" t="str">
        <f t="shared" si="220"/>
        <v>lost money</v>
      </c>
    </row>
    <row r="6988" spans="1:10">
      <c r="A6988" s="1">
        <v>41278</v>
      </c>
      <c r="B6988">
        <v>34.450000000000003</v>
      </c>
      <c r="C6988">
        <v>34.75</v>
      </c>
      <c r="D6988">
        <v>34.4</v>
      </c>
      <c r="E6988">
        <v>34.61</v>
      </c>
      <c r="F6988">
        <v>21687300</v>
      </c>
      <c r="G6988">
        <v>34.24</v>
      </c>
      <c r="H6988" t="s">
        <v>8</v>
      </c>
      <c r="I6988" s="22">
        <f t="shared" si="219"/>
        <v>8.505697268836189E-3</v>
      </c>
      <c r="J6988" s="22" t="str">
        <f t="shared" si="220"/>
        <v/>
      </c>
    </row>
    <row r="6989" spans="1:10">
      <c r="A6989" s="1">
        <v>41281</v>
      </c>
      <c r="B6989">
        <v>34.44</v>
      </c>
      <c r="C6989">
        <v>34.520000000000003</v>
      </c>
      <c r="D6989">
        <v>34.21</v>
      </c>
      <c r="E6989">
        <v>34.43</v>
      </c>
      <c r="F6989">
        <v>14008300</v>
      </c>
      <c r="G6989">
        <v>34.07</v>
      </c>
      <c r="H6989" t="s">
        <v>8</v>
      </c>
      <c r="I6989" s="22">
        <f t="shared" si="219"/>
        <v>-4.9773196006662008E-3</v>
      </c>
      <c r="J6989" s="22" t="str">
        <f t="shared" si="220"/>
        <v>lost money</v>
      </c>
    </row>
    <row r="6990" spans="1:10">
      <c r="A6990" s="1">
        <v>41282</v>
      </c>
      <c r="B6990">
        <v>34.15</v>
      </c>
      <c r="C6990">
        <v>34.51</v>
      </c>
      <c r="D6990">
        <v>34.06</v>
      </c>
      <c r="E6990">
        <v>34.44</v>
      </c>
      <c r="F6990">
        <v>17408900</v>
      </c>
      <c r="G6990">
        <v>34.08</v>
      </c>
      <c r="H6990" t="s">
        <v>8</v>
      </c>
      <c r="I6990" s="22">
        <f t="shared" si="219"/>
        <v>2.9347028823974977E-4</v>
      </c>
      <c r="J6990" s="22" t="str">
        <f t="shared" si="220"/>
        <v/>
      </c>
    </row>
    <row r="6991" spans="1:10">
      <c r="A6991" s="1">
        <v>41283</v>
      </c>
      <c r="B6991">
        <v>34.5</v>
      </c>
      <c r="C6991">
        <v>34.799999999999997</v>
      </c>
      <c r="D6991">
        <v>34.380000000000003</v>
      </c>
      <c r="E6991">
        <v>34.46</v>
      </c>
      <c r="F6991">
        <v>18932700</v>
      </c>
      <c r="G6991">
        <v>34.1</v>
      </c>
      <c r="H6991" t="s">
        <v>8</v>
      </c>
      <c r="I6991" s="22">
        <f t="shared" si="219"/>
        <v>5.8668232835621531E-4</v>
      </c>
      <c r="J6991" s="22" t="str">
        <f t="shared" si="220"/>
        <v>lost money</v>
      </c>
    </row>
    <row r="6992" spans="1:10">
      <c r="A6992" s="1">
        <v>41284</v>
      </c>
      <c r="B6992">
        <v>34.56</v>
      </c>
      <c r="C6992">
        <v>34.92</v>
      </c>
      <c r="D6992">
        <v>34.409999999999997</v>
      </c>
      <c r="E6992">
        <v>34.909999999999997</v>
      </c>
      <c r="F6992">
        <v>17843600</v>
      </c>
      <c r="G6992">
        <v>34.54</v>
      </c>
      <c r="H6992" t="s">
        <v>8</v>
      </c>
      <c r="I6992" s="22">
        <f t="shared" si="219"/>
        <v>1.2820688429061469E-2</v>
      </c>
      <c r="J6992" s="22" t="str">
        <f t="shared" si="220"/>
        <v/>
      </c>
    </row>
    <row r="6993" spans="1:10">
      <c r="A6993" s="1">
        <v>41285</v>
      </c>
      <c r="B6993">
        <v>34.96</v>
      </c>
      <c r="C6993">
        <v>35</v>
      </c>
      <c r="D6993">
        <v>34.78</v>
      </c>
      <c r="E6993">
        <v>34.86</v>
      </c>
      <c r="F6993">
        <v>15105200</v>
      </c>
      <c r="G6993">
        <v>34.49</v>
      </c>
      <c r="H6993" t="s">
        <v>8</v>
      </c>
      <c r="I6993" s="22">
        <f t="shared" si="219"/>
        <v>-1.4486457697829532E-3</v>
      </c>
      <c r="J6993" s="22" t="str">
        <f t="shared" si="220"/>
        <v>lost money</v>
      </c>
    </row>
    <row r="6994" spans="1:10">
      <c r="A6994" s="1">
        <v>41288</v>
      </c>
      <c r="B6994">
        <v>34.83</v>
      </c>
      <c r="C6994">
        <v>35</v>
      </c>
      <c r="D6994">
        <v>34.6</v>
      </c>
      <c r="E6994">
        <v>34.96</v>
      </c>
      <c r="F6994">
        <v>14589400</v>
      </c>
      <c r="G6994">
        <v>34.590000000000003</v>
      </c>
      <c r="H6994" t="s">
        <v>8</v>
      </c>
      <c r="I6994" s="22">
        <f t="shared" si="219"/>
        <v>2.895196000327855E-3</v>
      </c>
      <c r="J6994" s="22" t="str">
        <f t="shared" si="220"/>
        <v/>
      </c>
    </row>
    <row r="6995" spans="1:10">
      <c r="A6995" s="1">
        <v>41289</v>
      </c>
      <c r="B6995">
        <v>34.57</v>
      </c>
      <c r="C6995">
        <v>34.880000000000003</v>
      </c>
      <c r="D6995">
        <v>34.520000000000003</v>
      </c>
      <c r="E6995">
        <v>34.700000000000003</v>
      </c>
      <c r="F6995">
        <v>16263600</v>
      </c>
      <c r="G6995">
        <v>34.33</v>
      </c>
      <c r="H6995" t="s">
        <v>8</v>
      </c>
      <c r="I6995" s="22">
        <f t="shared" si="219"/>
        <v>-7.5450154794767825E-3</v>
      </c>
      <c r="J6995" s="22" t="str">
        <f t="shared" si="220"/>
        <v/>
      </c>
    </row>
    <row r="6996" spans="1:10">
      <c r="A6996" s="1">
        <v>41290</v>
      </c>
      <c r="B6996">
        <v>34.630000000000003</v>
      </c>
      <c r="C6996">
        <v>34.869999999999997</v>
      </c>
      <c r="D6996">
        <v>34.56</v>
      </c>
      <c r="E6996">
        <v>34.64</v>
      </c>
      <c r="F6996">
        <v>17608200</v>
      </c>
      <c r="G6996">
        <v>34.270000000000003</v>
      </c>
      <c r="H6996" t="s">
        <v>8</v>
      </c>
      <c r="I6996" s="22">
        <f t="shared" si="219"/>
        <v>-1.7492715830831258E-3</v>
      </c>
      <c r="J6996" s="22" t="str">
        <f t="shared" si="220"/>
        <v/>
      </c>
    </row>
    <row r="6997" spans="1:10">
      <c r="A6997" s="1">
        <v>41291</v>
      </c>
      <c r="B6997">
        <v>34.76</v>
      </c>
      <c r="C6997">
        <v>34.81</v>
      </c>
      <c r="D6997">
        <v>34.6</v>
      </c>
      <c r="E6997">
        <v>34.619999999999997</v>
      </c>
      <c r="F6997">
        <v>17827100</v>
      </c>
      <c r="G6997">
        <v>34.25</v>
      </c>
      <c r="H6997" t="s">
        <v>8</v>
      </c>
      <c r="I6997" s="22">
        <f t="shared" si="219"/>
        <v>-5.8377117828325336E-4</v>
      </c>
      <c r="J6997" s="22" t="str">
        <f t="shared" si="220"/>
        <v>lost money</v>
      </c>
    </row>
    <row r="6998" spans="1:10">
      <c r="A6998" s="1">
        <v>41292</v>
      </c>
      <c r="B6998">
        <v>34.590000000000003</v>
      </c>
      <c r="C6998">
        <v>35.130000000000003</v>
      </c>
      <c r="D6998">
        <v>34.409999999999997</v>
      </c>
      <c r="E6998">
        <v>35.11</v>
      </c>
      <c r="F6998">
        <v>30088900</v>
      </c>
      <c r="G6998">
        <v>34.74</v>
      </c>
      <c r="H6998" t="s">
        <v>8</v>
      </c>
      <c r="I6998" s="22">
        <f t="shared" si="219"/>
        <v>1.4205196104724619E-2</v>
      </c>
      <c r="J6998" s="22" t="str">
        <f t="shared" si="220"/>
        <v/>
      </c>
    </row>
    <row r="6999" spans="1:10">
      <c r="A6999" s="1">
        <v>41296</v>
      </c>
      <c r="B6999">
        <v>34.950000000000003</v>
      </c>
      <c r="C6999">
        <v>34.979999999999997</v>
      </c>
      <c r="D6999">
        <v>34.53</v>
      </c>
      <c r="E6999">
        <v>34.93</v>
      </c>
      <c r="F6999">
        <v>19309500</v>
      </c>
      <c r="G6999">
        <v>34.56</v>
      </c>
      <c r="H6999" t="s">
        <v>8</v>
      </c>
      <c r="I6999" s="22">
        <f t="shared" si="219"/>
        <v>-5.1948168771040228E-3</v>
      </c>
      <c r="J6999" s="22" t="str">
        <f t="shared" si="220"/>
        <v>lost money</v>
      </c>
    </row>
    <row r="7000" spans="1:10">
      <c r="A7000" s="1">
        <v>41297</v>
      </c>
      <c r="B7000">
        <v>34.96</v>
      </c>
      <c r="C7000">
        <v>35.200000000000003</v>
      </c>
      <c r="D7000">
        <v>34.69</v>
      </c>
      <c r="E7000">
        <v>34.69</v>
      </c>
      <c r="F7000">
        <v>17235800</v>
      </c>
      <c r="G7000">
        <v>34.32</v>
      </c>
      <c r="H7000" t="s">
        <v>8</v>
      </c>
      <c r="I7000" s="22">
        <f t="shared" si="219"/>
        <v>-6.9686693160934277E-3</v>
      </c>
      <c r="J7000" s="22" t="str">
        <f t="shared" si="220"/>
        <v>lost money</v>
      </c>
    </row>
    <row r="7001" spans="1:10">
      <c r="A7001" s="1">
        <v>41298</v>
      </c>
      <c r="B7001">
        <v>34.880000000000003</v>
      </c>
      <c r="C7001">
        <v>35.4</v>
      </c>
      <c r="D7001">
        <v>34.81</v>
      </c>
      <c r="E7001">
        <v>34.94</v>
      </c>
      <c r="F7001">
        <v>18662000</v>
      </c>
      <c r="G7001">
        <v>34.57</v>
      </c>
      <c r="H7001" t="s">
        <v>8</v>
      </c>
      <c r="I7001" s="22">
        <f t="shared" si="219"/>
        <v>7.2579793137715681E-3</v>
      </c>
      <c r="J7001" s="22" t="str">
        <f t="shared" si="220"/>
        <v/>
      </c>
    </row>
    <row r="7002" spans="1:10">
      <c r="A7002" s="1">
        <v>41299</v>
      </c>
      <c r="B7002">
        <v>35</v>
      </c>
      <c r="C7002">
        <v>35.4</v>
      </c>
      <c r="D7002">
        <v>34.880000000000003</v>
      </c>
      <c r="E7002">
        <v>35.380000000000003</v>
      </c>
      <c r="F7002">
        <v>18061300</v>
      </c>
      <c r="G7002">
        <v>35.01</v>
      </c>
      <c r="H7002" t="s">
        <v>8</v>
      </c>
      <c r="I7002" s="22">
        <f t="shared" si="219"/>
        <v>1.2647481033040994E-2</v>
      </c>
      <c r="J7002" s="22" t="str">
        <f t="shared" si="220"/>
        <v/>
      </c>
    </row>
    <row r="7003" spans="1:10">
      <c r="A7003" s="1">
        <v>41302</v>
      </c>
      <c r="B7003">
        <v>35.409999999999997</v>
      </c>
      <c r="C7003">
        <v>35.79</v>
      </c>
      <c r="D7003">
        <v>35.380000000000003</v>
      </c>
      <c r="E7003">
        <v>35.54</v>
      </c>
      <c r="F7003">
        <v>20119500</v>
      </c>
      <c r="G7003">
        <v>35.17</v>
      </c>
      <c r="H7003" t="s">
        <v>8</v>
      </c>
      <c r="I7003" s="22">
        <f t="shared" si="219"/>
        <v>4.5597115193168735E-3</v>
      </c>
      <c r="J7003" s="22" t="str">
        <f t="shared" si="220"/>
        <v/>
      </c>
    </row>
    <row r="7004" spans="1:10">
      <c r="A7004" s="1">
        <v>41303</v>
      </c>
      <c r="B7004">
        <v>35.36</v>
      </c>
      <c r="C7004">
        <v>35.869999999999997</v>
      </c>
      <c r="D7004">
        <v>35.07</v>
      </c>
      <c r="E7004">
        <v>35.78</v>
      </c>
      <c r="F7004">
        <v>18284800</v>
      </c>
      <c r="G7004">
        <v>35.4</v>
      </c>
      <c r="H7004" t="s">
        <v>8</v>
      </c>
      <c r="I7004" s="22">
        <f t="shared" si="219"/>
        <v>6.5183736538375172E-3</v>
      </c>
      <c r="J7004" s="22" t="str">
        <f t="shared" si="220"/>
        <v/>
      </c>
    </row>
    <row r="7005" spans="1:10">
      <c r="A7005" s="1">
        <v>41304</v>
      </c>
      <c r="B7005">
        <v>35.76</v>
      </c>
      <c r="C7005">
        <v>35.880000000000003</v>
      </c>
      <c r="D7005">
        <v>35.29</v>
      </c>
      <c r="E7005">
        <v>35.380000000000003</v>
      </c>
      <c r="F7005">
        <v>14249900</v>
      </c>
      <c r="G7005">
        <v>35.01</v>
      </c>
      <c r="H7005" t="s">
        <v>8</v>
      </c>
      <c r="I7005" s="22">
        <f t="shared" si="219"/>
        <v>-1.1078085173154452E-2</v>
      </c>
      <c r="J7005" s="22" t="str">
        <f t="shared" si="220"/>
        <v>lost money</v>
      </c>
    </row>
    <row r="7006" spans="1:10">
      <c r="A7006" s="1">
        <v>41305</v>
      </c>
      <c r="B7006">
        <v>35.270000000000003</v>
      </c>
      <c r="C7006">
        <v>35.69</v>
      </c>
      <c r="D7006">
        <v>35.25</v>
      </c>
      <c r="E7006">
        <v>35.51</v>
      </c>
      <c r="F7006">
        <v>19077700</v>
      </c>
      <c r="G7006">
        <v>35.14</v>
      </c>
      <c r="H7006" t="s">
        <v>8</v>
      </c>
      <c r="I7006" s="22">
        <f t="shared" si="219"/>
        <v>3.7063477923768738E-3</v>
      </c>
      <c r="J7006" s="22" t="str">
        <f t="shared" si="220"/>
        <v/>
      </c>
    </row>
    <row r="7007" spans="1:10">
      <c r="A7007" s="1">
        <v>41306</v>
      </c>
      <c r="B7007">
        <v>35.869999999999997</v>
      </c>
      <c r="C7007">
        <v>36.31</v>
      </c>
      <c r="D7007">
        <v>35.81</v>
      </c>
      <c r="E7007">
        <v>36.21</v>
      </c>
      <c r="F7007">
        <v>27725700</v>
      </c>
      <c r="G7007">
        <v>35.83</v>
      </c>
      <c r="H7007" t="s">
        <v>8</v>
      </c>
      <c r="I7007" s="22">
        <f t="shared" si="219"/>
        <v>1.9445448557911325E-2</v>
      </c>
      <c r="J7007" s="22" t="str">
        <f t="shared" si="220"/>
        <v/>
      </c>
    </row>
    <row r="7008" spans="1:10">
      <c r="A7008" s="1">
        <v>41309</v>
      </c>
      <c r="B7008">
        <v>35.81</v>
      </c>
      <c r="C7008">
        <v>36</v>
      </c>
      <c r="D7008">
        <v>35.03</v>
      </c>
      <c r="E7008">
        <v>35.130000000000003</v>
      </c>
      <c r="F7008">
        <v>23595800</v>
      </c>
      <c r="G7008">
        <v>34.76</v>
      </c>
      <c r="H7008" t="s">
        <v>8</v>
      </c>
      <c r="I7008" s="22">
        <f t="shared" si="219"/>
        <v>-3.0318230919671108E-2</v>
      </c>
      <c r="J7008" s="22" t="str">
        <f t="shared" si="220"/>
        <v>lost money</v>
      </c>
    </row>
    <row r="7009" spans="1:10">
      <c r="A7009" s="1">
        <v>41310</v>
      </c>
      <c r="B7009">
        <v>35.21</v>
      </c>
      <c r="C7009">
        <v>35.72</v>
      </c>
      <c r="D7009">
        <v>35.14</v>
      </c>
      <c r="E7009">
        <v>35.479999999999997</v>
      </c>
      <c r="F7009">
        <v>16662700</v>
      </c>
      <c r="G7009">
        <v>35.11</v>
      </c>
      <c r="H7009" t="s">
        <v>8</v>
      </c>
      <c r="I7009" s="22">
        <f t="shared" si="219"/>
        <v>1.0018689783149719E-2</v>
      </c>
      <c r="J7009" s="22" t="str">
        <f t="shared" si="220"/>
        <v/>
      </c>
    </row>
    <row r="7010" spans="1:10">
      <c r="A7010" s="1">
        <v>41311</v>
      </c>
      <c r="B7010">
        <v>35.31</v>
      </c>
      <c r="C7010">
        <v>35.42</v>
      </c>
      <c r="D7010">
        <v>35.01</v>
      </c>
      <c r="E7010">
        <v>35.1</v>
      </c>
      <c r="F7010">
        <v>15603500</v>
      </c>
      <c r="G7010">
        <v>34.729999999999997</v>
      </c>
      <c r="H7010" t="s">
        <v>8</v>
      </c>
      <c r="I7010" s="22">
        <f t="shared" si="219"/>
        <v>-1.088212342435829E-2</v>
      </c>
      <c r="J7010" s="22" t="str">
        <f t="shared" si="220"/>
        <v>lost money</v>
      </c>
    </row>
    <row r="7011" spans="1:10">
      <c r="A7011" s="1">
        <v>41312</v>
      </c>
      <c r="B7011">
        <v>35.15</v>
      </c>
      <c r="C7011">
        <v>35.19</v>
      </c>
      <c r="D7011">
        <v>34.450000000000003</v>
      </c>
      <c r="E7011">
        <v>34.56</v>
      </c>
      <c r="F7011">
        <v>26869300</v>
      </c>
      <c r="G7011">
        <v>34.200000000000003</v>
      </c>
      <c r="H7011" t="s">
        <v>8</v>
      </c>
      <c r="I7011" s="22">
        <f t="shared" si="219"/>
        <v>-1.5378222687423013E-2</v>
      </c>
      <c r="J7011" s="22" t="str">
        <f t="shared" si="220"/>
        <v>lost money</v>
      </c>
    </row>
    <row r="7012" spans="1:10">
      <c r="A7012" s="1">
        <v>41313</v>
      </c>
      <c r="B7012">
        <v>34.76</v>
      </c>
      <c r="C7012">
        <v>34.979999999999997</v>
      </c>
      <c r="D7012">
        <v>34.5</v>
      </c>
      <c r="E7012">
        <v>34.9</v>
      </c>
      <c r="F7012">
        <v>19255700</v>
      </c>
      <c r="G7012">
        <v>34.53</v>
      </c>
      <c r="H7012" t="s">
        <v>8</v>
      </c>
      <c r="I7012" s="22">
        <f t="shared" si="219"/>
        <v>9.602867333341418E-3</v>
      </c>
      <c r="J7012" s="22" t="str">
        <f t="shared" si="220"/>
        <v/>
      </c>
    </row>
    <row r="7013" spans="1:10">
      <c r="A7013" s="1">
        <v>41316</v>
      </c>
      <c r="B7013">
        <v>34.979999999999997</v>
      </c>
      <c r="C7013">
        <v>35.04</v>
      </c>
      <c r="D7013">
        <v>34.549999999999997</v>
      </c>
      <c r="E7013">
        <v>34.96</v>
      </c>
      <c r="F7013">
        <v>12648800</v>
      </c>
      <c r="G7013">
        <v>34.590000000000003</v>
      </c>
      <c r="H7013" t="s">
        <v>8</v>
      </c>
      <c r="I7013" s="22">
        <f t="shared" si="219"/>
        <v>1.7361115471765172E-3</v>
      </c>
      <c r="J7013" s="22" t="str">
        <f t="shared" si="220"/>
        <v>lost money</v>
      </c>
    </row>
    <row r="7014" spans="1:10">
      <c r="A7014" s="1">
        <v>41317</v>
      </c>
      <c r="B7014">
        <v>34.89</v>
      </c>
      <c r="C7014">
        <v>35.25</v>
      </c>
      <c r="D7014">
        <v>34.85</v>
      </c>
      <c r="E7014">
        <v>35.11</v>
      </c>
      <c r="F7014">
        <v>14666300</v>
      </c>
      <c r="G7014">
        <v>34.74</v>
      </c>
      <c r="H7014" t="s">
        <v>8</v>
      </c>
      <c r="I7014" s="22">
        <f t="shared" si="219"/>
        <v>4.3271378638814889E-3</v>
      </c>
      <c r="J7014" s="22" t="str">
        <f t="shared" si="220"/>
        <v/>
      </c>
    </row>
    <row r="7015" spans="1:10">
      <c r="A7015" s="1">
        <v>41318</v>
      </c>
      <c r="B7015">
        <v>35.21</v>
      </c>
      <c r="C7015">
        <v>35.26</v>
      </c>
      <c r="D7015">
        <v>34.880000000000003</v>
      </c>
      <c r="E7015">
        <v>34.99</v>
      </c>
      <c r="F7015">
        <v>13176800</v>
      </c>
      <c r="G7015">
        <v>34.619999999999997</v>
      </c>
      <c r="H7015" t="s">
        <v>8</v>
      </c>
      <c r="I7015" s="22">
        <f t="shared" si="219"/>
        <v>-3.4602110648958425E-3</v>
      </c>
      <c r="J7015" s="22" t="str">
        <f t="shared" si="220"/>
        <v>lost money</v>
      </c>
    </row>
    <row r="7016" spans="1:10">
      <c r="A7016" s="1">
        <v>41319</v>
      </c>
      <c r="B7016">
        <v>34.869999999999997</v>
      </c>
      <c r="C7016">
        <v>35.07</v>
      </c>
      <c r="D7016">
        <v>34.69</v>
      </c>
      <c r="E7016">
        <v>34.9</v>
      </c>
      <c r="F7016">
        <v>15886800</v>
      </c>
      <c r="G7016">
        <v>34.53</v>
      </c>
      <c r="H7016" t="s">
        <v>8</v>
      </c>
      <c r="I7016" s="22">
        <f t="shared" si="219"/>
        <v>-2.6030383461620936E-3</v>
      </c>
      <c r="J7016" s="22" t="str">
        <f t="shared" si="220"/>
        <v/>
      </c>
    </row>
    <row r="7017" spans="1:10">
      <c r="A7017" s="1">
        <v>41320</v>
      </c>
      <c r="B7017">
        <v>34.799999999999997</v>
      </c>
      <c r="C7017">
        <v>34.99</v>
      </c>
      <c r="D7017">
        <v>34.65</v>
      </c>
      <c r="E7017">
        <v>34.81</v>
      </c>
      <c r="F7017">
        <v>18406000</v>
      </c>
      <c r="G7017">
        <v>34.44</v>
      </c>
      <c r="H7017" t="s">
        <v>8</v>
      </c>
      <c r="I7017" s="22">
        <f t="shared" si="219"/>
        <v>-2.6098318423710084E-3</v>
      </c>
      <c r="J7017" s="22" t="str">
        <f t="shared" si="220"/>
        <v/>
      </c>
    </row>
    <row r="7018" spans="1:10">
      <c r="A7018" s="1">
        <v>41324</v>
      </c>
      <c r="B7018">
        <v>34.93</v>
      </c>
      <c r="C7018">
        <v>35.409999999999997</v>
      </c>
      <c r="D7018">
        <v>34.82</v>
      </c>
      <c r="E7018">
        <v>35.4</v>
      </c>
      <c r="F7018">
        <v>16446000</v>
      </c>
      <c r="G7018">
        <v>35.03</v>
      </c>
      <c r="H7018" t="s">
        <v>8</v>
      </c>
      <c r="I7018" s="22">
        <f t="shared" si="219"/>
        <v>1.698615764986542E-2</v>
      </c>
      <c r="J7018" s="22" t="str">
        <f t="shared" si="220"/>
        <v/>
      </c>
    </row>
    <row r="7019" spans="1:10">
      <c r="A7019" s="1">
        <v>41325</v>
      </c>
      <c r="B7019">
        <v>35.5</v>
      </c>
      <c r="C7019">
        <v>35.590000000000003</v>
      </c>
      <c r="D7019">
        <v>35</v>
      </c>
      <c r="E7019">
        <v>35.01</v>
      </c>
      <c r="F7019">
        <v>16263700</v>
      </c>
      <c r="G7019">
        <v>34.64</v>
      </c>
      <c r="H7019" t="s">
        <v>8</v>
      </c>
      <c r="I7019" s="22">
        <f t="shared" si="219"/>
        <v>-1.1195753515161003E-2</v>
      </c>
      <c r="J7019" s="22" t="str">
        <f t="shared" si="220"/>
        <v>lost money</v>
      </c>
    </row>
    <row r="7020" spans="1:10">
      <c r="A7020" s="1">
        <v>41326</v>
      </c>
      <c r="B7020">
        <v>34.950000000000003</v>
      </c>
      <c r="C7020">
        <v>34.950000000000003</v>
      </c>
      <c r="D7020">
        <v>34.17</v>
      </c>
      <c r="E7020">
        <v>34.28</v>
      </c>
      <c r="F7020">
        <v>20923100</v>
      </c>
      <c r="G7020">
        <v>33.92</v>
      </c>
      <c r="H7020" t="s">
        <v>8</v>
      </c>
      <c r="I7020" s="22">
        <f t="shared" si="219"/>
        <v>-2.1004272770532011E-2</v>
      </c>
      <c r="J7020" s="22" t="str">
        <f t="shared" si="220"/>
        <v>lost money</v>
      </c>
    </row>
    <row r="7021" spans="1:10">
      <c r="A7021" s="1">
        <v>41327</v>
      </c>
      <c r="B7021">
        <v>34.51</v>
      </c>
      <c r="C7021">
        <v>34.78</v>
      </c>
      <c r="D7021">
        <v>34.130000000000003</v>
      </c>
      <c r="E7021">
        <v>34.75</v>
      </c>
      <c r="F7021">
        <v>13754700</v>
      </c>
      <c r="G7021">
        <v>34.380000000000003</v>
      </c>
      <c r="H7021" t="s">
        <v>8</v>
      </c>
      <c r="I7021" s="22">
        <f t="shared" si="219"/>
        <v>1.3470189031000838E-2</v>
      </c>
      <c r="J7021" s="22" t="str">
        <f t="shared" si="220"/>
        <v/>
      </c>
    </row>
    <row r="7022" spans="1:10">
      <c r="A7022" s="1">
        <v>41330</v>
      </c>
      <c r="B7022">
        <v>35.07</v>
      </c>
      <c r="C7022">
        <v>35.43</v>
      </c>
      <c r="D7022">
        <v>34.270000000000003</v>
      </c>
      <c r="E7022">
        <v>34.28</v>
      </c>
      <c r="F7022">
        <v>19992900</v>
      </c>
      <c r="G7022">
        <v>33.92</v>
      </c>
      <c r="H7022" t="s">
        <v>8</v>
      </c>
      <c r="I7022" s="22">
        <f t="shared" si="219"/>
        <v>-1.3470189031000857E-2</v>
      </c>
      <c r="J7022" s="22" t="str">
        <f t="shared" si="220"/>
        <v>lost money</v>
      </c>
    </row>
    <row r="7023" spans="1:10">
      <c r="A7023" s="1">
        <v>41331</v>
      </c>
      <c r="B7023">
        <v>34.28</v>
      </c>
      <c r="C7023">
        <v>34.57</v>
      </c>
      <c r="D7023">
        <v>34.08</v>
      </c>
      <c r="E7023">
        <v>34.32</v>
      </c>
      <c r="F7023">
        <v>15839500</v>
      </c>
      <c r="G7023">
        <v>33.96</v>
      </c>
      <c r="H7023" t="s">
        <v>8</v>
      </c>
      <c r="I7023" s="22">
        <f t="shared" si="219"/>
        <v>1.1785505194442023E-3</v>
      </c>
      <c r="J7023" s="22" t="str">
        <f t="shared" si="220"/>
        <v/>
      </c>
    </row>
    <row r="7024" spans="1:10">
      <c r="A7024" s="1">
        <v>41332</v>
      </c>
      <c r="B7024">
        <v>34.25</v>
      </c>
      <c r="C7024">
        <v>34.97</v>
      </c>
      <c r="D7024">
        <v>34.06</v>
      </c>
      <c r="E7024">
        <v>34.68</v>
      </c>
      <c r="F7024">
        <v>15671400</v>
      </c>
      <c r="G7024">
        <v>34.31</v>
      </c>
      <c r="H7024" t="s">
        <v>8</v>
      </c>
      <c r="I7024" s="22">
        <f t="shared" si="219"/>
        <v>1.0253495427211854E-2</v>
      </c>
      <c r="J7024" s="22" t="str">
        <f t="shared" si="220"/>
        <v/>
      </c>
    </row>
    <row r="7025" spans="1:10">
      <c r="A7025" s="1">
        <v>41333</v>
      </c>
      <c r="B7025">
        <v>34.700000000000003</v>
      </c>
      <c r="C7025">
        <v>34.86</v>
      </c>
      <c r="D7025">
        <v>34.22</v>
      </c>
      <c r="E7025">
        <v>34.24</v>
      </c>
      <c r="F7025">
        <v>23816400</v>
      </c>
      <c r="G7025">
        <v>33.880000000000003</v>
      </c>
      <c r="H7025" t="s">
        <v>8</v>
      </c>
      <c r="I7025" s="22">
        <f t="shared" si="219"/>
        <v>-1.2611987086504685E-2</v>
      </c>
      <c r="J7025" s="22" t="str">
        <f t="shared" si="220"/>
        <v>lost money</v>
      </c>
    </row>
    <row r="7026" spans="1:10">
      <c r="A7026" s="1">
        <v>41334</v>
      </c>
      <c r="B7026">
        <v>34.119999999999997</v>
      </c>
      <c r="C7026">
        <v>34.83</v>
      </c>
      <c r="D7026">
        <v>34</v>
      </c>
      <c r="E7026">
        <v>34.630000000000003</v>
      </c>
      <c r="F7026">
        <v>20376000</v>
      </c>
      <c r="G7026">
        <v>34.26</v>
      </c>
      <c r="H7026" t="s">
        <v>8</v>
      </c>
      <c r="I7026" s="22">
        <f t="shared" si="219"/>
        <v>1.1153623112119964E-2</v>
      </c>
      <c r="J7026" s="22" t="str">
        <f t="shared" si="220"/>
        <v/>
      </c>
    </row>
    <row r="7027" spans="1:10">
      <c r="A7027" s="1">
        <v>41337</v>
      </c>
      <c r="B7027">
        <v>34.53</v>
      </c>
      <c r="C7027">
        <v>35.08</v>
      </c>
      <c r="D7027">
        <v>34.4</v>
      </c>
      <c r="E7027">
        <v>35.049999999999997</v>
      </c>
      <c r="F7027">
        <v>14750500</v>
      </c>
      <c r="G7027">
        <v>34.68</v>
      </c>
      <c r="H7027" t="s">
        <v>8</v>
      </c>
      <c r="I7027" s="22">
        <f t="shared" si="219"/>
        <v>1.2184659016367219E-2</v>
      </c>
      <c r="J7027" s="22" t="str">
        <f t="shared" si="220"/>
        <v/>
      </c>
    </row>
    <row r="7028" spans="1:10">
      <c r="A7028" s="1">
        <v>41338</v>
      </c>
      <c r="B7028">
        <v>35.22</v>
      </c>
      <c r="C7028">
        <v>35.68</v>
      </c>
      <c r="D7028">
        <v>35.21</v>
      </c>
      <c r="E7028">
        <v>35.46</v>
      </c>
      <c r="F7028">
        <v>15410100</v>
      </c>
      <c r="G7028">
        <v>35.090000000000003</v>
      </c>
      <c r="H7028" t="s">
        <v>8</v>
      </c>
      <c r="I7028" s="22">
        <f t="shared" si="219"/>
        <v>1.1753037682782732E-2</v>
      </c>
      <c r="J7028" s="22" t="str">
        <f t="shared" si="220"/>
        <v/>
      </c>
    </row>
    <row r="7029" spans="1:10">
      <c r="A7029" s="1">
        <v>41339</v>
      </c>
      <c r="B7029">
        <v>35.5</v>
      </c>
      <c r="C7029">
        <v>35.93</v>
      </c>
      <c r="D7029">
        <v>35.479999999999997</v>
      </c>
      <c r="E7029">
        <v>35.86</v>
      </c>
      <c r="F7029">
        <v>21340800</v>
      </c>
      <c r="G7029">
        <v>35.479999999999997</v>
      </c>
      <c r="H7029" t="s">
        <v>8</v>
      </c>
      <c r="I7029" s="22">
        <f t="shared" si="219"/>
        <v>1.1052967846254881E-2</v>
      </c>
      <c r="J7029" s="22" t="str">
        <f t="shared" si="220"/>
        <v/>
      </c>
    </row>
    <row r="7030" spans="1:10">
      <c r="A7030" s="1">
        <v>41340</v>
      </c>
      <c r="B7030">
        <v>35.94</v>
      </c>
      <c r="C7030">
        <v>36.130000000000003</v>
      </c>
      <c r="D7030">
        <v>35.76</v>
      </c>
      <c r="E7030">
        <v>35.94</v>
      </c>
      <c r="F7030">
        <v>15098100</v>
      </c>
      <c r="G7030">
        <v>35.56</v>
      </c>
      <c r="H7030" t="s">
        <v>8</v>
      </c>
      <c r="I7030" s="22">
        <f t="shared" si="219"/>
        <v>2.2522532043252746E-3</v>
      </c>
      <c r="J7030" s="22" t="str">
        <f t="shared" si="220"/>
        <v/>
      </c>
    </row>
    <row r="7031" spans="1:10">
      <c r="A7031" s="1">
        <v>41341</v>
      </c>
      <c r="B7031">
        <v>35.94</v>
      </c>
      <c r="C7031">
        <v>36.090000000000003</v>
      </c>
      <c r="D7031">
        <v>35.67</v>
      </c>
      <c r="E7031">
        <v>35.71</v>
      </c>
      <c r="F7031">
        <v>14985000</v>
      </c>
      <c r="G7031">
        <v>35.33</v>
      </c>
      <c r="H7031" t="s">
        <v>8</v>
      </c>
      <c r="I7031" s="22">
        <f t="shared" si="219"/>
        <v>-6.488949274650063E-3</v>
      </c>
      <c r="J7031" s="22" t="str">
        <f t="shared" si="220"/>
        <v>lost money</v>
      </c>
    </row>
    <row r="7032" spans="1:10">
      <c r="A7032" s="1">
        <v>41344</v>
      </c>
      <c r="B7032">
        <v>35.700000000000003</v>
      </c>
      <c r="C7032">
        <v>35.979999999999997</v>
      </c>
      <c r="D7032">
        <v>35.64</v>
      </c>
      <c r="E7032">
        <v>35.880000000000003</v>
      </c>
      <c r="F7032">
        <v>14111600</v>
      </c>
      <c r="G7032">
        <v>35.5</v>
      </c>
      <c r="H7032" t="s">
        <v>8</v>
      </c>
      <c r="I7032" s="22">
        <f t="shared" si="219"/>
        <v>4.8002351103163836E-3</v>
      </c>
      <c r="J7032" s="22" t="str">
        <f t="shared" si="220"/>
        <v/>
      </c>
    </row>
    <row r="7033" spans="1:10">
      <c r="A7033" s="1">
        <v>41345</v>
      </c>
      <c r="B7033">
        <v>35.85</v>
      </c>
      <c r="C7033">
        <v>35.85</v>
      </c>
      <c r="D7033">
        <v>35.159999999999997</v>
      </c>
      <c r="E7033">
        <v>35.43</v>
      </c>
      <c r="F7033">
        <v>18411100</v>
      </c>
      <c r="G7033">
        <v>35.06</v>
      </c>
      <c r="H7033" t="s">
        <v>8</v>
      </c>
      <c r="I7033" s="22">
        <f t="shared" si="219"/>
        <v>-1.2471816988281609E-2</v>
      </c>
      <c r="J7033" s="22" t="str">
        <f t="shared" si="220"/>
        <v>lost money</v>
      </c>
    </row>
    <row r="7034" spans="1:10">
      <c r="A7034" s="1">
        <v>41346</v>
      </c>
      <c r="B7034">
        <v>35.82</v>
      </c>
      <c r="C7034">
        <v>35.85</v>
      </c>
      <c r="D7034">
        <v>35.35</v>
      </c>
      <c r="E7034">
        <v>35.58</v>
      </c>
      <c r="F7034">
        <v>21228800</v>
      </c>
      <c r="G7034">
        <v>35.200000000000003</v>
      </c>
      <c r="H7034" t="s">
        <v>8</v>
      </c>
      <c r="I7034" s="22">
        <f t="shared" si="219"/>
        <v>3.9852031109630865E-3</v>
      </c>
      <c r="J7034" s="22" t="str">
        <f t="shared" si="220"/>
        <v>lost money</v>
      </c>
    </row>
    <row r="7035" spans="1:10">
      <c r="A7035" s="1">
        <v>41347</v>
      </c>
      <c r="B7035">
        <v>35.799999999999997</v>
      </c>
      <c r="C7035">
        <v>36.33</v>
      </c>
      <c r="D7035">
        <v>35.619999999999997</v>
      </c>
      <c r="E7035">
        <v>36.299999999999997</v>
      </c>
      <c r="F7035">
        <v>21040700</v>
      </c>
      <c r="G7035">
        <v>35.92</v>
      </c>
      <c r="H7035" t="s">
        <v>8</v>
      </c>
      <c r="I7035" s="22">
        <f t="shared" si="219"/>
        <v>2.0248160829947494E-2</v>
      </c>
      <c r="J7035" s="22" t="str">
        <f t="shared" si="220"/>
        <v/>
      </c>
    </row>
    <row r="7036" spans="1:10">
      <c r="A7036" s="1">
        <v>41348</v>
      </c>
      <c r="B7036">
        <v>36.11</v>
      </c>
      <c r="C7036">
        <v>36.43</v>
      </c>
      <c r="D7036">
        <v>36.1</v>
      </c>
      <c r="E7036">
        <v>36.340000000000003</v>
      </c>
      <c r="F7036">
        <v>56178100</v>
      </c>
      <c r="G7036">
        <v>35.96</v>
      </c>
      <c r="H7036" t="s">
        <v>8</v>
      </c>
      <c r="I7036" s="22">
        <f t="shared" si="219"/>
        <v>1.1129661694206506E-3</v>
      </c>
      <c r="J7036" s="22" t="str">
        <f t="shared" si="220"/>
        <v/>
      </c>
    </row>
    <row r="7037" spans="1:10">
      <c r="A7037" s="1">
        <v>41351</v>
      </c>
      <c r="B7037">
        <v>36.1</v>
      </c>
      <c r="C7037">
        <v>36.42</v>
      </c>
      <c r="D7037">
        <v>36</v>
      </c>
      <c r="E7037">
        <v>36.04</v>
      </c>
      <c r="F7037">
        <v>20654800</v>
      </c>
      <c r="G7037">
        <v>35.659999999999997</v>
      </c>
      <c r="H7037" t="s">
        <v>8</v>
      </c>
      <c r="I7037" s="22">
        <f t="shared" si="219"/>
        <v>-8.3775971684252638E-3</v>
      </c>
      <c r="J7037" s="22" t="str">
        <f t="shared" si="220"/>
        <v>lost money</v>
      </c>
    </row>
    <row r="7038" spans="1:10">
      <c r="A7038" s="1">
        <v>41352</v>
      </c>
      <c r="B7038">
        <v>36.18</v>
      </c>
      <c r="C7038">
        <v>36.229999999999997</v>
      </c>
      <c r="D7038">
        <v>35.409999999999997</v>
      </c>
      <c r="E7038">
        <v>35.69</v>
      </c>
      <c r="F7038">
        <v>20548800</v>
      </c>
      <c r="G7038">
        <v>35.31</v>
      </c>
      <c r="H7038" t="s">
        <v>8</v>
      </c>
      <c r="I7038" s="22">
        <f t="shared" si="219"/>
        <v>-9.8634024946991482E-3</v>
      </c>
      <c r="J7038" s="22" t="str">
        <f t="shared" si="220"/>
        <v>lost money</v>
      </c>
    </row>
    <row r="7039" spans="1:10">
      <c r="A7039" s="1">
        <v>41353</v>
      </c>
      <c r="B7039">
        <v>35.979999999999997</v>
      </c>
      <c r="C7039">
        <v>36.07</v>
      </c>
      <c r="D7039">
        <v>35.4</v>
      </c>
      <c r="E7039">
        <v>35.770000000000003</v>
      </c>
      <c r="F7039">
        <v>41088100</v>
      </c>
      <c r="G7039">
        <v>35.39</v>
      </c>
      <c r="H7039" t="s">
        <v>8</v>
      </c>
      <c r="I7039" s="22">
        <f t="shared" si="219"/>
        <v>2.2630844170768308E-3</v>
      </c>
      <c r="J7039" s="22" t="str">
        <f t="shared" si="220"/>
        <v>lost money</v>
      </c>
    </row>
    <row r="7040" spans="1:10">
      <c r="A7040" s="1">
        <v>41354</v>
      </c>
      <c r="B7040">
        <v>32.78</v>
      </c>
      <c r="C7040">
        <v>32.94</v>
      </c>
      <c r="D7040">
        <v>32.18</v>
      </c>
      <c r="E7040">
        <v>32.299999999999997</v>
      </c>
      <c r="F7040">
        <v>132669500</v>
      </c>
      <c r="G7040">
        <v>31.96</v>
      </c>
      <c r="H7040" t="s">
        <v>8</v>
      </c>
      <c r="I7040" s="22">
        <f t="shared" si="219"/>
        <v>-0.10194417345929814</v>
      </c>
      <c r="J7040" s="22" t="str">
        <f t="shared" si="220"/>
        <v>lost money</v>
      </c>
    </row>
    <row r="7041" spans="1:10">
      <c r="A7041" s="1">
        <v>41355</v>
      </c>
      <c r="B7041">
        <v>32.4</v>
      </c>
      <c r="C7041">
        <v>32.5</v>
      </c>
      <c r="D7041">
        <v>31.64</v>
      </c>
      <c r="E7041">
        <v>31.98</v>
      </c>
      <c r="F7041">
        <v>64333500</v>
      </c>
      <c r="G7041">
        <v>31.64</v>
      </c>
      <c r="H7041" t="s">
        <v>8</v>
      </c>
      <c r="I7041" s="22">
        <f t="shared" si="219"/>
        <v>-1.0062977998620841E-2</v>
      </c>
      <c r="J7041" s="22" t="str">
        <f t="shared" si="220"/>
        <v>lost money</v>
      </c>
    </row>
    <row r="7042" spans="1:10">
      <c r="A7042" s="1">
        <v>41358</v>
      </c>
      <c r="B7042">
        <v>32.049999999999997</v>
      </c>
      <c r="C7042">
        <v>32.200000000000003</v>
      </c>
      <c r="D7042">
        <v>31.16</v>
      </c>
      <c r="E7042">
        <v>31.25</v>
      </c>
      <c r="F7042">
        <v>39694400</v>
      </c>
      <c r="G7042">
        <v>30.92</v>
      </c>
      <c r="H7042" t="s">
        <v>8</v>
      </c>
      <c r="I7042" s="22">
        <f t="shared" si="219"/>
        <v>-2.3018919180231915E-2</v>
      </c>
      <c r="J7042" s="22" t="str">
        <f t="shared" si="220"/>
        <v>lost money</v>
      </c>
    </row>
    <row r="7043" spans="1:10">
      <c r="A7043" s="1">
        <v>41359</v>
      </c>
      <c r="B7043">
        <v>31.41</v>
      </c>
      <c r="C7043">
        <v>31.79</v>
      </c>
      <c r="D7043">
        <v>31.41</v>
      </c>
      <c r="E7043">
        <v>31.54</v>
      </c>
      <c r="F7043">
        <v>29420300</v>
      </c>
      <c r="G7043">
        <v>31.21</v>
      </c>
      <c r="H7043" t="s">
        <v>8</v>
      </c>
      <c r="I7043" s="22">
        <f t="shared" ref="I7043:I7106" si="221">IF(A7043=$A$2,"",LN(G7043/G7042))</f>
        <v>9.3353325634667524E-3</v>
      </c>
      <c r="J7043" s="22" t="str">
        <f t="shared" ref="J7043:J7106" si="222">IF(B7043&gt;E7043,"lost money","")</f>
        <v/>
      </c>
    </row>
    <row r="7044" spans="1:10">
      <c r="A7044" s="1">
        <v>41360</v>
      </c>
      <c r="B7044">
        <v>31.41</v>
      </c>
      <c r="C7044">
        <v>32.11</v>
      </c>
      <c r="D7044">
        <v>31.29</v>
      </c>
      <c r="E7044">
        <v>31.95</v>
      </c>
      <c r="F7044">
        <v>35028500</v>
      </c>
      <c r="G7044">
        <v>31.61</v>
      </c>
      <c r="H7044" t="s">
        <v>8</v>
      </c>
      <c r="I7044" s="22">
        <f t="shared" si="221"/>
        <v>1.2734969944838217E-2</v>
      </c>
      <c r="J7044" s="22" t="str">
        <f t="shared" si="222"/>
        <v/>
      </c>
    </row>
    <row r="7045" spans="1:10">
      <c r="A7045" s="1">
        <v>41361</v>
      </c>
      <c r="B7045">
        <v>31.89</v>
      </c>
      <c r="C7045">
        <v>32.39</v>
      </c>
      <c r="D7045">
        <v>31.79</v>
      </c>
      <c r="E7045">
        <v>32.33</v>
      </c>
      <c r="F7045">
        <v>23676700</v>
      </c>
      <c r="G7045">
        <v>31.99</v>
      </c>
      <c r="H7045" t="s">
        <v>8</v>
      </c>
      <c r="I7045" s="22">
        <f t="shared" si="221"/>
        <v>1.1949827733900138E-2</v>
      </c>
      <c r="J7045" s="22" t="str">
        <f t="shared" si="222"/>
        <v/>
      </c>
    </row>
    <row r="7046" spans="1:10">
      <c r="A7046" s="1">
        <v>41365</v>
      </c>
      <c r="B7046">
        <v>32.36</v>
      </c>
      <c r="C7046">
        <v>32.46</v>
      </c>
      <c r="D7046">
        <v>32.04</v>
      </c>
      <c r="E7046">
        <v>32.409999999999997</v>
      </c>
      <c r="F7046">
        <v>18677600</v>
      </c>
      <c r="G7046">
        <v>32.07</v>
      </c>
      <c r="H7046" t="s">
        <v>8</v>
      </c>
      <c r="I7046" s="22">
        <f t="shared" si="221"/>
        <v>2.4976597436370332E-3</v>
      </c>
      <c r="J7046" s="22" t="str">
        <f t="shared" si="222"/>
        <v/>
      </c>
    </row>
    <row r="7047" spans="1:10">
      <c r="A7047" s="1">
        <v>41366</v>
      </c>
      <c r="B7047">
        <v>32.65</v>
      </c>
      <c r="C7047">
        <v>32.94</v>
      </c>
      <c r="D7047">
        <v>32.53</v>
      </c>
      <c r="E7047">
        <v>32.74</v>
      </c>
      <c r="F7047">
        <v>22619600</v>
      </c>
      <c r="G7047">
        <v>32.39</v>
      </c>
      <c r="H7047" t="s">
        <v>8</v>
      </c>
      <c r="I7047" s="22">
        <f t="shared" si="221"/>
        <v>9.9287194781744609E-3</v>
      </c>
      <c r="J7047" s="22" t="str">
        <f t="shared" si="222"/>
        <v/>
      </c>
    </row>
    <row r="7048" spans="1:10">
      <c r="A7048" s="1">
        <v>41367</v>
      </c>
      <c r="B7048">
        <v>32.93</v>
      </c>
      <c r="C7048">
        <v>32.94</v>
      </c>
      <c r="D7048">
        <v>32.200000000000003</v>
      </c>
      <c r="E7048">
        <v>32.4</v>
      </c>
      <c r="F7048">
        <v>25545200</v>
      </c>
      <c r="G7048">
        <v>32.06</v>
      </c>
      <c r="H7048" t="s">
        <v>8</v>
      </c>
      <c r="I7048" s="22">
        <f t="shared" si="221"/>
        <v>-1.0240586001830948E-2</v>
      </c>
      <c r="J7048" s="22" t="str">
        <f t="shared" si="222"/>
        <v>lost money</v>
      </c>
    </row>
    <row r="7049" spans="1:10">
      <c r="A7049" s="1">
        <v>41368</v>
      </c>
      <c r="B7049">
        <v>32.36</v>
      </c>
      <c r="C7049">
        <v>32.51</v>
      </c>
      <c r="D7049">
        <v>32.229999999999997</v>
      </c>
      <c r="E7049">
        <v>32.369999999999997</v>
      </c>
      <c r="F7049">
        <v>18163800</v>
      </c>
      <c r="G7049">
        <v>32.03</v>
      </c>
      <c r="H7049" t="s">
        <v>8</v>
      </c>
      <c r="I7049" s="22">
        <f t="shared" si="221"/>
        <v>-9.3618356034011333E-4</v>
      </c>
      <c r="J7049" s="22" t="str">
        <f t="shared" si="222"/>
        <v/>
      </c>
    </row>
    <row r="7050" spans="1:10">
      <c r="A7050" s="1">
        <v>41369</v>
      </c>
      <c r="B7050">
        <v>31.77</v>
      </c>
      <c r="C7050">
        <v>32.119999999999997</v>
      </c>
      <c r="D7050">
        <v>31.67</v>
      </c>
      <c r="E7050">
        <v>32.03</v>
      </c>
      <c r="F7050">
        <v>24415300</v>
      </c>
      <c r="G7050">
        <v>31.69</v>
      </c>
      <c r="H7050" t="s">
        <v>8</v>
      </c>
      <c r="I7050" s="22">
        <f t="shared" si="221"/>
        <v>-1.0671789918237364E-2</v>
      </c>
      <c r="J7050" s="22" t="str">
        <f t="shared" si="222"/>
        <v/>
      </c>
    </row>
    <row r="7051" spans="1:10">
      <c r="A7051" s="1">
        <v>41372</v>
      </c>
      <c r="B7051">
        <v>32.07</v>
      </c>
      <c r="C7051">
        <v>32.36</v>
      </c>
      <c r="D7051">
        <v>31.9</v>
      </c>
      <c r="E7051">
        <v>32.36</v>
      </c>
      <c r="F7051">
        <v>14134400</v>
      </c>
      <c r="G7051">
        <v>32.020000000000003</v>
      </c>
      <c r="H7051" t="s">
        <v>8</v>
      </c>
      <c r="I7051" s="22">
        <f t="shared" si="221"/>
        <v>1.0359533865739273E-2</v>
      </c>
      <c r="J7051" s="22" t="str">
        <f t="shared" si="222"/>
        <v/>
      </c>
    </row>
    <row r="7052" spans="1:10">
      <c r="A7052" s="1">
        <v>41373</v>
      </c>
      <c r="B7052">
        <v>32.5</v>
      </c>
      <c r="C7052">
        <v>33.08</v>
      </c>
      <c r="D7052">
        <v>32.46</v>
      </c>
      <c r="E7052">
        <v>33.04</v>
      </c>
      <c r="F7052">
        <v>30087400</v>
      </c>
      <c r="G7052">
        <v>32.69</v>
      </c>
      <c r="H7052" t="s">
        <v>8</v>
      </c>
      <c r="I7052" s="22">
        <f t="shared" si="221"/>
        <v>2.0708513167550437E-2</v>
      </c>
      <c r="J7052" s="22" t="str">
        <f t="shared" si="222"/>
        <v/>
      </c>
    </row>
    <row r="7053" spans="1:10">
      <c r="A7053" s="1">
        <v>41374</v>
      </c>
      <c r="B7053">
        <v>33.15</v>
      </c>
      <c r="C7053">
        <v>33.950000000000003</v>
      </c>
      <c r="D7053">
        <v>33.15</v>
      </c>
      <c r="E7053">
        <v>33.729999999999997</v>
      </c>
      <c r="F7053">
        <v>35941000</v>
      </c>
      <c r="G7053">
        <v>33.369999999999997</v>
      </c>
      <c r="H7053" t="s">
        <v>8</v>
      </c>
      <c r="I7053" s="22">
        <f t="shared" si="221"/>
        <v>2.0588072027163298E-2</v>
      </c>
      <c r="J7053" s="22" t="str">
        <f t="shared" si="222"/>
        <v/>
      </c>
    </row>
    <row r="7054" spans="1:10">
      <c r="A7054" s="1">
        <v>41375</v>
      </c>
      <c r="B7054">
        <v>33.619999999999997</v>
      </c>
      <c r="C7054">
        <v>33.92</v>
      </c>
      <c r="D7054">
        <v>33.56</v>
      </c>
      <c r="E7054">
        <v>33.619999999999997</v>
      </c>
      <c r="F7054">
        <v>23080700</v>
      </c>
      <c r="G7054">
        <v>33.270000000000003</v>
      </c>
      <c r="H7054" t="s">
        <v>8</v>
      </c>
      <c r="I7054" s="22">
        <f t="shared" si="221"/>
        <v>-3.0012027328971264E-3</v>
      </c>
      <c r="J7054" s="22" t="str">
        <f t="shared" si="222"/>
        <v/>
      </c>
    </row>
    <row r="7055" spans="1:10">
      <c r="A7055" s="1">
        <v>41376</v>
      </c>
      <c r="B7055">
        <v>33.64</v>
      </c>
      <c r="C7055">
        <v>33.67</v>
      </c>
      <c r="D7055">
        <v>33.020000000000003</v>
      </c>
      <c r="E7055">
        <v>33.46</v>
      </c>
      <c r="F7055">
        <v>18408200</v>
      </c>
      <c r="G7055">
        <v>33.11</v>
      </c>
      <c r="H7055" t="s">
        <v>8</v>
      </c>
      <c r="I7055" s="22">
        <f t="shared" si="221"/>
        <v>-4.820738471230563E-3</v>
      </c>
      <c r="J7055" s="22" t="str">
        <f t="shared" si="222"/>
        <v>lost money</v>
      </c>
    </row>
    <row r="7056" spans="1:10">
      <c r="A7056" s="1">
        <v>41379</v>
      </c>
      <c r="B7056">
        <v>33.39</v>
      </c>
      <c r="C7056">
        <v>33.5</v>
      </c>
      <c r="D7056">
        <v>32.799999999999997</v>
      </c>
      <c r="E7056">
        <v>32.799999999999997</v>
      </c>
      <c r="F7056">
        <v>19617500</v>
      </c>
      <c r="G7056">
        <v>32.450000000000003</v>
      </c>
      <c r="H7056" t="s">
        <v>8</v>
      </c>
      <c r="I7056" s="22">
        <f t="shared" si="221"/>
        <v>-2.013490840905581E-2</v>
      </c>
      <c r="J7056" s="22" t="str">
        <f t="shared" si="222"/>
        <v>lost money</v>
      </c>
    </row>
    <row r="7057" spans="1:10">
      <c r="A7057" s="1">
        <v>41380</v>
      </c>
      <c r="B7057">
        <v>32.950000000000003</v>
      </c>
      <c r="C7057">
        <v>33.49</v>
      </c>
      <c r="D7057">
        <v>32.909999999999997</v>
      </c>
      <c r="E7057">
        <v>33.42</v>
      </c>
      <c r="F7057">
        <v>17310600</v>
      </c>
      <c r="G7057">
        <v>33.07</v>
      </c>
      <c r="H7057" t="s">
        <v>8</v>
      </c>
      <c r="I7057" s="22">
        <f t="shared" si="221"/>
        <v>1.8926083843602375E-2</v>
      </c>
      <c r="J7057" s="22" t="str">
        <f t="shared" si="222"/>
        <v/>
      </c>
    </row>
    <row r="7058" spans="1:10">
      <c r="A7058" s="1">
        <v>41381</v>
      </c>
      <c r="B7058">
        <v>33.1</v>
      </c>
      <c r="C7058">
        <v>33.130000000000003</v>
      </c>
      <c r="D7058">
        <v>32.450000000000003</v>
      </c>
      <c r="E7058">
        <v>32.49</v>
      </c>
      <c r="F7058">
        <v>25277000</v>
      </c>
      <c r="G7058">
        <v>32.15</v>
      </c>
      <c r="H7058" t="s">
        <v>8</v>
      </c>
      <c r="I7058" s="22">
        <f t="shared" si="221"/>
        <v>-2.8214076310073121E-2</v>
      </c>
      <c r="J7058" s="22" t="str">
        <f t="shared" si="222"/>
        <v>lost money</v>
      </c>
    </row>
    <row r="7059" spans="1:10">
      <c r="A7059" s="1">
        <v>41382</v>
      </c>
      <c r="B7059">
        <v>32.65</v>
      </c>
      <c r="C7059">
        <v>32.799999999999997</v>
      </c>
      <c r="D7059">
        <v>31.9</v>
      </c>
      <c r="E7059">
        <v>32.119999999999997</v>
      </c>
      <c r="F7059">
        <v>24892500</v>
      </c>
      <c r="G7059">
        <v>31.78</v>
      </c>
      <c r="H7059" t="s">
        <v>8</v>
      </c>
      <c r="I7059" s="22">
        <f t="shared" si="221"/>
        <v>-1.1575289575058429E-2</v>
      </c>
      <c r="J7059" s="22" t="str">
        <f t="shared" si="222"/>
        <v>lost money</v>
      </c>
    </row>
    <row r="7060" spans="1:10">
      <c r="A7060" s="1">
        <v>41383</v>
      </c>
      <c r="B7060">
        <v>31.75</v>
      </c>
      <c r="C7060">
        <v>32.46</v>
      </c>
      <c r="D7060">
        <v>31.67</v>
      </c>
      <c r="E7060">
        <v>32.369999999999997</v>
      </c>
      <c r="F7060">
        <v>30391400</v>
      </c>
      <c r="G7060">
        <v>32.03</v>
      </c>
      <c r="H7060" t="s">
        <v>8</v>
      </c>
      <c r="I7060" s="22">
        <f t="shared" si="221"/>
        <v>7.835802512496836E-3</v>
      </c>
      <c r="J7060" s="22" t="str">
        <f t="shared" si="222"/>
        <v/>
      </c>
    </row>
    <row r="7061" spans="1:10">
      <c r="A7061" s="1">
        <v>41386</v>
      </c>
      <c r="B7061">
        <v>32.49</v>
      </c>
      <c r="C7061">
        <v>32.659999999999997</v>
      </c>
      <c r="D7061">
        <v>32.159999999999997</v>
      </c>
      <c r="E7061">
        <v>32.520000000000003</v>
      </c>
      <c r="F7061">
        <v>18754900</v>
      </c>
      <c r="G7061">
        <v>32.18</v>
      </c>
      <c r="H7061" t="s">
        <v>8</v>
      </c>
      <c r="I7061" s="22">
        <f t="shared" si="221"/>
        <v>4.6721779431702368E-3</v>
      </c>
      <c r="J7061" s="22" t="str">
        <f t="shared" si="222"/>
        <v/>
      </c>
    </row>
    <row r="7062" spans="1:10">
      <c r="A7062" s="1">
        <v>41387</v>
      </c>
      <c r="B7062">
        <v>32.72</v>
      </c>
      <c r="C7062">
        <v>33</v>
      </c>
      <c r="D7062">
        <v>32.369999999999997</v>
      </c>
      <c r="E7062">
        <v>32.46</v>
      </c>
      <c r="F7062">
        <v>23964900</v>
      </c>
      <c r="G7062">
        <v>32.119999999999997</v>
      </c>
      <c r="H7062" t="s">
        <v>8</v>
      </c>
      <c r="I7062" s="22">
        <f t="shared" si="221"/>
        <v>-1.8662524856762606E-3</v>
      </c>
      <c r="J7062" s="22" t="str">
        <f t="shared" si="222"/>
        <v>lost money</v>
      </c>
    </row>
    <row r="7063" spans="1:10">
      <c r="A7063" s="1">
        <v>41388</v>
      </c>
      <c r="B7063">
        <v>32.49</v>
      </c>
      <c r="C7063">
        <v>32.83</v>
      </c>
      <c r="D7063">
        <v>32.44</v>
      </c>
      <c r="E7063">
        <v>32.51</v>
      </c>
      <c r="F7063">
        <v>22601800</v>
      </c>
      <c r="G7063">
        <v>32.17</v>
      </c>
      <c r="H7063" t="s">
        <v>8</v>
      </c>
      <c r="I7063" s="22">
        <f t="shared" si="221"/>
        <v>1.5554521723741726E-3</v>
      </c>
      <c r="J7063" s="22" t="str">
        <f t="shared" si="222"/>
        <v/>
      </c>
    </row>
    <row r="7064" spans="1:10">
      <c r="A7064" s="1">
        <v>41389</v>
      </c>
      <c r="B7064">
        <v>32.56</v>
      </c>
      <c r="C7064">
        <v>32.58</v>
      </c>
      <c r="D7064">
        <v>32.21</v>
      </c>
      <c r="E7064">
        <v>32.270000000000003</v>
      </c>
      <c r="F7064">
        <v>25910200</v>
      </c>
      <c r="G7064">
        <v>31.93</v>
      </c>
      <c r="H7064" t="s">
        <v>8</v>
      </c>
      <c r="I7064" s="22">
        <f t="shared" si="221"/>
        <v>-7.4883345242443425E-3</v>
      </c>
      <c r="J7064" s="22" t="str">
        <f t="shared" si="222"/>
        <v>lost money</v>
      </c>
    </row>
    <row r="7065" spans="1:10">
      <c r="A7065" s="1">
        <v>41390</v>
      </c>
      <c r="B7065">
        <v>32.200000000000003</v>
      </c>
      <c r="C7065">
        <v>32.53</v>
      </c>
      <c r="D7065">
        <v>32.17</v>
      </c>
      <c r="E7065">
        <v>32.36</v>
      </c>
      <c r="F7065">
        <v>22376200</v>
      </c>
      <c r="G7065">
        <v>32.020000000000003</v>
      </c>
      <c r="H7065" t="s">
        <v>8</v>
      </c>
      <c r="I7065" s="22">
        <f t="shared" si="221"/>
        <v>2.8147008418781417E-3</v>
      </c>
      <c r="J7065" s="22" t="str">
        <f t="shared" si="222"/>
        <v/>
      </c>
    </row>
    <row r="7066" spans="1:10">
      <c r="A7066" s="1">
        <v>41393</v>
      </c>
      <c r="B7066">
        <v>32.39</v>
      </c>
      <c r="C7066">
        <v>32.5</v>
      </c>
      <c r="D7066">
        <v>32.14</v>
      </c>
      <c r="E7066">
        <v>32.24</v>
      </c>
      <c r="F7066">
        <v>31381300</v>
      </c>
      <c r="G7066">
        <v>31.9</v>
      </c>
      <c r="H7066" t="s">
        <v>8</v>
      </c>
      <c r="I7066" s="22">
        <f t="shared" si="221"/>
        <v>-3.7546977777698776E-3</v>
      </c>
      <c r="J7066" s="22" t="str">
        <f t="shared" si="222"/>
        <v>lost money</v>
      </c>
    </row>
    <row r="7067" spans="1:10">
      <c r="A7067" s="1">
        <v>41394</v>
      </c>
      <c r="B7067">
        <v>32.22</v>
      </c>
      <c r="C7067">
        <v>32.869999999999997</v>
      </c>
      <c r="D7067">
        <v>32.22</v>
      </c>
      <c r="E7067">
        <v>32.78</v>
      </c>
      <c r="F7067">
        <v>50028100</v>
      </c>
      <c r="G7067">
        <v>32.43</v>
      </c>
      <c r="H7067" t="s">
        <v>8</v>
      </c>
      <c r="I7067" s="22">
        <f t="shared" si="221"/>
        <v>1.6477910528427658E-2</v>
      </c>
      <c r="J7067" s="22" t="str">
        <f t="shared" si="222"/>
        <v/>
      </c>
    </row>
    <row r="7068" spans="1:10">
      <c r="A7068" s="1">
        <v>41395</v>
      </c>
      <c r="B7068">
        <v>32.75</v>
      </c>
      <c r="C7068">
        <v>33.619999999999997</v>
      </c>
      <c r="D7068">
        <v>32.72</v>
      </c>
      <c r="E7068">
        <v>33.159999999999997</v>
      </c>
      <c r="F7068">
        <v>32712000</v>
      </c>
      <c r="G7068">
        <v>32.81</v>
      </c>
      <c r="H7068" t="s">
        <v>8</v>
      </c>
      <c r="I7068" s="22">
        <f t="shared" si="221"/>
        <v>1.1649426653783775E-2</v>
      </c>
      <c r="J7068" s="22" t="str">
        <f t="shared" si="222"/>
        <v/>
      </c>
    </row>
    <row r="7069" spans="1:10">
      <c r="A7069" s="1">
        <v>41396</v>
      </c>
      <c r="B7069">
        <v>33.11</v>
      </c>
      <c r="C7069">
        <v>33.78</v>
      </c>
      <c r="D7069">
        <v>32.979999999999997</v>
      </c>
      <c r="E7069">
        <v>33.69</v>
      </c>
      <c r="F7069">
        <v>22992700</v>
      </c>
      <c r="G7069">
        <v>33.33</v>
      </c>
      <c r="H7069" t="s">
        <v>8</v>
      </c>
      <c r="I7069" s="22">
        <f t="shared" si="221"/>
        <v>1.5724545346637968E-2</v>
      </c>
      <c r="J7069" s="22" t="str">
        <f t="shared" si="222"/>
        <v/>
      </c>
    </row>
    <row r="7070" spans="1:10">
      <c r="A7070" s="1">
        <v>41397</v>
      </c>
      <c r="B7070">
        <v>33.93</v>
      </c>
      <c r="C7070">
        <v>33.950000000000003</v>
      </c>
      <c r="D7070">
        <v>33.28</v>
      </c>
      <c r="E7070">
        <v>33.380000000000003</v>
      </c>
      <c r="F7070">
        <v>23976800</v>
      </c>
      <c r="G7070">
        <v>33.03</v>
      </c>
      <c r="H7070" t="s">
        <v>8</v>
      </c>
      <c r="I7070" s="22">
        <f t="shared" si="221"/>
        <v>-9.0416529169498969E-3</v>
      </c>
      <c r="J7070" s="22" t="str">
        <f t="shared" si="222"/>
        <v>lost money</v>
      </c>
    </row>
    <row r="7071" spans="1:10">
      <c r="A7071" s="1">
        <v>41400</v>
      </c>
      <c r="B7071">
        <v>33.44</v>
      </c>
      <c r="C7071">
        <v>33.51</v>
      </c>
      <c r="D7071">
        <v>33.08</v>
      </c>
      <c r="E7071">
        <v>33.51</v>
      </c>
      <c r="F7071">
        <v>17964500</v>
      </c>
      <c r="G7071">
        <v>33.159999999999997</v>
      </c>
      <c r="H7071" t="s">
        <v>8</v>
      </c>
      <c r="I7071" s="22">
        <f t="shared" si="221"/>
        <v>3.9280908643957385E-3</v>
      </c>
      <c r="J7071" s="22" t="str">
        <f t="shared" si="222"/>
        <v/>
      </c>
    </row>
    <row r="7072" spans="1:10">
      <c r="A7072" s="1">
        <v>41401</v>
      </c>
      <c r="B7072">
        <v>33.53</v>
      </c>
      <c r="C7072">
        <v>33.79</v>
      </c>
      <c r="D7072">
        <v>33.19</v>
      </c>
      <c r="E7072">
        <v>33.26</v>
      </c>
      <c r="F7072">
        <v>17955000</v>
      </c>
      <c r="G7072">
        <v>32.909999999999997</v>
      </c>
      <c r="H7072" t="s">
        <v>8</v>
      </c>
      <c r="I7072" s="22">
        <f t="shared" si="221"/>
        <v>-7.5677673118456209E-3</v>
      </c>
      <c r="J7072" s="22" t="str">
        <f t="shared" si="222"/>
        <v>lost money</v>
      </c>
    </row>
    <row r="7073" spans="1:10">
      <c r="A7073" s="1">
        <v>41402</v>
      </c>
      <c r="B7073">
        <v>33.090000000000003</v>
      </c>
      <c r="C7073">
        <v>33.57</v>
      </c>
      <c r="D7073">
        <v>33.090000000000003</v>
      </c>
      <c r="E7073">
        <v>33.46</v>
      </c>
      <c r="F7073">
        <v>21382700</v>
      </c>
      <c r="G7073">
        <v>33.11</v>
      </c>
      <c r="H7073" t="s">
        <v>8</v>
      </c>
      <c r="I7073" s="22">
        <f t="shared" si="221"/>
        <v>6.0587886039065097E-3</v>
      </c>
      <c r="J7073" s="22" t="str">
        <f t="shared" si="222"/>
        <v/>
      </c>
    </row>
    <row r="7074" spans="1:10">
      <c r="A7074" s="1">
        <v>41403</v>
      </c>
      <c r="B7074">
        <v>33.299999999999997</v>
      </c>
      <c r="C7074">
        <v>34</v>
      </c>
      <c r="D7074">
        <v>33.28</v>
      </c>
      <c r="E7074">
        <v>33.700000000000003</v>
      </c>
      <c r="F7074">
        <v>18722100</v>
      </c>
      <c r="G7074">
        <v>33.340000000000003</v>
      </c>
      <c r="H7074" t="s">
        <v>8</v>
      </c>
      <c r="I7074" s="22">
        <f t="shared" si="221"/>
        <v>6.9225257634930541E-3</v>
      </c>
      <c r="J7074" s="22" t="str">
        <f t="shared" si="222"/>
        <v/>
      </c>
    </row>
    <row r="7075" spans="1:10">
      <c r="A7075" s="1">
        <v>41404</v>
      </c>
      <c r="B7075">
        <v>33.83</v>
      </c>
      <c r="C7075">
        <v>34.03</v>
      </c>
      <c r="D7075">
        <v>33.65</v>
      </c>
      <c r="E7075">
        <v>34.020000000000003</v>
      </c>
      <c r="F7075">
        <v>17364100</v>
      </c>
      <c r="G7075">
        <v>33.659999999999997</v>
      </c>
      <c r="H7075" t="s">
        <v>8</v>
      </c>
      <c r="I7075" s="22">
        <f t="shared" si="221"/>
        <v>9.5523114400118594E-3</v>
      </c>
      <c r="J7075" s="22" t="str">
        <f t="shared" si="222"/>
        <v/>
      </c>
    </row>
    <row r="7076" spans="1:10">
      <c r="A7076" s="1">
        <v>41407</v>
      </c>
      <c r="B7076">
        <v>33.950000000000003</v>
      </c>
      <c r="C7076">
        <v>34</v>
      </c>
      <c r="D7076">
        <v>33.65</v>
      </c>
      <c r="E7076">
        <v>33.78</v>
      </c>
      <c r="F7076">
        <v>12193400</v>
      </c>
      <c r="G7076">
        <v>33.42</v>
      </c>
      <c r="H7076" t="s">
        <v>8</v>
      </c>
      <c r="I7076" s="22">
        <f t="shared" si="221"/>
        <v>-7.1556655954121366E-3</v>
      </c>
      <c r="J7076" s="22" t="str">
        <f t="shared" si="222"/>
        <v>lost money</v>
      </c>
    </row>
    <row r="7077" spans="1:10">
      <c r="A7077" s="1">
        <v>41408</v>
      </c>
      <c r="B7077">
        <v>33.65</v>
      </c>
      <c r="C7077">
        <v>34.25</v>
      </c>
      <c r="D7077">
        <v>33.549999999999997</v>
      </c>
      <c r="E7077">
        <v>33.67</v>
      </c>
      <c r="F7077">
        <v>23560400</v>
      </c>
      <c r="G7077">
        <v>33.31</v>
      </c>
      <c r="H7077" t="s">
        <v>8</v>
      </c>
      <c r="I7077" s="22">
        <f t="shared" si="221"/>
        <v>-3.2968709616593042E-3</v>
      </c>
      <c r="J7077" s="22" t="str">
        <f t="shared" si="222"/>
        <v/>
      </c>
    </row>
    <row r="7078" spans="1:10">
      <c r="A7078" s="1">
        <v>41409</v>
      </c>
      <c r="B7078">
        <v>33.74</v>
      </c>
      <c r="C7078">
        <v>34.1</v>
      </c>
      <c r="D7078">
        <v>33.71</v>
      </c>
      <c r="E7078">
        <v>33.99</v>
      </c>
      <c r="F7078">
        <v>18360500</v>
      </c>
      <c r="G7078">
        <v>33.630000000000003</v>
      </c>
      <c r="H7078" t="s">
        <v>8</v>
      </c>
      <c r="I7078" s="22">
        <f t="shared" si="221"/>
        <v>9.5608735465899097E-3</v>
      </c>
      <c r="J7078" s="22" t="str">
        <f t="shared" si="222"/>
        <v/>
      </c>
    </row>
    <row r="7079" spans="1:10">
      <c r="A7079" s="1">
        <v>41410</v>
      </c>
      <c r="B7079">
        <v>34.090000000000003</v>
      </c>
      <c r="C7079">
        <v>34.61</v>
      </c>
      <c r="D7079">
        <v>34.090000000000003</v>
      </c>
      <c r="E7079">
        <v>34.369999999999997</v>
      </c>
      <c r="F7079">
        <v>25526300</v>
      </c>
      <c r="G7079">
        <v>34.01</v>
      </c>
      <c r="H7079" t="s">
        <v>8</v>
      </c>
      <c r="I7079" s="22">
        <f t="shared" si="221"/>
        <v>1.1236073266925752E-2</v>
      </c>
      <c r="J7079" s="22" t="str">
        <f t="shared" si="222"/>
        <v/>
      </c>
    </row>
    <row r="7080" spans="1:10">
      <c r="A7080" s="1">
        <v>41411</v>
      </c>
      <c r="B7080">
        <v>34.590000000000003</v>
      </c>
      <c r="C7080">
        <v>35.03</v>
      </c>
      <c r="D7080">
        <v>34.44</v>
      </c>
      <c r="E7080">
        <v>35.03</v>
      </c>
      <c r="F7080">
        <v>26986800</v>
      </c>
      <c r="G7080">
        <v>34.659999999999997</v>
      </c>
      <c r="H7080" t="s">
        <v>8</v>
      </c>
      <c r="I7080" s="22">
        <f t="shared" si="221"/>
        <v>1.8931685268355803E-2</v>
      </c>
      <c r="J7080" s="22" t="str">
        <f t="shared" si="222"/>
        <v/>
      </c>
    </row>
    <row r="7081" spans="1:10">
      <c r="A7081" s="1">
        <v>41414</v>
      </c>
      <c r="B7081">
        <v>34.81</v>
      </c>
      <c r="C7081">
        <v>35.03</v>
      </c>
      <c r="D7081">
        <v>34.56</v>
      </c>
      <c r="E7081">
        <v>34.9</v>
      </c>
      <c r="F7081">
        <v>18326400</v>
      </c>
      <c r="G7081">
        <v>34.53</v>
      </c>
      <c r="H7081" t="s">
        <v>8</v>
      </c>
      <c r="I7081" s="22">
        <f t="shared" si="221"/>
        <v>-3.7577728855589512E-3</v>
      </c>
      <c r="J7081" s="22" t="str">
        <f t="shared" si="222"/>
        <v/>
      </c>
    </row>
    <row r="7082" spans="1:10">
      <c r="A7082" s="1">
        <v>41415</v>
      </c>
      <c r="B7082">
        <v>34.9</v>
      </c>
      <c r="C7082">
        <v>35.32</v>
      </c>
      <c r="D7082">
        <v>34.9</v>
      </c>
      <c r="E7082">
        <v>35.1</v>
      </c>
      <c r="F7082">
        <v>19682900</v>
      </c>
      <c r="G7082">
        <v>34.729999999999997</v>
      </c>
      <c r="H7082" t="s">
        <v>8</v>
      </c>
      <c r="I7082" s="22">
        <f t="shared" si="221"/>
        <v>5.7753553540816176E-3</v>
      </c>
      <c r="J7082" s="22" t="str">
        <f t="shared" si="222"/>
        <v/>
      </c>
    </row>
    <row r="7083" spans="1:10">
      <c r="A7083" s="1">
        <v>41416</v>
      </c>
      <c r="B7083">
        <v>35.07</v>
      </c>
      <c r="C7083">
        <v>35.15</v>
      </c>
      <c r="D7083">
        <v>33.92</v>
      </c>
      <c r="E7083">
        <v>34.119999999999997</v>
      </c>
      <c r="F7083">
        <v>33742400</v>
      </c>
      <c r="G7083">
        <v>33.76</v>
      </c>
      <c r="H7083" t="s">
        <v>8</v>
      </c>
      <c r="I7083" s="22">
        <f t="shared" si="221"/>
        <v>-2.8327197028226218E-2</v>
      </c>
      <c r="J7083" s="22" t="str">
        <f t="shared" si="222"/>
        <v>lost money</v>
      </c>
    </row>
    <row r="7084" spans="1:10">
      <c r="A7084" s="1">
        <v>41417</v>
      </c>
      <c r="B7084">
        <v>33.950000000000003</v>
      </c>
      <c r="C7084">
        <v>34.409999999999997</v>
      </c>
      <c r="D7084">
        <v>33.86</v>
      </c>
      <c r="E7084">
        <v>34.229999999999997</v>
      </c>
      <c r="F7084">
        <v>20442500</v>
      </c>
      <c r="G7084">
        <v>33.869999999999997</v>
      </c>
      <c r="H7084" t="s">
        <v>8</v>
      </c>
      <c r="I7084" s="22">
        <f t="shared" si="221"/>
        <v>3.2529971019239741E-3</v>
      </c>
      <c r="J7084" s="22" t="str">
        <f t="shared" si="222"/>
        <v/>
      </c>
    </row>
    <row r="7085" spans="1:10">
      <c r="A7085" s="1">
        <v>41418</v>
      </c>
      <c r="B7085">
        <v>33.69</v>
      </c>
      <c r="C7085">
        <v>34.14</v>
      </c>
      <c r="D7085">
        <v>33.42</v>
      </c>
      <c r="E7085">
        <v>34.049999999999997</v>
      </c>
      <c r="F7085">
        <v>22642500</v>
      </c>
      <c r="G7085">
        <v>33.69</v>
      </c>
      <c r="H7085" t="s">
        <v>8</v>
      </c>
      <c r="I7085" s="22">
        <f t="shared" si="221"/>
        <v>-5.3286094112188764E-3</v>
      </c>
      <c r="J7085" s="22" t="str">
        <f t="shared" si="222"/>
        <v/>
      </c>
    </row>
    <row r="7086" spans="1:10">
      <c r="A7086" s="1">
        <v>41422</v>
      </c>
      <c r="B7086">
        <v>34.67</v>
      </c>
      <c r="C7086">
        <v>34.78</v>
      </c>
      <c r="D7086">
        <v>34.26</v>
      </c>
      <c r="E7086">
        <v>34.53</v>
      </c>
      <c r="F7086">
        <v>21432200</v>
      </c>
      <c r="G7086">
        <v>34.17</v>
      </c>
      <c r="H7086" t="s">
        <v>8</v>
      </c>
      <c r="I7086" s="22">
        <f t="shared" si="221"/>
        <v>1.4147008708738992E-2</v>
      </c>
      <c r="J7086" s="22" t="str">
        <f t="shared" si="222"/>
        <v>lost money</v>
      </c>
    </row>
    <row r="7087" spans="1:10">
      <c r="A7087" s="1">
        <v>41423</v>
      </c>
      <c r="B7087">
        <v>34.4</v>
      </c>
      <c r="C7087">
        <v>34.56</v>
      </c>
      <c r="D7087">
        <v>34.119999999999997</v>
      </c>
      <c r="E7087">
        <v>34.4</v>
      </c>
      <c r="F7087">
        <v>16004800</v>
      </c>
      <c r="G7087">
        <v>34.04</v>
      </c>
      <c r="H7087" t="s">
        <v>8</v>
      </c>
      <c r="I7087" s="22">
        <f t="shared" si="221"/>
        <v>-3.8117624220271387E-3</v>
      </c>
      <c r="J7087" s="22" t="str">
        <f t="shared" si="222"/>
        <v/>
      </c>
    </row>
    <row r="7088" spans="1:10">
      <c r="A7088" s="1">
        <v>41424</v>
      </c>
      <c r="B7088">
        <v>34.49</v>
      </c>
      <c r="C7088">
        <v>34.79</v>
      </c>
      <c r="D7088">
        <v>34.340000000000003</v>
      </c>
      <c r="E7088">
        <v>34.340000000000003</v>
      </c>
      <c r="F7088">
        <v>17928400</v>
      </c>
      <c r="G7088">
        <v>33.979999999999997</v>
      </c>
      <c r="H7088" t="s">
        <v>8</v>
      </c>
      <c r="I7088" s="22">
        <f t="shared" si="221"/>
        <v>-1.7641874613875191E-3</v>
      </c>
      <c r="J7088" s="22" t="str">
        <f t="shared" si="222"/>
        <v>lost money</v>
      </c>
    </row>
    <row r="7089" spans="1:10">
      <c r="A7089" s="1">
        <v>41425</v>
      </c>
      <c r="B7089">
        <v>34.119999999999997</v>
      </c>
      <c r="C7089">
        <v>34.46</v>
      </c>
      <c r="D7089">
        <v>33.75</v>
      </c>
      <c r="E7089">
        <v>33.78</v>
      </c>
      <c r="F7089">
        <v>24412100</v>
      </c>
      <c r="G7089">
        <v>33.42</v>
      </c>
      <c r="H7089" t="s">
        <v>8</v>
      </c>
      <c r="I7089" s="22">
        <f t="shared" si="221"/>
        <v>-1.6617593076538217E-2</v>
      </c>
      <c r="J7089" s="22" t="str">
        <f t="shared" si="222"/>
        <v>lost money</v>
      </c>
    </row>
    <row r="7090" spans="1:10">
      <c r="A7090" s="1">
        <v>41428</v>
      </c>
      <c r="B7090">
        <v>33.85</v>
      </c>
      <c r="C7090">
        <v>34.4</v>
      </c>
      <c r="D7090">
        <v>33.729999999999997</v>
      </c>
      <c r="E7090">
        <v>34.39</v>
      </c>
      <c r="F7090">
        <v>19782700</v>
      </c>
      <c r="G7090">
        <v>34.03</v>
      </c>
      <c r="H7090" t="s">
        <v>8</v>
      </c>
      <c r="I7090" s="22">
        <f t="shared" si="221"/>
        <v>1.8087965345566587E-2</v>
      </c>
      <c r="J7090" s="22" t="str">
        <f t="shared" si="222"/>
        <v/>
      </c>
    </row>
    <row r="7091" spans="1:10">
      <c r="A7091" s="1">
        <v>41429</v>
      </c>
      <c r="B7091">
        <v>34.340000000000003</v>
      </c>
      <c r="C7091">
        <v>34.75</v>
      </c>
      <c r="D7091">
        <v>33.96</v>
      </c>
      <c r="E7091">
        <v>34.159999999999997</v>
      </c>
      <c r="F7091">
        <v>20324900</v>
      </c>
      <c r="G7091">
        <v>33.799999999999997</v>
      </c>
      <c r="H7091" t="s">
        <v>8</v>
      </c>
      <c r="I7091" s="22">
        <f t="shared" si="221"/>
        <v>-6.7816860238414196E-3</v>
      </c>
      <c r="J7091" s="22" t="str">
        <f t="shared" si="222"/>
        <v>lost money</v>
      </c>
    </row>
    <row r="7092" spans="1:10">
      <c r="A7092" s="1">
        <v>41430</v>
      </c>
      <c r="B7092">
        <v>34.1</v>
      </c>
      <c r="C7092">
        <v>34.61</v>
      </c>
      <c r="D7092">
        <v>34</v>
      </c>
      <c r="E7092">
        <v>34.119999999999997</v>
      </c>
      <c r="F7092">
        <v>22005600</v>
      </c>
      <c r="G7092">
        <v>33.76</v>
      </c>
      <c r="H7092" t="s">
        <v>8</v>
      </c>
      <c r="I7092" s="22">
        <f t="shared" si="221"/>
        <v>-1.1841327612166937E-3</v>
      </c>
      <c r="J7092" s="22" t="str">
        <f t="shared" si="222"/>
        <v/>
      </c>
    </row>
    <row r="7093" spans="1:10">
      <c r="A7093" s="1">
        <v>41431</v>
      </c>
      <c r="B7093">
        <v>33.979999999999997</v>
      </c>
      <c r="C7093">
        <v>33.979999999999997</v>
      </c>
      <c r="D7093">
        <v>33.130000000000003</v>
      </c>
      <c r="E7093">
        <v>33.35</v>
      </c>
      <c r="F7093">
        <v>29158700</v>
      </c>
      <c r="G7093">
        <v>33</v>
      </c>
      <c r="H7093" t="s">
        <v>8</v>
      </c>
      <c r="I7093" s="22">
        <f t="shared" si="221"/>
        <v>-2.2769108261276112E-2</v>
      </c>
      <c r="J7093" s="22" t="str">
        <f t="shared" si="222"/>
        <v>lost money</v>
      </c>
    </row>
    <row r="7094" spans="1:10">
      <c r="A7094" s="1">
        <v>41432</v>
      </c>
      <c r="B7094">
        <v>33.590000000000003</v>
      </c>
      <c r="C7094">
        <v>34.03</v>
      </c>
      <c r="D7094">
        <v>33.32</v>
      </c>
      <c r="E7094">
        <v>33.81</v>
      </c>
      <c r="F7094">
        <v>20548900</v>
      </c>
      <c r="G7094">
        <v>33.450000000000003</v>
      </c>
      <c r="H7094" t="s">
        <v>8</v>
      </c>
      <c r="I7094" s="22">
        <f t="shared" si="221"/>
        <v>1.3544225107757253E-2</v>
      </c>
      <c r="J7094" s="22" t="str">
        <f t="shared" si="222"/>
        <v/>
      </c>
    </row>
    <row r="7095" spans="1:10">
      <c r="A7095" s="1">
        <v>41435</v>
      </c>
      <c r="B7095">
        <v>33.979999999999997</v>
      </c>
      <c r="C7095">
        <v>34.090000000000003</v>
      </c>
      <c r="D7095">
        <v>33.82</v>
      </c>
      <c r="E7095">
        <v>34.049999999999997</v>
      </c>
      <c r="F7095">
        <v>16901500</v>
      </c>
      <c r="G7095">
        <v>33.69</v>
      </c>
      <c r="H7095" t="s">
        <v>8</v>
      </c>
      <c r="I7095" s="22">
        <f t="shared" si="221"/>
        <v>7.1492708442238914E-3</v>
      </c>
      <c r="J7095" s="22" t="str">
        <f t="shared" si="222"/>
        <v/>
      </c>
    </row>
    <row r="7096" spans="1:10">
      <c r="A7096" s="1">
        <v>41436</v>
      </c>
      <c r="B7096">
        <v>33.659999999999997</v>
      </c>
      <c r="C7096">
        <v>34.15</v>
      </c>
      <c r="D7096">
        <v>33.49</v>
      </c>
      <c r="E7096">
        <v>33.57</v>
      </c>
      <c r="F7096">
        <v>15274500</v>
      </c>
      <c r="G7096">
        <v>33.22</v>
      </c>
      <c r="H7096" t="s">
        <v>8</v>
      </c>
      <c r="I7096" s="22">
        <f t="shared" si="221"/>
        <v>-1.4048953233312643E-2</v>
      </c>
      <c r="J7096" s="22" t="str">
        <f t="shared" si="222"/>
        <v>lost money</v>
      </c>
    </row>
    <row r="7097" spans="1:10">
      <c r="A7097" s="1">
        <v>41437</v>
      </c>
      <c r="B7097">
        <v>33.83</v>
      </c>
      <c r="C7097">
        <v>33.869999999999997</v>
      </c>
      <c r="D7097">
        <v>33.5</v>
      </c>
      <c r="E7097">
        <v>33.520000000000003</v>
      </c>
      <c r="F7097">
        <v>13731100</v>
      </c>
      <c r="G7097">
        <v>33.17</v>
      </c>
      <c r="H7097" t="s">
        <v>8</v>
      </c>
      <c r="I7097" s="22">
        <f t="shared" si="221"/>
        <v>-1.5062512261876696E-3</v>
      </c>
      <c r="J7097" s="22" t="str">
        <f t="shared" si="222"/>
        <v>lost money</v>
      </c>
    </row>
    <row r="7098" spans="1:10">
      <c r="A7098" s="1">
        <v>41438</v>
      </c>
      <c r="B7098">
        <v>33.47</v>
      </c>
      <c r="C7098">
        <v>34.32</v>
      </c>
      <c r="D7098">
        <v>33.409999999999997</v>
      </c>
      <c r="E7098">
        <v>34.25</v>
      </c>
      <c r="F7098">
        <v>15727400</v>
      </c>
      <c r="G7098">
        <v>33.89</v>
      </c>
      <c r="H7098" t="s">
        <v>8</v>
      </c>
      <c r="I7098" s="22">
        <f t="shared" si="221"/>
        <v>2.1474132659998913E-2</v>
      </c>
      <c r="J7098" s="22" t="str">
        <f t="shared" si="222"/>
        <v/>
      </c>
    </row>
    <row r="7099" spans="1:10">
      <c r="A7099" s="1">
        <v>41439</v>
      </c>
      <c r="B7099">
        <v>34.15</v>
      </c>
      <c r="C7099">
        <v>34.32</v>
      </c>
      <c r="D7099">
        <v>33.700000000000003</v>
      </c>
      <c r="E7099">
        <v>33.770000000000003</v>
      </c>
      <c r="F7099">
        <v>17551400</v>
      </c>
      <c r="G7099">
        <v>33.409999999999997</v>
      </c>
      <c r="H7099" t="s">
        <v>8</v>
      </c>
      <c r="I7099" s="22">
        <f t="shared" si="221"/>
        <v>-1.42647292502949E-2</v>
      </c>
      <c r="J7099" s="22" t="str">
        <f t="shared" si="222"/>
        <v>lost money</v>
      </c>
    </row>
    <row r="7100" spans="1:10">
      <c r="A7100" s="1">
        <v>41442</v>
      </c>
      <c r="B7100">
        <v>34.03</v>
      </c>
      <c r="C7100">
        <v>34.630000000000003</v>
      </c>
      <c r="D7100">
        <v>34</v>
      </c>
      <c r="E7100">
        <v>34.270000000000003</v>
      </c>
      <c r="F7100">
        <v>19398200</v>
      </c>
      <c r="G7100">
        <v>33.909999999999997</v>
      </c>
      <c r="H7100" t="s">
        <v>8</v>
      </c>
      <c r="I7100" s="22">
        <f t="shared" si="221"/>
        <v>1.4854699768882026E-2</v>
      </c>
      <c r="J7100" s="22" t="str">
        <f t="shared" si="222"/>
        <v/>
      </c>
    </row>
    <row r="7101" spans="1:10">
      <c r="A7101" s="1">
        <v>41443</v>
      </c>
      <c r="B7101">
        <v>34.26</v>
      </c>
      <c r="C7101">
        <v>34.590000000000003</v>
      </c>
      <c r="D7101">
        <v>34.21</v>
      </c>
      <c r="E7101">
        <v>34.4</v>
      </c>
      <c r="F7101">
        <v>16949300</v>
      </c>
      <c r="G7101">
        <v>34.04</v>
      </c>
      <c r="H7101" t="s">
        <v>8</v>
      </c>
      <c r="I7101" s="22">
        <f t="shared" si="221"/>
        <v>3.8263475676261591E-3</v>
      </c>
      <c r="J7101" s="22" t="str">
        <f t="shared" si="222"/>
        <v/>
      </c>
    </row>
    <row r="7102" spans="1:10">
      <c r="A7102" s="1">
        <v>41444</v>
      </c>
      <c r="B7102">
        <v>34.43</v>
      </c>
      <c r="C7102">
        <v>34.590000000000003</v>
      </c>
      <c r="D7102">
        <v>34.08</v>
      </c>
      <c r="E7102">
        <v>34.090000000000003</v>
      </c>
      <c r="F7102">
        <v>19408400</v>
      </c>
      <c r="G7102">
        <v>33.729999999999997</v>
      </c>
      <c r="H7102" t="s">
        <v>8</v>
      </c>
      <c r="I7102" s="22">
        <f t="shared" si="221"/>
        <v>-9.1486546316145723E-3</v>
      </c>
      <c r="J7102" s="22" t="str">
        <f t="shared" si="222"/>
        <v>lost money</v>
      </c>
    </row>
    <row r="7103" spans="1:10">
      <c r="A7103" s="1">
        <v>41445</v>
      </c>
      <c r="B7103">
        <v>33.880000000000003</v>
      </c>
      <c r="C7103">
        <v>34.020000000000003</v>
      </c>
      <c r="D7103">
        <v>33.03</v>
      </c>
      <c r="E7103">
        <v>33.21</v>
      </c>
      <c r="F7103">
        <v>35222400</v>
      </c>
      <c r="G7103">
        <v>32.86</v>
      </c>
      <c r="H7103" t="s">
        <v>8</v>
      </c>
      <c r="I7103" s="22">
        <f t="shared" si="221"/>
        <v>-2.6131536464436798E-2</v>
      </c>
      <c r="J7103" s="22" t="str">
        <f t="shared" si="222"/>
        <v>lost money</v>
      </c>
    </row>
    <row r="7104" spans="1:10">
      <c r="A7104" s="1">
        <v>41446</v>
      </c>
      <c r="B7104">
        <v>30.71</v>
      </c>
      <c r="C7104">
        <v>30.84</v>
      </c>
      <c r="D7104">
        <v>29.98</v>
      </c>
      <c r="E7104">
        <v>30.14</v>
      </c>
      <c r="F7104">
        <v>140813500</v>
      </c>
      <c r="G7104">
        <v>29.82</v>
      </c>
      <c r="H7104" t="s">
        <v>8</v>
      </c>
      <c r="I7104" s="22">
        <f t="shared" si="221"/>
        <v>-9.7076803272529627E-2</v>
      </c>
      <c r="J7104" s="22" t="str">
        <f t="shared" si="222"/>
        <v>lost money</v>
      </c>
    </row>
    <row r="7105" spans="1:10">
      <c r="A7105" s="1">
        <v>41449</v>
      </c>
      <c r="B7105">
        <v>30.12</v>
      </c>
      <c r="C7105">
        <v>30.44</v>
      </c>
      <c r="D7105">
        <v>30.03</v>
      </c>
      <c r="E7105">
        <v>30.17</v>
      </c>
      <c r="F7105">
        <v>78919200</v>
      </c>
      <c r="G7105">
        <v>29.85</v>
      </c>
      <c r="H7105" t="s">
        <v>8</v>
      </c>
      <c r="I7105" s="22">
        <f t="shared" si="221"/>
        <v>1.0055305020187962E-3</v>
      </c>
      <c r="J7105" s="22" t="str">
        <f t="shared" si="222"/>
        <v/>
      </c>
    </row>
    <row r="7106" spans="1:10">
      <c r="A7106" s="1">
        <v>41450</v>
      </c>
      <c r="B7106">
        <v>30.5</v>
      </c>
      <c r="C7106">
        <v>30.53</v>
      </c>
      <c r="D7106">
        <v>29.89</v>
      </c>
      <c r="E7106">
        <v>29.96</v>
      </c>
      <c r="F7106">
        <v>64051500</v>
      </c>
      <c r="G7106">
        <v>29.64</v>
      </c>
      <c r="H7106" t="s">
        <v>8</v>
      </c>
      <c r="I7106" s="22">
        <f t="shared" si="221"/>
        <v>-7.0600394107250301E-3</v>
      </c>
      <c r="J7106" s="22" t="str">
        <f t="shared" si="222"/>
        <v>lost money</v>
      </c>
    </row>
    <row r="7107" spans="1:10">
      <c r="A7107" s="1">
        <v>41451</v>
      </c>
      <c r="B7107">
        <v>30.19</v>
      </c>
      <c r="C7107">
        <v>30.23</v>
      </c>
      <c r="D7107">
        <v>29.86</v>
      </c>
      <c r="E7107">
        <v>30.14</v>
      </c>
      <c r="F7107">
        <v>52429800</v>
      </c>
      <c r="G7107">
        <v>29.82</v>
      </c>
      <c r="H7107" t="s">
        <v>8</v>
      </c>
      <c r="I7107" s="22">
        <f t="shared" ref="I7107:I7170" si="223">IF(A7107=$A$2,"",LN(G7107/G7106))</f>
        <v>6.0545089087062224E-3</v>
      </c>
      <c r="J7107" s="22" t="str">
        <f t="shared" ref="J7107:J7170" si="224">IF(B7107&gt;E7107,"lost money","")</f>
        <v>lost money</v>
      </c>
    </row>
    <row r="7108" spans="1:10">
      <c r="A7108" s="1">
        <v>41452</v>
      </c>
      <c r="B7108">
        <v>30.31</v>
      </c>
      <c r="C7108">
        <v>31.14</v>
      </c>
      <c r="D7108">
        <v>30.29</v>
      </c>
      <c r="E7108">
        <v>30.45</v>
      </c>
      <c r="F7108">
        <v>43014900</v>
      </c>
      <c r="G7108">
        <v>30.13</v>
      </c>
      <c r="H7108" t="s">
        <v>8</v>
      </c>
      <c r="I7108" s="22">
        <f t="shared" si="223"/>
        <v>1.0342043805617483E-2</v>
      </c>
      <c r="J7108" s="22" t="str">
        <f t="shared" si="224"/>
        <v/>
      </c>
    </row>
    <row r="7109" spans="1:10">
      <c r="A7109" s="1">
        <v>41453</v>
      </c>
      <c r="B7109">
        <v>30.28</v>
      </c>
      <c r="C7109">
        <v>30.81</v>
      </c>
      <c r="D7109">
        <v>30.25</v>
      </c>
      <c r="E7109">
        <v>30.71</v>
      </c>
      <c r="F7109">
        <v>39787100</v>
      </c>
      <c r="G7109">
        <v>30.39</v>
      </c>
      <c r="H7109" t="s">
        <v>8</v>
      </c>
      <c r="I7109" s="22">
        <f t="shared" si="223"/>
        <v>8.5922537864917842E-3</v>
      </c>
      <c r="J7109" s="22" t="str">
        <f t="shared" si="224"/>
        <v/>
      </c>
    </row>
    <row r="7110" spans="1:10">
      <c r="A7110" s="1">
        <v>41456</v>
      </c>
      <c r="B7110">
        <v>30.89</v>
      </c>
      <c r="C7110">
        <v>30.98</v>
      </c>
      <c r="D7110">
        <v>30.07</v>
      </c>
      <c r="E7110">
        <v>30.11</v>
      </c>
      <c r="F7110">
        <v>33962900</v>
      </c>
      <c r="G7110">
        <v>29.79</v>
      </c>
      <c r="H7110" t="s">
        <v>8</v>
      </c>
      <c r="I7110" s="22">
        <f t="shared" si="223"/>
        <v>-1.9940840203510848E-2</v>
      </c>
      <c r="J7110" s="22" t="str">
        <f t="shared" si="224"/>
        <v>lost money</v>
      </c>
    </row>
    <row r="7111" spans="1:10">
      <c r="A7111" s="1">
        <v>41457</v>
      </c>
      <c r="B7111">
        <v>30.09</v>
      </c>
      <c r="C7111">
        <v>30.35</v>
      </c>
      <c r="D7111">
        <v>29.95</v>
      </c>
      <c r="E7111">
        <v>30.1</v>
      </c>
      <c r="F7111">
        <v>33114500</v>
      </c>
      <c r="G7111">
        <v>29.78</v>
      </c>
      <c r="H7111" t="s">
        <v>8</v>
      </c>
      <c r="I7111" s="22">
        <f t="shared" si="223"/>
        <v>-3.3573946932788769E-4</v>
      </c>
      <c r="J7111" s="22" t="str">
        <f t="shared" si="224"/>
        <v/>
      </c>
    </row>
    <row r="7112" spans="1:10">
      <c r="A7112" s="1">
        <v>41458</v>
      </c>
      <c r="B7112">
        <v>30.05</v>
      </c>
      <c r="C7112">
        <v>30.8</v>
      </c>
      <c r="D7112">
        <v>30.04</v>
      </c>
      <c r="E7112">
        <v>30.7</v>
      </c>
      <c r="F7112">
        <v>18629700</v>
      </c>
      <c r="G7112">
        <v>30.38</v>
      </c>
      <c r="H7112" t="s">
        <v>8</v>
      </c>
      <c r="I7112" s="22">
        <f t="shared" si="223"/>
        <v>1.9947469911763889E-2</v>
      </c>
      <c r="J7112" s="22" t="str">
        <f t="shared" si="224"/>
        <v/>
      </c>
    </row>
    <row r="7113" spans="1:10">
      <c r="A7113" s="1">
        <v>41460</v>
      </c>
      <c r="B7113">
        <v>30.99</v>
      </c>
      <c r="C7113">
        <v>31.2</v>
      </c>
      <c r="D7113">
        <v>30.54</v>
      </c>
      <c r="E7113">
        <v>31.19</v>
      </c>
      <c r="F7113">
        <v>22193800</v>
      </c>
      <c r="G7113">
        <v>30.86</v>
      </c>
      <c r="H7113" t="s">
        <v>8</v>
      </c>
      <c r="I7113" s="22">
        <f t="shared" si="223"/>
        <v>1.5676349767387916E-2</v>
      </c>
      <c r="J7113" s="22" t="str">
        <f t="shared" si="224"/>
        <v/>
      </c>
    </row>
    <row r="7114" spans="1:10">
      <c r="A7114" s="1">
        <v>41463</v>
      </c>
      <c r="B7114">
        <v>31.35</v>
      </c>
      <c r="C7114">
        <v>31.65</v>
      </c>
      <c r="D7114">
        <v>31.25</v>
      </c>
      <c r="E7114">
        <v>31.65</v>
      </c>
      <c r="F7114">
        <v>28904300</v>
      </c>
      <c r="G7114">
        <v>31.32</v>
      </c>
      <c r="H7114" t="s">
        <v>8</v>
      </c>
      <c r="I7114" s="22">
        <f t="shared" si="223"/>
        <v>1.4796024187587603E-2</v>
      </c>
      <c r="J7114" s="22" t="str">
        <f t="shared" si="224"/>
        <v/>
      </c>
    </row>
    <row r="7115" spans="1:10">
      <c r="A7115" s="1">
        <v>41464</v>
      </c>
      <c r="B7115">
        <v>31.5</v>
      </c>
      <c r="C7115">
        <v>31.6</v>
      </c>
      <c r="D7115">
        <v>31.23</v>
      </c>
      <c r="E7115">
        <v>31.52</v>
      </c>
      <c r="F7115">
        <v>28854300</v>
      </c>
      <c r="G7115">
        <v>31.19</v>
      </c>
      <c r="H7115" t="s">
        <v>8</v>
      </c>
      <c r="I7115" s="22">
        <f t="shared" si="223"/>
        <v>-4.1593405028904212E-3</v>
      </c>
      <c r="J7115" s="22" t="str">
        <f t="shared" si="224"/>
        <v/>
      </c>
    </row>
    <row r="7116" spans="1:10">
      <c r="A7116" s="1">
        <v>41465</v>
      </c>
      <c r="B7116">
        <v>31.36</v>
      </c>
      <c r="C7116">
        <v>31.44</v>
      </c>
      <c r="D7116">
        <v>31.05</v>
      </c>
      <c r="E7116">
        <v>31.23</v>
      </c>
      <c r="F7116">
        <v>28458600</v>
      </c>
      <c r="G7116">
        <v>31.02</v>
      </c>
      <c r="H7116" t="s">
        <v>8</v>
      </c>
      <c r="I7116" s="22">
        <f t="shared" si="223"/>
        <v>-5.4653728713191692E-3</v>
      </c>
      <c r="J7116" s="22" t="str">
        <f t="shared" si="224"/>
        <v>lost money</v>
      </c>
    </row>
    <row r="7117" spans="1:10">
      <c r="A7117" s="1">
        <v>41466</v>
      </c>
      <c r="B7117">
        <v>31.57</v>
      </c>
      <c r="C7117">
        <v>32</v>
      </c>
      <c r="D7117">
        <v>31.57</v>
      </c>
      <c r="E7117">
        <v>31.86</v>
      </c>
      <c r="F7117">
        <v>33193000</v>
      </c>
      <c r="G7117">
        <v>31.64</v>
      </c>
      <c r="H7117" t="s">
        <v>8</v>
      </c>
      <c r="I7117" s="22">
        <f t="shared" si="223"/>
        <v>1.97899851510604E-2</v>
      </c>
      <c r="J7117" s="22" t="str">
        <f t="shared" si="224"/>
        <v/>
      </c>
    </row>
    <row r="7118" spans="1:10">
      <c r="A7118" s="1">
        <v>41467</v>
      </c>
      <c r="B7118">
        <v>31.9</v>
      </c>
      <c r="C7118">
        <v>32</v>
      </c>
      <c r="D7118">
        <v>31.24</v>
      </c>
      <c r="E7118">
        <v>31.25</v>
      </c>
      <c r="F7118">
        <v>157674700</v>
      </c>
      <c r="G7118">
        <v>31.04</v>
      </c>
      <c r="H7118" t="s">
        <v>8</v>
      </c>
      <c r="I7118" s="22">
        <f t="shared" si="223"/>
        <v>-1.9145447584435201E-2</v>
      </c>
      <c r="J7118" s="22" t="str">
        <f t="shared" si="224"/>
        <v>lost money</v>
      </c>
    </row>
    <row r="7119" spans="1:10">
      <c r="A7119" s="1">
        <v>41470</v>
      </c>
      <c r="B7119">
        <v>31.48</v>
      </c>
      <c r="C7119">
        <v>32.049999999999997</v>
      </c>
      <c r="D7119">
        <v>31.32</v>
      </c>
      <c r="E7119">
        <v>32.01</v>
      </c>
      <c r="F7119">
        <v>36543400</v>
      </c>
      <c r="G7119">
        <v>31.79</v>
      </c>
      <c r="H7119" t="s">
        <v>8</v>
      </c>
      <c r="I7119" s="22">
        <f t="shared" si="223"/>
        <v>2.3875079607693361E-2</v>
      </c>
      <c r="J7119" s="22" t="str">
        <f t="shared" si="224"/>
        <v/>
      </c>
    </row>
    <row r="7120" spans="1:10">
      <c r="A7120" s="1">
        <v>41471</v>
      </c>
      <c r="B7120">
        <v>31.99</v>
      </c>
      <c r="C7120">
        <v>32.15</v>
      </c>
      <c r="D7120">
        <v>31.86</v>
      </c>
      <c r="E7120">
        <v>32</v>
      </c>
      <c r="F7120">
        <v>22531400</v>
      </c>
      <c r="G7120">
        <v>31.78</v>
      </c>
      <c r="H7120" t="s">
        <v>8</v>
      </c>
      <c r="I7120" s="22">
        <f t="shared" si="223"/>
        <v>-3.1461381414129869E-4</v>
      </c>
      <c r="J7120" s="22" t="str">
        <f t="shared" si="224"/>
        <v/>
      </c>
    </row>
    <row r="7121" spans="1:10">
      <c r="A7121" s="1">
        <v>41472</v>
      </c>
      <c r="B7121">
        <v>32.07</v>
      </c>
      <c r="C7121">
        <v>32.44</v>
      </c>
      <c r="D7121">
        <v>32.049999999999997</v>
      </c>
      <c r="E7121">
        <v>32.159999999999997</v>
      </c>
      <c r="F7121">
        <v>22357000</v>
      </c>
      <c r="G7121">
        <v>31.94</v>
      </c>
      <c r="H7121" t="s">
        <v>8</v>
      </c>
      <c r="I7121" s="22">
        <f t="shared" si="223"/>
        <v>5.0219816782963982E-3</v>
      </c>
      <c r="J7121" s="22" t="str">
        <f t="shared" si="224"/>
        <v/>
      </c>
    </row>
    <row r="7122" spans="1:10">
      <c r="A7122" s="1">
        <v>41473</v>
      </c>
      <c r="B7122">
        <v>31.96</v>
      </c>
      <c r="C7122">
        <v>32.46</v>
      </c>
      <c r="D7122">
        <v>31.81</v>
      </c>
      <c r="E7122">
        <v>32.01</v>
      </c>
      <c r="F7122">
        <v>23615600</v>
      </c>
      <c r="G7122">
        <v>31.79</v>
      </c>
      <c r="H7122" t="s">
        <v>8</v>
      </c>
      <c r="I7122" s="22">
        <f t="shared" si="223"/>
        <v>-4.70736786415507E-3</v>
      </c>
      <c r="J7122" s="22" t="str">
        <f t="shared" si="224"/>
        <v/>
      </c>
    </row>
    <row r="7123" spans="1:10">
      <c r="A7123" s="1">
        <v>41474</v>
      </c>
      <c r="B7123">
        <v>32.03</v>
      </c>
      <c r="C7123">
        <v>32.03</v>
      </c>
      <c r="D7123">
        <v>31.51</v>
      </c>
      <c r="E7123">
        <v>31.86</v>
      </c>
      <c r="F7123">
        <v>28512000</v>
      </c>
      <c r="G7123">
        <v>31.64</v>
      </c>
      <c r="H7123" t="s">
        <v>8</v>
      </c>
      <c r="I7123" s="22">
        <f t="shared" si="223"/>
        <v>-4.7296320232581325E-3</v>
      </c>
      <c r="J7123" s="22" t="str">
        <f t="shared" si="224"/>
        <v>lost money</v>
      </c>
    </row>
    <row r="7124" spans="1:10">
      <c r="A7124" s="1">
        <v>41477</v>
      </c>
      <c r="B7124">
        <v>31.79</v>
      </c>
      <c r="C7124">
        <v>31.9</v>
      </c>
      <c r="D7124">
        <v>31.7</v>
      </c>
      <c r="E7124">
        <v>31.87</v>
      </c>
      <c r="F7124">
        <v>16760100</v>
      </c>
      <c r="G7124">
        <v>31.65</v>
      </c>
      <c r="H7124" t="s">
        <v>8</v>
      </c>
      <c r="I7124" s="22">
        <f t="shared" si="223"/>
        <v>3.1600569073210932E-4</v>
      </c>
      <c r="J7124" s="22" t="str">
        <f t="shared" si="224"/>
        <v/>
      </c>
    </row>
    <row r="7125" spans="1:10">
      <c r="A7125" s="1">
        <v>41478</v>
      </c>
      <c r="B7125">
        <v>31.87</v>
      </c>
      <c r="C7125">
        <v>32.19</v>
      </c>
      <c r="D7125">
        <v>31.81</v>
      </c>
      <c r="E7125">
        <v>32.07</v>
      </c>
      <c r="F7125">
        <v>16771000</v>
      </c>
      <c r="G7125">
        <v>31.85</v>
      </c>
      <c r="H7125" t="s">
        <v>8</v>
      </c>
      <c r="I7125" s="22">
        <f t="shared" si="223"/>
        <v>6.2992334279871505E-3</v>
      </c>
      <c r="J7125" s="22" t="str">
        <f t="shared" si="224"/>
        <v/>
      </c>
    </row>
    <row r="7126" spans="1:10">
      <c r="A7126" s="1">
        <v>41479</v>
      </c>
      <c r="B7126">
        <v>32.380000000000003</v>
      </c>
      <c r="C7126">
        <v>32.56</v>
      </c>
      <c r="D7126">
        <v>32.299999999999997</v>
      </c>
      <c r="E7126">
        <v>32.39</v>
      </c>
      <c r="F7126">
        <v>20003600</v>
      </c>
      <c r="G7126">
        <v>32.17</v>
      </c>
      <c r="H7126" t="s">
        <v>8</v>
      </c>
      <c r="I7126" s="22">
        <f t="shared" si="223"/>
        <v>9.9969592327625607E-3</v>
      </c>
      <c r="J7126" s="22" t="str">
        <f t="shared" si="224"/>
        <v/>
      </c>
    </row>
    <row r="7127" spans="1:10">
      <c r="A7127" s="1">
        <v>41480</v>
      </c>
      <c r="B7127">
        <v>32.409999999999997</v>
      </c>
      <c r="C7127">
        <v>32.409999999999997</v>
      </c>
      <c r="D7127">
        <v>31.97</v>
      </c>
      <c r="E7127">
        <v>32.369999999999997</v>
      </c>
      <c r="F7127">
        <v>21050300</v>
      </c>
      <c r="G7127">
        <v>32.15</v>
      </c>
      <c r="H7127" t="s">
        <v>8</v>
      </c>
      <c r="I7127" s="22">
        <f t="shared" si="223"/>
        <v>-6.2189056730667912E-4</v>
      </c>
      <c r="J7127" s="22" t="str">
        <f t="shared" si="224"/>
        <v>lost money</v>
      </c>
    </row>
    <row r="7128" spans="1:10">
      <c r="A7128" s="1">
        <v>41481</v>
      </c>
      <c r="B7128">
        <v>32.36</v>
      </c>
      <c r="C7128">
        <v>32.6</v>
      </c>
      <c r="D7128">
        <v>32.159999999999997</v>
      </c>
      <c r="E7128">
        <v>32.54</v>
      </c>
      <c r="F7128">
        <v>17308500</v>
      </c>
      <c r="G7128">
        <v>32.32</v>
      </c>
      <c r="H7128" t="s">
        <v>8</v>
      </c>
      <c r="I7128" s="22">
        <f t="shared" si="223"/>
        <v>5.2737829692663749E-3</v>
      </c>
      <c r="J7128" s="22" t="str">
        <f t="shared" si="224"/>
        <v/>
      </c>
    </row>
    <row r="7129" spans="1:10">
      <c r="A7129" s="1">
        <v>41484</v>
      </c>
      <c r="B7129">
        <v>32.39</v>
      </c>
      <c r="C7129">
        <v>32.56</v>
      </c>
      <c r="D7129">
        <v>32.17</v>
      </c>
      <c r="E7129">
        <v>32.479999999999997</v>
      </c>
      <c r="F7129">
        <v>16119300</v>
      </c>
      <c r="G7129">
        <v>32.26</v>
      </c>
      <c r="H7129" t="s">
        <v>8</v>
      </c>
      <c r="I7129" s="22">
        <f t="shared" si="223"/>
        <v>-1.8581609558318843E-3</v>
      </c>
      <c r="J7129" s="22" t="str">
        <f t="shared" si="224"/>
        <v/>
      </c>
    </row>
    <row r="7130" spans="1:10">
      <c r="A7130" s="1">
        <v>41485</v>
      </c>
      <c r="B7130">
        <v>32.6</v>
      </c>
      <c r="C7130">
        <v>32.71</v>
      </c>
      <c r="D7130">
        <v>32.49</v>
      </c>
      <c r="E7130">
        <v>32.549999999999997</v>
      </c>
      <c r="F7130">
        <v>18340700</v>
      </c>
      <c r="G7130">
        <v>32.33</v>
      </c>
      <c r="H7130" t="s">
        <v>8</v>
      </c>
      <c r="I7130" s="22">
        <f t="shared" si="223"/>
        <v>2.1675190402790224E-3</v>
      </c>
      <c r="J7130" s="22" t="str">
        <f t="shared" si="224"/>
        <v>lost money</v>
      </c>
    </row>
    <row r="7131" spans="1:10">
      <c r="A7131" s="1">
        <v>41486</v>
      </c>
      <c r="B7131">
        <v>32.58</v>
      </c>
      <c r="C7131">
        <v>32.75</v>
      </c>
      <c r="D7131">
        <v>31.95</v>
      </c>
      <c r="E7131">
        <v>32.35</v>
      </c>
      <c r="F7131">
        <v>30540500</v>
      </c>
      <c r="G7131">
        <v>32.130000000000003</v>
      </c>
      <c r="H7131" t="s">
        <v>8</v>
      </c>
      <c r="I7131" s="22">
        <f t="shared" si="223"/>
        <v>-6.205418609574455E-3</v>
      </c>
      <c r="J7131" s="22" t="str">
        <f t="shared" si="224"/>
        <v>lost money</v>
      </c>
    </row>
    <row r="7132" spans="1:10">
      <c r="A7132" s="1">
        <v>41487</v>
      </c>
      <c r="B7132">
        <v>32.619999999999997</v>
      </c>
      <c r="C7132">
        <v>32.83</v>
      </c>
      <c r="D7132">
        <v>32.4</v>
      </c>
      <c r="E7132">
        <v>32.75</v>
      </c>
      <c r="F7132">
        <v>15797000</v>
      </c>
      <c r="G7132">
        <v>32.53</v>
      </c>
      <c r="H7132" t="s">
        <v>8</v>
      </c>
      <c r="I7132" s="22">
        <f t="shared" si="223"/>
        <v>1.237256735749288E-2</v>
      </c>
      <c r="J7132" s="22" t="str">
        <f t="shared" si="224"/>
        <v/>
      </c>
    </row>
    <row r="7133" spans="1:10">
      <c r="A7133" s="1">
        <v>41488</v>
      </c>
      <c r="B7133">
        <v>32.619999999999997</v>
      </c>
      <c r="C7133">
        <v>32.700000000000003</v>
      </c>
      <c r="D7133">
        <v>32.479999999999997</v>
      </c>
      <c r="E7133">
        <v>32.57</v>
      </c>
      <c r="F7133">
        <v>18998100</v>
      </c>
      <c r="G7133">
        <v>32.35</v>
      </c>
      <c r="H7133" t="s">
        <v>8</v>
      </c>
      <c r="I7133" s="22">
        <f t="shared" si="223"/>
        <v>-5.5487195383505279E-3</v>
      </c>
      <c r="J7133" s="22" t="str">
        <f t="shared" si="224"/>
        <v>lost money</v>
      </c>
    </row>
    <row r="7134" spans="1:10">
      <c r="A7134" s="1">
        <v>41491</v>
      </c>
      <c r="B7134">
        <v>32.590000000000003</v>
      </c>
      <c r="C7134">
        <v>32.9</v>
      </c>
      <c r="D7134">
        <v>32.549999999999997</v>
      </c>
      <c r="E7134">
        <v>32.78</v>
      </c>
      <c r="F7134">
        <v>11151300</v>
      </c>
      <c r="G7134">
        <v>32.56</v>
      </c>
      <c r="H7134" t="s">
        <v>8</v>
      </c>
      <c r="I7134" s="22">
        <f t="shared" si="223"/>
        <v>6.4705201874299947E-3</v>
      </c>
      <c r="J7134" s="22" t="str">
        <f t="shared" si="224"/>
        <v/>
      </c>
    </row>
    <row r="7135" spans="1:10">
      <c r="A7135" s="1">
        <v>41492</v>
      </c>
      <c r="B7135">
        <v>32.75</v>
      </c>
      <c r="C7135">
        <v>33.22</v>
      </c>
      <c r="D7135">
        <v>32.700000000000003</v>
      </c>
      <c r="E7135">
        <v>33</v>
      </c>
      <c r="F7135">
        <v>18620900</v>
      </c>
      <c r="G7135">
        <v>32.78</v>
      </c>
      <c r="H7135" t="s">
        <v>8</v>
      </c>
      <c r="I7135" s="22">
        <f t="shared" si="223"/>
        <v>6.7340321813441194E-3</v>
      </c>
      <c r="J7135" s="22" t="str">
        <f t="shared" si="224"/>
        <v/>
      </c>
    </row>
    <row r="7136" spans="1:10">
      <c r="A7136" s="1">
        <v>41493</v>
      </c>
      <c r="B7136">
        <v>32.770000000000003</v>
      </c>
      <c r="C7136">
        <v>33</v>
      </c>
      <c r="D7136">
        <v>32.68</v>
      </c>
      <c r="E7136">
        <v>32.82</v>
      </c>
      <c r="F7136">
        <v>17416900</v>
      </c>
      <c r="G7136">
        <v>32.6</v>
      </c>
      <c r="H7136" t="s">
        <v>8</v>
      </c>
      <c r="I7136" s="22">
        <f t="shared" si="223"/>
        <v>-5.5062849430216792E-3</v>
      </c>
      <c r="J7136" s="22" t="str">
        <f t="shared" si="224"/>
        <v/>
      </c>
    </row>
    <row r="7137" spans="1:10">
      <c r="A7137" s="1">
        <v>41494</v>
      </c>
      <c r="B7137">
        <v>32.909999999999997</v>
      </c>
      <c r="C7137">
        <v>33.1</v>
      </c>
      <c r="D7137">
        <v>32.76</v>
      </c>
      <c r="E7137">
        <v>33.020000000000003</v>
      </c>
      <c r="F7137">
        <v>14204600</v>
      </c>
      <c r="G7137">
        <v>32.799999999999997</v>
      </c>
      <c r="H7137" t="s">
        <v>8</v>
      </c>
      <c r="I7137" s="22">
        <f t="shared" si="223"/>
        <v>6.1162270174360536E-3</v>
      </c>
      <c r="J7137" s="22" t="str">
        <f t="shared" si="224"/>
        <v/>
      </c>
    </row>
    <row r="7138" spans="1:10">
      <c r="A7138" s="1">
        <v>41495</v>
      </c>
      <c r="B7138">
        <v>32.909999999999997</v>
      </c>
      <c r="C7138">
        <v>33.11</v>
      </c>
      <c r="D7138">
        <v>32.700000000000003</v>
      </c>
      <c r="E7138">
        <v>32.92</v>
      </c>
      <c r="F7138">
        <v>11646000</v>
      </c>
      <c r="G7138">
        <v>32.700000000000003</v>
      </c>
      <c r="H7138" t="s">
        <v>8</v>
      </c>
      <c r="I7138" s="22">
        <f t="shared" si="223"/>
        <v>-3.0534374868901202E-3</v>
      </c>
      <c r="J7138" s="22" t="str">
        <f t="shared" si="224"/>
        <v/>
      </c>
    </row>
    <row r="7139" spans="1:10">
      <c r="A7139" s="1">
        <v>41498</v>
      </c>
      <c r="B7139">
        <v>32.81</v>
      </c>
      <c r="C7139">
        <v>33.340000000000003</v>
      </c>
      <c r="D7139">
        <v>32.75</v>
      </c>
      <c r="E7139">
        <v>33.25</v>
      </c>
      <c r="F7139">
        <v>11746400</v>
      </c>
      <c r="G7139">
        <v>33.020000000000003</v>
      </c>
      <c r="H7139" t="s">
        <v>8</v>
      </c>
      <c r="I7139" s="22">
        <f t="shared" si="223"/>
        <v>9.7383605887741698E-3</v>
      </c>
      <c r="J7139" s="22" t="str">
        <f t="shared" si="224"/>
        <v/>
      </c>
    </row>
    <row r="7140" spans="1:10">
      <c r="A7140" s="1">
        <v>41499</v>
      </c>
      <c r="B7140">
        <v>33.39</v>
      </c>
      <c r="C7140">
        <v>33.46</v>
      </c>
      <c r="D7140">
        <v>33.11</v>
      </c>
      <c r="E7140">
        <v>33.25</v>
      </c>
      <c r="F7140">
        <v>12738700</v>
      </c>
      <c r="G7140">
        <v>33.020000000000003</v>
      </c>
      <c r="H7140" t="s">
        <v>8</v>
      </c>
      <c r="I7140" s="22">
        <f t="shared" si="223"/>
        <v>0</v>
      </c>
      <c r="J7140" s="22" t="str">
        <f t="shared" si="224"/>
        <v>lost money</v>
      </c>
    </row>
    <row r="7141" spans="1:10">
      <c r="A7141" s="1">
        <v>41500</v>
      </c>
      <c r="B7141">
        <v>33.26</v>
      </c>
      <c r="C7141">
        <v>33.65</v>
      </c>
      <c r="D7141">
        <v>33.229999999999997</v>
      </c>
      <c r="E7141">
        <v>33.57</v>
      </c>
      <c r="F7141">
        <v>19684400</v>
      </c>
      <c r="G7141">
        <v>33.340000000000003</v>
      </c>
      <c r="H7141" t="s">
        <v>8</v>
      </c>
      <c r="I7141" s="22">
        <f t="shared" si="223"/>
        <v>9.6444388306658919E-3</v>
      </c>
      <c r="J7141" s="22" t="str">
        <f t="shared" si="224"/>
        <v/>
      </c>
    </row>
    <row r="7142" spans="1:10">
      <c r="A7142" s="1">
        <v>41501</v>
      </c>
      <c r="B7142">
        <v>33.24</v>
      </c>
      <c r="C7142">
        <v>33.24</v>
      </c>
      <c r="D7142">
        <v>32.54</v>
      </c>
      <c r="E7142">
        <v>32.729999999999997</v>
      </c>
      <c r="F7142">
        <v>19574600</v>
      </c>
      <c r="G7142">
        <v>32.51</v>
      </c>
      <c r="H7142" t="s">
        <v>8</v>
      </c>
      <c r="I7142" s="22">
        <f t="shared" si="223"/>
        <v>-2.5210143006834121E-2</v>
      </c>
      <c r="J7142" s="22" t="str">
        <f t="shared" si="224"/>
        <v>lost money</v>
      </c>
    </row>
    <row r="7143" spans="1:10">
      <c r="A7143" s="1">
        <v>41502</v>
      </c>
      <c r="B7143">
        <v>32.6</v>
      </c>
      <c r="C7143">
        <v>32.85</v>
      </c>
      <c r="D7143">
        <v>32.299999999999997</v>
      </c>
      <c r="E7143">
        <v>32.409999999999997</v>
      </c>
      <c r="F7143">
        <v>19504100</v>
      </c>
      <c r="G7143">
        <v>32.19</v>
      </c>
      <c r="H7143" t="s">
        <v>8</v>
      </c>
      <c r="I7143" s="22">
        <f t="shared" si="223"/>
        <v>-9.8918890050971424E-3</v>
      </c>
      <c r="J7143" s="22" t="str">
        <f t="shared" si="224"/>
        <v>lost money</v>
      </c>
    </row>
    <row r="7144" spans="1:10">
      <c r="A7144" s="1">
        <v>41505</v>
      </c>
      <c r="B7144">
        <v>32.4</v>
      </c>
      <c r="C7144">
        <v>32.700000000000003</v>
      </c>
      <c r="D7144">
        <v>32.01</v>
      </c>
      <c r="E7144">
        <v>32.06</v>
      </c>
      <c r="F7144">
        <v>13385600</v>
      </c>
      <c r="G7144">
        <v>31.84</v>
      </c>
      <c r="H7144" t="s">
        <v>8</v>
      </c>
      <c r="I7144" s="22">
        <f t="shared" si="223"/>
        <v>-1.0932484334534467E-2</v>
      </c>
      <c r="J7144" s="22" t="str">
        <f t="shared" si="224"/>
        <v>lost money</v>
      </c>
    </row>
    <row r="7145" spans="1:10">
      <c r="A7145" s="1">
        <v>41506</v>
      </c>
      <c r="B7145">
        <v>32.06</v>
      </c>
      <c r="C7145">
        <v>32.42</v>
      </c>
      <c r="D7145">
        <v>32</v>
      </c>
      <c r="E7145">
        <v>32.200000000000003</v>
      </c>
      <c r="F7145">
        <v>13870200</v>
      </c>
      <c r="G7145">
        <v>31.98</v>
      </c>
      <c r="H7145" t="s">
        <v>8</v>
      </c>
      <c r="I7145" s="22">
        <f t="shared" si="223"/>
        <v>4.38734642962583E-3</v>
      </c>
      <c r="J7145" s="22" t="str">
        <f t="shared" si="224"/>
        <v/>
      </c>
    </row>
    <row r="7146" spans="1:10">
      <c r="A7146" s="1">
        <v>41507</v>
      </c>
      <c r="B7146">
        <v>32.19</v>
      </c>
      <c r="C7146">
        <v>32.619999999999997</v>
      </c>
      <c r="D7146">
        <v>32.1</v>
      </c>
      <c r="E7146">
        <v>32.299999999999997</v>
      </c>
      <c r="F7146">
        <v>11955400</v>
      </c>
      <c r="G7146">
        <v>32.08</v>
      </c>
      <c r="H7146" t="s">
        <v>8</v>
      </c>
      <c r="I7146" s="22">
        <f t="shared" si="223"/>
        <v>3.1220755925055136E-3</v>
      </c>
      <c r="J7146" s="22" t="str">
        <f t="shared" si="224"/>
        <v/>
      </c>
    </row>
    <row r="7147" spans="1:10">
      <c r="A7147" s="1">
        <v>41508</v>
      </c>
      <c r="B7147">
        <v>32.42</v>
      </c>
      <c r="C7147">
        <v>32.53</v>
      </c>
      <c r="D7147">
        <v>32.130000000000003</v>
      </c>
      <c r="E7147">
        <v>32.4</v>
      </c>
      <c r="F7147">
        <v>10271600</v>
      </c>
      <c r="G7147">
        <v>32.18</v>
      </c>
      <c r="H7147" t="s">
        <v>8</v>
      </c>
      <c r="I7147" s="22">
        <f t="shared" si="223"/>
        <v>3.1123585659233494E-3</v>
      </c>
      <c r="J7147" s="22" t="str">
        <f t="shared" si="224"/>
        <v>lost money</v>
      </c>
    </row>
    <row r="7148" spans="1:10">
      <c r="A7148" s="1">
        <v>41509</v>
      </c>
      <c r="B7148">
        <v>32.380000000000003</v>
      </c>
      <c r="C7148">
        <v>32.659999999999997</v>
      </c>
      <c r="D7148">
        <v>31.77</v>
      </c>
      <c r="E7148">
        <v>31.77</v>
      </c>
      <c r="F7148">
        <v>27128400</v>
      </c>
      <c r="G7148">
        <v>31.55</v>
      </c>
      <c r="H7148" t="s">
        <v>8</v>
      </c>
      <c r="I7148" s="22">
        <f t="shared" si="223"/>
        <v>-1.977155257701501E-2</v>
      </c>
      <c r="J7148" s="22" t="str">
        <f t="shared" si="224"/>
        <v>lost money</v>
      </c>
    </row>
    <row r="7149" spans="1:10">
      <c r="A7149" s="1">
        <v>41512</v>
      </c>
      <c r="B7149">
        <v>31.76</v>
      </c>
      <c r="C7149">
        <v>32.6</v>
      </c>
      <c r="D7149">
        <v>31.76</v>
      </c>
      <c r="E7149">
        <v>32.340000000000003</v>
      </c>
      <c r="F7149">
        <v>18888600</v>
      </c>
      <c r="G7149">
        <v>32.119999999999997</v>
      </c>
      <c r="H7149" t="s">
        <v>8</v>
      </c>
      <c r="I7149" s="22">
        <f t="shared" si="223"/>
        <v>1.7905300091338647E-2</v>
      </c>
      <c r="J7149" s="22" t="str">
        <f t="shared" si="224"/>
        <v/>
      </c>
    </row>
    <row r="7150" spans="1:10">
      <c r="A7150" s="1">
        <v>41513</v>
      </c>
      <c r="B7150">
        <v>31.65</v>
      </c>
      <c r="C7150">
        <v>32.200000000000003</v>
      </c>
      <c r="D7150">
        <v>31.6</v>
      </c>
      <c r="E7150">
        <v>31.78</v>
      </c>
      <c r="F7150">
        <v>16061600</v>
      </c>
      <c r="G7150">
        <v>31.56</v>
      </c>
      <c r="H7150" t="s">
        <v>8</v>
      </c>
      <c r="I7150" s="22">
        <f t="shared" si="223"/>
        <v>-1.7588393100887389E-2</v>
      </c>
      <c r="J7150" s="22" t="str">
        <f t="shared" si="224"/>
        <v/>
      </c>
    </row>
    <row r="7151" spans="1:10">
      <c r="A7151" s="1">
        <v>41514</v>
      </c>
      <c r="B7151">
        <v>31.79</v>
      </c>
      <c r="C7151">
        <v>31.91</v>
      </c>
      <c r="D7151">
        <v>31.66</v>
      </c>
      <c r="E7151">
        <v>31.66</v>
      </c>
      <c r="F7151">
        <v>15919100</v>
      </c>
      <c r="G7151">
        <v>31.45</v>
      </c>
      <c r="H7151" t="s">
        <v>8</v>
      </c>
      <c r="I7151" s="22">
        <f t="shared" si="223"/>
        <v>-3.4915128312239829E-3</v>
      </c>
      <c r="J7151" s="22" t="str">
        <f t="shared" si="224"/>
        <v>lost money</v>
      </c>
    </row>
    <row r="7152" spans="1:10">
      <c r="A7152" s="1">
        <v>41515</v>
      </c>
      <c r="B7152">
        <v>31.57</v>
      </c>
      <c r="C7152">
        <v>31.98</v>
      </c>
      <c r="D7152">
        <v>31.56</v>
      </c>
      <c r="E7152">
        <v>31.7</v>
      </c>
      <c r="F7152">
        <v>14012100</v>
      </c>
      <c r="G7152">
        <v>31.49</v>
      </c>
      <c r="H7152" t="s">
        <v>8</v>
      </c>
      <c r="I7152" s="22">
        <f t="shared" si="223"/>
        <v>1.2710519664836169E-3</v>
      </c>
      <c r="J7152" s="22" t="str">
        <f t="shared" si="224"/>
        <v/>
      </c>
    </row>
    <row r="7153" spans="1:10">
      <c r="A7153" s="1">
        <v>41516</v>
      </c>
      <c r="B7153">
        <v>31.74</v>
      </c>
      <c r="C7153">
        <v>32.1</v>
      </c>
      <c r="D7153">
        <v>31.71</v>
      </c>
      <c r="E7153">
        <v>31.86</v>
      </c>
      <c r="F7153">
        <v>14044300</v>
      </c>
      <c r="G7153">
        <v>31.64</v>
      </c>
      <c r="H7153" t="s">
        <v>8</v>
      </c>
      <c r="I7153" s="22">
        <f t="shared" si="223"/>
        <v>4.7521077865198642E-3</v>
      </c>
      <c r="J7153" s="22" t="str">
        <f t="shared" si="224"/>
        <v/>
      </c>
    </row>
    <row r="7154" spans="1:10">
      <c r="A7154" s="1">
        <v>41520</v>
      </c>
      <c r="B7154">
        <v>32.17</v>
      </c>
      <c r="C7154">
        <v>32.369999999999997</v>
      </c>
      <c r="D7154">
        <v>31.82</v>
      </c>
      <c r="E7154">
        <v>32.020000000000003</v>
      </c>
      <c r="F7154">
        <v>14647300</v>
      </c>
      <c r="G7154">
        <v>31.8</v>
      </c>
      <c r="H7154" t="s">
        <v>8</v>
      </c>
      <c r="I7154" s="22">
        <f t="shared" si="223"/>
        <v>5.0441468866780029E-3</v>
      </c>
      <c r="J7154" s="22" t="str">
        <f t="shared" si="224"/>
        <v>lost money</v>
      </c>
    </row>
    <row r="7155" spans="1:10">
      <c r="A7155" s="1">
        <v>41521</v>
      </c>
      <c r="B7155">
        <v>32.01</v>
      </c>
      <c r="C7155">
        <v>32.49</v>
      </c>
      <c r="D7155">
        <v>31.96</v>
      </c>
      <c r="E7155">
        <v>32.32</v>
      </c>
      <c r="F7155">
        <v>13040800</v>
      </c>
      <c r="G7155">
        <v>32.1</v>
      </c>
      <c r="H7155" t="s">
        <v>8</v>
      </c>
      <c r="I7155" s="22">
        <f t="shared" si="223"/>
        <v>9.3897403498391374E-3</v>
      </c>
      <c r="J7155" s="22" t="str">
        <f t="shared" si="224"/>
        <v/>
      </c>
    </row>
    <row r="7156" spans="1:10">
      <c r="A7156" s="1">
        <v>41522</v>
      </c>
      <c r="B7156">
        <v>32.380000000000003</v>
      </c>
      <c r="C7156">
        <v>32.520000000000003</v>
      </c>
      <c r="D7156">
        <v>32.159999999999997</v>
      </c>
      <c r="E7156">
        <v>32.26</v>
      </c>
      <c r="F7156">
        <v>11437900</v>
      </c>
      <c r="G7156">
        <v>32.04</v>
      </c>
      <c r="H7156" t="s">
        <v>8</v>
      </c>
      <c r="I7156" s="22">
        <f t="shared" si="223"/>
        <v>-1.8709079358117313E-3</v>
      </c>
      <c r="J7156" s="22" t="str">
        <f t="shared" si="224"/>
        <v>lost money</v>
      </c>
    </row>
    <row r="7157" spans="1:10">
      <c r="A7157" s="1">
        <v>41523</v>
      </c>
      <c r="B7157">
        <v>32.299999999999997</v>
      </c>
      <c r="C7157">
        <v>32.46</v>
      </c>
      <c r="D7157">
        <v>31.85</v>
      </c>
      <c r="E7157">
        <v>32.200000000000003</v>
      </c>
      <c r="F7157">
        <v>12625400</v>
      </c>
      <c r="G7157">
        <v>31.98</v>
      </c>
      <c r="H7157" t="s">
        <v>8</v>
      </c>
      <c r="I7157" s="22">
        <f t="shared" si="223"/>
        <v>-1.8744147943503039E-3</v>
      </c>
      <c r="J7157" s="22" t="str">
        <f t="shared" si="224"/>
        <v>lost money</v>
      </c>
    </row>
    <row r="7158" spans="1:10">
      <c r="A7158" s="1">
        <v>41526</v>
      </c>
      <c r="B7158">
        <v>32.31</v>
      </c>
      <c r="C7158">
        <v>32.89</v>
      </c>
      <c r="D7158">
        <v>32.25</v>
      </c>
      <c r="E7158">
        <v>32.75</v>
      </c>
      <c r="F7158">
        <v>12400500</v>
      </c>
      <c r="G7158">
        <v>32.53</v>
      </c>
      <c r="H7158" t="s">
        <v>8</v>
      </c>
      <c r="I7158" s="22">
        <f t="shared" si="223"/>
        <v>1.7052033079451918E-2</v>
      </c>
      <c r="J7158" s="22" t="str">
        <f t="shared" si="224"/>
        <v/>
      </c>
    </row>
    <row r="7159" spans="1:10">
      <c r="A7159" s="1">
        <v>41527</v>
      </c>
      <c r="B7159">
        <v>32.799999999999997</v>
      </c>
      <c r="C7159">
        <v>32.99</v>
      </c>
      <c r="D7159">
        <v>32.75</v>
      </c>
      <c r="E7159">
        <v>32.86</v>
      </c>
      <c r="F7159">
        <v>15918900</v>
      </c>
      <c r="G7159">
        <v>32.64</v>
      </c>
      <c r="H7159" t="s">
        <v>8</v>
      </c>
      <c r="I7159" s="22">
        <f t="shared" si="223"/>
        <v>3.3757896106460447E-3</v>
      </c>
      <c r="J7159" s="22" t="str">
        <f t="shared" si="224"/>
        <v/>
      </c>
    </row>
    <row r="7160" spans="1:10">
      <c r="A7160" s="1">
        <v>41528</v>
      </c>
      <c r="B7160">
        <v>32.869999999999997</v>
      </c>
      <c r="C7160">
        <v>33.229999999999997</v>
      </c>
      <c r="D7160">
        <v>32.74</v>
      </c>
      <c r="E7160">
        <v>33.020000000000003</v>
      </c>
      <c r="F7160">
        <v>19692300</v>
      </c>
      <c r="G7160">
        <v>32.799999999999997</v>
      </c>
      <c r="H7160" t="s">
        <v>8</v>
      </c>
      <c r="I7160" s="22">
        <f t="shared" si="223"/>
        <v>4.8899852941917702E-3</v>
      </c>
      <c r="J7160" s="22" t="str">
        <f t="shared" si="224"/>
        <v/>
      </c>
    </row>
    <row r="7161" spans="1:10">
      <c r="A7161" s="1">
        <v>41529</v>
      </c>
      <c r="B7161">
        <v>33.01</v>
      </c>
      <c r="C7161">
        <v>33.11</v>
      </c>
      <c r="D7161">
        <v>32.74</v>
      </c>
      <c r="E7161">
        <v>32.79</v>
      </c>
      <c r="F7161">
        <v>16250100</v>
      </c>
      <c r="G7161">
        <v>32.57</v>
      </c>
      <c r="H7161" t="s">
        <v>8</v>
      </c>
      <c r="I7161" s="22">
        <f t="shared" si="223"/>
        <v>-7.036896101955876E-3</v>
      </c>
      <c r="J7161" s="22" t="str">
        <f t="shared" si="224"/>
        <v>lost money</v>
      </c>
    </row>
    <row r="7162" spans="1:10">
      <c r="A7162" s="1">
        <v>41530</v>
      </c>
      <c r="B7162">
        <v>32.840000000000003</v>
      </c>
      <c r="C7162">
        <v>32.869999999999997</v>
      </c>
      <c r="D7162">
        <v>32.35</v>
      </c>
      <c r="E7162">
        <v>32.46</v>
      </c>
      <c r="F7162">
        <v>17638400</v>
      </c>
      <c r="G7162">
        <v>32.24</v>
      </c>
      <c r="H7162" t="s">
        <v>8</v>
      </c>
      <c r="I7162" s="22">
        <f t="shared" si="223"/>
        <v>-1.0183701649714509E-2</v>
      </c>
      <c r="J7162" s="22" t="str">
        <f t="shared" si="224"/>
        <v>lost money</v>
      </c>
    </row>
    <row r="7163" spans="1:10">
      <c r="A7163" s="1">
        <v>41533</v>
      </c>
      <c r="B7163">
        <v>32.840000000000003</v>
      </c>
      <c r="C7163">
        <v>33.15</v>
      </c>
      <c r="D7163">
        <v>32.78</v>
      </c>
      <c r="E7163">
        <v>32.97</v>
      </c>
      <c r="F7163">
        <v>25316900</v>
      </c>
      <c r="G7163">
        <v>32.75</v>
      </c>
      <c r="H7163" t="s">
        <v>8</v>
      </c>
      <c r="I7163" s="22">
        <f t="shared" si="223"/>
        <v>1.5695044442833244E-2</v>
      </c>
      <c r="J7163" s="22" t="str">
        <f t="shared" si="224"/>
        <v/>
      </c>
    </row>
    <row r="7164" spans="1:10">
      <c r="A7164" s="1">
        <v>41534</v>
      </c>
      <c r="B7164">
        <v>32.99</v>
      </c>
      <c r="C7164">
        <v>33.43</v>
      </c>
      <c r="D7164">
        <v>32.93</v>
      </c>
      <c r="E7164">
        <v>33.26</v>
      </c>
      <c r="F7164">
        <v>20282300</v>
      </c>
      <c r="G7164">
        <v>33.03</v>
      </c>
      <c r="H7164" t="s">
        <v>8</v>
      </c>
      <c r="I7164" s="22">
        <f t="shared" si="223"/>
        <v>8.5132773214373052E-3</v>
      </c>
      <c r="J7164" s="22" t="str">
        <f t="shared" si="224"/>
        <v/>
      </c>
    </row>
    <row r="7165" spans="1:10">
      <c r="A7165" s="1">
        <v>41535</v>
      </c>
      <c r="B7165">
        <v>33.21</v>
      </c>
      <c r="C7165">
        <v>33.909999999999997</v>
      </c>
      <c r="D7165">
        <v>33.130000000000003</v>
      </c>
      <c r="E7165">
        <v>33.869999999999997</v>
      </c>
      <c r="F7165">
        <v>39152100</v>
      </c>
      <c r="G7165">
        <v>33.64</v>
      </c>
      <c r="H7165" t="s">
        <v>8</v>
      </c>
      <c r="I7165" s="22">
        <f t="shared" si="223"/>
        <v>1.8299595702049032E-2</v>
      </c>
      <c r="J7165" s="22" t="str">
        <f t="shared" si="224"/>
        <v/>
      </c>
    </row>
    <row r="7166" spans="1:10">
      <c r="A7166" s="1">
        <v>41536</v>
      </c>
      <c r="B7166">
        <v>33.64</v>
      </c>
      <c r="C7166">
        <v>34</v>
      </c>
      <c r="D7166">
        <v>33.25</v>
      </c>
      <c r="E7166">
        <v>33.89</v>
      </c>
      <c r="F7166">
        <v>63316300</v>
      </c>
      <c r="G7166">
        <v>33.659999999999997</v>
      </c>
      <c r="H7166" t="s">
        <v>8</v>
      </c>
      <c r="I7166" s="22">
        <f t="shared" si="223"/>
        <v>5.943536579124417E-4</v>
      </c>
      <c r="J7166" s="22" t="str">
        <f t="shared" si="224"/>
        <v/>
      </c>
    </row>
    <row r="7167" spans="1:10">
      <c r="A7167" s="1">
        <v>41537</v>
      </c>
      <c r="B7167">
        <v>33.94</v>
      </c>
      <c r="C7167">
        <v>34.130000000000003</v>
      </c>
      <c r="D7167">
        <v>33.67</v>
      </c>
      <c r="E7167">
        <v>34.049999999999997</v>
      </c>
      <c r="F7167">
        <v>53470400</v>
      </c>
      <c r="G7167">
        <v>33.82</v>
      </c>
      <c r="H7167" t="s">
        <v>8</v>
      </c>
      <c r="I7167" s="22">
        <f t="shared" si="223"/>
        <v>4.742154707774335E-3</v>
      </c>
      <c r="J7167" s="22" t="str">
        <f t="shared" si="224"/>
        <v/>
      </c>
    </row>
    <row r="7168" spans="1:10">
      <c r="A7168" s="1">
        <v>41540</v>
      </c>
      <c r="B7168">
        <v>33.799999999999997</v>
      </c>
      <c r="C7168">
        <v>34.340000000000003</v>
      </c>
      <c r="D7168">
        <v>33.75</v>
      </c>
      <c r="E7168">
        <v>33.94</v>
      </c>
      <c r="F7168">
        <v>26293100</v>
      </c>
      <c r="G7168">
        <v>33.71</v>
      </c>
      <c r="H7168" t="s">
        <v>8</v>
      </c>
      <c r="I7168" s="22">
        <f t="shared" si="223"/>
        <v>-3.2578142244649132E-3</v>
      </c>
      <c r="J7168" s="22" t="str">
        <f t="shared" si="224"/>
        <v/>
      </c>
    </row>
    <row r="7169" spans="1:10">
      <c r="A7169" s="1">
        <v>41541</v>
      </c>
      <c r="B7169">
        <v>33.83</v>
      </c>
      <c r="C7169">
        <v>33.89</v>
      </c>
      <c r="D7169">
        <v>33.590000000000003</v>
      </c>
      <c r="E7169">
        <v>33.64</v>
      </c>
      <c r="F7169">
        <v>18958300</v>
      </c>
      <c r="G7169">
        <v>33.409999999999997</v>
      </c>
      <c r="H7169" t="s">
        <v>8</v>
      </c>
      <c r="I7169" s="22">
        <f t="shared" si="223"/>
        <v>-8.939272877304354E-3</v>
      </c>
      <c r="J7169" s="22" t="str">
        <f t="shared" si="224"/>
        <v>lost money</v>
      </c>
    </row>
    <row r="7170" spans="1:10">
      <c r="A7170" s="1">
        <v>41542</v>
      </c>
      <c r="B7170">
        <v>33.76</v>
      </c>
      <c r="C7170">
        <v>34.090000000000003</v>
      </c>
      <c r="D7170">
        <v>33.700000000000003</v>
      </c>
      <c r="E7170">
        <v>33.869999999999997</v>
      </c>
      <c r="F7170">
        <v>19653100</v>
      </c>
      <c r="G7170">
        <v>33.64</v>
      </c>
      <c r="H7170" t="s">
        <v>8</v>
      </c>
      <c r="I7170" s="22">
        <f t="shared" si="223"/>
        <v>6.8605787360823348E-3</v>
      </c>
      <c r="J7170" s="22" t="str">
        <f t="shared" si="224"/>
        <v/>
      </c>
    </row>
    <row r="7171" spans="1:10">
      <c r="A7171" s="1">
        <v>41543</v>
      </c>
      <c r="B7171">
        <v>33.979999999999997</v>
      </c>
      <c r="C7171">
        <v>34.26</v>
      </c>
      <c r="D7171">
        <v>33.69</v>
      </c>
      <c r="E7171">
        <v>33.81</v>
      </c>
      <c r="F7171">
        <v>15621000</v>
      </c>
      <c r="G7171">
        <v>33.58</v>
      </c>
      <c r="H7171" t="s">
        <v>8</v>
      </c>
      <c r="I7171" s="22">
        <f t="shared" ref="I7171:I7234" si="225">IF(A7171=$A$2,"",LN(G7171/G7170))</f>
        <v>-1.7851834553526049E-3</v>
      </c>
      <c r="J7171" s="22" t="str">
        <f t="shared" ref="J7171:J7234" si="226">IF(B7171&gt;E7171,"lost money","")</f>
        <v>lost money</v>
      </c>
    </row>
    <row r="7172" spans="1:10">
      <c r="A7172" s="1">
        <v>41544</v>
      </c>
      <c r="B7172">
        <v>33.630000000000003</v>
      </c>
      <c r="C7172">
        <v>33.950000000000003</v>
      </c>
      <c r="D7172">
        <v>33.51</v>
      </c>
      <c r="E7172">
        <v>33.78</v>
      </c>
      <c r="F7172">
        <v>14068700</v>
      </c>
      <c r="G7172">
        <v>33.549999999999997</v>
      </c>
      <c r="H7172" t="s">
        <v>8</v>
      </c>
      <c r="I7172" s="22">
        <f t="shared" si="225"/>
        <v>-8.9378823170402832E-4</v>
      </c>
      <c r="J7172" s="22" t="str">
        <f t="shared" si="226"/>
        <v/>
      </c>
    </row>
    <row r="7173" spans="1:10">
      <c r="A7173" s="1">
        <v>41547</v>
      </c>
      <c r="B7173">
        <v>33.49</v>
      </c>
      <c r="C7173">
        <v>33.53</v>
      </c>
      <c r="D7173">
        <v>33.04</v>
      </c>
      <c r="E7173">
        <v>33.17</v>
      </c>
      <c r="F7173">
        <v>25132600</v>
      </c>
      <c r="G7173">
        <v>32.950000000000003</v>
      </c>
      <c r="H7173" t="s">
        <v>8</v>
      </c>
      <c r="I7173" s="22">
        <f t="shared" si="225"/>
        <v>-1.804560246917445E-2</v>
      </c>
      <c r="J7173" s="22" t="str">
        <f t="shared" si="226"/>
        <v>lost money</v>
      </c>
    </row>
    <row r="7174" spans="1:10">
      <c r="A7174" s="1">
        <v>41548</v>
      </c>
      <c r="B7174">
        <v>33.200000000000003</v>
      </c>
      <c r="C7174">
        <v>33.549999999999997</v>
      </c>
      <c r="D7174">
        <v>33.06</v>
      </c>
      <c r="E7174">
        <v>33.5</v>
      </c>
      <c r="F7174">
        <v>16300300</v>
      </c>
      <c r="G7174">
        <v>33.270000000000003</v>
      </c>
      <c r="H7174" t="s">
        <v>8</v>
      </c>
      <c r="I7174" s="22">
        <f t="shared" si="225"/>
        <v>9.6648290818692091E-3</v>
      </c>
      <c r="J7174" s="22" t="str">
        <f t="shared" si="226"/>
        <v/>
      </c>
    </row>
    <row r="7175" spans="1:10">
      <c r="A7175" s="1">
        <v>41549</v>
      </c>
      <c r="B7175">
        <v>33.31</v>
      </c>
      <c r="C7175">
        <v>33.729999999999997</v>
      </c>
      <c r="D7175">
        <v>33.26</v>
      </c>
      <c r="E7175">
        <v>33.68</v>
      </c>
      <c r="F7175">
        <v>19451600</v>
      </c>
      <c r="G7175">
        <v>33.450000000000003</v>
      </c>
      <c r="H7175" t="s">
        <v>8</v>
      </c>
      <c r="I7175" s="22">
        <f t="shared" si="225"/>
        <v>5.3956965438520547E-3</v>
      </c>
      <c r="J7175" s="22" t="str">
        <f t="shared" si="226"/>
        <v/>
      </c>
    </row>
    <row r="7176" spans="1:10">
      <c r="A7176" s="1">
        <v>41550</v>
      </c>
      <c r="B7176">
        <v>33.53</v>
      </c>
      <c r="C7176">
        <v>33.67</v>
      </c>
      <c r="D7176">
        <v>33.08</v>
      </c>
      <c r="E7176">
        <v>33.24</v>
      </c>
      <c r="F7176">
        <v>15480100</v>
      </c>
      <c r="G7176">
        <v>33.01</v>
      </c>
      <c r="H7176" t="s">
        <v>8</v>
      </c>
      <c r="I7176" s="22">
        <f t="shared" si="225"/>
        <v>-1.324124070913597E-2</v>
      </c>
      <c r="J7176" s="22" t="str">
        <f t="shared" si="226"/>
        <v>lost money</v>
      </c>
    </row>
    <row r="7177" spans="1:10">
      <c r="A7177" s="1">
        <v>41551</v>
      </c>
      <c r="B7177">
        <v>33.18</v>
      </c>
      <c r="C7177">
        <v>33.49</v>
      </c>
      <c r="D7177">
        <v>33.06</v>
      </c>
      <c r="E7177">
        <v>33.21</v>
      </c>
      <c r="F7177">
        <v>15054900</v>
      </c>
      <c r="G7177">
        <v>33.1</v>
      </c>
      <c r="H7177" t="s">
        <v>8</v>
      </c>
      <c r="I7177" s="22">
        <f t="shared" si="225"/>
        <v>2.7227365179157792E-3</v>
      </c>
      <c r="J7177" s="22" t="str">
        <f t="shared" si="226"/>
        <v/>
      </c>
    </row>
    <row r="7178" spans="1:10">
      <c r="A7178" s="1">
        <v>41554</v>
      </c>
      <c r="B7178">
        <v>32.86</v>
      </c>
      <c r="C7178">
        <v>33.24</v>
      </c>
      <c r="D7178">
        <v>32.79</v>
      </c>
      <c r="E7178">
        <v>32.840000000000003</v>
      </c>
      <c r="F7178">
        <v>14150100</v>
      </c>
      <c r="G7178">
        <v>32.74</v>
      </c>
      <c r="H7178" t="s">
        <v>8</v>
      </c>
      <c r="I7178" s="22">
        <f t="shared" si="225"/>
        <v>-1.0935710440028371E-2</v>
      </c>
      <c r="J7178" s="22" t="str">
        <f t="shared" si="226"/>
        <v>lost money</v>
      </c>
    </row>
    <row r="7179" spans="1:10">
      <c r="A7179" s="1">
        <v>41555</v>
      </c>
      <c r="B7179">
        <v>32.83</v>
      </c>
      <c r="C7179">
        <v>32.92</v>
      </c>
      <c r="D7179">
        <v>32.270000000000003</v>
      </c>
      <c r="E7179">
        <v>32.369999999999997</v>
      </c>
      <c r="F7179">
        <v>23780400</v>
      </c>
      <c r="G7179">
        <v>32.270000000000003</v>
      </c>
      <c r="H7179" t="s">
        <v>8</v>
      </c>
      <c r="I7179" s="22">
        <f t="shared" si="225"/>
        <v>-1.4459565879118397E-2</v>
      </c>
      <c r="J7179" s="22" t="str">
        <f t="shared" si="226"/>
        <v>lost money</v>
      </c>
    </row>
    <row r="7180" spans="1:10">
      <c r="A7180" s="1">
        <v>41556</v>
      </c>
      <c r="B7180">
        <v>32.450000000000003</v>
      </c>
      <c r="C7180">
        <v>32.46</v>
      </c>
      <c r="D7180">
        <v>32</v>
      </c>
      <c r="E7180">
        <v>32.19</v>
      </c>
      <c r="F7180">
        <v>19656000</v>
      </c>
      <c r="G7180">
        <v>32.090000000000003</v>
      </c>
      <c r="H7180" t="s">
        <v>8</v>
      </c>
      <c r="I7180" s="22">
        <f t="shared" si="225"/>
        <v>-5.5935509421049497E-3</v>
      </c>
      <c r="J7180" s="22" t="str">
        <f t="shared" si="226"/>
        <v>lost money</v>
      </c>
    </row>
    <row r="7181" spans="1:10">
      <c r="A7181" s="1">
        <v>41557</v>
      </c>
      <c r="B7181">
        <v>32.479999999999997</v>
      </c>
      <c r="C7181">
        <v>33</v>
      </c>
      <c r="D7181">
        <v>32.340000000000003</v>
      </c>
      <c r="E7181">
        <v>32.99</v>
      </c>
      <c r="F7181">
        <v>21580700</v>
      </c>
      <c r="G7181">
        <v>32.89</v>
      </c>
      <c r="H7181" t="s">
        <v>8</v>
      </c>
      <c r="I7181" s="22">
        <f t="shared" si="225"/>
        <v>2.4624205079199983E-2</v>
      </c>
      <c r="J7181" s="22" t="str">
        <f t="shared" si="226"/>
        <v/>
      </c>
    </row>
    <row r="7182" spans="1:10">
      <c r="A7182" s="1">
        <v>41558</v>
      </c>
      <c r="B7182">
        <v>33.08</v>
      </c>
      <c r="C7182">
        <v>33.380000000000003</v>
      </c>
      <c r="D7182">
        <v>32.94</v>
      </c>
      <c r="E7182">
        <v>33.26</v>
      </c>
      <c r="F7182">
        <v>14018800</v>
      </c>
      <c r="G7182">
        <v>33.15</v>
      </c>
      <c r="H7182" t="s">
        <v>8</v>
      </c>
      <c r="I7182" s="22">
        <f t="shared" si="225"/>
        <v>7.8740564309058656E-3</v>
      </c>
      <c r="J7182" s="22" t="str">
        <f t="shared" si="226"/>
        <v/>
      </c>
    </row>
    <row r="7183" spans="1:10">
      <c r="A7183" s="1">
        <v>41561</v>
      </c>
      <c r="B7183">
        <v>33.01</v>
      </c>
      <c r="C7183">
        <v>33.35</v>
      </c>
      <c r="D7183">
        <v>32.89</v>
      </c>
      <c r="E7183">
        <v>33.28</v>
      </c>
      <c r="F7183">
        <v>12882400</v>
      </c>
      <c r="G7183">
        <v>33.17</v>
      </c>
      <c r="H7183" t="s">
        <v>8</v>
      </c>
      <c r="I7183" s="22">
        <f t="shared" si="225"/>
        <v>6.0313632708953481E-4</v>
      </c>
      <c r="J7183" s="22" t="str">
        <f t="shared" si="226"/>
        <v/>
      </c>
    </row>
    <row r="7184" spans="1:10">
      <c r="A7184" s="1">
        <v>41562</v>
      </c>
      <c r="B7184">
        <v>33.14</v>
      </c>
      <c r="C7184">
        <v>33.26</v>
      </c>
      <c r="D7184">
        <v>32.700000000000003</v>
      </c>
      <c r="E7184">
        <v>32.75</v>
      </c>
      <c r="F7184">
        <v>20677000</v>
      </c>
      <c r="G7184">
        <v>32.65</v>
      </c>
      <c r="H7184" t="s">
        <v>8</v>
      </c>
      <c r="I7184" s="22">
        <f t="shared" si="225"/>
        <v>-1.5800997236521105E-2</v>
      </c>
      <c r="J7184" s="22" t="str">
        <f t="shared" si="226"/>
        <v>lost money</v>
      </c>
    </row>
    <row r="7185" spans="1:10">
      <c r="A7185" s="1">
        <v>41563</v>
      </c>
      <c r="B7185">
        <v>32.909999999999997</v>
      </c>
      <c r="C7185">
        <v>33.200000000000003</v>
      </c>
      <c r="D7185">
        <v>32.89</v>
      </c>
      <c r="E7185">
        <v>33.020000000000003</v>
      </c>
      <c r="F7185">
        <v>16398300</v>
      </c>
      <c r="G7185">
        <v>32.92</v>
      </c>
      <c r="H7185" t="s">
        <v>8</v>
      </c>
      <c r="I7185" s="22">
        <f t="shared" si="225"/>
        <v>8.2355200864291898E-3</v>
      </c>
      <c r="J7185" s="22" t="str">
        <f t="shared" si="226"/>
        <v/>
      </c>
    </row>
    <row r="7186" spans="1:10">
      <c r="A7186" s="1">
        <v>41564</v>
      </c>
      <c r="B7186">
        <v>32.619999999999997</v>
      </c>
      <c r="C7186">
        <v>33.049999999999997</v>
      </c>
      <c r="D7186">
        <v>32.520000000000003</v>
      </c>
      <c r="E7186">
        <v>32.869999999999997</v>
      </c>
      <c r="F7186">
        <v>22821900</v>
      </c>
      <c r="G7186">
        <v>32.770000000000003</v>
      </c>
      <c r="H7186" t="s">
        <v>8</v>
      </c>
      <c r="I7186" s="22">
        <f t="shared" si="225"/>
        <v>-4.5669130981457404E-3</v>
      </c>
      <c r="J7186" s="22" t="str">
        <f t="shared" si="226"/>
        <v/>
      </c>
    </row>
    <row r="7187" spans="1:10">
      <c r="A7187" s="1">
        <v>41565</v>
      </c>
      <c r="B7187">
        <v>32.75</v>
      </c>
      <c r="C7187">
        <v>32.99</v>
      </c>
      <c r="D7187">
        <v>32.549999999999997</v>
      </c>
      <c r="E7187">
        <v>32.9</v>
      </c>
      <c r="F7187">
        <v>17472700</v>
      </c>
      <c r="G7187">
        <v>32.799999999999997</v>
      </c>
      <c r="H7187" t="s">
        <v>8</v>
      </c>
      <c r="I7187" s="22">
        <f t="shared" si="225"/>
        <v>9.1505267937458466E-4</v>
      </c>
      <c r="J7187" s="22" t="str">
        <f t="shared" si="226"/>
        <v/>
      </c>
    </row>
    <row r="7188" spans="1:10">
      <c r="A7188" s="1">
        <v>41568</v>
      </c>
      <c r="B7188">
        <v>33.229999999999997</v>
      </c>
      <c r="C7188">
        <v>33.4</v>
      </c>
      <c r="D7188">
        <v>32.83</v>
      </c>
      <c r="E7188">
        <v>32.950000000000003</v>
      </c>
      <c r="F7188">
        <v>16568800</v>
      </c>
      <c r="G7188">
        <v>32.85</v>
      </c>
      <c r="H7188" t="s">
        <v>8</v>
      </c>
      <c r="I7188" s="22">
        <f t="shared" si="225"/>
        <v>1.5232295405216379E-3</v>
      </c>
      <c r="J7188" s="22" t="str">
        <f t="shared" si="226"/>
        <v>lost money</v>
      </c>
    </row>
    <row r="7189" spans="1:10">
      <c r="A7189" s="1">
        <v>41569</v>
      </c>
      <c r="B7189">
        <v>33.090000000000003</v>
      </c>
      <c r="C7189">
        <v>33.14</v>
      </c>
      <c r="D7189">
        <v>32.85</v>
      </c>
      <c r="E7189">
        <v>32.9</v>
      </c>
      <c r="F7189">
        <v>19741200</v>
      </c>
      <c r="G7189">
        <v>32.799999999999997</v>
      </c>
      <c r="H7189" t="s">
        <v>8</v>
      </c>
      <c r="I7189" s="22">
        <f t="shared" si="225"/>
        <v>-1.5232295405216371E-3</v>
      </c>
      <c r="J7189" s="22" t="str">
        <f t="shared" si="226"/>
        <v>lost money</v>
      </c>
    </row>
    <row r="7190" spans="1:10">
      <c r="A7190" s="1">
        <v>41570</v>
      </c>
      <c r="B7190">
        <v>32.86</v>
      </c>
      <c r="C7190">
        <v>32.89</v>
      </c>
      <c r="D7190">
        <v>32.44</v>
      </c>
      <c r="E7190">
        <v>32.700000000000003</v>
      </c>
      <c r="F7190">
        <v>24610300</v>
      </c>
      <c r="G7190">
        <v>32.6</v>
      </c>
      <c r="H7190" t="s">
        <v>8</v>
      </c>
      <c r="I7190" s="22">
        <f t="shared" si="225"/>
        <v>-6.1162270174359825E-3</v>
      </c>
      <c r="J7190" s="22" t="str">
        <f t="shared" si="226"/>
        <v>lost money</v>
      </c>
    </row>
    <row r="7191" spans="1:10">
      <c r="A7191" s="1">
        <v>41571</v>
      </c>
      <c r="B7191">
        <v>32.74</v>
      </c>
      <c r="C7191">
        <v>33.25</v>
      </c>
      <c r="D7191">
        <v>32.729999999999997</v>
      </c>
      <c r="E7191">
        <v>33.07</v>
      </c>
      <c r="F7191">
        <v>26573600</v>
      </c>
      <c r="G7191">
        <v>32.97</v>
      </c>
      <c r="H7191" t="s">
        <v>8</v>
      </c>
      <c r="I7191" s="22">
        <f t="shared" si="225"/>
        <v>1.1285768710977553E-2</v>
      </c>
      <c r="J7191" s="22" t="str">
        <f t="shared" si="226"/>
        <v/>
      </c>
    </row>
    <row r="7192" spans="1:10">
      <c r="A7192" s="1">
        <v>41572</v>
      </c>
      <c r="B7192">
        <v>33.21</v>
      </c>
      <c r="C7192">
        <v>33.49</v>
      </c>
      <c r="D7192">
        <v>33.01</v>
      </c>
      <c r="E7192">
        <v>33.15</v>
      </c>
      <c r="F7192">
        <v>19820600</v>
      </c>
      <c r="G7192">
        <v>33.04</v>
      </c>
      <c r="H7192" t="s">
        <v>8</v>
      </c>
      <c r="I7192" s="22">
        <f t="shared" si="225"/>
        <v>2.1208915691376296E-3</v>
      </c>
      <c r="J7192" s="22" t="str">
        <f t="shared" si="226"/>
        <v>lost money</v>
      </c>
    </row>
    <row r="7193" spans="1:10">
      <c r="A7193" s="1">
        <v>41575</v>
      </c>
      <c r="B7193">
        <v>33.24</v>
      </c>
      <c r="C7193">
        <v>33.46</v>
      </c>
      <c r="D7193">
        <v>33.090000000000003</v>
      </c>
      <c r="E7193">
        <v>33.14</v>
      </c>
      <c r="F7193">
        <v>17632800</v>
      </c>
      <c r="G7193">
        <v>33.03</v>
      </c>
      <c r="H7193" t="s">
        <v>8</v>
      </c>
      <c r="I7193" s="22">
        <f t="shared" si="225"/>
        <v>-3.0270925007894943E-4</v>
      </c>
      <c r="J7193" s="22" t="str">
        <f t="shared" si="226"/>
        <v>lost money</v>
      </c>
    </row>
    <row r="7194" spans="1:10">
      <c r="A7194" s="1">
        <v>41576</v>
      </c>
      <c r="B7194">
        <v>33.24</v>
      </c>
      <c r="C7194">
        <v>33.729999999999997</v>
      </c>
      <c r="D7194">
        <v>33.24</v>
      </c>
      <c r="E7194">
        <v>33.71</v>
      </c>
      <c r="F7194">
        <v>15954700</v>
      </c>
      <c r="G7194">
        <v>33.6</v>
      </c>
      <c r="H7194" t="s">
        <v>8</v>
      </c>
      <c r="I7194" s="22">
        <f t="shared" si="225"/>
        <v>1.7109827566460185E-2</v>
      </c>
      <c r="J7194" s="22" t="str">
        <f t="shared" si="226"/>
        <v/>
      </c>
    </row>
    <row r="7195" spans="1:10">
      <c r="A7195" s="1">
        <v>41577</v>
      </c>
      <c r="B7195">
        <v>33.82</v>
      </c>
      <c r="C7195">
        <v>33.950000000000003</v>
      </c>
      <c r="D7195">
        <v>33.42</v>
      </c>
      <c r="E7195">
        <v>33.53</v>
      </c>
      <c r="F7195">
        <v>14959100</v>
      </c>
      <c r="G7195">
        <v>33.42</v>
      </c>
      <c r="H7195" t="s">
        <v>8</v>
      </c>
      <c r="I7195" s="22">
        <f t="shared" si="225"/>
        <v>-5.3715438019108766E-3</v>
      </c>
      <c r="J7195" s="22" t="str">
        <f t="shared" si="226"/>
        <v>lost money</v>
      </c>
    </row>
    <row r="7196" spans="1:10">
      <c r="A7196" s="1">
        <v>41578</v>
      </c>
      <c r="B7196">
        <v>33.5</v>
      </c>
      <c r="C7196">
        <v>33.909999999999997</v>
      </c>
      <c r="D7196">
        <v>33.44</v>
      </c>
      <c r="E7196">
        <v>33.5</v>
      </c>
      <c r="F7196">
        <v>16171500</v>
      </c>
      <c r="G7196">
        <v>33.39</v>
      </c>
      <c r="H7196" t="s">
        <v>8</v>
      </c>
      <c r="I7196" s="22">
        <f t="shared" si="225"/>
        <v>-8.9806921168449289E-4</v>
      </c>
      <c r="J7196" s="22" t="str">
        <f t="shared" si="226"/>
        <v/>
      </c>
    </row>
    <row r="7197" spans="1:10">
      <c r="A7197" s="1">
        <v>41579</v>
      </c>
      <c r="B7197">
        <v>33.700000000000003</v>
      </c>
      <c r="C7197">
        <v>33.82</v>
      </c>
      <c r="D7197">
        <v>33.43</v>
      </c>
      <c r="E7197">
        <v>33.53</v>
      </c>
      <c r="F7197">
        <v>15115800</v>
      </c>
      <c r="G7197">
        <v>33.42</v>
      </c>
      <c r="H7197" t="s">
        <v>8</v>
      </c>
      <c r="I7197" s="22">
        <f t="shared" si="225"/>
        <v>8.9806921168462722E-4</v>
      </c>
      <c r="J7197" s="22" t="str">
        <f t="shared" si="226"/>
        <v>lost money</v>
      </c>
    </row>
    <row r="7198" spans="1:10">
      <c r="A7198" s="1">
        <v>41582</v>
      </c>
      <c r="B7198">
        <v>33.700000000000003</v>
      </c>
      <c r="C7198">
        <v>33.76</v>
      </c>
      <c r="D7198">
        <v>33.46</v>
      </c>
      <c r="E7198">
        <v>33.71</v>
      </c>
      <c r="F7198">
        <v>12725000</v>
      </c>
      <c r="G7198">
        <v>33.6</v>
      </c>
      <c r="H7198" t="s">
        <v>8</v>
      </c>
      <c r="I7198" s="22">
        <f t="shared" si="225"/>
        <v>5.3715438019108488E-3</v>
      </c>
      <c r="J7198" s="22" t="str">
        <f t="shared" si="226"/>
        <v/>
      </c>
    </row>
    <row r="7199" spans="1:10">
      <c r="A7199" s="1">
        <v>41583</v>
      </c>
      <c r="B7199">
        <v>33.549999999999997</v>
      </c>
      <c r="C7199">
        <v>33.69</v>
      </c>
      <c r="D7199">
        <v>33.409999999999997</v>
      </c>
      <c r="E7199">
        <v>33.5</v>
      </c>
      <c r="F7199">
        <v>11161500</v>
      </c>
      <c r="G7199">
        <v>33.39</v>
      </c>
      <c r="H7199" t="s">
        <v>8</v>
      </c>
      <c r="I7199" s="22">
        <f t="shared" si="225"/>
        <v>-6.2696130135953742E-3</v>
      </c>
      <c r="J7199" s="22" t="str">
        <f t="shared" si="226"/>
        <v>lost money</v>
      </c>
    </row>
    <row r="7200" spans="1:10">
      <c r="A7200" s="1">
        <v>41584</v>
      </c>
      <c r="B7200">
        <v>33.659999999999997</v>
      </c>
      <c r="C7200">
        <v>34.340000000000003</v>
      </c>
      <c r="D7200">
        <v>33.619999999999997</v>
      </c>
      <c r="E7200">
        <v>34.07</v>
      </c>
      <c r="F7200">
        <v>25184600</v>
      </c>
      <c r="G7200">
        <v>33.96</v>
      </c>
      <c r="H7200" t="s">
        <v>8</v>
      </c>
      <c r="I7200" s="22">
        <f t="shared" si="225"/>
        <v>1.6926907487583378E-2</v>
      </c>
      <c r="J7200" s="22" t="str">
        <f t="shared" si="226"/>
        <v/>
      </c>
    </row>
    <row r="7201" spans="1:10">
      <c r="A7201" s="1">
        <v>41585</v>
      </c>
      <c r="B7201">
        <v>34.18</v>
      </c>
      <c r="C7201">
        <v>34.46</v>
      </c>
      <c r="D7201">
        <v>33.94</v>
      </c>
      <c r="E7201">
        <v>34</v>
      </c>
      <c r="F7201">
        <v>17101200</v>
      </c>
      <c r="G7201">
        <v>33.89</v>
      </c>
      <c r="H7201" t="s">
        <v>8</v>
      </c>
      <c r="I7201" s="22">
        <f t="shared" si="225"/>
        <v>-2.0633758241866132E-3</v>
      </c>
      <c r="J7201" s="22" t="str">
        <f t="shared" si="226"/>
        <v>lost money</v>
      </c>
    </row>
    <row r="7202" spans="1:10">
      <c r="A7202" s="1">
        <v>41586</v>
      </c>
      <c r="B7202">
        <v>33.92</v>
      </c>
      <c r="C7202">
        <v>34.35</v>
      </c>
      <c r="D7202">
        <v>33.76</v>
      </c>
      <c r="E7202">
        <v>34.35</v>
      </c>
      <c r="F7202">
        <v>14028300</v>
      </c>
      <c r="G7202">
        <v>34.24</v>
      </c>
      <c r="H7202" t="s">
        <v>8</v>
      </c>
      <c r="I7202" s="22">
        <f t="shared" si="225"/>
        <v>1.0274565654581336E-2</v>
      </c>
      <c r="J7202" s="22" t="str">
        <f t="shared" si="226"/>
        <v/>
      </c>
    </row>
    <row r="7203" spans="1:10">
      <c r="A7203" s="1">
        <v>41589</v>
      </c>
      <c r="B7203">
        <v>34.31</v>
      </c>
      <c r="C7203">
        <v>34.630000000000003</v>
      </c>
      <c r="D7203">
        <v>34.28</v>
      </c>
      <c r="E7203">
        <v>34.369999999999997</v>
      </c>
      <c r="F7203">
        <v>11415100</v>
      </c>
      <c r="G7203">
        <v>34.26</v>
      </c>
      <c r="H7203" t="s">
        <v>8</v>
      </c>
      <c r="I7203" s="22">
        <f t="shared" si="225"/>
        <v>5.8394162243247637E-4</v>
      </c>
      <c r="J7203" s="22" t="str">
        <f t="shared" si="226"/>
        <v/>
      </c>
    </row>
    <row r="7204" spans="1:10">
      <c r="A7204" s="1">
        <v>41590</v>
      </c>
      <c r="B7204">
        <v>34.46</v>
      </c>
      <c r="C7204">
        <v>34.85</v>
      </c>
      <c r="D7204">
        <v>34.270000000000003</v>
      </c>
      <c r="E7204">
        <v>34.700000000000003</v>
      </c>
      <c r="F7204">
        <v>16145000</v>
      </c>
      <c r="G7204">
        <v>34.590000000000003</v>
      </c>
      <c r="H7204" t="s">
        <v>8</v>
      </c>
      <c r="I7204" s="22">
        <f t="shared" si="225"/>
        <v>9.5861300531035511E-3</v>
      </c>
      <c r="J7204" s="22" t="str">
        <f t="shared" si="226"/>
        <v/>
      </c>
    </row>
    <row r="7205" spans="1:10">
      <c r="A7205" s="1">
        <v>41591</v>
      </c>
      <c r="B7205">
        <v>34.6</v>
      </c>
      <c r="C7205">
        <v>35</v>
      </c>
      <c r="D7205">
        <v>34.590000000000003</v>
      </c>
      <c r="E7205">
        <v>35</v>
      </c>
      <c r="F7205">
        <v>14815800</v>
      </c>
      <c r="G7205">
        <v>34.89</v>
      </c>
      <c r="H7205" t="s">
        <v>8</v>
      </c>
      <c r="I7205" s="22">
        <f t="shared" si="225"/>
        <v>8.635632249605325E-3</v>
      </c>
      <c r="J7205" s="22" t="str">
        <f t="shared" si="226"/>
        <v/>
      </c>
    </row>
    <row r="7206" spans="1:10">
      <c r="A7206" s="1">
        <v>41592</v>
      </c>
      <c r="B7206">
        <v>34.17</v>
      </c>
      <c r="C7206">
        <v>34.57</v>
      </c>
      <c r="D7206">
        <v>34.06</v>
      </c>
      <c r="E7206">
        <v>34.380000000000003</v>
      </c>
      <c r="F7206">
        <v>25790900</v>
      </c>
      <c r="G7206">
        <v>34.270000000000003</v>
      </c>
      <c r="H7206" t="s">
        <v>8</v>
      </c>
      <c r="I7206" s="22">
        <f t="shared" si="225"/>
        <v>-1.7929919312165202E-2</v>
      </c>
      <c r="J7206" s="22" t="str">
        <f t="shared" si="226"/>
        <v/>
      </c>
    </row>
    <row r="7207" spans="1:10">
      <c r="A7207" s="1">
        <v>41593</v>
      </c>
      <c r="B7207">
        <v>34.36</v>
      </c>
      <c r="C7207">
        <v>34.93</v>
      </c>
      <c r="D7207">
        <v>34.31</v>
      </c>
      <c r="E7207">
        <v>34.92</v>
      </c>
      <c r="F7207">
        <v>21477700</v>
      </c>
      <c r="G7207">
        <v>34.81</v>
      </c>
      <c r="H7207" t="s">
        <v>8</v>
      </c>
      <c r="I7207" s="22">
        <f t="shared" si="225"/>
        <v>1.5634365936829951E-2</v>
      </c>
      <c r="J7207" s="22" t="str">
        <f t="shared" si="226"/>
        <v/>
      </c>
    </row>
    <row r="7208" spans="1:10">
      <c r="A7208" s="1">
        <v>41596</v>
      </c>
      <c r="B7208">
        <v>34.880000000000003</v>
      </c>
      <c r="C7208">
        <v>35.130000000000003</v>
      </c>
      <c r="D7208">
        <v>34.82</v>
      </c>
      <c r="E7208">
        <v>34.93</v>
      </c>
      <c r="F7208">
        <v>15093200</v>
      </c>
      <c r="G7208">
        <v>34.82</v>
      </c>
      <c r="H7208" t="s">
        <v>8</v>
      </c>
      <c r="I7208" s="22">
        <f t="shared" si="225"/>
        <v>2.8723251669545319E-4</v>
      </c>
      <c r="J7208" s="22" t="str">
        <f t="shared" si="226"/>
        <v/>
      </c>
    </row>
    <row r="7209" spans="1:10">
      <c r="A7209" s="1">
        <v>41597</v>
      </c>
      <c r="B7209">
        <v>34.99</v>
      </c>
      <c r="C7209">
        <v>34.99</v>
      </c>
      <c r="D7209">
        <v>34.630000000000003</v>
      </c>
      <c r="E7209">
        <v>34.76</v>
      </c>
      <c r="F7209">
        <v>14532900</v>
      </c>
      <c r="G7209">
        <v>34.65</v>
      </c>
      <c r="H7209" t="s">
        <v>8</v>
      </c>
      <c r="I7209" s="22">
        <f t="shared" si="225"/>
        <v>-4.8942087041307846E-3</v>
      </c>
      <c r="J7209" s="22" t="str">
        <f t="shared" si="226"/>
        <v>lost money</v>
      </c>
    </row>
    <row r="7210" spans="1:10">
      <c r="A7210" s="1">
        <v>41598</v>
      </c>
      <c r="B7210">
        <v>34.840000000000003</v>
      </c>
      <c r="C7210">
        <v>34.97</v>
      </c>
      <c r="D7210">
        <v>34.67</v>
      </c>
      <c r="E7210">
        <v>34.75</v>
      </c>
      <c r="F7210">
        <v>12165500</v>
      </c>
      <c r="G7210">
        <v>34.64</v>
      </c>
      <c r="H7210" t="s">
        <v>8</v>
      </c>
      <c r="I7210" s="22">
        <f t="shared" si="225"/>
        <v>-2.8864194167777001E-4</v>
      </c>
      <c r="J7210" s="22" t="str">
        <f t="shared" si="226"/>
        <v>lost money</v>
      </c>
    </row>
    <row r="7211" spans="1:10">
      <c r="A7211" s="1">
        <v>41599</v>
      </c>
      <c r="B7211">
        <v>34.840000000000003</v>
      </c>
      <c r="C7211">
        <v>35.049999999999997</v>
      </c>
      <c r="D7211">
        <v>34.71</v>
      </c>
      <c r="E7211">
        <v>34.94</v>
      </c>
      <c r="F7211">
        <v>11773000</v>
      </c>
      <c r="G7211">
        <v>34.83</v>
      </c>
      <c r="H7211" t="s">
        <v>8</v>
      </c>
      <c r="I7211" s="22">
        <f t="shared" si="225"/>
        <v>5.4700006836752961E-3</v>
      </c>
      <c r="J7211" s="22" t="str">
        <f t="shared" si="226"/>
        <v/>
      </c>
    </row>
    <row r="7212" spans="1:10">
      <c r="A7212" s="1">
        <v>41600</v>
      </c>
      <c r="B7212">
        <v>34.82</v>
      </c>
      <c r="C7212">
        <v>34.97</v>
      </c>
      <c r="D7212">
        <v>34.68</v>
      </c>
      <c r="E7212">
        <v>34.83</v>
      </c>
      <c r="F7212">
        <v>13826300</v>
      </c>
      <c r="G7212">
        <v>34.72</v>
      </c>
      <c r="H7212" t="s">
        <v>8</v>
      </c>
      <c r="I7212" s="22">
        <f t="shared" si="225"/>
        <v>-3.1631945857603732E-3</v>
      </c>
      <c r="J7212" s="22" t="str">
        <f t="shared" si="226"/>
        <v/>
      </c>
    </row>
    <row r="7213" spans="1:10">
      <c r="A7213" s="1">
        <v>41603</v>
      </c>
      <c r="B7213">
        <v>34.92</v>
      </c>
      <c r="C7213">
        <v>34.96</v>
      </c>
      <c r="D7213">
        <v>34.6</v>
      </c>
      <c r="E7213">
        <v>34.78</v>
      </c>
      <c r="F7213">
        <v>14753800</v>
      </c>
      <c r="G7213">
        <v>34.67</v>
      </c>
      <c r="H7213" t="s">
        <v>8</v>
      </c>
      <c r="I7213" s="22">
        <f t="shared" si="225"/>
        <v>-1.441130095217315E-3</v>
      </c>
      <c r="J7213" s="22" t="str">
        <f t="shared" si="226"/>
        <v>lost money</v>
      </c>
    </row>
    <row r="7214" spans="1:10">
      <c r="A7214" s="1">
        <v>41604</v>
      </c>
      <c r="B7214">
        <v>34.69</v>
      </c>
      <c r="C7214">
        <v>35.159999999999997</v>
      </c>
      <c r="D7214">
        <v>34.61</v>
      </c>
      <c r="E7214">
        <v>34.93</v>
      </c>
      <c r="F7214">
        <v>28403700</v>
      </c>
      <c r="G7214">
        <v>34.82</v>
      </c>
      <c r="H7214" t="s">
        <v>8</v>
      </c>
      <c r="I7214" s="22">
        <f t="shared" si="225"/>
        <v>4.3171746431107817E-3</v>
      </c>
      <c r="J7214" s="22" t="str">
        <f t="shared" si="226"/>
        <v/>
      </c>
    </row>
    <row r="7215" spans="1:10">
      <c r="A7215" s="1">
        <v>41605</v>
      </c>
      <c r="B7215">
        <v>35.06</v>
      </c>
      <c r="C7215">
        <v>35.4</v>
      </c>
      <c r="D7215">
        <v>35.020000000000003</v>
      </c>
      <c r="E7215">
        <v>35.29</v>
      </c>
      <c r="F7215">
        <v>16120200</v>
      </c>
      <c r="G7215">
        <v>35.18</v>
      </c>
      <c r="H7215" t="s">
        <v>8</v>
      </c>
      <c r="I7215" s="22">
        <f t="shared" si="225"/>
        <v>1.0285804969369121E-2</v>
      </c>
      <c r="J7215" s="22" t="str">
        <f t="shared" si="226"/>
        <v/>
      </c>
    </row>
    <row r="7216" spans="1:10">
      <c r="A7216" s="1">
        <v>41607</v>
      </c>
      <c r="B7216">
        <v>35.1</v>
      </c>
      <c r="C7216">
        <v>35.42</v>
      </c>
      <c r="D7216">
        <v>35.04</v>
      </c>
      <c r="E7216">
        <v>35.29</v>
      </c>
      <c r="F7216">
        <v>11851500</v>
      </c>
      <c r="G7216">
        <v>35.18</v>
      </c>
      <c r="H7216" t="s">
        <v>8</v>
      </c>
      <c r="I7216" s="22">
        <f t="shared" si="225"/>
        <v>0</v>
      </c>
      <c r="J7216" s="22" t="str">
        <f t="shared" si="226"/>
        <v/>
      </c>
    </row>
    <row r="7217" spans="1:10">
      <c r="A7217" s="1">
        <v>40911</v>
      </c>
      <c r="B7217">
        <v>66.3</v>
      </c>
      <c r="C7217">
        <v>67</v>
      </c>
      <c r="D7217">
        <v>66.27</v>
      </c>
      <c r="E7217">
        <v>66.83</v>
      </c>
      <c r="F7217">
        <v>11565900</v>
      </c>
      <c r="G7217">
        <v>62.23</v>
      </c>
      <c r="H7217" t="s">
        <v>12</v>
      </c>
      <c r="I7217" s="22" t="str">
        <f t="shared" si="225"/>
        <v/>
      </c>
      <c r="J7217" s="22" t="str">
        <f t="shared" si="226"/>
        <v/>
      </c>
    </row>
    <row r="7218" spans="1:10">
      <c r="A7218" s="1">
        <v>40912</v>
      </c>
      <c r="B7218">
        <v>66.63</v>
      </c>
      <c r="C7218">
        <v>66.88</v>
      </c>
      <c r="D7218">
        <v>66.34</v>
      </c>
      <c r="E7218">
        <v>66.8</v>
      </c>
      <c r="F7218">
        <v>10595400</v>
      </c>
      <c r="G7218">
        <v>62.2</v>
      </c>
      <c r="H7218" t="s">
        <v>12</v>
      </c>
      <c r="I7218" s="22">
        <f t="shared" si="225"/>
        <v>-4.8219883599264597E-4</v>
      </c>
      <c r="J7218" s="22" t="str">
        <f t="shared" si="226"/>
        <v/>
      </c>
    </row>
    <row r="7219" spans="1:10">
      <c r="A7219" s="1">
        <v>40913</v>
      </c>
      <c r="B7219">
        <v>66.44</v>
      </c>
      <c r="C7219">
        <v>66.650000000000006</v>
      </c>
      <c r="D7219">
        <v>66.25</v>
      </c>
      <c r="E7219">
        <v>66.52</v>
      </c>
      <c r="F7219">
        <v>10085300</v>
      </c>
      <c r="G7219">
        <v>61.94</v>
      </c>
      <c r="H7219" t="s">
        <v>12</v>
      </c>
      <c r="I7219" s="22">
        <f t="shared" si="225"/>
        <v>-4.1888252000771382E-3</v>
      </c>
      <c r="J7219" s="22" t="str">
        <f t="shared" si="226"/>
        <v/>
      </c>
    </row>
    <row r="7220" spans="1:10">
      <c r="A7220" s="1">
        <v>40914</v>
      </c>
      <c r="B7220">
        <v>66.510000000000005</v>
      </c>
      <c r="C7220">
        <v>66.63</v>
      </c>
      <c r="D7220">
        <v>65.930000000000007</v>
      </c>
      <c r="E7220">
        <v>66.36</v>
      </c>
      <c r="F7220">
        <v>8421200</v>
      </c>
      <c r="G7220">
        <v>61.79</v>
      </c>
      <c r="H7220" t="s">
        <v>12</v>
      </c>
      <c r="I7220" s="22">
        <f t="shared" si="225"/>
        <v>-2.4246354721685439E-3</v>
      </c>
      <c r="J7220" s="22" t="str">
        <f t="shared" si="226"/>
        <v>lost money</v>
      </c>
    </row>
    <row r="7221" spans="1:10">
      <c r="A7221" s="1">
        <v>40917</v>
      </c>
      <c r="B7221">
        <v>66.25</v>
      </c>
      <c r="C7221">
        <v>66.75</v>
      </c>
      <c r="D7221">
        <v>66.22</v>
      </c>
      <c r="E7221">
        <v>66.64</v>
      </c>
      <c r="F7221">
        <v>7836100</v>
      </c>
      <c r="G7221">
        <v>62.05</v>
      </c>
      <c r="H7221" t="s">
        <v>12</v>
      </c>
      <c r="I7221" s="22">
        <f t="shared" si="225"/>
        <v>4.1989725777279458E-3</v>
      </c>
      <c r="J7221" s="22" t="str">
        <f t="shared" si="226"/>
        <v/>
      </c>
    </row>
    <row r="7222" spans="1:10">
      <c r="A7222" s="1">
        <v>40918</v>
      </c>
      <c r="B7222">
        <v>66.849999999999994</v>
      </c>
      <c r="C7222">
        <v>66.87</v>
      </c>
      <c r="D7222">
        <v>66.069999999999993</v>
      </c>
      <c r="E7222">
        <v>66.33</v>
      </c>
      <c r="F7222">
        <v>10318900</v>
      </c>
      <c r="G7222">
        <v>61.76</v>
      </c>
      <c r="H7222" t="s">
        <v>12</v>
      </c>
      <c r="I7222" s="22">
        <f t="shared" si="225"/>
        <v>-4.6846059340954595E-3</v>
      </c>
      <c r="J7222" s="22" t="str">
        <f t="shared" si="226"/>
        <v>lost money</v>
      </c>
    </row>
    <row r="7223" spans="1:10">
      <c r="A7223" s="1">
        <v>40919</v>
      </c>
      <c r="B7223">
        <v>66.099999999999994</v>
      </c>
      <c r="C7223">
        <v>66.31</v>
      </c>
      <c r="D7223">
        <v>65.47</v>
      </c>
      <c r="E7223">
        <v>65.680000000000007</v>
      </c>
      <c r="F7223">
        <v>14676800</v>
      </c>
      <c r="G7223">
        <v>61.16</v>
      </c>
      <c r="H7223" t="s">
        <v>12</v>
      </c>
      <c r="I7223" s="22">
        <f t="shared" si="225"/>
        <v>-9.7625246556592143E-3</v>
      </c>
      <c r="J7223" s="22" t="str">
        <f t="shared" si="226"/>
        <v>lost money</v>
      </c>
    </row>
    <row r="7224" spans="1:10">
      <c r="A7224" s="1">
        <v>40920</v>
      </c>
      <c r="B7224">
        <v>66</v>
      </c>
      <c r="C7224">
        <v>66</v>
      </c>
      <c r="D7224">
        <v>65.56</v>
      </c>
      <c r="E7224">
        <v>65.81</v>
      </c>
      <c r="F7224">
        <v>29758100</v>
      </c>
      <c r="G7224">
        <v>61.28</v>
      </c>
      <c r="H7224" t="s">
        <v>12</v>
      </c>
      <c r="I7224" s="22">
        <f t="shared" si="225"/>
        <v>1.960144371474376E-3</v>
      </c>
      <c r="J7224" s="22" t="str">
        <f t="shared" si="226"/>
        <v>lost money</v>
      </c>
    </row>
    <row r="7225" spans="1:10">
      <c r="A7225" s="1">
        <v>40921</v>
      </c>
      <c r="B7225">
        <v>65.56</v>
      </c>
      <c r="C7225">
        <v>65.83</v>
      </c>
      <c r="D7225">
        <v>65.37</v>
      </c>
      <c r="E7225">
        <v>65.81</v>
      </c>
      <c r="F7225">
        <v>33539100</v>
      </c>
      <c r="G7225">
        <v>61.28</v>
      </c>
      <c r="H7225" t="s">
        <v>12</v>
      </c>
      <c r="I7225" s="22">
        <f t="shared" si="225"/>
        <v>0</v>
      </c>
      <c r="J7225" s="22" t="str">
        <f t="shared" si="226"/>
        <v/>
      </c>
    </row>
    <row r="7226" spans="1:10">
      <c r="A7226" s="1">
        <v>40925</v>
      </c>
      <c r="B7226">
        <v>65.959999999999994</v>
      </c>
      <c r="C7226">
        <v>66.510000000000005</v>
      </c>
      <c r="D7226">
        <v>65.95</v>
      </c>
      <c r="E7226">
        <v>66.260000000000005</v>
      </c>
      <c r="F7226">
        <v>35728800</v>
      </c>
      <c r="G7226">
        <v>61.7</v>
      </c>
      <c r="H7226" t="s">
        <v>12</v>
      </c>
      <c r="I7226" s="22">
        <f t="shared" si="225"/>
        <v>6.8304054790063184E-3</v>
      </c>
      <c r="J7226" s="22" t="str">
        <f t="shared" si="226"/>
        <v/>
      </c>
    </row>
    <row r="7227" spans="1:10">
      <c r="A7227" s="1">
        <v>40926</v>
      </c>
      <c r="B7227">
        <v>65.900000000000006</v>
      </c>
      <c r="C7227">
        <v>66.13</v>
      </c>
      <c r="D7227">
        <v>65.819999999999993</v>
      </c>
      <c r="E7227">
        <v>66.03</v>
      </c>
      <c r="F7227">
        <v>10386800</v>
      </c>
      <c r="G7227">
        <v>61.97</v>
      </c>
      <c r="H7227" t="s">
        <v>12</v>
      </c>
      <c r="I7227" s="22">
        <f t="shared" si="225"/>
        <v>4.3664660626738802E-3</v>
      </c>
      <c r="J7227" s="22" t="str">
        <f t="shared" si="226"/>
        <v/>
      </c>
    </row>
    <row r="7228" spans="1:10">
      <c r="A7228" s="1">
        <v>40927</v>
      </c>
      <c r="B7228">
        <v>65.959999999999994</v>
      </c>
      <c r="C7228">
        <v>66.25</v>
      </c>
      <c r="D7228">
        <v>65.42</v>
      </c>
      <c r="E7228">
        <v>66.08</v>
      </c>
      <c r="F7228">
        <v>9346600</v>
      </c>
      <c r="G7228">
        <v>62.02</v>
      </c>
      <c r="H7228" t="s">
        <v>12</v>
      </c>
      <c r="I7228" s="22">
        <f t="shared" si="225"/>
        <v>8.065166982867822E-4</v>
      </c>
      <c r="J7228" s="22" t="str">
        <f t="shared" si="226"/>
        <v/>
      </c>
    </row>
    <row r="7229" spans="1:10">
      <c r="A7229" s="1">
        <v>40928</v>
      </c>
      <c r="B7229">
        <v>65.63</v>
      </c>
      <c r="C7229">
        <v>66.25</v>
      </c>
      <c r="D7229">
        <v>65.45</v>
      </c>
      <c r="E7229">
        <v>66.23</v>
      </c>
      <c r="F7229">
        <v>12190100</v>
      </c>
      <c r="G7229">
        <v>62.16</v>
      </c>
      <c r="H7229" t="s">
        <v>12</v>
      </c>
      <c r="I7229" s="22">
        <f t="shared" si="225"/>
        <v>2.2547923870890828E-3</v>
      </c>
      <c r="J7229" s="22" t="str">
        <f t="shared" si="226"/>
        <v/>
      </c>
    </row>
    <row r="7230" spans="1:10">
      <c r="A7230" s="1">
        <v>40931</v>
      </c>
      <c r="B7230">
        <v>65.91</v>
      </c>
      <c r="C7230">
        <v>65.94</v>
      </c>
      <c r="D7230">
        <v>64.78</v>
      </c>
      <c r="E7230">
        <v>65</v>
      </c>
      <c r="F7230">
        <v>14828100</v>
      </c>
      <c r="G7230">
        <v>61.01</v>
      </c>
      <c r="H7230" t="s">
        <v>12</v>
      </c>
      <c r="I7230" s="22">
        <f t="shared" si="225"/>
        <v>-1.8673920895630934E-2</v>
      </c>
      <c r="J7230" s="22" t="str">
        <f t="shared" si="226"/>
        <v>lost money</v>
      </c>
    </row>
    <row r="7231" spans="1:10">
      <c r="A7231" s="1">
        <v>40932</v>
      </c>
      <c r="B7231">
        <v>64.64</v>
      </c>
      <c r="C7231">
        <v>64.75</v>
      </c>
      <c r="D7231">
        <v>64.040000000000006</v>
      </c>
      <c r="E7231">
        <v>64.5</v>
      </c>
      <c r="F7231">
        <v>9742400</v>
      </c>
      <c r="G7231">
        <v>60.54</v>
      </c>
      <c r="H7231" t="s">
        <v>12</v>
      </c>
      <c r="I7231" s="22">
        <f t="shared" si="225"/>
        <v>-7.7334815701885105E-3</v>
      </c>
      <c r="J7231" s="22" t="str">
        <f t="shared" si="226"/>
        <v>lost money</v>
      </c>
    </row>
    <row r="7232" spans="1:10">
      <c r="A7232" s="1">
        <v>40933</v>
      </c>
      <c r="B7232">
        <v>64.38</v>
      </c>
      <c r="C7232">
        <v>65.150000000000006</v>
      </c>
      <c r="D7232">
        <v>64.180000000000007</v>
      </c>
      <c r="E7232">
        <v>64.98</v>
      </c>
      <c r="F7232">
        <v>10913100</v>
      </c>
      <c r="G7232">
        <v>60.99</v>
      </c>
      <c r="H7232" t="s">
        <v>12</v>
      </c>
      <c r="I7232" s="22">
        <f t="shared" si="225"/>
        <v>7.405612714792357E-3</v>
      </c>
      <c r="J7232" s="22" t="str">
        <f t="shared" si="226"/>
        <v/>
      </c>
    </row>
    <row r="7233" spans="1:10">
      <c r="A7233" s="1">
        <v>40934</v>
      </c>
      <c r="B7233">
        <v>65.099999999999994</v>
      </c>
      <c r="C7233">
        <v>65.38</v>
      </c>
      <c r="D7233">
        <v>64.73</v>
      </c>
      <c r="E7233">
        <v>64.8</v>
      </c>
      <c r="F7233">
        <v>11932100</v>
      </c>
      <c r="G7233">
        <v>60.82</v>
      </c>
      <c r="H7233" t="s">
        <v>12</v>
      </c>
      <c r="I7233" s="22">
        <f t="shared" si="225"/>
        <v>-2.7912340591464166E-3</v>
      </c>
      <c r="J7233" s="22" t="str">
        <f t="shared" si="226"/>
        <v>lost money</v>
      </c>
    </row>
    <row r="7234" spans="1:10">
      <c r="A7234" s="1">
        <v>40935</v>
      </c>
      <c r="B7234">
        <v>64.31</v>
      </c>
      <c r="C7234">
        <v>64.97</v>
      </c>
      <c r="D7234">
        <v>63.66</v>
      </c>
      <c r="E7234">
        <v>64.3</v>
      </c>
      <c r="F7234">
        <v>10979900</v>
      </c>
      <c r="G7234">
        <v>60.35</v>
      </c>
      <c r="H7234" t="s">
        <v>12</v>
      </c>
      <c r="I7234" s="22">
        <f t="shared" si="225"/>
        <v>-7.7577347056780486E-3</v>
      </c>
      <c r="J7234" s="22" t="str">
        <f t="shared" si="226"/>
        <v>lost money</v>
      </c>
    </row>
    <row r="7235" spans="1:10">
      <c r="A7235" s="1">
        <v>40938</v>
      </c>
      <c r="B7235">
        <v>63.8</v>
      </c>
      <c r="C7235">
        <v>63.8</v>
      </c>
      <c r="D7235">
        <v>63.03</v>
      </c>
      <c r="E7235">
        <v>63.21</v>
      </c>
      <c r="F7235">
        <v>12492000</v>
      </c>
      <c r="G7235">
        <v>59.33</v>
      </c>
      <c r="H7235" t="s">
        <v>12</v>
      </c>
      <c r="I7235" s="22">
        <f t="shared" ref="I7235:I7298" si="227">IF(A7235=$A$2,"",LN(G7235/G7234))</f>
        <v>-1.7045867272988721E-2</v>
      </c>
      <c r="J7235" s="22" t="str">
        <f t="shared" ref="J7235:J7298" si="228">IF(B7235&gt;E7235,"lost money","")</f>
        <v>lost money</v>
      </c>
    </row>
    <row r="7236" spans="1:10">
      <c r="A7236" s="1">
        <v>40939</v>
      </c>
      <c r="B7236">
        <v>63.42</v>
      </c>
      <c r="C7236">
        <v>63.55</v>
      </c>
      <c r="D7236">
        <v>62.7</v>
      </c>
      <c r="E7236">
        <v>63.04</v>
      </c>
      <c r="F7236">
        <v>11358600</v>
      </c>
      <c r="G7236">
        <v>59.17</v>
      </c>
      <c r="H7236" t="s">
        <v>12</v>
      </c>
      <c r="I7236" s="22">
        <f t="shared" si="227"/>
        <v>-2.7004235819491277E-3</v>
      </c>
      <c r="J7236" s="22" t="str">
        <f t="shared" si="228"/>
        <v>lost money</v>
      </c>
    </row>
    <row r="7237" spans="1:10">
      <c r="A7237" s="1">
        <v>40940</v>
      </c>
      <c r="B7237">
        <v>63.42</v>
      </c>
      <c r="C7237">
        <v>63.7</v>
      </c>
      <c r="D7237">
        <v>63.19</v>
      </c>
      <c r="E7237">
        <v>63.21</v>
      </c>
      <c r="F7237">
        <v>12900500</v>
      </c>
      <c r="G7237">
        <v>59.33</v>
      </c>
      <c r="H7237" t="s">
        <v>12</v>
      </c>
      <c r="I7237" s="22">
        <f t="shared" si="227"/>
        <v>2.700423581949123E-3</v>
      </c>
      <c r="J7237" s="22" t="str">
        <f t="shared" si="228"/>
        <v>lost money</v>
      </c>
    </row>
    <row r="7238" spans="1:10">
      <c r="A7238" s="1">
        <v>40941</v>
      </c>
      <c r="B7238">
        <v>63.35</v>
      </c>
      <c r="C7238">
        <v>63.63</v>
      </c>
      <c r="D7238">
        <v>63.25</v>
      </c>
      <c r="E7238">
        <v>63.32</v>
      </c>
      <c r="F7238">
        <v>12613100</v>
      </c>
      <c r="G7238">
        <v>59.43</v>
      </c>
      <c r="H7238" t="s">
        <v>12</v>
      </c>
      <c r="I7238" s="22">
        <f t="shared" si="227"/>
        <v>1.6840691080173221E-3</v>
      </c>
      <c r="J7238" s="22" t="str">
        <f t="shared" si="228"/>
        <v>lost money</v>
      </c>
    </row>
    <row r="7239" spans="1:10">
      <c r="A7239" s="1">
        <v>40942</v>
      </c>
      <c r="B7239">
        <v>63.36</v>
      </c>
      <c r="C7239">
        <v>63.86</v>
      </c>
      <c r="D7239">
        <v>62.56</v>
      </c>
      <c r="E7239">
        <v>62.77</v>
      </c>
      <c r="F7239">
        <v>17440500</v>
      </c>
      <c r="G7239">
        <v>58.91</v>
      </c>
      <c r="H7239" t="s">
        <v>12</v>
      </c>
      <c r="I7239" s="22">
        <f t="shared" si="227"/>
        <v>-8.7882938449732814E-3</v>
      </c>
      <c r="J7239" s="22" t="str">
        <f t="shared" si="228"/>
        <v>lost money</v>
      </c>
    </row>
    <row r="7240" spans="1:10">
      <c r="A7240" s="1">
        <v>40945</v>
      </c>
      <c r="B7240">
        <v>62.86</v>
      </c>
      <c r="C7240">
        <v>63.61</v>
      </c>
      <c r="D7240">
        <v>62.78</v>
      </c>
      <c r="E7240">
        <v>63.51</v>
      </c>
      <c r="F7240">
        <v>9851200</v>
      </c>
      <c r="G7240">
        <v>59.61</v>
      </c>
      <c r="H7240" t="s">
        <v>12</v>
      </c>
      <c r="I7240" s="22">
        <f t="shared" si="227"/>
        <v>1.1812489698239267E-2</v>
      </c>
      <c r="J7240" s="22" t="str">
        <f t="shared" si="228"/>
        <v/>
      </c>
    </row>
    <row r="7241" spans="1:10">
      <c r="A7241" s="1">
        <v>40946</v>
      </c>
      <c r="B7241">
        <v>63.56</v>
      </c>
      <c r="C7241">
        <v>63.91</v>
      </c>
      <c r="D7241">
        <v>63.37</v>
      </c>
      <c r="E7241">
        <v>63.7</v>
      </c>
      <c r="F7241">
        <v>8901600</v>
      </c>
      <c r="G7241">
        <v>59.79</v>
      </c>
      <c r="H7241" t="s">
        <v>12</v>
      </c>
      <c r="I7241" s="22">
        <f t="shared" si="227"/>
        <v>3.0150776609779734E-3</v>
      </c>
      <c r="J7241" s="22" t="str">
        <f t="shared" si="228"/>
        <v/>
      </c>
    </row>
    <row r="7242" spans="1:10">
      <c r="A7242" s="1">
        <v>40947</v>
      </c>
      <c r="B7242">
        <v>63.72</v>
      </c>
      <c r="C7242">
        <v>63.78</v>
      </c>
      <c r="D7242">
        <v>63.44</v>
      </c>
      <c r="E7242">
        <v>63.64</v>
      </c>
      <c r="F7242">
        <v>8174800</v>
      </c>
      <c r="G7242">
        <v>59.73</v>
      </c>
      <c r="H7242" t="s">
        <v>12</v>
      </c>
      <c r="I7242" s="22">
        <f t="shared" si="227"/>
        <v>-1.0040161485984818E-3</v>
      </c>
      <c r="J7242" s="22" t="str">
        <f t="shared" si="228"/>
        <v>lost money</v>
      </c>
    </row>
    <row r="7243" spans="1:10">
      <c r="A7243" s="1">
        <v>40948</v>
      </c>
      <c r="B7243">
        <v>63.84</v>
      </c>
      <c r="C7243">
        <v>64.099999999999994</v>
      </c>
      <c r="D7243">
        <v>63.53</v>
      </c>
      <c r="E7243">
        <v>64.040000000000006</v>
      </c>
      <c r="F7243">
        <v>9152000</v>
      </c>
      <c r="G7243">
        <v>60.1</v>
      </c>
      <c r="H7243" t="s">
        <v>12</v>
      </c>
      <c r="I7243" s="22">
        <f t="shared" si="227"/>
        <v>6.1754347969474157E-3</v>
      </c>
      <c r="J7243" s="22" t="str">
        <f t="shared" si="228"/>
        <v/>
      </c>
    </row>
    <row r="7244" spans="1:10">
      <c r="A7244" s="1">
        <v>40949</v>
      </c>
      <c r="B7244">
        <v>63.6</v>
      </c>
      <c r="C7244">
        <v>63.98</v>
      </c>
      <c r="D7244">
        <v>63.55</v>
      </c>
      <c r="E7244">
        <v>63.88</v>
      </c>
      <c r="F7244">
        <v>8295500</v>
      </c>
      <c r="G7244">
        <v>59.95</v>
      </c>
      <c r="H7244" t="s">
        <v>12</v>
      </c>
      <c r="I7244" s="22">
        <f t="shared" si="227"/>
        <v>-2.4989600676386422E-3</v>
      </c>
      <c r="J7244" s="22" t="str">
        <f t="shared" si="228"/>
        <v/>
      </c>
    </row>
    <row r="7245" spans="1:10">
      <c r="A7245" s="1">
        <v>40952</v>
      </c>
      <c r="B7245">
        <v>64.150000000000006</v>
      </c>
      <c r="C7245">
        <v>64.38</v>
      </c>
      <c r="D7245">
        <v>64.06</v>
      </c>
      <c r="E7245">
        <v>64.23</v>
      </c>
      <c r="F7245">
        <v>6899400</v>
      </c>
      <c r="G7245">
        <v>60.28</v>
      </c>
      <c r="H7245" t="s">
        <v>12</v>
      </c>
      <c r="I7245" s="22">
        <f t="shared" si="227"/>
        <v>5.4894922847715149E-3</v>
      </c>
      <c r="J7245" s="22" t="str">
        <f t="shared" si="228"/>
        <v/>
      </c>
    </row>
    <row r="7246" spans="1:10">
      <c r="A7246" s="1">
        <v>40953</v>
      </c>
      <c r="B7246">
        <v>64.099999999999994</v>
      </c>
      <c r="C7246">
        <v>64.48</v>
      </c>
      <c r="D7246">
        <v>64.09</v>
      </c>
      <c r="E7246">
        <v>64.48</v>
      </c>
      <c r="F7246">
        <v>6997700</v>
      </c>
      <c r="G7246">
        <v>60.52</v>
      </c>
      <c r="H7246" t="s">
        <v>12</v>
      </c>
      <c r="I7246" s="22">
        <f t="shared" si="227"/>
        <v>3.9735151618605349E-3</v>
      </c>
      <c r="J7246" s="22" t="str">
        <f t="shared" si="228"/>
        <v/>
      </c>
    </row>
    <row r="7247" spans="1:10">
      <c r="A7247" s="1">
        <v>40954</v>
      </c>
      <c r="B7247">
        <v>64.819999999999993</v>
      </c>
      <c r="C7247">
        <v>64.94</v>
      </c>
      <c r="D7247">
        <v>64.38</v>
      </c>
      <c r="E7247">
        <v>64.55</v>
      </c>
      <c r="F7247">
        <v>11651700</v>
      </c>
      <c r="G7247">
        <v>60.58</v>
      </c>
      <c r="H7247" t="s">
        <v>12</v>
      </c>
      <c r="I7247" s="22">
        <f t="shared" si="227"/>
        <v>9.9091667893608237E-4</v>
      </c>
      <c r="J7247" s="22" t="str">
        <f t="shared" si="228"/>
        <v>lost money</v>
      </c>
    </row>
    <row r="7248" spans="1:10">
      <c r="A7248" s="1">
        <v>40955</v>
      </c>
      <c r="B7248">
        <v>64.78</v>
      </c>
      <c r="C7248">
        <v>65.400000000000006</v>
      </c>
      <c r="D7248">
        <v>64.650000000000006</v>
      </c>
      <c r="E7248">
        <v>65.2</v>
      </c>
      <c r="F7248">
        <v>10823300</v>
      </c>
      <c r="G7248">
        <v>61.19</v>
      </c>
      <c r="H7248" t="s">
        <v>12</v>
      </c>
      <c r="I7248" s="22">
        <f t="shared" si="227"/>
        <v>1.0018971875357902E-2</v>
      </c>
      <c r="J7248" s="22" t="str">
        <f t="shared" si="228"/>
        <v/>
      </c>
    </row>
    <row r="7249" spans="1:10">
      <c r="A7249" s="1">
        <v>40956</v>
      </c>
      <c r="B7249">
        <v>65.489999999999995</v>
      </c>
      <c r="C7249">
        <v>65.540000000000006</v>
      </c>
      <c r="D7249">
        <v>64.900000000000006</v>
      </c>
      <c r="E7249">
        <v>64.91</v>
      </c>
      <c r="F7249">
        <v>10281600</v>
      </c>
      <c r="G7249">
        <v>60.92</v>
      </c>
      <c r="H7249" t="s">
        <v>12</v>
      </c>
      <c r="I7249" s="22">
        <f t="shared" si="227"/>
        <v>-4.4222494474880159E-3</v>
      </c>
      <c r="J7249" s="22" t="str">
        <f t="shared" si="228"/>
        <v>lost money</v>
      </c>
    </row>
    <row r="7250" spans="1:10">
      <c r="A7250" s="1">
        <v>40960</v>
      </c>
      <c r="B7250">
        <v>64.989999999999995</v>
      </c>
      <c r="C7250">
        <v>65.069999999999993</v>
      </c>
      <c r="D7250">
        <v>64.349999999999994</v>
      </c>
      <c r="E7250">
        <v>64.42</v>
      </c>
      <c r="F7250">
        <v>10037700</v>
      </c>
      <c r="G7250">
        <v>60.46</v>
      </c>
      <c r="H7250" t="s">
        <v>12</v>
      </c>
      <c r="I7250" s="22">
        <f t="shared" si="227"/>
        <v>-7.579538675649115E-3</v>
      </c>
      <c r="J7250" s="22" t="str">
        <f t="shared" si="228"/>
        <v>lost money</v>
      </c>
    </row>
    <row r="7251" spans="1:10">
      <c r="A7251" s="1">
        <v>40961</v>
      </c>
      <c r="B7251">
        <v>64.239999999999995</v>
      </c>
      <c r="C7251">
        <v>64.709999999999994</v>
      </c>
      <c r="D7251">
        <v>64.17</v>
      </c>
      <c r="E7251">
        <v>64.44</v>
      </c>
      <c r="F7251">
        <v>7029500</v>
      </c>
      <c r="G7251">
        <v>60.48</v>
      </c>
      <c r="H7251" t="s">
        <v>12</v>
      </c>
      <c r="I7251" s="22">
        <f t="shared" si="227"/>
        <v>3.3074251996558185E-4</v>
      </c>
      <c r="J7251" s="22" t="str">
        <f t="shared" si="228"/>
        <v/>
      </c>
    </row>
    <row r="7252" spans="1:10">
      <c r="A7252" s="1">
        <v>40962</v>
      </c>
      <c r="B7252">
        <v>64.349999999999994</v>
      </c>
      <c r="C7252">
        <v>66.569999999999993</v>
      </c>
      <c r="D7252">
        <v>64.25</v>
      </c>
      <c r="E7252">
        <v>66.42</v>
      </c>
      <c r="F7252">
        <v>20163300</v>
      </c>
      <c r="G7252">
        <v>62.34</v>
      </c>
      <c r="H7252" t="s">
        <v>12</v>
      </c>
      <c r="I7252" s="22">
        <f t="shared" si="227"/>
        <v>3.0290542467913576E-2</v>
      </c>
      <c r="J7252" s="22" t="str">
        <f t="shared" si="228"/>
        <v/>
      </c>
    </row>
    <row r="7253" spans="1:10">
      <c r="A7253" s="1">
        <v>40963</v>
      </c>
      <c r="B7253">
        <v>66.739999999999995</v>
      </c>
      <c r="C7253">
        <v>66.95</v>
      </c>
      <c r="D7253">
        <v>66.52</v>
      </c>
      <c r="E7253">
        <v>66.709999999999994</v>
      </c>
      <c r="F7253">
        <v>17777100</v>
      </c>
      <c r="G7253">
        <v>62.61</v>
      </c>
      <c r="H7253" t="s">
        <v>12</v>
      </c>
      <c r="I7253" s="22">
        <f t="shared" si="227"/>
        <v>4.3217354180279752E-3</v>
      </c>
      <c r="J7253" s="22" t="str">
        <f t="shared" si="228"/>
        <v>lost money</v>
      </c>
    </row>
    <row r="7254" spans="1:10">
      <c r="A7254" s="1">
        <v>40966</v>
      </c>
      <c r="B7254">
        <v>66.569999999999993</v>
      </c>
      <c r="C7254">
        <v>67.040000000000006</v>
      </c>
      <c r="D7254">
        <v>66.13</v>
      </c>
      <c r="E7254">
        <v>66.7</v>
      </c>
      <c r="F7254">
        <v>17903200</v>
      </c>
      <c r="G7254">
        <v>62.6</v>
      </c>
      <c r="H7254" t="s">
        <v>12</v>
      </c>
      <c r="I7254" s="22">
        <f t="shared" si="227"/>
        <v>-1.5973165116617944E-4</v>
      </c>
      <c r="J7254" s="22" t="str">
        <f t="shared" si="228"/>
        <v/>
      </c>
    </row>
    <row r="7255" spans="1:10">
      <c r="A7255" s="1">
        <v>40967</v>
      </c>
      <c r="B7255">
        <v>66.59</v>
      </c>
      <c r="C7255">
        <v>67.489999999999995</v>
      </c>
      <c r="D7255">
        <v>66.540000000000006</v>
      </c>
      <c r="E7255">
        <v>67.39</v>
      </c>
      <c r="F7255">
        <v>13468100</v>
      </c>
      <c r="G7255">
        <v>63.25</v>
      </c>
      <c r="H7255" t="s">
        <v>12</v>
      </c>
      <c r="I7255" s="22">
        <f t="shared" si="227"/>
        <v>1.0329849501576661E-2</v>
      </c>
      <c r="J7255" s="22" t="str">
        <f t="shared" si="228"/>
        <v/>
      </c>
    </row>
    <row r="7256" spans="1:10">
      <c r="A7256" s="1">
        <v>40968</v>
      </c>
      <c r="B7256">
        <v>67.41</v>
      </c>
      <c r="C7256">
        <v>67.77</v>
      </c>
      <c r="D7256">
        <v>67.31</v>
      </c>
      <c r="E7256">
        <v>67.62</v>
      </c>
      <c r="F7256">
        <v>14742500</v>
      </c>
      <c r="G7256">
        <v>63.46</v>
      </c>
      <c r="H7256" t="s">
        <v>12</v>
      </c>
      <c r="I7256" s="22">
        <f t="shared" si="227"/>
        <v>3.3146585474199621E-3</v>
      </c>
      <c r="J7256" s="22" t="str">
        <f t="shared" si="228"/>
        <v/>
      </c>
    </row>
    <row r="7257" spans="1:10">
      <c r="A7257" s="1">
        <v>40969</v>
      </c>
      <c r="B7257">
        <v>67.44</v>
      </c>
      <c r="C7257">
        <v>67.69</v>
      </c>
      <c r="D7257">
        <v>66.459999999999994</v>
      </c>
      <c r="E7257">
        <v>66.66</v>
      </c>
      <c r="F7257">
        <v>11967000</v>
      </c>
      <c r="G7257">
        <v>62.56</v>
      </c>
      <c r="H7257" t="s">
        <v>12</v>
      </c>
      <c r="I7257" s="22">
        <f t="shared" si="227"/>
        <v>-1.4283689917993893E-2</v>
      </c>
      <c r="J7257" s="22" t="str">
        <f t="shared" si="228"/>
        <v>lost money</v>
      </c>
    </row>
    <row r="7258" spans="1:10">
      <c r="A7258" s="1">
        <v>40970</v>
      </c>
      <c r="B7258">
        <v>66.72</v>
      </c>
      <c r="C7258">
        <v>66.88</v>
      </c>
      <c r="D7258">
        <v>66.400000000000006</v>
      </c>
      <c r="E7258">
        <v>66.67</v>
      </c>
      <c r="F7258">
        <v>7022200</v>
      </c>
      <c r="G7258">
        <v>62.57</v>
      </c>
      <c r="H7258" t="s">
        <v>12</v>
      </c>
      <c r="I7258" s="22">
        <f t="shared" si="227"/>
        <v>1.5983377321639189E-4</v>
      </c>
      <c r="J7258" s="22" t="str">
        <f t="shared" si="228"/>
        <v>lost money</v>
      </c>
    </row>
    <row r="7259" spans="1:10">
      <c r="A7259" s="1">
        <v>40973</v>
      </c>
      <c r="B7259">
        <v>66.61</v>
      </c>
      <c r="C7259">
        <v>66.97</v>
      </c>
      <c r="D7259">
        <v>66.459999999999994</v>
      </c>
      <c r="E7259">
        <v>66.95</v>
      </c>
      <c r="F7259">
        <v>6933400</v>
      </c>
      <c r="G7259">
        <v>62.84</v>
      </c>
      <c r="H7259" t="s">
        <v>12</v>
      </c>
      <c r="I7259" s="22">
        <f t="shared" si="227"/>
        <v>4.305883377148329E-3</v>
      </c>
      <c r="J7259" s="22" t="str">
        <f t="shared" si="228"/>
        <v/>
      </c>
    </row>
    <row r="7260" spans="1:10">
      <c r="A7260" s="1">
        <v>40974</v>
      </c>
      <c r="B7260">
        <v>66.5</v>
      </c>
      <c r="C7260">
        <v>67.09</v>
      </c>
      <c r="D7260">
        <v>66.2</v>
      </c>
      <c r="E7260">
        <v>66.84</v>
      </c>
      <c r="F7260">
        <v>9827000</v>
      </c>
      <c r="G7260">
        <v>62.73</v>
      </c>
      <c r="H7260" t="s">
        <v>12</v>
      </c>
      <c r="I7260" s="22">
        <f t="shared" si="227"/>
        <v>-1.7520112787686567E-3</v>
      </c>
      <c r="J7260" s="22" t="str">
        <f t="shared" si="228"/>
        <v/>
      </c>
    </row>
    <row r="7261" spans="1:10">
      <c r="A7261" s="1">
        <v>40975</v>
      </c>
      <c r="B7261">
        <v>66.819999999999993</v>
      </c>
      <c r="C7261">
        <v>67.069999999999993</v>
      </c>
      <c r="D7261">
        <v>66.42</v>
      </c>
      <c r="E7261">
        <v>66.58</v>
      </c>
      <c r="F7261">
        <v>7470800</v>
      </c>
      <c r="G7261">
        <v>62.49</v>
      </c>
      <c r="H7261" t="s">
        <v>12</v>
      </c>
      <c r="I7261" s="22">
        <f t="shared" si="227"/>
        <v>-3.8332581676615435E-3</v>
      </c>
      <c r="J7261" s="22" t="str">
        <f t="shared" si="228"/>
        <v>lost money</v>
      </c>
    </row>
    <row r="7262" spans="1:10">
      <c r="A7262" s="1">
        <v>40976</v>
      </c>
      <c r="B7262">
        <v>66.95</v>
      </c>
      <c r="C7262">
        <v>67.06</v>
      </c>
      <c r="D7262">
        <v>66.77</v>
      </c>
      <c r="E7262">
        <v>66.900000000000006</v>
      </c>
      <c r="F7262">
        <v>5811500</v>
      </c>
      <c r="G7262">
        <v>62.79</v>
      </c>
      <c r="H7262" t="s">
        <v>12</v>
      </c>
      <c r="I7262" s="22">
        <f t="shared" si="227"/>
        <v>4.78928118502772E-3</v>
      </c>
      <c r="J7262" s="22" t="str">
        <f t="shared" si="228"/>
        <v>lost money</v>
      </c>
    </row>
    <row r="7263" spans="1:10">
      <c r="A7263" s="1">
        <v>40977</v>
      </c>
      <c r="B7263">
        <v>67.06</v>
      </c>
      <c r="C7263">
        <v>67.06</v>
      </c>
      <c r="D7263">
        <v>66.599999999999994</v>
      </c>
      <c r="E7263">
        <v>66.930000000000007</v>
      </c>
      <c r="F7263">
        <v>5710200</v>
      </c>
      <c r="G7263">
        <v>62.82</v>
      </c>
      <c r="H7263" t="s">
        <v>12</v>
      </c>
      <c r="I7263" s="22">
        <f t="shared" si="227"/>
        <v>4.7766898448252685E-4</v>
      </c>
      <c r="J7263" s="22" t="str">
        <f t="shared" si="228"/>
        <v>lost money</v>
      </c>
    </row>
    <row r="7264" spans="1:10">
      <c r="A7264" s="1">
        <v>40980</v>
      </c>
      <c r="B7264">
        <v>66.77</v>
      </c>
      <c r="C7264">
        <v>67.78</v>
      </c>
      <c r="D7264">
        <v>66.73</v>
      </c>
      <c r="E7264">
        <v>67.709999999999994</v>
      </c>
      <c r="F7264">
        <v>8825500</v>
      </c>
      <c r="G7264">
        <v>63.55</v>
      </c>
      <c r="H7264" t="s">
        <v>12</v>
      </c>
      <c r="I7264" s="22">
        <f t="shared" si="227"/>
        <v>1.1553503524962533E-2</v>
      </c>
      <c r="J7264" s="22" t="str">
        <f t="shared" si="228"/>
        <v/>
      </c>
    </row>
    <row r="7265" spans="1:10">
      <c r="A7265" s="1">
        <v>40981</v>
      </c>
      <c r="B7265">
        <v>67.849999999999994</v>
      </c>
      <c r="C7265">
        <v>67.900000000000006</v>
      </c>
      <c r="D7265">
        <v>67.569999999999993</v>
      </c>
      <c r="E7265">
        <v>67.900000000000006</v>
      </c>
      <c r="F7265">
        <v>9056700</v>
      </c>
      <c r="G7265">
        <v>63.73</v>
      </c>
      <c r="H7265" t="s">
        <v>12</v>
      </c>
      <c r="I7265" s="22">
        <f t="shared" si="227"/>
        <v>2.8284116907397864E-3</v>
      </c>
      <c r="J7265" s="22" t="str">
        <f t="shared" si="228"/>
        <v/>
      </c>
    </row>
    <row r="7266" spans="1:10">
      <c r="A7266" s="1">
        <v>40982</v>
      </c>
      <c r="B7266">
        <v>67.73</v>
      </c>
      <c r="C7266">
        <v>67.95</v>
      </c>
      <c r="D7266">
        <v>67.69</v>
      </c>
      <c r="E7266">
        <v>67.849999999999994</v>
      </c>
      <c r="F7266">
        <v>8056200</v>
      </c>
      <c r="G7266">
        <v>63.68</v>
      </c>
      <c r="H7266" t="s">
        <v>12</v>
      </c>
      <c r="I7266" s="22">
        <f t="shared" si="227"/>
        <v>-7.8486779007510437E-4</v>
      </c>
      <c r="J7266" s="22" t="str">
        <f t="shared" si="228"/>
        <v/>
      </c>
    </row>
    <row r="7267" spans="1:10">
      <c r="A7267" s="1">
        <v>40983</v>
      </c>
      <c r="B7267">
        <v>67.69</v>
      </c>
      <c r="C7267">
        <v>67.790000000000006</v>
      </c>
      <c r="D7267">
        <v>67.5</v>
      </c>
      <c r="E7267">
        <v>67.680000000000007</v>
      </c>
      <c r="F7267">
        <v>8611500</v>
      </c>
      <c r="G7267">
        <v>63.52</v>
      </c>
      <c r="H7267" t="s">
        <v>12</v>
      </c>
      <c r="I7267" s="22">
        <f t="shared" si="227"/>
        <v>-2.5157245972472469E-3</v>
      </c>
      <c r="J7267" s="22" t="str">
        <f t="shared" si="228"/>
        <v>lost money</v>
      </c>
    </row>
    <row r="7268" spans="1:10">
      <c r="A7268" s="1">
        <v>40984</v>
      </c>
      <c r="B7268">
        <v>67.83</v>
      </c>
      <c r="C7268">
        <v>67.849999999999994</v>
      </c>
      <c r="D7268">
        <v>67.13</v>
      </c>
      <c r="E7268">
        <v>67.25</v>
      </c>
      <c r="F7268">
        <v>15713500</v>
      </c>
      <c r="G7268">
        <v>63.12</v>
      </c>
      <c r="H7268" t="s">
        <v>12</v>
      </c>
      <c r="I7268" s="22">
        <f t="shared" si="227"/>
        <v>-6.3171404012615671E-3</v>
      </c>
      <c r="J7268" s="22" t="str">
        <f t="shared" si="228"/>
        <v>lost money</v>
      </c>
    </row>
    <row r="7269" spans="1:10">
      <c r="A7269" s="1">
        <v>40987</v>
      </c>
      <c r="B7269">
        <v>67.03</v>
      </c>
      <c r="C7269">
        <v>67.48</v>
      </c>
      <c r="D7269">
        <v>66.959999999999994</v>
      </c>
      <c r="E7269">
        <v>67.209999999999994</v>
      </c>
      <c r="F7269">
        <v>7038900</v>
      </c>
      <c r="G7269">
        <v>63.08</v>
      </c>
      <c r="H7269" t="s">
        <v>12</v>
      </c>
      <c r="I7269" s="22">
        <f t="shared" si="227"/>
        <v>-6.3391444278119232E-4</v>
      </c>
      <c r="J7269" s="22" t="str">
        <f t="shared" si="228"/>
        <v/>
      </c>
    </row>
    <row r="7270" spans="1:10">
      <c r="A7270" s="1">
        <v>40988</v>
      </c>
      <c r="B7270">
        <v>66.959999999999994</v>
      </c>
      <c r="C7270">
        <v>67.45</v>
      </c>
      <c r="D7270">
        <v>66.900000000000006</v>
      </c>
      <c r="E7270">
        <v>67.209999999999994</v>
      </c>
      <c r="F7270">
        <v>6139000</v>
      </c>
      <c r="G7270">
        <v>63.08</v>
      </c>
      <c r="H7270" t="s">
        <v>12</v>
      </c>
      <c r="I7270" s="22">
        <f t="shared" si="227"/>
        <v>0</v>
      </c>
      <c r="J7270" s="22" t="str">
        <f t="shared" si="228"/>
        <v/>
      </c>
    </row>
    <row r="7271" spans="1:10">
      <c r="A7271" s="1">
        <v>40989</v>
      </c>
      <c r="B7271">
        <v>67.209999999999994</v>
      </c>
      <c r="C7271">
        <v>67.36</v>
      </c>
      <c r="D7271">
        <v>66.86</v>
      </c>
      <c r="E7271">
        <v>67.2</v>
      </c>
      <c r="F7271">
        <v>6120400</v>
      </c>
      <c r="G7271">
        <v>63.07</v>
      </c>
      <c r="H7271" t="s">
        <v>12</v>
      </c>
      <c r="I7271" s="22">
        <f t="shared" si="227"/>
        <v>-1.5854141927776726E-4</v>
      </c>
      <c r="J7271" s="22" t="str">
        <f t="shared" si="228"/>
        <v>lost money</v>
      </c>
    </row>
    <row r="7272" spans="1:10">
      <c r="A7272" s="1">
        <v>40990</v>
      </c>
      <c r="B7272">
        <v>67</v>
      </c>
      <c r="C7272">
        <v>67.760000000000005</v>
      </c>
      <c r="D7272">
        <v>66.95</v>
      </c>
      <c r="E7272">
        <v>67.52</v>
      </c>
      <c r="F7272">
        <v>7321000</v>
      </c>
      <c r="G7272">
        <v>63.37</v>
      </c>
      <c r="H7272" t="s">
        <v>12</v>
      </c>
      <c r="I7272" s="22">
        <f t="shared" si="227"/>
        <v>4.7453426598657415E-3</v>
      </c>
      <c r="J7272" s="22" t="str">
        <f t="shared" si="228"/>
        <v/>
      </c>
    </row>
    <row r="7273" spans="1:10">
      <c r="A7273" s="1">
        <v>40991</v>
      </c>
      <c r="B7273">
        <v>67.510000000000005</v>
      </c>
      <c r="C7273">
        <v>67.540000000000006</v>
      </c>
      <c r="D7273">
        <v>67.27</v>
      </c>
      <c r="E7273">
        <v>67.430000000000007</v>
      </c>
      <c r="F7273">
        <v>6006400</v>
      </c>
      <c r="G7273">
        <v>63.29</v>
      </c>
      <c r="H7273" t="s">
        <v>12</v>
      </c>
      <c r="I7273" s="22">
        <f t="shared" si="227"/>
        <v>-1.263224548211622E-3</v>
      </c>
      <c r="J7273" s="22" t="str">
        <f t="shared" si="228"/>
        <v>lost money</v>
      </c>
    </row>
    <row r="7274" spans="1:10">
      <c r="A7274" s="1">
        <v>40994</v>
      </c>
      <c r="B7274">
        <v>67.540000000000006</v>
      </c>
      <c r="C7274">
        <v>67.83</v>
      </c>
      <c r="D7274">
        <v>67.25</v>
      </c>
      <c r="E7274">
        <v>67.459999999999994</v>
      </c>
      <c r="F7274">
        <v>7818800</v>
      </c>
      <c r="G7274">
        <v>63.31</v>
      </c>
      <c r="H7274" t="s">
        <v>12</v>
      </c>
      <c r="I7274" s="22">
        <f t="shared" si="227"/>
        <v>3.1595576882120091E-4</v>
      </c>
      <c r="J7274" s="22" t="str">
        <f t="shared" si="228"/>
        <v>lost money</v>
      </c>
    </row>
    <row r="7275" spans="1:10">
      <c r="A7275" s="1">
        <v>40995</v>
      </c>
      <c r="B7275">
        <v>67.510000000000005</v>
      </c>
      <c r="C7275">
        <v>67.73</v>
      </c>
      <c r="D7275">
        <v>66.959999999999994</v>
      </c>
      <c r="E7275">
        <v>67.150000000000006</v>
      </c>
      <c r="F7275">
        <v>7936900</v>
      </c>
      <c r="G7275">
        <v>63.02</v>
      </c>
      <c r="H7275" t="s">
        <v>12</v>
      </c>
      <c r="I7275" s="22">
        <f t="shared" si="227"/>
        <v>-4.5911582269065549E-3</v>
      </c>
      <c r="J7275" s="22" t="str">
        <f t="shared" si="228"/>
        <v>lost money</v>
      </c>
    </row>
    <row r="7276" spans="1:10">
      <c r="A7276" s="1">
        <v>40996</v>
      </c>
      <c r="B7276">
        <v>67.12</v>
      </c>
      <c r="C7276">
        <v>67.31</v>
      </c>
      <c r="D7276">
        <v>66.95</v>
      </c>
      <c r="E7276">
        <v>67.19</v>
      </c>
      <c r="F7276">
        <v>7534600</v>
      </c>
      <c r="G7276">
        <v>63.06</v>
      </c>
      <c r="H7276" t="s">
        <v>12</v>
      </c>
      <c r="I7276" s="22">
        <f t="shared" si="227"/>
        <v>6.3451778778616185E-4</v>
      </c>
      <c r="J7276" s="22" t="str">
        <f t="shared" si="228"/>
        <v/>
      </c>
    </row>
    <row r="7277" spans="1:10">
      <c r="A7277" s="1">
        <v>40997</v>
      </c>
      <c r="B7277">
        <v>66.98</v>
      </c>
      <c r="C7277">
        <v>67.150000000000006</v>
      </c>
      <c r="D7277">
        <v>66.760000000000005</v>
      </c>
      <c r="E7277">
        <v>67.010000000000005</v>
      </c>
      <c r="F7277">
        <v>6917400</v>
      </c>
      <c r="G7277">
        <v>62.89</v>
      </c>
      <c r="H7277" t="s">
        <v>12</v>
      </c>
      <c r="I7277" s="22">
        <f t="shared" si="227"/>
        <v>-2.6994855615027425E-3</v>
      </c>
      <c r="J7277" s="22" t="str">
        <f t="shared" si="228"/>
        <v/>
      </c>
    </row>
    <row r="7278" spans="1:10">
      <c r="A7278" s="1">
        <v>40998</v>
      </c>
      <c r="B7278">
        <v>67.150000000000006</v>
      </c>
      <c r="C7278">
        <v>67.48</v>
      </c>
      <c r="D7278">
        <v>67.010000000000005</v>
      </c>
      <c r="E7278">
        <v>67.209999999999994</v>
      </c>
      <c r="F7278">
        <v>8670300</v>
      </c>
      <c r="G7278">
        <v>63.08</v>
      </c>
      <c r="H7278" t="s">
        <v>12</v>
      </c>
      <c r="I7278" s="22">
        <f t="shared" si="227"/>
        <v>3.0165935394255057E-3</v>
      </c>
      <c r="J7278" s="22" t="str">
        <f t="shared" si="228"/>
        <v/>
      </c>
    </row>
    <row r="7279" spans="1:10">
      <c r="A7279" s="1">
        <v>41001</v>
      </c>
      <c r="B7279">
        <v>67.430000000000007</v>
      </c>
      <c r="C7279">
        <v>67.92</v>
      </c>
      <c r="D7279">
        <v>67.400000000000006</v>
      </c>
      <c r="E7279">
        <v>67.56</v>
      </c>
      <c r="F7279">
        <v>8595200</v>
      </c>
      <c r="G7279">
        <v>63.41</v>
      </c>
      <c r="H7279" t="s">
        <v>12</v>
      </c>
      <c r="I7279" s="22">
        <f t="shared" si="227"/>
        <v>5.2178156171026604E-3</v>
      </c>
      <c r="J7279" s="22" t="str">
        <f t="shared" si="228"/>
        <v/>
      </c>
    </row>
    <row r="7280" spans="1:10">
      <c r="A7280" s="1">
        <v>41002</v>
      </c>
      <c r="B7280">
        <v>67.430000000000007</v>
      </c>
      <c r="C7280">
        <v>67.599999999999994</v>
      </c>
      <c r="D7280">
        <v>66.94</v>
      </c>
      <c r="E7280">
        <v>67.09</v>
      </c>
      <c r="F7280">
        <v>6954100</v>
      </c>
      <c r="G7280">
        <v>62.97</v>
      </c>
      <c r="H7280" t="s">
        <v>12</v>
      </c>
      <c r="I7280" s="22">
        <f t="shared" si="227"/>
        <v>-6.9631552112888739E-3</v>
      </c>
      <c r="J7280" s="22" t="str">
        <f t="shared" si="228"/>
        <v>lost money</v>
      </c>
    </row>
    <row r="7281" spans="1:10">
      <c r="A7281" s="1">
        <v>41003</v>
      </c>
      <c r="B7281">
        <v>66.709999999999994</v>
      </c>
      <c r="C7281">
        <v>67.56</v>
      </c>
      <c r="D7281">
        <v>66.709999999999994</v>
      </c>
      <c r="E7281">
        <v>67.260000000000005</v>
      </c>
      <c r="F7281">
        <v>8372200</v>
      </c>
      <c r="G7281">
        <v>63.13</v>
      </c>
      <c r="H7281" t="s">
        <v>12</v>
      </c>
      <c r="I7281" s="22">
        <f t="shared" si="227"/>
        <v>2.53766987888302E-3</v>
      </c>
      <c r="J7281" s="22" t="str">
        <f t="shared" si="228"/>
        <v/>
      </c>
    </row>
    <row r="7282" spans="1:10">
      <c r="A7282" s="1">
        <v>41004</v>
      </c>
      <c r="B7282">
        <v>66.92</v>
      </c>
      <c r="C7282">
        <v>67.48</v>
      </c>
      <c r="D7282">
        <v>66.83</v>
      </c>
      <c r="E7282">
        <v>67.31</v>
      </c>
      <c r="F7282">
        <v>7696300</v>
      </c>
      <c r="G7282">
        <v>63.17</v>
      </c>
      <c r="H7282" t="s">
        <v>12</v>
      </c>
      <c r="I7282" s="22">
        <f t="shared" si="227"/>
        <v>6.3341253107464138E-4</v>
      </c>
      <c r="J7282" s="22" t="str">
        <f t="shared" si="228"/>
        <v/>
      </c>
    </row>
    <row r="7283" spans="1:10">
      <c r="A7283" s="1">
        <v>41008</v>
      </c>
      <c r="B7283">
        <v>66.72</v>
      </c>
      <c r="C7283">
        <v>67.13</v>
      </c>
      <c r="D7283">
        <v>66.709999999999994</v>
      </c>
      <c r="E7283">
        <v>66.81</v>
      </c>
      <c r="F7283">
        <v>6890400</v>
      </c>
      <c r="G7283">
        <v>62.7</v>
      </c>
      <c r="H7283" t="s">
        <v>12</v>
      </c>
      <c r="I7283" s="22">
        <f t="shared" si="227"/>
        <v>-7.4680572717339922E-3</v>
      </c>
      <c r="J7283" s="22" t="str">
        <f t="shared" si="228"/>
        <v/>
      </c>
    </row>
    <row r="7284" spans="1:10">
      <c r="A7284" s="1">
        <v>41009</v>
      </c>
      <c r="B7284">
        <v>66.739999999999995</v>
      </c>
      <c r="C7284">
        <v>66.900000000000006</v>
      </c>
      <c r="D7284">
        <v>66.290000000000006</v>
      </c>
      <c r="E7284">
        <v>66.349999999999994</v>
      </c>
      <c r="F7284">
        <v>9436700</v>
      </c>
      <c r="G7284">
        <v>62.27</v>
      </c>
      <c r="H7284" t="s">
        <v>12</v>
      </c>
      <c r="I7284" s="22">
        <f t="shared" si="227"/>
        <v>-6.8816787545143586E-3</v>
      </c>
      <c r="J7284" s="22" t="str">
        <f t="shared" si="228"/>
        <v>lost money</v>
      </c>
    </row>
    <row r="7285" spans="1:10">
      <c r="A7285" s="1">
        <v>41010</v>
      </c>
      <c r="B7285">
        <v>66.739999999999995</v>
      </c>
      <c r="C7285">
        <v>66.92</v>
      </c>
      <c r="D7285">
        <v>66.319999999999993</v>
      </c>
      <c r="E7285">
        <v>66.44</v>
      </c>
      <c r="F7285">
        <v>7593800</v>
      </c>
      <c r="G7285">
        <v>62.36</v>
      </c>
      <c r="H7285" t="s">
        <v>12</v>
      </c>
      <c r="I7285" s="22">
        <f t="shared" si="227"/>
        <v>1.4442753052151727E-3</v>
      </c>
      <c r="J7285" s="22" t="str">
        <f t="shared" si="228"/>
        <v>lost money</v>
      </c>
    </row>
    <row r="7286" spans="1:10">
      <c r="A7286" s="1">
        <v>41011</v>
      </c>
      <c r="B7286">
        <v>66.17</v>
      </c>
      <c r="C7286">
        <v>66.37</v>
      </c>
      <c r="D7286">
        <v>65.95</v>
      </c>
      <c r="E7286">
        <v>66.09</v>
      </c>
      <c r="F7286">
        <v>27847200</v>
      </c>
      <c r="G7286">
        <v>62.03</v>
      </c>
      <c r="H7286" t="s">
        <v>12</v>
      </c>
      <c r="I7286" s="22">
        <f t="shared" si="227"/>
        <v>-5.3059052045495922E-3</v>
      </c>
      <c r="J7286" s="22" t="str">
        <f t="shared" si="228"/>
        <v>lost money</v>
      </c>
    </row>
    <row r="7287" spans="1:10">
      <c r="A7287" s="1">
        <v>41012</v>
      </c>
      <c r="B7287">
        <v>66.040000000000006</v>
      </c>
      <c r="C7287">
        <v>66.5</v>
      </c>
      <c r="D7287">
        <v>65.8</v>
      </c>
      <c r="E7287">
        <v>65.81</v>
      </c>
      <c r="F7287">
        <v>29792000</v>
      </c>
      <c r="G7287">
        <v>61.77</v>
      </c>
      <c r="H7287" t="s">
        <v>12</v>
      </c>
      <c r="I7287" s="22">
        <f t="shared" si="227"/>
        <v>-4.2003292772184063E-3</v>
      </c>
      <c r="J7287" s="22" t="str">
        <f t="shared" si="228"/>
        <v>lost money</v>
      </c>
    </row>
    <row r="7288" spans="1:10">
      <c r="A7288" s="1">
        <v>41015</v>
      </c>
      <c r="B7288">
        <v>66.010000000000005</v>
      </c>
      <c r="C7288">
        <v>67.099999999999994</v>
      </c>
      <c r="D7288">
        <v>65.88</v>
      </c>
      <c r="E7288">
        <v>66.78</v>
      </c>
      <c r="F7288">
        <v>32810100</v>
      </c>
      <c r="G7288">
        <v>62.68</v>
      </c>
      <c r="H7288" t="s">
        <v>12</v>
      </c>
      <c r="I7288" s="22">
        <f t="shared" si="227"/>
        <v>1.4624607780012259E-2</v>
      </c>
      <c r="J7288" s="22" t="str">
        <f t="shared" si="228"/>
        <v/>
      </c>
    </row>
    <row r="7289" spans="1:10">
      <c r="A7289" s="1">
        <v>41016</v>
      </c>
      <c r="B7289">
        <v>66.91</v>
      </c>
      <c r="C7289">
        <v>67.2</v>
      </c>
      <c r="D7289">
        <v>66.83</v>
      </c>
      <c r="E7289">
        <v>67.02</v>
      </c>
      <c r="F7289">
        <v>8894700</v>
      </c>
      <c r="G7289">
        <v>62.9</v>
      </c>
      <c r="H7289" t="s">
        <v>12</v>
      </c>
      <c r="I7289" s="22">
        <f t="shared" si="227"/>
        <v>3.5037462185746756E-3</v>
      </c>
      <c r="J7289" s="22" t="str">
        <f t="shared" si="228"/>
        <v/>
      </c>
    </row>
    <row r="7290" spans="1:10">
      <c r="A7290" s="1">
        <v>41017</v>
      </c>
      <c r="B7290">
        <v>66.930000000000007</v>
      </c>
      <c r="C7290">
        <v>67.2</v>
      </c>
      <c r="D7290">
        <v>66.73</v>
      </c>
      <c r="E7290">
        <v>66.75</v>
      </c>
      <c r="F7290">
        <v>6081800</v>
      </c>
      <c r="G7290">
        <v>62.65</v>
      </c>
      <c r="H7290" t="s">
        <v>12</v>
      </c>
      <c r="I7290" s="22">
        <f t="shared" si="227"/>
        <v>-3.9824823643174858E-3</v>
      </c>
      <c r="J7290" s="22" t="str">
        <f t="shared" si="228"/>
        <v>lost money</v>
      </c>
    </row>
    <row r="7291" spans="1:10">
      <c r="A7291" s="1">
        <v>41018</v>
      </c>
      <c r="B7291">
        <v>66.88</v>
      </c>
      <c r="C7291">
        <v>66.91</v>
      </c>
      <c r="D7291">
        <v>66.23</v>
      </c>
      <c r="E7291">
        <v>66.569999999999993</v>
      </c>
      <c r="F7291">
        <v>7721200</v>
      </c>
      <c r="G7291">
        <v>62.48</v>
      </c>
      <c r="H7291" t="s">
        <v>12</v>
      </c>
      <c r="I7291" s="22">
        <f t="shared" si="227"/>
        <v>-2.7171758106468509E-3</v>
      </c>
      <c r="J7291" s="22" t="str">
        <f t="shared" si="228"/>
        <v>lost money</v>
      </c>
    </row>
    <row r="7292" spans="1:10">
      <c r="A7292" s="1">
        <v>41019</v>
      </c>
      <c r="B7292">
        <v>66.709999999999994</v>
      </c>
      <c r="C7292">
        <v>67.61</v>
      </c>
      <c r="D7292">
        <v>66.59</v>
      </c>
      <c r="E7292">
        <v>67.510000000000005</v>
      </c>
      <c r="F7292">
        <v>11092600</v>
      </c>
      <c r="G7292">
        <v>63.36</v>
      </c>
      <c r="H7292" t="s">
        <v>12</v>
      </c>
      <c r="I7292" s="22">
        <f t="shared" si="227"/>
        <v>1.398624197473987E-2</v>
      </c>
      <c r="J7292" s="22" t="str">
        <f t="shared" si="228"/>
        <v/>
      </c>
    </row>
    <row r="7293" spans="1:10">
      <c r="A7293" s="1">
        <v>41022</v>
      </c>
      <c r="B7293">
        <v>66.91</v>
      </c>
      <c r="C7293">
        <v>67</v>
      </c>
      <c r="D7293">
        <v>66.38</v>
      </c>
      <c r="E7293">
        <v>66.650000000000006</v>
      </c>
      <c r="F7293">
        <v>8420500</v>
      </c>
      <c r="G7293">
        <v>62.55</v>
      </c>
      <c r="H7293" t="s">
        <v>12</v>
      </c>
      <c r="I7293" s="22">
        <f t="shared" si="227"/>
        <v>-1.2866510593250299E-2</v>
      </c>
      <c r="J7293" s="22" t="str">
        <f t="shared" si="228"/>
        <v>lost money</v>
      </c>
    </row>
    <row r="7294" spans="1:10">
      <c r="A7294" s="1">
        <v>41023</v>
      </c>
      <c r="B7294">
        <v>66.83</v>
      </c>
      <c r="C7294">
        <v>67</v>
      </c>
      <c r="D7294">
        <v>66.56</v>
      </c>
      <c r="E7294">
        <v>67</v>
      </c>
      <c r="F7294">
        <v>6962300</v>
      </c>
      <c r="G7294">
        <v>62.88</v>
      </c>
      <c r="H7294" t="s">
        <v>12</v>
      </c>
      <c r="I7294" s="22">
        <f t="shared" si="227"/>
        <v>5.2619112080309702E-3</v>
      </c>
      <c r="J7294" s="22" t="str">
        <f t="shared" si="228"/>
        <v/>
      </c>
    </row>
    <row r="7295" spans="1:10">
      <c r="A7295" s="1">
        <v>41024</v>
      </c>
      <c r="B7295">
        <v>66.67</v>
      </c>
      <c r="C7295">
        <v>66.989999999999995</v>
      </c>
      <c r="D7295">
        <v>66.5</v>
      </c>
      <c r="E7295">
        <v>66.89</v>
      </c>
      <c r="F7295">
        <v>6994200</v>
      </c>
      <c r="G7295">
        <v>63.31</v>
      </c>
      <c r="H7295" t="s">
        <v>12</v>
      </c>
      <c r="I7295" s="22">
        <f t="shared" si="227"/>
        <v>6.815146435084159E-3</v>
      </c>
      <c r="J7295" s="22" t="str">
        <f t="shared" si="228"/>
        <v/>
      </c>
    </row>
    <row r="7296" spans="1:10">
      <c r="A7296" s="1">
        <v>41025</v>
      </c>
      <c r="B7296">
        <v>66.64</v>
      </c>
      <c r="C7296">
        <v>67.14</v>
      </c>
      <c r="D7296">
        <v>66.63</v>
      </c>
      <c r="E7296">
        <v>66.87</v>
      </c>
      <c r="F7296">
        <v>8415000</v>
      </c>
      <c r="G7296">
        <v>63.29</v>
      </c>
      <c r="H7296" t="s">
        <v>12</v>
      </c>
      <c r="I7296" s="22">
        <f t="shared" si="227"/>
        <v>-3.1595576882116643E-4</v>
      </c>
      <c r="J7296" s="22" t="str">
        <f t="shared" si="228"/>
        <v/>
      </c>
    </row>
    <row r="7297" spans="1:10">
      <c r="A7297" s="1">
        <v>41026</v>
      </c>
      <c r="B7297">
        <v>65.099999999999994</v>
      </c>
      <c r="C7297">
        <v>65.260000000000005</v>
      </c>
      <c r="D7297">
        <v>63.95</v>
      </c>
      <c r="E7297">
        <v>64.44</v>
      </c>
      <c r="F7297">
        <v>30719500</v>
      </c>
      <c r="G7297">
        <v>60.99</v>
      </c>
      <c r="H7297" t="s">
        <v>12</v>
      </c>
      <c r="I7297" s="22">
        <f t="shared" si="227"/>
        <v>-3.7017422478849003E-2</v>
      </c>
      <c r="J7297" s="22" t="str">
        <f t="shared" si="228"/>
        <v>lost money</v>
      </c>
    </row>
    <row r="7298" spans="1:10">
      <c r="A7298" s="1">
        <v>41029</v>
      </c>
      <c r="B7298">
        <v>63.58</v>
      </c>
      <c r="C7298">
        <v>64.16</v>
      </c>
      <c r="D7298">
        <v>63.29</v>
      </c>
      <c r="E7298">
        <v>63.64</v>
      </c>
      <c r="F7298">
        <v>19195000</v>
      </c>
      <c r="G7298">
        <v>60.23</v>
      </c>
      <c r="H7298" t="s">
        <v>12</v>
      </c>
      <c r="I7298" s="22">
        <f t="shared" si="227"/>
        <v>-1.2539349252735364E-2</v>
      </c>
      <c r="J7298" s="22" t="str">
        <f t="shared" si="228"/>
        <v/>
      </c>
    </row>
    <row r="7299" spans="1:10">
      <c r="A7299" s="1">
        <v>41030</v>
      </c>
      <c r="B7299">
        <v>63.34</v>
      </c>
      <c r="C7299">
        <v>63.74</v>
      </c>
      <c r="D7299">
        <v>63.29</v>
      </c>
      <c r="E7299">
        <v>63.57</v>
      </c>
      <c r="F7299">
        <v>11899600</v>
      </c>
      <c r="G7299">
        <v>60.17</v>
      </c>
      <c r="H7299" t="s">
        <v>12</v>
      </c>
      <c r="I7299" s="22">
        <f t="shared" ref="I7299:I7362" si="229">IF(A7299=$A$2,"",LN(G7299/G7298))</f>
        <v>-9.9667782336927148E-4</v>
      </c>
      <c r="J7299" s="22" t="str">
        <f t="shared" ref="J7299:J7362" si="230">IF(B7299&gt;E7299,"lost money","")</f>
        <v/>
      </c>
    </row>
    <row r="7300" spans="1:10">
      <c r="A7300" s="1">
        <v>41031</v>
      </c>
      <c r="B7300">
        <v>63.66</v>
      </c>
      <c r="C7300">
        <v>64.11</v>
      </c>
      <c r="D7300">
        <v>63.4</v>
      </c>
      <c r="E7300">
        <v>63.98</v>
      </c>
      <c r="F7300">
        <v>9689200</v>
      </c>
      <c r="G7300">
        <v>60.56</v>
      </c>
      <c r="H7300" t="s">
        <v>12</v>
      </c>
      <c r="I7300" s="22">
        <f t="shared" si="229"/>
        <v>6.4607198969328875E-3</v>
      </c>
      <c r="J7300" s="22" t="str">
        <f t="shared" si="230"/>
        <v/>
      </c>
    </row>
    <row r="7301" spans="1:10">
      <c r="A7301" s="1">
        <v>41032</v>
      </c>
      <c r="B7301">
        <v>64.290000000000006</v>
      </c>
      <c r="C7301">
        <v>64.760000000000005</v>
      </c>
      <c r="D7301">
        <v>64.16</v>
      </c>
      <c r="E7301">
        <v>64.510000000000005</v>
      </c>
      <c r="F7301">
        <v>12079900</v>
      </c>
      <c r="G7301">
        <v>61.06</v>
      </c>
      <c r="H7301" t="s">
        <v>12</v>
      </c>
      <c r="I7301" s="22">
        <f t="shared" si="229"/>
        <v>8.2223781775385436E-3</v>
      </c>
      <c r="J7301" s="22" t="str">
        <f t="shared" si="230"/>
        <v/>
      </c>
    </row>
    <row r="7302" spans="1:10">
      <c r="A7302" s="1">
        <v>41033</v>
      </c>
      <c r="B7302">
        <v>64.53</v>
      </c>
      <c r="C7302">
        <v>64.75</v>
      </c>
      <c r="D7302">
        <v>64.239999999999995</v>
      </c>
      <c r="E7302">
        <v>64.28</v>
      </c>
      <c r="F7302">
        <v>12006500</v>
      </c>
      <c r="G7302">
        <v>60.84</v>
      </c>
      <c r="H7302" t="s">
        <v>12</v>
      </c>
      <c r="I7302" s="22">
        <f t="shared" si="229"/>
        <v>-3.6095199156397041E-3</v>
      </c>
      <c r="J7302" s="22" t="str">
        <f t="shared" si="230"/>
        <v>lost money</v>
      </c>
    </row>
    <row r="7303" spans="1:10">
      <c r="A7303" s="1">
        <v>41036</v>
      </c>
      <c r="B7303">
        <v>63.46</v>
      </c>
      <c r="C7303">
        <v>64.5</v>
      </c>
      <c r="D7303">
        <v>63.36</v>
      </c>
      <c r="E7303">
        <v>64.25</v>
      </c>
      <c r="F7303">
        <v>11124300</v>
      </c>
      <c r="G7303">
        <v>60.81</v>
      </c>
      <c r="H7303" t="s">
        <v>12</v>
      </c>
      <c r="I7303" s="22">
        <f t="shared" si="229"/>
        <v>-4.9321825907380442E-4</v>
      </c>
      <c r="J7303" s="22" t="str">
        <f t="shared" si="230"/>
        <v/>
      </c>
    </row>
    <row r="7304" spans="1:10">
      <c r="A7304" s="1">
        <v>41037</v>
      </c>
      <c r="B7304">
        <v>64.13</v>
      </c>
      <c r="C7304">
        <v>64.44</v>
      </c>
      <c r="D7304">
        <v>64.11</v>
      </c>
      <c r="E7304">
        <v>64.16</v>
      </c>
      <c r="F7304">
        <v>11481800</v>
      </c>
      <c r="G7304">
        <v>60.73</v>
      </c>
      <c r="H7304" t="s">
        <v>12</v>
      </c>
      <c r="I7304" s="22">
        <f t="shared" si="229"/>
        <v>-1.3164392225345062E-3</v>
      </c>
      <c r="J7304" s="22" t="str">
        <f t="shared" si="230"/>
        <v/>
      </c>
    </row>
    <row r="7305" spans="1:10">
      <c r="A7305" s="1">
        <v>41038</v>
      </c>
      <c r="B7305">
        <v>63.93</v>
      </c>
      <c r="C7305">
        <v>64.290000000000006</v>
      </c>
      <c r="D7305">
        <v>63.57</v>
      </c>
      <c r="E7305">
        <v>63.67</v>
      </c>
      <c r="F7305">
        <v>13842600</v>
      </c>
      <c r="G7305">
        <v>60.26</v>
      </c>
      <c r="H7305" t="s">
        <v>12</v>
      </c>
      <c r="I7305" s="22">
        <f t="shared" si="229"/>
        <v>-7.7692762073288324E-3</v>
      </c>
      <c r="J7305" s="22" t="str">
        <f t="shared" si="230"/>
        <v>lost money</v>
      </c>
    </row>
    <row r="7306" spans="1:10">
      <c r="A7306" s="1">
        <v>41039</v>
      </c>
      <c r="B7306">
        <v>64</v>
      </c>
      <c r="C7306">
        <v>64.34</v>
      </c>
      <c r="D7306">
        <v>63.83</v>
      </c>
      <c r="E7306">
        <v>64.14</v>
      </c>
      <c r="F7306">
        <v>8109500</v>
      </c>
      <c r="G7306">
        <v>60.71</v>
      </c>
      <c r="H7306" t="s">
        <v>12</v>
      </c>
      <c r="I7306" s="22">
        <f t="shared" si="229"/>
        <v>7.4398954401876183E-3</v>
      </c>
      <c r="J7306" s="22" t="str">
        <f t="shared" si="230"/>
        <v/>
      </c>
    </row>
    <row r="7307" spans="1:10">
      <c r="A7307" s="1">
        <v>41040</v>
      </c>
      <c r="B7307">
        <v>64.06</v>
      </c>
      <c r="C7307">
        <v>64.150000000000006</v>
      </c>
      <c r="D7307">
        <v>63.62</v>
      </c>
      <c r="E7307">
        <v>63.68</v>
      </c>
      <c r="F7307">
        <v>11318000</v>
      </c>
      <c r="G7307">
        <v>60.27</v>
      </c>
      <c r="H7307" t="s">
        <v>12</v>
      </c>
      <c r="I7307" s="22">
        <f t="shared" si="229"/>
        <v>-7.2739616473899366E-3</v>
      </c>
      <c r="J7307" s="22" t="str">
        <f t="shared" si="230"/>
        <v>lost money</v>
      </c>
    </row>
    <row r="7308" spans="1:10">
      <c r="A7308" s="1">
        <v>41043</v>
      </c>
      <c r="B7308">
        <v>63.5</v>
      </c>
      <c r="C7308">
        <v>63.76</v>
      </c>
      <c r="D7308">
        <v>63.3</v>
      </c>
      <c r="E7308">
        <v>63.58</v>
      </c>
      <c r="F7308">
        <v>9902700</v>
      </c>
      <c r="G7308">
        <v>60.18</v>
      </c>
      <c r="H7308" t="s">
        <v>12</v>
      </c>
      <c r="I7308" s="22">
        <f t="shared" si="229"/>
        <v>-1.4943962930536569E-3</v>
      </c>
      <c r="J7308" s="22" t="str">
        <f t="shared" si="230"/>
        <v/>
      </c>
    </row>
    <row r="7309" spans="1:10">
      <c r="A7309" s="1">
        <v>41044</v>
      </c>
      <c r="B7309">
        <v>63.72</v>
      </c>
      <c r="C7309">
        <v>64.22</v>
      </c>
      <c r="D7309">
        <v>63.5</v>
      </c>
      <c r="E7309">
        <v>63.72</v>
      </c>
      <c r="F7309">
        <v>12824700</v>
      </c>
      <c r="G7309">
        <v>60.31</v>
      </c>
      <c r="H7309" t="s">
        <v>12</v>
      </c>
      <c r="I7309" s="22">
        <f t="shared" si="229"/>
        <v>2.157856260996393E-3</v>
      </c>
      <c r="J7309" s="22" t="str">
        <f t="shared" si="230"/>
        <v/>
      </c>
    </row>
    <row r="7310" spans="1:10">
      <c r="A7310" s="1">
        <v>41045</v>
      </c>
      <c r="B7310">
        <v>64.34</v>
      </c>
      <c r="C7310">
        <v>64.81</v>
      </c>
      <c r="D7310">
        <v>64</v>
      </c>
      <c r="E7310">
        <v>64.290000000000006</v>
      </c>
      <c r="F7310">
        <v>12375000</v>
      </c>
      <c r="G7310">
        <v>60.85</v>
      </c>
      <c r="H7310" t="s">
        <v>12</v>
      </c>
      <c r="I7310" s="22">
        <f t="shared" si="229"/>
        <v>8.9138919706407294E-3</v>
      </c>
      <c r="J7310" s="22" t="str">
        <f t="shared" si="230"/>
        <v>lost money</v>
      </c>
    </row>
    <row r="7311" spans="1:10">
      <c r="A7311" s="1">
        <v>41046</v>
      </c>
      <c r="B7311">
        <v>64.12</v>
      </c>
      <c r="C7311">
        <v>64.400000000000006</v>
      </c>
      <c r="D7311">
        <v>63.91</v>
      </c>
      <c r="E7311">
        <v>63.96</v>
      </c>
      <c r="F7311">
        <v>10261800</v>
      </c>
      <c r="G7311">
        <v>60.54</v>
      </c>
      <c r="H7311" t="s">
        <v>12</v>
      </c>
      <c r="I7311" s="22">
        <f t="shared" si="229"/>
        <v>-5.1075158399636394E-3</v>
      </c>
      <c r="J7311" s="22" t="str">
        <f t="shared" si="230"/>
        <v>lost money</v>
      </c>
    </row>
    <row r="7312" spans="1:10">
      <c r="A7312" s="1">
        <v>41047</v>
      </c>
      <c r="B7312">
        <v>64.19</v>
      </c>
      <c r="C7312">
        <v>64.25</v>
      </c>
      <c r="D7312">
        <v>63.4</v>
      </c>
      <c r="E7312">
        <v>63.52</v>
      </c>
      <c r="F7312">
        <v>11583100</v>
      </c>
      <c r="G7312">
        <v>60.12</v>
      </c>
      <c r="H7312" t="s">
        <v>12</v>
      </c>
      <c r="I7312" s="22">
        <f t="shared" si="229"/>
        <v>-6.9617387087988836E-3</v>
      </c>
      <c r="J7312" s="22" t="str">
        <f t="shared" si="230"/>
        <v>lost money</v>
      </c>
    </row>
    <row r="7313" spans="1:10">
      <c r="A7313" s="1">
        <v>41050</v>
      </c>
      <c r="B7313">
        <v>63.66</v>
      </c>
      <c r="C7313">
        <v>63.8</v>
      </c>
      <c r="D7313">
        <v>62.95</v>
      </c>
      <c r="E7313">
        <v>63.39</v>
      </c>
      <c r="F7313">
        <v>9553100</v>
      </c>
      <c r="G7313">
        <v>60</v>
      </c>
      <c r="H7313" t="s">
        <v>12</v>
      </c>
      <c r="I7313" s="22">
        <f t="shared" si="229"/>
        <v>-1.9980026626729977E-3</v>
      </c>
      <c r="J7313" s="22" t="str">
        <f t="shared" si="230"/>
        <v>lost money</v>
      </c>
    </row>
    <row r="7314" spans="1:10">
      <c r="A7314" s="1">
        <v>41051</v>
      </c>
      <c r="B7314">
        <v>63.43</v>
      </c>
      <c r="C7314">
        <v>63.55</v>
      </c>
      <c r="D7314">
        <v>62.98</v>
      </c>
      <c r="E7314">
        <v>63.15</v>
      </c>
      <c r="F7314">
        <v>7535500</v>
      </c>
      <c r="G7314">
        <v>59.77</v>
      </c>
      <c r="H7314" t="s">
        <v>12</v>
      </c>
      <c r="I7314" s="22">
        <f t="shared" si="229"/>
        <v>-3.8406993859377825E-3</v>
      </c>
      <c r="J7314" s="22" t="str">
        <f t="shared" si="230"/>
        <v>lost money</v>
      </c>
    </row>
    <row r="7315" spans="1:10">
      <c r="A7315" s="1">
        <v>41052</v>
      </c>
      <c r="B7315">
        <v>63</v>
      </c>
      <c r="C7315">
        <v>63.05</v>
      </c>
      <c r="D7315">
        <v>62.04</v>
      </c>
      <c r="E7315">
        <v>62.39</v>
      </c>
      <c r="F7315">
        <v>13765400</v>
      </c>
      <c r="G7315">
        <v>59.05</v>
      </c>
      <c r="H7315" t="s">
        <v>12</v>
      </c>
      <c r="I7315" s="22">
        <f t="shared" si="229"/>
        <v>-1.2119320192791567E-2</v>
      </c>
      <c r="J7315" s="22" t="str">
        <f t="shared" si="230"/>
        <v>lost money</v>
      </c>
    </row>
    <row r="7316" spans="1:10">
      <c r="A7316" s="1">
        <v>41053</v>
      </c>
      <c r="B7316">
        <v>62.49</v>
      </c>
      <c r="C7316">
        <v>62.98</v>
      </c>
      <c r="D7316">
        <v>62.23</v>
      </c>
      <c r="E7316">
        <v>62.57</v>
      </c>
      <c r="F7316">
        <v>9178100</v>
      </c>
      <c r="G7316">
        <v>59.22</v>
      </c>
      <c r="H7316" t="s">
        <v>12</v>
      </c>
      <c r="I7316" s="22">
        <f t="shared" si="229"/>
        <v>2.8747800300738808E-3</v>
      </c>
      <c r="J7316" s="22" t="str">
        <f t="shared" si="230"/>
        <v/>
      </c>
    </row>
    <row r="7317" spans="1:10">
      <c r="A7317" s="1">
        <v>41054</v>
      </c>
      <c r="B7317">
        <v>62.58</v>
      </c>
      <c r="C7317">
        <v>63.2</v>
      </c>
      <c r="D7317">
        <v>62.4</v>
      </c>
      <c r="E7317">
        <v>62.49</v>
      </c>
      <c r="F7317">
        <v>7377700</v>
      </c>
      <c r="G7317">
        <v>59.15</v>
      </c>
      <c r="H7317" t="s">
        <v>12</v>
      </c>
      <c r="I7317" s="22">
        <f t="shared" si="229"/>
        <v>-1.1827322490494895E-3</v>
      </c>
      <c r="J7317" s="22" t="str">
        <f t="shared" si="230"/>
        <v>lost money</v>
      </c>
    </row>
    <row r="7318" spans="1:10">
      <c r="A7318" s="1">
        <v>41058</v>
      </c>
      <c r="B7318">
        <v>62.64</v>
      </c>
      <c r="C7318">
        <v>63.03</v>
      </c>
      <c r="D7318">
        <v>62.62</v>
      </c>
      <c r="E7318">
        <v>62.95</v>
      </c>
      <c r="F7318">
        <v>7401000</v>
      </c>
      <c r="G7318">
        <v>59.58</v>
      </c>
      <c r="H7318" t="s">
        <v>12</v>
      </c>
      <c r="I7318" s="22">
        <f t="shared" si="229"/>
        <v>7.2433568607403647E-3</v>
      </c>
      <c r="J7318" s="22" t="str">
        <f t="shared" si="230"/>
        <v/>
      </c>
    </row>
    <row r="7319" spans="1:10">
      <c r="A7319" s="1">
        <v>41059</v>
      </c>
      <c r="B7319">
        <v>62.64</v>
      </c>
      <c r="C7319">
        <v>62.89</v>
      </c>
      <c r="D7319">
        <v>62.24</v>
      </c>
      <c r="E7319">
        <v>62.32</v>
      </c>
      <c r="F7319">
        <v>7493400</v>
      </c>
      <c r="G7319">
        <v>58.99</v>
      </c>
      <c r="H7319" t="s">
        <v>12</v>
      </c>
      <c r="I7319" s="22">
        <f t="shared" si="229"/>
        <v>-9.9520092701522681E-3</v>
      </c>
      <c r="J7319" s="22" t="str">
        <f t="shared" si="230"/>
        <v>lost money</v>
      </c>
    </row>
    <row r="7320" spans="1:10">
      <c r="A7320" s="1">
        <v>41060</v>
      </c>
      <c r="B7320">
        <v>62.6</v>
      </c>
      <c r="C7320">
        <v>62.62</v>
      </c>
      <c r="D7320">
        <v>61.98</v>
      </c>
      <c r="E7320">
        <v>62.29</v>
      </c>
      <c r="F7320">
        <v>9268400</v>
      </c>
      <c r="G7320">
        <v>58.96</v>
      </c>
      <c r="H7320" t="s">
        <v>12</v>
      </c>
      <c r="I7320" s="22">
        <f t="shared" si="229"/>
        <v>-5.0869013390278872E-4</v>
      </c>
      <c r="J7320" s="22" t="str">
        <f t="shared" si="230"/>
        <v>lost money</v>
      </c>
    </row>
    <row r="7321" spans="1:10">
      <c r="A7321" s="1">
        <v>41061</v>
      </c>
      <c r="B7321">
        <v>61.76</v>
      </c>
      <c r="C7321">
        <v>61.94</v>
      </c>
      <c r="D7321">
        <v>61.2</v>
      </c>
      <c r="E7321">
        <v>61.55</v>
      </c>
      <c r="F7321">
        <v>12728000</v>
      </c>
      <c r="G7321">
        <v>58.26</v>
      </c>
      <c r="H7321" t="s">
        <v>12</v>
      </c>
      <c r="I7321" s="22">
        <f t="shared" si="229"/>
        <v>-1.1943496349792649E-2</v>
      </c>
      <c r="J7321" s="22" t="str">
        <f t="shared" si="230"/>
        <v>lost money</v>
      </c>
    </row>
    <row r="7322" spans="1:10">
      <c r="A7322" s="1">
        <v>41064</v>
      </c>
      <c r="B7322">
        <v>61.69</v>
      </c>
      <c r="C7322">
        <v>61.7</v>
      </c>
      <c r="D7322">
        <v>61.1</v>
      </c>
      <c r="E7322">
        <v>61.4</v>
      </c>
      <c r="F7322">
        <v>7768200</v>
      </c>
      <c r="G7322">
        <v>58.11</v>
      </c>
      <c r="H7322" t="s">
        <v>12</v>
      </c>
      <c r="I7322" s="22">
        <f t="shared" si="229"/>
        <v>-2.5779854442743019E-3</v>
      </c>
      <c r="J7322" s="22" t="str">
        <f t="shared" si="230"/>
        <v>lost money</v>
      </c>
    </row>
    <row r="7323" spans="1:10">
      <c r="A7323" s="1">
        <v>41065</v>
      </c>
      <c r="B7323">
        <v>61.21</v>
      </c>
      <c r="C7323">
        <v>61.33</v>
      </c>
      <c r="D7323">
        <v>61.02</v>
      </c>
      <c r="E7323">
        <v>61.17</v>
      </c>
      <c r="F7323">
        <v>7855500</v>
      </c>
      <c r="G7323">
        <v>57.9</v>
      </c>
      <c r="H7323" t="s">
        <v>12</v>
      </c>
      <c r="I7323" s="22">
        <f t="shared" si="229"/>
        <v>-3.6203815080646873E-3</v>
      </c>
      <c r="J7323" s="22" t="str">
        <f t="shared" si="230"/>
        <v>lost money</v>
      </c>
    </row>
    <row r="7324" spans="1:10">
      <c r="A7324" s="1">
        <v>41066</v>
      </c>
      <c r="B7324">
        <v>61.27</v>
      </c>
      <c r="C7324">
        <v>61.89</v>
      </c>
      <c r="D7324">
        <v>61.16</v>
      </c>
      <c r="E7324">
        <v>61.8</v>
      </c>
      <c r="F7324">
        <v>9622000</v>
      </c>
      <c r="G7324">
        <v>58.49</v>
      </c>
      <c r="H7324" t="s">
        <v>12</v>
      </c>
      <c r="I7324" s="22">
        <f t="shared" si="229"/>
        <v>1.0138414875984995E-2</v>
      </c>
      <c r="J7324" s="22" t="str">
        <f t="shared" si="230"/>
        <v/>
      </c>
    </row>
    <row r="7325" spans="1:10">
      <c r="A7325" s="1">
        <v>41067</v>
      </c>
      <c r="B7325">
        <v>62.08</v>
      </c>
      <c r="C7325">
        <v>62.84</v>
      </c>
      <c r="D7325">
        <v>61.72</v>
      </c>
      <c r="E7325">
        <v>62.76</v>
      </c>
      <c r="F7325">
        <v>13904700</v>
      </c>
      <c r="G7325">
        <v>59.4</v>
      </c>
      <c r="H7325" t="s">
        <v>12</v>
      </c>
      <c r="I7325" s="22">
        <f t="shared" si="229"/>
        <v>1.5438426913664675E-2</v>
      </c>
      <c r="J7325" s="22" t="str">
        <f t="shared" si="230"/>
        <v/>
      </c>
    </row>
    <row r="7326" spans="1:10">
      <c r="A7326" s="1">
        <v>41068</v>
      </c>
      <c r="B7326">
        <v>63.04</v>
      </c>
      <c r="C7326">
        <v>63.19</v>
      </c>
      <c r="D7326">
        <v>62.57</v>
      </c>
      <c r="E7326">
        <v>62.75</v>
      </c>
      <c r="F7326">
        <v>7697800</v>
      </c>
      <c r="G7326">
        <v>59.39</v>
      </c>
      <c r="H7326" t="s">
        <v>12</v>
      </c>
      <c r="I7326" s="22">
        <f t="shared" si="229"/>
        <v>-1.6836434083039131E-4</v>
      </c>
      <c r="J7326" s="22" t="str">
        <f t="shared" si="230"/>
        <v>lost money</v>
      </c>
    </row>
    <row r="7327" spans="1:10">
      <c r="A7327" s="1">
        <v>41071</v>
      </c>
      <c r="B7327">
        <v>62.99</v>
      </c>
      <c r="C7327">
        <v>63.06</v>
      </c>
      <c r="D7327">
        <v>62.5</v>
      </c>
      <c r="E7327">
        <v>62.54</v>
      </c>
      <c r="F7327">
        <v>6345500</v>
      </c>
      <c r="G7327">
        <v>59.19</v>
      </c>
      <c r="H7327" t="s">
        <v>12</v>
      </c>
      <c r="I7327" s="22">
        <f t="shared" si="229"/>
        <v>-3.3732533251352257E-3</v>
      </c>
      <c r="J7327" s="22" t="str">
        <f t="shared" si="230"/>
        <v>lost money</v>
      </c>
    </row>
    <row r="7328" spans="1:10">
      <c r="A7328" s="1">
        <v>41072</v>
      </c>
      <c r="B7328">
        <v>62.5</v>
      </c>
      <c r="C7328">
        <v>62.77</v>
      </c>
      <c r="D7328">
        <v>62.21</v>
      </c>
      <c r="E7328">
        <v>62.76</v>
      </c>
      <c r="F7328">
        <v>7814500</v>
      </c>
      <c r="G7328">
        <v>59.4</v>
      </c>
      <c r="H7328" t="s">
        <v>12</v>
      </c>
      <c r="I7328" s="22">
        <f t="shared" si="229"/>
        <v>3.5416176659656862E-3</v>
      </c>
      <c r="J7328" s="22" t="str">
        <f t="shared" si="230"/>
        <v/>
      </c>
    </row>
    <row r="7329" spans="1:10">
      <c r="A7329" s="1">
        <v>41073</v>
      </c>
      <c r="B7329">
        <v>62.61</v>
      </c>
      <c r="C7329">
        <v>62.77</v>
      </c>
      <c r="D7329">
        <v>62.27</v>
      </c>
      <c r="E7329">
        <v>62.57</v>
      </c>
      <c r="F7329">
        <v>9236900</v>
      </c>
      <c r="G7329">
        <v>59.22</v>
      </c>
      <c r="H7329" t="s">
        <v>12</v>
      </c>
      <c r="I7329" s="22">
        <f t="shared" si="229"/>
        <v>-3.034903695154047E-3</v>
      </c>
      <c r="J7329" s="22" t="str">
        <f t="shared" si="230"/>
        <v>lost money</v>
      </c>
    </row>
    <row r="7330" spans="1:10">
      <c r="A7330" s="1">
        <v>41074</v>
      </c>
      <c r="B7330">
        <v>62.76</v>
      </c>
      <c r="C7330">
        <v>63.43</v>
      </c>
      <c r="D7330">
        <v>62.7</v>
      </c>
      <c r="E7330">
        <v>63.18</v>
      </c>
      <c r="F7330">
        <v>8389100</v>
      </c>
      <c r="G7330">
        <v>59.8</v>
      </c>
      <c r="H7330" t="s">
        <v>12</v>
      </c>
      <c r="I7330" s="22">
        <f t="shared" si="229"/>
        <v>9.7463382831408339E-3</v>
      </c>
      <c r="J7330" s="22" t="str">
        <f t="shared" si="230"/>
        <v/>
      </c>
    </row>
    <row r="7331" spans="1:10">
      <c r="A7331" s="1">
        <v>41075</v>
      </c>
      <c r="B7331">
        <v>63.53</v>
      </c>
      <c r="C7331">
        <v>63.67</v>
      </c>
      <c r="D7331">
        <v>62.52</v>
      </c>
      <c r="E7331">
        <v>62.88</v>
      </c>
      <c r="F7331">
        <v>14126800</v>
      </c>
      <c r="G7331">
        <v>59.52</v>
      </c>
      <c r="H7331" t="s">
        <v>12</v>
      </c>
      <c r="I7331" s="22">
        <f t="shared" si="229"/>
        <v>-4.6932704317495565E-3</v>
      </c>
      <c r="J7331" s="22" t="str">
        <f t="shared" si="230"/>
        <v>lost money</v>
      </c>
    </row>
    <row r="7332" spans="1:10">
      <c r="A7332" s="1">
        <v>41078</v>
      </c>
      <c r="B7332">
        <v>62.56</v>
      </c>
      <c r="C7332">
        <v>62.75</v>
      </c>
      <c r="D7332">
        <v>61.79</v>
      </c>
      <c r="E7332">
        <v>62.29</v>
      </c>
      <c r="F7332">
        <v>10289300</v>
      </c>
      <c r="G7332">
        <v>58.96</v>
      </c>
      <c r="H7332" t="s">
        <v>12</v>
      </c>
      <c r="I7332" s="22">
        <f t="shared" si="229"/>
        <v>-9.4531426437552534E-3</v>
      </c>
      <c r="J7332" s="22" t="str">
        <f t="shared" si="230"/>
        <v>lost money</v>
      </c>
    </row>
    <row r="7333" spans="1:10">
      <c r="A7333" s="1">
        <v>41079</v>
      </c>
      <c r="B7333">
        <v>62.41</v>
      </c>
      <c r="C7333">
        <v>62.75</v>
      </c>
      <c r="D7333">
        <v>62.1</v>
      </c>
      <c r="E7333">
        <v>62.21</v>
      </c>
      <c r="F7333">
        <v>12844900</v>
      </c>
      <c r="G7333">
        <v>58.88</v>
      </c>
      <c r="H7333" t="s">
        <v>12</v>
      </c>
      <c r="I7333" s="22">
        <f t="shared" si="229"/>
        <v>-1.3577734604603596E-3</v>
      </c>
      <c r="J7333" s="22" t="str">
        <f t="shared" si="230"/>
        <v>lost money</v>
      </c>
    </row>
    <row r="7334" spans="1:10">
      <c r="A7334" s="1">
        <v>41080</v>
      </c>
      <c r="B7334">
        <v>60.89</v>
      </c>
      <c r="C7334">
        <v>60.89</v>
      </c>
      <c r="D7334">
        <v>59.74</v>
      </c>
      <c r="E7334">
        <v>60.39</v>
      </c>
      <c r="F7334">
        <v>39133900</v>
      </c>
      <c r="G7334">
        <v>57.16</v>
      </c>
      <c r="H7334" t="s">
        <v>12</v>
      </c>
      <c r="I7334" s="22">
        <f t="shared" si="229"/>
        <v>-2.9647121358954261E-2</v>
      </c>
      <c r="J7334" s="22" t="str">
        <f t="shared" si="230"/>
        <v>lost money</v>
      </c>
    </row>
    <row r="7335" spans="1:10">
      <c r="A7335" s="1">
        <v>41081</v>
      </c>
      <c r="B7335">
        <v>60.36</v>
      </c>
      <c r="C7335">
        <v>60.48</v>
      </c>
      <c r="D7335">
        <v>59.75</v>
      </c>
      <c r="E7335">
        <v>59.75</v>
      </c>
      <c r="F7335">
        <v>18876100</v>
      </c>
      <c r="G7335">
        <v>56.55</v>
      </c>
      <c r="H7335" t="s">
        <v>12</v>
      </c>
      <c r="I7335" s="22">
        <f t="shared" si="229"/>
        <v>-1.0729150499537181E-2</v>
      </c>
      <c r="J7335" s="22" t="str">
        <f t="shared" si="230"/>
        <v>lost money</v>
      </c>
    </row>
    <row r="7336" spans="1:10">
      <c r="A7336" s="1">
        <v>41082</v>
      </c>
      <c r="B7336">
        <v>59.77</v>
      </c>
      <c r="C7336">
        <v>60.3</v>
      </c>
      <c r="D7336">
        <v>59.76</v>
      </c>
      <c r="E7336">
        <v>59.83</v>
      </c>
      <c r="F7336">
        <v>14395600</v>
      </c>
      <c r="G7336">
        <v>56.63</v>
      </c>
      <c r="H7336" t="s">
        <v>12</v>
      </c>
      <c r="I7336" s="22">
        <f t="shared" si="229"/>
        <v>1.4136775635841909E-3</v>
      </c>
      <c r="J7336" s="22" t="str">
        <f t="shared" si="230"/>
        <v/>
      </c>
    </row>
    <row r="7337" spans="1:10">
      <c r="A7337" s="1">
        <v>41085</v>
      </c>
      <c r="B7337">
        <v>59.54</v>
      </c>
      <c r="C7337">
        <v>59.93</v>
      </c>
      <c r="D7337">
        <v>59.25</v>
      </c>
      <c r="E7337">
        <v>59.31</v>
      </c>
      <c r="F7337">
        <v>11745100</v>
      </c>
      <c r="G7337">
        <v>56.14</v>
      </c>
      <c r="H7337" t="s">
        <v>12</v>
      </c>
      <c r="I7337" s="22">
        <f t="shared" si="229"/>
        <v>-8.6903091919771965E-3</v>
      </c>
      <c r="J7337" s="22" t="str">
        <f t="shared" si="230"/>
        <v>lost money</v>
      </c>
    </row>
    <row r="7338" spans="1:10">
      <c r="A7338" s="1">
        <v>41086</v>
      </c>
      <c r="B7338">
        <v>59.45</v>
      </c>
      <c r="C7338">
        <v>59.58</v>
      </c>
      <c r="D7338">
        <v>59.07</v>
      </c>
      <c r="E7338">
        <v>59.27</v>
      </c>
      <c r="F7338">
        <v>8794100</v>
      </c>
      <c r="G7338">
        <v>56.1</v>
      </c>
      <c r="H7338" t="s">
        <v>12</v>
      </c>
      <c r="I7338" s="22">
        <f t="shared" si="229"/>
        <v>-7.1275840508581967E-4</v>
      </c>
      <c r="J7338" s="22" t="str">
        <f t="shared" si="230"/>
        <v>lost money</v>
      </c>
    </row>
    <row r="7339" spans="1:10">
      <c r="A7339" s="1">
        <v>41087</v>
      </c>
      <c r="B7339">
        <v>59.24</v>
      </c>
      <c r="C7339">
        <v>60</v>
      </c>
      <c r="D7339">
        <v>59.15</v>
      </c>
      <c r="E7339">
        <v>59.98</v>
      </c>
      <c r="F7339">
        <v>11454100</v>
      </c>
      <c r="G7339">
        <v>56.77</v>
      </c>
      <c r="H7339" t="s">
        <v>12</v>
      </c>
      <c r="I7339" s="22">
        <f t="shared" si="229"/>
        <v>1.1872204653984244E-2</v>
      </c>
      <c r="J7339" s="22" t="str">
        <f t="shared" si="230"/>
        <v/>
      </c>
    </row>
    <row r="7340" spans="1:10">
      <c r="A7340" s="1">
        <v>41088</v>
      </c>
      <c r="B7340">
        <v>59.7</v>
      </c>
      <c r="C7340">
        <v>60.29</v>
      </c>
      <c r="D7340">
        <v>59.33</v>
      </c>
      <c r="E7340">
        <v>60.29</v>
      </c>
      <c r="F7340">
        <v>9207600</v>
      </c>
      <c r="G7340">
        <v>57.06</v>
      </c>
      <c r="H7340" t="s">
        <v>12</v>
      </c>
      <c r="I7340" s="22">
        <f t="shared" si="229"/>
        <v>5.0953286027191243E-3</v>
      </c>
      <c r="J7340" s="22" t="str">
        <f t="shared" si="230"/>
        <v/>
      </c>
    </row>
    <row r="7341" spans="1:10">
      <c r="A7341" s="1">
        <v>41089</v>
      </c>
      <c r="B7341">
        <v>60.65</v>
      </c>
      <c r="C7341">
        <v>61.27</v>
      </c>
      <c r="D7341">
        <v>60.54</v>
      </c>
      <c r="E7341">
        <v>61.25</v>
      </c>
      <c r="F7341">
        <v>13301800</v>
      </c>
      <c r="G7341">
        <v>57.97</v>
      </c>
      <c r="H7341" t="s">
        <v>12</v>
      </c>
      <c r="I7341" s="22">
        <f t="shared" si="229"/>
        <v>1.5822289566287537E-2</v>
      </c>
      <c r="J7341" s="22" t="str">
        <f t="shared" si="230"/>
        <v/>
      </c>
    </row>
    <row r="7342" spans="1:10">
      <c r="A7342" s="1">
        <v>41092</v>
      </c>
      <c r="B7342">
        <v>61.04</v>
      </c>
      <c r="C7342">
        <v>61.26</v>
      </c>
      <c r="D7342">
        <v>60.78</v>
      </c>
      <c r="E7342">
        <v>61.19</v>
      </c>
      <c r="F7342">
        <v>8914300</v>
      </c>
      <c r="G7342">
        <v>57.92</v>
      </c>
      <c r="H7342" t="s">
        <v>12</v>
      </c>
      <c r="I7342" s="22">
        <f t="shared" si="229"/>
        <v>-8.6288727418056899E-4</v>
      </c>
      <c r="J7342" s="22" t="str">
        <f t="shared" si="230"/>
        <v/>
      </c>
    </row>
    <row r="7343" spans="1:10">
      <c r="A7343" s="1">
        <v>41093</v>
      </c>
      <c r="B7343">
        <v>61.13</v>
      </c>
      <c r="C7343">
        <v>61.4</v>
      </c>
      <c r="D7343">
        <v>60.82</v>
      </c>
      <c r="E7343">
        <v>61.36</v>
      </c>
      <c r="F7343">
        <v>4817400</v>
      </c>
      <c r="G7343">
        <v>58.08</v>
      </c>
      <c r="H7343" t="s">
        <v>12</v>
      </c>
      <c r="I7343" s="22">
        <f t="shared" si="229"/>
        <v>2.7586224390796607E-3</v>
      </c>
      <c r="J7343" s="22" t="str">
        <f t="shared" si="230"/>
        <v/>
      </c>
    </row>
    <row r="7344" spans="1:10">
      <c r="A7344" s="1">
        <v>41095</v>
      </c>
      <c r="B7344">
        <v>61.44</v>
      </c>
      <c r="C7344">
        <v>61.6</v>
      </c>
      <c r="D7344">
        <v>61.19</v>
      </c>
      <c r="E7344">
        <v>61.35</v>
      </c>
      <c r="F7344">
        <v>35413700</v>
      </c>
      <c r="G7344">
        <v>58.07</v>
      </c>
      <c r="H7344" t="s">
        <v>12</v>
      </c>
      <c r="I7344" s="22">
        <f t="shared" si="229"/>
        <v>-1.7219113258214126E-4</v>
      </c>
      <c r="J7344" s="22" t="str">
        <f t="shared" si="230"/>
        <v>lost money</v>
      </c>
    </row>
    <row r="7345" spans="1:10">
      <c r="A7345" s="1">
        <v>41096</v>
      </c>
      <c r="B7345">
        <v>61.22</v>
      </c>
      <c r="C7345">
        <v>61.39</v>
      </c>
      <c r="D7345">
        <v>60.86</v>
      </c>
      <c r="E7345">
        <v>61.28</v>
      </c>
      <c r="F7345">
        <v>36773400</v>
      </c>
      <c r="G7345">
        <v>58</v>
      </c>
      <c r="H7345" t="s">
        <v>12</v>
      </c>
      <c r="I7345" s="22">
        <f t="shared" si="229"/>
        <v>-1.2061688375391321E-3</v>
      </c>
      <c r="J7345" s="22" t="str">
        <f t="shared" si="230"/>
        <v/>
      </c>
    </row>
    <row r="7346" spans="1:10">
      <c r="A7346" s="1">
        <v>41099</v>
      </c>
      <c r="B7346">
        <v>61.12</v>
      </c>
      <c r="C7346">
        <v>61.8</v>
      </c>
      <c r="D7346">
        <v>61.12</v>
      </c>
      <c r="E7346">
        <v>61.55</v>
      </c>
      <c r="F7346">
        <v>33492400</v>
      </c>
      <c r="G7346">
        <v>58.26</v>
      </c>
      <c r="H7346" t="s">
        <v>12</v>
      </c>
      <c r="I7346" s="22">
        <f t="shared" si="229"/>
        <v>4.4727409848692497E-3</v>
      </c>
      <c r="J7346" s="22" t="str">
        <f t="shared" si="230"/>
        <v/>
      </c>
    </row>
    <row r="7347" spans="1:10">
      <c r="A7347" s="1">
        <v>41100</v>
      </c>
      <c r="B7347">
        <v>61.71</v>
      </c>
      <c r="C7347">
        <v>61.9</v>
      </c>
      <c r="D7347">
        <v>61.49</v>
      </c>
      <c r="E7347">
        <v>61.73</v>
      </c>
      <c r="F7347">
        <v>8651900</v>
      </c>
      <c r="G7347">
        <v>58.43</v>
      </c>
      <c r="H7347" t="s">
        <v>12</v>
      </c>
      <c r="I7347" s="22">
        <f t="shared" si="229"/>
        <v>2.9137050350570791E-3</v>
      </c>
      <c r="J7347" s="22" t="str">
        <f t="shared" si="230"/>
        <v/>
      </c>
    </row>
    <row r="7348" spans="1:10">
      <c r="A7348" s="1">
        <v>41101</v>
      </c>
      <c r="B7348">
        <v>61.77</v>
      </c>
      <c r="C7348">
        <v>61.77</v>
      </c>
      <c r="D7348">
        <v>60.98</v>
      </c>
      <c r="E7348">
        <v>61.4</v>
      </c>
      <c r="F7348">
        <v>9975600</v>
      </c>
      <c r="G7348">
        <v>58.11</v>
      </c>
      <c r="H7348" t="s">
        <v>12</v>
      </c>
      <c r="I7348" s="22">
        <f t="shared" si="229"/>
        <v>-5.4916904793314274E-3</v>
      </c>
      <c r="J7348" s="22" t="str">
        <f t="shared" si="230"/>
        <v>lost money</v>
      </c>
    </row>
    <row r="7349" spans="1:10">
      <c r="A7349" s="1">
        <v>41102</v>
      </c>
      <c r="B7349">
        <v>62.84</v>
      </c>
      <c r="C7349">
        <v>64.27</v>
      </c>
      <c r="D7349">
        <v>62.7</v>
      </c>
      <c r="E7349">
        <v>63.7</v>
      </c>
      <c r="F7349">
        <v>37140900</v>
      </c>
      <c r="G7349">
        <v>60.29</v>
      </c>
      <c r="H7349" t="s">
        <v>12</v>
      </c>
      <c r="I7349" s="22">
        <f t="shared" si="229"/>
        <v>3.6828486414299914E-2</v>
      </c>
      <c r="J7349" s="22" t="str">
        <f t="shared" si="230"/>
        <v/>
      </c>
    </row>
    <row r="7350" spans="1:10">
      <c r="A7350" s="1">
        <v>41103</v>
      </c>
      <c r="B7350">
        <v>63.93</v>
      </c>
      <c r="C7350">
        <v>65.75</v>
      </c>
      <c r="D7350">
        <v>63.77</v>
      </c>
      <c r="E7350">
        <v>65.09</v>
      </c>
      <c r="F7350">
        <v>29170000</v>
      </c>
      <c r="G7350">
        <v>61.61</v>
      </c>
      <c r="H7350" t="s">
        <v>12</v>
      </c>
      <c r="I7350" s="22">
        <f t="shared" si="229"/>
        <v>2.1657942525165241E-2</v>
      </c>
      <c r="J7350" s="22" t="str">
        <f t="shared" si="230"/>
        <v/>
      </c>
    </row>
    <row r="7351" spans="1:10">
      <c r="A7351" s="1">
        <v>41106</v>
      </c>
      <c r="B7351">
        <v>64.62</v>
      </c>
      <c r="C7351">
        <v>65</v>
      </c>
      <c r="D7351">
        <v>64.239999999999995</v>
      </c>
      <c r="E7351">
        <v>64.81</v>
      </c>
      <c r="F7351">
        <v>10675900</v>
      </c>
      <c r="G7351">
        <v>61.34</v>
      </c>
      <c r="H7351" t="s">
        <v>12</v>
      </c>
      <c r="I7351" s="22">
        <f t="shared" si="229"/>
        <v>-4.3920363403738231E-3</v>
      </c>
      <c r="J7351" s="22" t="str">
        <f t="shared" si="230"/>
        <v/>
      </c>
    </row>
    <row r="7352" spans="1:10">
      <c r="A7352" s="1">
        <v>41107</v>
      </c>
      <c r="B7352">
        <v>64.64</v>
      </c>
      <c r="C7352">
        <v>65.400000000000006</v>
      </c>
      <c r="D7352">
        <v>64.540000000000006</v>
      </c>
      <c r="E7352">
        <v>65.349999999999994</v>
      </c>
      <c r="F7352">
        <v>12565600</v>
      </c>
      <c r="G7352">
        <v>61.85</v>
      </c>
      <c r="H7352" t="s">
        <v>12</v>
      </c>
      <c r="I7352" s="22">
        <f t="shared" si="229"/>
        <v>8.2799401523913421E-3</v>
      </c>
      <c r="J7352" s="22" t="str">
        <f t="shared" si="230"/>
        <v/>
      </c>
    </row>
    <row r="7353" spans="1:10">
      <c r="A7353" s="1">
        <v>41108</v>
      </c>
      <c r="B7353">
        <v>64.83</v>
      </c>
      <c r="C7353">
        <v>65.14</v>
      </c>
      <c r="D7353">
        <v>64.349999999999994</v>
      </c>
      <c r="E7353">
        <v>64.819999999999993</v>
      </c>
      <c r="F7353">
        <v>13387400</v>
      </c>
      <c r="G7353">
        <v>61.88</v>
      </c>
      <c r="H7353" t="s">
        <v>12</v>
      </c>
      <c r="I7353" s="22">
        <f t="shared" si="229"/>
        <v>4.8492686636856857E-4</v>
      </c>
      <c r="J7353" s="22" t="str">
        <f t="shared" si="230"/>
        <v>lost money</v>
      </c>
    </row>
    <row r="7354" spans="1:10">
      <c r="A7354" s="1">
        <v>41109</v>
      </c>
      <c r="B7354">
        <v>64.95</v>
      </c>
      <c r="C7354">
        <v>65.069999999999993</v>
      </c>
      <c r="D7354">
        <v>64.53</v>
      </c>
      <c r="E7354">
        <v>64.92</v>
      </c>
      <c r="F7354">
        <v>8077600</v>
      </c>
      <c r="G7354">
        <v>61.98</v>
      </c>
      <c r="H7354" t="s">
        <v>12</v>
      </c>
      <c r="I7354" s="22">
        <f t="shared" si="229"/>
        <v>1.6147266547368014E-3</v>
      </c>
      <c r="J7354" s="22" t="str">
        <f t="shared" si="230"/>
        <v>lost money</v>
      </c>
    </row>
    <row r="7355" spans="1:10">
      <c r="A7355" s="1">
        <v>41110</v>
      </c>
      <c r="B7355">
        <v>64.52</v>
      </c>
      <c r="C7355">
        <v>64.92</v>
      </c>
      <c r="D7355">
        <v>64.400000000000006</v>
      </c>
      <c r="E7355">
        <v>64.73</v>
      </c>
      <c r="F7355">
        <v>10121500</v>
      </c>
      <c r="G7355">
        <v>61.8</v>
      </c>
      <c r="H7355" t="s">
        <v>12</v>
      </c>
      <c r="I7355" s="22">
        <f t="shared" si="229"/>
        <v>-2.9083878959570812E-3</v>
      </c>
      <c r="J7355" s="22" t="str">
        <f t="shared" si="230"/>
        <v/>
      </c>
    </row>
    <row r="7356" spans="1:10">
      <c r="A7356" s="1">
        <v>41113</v>
      </c>
      <c r="B7356">
        <v>64.400000000000006</v>
      </c>
      <c r="C7356">
        <v>64.72</v>
      </c>
      <c r="D7356">
        <v>64.23</v>
      </c>
      <c r="E7356">
        <v>64.39</v>
      </c>
      <c r="F7356">
        <v>10711100</v>
      </c>
      <c r="G7356">
        <v>61.47</v>
      </c>
      <c r="H7356" t="s">
        <v>12</v>
      </c>
      <c r="I7356" s="22">
        <f t="shared" si="229"/>
        <v>-5.3541135447270297E-3</v>
      </c>
      <c r="J7356" s="22" t="str">
        <f t="shared" si="230"/>
        <v>lost money</v>
      </c>
    </row>
    <row r="7357" spans="1:10">
      <c r="A7357" s="1">
        <v>41114</v>
      </c>
      <c r="B7357">
        <v>64.48</v>
      </c>
      <c r="C7357">
        <v>64.569999999999993</v>
      </c>
      <c r="D7357">
        <v>63.72</v>
      </c>
      <c r="E7357">
        <v>64.02</v>
      </c>
      <c r="F7357">
        <v>8271700</v>
      </c>
      <c r="G7357">
        <v>61.12</v>
      </c>
      <c r="H7357" t="s">
        <v>12</v>
      </c>
      <c r="I7357" s="22">
        <f t="shared" si="229"/>
        <v>-5.7101060606530732E-3</v>
      </c>
      <c r="J7357" s="22" t="str">
        <f t="shared" si="230"/>
        <v>lost money</v>
      </c>
    </row>
    <row r="7358" spans="1:10">
      <c r="A7358" s="1">
        <v>41115</v>
      </c>
      <c r="B7358">
        <v>64.12</v>
      </c>
      <c r="C7358">
        <v>64.31</v>
      </c>
      <c r="D7358">
        <v>63.89</v>
      </c>
      <c r="E7358">
        <v>64.02</v>
      </c>
      <c r="F7358">
        <v>9424700</v>
      </c>
      <c r="G7358">
        <v>61.12</v>
      </c>
      <c r="H7358" t="s">
        <v>12</v>
      </c>
      <c r="I7358" s="22">
        <f t="shared" si="229"/>
        <v>0</v>
      </c>
      <c r="J7358" s="22" t="str">
        <f t="shared" si="230"/>
        <v>lost money</v>
      </c>
    </row>
    <row r="7359" spans="1:10">
      <c r="A7359" s="1">
        <v>41116</v>
      </c>
      <c r="B7359">
        <v>64.59</v>
      </c>
      <c r="C7359">
        <v>65.099999999999994</v>
      </c>
      <c r="D7359">
        <v>64.44</v>
      </c>
      <c r="E7359">
        <v>64.56</v>
      </c>
      <c r="F7359">
        <v>10472200</v>
      </c>
      <c r="G7359">
        <v>61.64</v>
      </c>
      <c r="H7359" t="s">
        <v>12</v>
      </c>
      <c r="I7359" s="22">
        <f t="shared" si="229"/>
        <v>8.4718655936498969E-3</v>
      </c>
      <c r="J7359" s="22" t="str">
        <f t="shared" si="230"/>
        <v>lost money</v>
      </c>
    </row>
    <row r="7360" spans="1:10">
      <c r="A7360" s="1">
        <v>41117</v>
      </c>
      <c r="B7360">
        <v>64.680000000000007</v>
      </c>
      <c r="C7360">
        <v>65.27</v>
      </c>
      <c r="D7360">
        <v>64.56</v>
      </c>
      <c r="E7360">
        <v>65.09</v>
      </c>
      <c r="F7360">
        <v>11141800</v>
      </c>
      <c r="G7360">
        <v>62.14</v>
      </c>
      <c r="H7360" t="s">
        <v>12</v>
      </c>
      <c r="I7360" s="22">
        <f t="shared" si="229"/>
        <v>8.0788935129863324E-3</v>
      </c>
      <c r="J7360" s="22" t="str">
        <f t="shared" si="230"/>
        <v/>
      </c>
    </row>
    <row r="7361" spans="1:10">
      <c r="A7361" s="1">
        <v>41120</v>
      </c>
      <c r="B7361">
        <v>64.89</v>
      </c>
      <c r="C7361">
        <v>65.290000000000006</v>
      </c>
      <c r="D7361">
        <v>64.5</v>
      </c>
      <c r="E7361">
        <v>65.099999999999994</v>
      </c>
      <c r="F7361">
        <v>8388600</v>
      </c>
      <c r="G7361">
        <v>62.15</v>
      </c>
      <c r="H7361" t="s">
        <v>12</v>
      </c>
      <c r="I7361" s="22">
        <f t="shared" si="229"/>
        <v>1.6091399181873895E-4</v>
      </c>
      <c r="J7361" s="22" t="str">
        <f t="shared" si="230"/>
        <v/>
      </c>
    </row>
    <row r="7362" spans="1:10">
      <c r="A7362" s="1">
        <v>41121</v>
      </c>
      <c r="B7362">
        <v>64.790000000000006</v>
      </c>
      <c r="C7362">
        <v>64.989999999999995</v>
      </c>
      <c r="D7362">
        <v>64.5</v>
      </c>
      <c r="E7362">
        <v>64.540000000000006</v>
      </c>
      <c r="F7362">
        <v>9327200</v>
      </c>
      <c r="G7362">
        <v>61.62</v>
      </c>
      <c r="H7362" t="s">
        <v>12</v>
      </c>
      <c r="I7362" s="22">
        <f t="shared" si="229"/>
        <v>-8.5643247881982479E-3</v>
      </c>
      <c r="J7362" s="22" t="str">
        <f t="shared" si="230"/>
        <v>lost money</v>
      </c>
    </row>
    <row r="7363" spans="1:10">
      <c r="A7363" s="1">
        <v>41122</v>
      </c>
      <c r="B7363">
        <v>64.87</v>
      </c>
      <c r="C7363">
        <v>64.97</v>
      </c>
      <c r="D7363">
        <v>63.9</v>
      </c>
      <c r="E7363">
        <v>64.010000000000005</v>
      </c>
      <c r="F7363">
        <v>7782900</v>
      </c>
      <c r="G7363">
        <v>61.11</v>
      </c>
      <c r="H7363" t="s">
        <v>12</v>
      </c>
      <c r="I7363" s="22">
        <f t="shared" ref="I7363:I7426" si="231">IF(A7363=$A$2,"",LN(G7363/G7362))</f>
        <v>-8.3109742616977317E-3</v>
      </c>
      <c r="J7363" s="22" t="str">
        <f t="shared" ref="J7363:J7426" si="232">IF(B7363&gt;E7363,"lost money","")</f>
        <v>lost money</v>
      </c>
    </row>
    <row r="7364" spans="1:10">
      <c r="A7364" s="1">
        <v>41123</v>
      </c>
      <c r="B7364">
        <v>63.66</v>
      </c>
      <c r="C7364">
        <v>63.98</v>
      </c>
      <c r="D7364">
        <v>63.24</v>
      </c>
      <c r="E7364">
        <v>63.51</v>
      </c>
      <c r="F7364">
        <v>9462400</v>
      </c>
      <c r="G7364">
        <v>60.63</v>
      </c>
      <c r="H7364" t="s">
        <v>12</v>
      </c>
      <c r="I7364" s="22">
        <f t="shared" si="231"/>
        <v>-7.8856988231847808E-3</v>
      </c>
      <c r="J7364" s="22" t="str">
        <f t="shared" si="232"/>
        <v>lost money</v>
      </c>
    </row>
    <row r="7365" spans="1:10">
      <c r="A7365" s="1">
        <v>41124</v>
      </c>
      <c r="B7365">
        <v>64.709999999999994</v>
      </c>
      <c r="C7365">
        <v>65.900000000000006</v>
      </c>
      <c r="D7365">
        <v>64.7</v>
      </c>
      <c r="E7365">
        <v>65.5</v>
      </c>
      <c r="F7365">
        <v>15279100</v>
      </c>
      <c r="G7365">
        <v>62.53</v>
      </c>
      <c r="H7365" t="s">
        <v>12</v>
      </c>
      <c r="I7365" s="22">
        <f t="shared" si="231"/>
        <v>3.0856621495567109E-2</v>
      </c>
      <c r="J7365" s="22" t="str">
        <f t="shared" si="232"/>
        <v/>
      </c>
    </row>
    <row r="7366" spans="1:10">
      <c r="A7366" s="1">
        <v>41127</v>
      </c>
      <c r="B7366">
        <v>65.23</v>
      </c>
      <c r="C7366">
        <v>66.239999999999995</v>
      </c>
      <c r="D7366">
        <v>65.2</v>
      </c>
      <c r="E7366">
        <v>65.81</v>
      </c>
      <c r="F7366">
        <v>10034400</v>
      </c>
      <c r="G7366">
        <v>62.83</v>
      </c>
      <c r="H7366" t="s">
        <v>12</v>
      </c>
      <c r="I7366" s="22">
        <f t="shared" si="231"/>
        <v>4.7862248356490434E-3</v>
      </c>
      <c r="J7366" s="22" t="str">
        <f t="shared" si="232"/>
        <v/>
      </c>
    </row>
    <row r="7367" spans="1:10">
      <c r="A7367" s="1">
        <v>41128</v>
      </c>
      <c r="B7367">
        <v>65.92</v>
      </c>
      <c r="C7367">
        <v>66.45</v>
      </c>
      <c r="D7367">
        <v>65.91</v>
      </c>
      <c r="E7367">
        <v>66.22</v>
      </c>
      <c r="F7367">
        <v>10463300</v>
      </c>
      <c r="G7367">
        <v>63.22</v>
      </c>
      <c r="H7367" t="s">
        <v>12</v>
      </c>
      <c r="I7367" s="22">
        <f t="shared" si="231"/>
        <v>6.1880403726159283E-3</v>
      </c>
      <c r="J7367" s="22" t="str">
        <f t="shared" si="232"/>
        <v/>
      </c>
    </row>
    <row r="7368" spans="1:10">
      <c r="A7368" s="1">
        <v>41129</v>
      </c>
      <c r="B7368">
        <v>66.010000000000005</v>
      </c>
      <c r="C7368">
        <v>66.8</v>
      </c>
      <c r="D7368">
        <v>65.959999999999994</v>
      </c>
      <c r="E7368">
        <v>66.72</v>
      </c>
      <c r="F7368">
        <v>9673200</v>
      </c>
      <c r="G7368">
        <v>63.7</v>
      </c>
      <c r="H7368" t="s">
        <v>12</v>
      </c>
      <c r="I7368" s="22">
        <f t="shared" si="231"/>
        <v>7.5638557906459857E-3</v>
      </c>
      <c r="J7368" s="22" t="str">
        <f t="shared" si="232"/>
        <v/>
      </c>
    </row>
    <row r="7369" spans="1:10">
      <c r="A7369" s="1">
        <v>41130</v>
      </c>
      <c r="B7369">
        <v>66.59</v>
      </c>
      <c r="C7369">
        <v>66.930000000000007</v>
      </c>
      <c r="D7369">
        <v>66.400000000000006</v>
      </c>
      <c r="E7369">
        <v>66.73</v>
      </c>
      <c r="F7369">
        <v>9677800</v>
      </c>
      <c r="G7369">
        <v>63.71</v>
      </c>
      <c r="H7369" t="s">
        <v>12</v>
      </c>
      <c r="I7369" s="22">
        <f t="shared" si="231"/>
        <v>1.5697355027912812E-4</v>
      </c>
      <c r="J7369" s="22" t="str">
        <f t="shared" si="232"/>
        <v/>
      </c>
    </row>
    <row r="7370" spans="1:10">
      <c r="A7370" s="1">
        <v>41131</v>
      </c>
      <c r="B7370">
        <v>66.680000000000007</v>
      </c>
      <c r="C7370">
        <v>66.77</v>
      </c>
      <c r="D7370">
        <v>66.209999999999994</v>
      </c>
      <c r="E7370">
        <v>66.77</v>
      </c>
      <c r="F7370">
        <v>7293600</v>
      </c>
      <c r="G7370">
        <v>63.75</v>
      </c>
      <c r="H7370" t="s">
        <v>12</v>
      </c>
      <c r="I7370" s="22">
        <f t="shared" si="231"/>
        <v>6.2764791013879089E-4</v>
      </c>
      <c r="J7370" s="22" t="str">
        <f t="shared" si="232"/>
        <v/>
      </c>
    </row>
    <row r="7371" spans="1:10">
      <c r="A7371" s="1">
        <v>41134</v>
      </c>
      <c r="B7371">
        <v>66.56</v>
      </c>
      <c r="C7371">
        <v>66.75</v>
      </c>
      <c r="D7371">
        <v>66.349999999999994</v>
      </c>
      <c r="E7371">
        <v>66.48</v>
      </c>
      <c r="F7371">
        <v>6633900</v>
      </c>
      <c r="G7371">
        <v>63.47</v>
      </c>
      <c r="H7371" t="s">
        <v>12</v>
      </c>
      <c r="I7371" s="22">
        <f t="shared" si="231"/>
        <v>-4.40183072015677E-3</v>
      </c>
      <c r="J7371" s="22" t="str">
        <f t="shared" si="232"/>
        <v>lost money</v>
      </c>
    </row>
    <row r="7372" spans="1:10">
      <c r="A7372" s="1">
        <v>41135</v>
      </c>
      <c r="B7372">
        <v>66.53</v>
      </c>
      <c r="C7372">
        <v>66.989999999999995</v>
      </c>
      <c r="D7372">
        <v>66.19</v>
      </c>
      <c r="E7372">
        <v>66.73</v>
      </c>
      <c r="F7372">
        <v>8887400</v>
      </c>
      <c r="G7372">
        <v>63.71</v>
      </c>
      <c r="H7372" t="s">
        <v>12</v>
      </c>
      <c r="I7372" s="22">
        <f t="shared" si="231"/>
        <v>3.7741828100181941E-3</v>
      </c>
      <c r="J7372" s="22" t="str">
        <f t="shared" si="232"/>
        <v/>
      </c>
    </row>
    <row r="7373" spans="1:10">
      <c r="A7373" s="1">
        <v>41136</v>
      </c>
      <c r="B7373">
        <v>66.86</v>
      </c>
      <c r="C7373">
        <v>66.92</v>
      </c>
      <c r="D7373">
        <v>66.56</v>
      </c>
      <c r="E7373">
        <v>66.64</v>
      </c>
      <c r="F7373">
        <v>9873600</v>
      </c>
      <c r="G7373">
        <v>63.62</v>
      </c>
      <c r="H7373" t="s">
        <v>12</v>
      </c>
      <c r="I7373" s="22">
        <f t="shared" si="231"/>
        <v>-1.4136498073988551E-3</v>
      </c>
      <c r="J7373" s="22" t="str">
        <f t="shared" si="232"/>
        <v>lost money</v>
      </c>
    </row>
    <row r="7374" spans="1:10">
      <c r="A7374" s="1">
        <v>41137</v>
      </c>
      <c r="B7374">
        <v>66.58</v>
      </c>
      <c r="C7374">
        <v>67</v>
      </c>
      <c r="D7374">
        <v>66.45</v>
      </c>
      <c r="E7374">
        <v>67</v>
      </c>
      <c r="F7374">
        <v>10165100</v>
      </c>
      <c r="G7374">
        <v>63.96</v>
      </c>
      <c r="H7374" t="s">
        <v>12</v>
      </c>
      <c r="I7374" s="22">
        <f t="shared" si="231"/>
        <v>5.3300016447555285E-3</v>
      </c>
      <c r="J7374" s="22" t="str">
        <f t="shared" si="232"/>
        <v/>
      </c>
    </row>
    <row r="7375" spans="1:10">
      <c r="A7375" s="1">
        <v>41138</v>
      </c>
      <c r="B7375">
        <v>66.87</v>
      </c>
      <c r="C7375">
        <v>67.3</v>
      </c>
      <c r="D7375">
        <v>66.63</v>
      </c>
      <c r="E7375">
        <v>67</v>
      </c>
      <c r="F7375">
        <v>9394300</v>
      </c>
      <c r="G7375">
        <v>63.96</v>
      </c>
      <c r="H7375" t="s">
        <v>12</v>
      </c>
      <c r="I7375" s="22">
        <f t="shared" si="231"/>
        <v>0</v>
      </c>
      <c r="J7375" s="22" t="str">
        <f t="shared" si="232"/>
        <v/>
      </c>
    </row>
    <row r="7376" spans="1:10">
      <c r="A7376" s="1">
        <v>41141</v>
      </c>
      <c r="B7376">
        <v>66.930000000000007</v>
      </c>
      <c r="C7376">
        <v>67.05</v>
      </c>
      <c r="D7376">
        <v>66.55</v>
      </c>
      <c r="E7376">
        <v>66.75</v>
      </c>
      <c r="F7376">
        <v>8938700</v>
      </c>
      <c r="G7376">
        <v>63.73</v>
      </c>
      <c r="H7376" t="s">
        <v>12</v>
      </c>
      <c r="I7376" s="22">
        <f t="shared" si="231"/>
        <v>-3.6024786395507367E-3</v>
      </c>
      <c r="J7376" s="22" t="str">
        <f t="shared" si="232"/>
        <v>lost money</v>
      </c>
    </row>
    <row r="7377" spans="1:10">
      <c r="A7377" s="1">
        <v>41142</v>
      </c>
      <c r="B7377">
        <v>66.760000000000005</v>
      </c>
      <c r="C7377">
        <v>67.14</v>
      </c>
      <c r="D7377">
        <v>66.680000000000007</v>
      </c>
      <c r="E7377">
        <v>66.77</v>
      </c>
      <c r="F7377">
        <v>9145400</v>
      </c>
      <c r="G7377">
        <v>63.75</v>
      </c>
      <c r="H7377" t="s">
        <v>12</v>
      </c>
      <c r="I7377" s="22">
        <f t="shared" si="231"/>
        <v>3.1377471233287596E-4</v>
      </c>
      <c r="J7377" s="22" t="str">
        <f t="shared" si="232"/>
        <v/>
      </c>
    </row>
    <row r="7378" spans="1:10">
      <c r="A7378" s="1">
        <v>41143</v>
      </c>
      <c r="B7378">
        <v>66.569999999999993</v>
      </c>
      <c r="C7378">
        <v>66.86</v>
      </c>
      <c r="D7378">
        <v>66.510000000000005</v>
      </c>
      <c r="E7378">
        <v>66.849999999999994</v>
      </c>
      <c r="F7378">
        <v>7749600</v>
      </c>
      <c r="G7378">
        <v>63.82</v>
      </c>
      <c r="H7378" t="s">
        <v>12</v>
      </c>
      <c r="I7378" s="22">
        <f t="shared" si="231"/>
        <v>1.0974368115619459E-3</v>
      </c>
      <c r="J7378" s="22" t="str">
        <f t="shared" si="232"/>
        <v/>
      </c>
    </row>
    <row r="7379" spans="1:10">
      <c r="A7379" s="1">
        <v>41144</v>
      </c>
      <c r="B7379">
        <v>66.8</v>
      </c>
      <c r="C7379">
        <v>66.83</v>
      </c>
      <c r="D7379">
        <v>66.59</v>
      </c>
      <c r="E7379">
        <v>66.680000000000007</v>
      </c>
      <c r="F7379">
        <v>8006500</v>
      </c>
      <c r="G7379">
        <v>63.66</v>
      </c>
      <c r="H7379" t="s">
        <v>12</v>
      </c>
      <c r="I7379" s="22">
        <f t="shared" si="231"/>
        <v>-2.5101989961507937E-3</v>
      </c>
      <c r="J7379" s="22" t="str">
        <f t="shared" si="232"/>
        <v>lost money</v>
      </c>
    </row>
    <row r="7380" spans="1:10">
      <c r="A7380" s="1">
        <v>41145</v>
      </c>
      <c r="B7380">
        <v>66.599999999999994</v>
      </c>
      <c r="C7380">
        <v>67.180000000000007</v>
      </c>
      <c r="D7380">
        <v>66.33</v>
      </c>
      <c r="E7380">
        <v>67.02</v>
      </c>
      <c r="F7380">
        <v>8580200</v>
      </c>
      <c r="G7380">
        <v>63.98</v>
      </c>
      <c r="H7380" t="s">
        <v>12</v>
      </c>
      <c r="I7380" s="22">
        <f t="shared" si="231"/>
        <v>5.0141126674251675E-3</v>
      </c>
      <c r="J7380" s="22" t="str">
        <f t="shared" si="232"/>
        <v/>
      </c>
    </row>
    <row r="7381" spans="1:10">
      <c r="A7381" s="1">
        <v>41148</v>
      </c>
      <c r="B7381">
        <v>66.930000000000007</v>
      </c>
      <c r="C7381">
        <v>67.37</v>
      </c>
      <c r="D7381">
        <v>66.86</v>
      </c>
      <c r="E7381">
        <v>67.11</v>
      </c>
      <c r="F7381">
        <v>6419600</v>
      </c>
      <c r="G7381">
        <v>64.069999999999993</v>
      </c>
      <c r="H7381" t="s">
        <v>12</v>
      </c>
      <c r="I7381" s="22">
        <f t="shared" si="231"/>
        <v>1.4057011295581661E-3</v>
      </c>
      <c r="J7381" s="22" t="str">
        <f t="shared" si="232"/>
        <v/>
      </c>
    </row>
    <row r="7382" spans="1:10">
      <c r="A7382" s="1">
        <v>41149</v>
      </c>
      <c r="B7382">
        <v>66.87</v>
      </c>
      <c r="C7382">
        <v>67.22</v>
      </c>
      <c r="D7382">
        <v>66.849999999999994</v>
      </c>
      <c r="E7382">
        <v>66.989999999999995</v>
      </c>
      <c r="F7382">
        <v>7605400</v>
      </c>
      <c r="G7382">
        <v>63.96</v>
      </c>
      <c r="H7382" t="s">
        <v>12</v>
      </c>
      <c r="I7382" s="22">
        <f t="shared" si="231"/>
        <v>-1.7183476851765696E-3</v>
      </c>
      <c r="J7382" s="22" t="str">
        <f t="shared" si="232"/>
        <v/>
      </c>
    </row>
    <row r="7383" spans="1:10">
      <c r="A7383" s="1">
        <v>41150</v>
      </c>
      <c r="B7383">
        <v>66.97</v>
      </c>
      <c r="C7383">
        <v>67.180000000000007</v>
      </c>
      <c r="D7383">
        <v>66.8</v>
      </c>
      <c r="E7383">
        <v>66.87</v>
      </c>
      <c r="F7383">
        <v>6752200</v>
      </c>
      <c r="G7383">
        <v>63.84</v>
      </c>
      <c r="H7383" t="s">
        <v>12</v>
      </c>
      <c r="I7383" s="22">
        <f t="shared" si="231"/>
        <v>-1.8779348242000977E-3</v>
      </c>
      <c r="J7383" s="22" t="str">
        <f t="shared" si="232"/>
        <v>lost money</v>
      </c>
    </row>
    <row r="7384" spans="1:10">
      <c r="A7384" s="1">
        <v>41151</v>
      </c>
      <c r="B7384">
        <v>66.64</v>
      </c>
      <c r="C7384">
        <v>66.94</v>
      </c>
      <c r="D7384">
        <v>66.62</v>
      </c>
      <c r="E7384">
        <v>66.88</v>
      </c>
      <c r="F7384">
        <v>7285600</v>
      </c>
      <c r="G7384">
        <v>63.85</v>
      </c>
      <c r="H7384" t="s">
        <v>12</v>
      </c>
      <c r="I7384" s="22">
        <f t="shared" si="231"/>
        <v>1.5662933699491256E-4</v>
      </c>
      <c r="J7384" s="22" t="str">
        <f t="shared" si="232"/>
        <v/>
      </c>
    </row>
    <row r="7385" spans="1:10">
      <c r="A7385" s="1">
        <v>41152</v>
      </c>
      <c r="B7385">
        <v>67.14</v>
      </c>
      <c r="C7385">
        <v>67.45</v>
      </c>
      <c r="D7385">
        <v>66.89</v>
      </c>
      <c r="E7385">
        <v>67.19</v>
      </c>
      <c r="F7385">
        <v>10088600</v>
      </c>
      <c r="G7385">
        <v>64.150000000000006</v>
      </c>
      <c r="H7385" t="s">
        <v>12</v>
      </c>
      <c r="I7385" s="22">
        <f t="shared" si="231"/>
        <v>4.6875085830972432E-3</v>
      </c>
      <c r="J7385" s="22" t="str">
        <f t="shared" si="232"/>
        <v/>
      </c>
    </row>
    <row r="7386" spans="1:10">
      <c r="A7386" s="1">
        <v>41156</v>
      </c>
      <c r="B7386">
        <v>67.22</v>
      </c>
      <c r="C7386">
        <v>67.47</v>
      </c>
      <c r="D7386">
        <v>67.010000000000005</v>
      </c>
      <c r="E7386">
        <v>67.400000000000006</v>
      </c>
      <c r="F7386">
        <v>7628600</v>
      </c>
      <c r="G7386">
        <v>64.349999999999994</v>
      </c>
      <c r="H7386" t="s">
        <v>12</v>
      </c>
      <c r="I7386" s="22">
        <f t="shared" si="231"/>
        <v>3.1128429804901034E-3</v>
      </c>
      <c r="J7386" s="22" t="str">
        <f t="shared" si="232"/>
        <v/>
      </c>
    </row>
    <row r="7387" spans="1:10">
      <c r="A7387" s="1">
        <v>41157</v>
      </c>
      <c r="B7387">
        <v>67.209999999999994</v>
      </c>
      <c r="C7387">
        <v>67.540000000000006</v>
      </c>
      <c r="D7387">
        <v>67.209999999999994</v>
      </c>
      <c r="E7387">
        <v>67.290000000000006</v>
      </c>
      <c r="F7387">
        <v>7741100</v>
      </c>
      <c r="G7387">
        <v>64.239999999999995</v>
      </c>
      <c r="H7387" t="s">
        <v>12</v>
      </c>
      <c r="I7387" s="22">
        <f t="shared" si="231"/>
        <v>-1.7108644036294301E-3</v>
      </c>
      <c r="J7387" s="22" t="str">
        <f t="shared" si="232"/>
        <v/>
      </c>
    </row>
    <row r="7388" spans="1:10">
      <c r="A7388" s="1">
        <v>41158</v>
      </c>
      <c r="B7388">
        <v>67.680000000000007</v>
      </c>
      <c r="C7388">
        <v>68.25</v>
      </c>
      <c r="D7388">
        <v>67.599999999999994</v>
      </c>
      <c r="E7388">
        <v>68.239999999999995</v>
      </c>
      <c r="F7388">
        <v>13200500</v>
      </c>
      <c r="G7388">
        <v>65.150000000000006</v>
      </c>
      <c r="H7388" t="s">
        <v>12</v>
      </c>
      <c r="I7388" s="22">
        <f t="shared" si="231"/>
        <v>1.4066233932348111E-2</v>
      </c>
      <c r="J7388" s="22" t="str">
        <f t="shared" si="232"/>
        <v/>
      </c>
    </row>
    <row r="7389" spans="1:10">
      <c r="A7389" s="1">
        <v>41159</v>
      </c>
      <c r="B7389">
        <v>68.16</v>
      </c>
      <c r="C7389">
        <v>68.599999999999994</v>
      </c>
      <c r="D7389">
        <v>67.98</v>
      </c>
      <c r="E7389">
        <v>68.52</v>
      </c>
      <c r="F7389">
        <v>12656300</v>
      </c>
      <c r="G7389">
        <v>65.42</v>
      </c>
      <c r="H7389" t="s">
        <v>12</v>
      </c>
      <c r="I7389" s="22">
        <f t="shared" si="231"/>
        <v>4.1357185393835569E-3</v>
      </c>
      <c r="J7389" s="22" t="str">
        <f t="shared" si="232"/>
        <v/>
      </c>
    </row>
    <row r="7390" spans="1:10">
      <c r="A7390" s="1">
        <v>41162</v>
      </c>
      <c r="B7390">
        <v>68.41</v>
      </c>
      <c r="C7390">
        <v>68.58</v>
      </c>
      <c r="D7390">
        <v>68.12</v>
      </c>
      <c r="E7390">
        <v>68.510000000000005</v>
      </c>
      <c r="F7390">
        <v>8920600</v>
      </c>
      <c r="G7390">
        <v>65.41</v>
      </c>
      <c r="H7390" t="s">
        <v>12</v>
      </c>
      <c r="I7390" s="22">
        <f t="shared" si="231"/>
        <v>-1.5287013711658037E-4</v>
      </c>
      <c r="J7390" s="22" t="str">
        <f t="shared" si="232"/>
        <v/>
      </c>
    </row>
    <row r="7391" spans="1:10">
      <c r="A7391" s="1">
        <v>41163</v>
      </c>
      <c r="B7391">
        <v>68.430000000000007</v>
      </c>
      <c r="C7391">
        <v>68.650000000000006</v>
      </c>
      <c r="D7391">
        <v>68.08</v>
      </c>
      <c r="E7391">
        <v>68.260000000000005</v>
      </c>
      <c r="F7391">
        <v>8840900</v>
      </c>
      <c r="G7391">
        <v>65.17</v>
      </c>
      <c r="H7391" t="s">
        <v>12</v>
      </c>
      <c r="I7391" s="22">
        <f t="shared" si="231"/>
        <v>-3.6759116288322966E-3</v>
      </c>
      <c r="J7391" s="22" t="str">
        <f t="shared" si="232"/>
        <v>lost money</v>
      </c>
    </row>
    <row r="7392" spans="1:10">
      <c r="A7392" s="1">
        <v>41164</v>
      </c>
      <c r="B7392">
        <v>68.349999999999994</v>
      </c>
      <c r="C7392">
        <v>68.59</v>
      </c>
      <c r="D7392">
        <v>68.05</v>
      </c>
      <c r="E7392">
        <v>68.099999999999994</v>
      </c>
      <c r="F7392">
        <v>6896000</v>
      </c>
      <c r="G7392">
        <v>65.010000000000005</v>
      </c>
      <c r="H7392" t="s">
        <v>12</v>
      </c>
      <c r="I7392" s="22">
        <f t="shared" si="231"/>
        <v>-2.4581361279115582E-3</v>
      </c>
      <c r="J7392" s="22" t="str">
        <f t="shared" si="232"/>
        <v>lost money</v>
      </c>
    </row>
    <row r="7393" spans="1:10">
      <c r="A7393" s="1">
        <v>41165</v>
      </c>
      <c r="B7393">
        <v>67.89</v>
      </c>
      <c r="C7393">
        <v>68.98</v>
      </c>
      <c r="D7393">
        <v>67.89</v>
      </c>
      <c r="E7393">
        <v>68.91</v>
      </c>
      <c r="F7393">
        <v>10495400</v>
      </c>
      <c r="G7393">
        <v>65.790000000000006</v>
      </c>
      <c r="H7393" t="s">
        <v>12</v>
      </c>
      <c r="I7393" s="22">
        <f t="shared" si="231"/>
        <v>1.192674688152926E-2</v>
      </c>
      <c r="J7393" s="22" t="str">
        <f t="shared" si="232"/>
        <v/>
      </c>
    </row>
    <row r="7394" spans="1:10">
      <c r="A7394" s="1">
        <v>41166</v>
      </c>
      <c r="B7394">
        <v>68.81</v>
      </c>
      <c r="C7394">
        <v>69.22</v>
      </c>
      <c r="D7394">
        <v>68.77</v>
      </c>
      <c r="E7394">
        <v>69.16</v>
      </c>
      <c r="F7394">
        <v>12269800</v>
      </c>
      <c r="G7394">
        <v>66.03</v>
      </c>
      <c r="H7394" t="s">
        <v>12</v>
      </c>
      <c r="I7394" s="22">
        <f t="shared" si="231"/>
        <v>3.6413331085733613E-3</v>
      </c>
      <c r="J7394" s="22" t="str">
        <f t="shared" si="232"/>
        <v/>
      </c>
    </row>
    <row r="7395" spans="1:10">
      <c r="A7395" s="1">
        <v>41169</v>
      </c>
      <c r="B7395">
        <v>68.88</v>
      </c>
      <c r="C7395">
        <v>69.25</v>
      </c>
      <c r="D7395">
        <v>68.86</v>
      </c>
      <c r="E7395">
        <v>69.25</v>
      </c>
      <c r="F7395">
        <v>11274600</v>
      </c>
      <c r="G7395">
        <v>66.11</v>
      </c>
      <c r="H7395" t="s">
        <v>12</v>
      </c>
      <c r="I7395" s="22">
        <f t="shared" si="231"/>
        <v>1.2108371390066605E-3</v>
      </c>
      <c r="J7395" s="22" t="str">
        <f t="shared" si="232"/>
        <v/>
      </c>
    </row>
    <row r="7396" spans="1:10">
      <c r="A7396" s="1">
        <v>41170</v>
      </c>
      <c r="B7396">
        <v>69.19</v>
      </c>
      <c r="C7396">
        <v>69.69</v>
      </c>
      <c r="D7396">
        <v>69.11</v>
      </c>
      <c r="E7396">
        <v>69.22</v>
      </c>
      <c r="F7396">
        <v>12833500</v>
      </c>
      <c r="G7396">
        <v>66.08</v>
      </c>
      <c r="H7396" t="s">
        <v>12</v>
      </c>
      <c r="I7396" s="22">
        <f t="shared" si="231"/>
        <v>-4.5389213276412956E-4</v>
      </c>
      <c r="J7396" s="22" t="str">
        <f t="shared" si="232"/>
        <v/>
      </c>
    </row>
    <row r="7397" spans="1:10">
      <c r="A7397" s="1">
        <v>41171</v>
      </c>
      <c r="B7397">
        <v>69.099999999999994</v>
      </c>
      <c r="C7397">
        <v>69.58</v>
      </c>
      <c r="D7397">
        <v>69.02</v>
      </c>
      <c r="E7397">
        <v>69.260000000000005</v>
      </c>
      <c r="F7397">
        <v>8682900</v>
      </c>
      <c r="G7397">
        <v>66.12</v>
      </c>
      <c r="H7397" t="s">
        <v>12</v>
      </c>
      <c r="I7397" s="22">
        <f t="shared" si="231"/>
        <v>6.0514374010086584E-4</v>
      </c>
      <c r="J7397" s="22" t="str">
        <f t="shared" si="232"/>
        <v/>
      </c>
    </row>
    <row r="7398" spans="1:10">
      <c r="A7398" s="1">
        <v>41172</v>
      </c>
      <c r="B7398">
        <v>69.11</v>
      </c>
      <c r="C7398">
        <v>69.64</v>
      </c>
      <c r="D7398">
        <v>69.11</v>
      </c>
      <c r="E7398">
        <v>69.56</v>
      </c>
      <c r="F7398">
        <v>8652700</v>
      </c>
      <c r="G7398">
        <v>66.41</v>
      </c>
      <c r="H7398" t="s">
        <v>12</v>
      </c>
      <c r="I7398" s="22">
        <f t="shared" si="231"/>
        <v>4.3763745997987815E-3</v>
      </c>
      <c r="J7398" s="22" t="str">
        <f t="shared" si="232"/>
        <v/>
      </c>
    </row>
    <row r="7399" spans="1:10">
      <c r="A7399" s="1">
        <v>41173</v>
      </c>
      <c r="B7399">
        <v>69.7</v>
      </c>
      <c r="C7399">
        <v>69.83</v>
      </c>
      <c r="D7399">
        <v>69.38</v>
      </c>
      <c r="E7399">
        <v>69.42</v>
      </c>
      <c r="F7399">
        <v>20290300</v>
      </c>
      <c r="G7399">
        <v>66.28</v>
      </c>
      <c r="H7399" t="s">
        <v>12</v>
      </c>
      <c r="I7399" s="22">
        <f t="shared" si="231"/>
        <v>-1.9594549942600881E-3</v>
      </c>
      <c r="J7399" s="22" t="str">
        <f t="shared" si="232"/>
        <v>lost money</v>
      </c>
    </row>
    <row r="7400" spans="1:10">
      <c r="A7400" s="1">
        <v>41176</v>
      </c>
      <c r="B7400">
        <v>69.34</v>
      </c>
      <c r="C7400">
        <v>69.849999999999994</v>
      </c>
      <c r="D7400">
        <v>69.239999999999995</v>
      </c>
      <c r="E7400">
        <v>69.760000000000005</v>
      </c>
      <c r="F7400">
        <v>8361000</v>
      </c>
      <c r="G7400">
        <v>66.599999999999994</v>
      </c>
      <c r="H7400" t="s">
        <v>12</v>
      </c>
      <c r="I7400" s="22">
        <f t="shared" si="231"/>
        <v>4.8163849879811369E-3</v>
      </c>
      <c r="J7400" s="22" t="str">
        <f t="shared" si="232"/>
        <v/>
      </c>
    </row>
    <row r="7401" spans="1:10">
      <c r="A7401" s="1">
        <v>41177</v>
      </c>
      <c r="B7401">
        <v>69.7</v>
      </c>
      <c r="C7401">
        <v>69.97</v>
      </c>
      <c r="D7401">
        <v>69.540000000000006</v>
      </c>
      <c r="E7401">
        <v>69.59</v>
      </c>
      <c r="F7401">
        <v>10026700</v>
      </c>
      <c r="G7401">
        <v>66.44</v>
      </c>
      <c r="H7401" t="s">
        <v>12</v>
      </c>
      <c r="I7401" s="22">
        <f t="shared" si="231"/>
        <v>-2.40529280124923E-3</v>
      </c>
      <c r="J7401" s="22" t="str">
        <f t="shared" si="232"/>
        <v>lost money</v>
      </c>
    </row>
    <row r="7402" spans="1:10">
      <c r="A7402" s="1">
        <v>41178</v>
      </c>
      <c r="B7402">
        <v>69.489999999999995</v>
      </c>
      <c r="C7402">
        <v>69.849999999999994</v>
      </c>
      <c r="D7402">
        <v>69.3</v>
      </c>
      <c r="E7402">
        <v>69.3</v>
      </c>
      <c r="F7402">
        <v>7698400</v>
      </c>
      <c r="G7402">
        <v>66.16</v>
      </c>
      <c r="H7402" t="s">
        <v>12</v>
      </c>
      <c r="I7402" s="22">
        <f t="shared" si="231"/>
        <v>-4.2232340296583211E-3</v>
      </c>
      <c r="J7402" s="22" t="str">
        <f t="shared" si="232"/>
        <v>lost money</v>
      </c>
    </row>
    <row r="7403" spans="1:10">
      <c r="A7403" s="1">
        <v>41179</v>
      </c>
      <c r="B7403">
        <v>69.41</v>
      </c>
      <c r="C7403">
        <v>69.56</v>
      </c>
      <c r="D7403">
        <v>69.06</v>
      </c>
      <c r="E7403">
        <v>69.3</v>
      </c>
      <c r="F7403">
        <v>6773100</v>
      </c>
      <c r="G7403">
        <v>66.16</v>
      </c>
      <c r="H7403" t="s">
        <v>12</v>
      </c>
      <c r="I7403" s="22">
        <f t="shared" si="231"/>
        <v>0</v>
      </c>
      <c r="J7403" s="22" t="str">
        <f t="shared" si="232"/>
        <v>lost money</v>
      </c>
    </row>
    <row r="7404" spans="1:10">
      <c r="A7404" s="1">
        <v>41180</v>
      </c>
      <c r="B7404">
        <v>69.25</v>
      </c>
      <c r="C7404">
        <v>69.42</v>
      </c>
      <c r="D7404">
        <v>68.64</v>
      </c>
      <c r="E7404">
        <v>69.36</v>
      </c>
      <c r="F7404">
        <v>8955100</v>
      </c>
      <c r="G7404">
        <v>66.22</v>
      </c>
      <c r="H7404" t="s">
        <v>12</v>
      </c>
      <c r="I7404" s="22">
        <f t="shared" si="231"/>
        <v>9.0648140366441201E-4</v>
      </c>
      <c r="J7404" s="22" t="str">
        <f t="shared" si="232"/>
        <v/>
      </c>
    </row>
    <row r="7405" spans="1:10">
      <c r="A7405" s="1">
        <v>41183</v>
      </c>
      <c r="B7405">
        <v>69.33</v>
      </c>
      <c r="C7405">
        <v>69.77</v>
      </c>
      <c r="D7405">
        <v>69.099999999999994</v>
      </c>
      <c r="E7405">
        <v>69.45</v>
      </c>
      <c r="F7405">
        <v>8588600</v>
      </c>
      <c r="G7405">
        <v>66.3</v>
      </c>
      <c r="H7405" t="s">
        <v>12</v>
      </c>
      <c r="I7405" s="22">
        <f t="shared" si="231"/>
        <v>1.2073650727164966E-3</v>
      </c>
      <c r="J7405" s="22" t="str">
        <f t="shared" si="232"/>
        <v/>
      </c>
    </row>
    <row r="7406" spans="1:10">
      <c r="A7406" s="1">
        <v>41184</v>
      </c>
      <c r="B7406">
        <v>69.53</v>
      </c>
      <c r="C7406">
        <v>69.72</v>
      </c>
      <c r="D7406">
        <v>68.52</v>
      </c>
      <c r="E7406">
        <v>68.790000000000006</v>
      </c>
      <c r="F7406">
        <v>11241400</v>
      </c>
      <c r="G7406">
        <v>65.67</v>
      </c>
      <c r="H7406" t="s">
        <v>12</v>
      </c>
      <c r="I7406" s="22">
        <f t="shared" si="231"/>
        <v>-9.5476969889355268E-3</v>
      </c>
      <c r="J7406" s="22" t="str">
        <f t="shared" si="232"/>
        <v>lost money</v>
      </c>
    </row>
    <row r="7407" spans="1:10">
      <c r="A7407" s="1">
        <v>41185</v>
      </c>
      <c r="B7407">
        <v>69.02</v>
      </c>
      <c r="C7407">
        <v>69.540000000000006</v>
      </c>
      <c r="D7407">
        <v>68.73</v>
      </c>
      <c r="E7407">
        <v>69.17</v>
      </c>
      <c r="F7407">
        <v>8869500</v>
      </c>
      <c r="G7407">
        <v>66.040000000000006</v>
      </c>
      <c r="H7407" t="s">
        <v>12</v>
      </c>
      <c r="I7407" s="22">
        <f t="shared" si="231"/>
        <v>5.618418849046165E-3</v>
      </c>
      <c r="J7407" s="22" t="str">
        <f t="shared" si="232"/>
        <v/>
      </c>
    </row>
    <row r="7408" spans="1:10">
      <c r="A7408" s="1">
        <v>41186</v>
      </c>
      <c r="B7408">
        <v>69.36</v>
      </c>
      <c r="C7408">
        <v>69.78</v>
      </c>
      <c r="D7408">
        <v>69.31</v>
      </c>
      <c r="E7408">
        <v>69.38</v>
      </c>
      <c r="F7408">
        <v>7792700</v>
      </c>
      <c r="G7408">
        <v>66.239999999999995</v>
      </c>
      <c r="H7408" t="s">
        <v>12</v>
      </c>
      <c r="I7408" s="22">
        <f t="shared" si="231"/>
        <v>3.0238910250769192E-3</v>
      </c>
      <c r="J7408" s="22" t="str">
        <f t="shared" si="232"/>
        <v/>
      </c>
    </row>
    <row r="7409" spans="1:10">
      <c r="A7409" s="1">
        <v>41187</v>
      </c>
      <c r="B7409">
        <v>69.78</v>
      </c>
      <c r="C7409">
        <v>69.849999999999994</v>
      </c>
      <c r="D7409">
        <v>69.41</v>
      </c>
      <c r="E7409">
        <v>69.63</v>
      </c>
      <c r="F7409">
        <v>6907800</v>
      </c>
      <c r="G7409">
        <v>66.48</v>
      </c>
      <c r="H7409" t="s">
        <v>12</v>
      </c>
      <c r="I7409" s="22">
        <f t="shared" si="231"/>
        <v>3.616640470188736E-3</v>
      </c>
      <c r="J7409" s="22" t="str">
        <f t="shared" si="232"/>
        <v>lost money</v>
      </c>
    </row>
    <row r="7410" spans="1:10">
      <c r="A7410" s="1">
        <v>41190</v>
      </c>
      <c r="B7410">
        <v>69.48</v>
      </c>
      <c r="C7410">
        <v>69.48</v>
      </c>
      <c r="D7410">
        <v>68.89</v>
      </c>
      <c r="E7410">
        <v>69.099999999999994</v>
      </c>
      <c r="F7410">
        <v>6577000</v>
      </c>
      <c r="G7410">
        <v>65.97</v>
      </c>
      <c r="H7410" t="s">
        <v>12</v>
      </c>
      <c r="I7410" s="22">
        <f t="shared" si="231"/>
        <v>-7.7010573124133546E-3</v>
      </c>
      <c r="J7410" s="22" t="str">
        <f t="shared" si="232"/>
        <v>lost money</v>
      </c>
    </row>
    <row r="7411" spans="1:10">
      <c r="A7411" s="1">
        <v>41191</v>
      </c>
      <c r="B7411">
        <v>68.92</v>
      </c>
      <c r="C7411">
        <v>69.28</v>
      </c>
      <c r="D7411">
        <v>68.52</v>
      </c>
      <c r="E7411">
        <v>68.7</v>
      </c>
      <c r="F7411">
        <v>8200100</v>
      </c>
      <c r="G7411">
        <v>65.59</v>
      </c>
      <c r="H7411" t="s">
        <v>12</v>
      </c>
      <c r="I7411" s="22">
        <f t="shared" si="231"/>
        <v>-5.7768479291352894E-3</v>
      </c>
      <c r="J7411" s="22" t="str">
        <f t="shared" si="232"/>
        <v>lost money</v>
      </c>
    </row>
    <row r="7412" spans="1:10">
      <c r="A7412" s="1">
        <v>41192</v>
      </c>
      <c r="B7412">
        <v>68.790000000000006</v>
      </c>
      <c r="C7412">
        <v>68.94</v>
      </c>
      <c r="D7412">
        <v>67.95</v>
      </c>
      <c r="E7412">
        <v>68.14</v>
      </c>
      <c r="F7412">
        <v>8937500</v>
      </c>
      <c r="G7412">
        <v>65.05</v>
      </c>
      <c r="H7412" t="s">
        <v>12</v>
      </c>
      <c r="I7412" s="22">
        <f t="shared" si="231"/>
        <v>-8.2670403471299166E-3</v>
      </c>
      <c r="J7412" s="22" t="str">
        <f t="shared" si="232"/>
        <v>lost money</v>
      </c>
    </row>
    <row r="7413" spans="1:10">
      <c r="A7413" s="1">
        <v>41193</v>
      </c>
      <c r="B7413">
        <v>68.33</v>
      </c>
      <c r="C7413">
        <v>68.39</v>
      </c>
      <c r="D7413">
        <v>67.819999999999993</v>
      </c>
      <c r="E7413">
        <v>68</v>
      </c>
      <c r="F7413">
        <v>6600700</v>
      </c>
      <c r="G7413">
        <v>64.92</v>
      </c>
      <c r="H7413" t="s">
        <v>12</v>
      </c>
      <c r="I7413" s="22">
        <f t="shared" si="231"/>
        <v>-2.0004623121237658E-3</v>
      </c>
      <c r="J7413" s="22" t="str">
        <f t="shared" si="232"/>
        <v>lost money</v>
      </c>
    </row>
    <row r="7414" spans="1:10">
      <c r="A7414" s="1">
        <v>41194</v>
      </c>
      <c r="B7414">
        <v>68.23</v>
      </c>
      <c r="C7414">
        <v>68.459999999999994</v>
      </c>
      <c r="D7414">
        <v>67.87</v>
      </c>
      <c r="E7414">
        <v>67.94</v>
      </c>
      <c r="F7414">
        <v>6537400</v>
      </c>
      <c r="G7414">
        <v>64.86</v>
      </c>
      <c r="H7414" t="s">
        <v>12</v>
      </c>
      <c r="I7414" s="22">
        <f t="shared" si="231"/>
        <v>-9.2464176721856507E-4</v>
      </c>
      <c r="J7414" s="22" t="str">
        <f t="shared" si="232"/>
        <v>lost money</v>
      </c>
    </row>
    <row r="7415" spans="1:10">
      <c r="A7415" s="1">
        <v>41197</v>
      </c>
      <c r="B7415">
        <v>68.27</v>
      </c>
      <c r="C7415">
        <v>68.89</v>
      </c>
      <c r="D7415">
        <v>67.97</v>
      </c>
      <c r="E7415">
        <v>68.709999999999994</v>
      </c>
      <c r="F7415">
        <v>8359300</v>
      </c>
      <c r="G7415">
        <v>65.599999999999994</v>
      </c>
      <c r="H7415" t="s">
        <v>12</v>
      </c>
      <c r="I7415" s="22">
        <f t="shared" si="231"/>
        <v>1.1344595070871296E-2</v>
      </c>
      <c r="J7415" s="22" t="str">
        <f t="shared" si="232"/>
        <v/>
      </c>
    </row>
    <row r="7416" spans="1:10">
      <c r="A7416" s="1">
        <v>41198</v>
      </c>
      <c r="B7416">
        <v>68.959999999999994</v>
      </c>
      <c r="C7416">
        <v>69.260000000000005</v>
      </c>
      <c r="D7416">
        <v>68.790000000000006</v>
      </c>
      <c r="E7416">
        <v>69</v>
      </c>
      <c r="F7416">
        <v>7702700</v>
      </c>
      <c r="G7416">
        <v>65.87</v>
      </c>
      <c r="H7416" t="s">
        <v>12</v>
      </c>
      <c r="I7416" s="22">
        <f t="shared" si="231"/>
        <v>4.1074067025584672E-3</v>
      </c>
      <c r="J7416" s="22" t="str">
        <f t="shared" si="232"/>
        <v/>
      </c>
    </row>
    <row r="7417" spans="1:10">
      <c r="A7417" s="1">
        <v>41199</v>
      </c>
      <c r="B7417">
        <v>68.55</v>
      </c>
      <c r="C7417">
        <v>69.64</v>
      </c>
      <c r="D7417">
        <v>68.510000000000005</v>
      </c>
      <c r="E7417">
        <v>69.47</v>
      </c>
      <c r="F7417">
        <v>11061000</v>
      </c>
      <c r="G7417">
        <v>66.87</v>
      </c>
      <c r="H7417" t="s">
        <v>12</v>
      </c>
      <c r="I7417" s="22">
        <f t="shared" si="231"/>
        <v>1.5067333413285656E-2</v>
      </c>
      <c r="J7417" s="22" t="str">
        <f t="shared" si="232"/>
        <v/>
      </c>
    </row>
    <row r="7418" spans="1:10">
      <c r="A7418" s="1">
        <v>41200</v>
      </c>
      <c r="B7418">
        <v>69.45</v>
      </c>
      <c r="C7418">
        <v>69.5</v>
      </c>
      <c r="D7418">
        <v>69.040000000000006</v>
      </c>
      <c r="E7418">
        <v>69.47</v>
      </c>
      <c r="F7418">
        <v>7358100</v>
      </c>
      <c r="G7418">
        <v>66.87</v>
      </c>
      <c r="H7418" t="s">
        <v>12</v>
      </c>
      <c r="I7418" s="22">
        <f t="shared" si="231"/>
        <v>0</v>
      </c>
      <c r="J7418" s="22" t="str">
        <f t="shared" si="232"/>
        <v/>
      </c>
    </row>
    <row r="7419" spans="1:10">
      <c r="A7419" s="1">
        <v>41201</v>
      </c>
      <c r="B7419">
        <v>69.36</v>
      </c>
      <c r="C7419">
        <v>69.489999999999995</v>
      </c>
      <c r="D7419">
        <v>68.45</v>
      </c>
      <c r="E7419">
        <v>68.569999999999993</v>
      </c>
      <c r="F7419">
        <v>10125600</v>
      </c>
      <c r="G7419">
        <v>66</v>
      </c>
      <c r="H7419" t="s">
        <v>12</v>
      </c>
      <c r="I7419" s="22">
        <f t="shared" si="231"/>
        <v>-1.3095694039461743E-2</v>
      </c>
      <c r="J7419" s="22" t="str">
        <f t="shared" si="232"/>
        <v>lost money</v>
      </c>
    </row>
    <row r="7420" spans="1:10">
      <c r="A7420" s="1">
        <v>41204</v>
      </c>
      <c r="B7420">
        <v>68.349999999999994</v>
      </c>
      <c r="C7420">
        <v>68.55</v>
      </c>
      <c r="D7420">
        <v>67.87</v>
      </c>
      <c r="E7420">
        <v>68.5</v>
      </c>
      <c r="F7420">
        <v>7516800</v>
      </c>
      <c r="G7420">
        <v>65.930000000000007</v>
      </c>
      <c r="H7420" t="s">
        <v>12</v>
      </c>
      <c r="I7420" s="22">
        <f t="shared" si="231"/>
        <v>-1.0611689012171841E-3</v>
      </c>
      <c r="J7420" s="22" t="str">
        <f t="shared" si="232"/>
        <v/>
      </c>
    </row>
    <row r="7421" spans="1:10">
      <c r="A7421" s="1">
        <v>41205</v>
      </c>
      <c r="B7421">
        <v>67.98</v>
      </c>
      <c r="C7421">
        <v>68.13</v>
      </c>
      <c r="D7421">
        <v>67.260000000000005</v>
      </c>
      <c r="E7421">
        <v>67.44</v>
      </c>
      <c r="F7421">
        <v>8030800</v>
      </c>
      <c r="G7421">
        <v>64.91</v>
      </c>
      <c r="H7421" t="s">
        <v>12</v>
      </c>
      <c r="I7421" s="22">
        <f t="shared" si="231"/>
        <v>-1.5591878079831287E-2</v>
      </c>
      <c r="J7421" s="22" t="str">
        <f t="shared" si="232"/>
        <v>lost money</v>
      </c>
    </row>
    <row r="7422" spans="1:10">
      <c r="A7422" s="1">
        <v>41206</v>
      </c>
      <c r="B7422">
        <v>67.37</v>
      </c>
      <c r="C7422">
        <v>68.37</v>
      </c>
      <c r="D7422">
        <v>67.37</v>
      </c>
      <c r="E7422">
        <v>68.08</v>
      </c>
      <c r="F7422">
        <v>10209600</v>
      </c>
      <c r="G7422">
        <v>65.53</v>
      </c>
      <c r="H7422" t="s">
        <v>12</v>
      </c>
      <c r="I7422" s="22">
        <f t="shared" si="231"/>
        <v>9.5063580060282954E-3</v>
      </c>
      <c r="J7422" s="22" t="str">
        <f t="shared" si="232"/>
        <v/>
      </c>
    </row>
    <row r="7423" spans="1:10">
      <c r="A7423" s="1">
        <v>41207</v>
      </c>
      <c r="B7423">
        <v>69.75</v>
      </c>
      <c r="C7423">
        <v>70.83</v>
      </c>
      <c r="D7423">
        <v>69.58</v>
      </c>
      <c r="E7423">
        <v>70.069999999999993</v>
      </c>
      <c r="F7423">
        <v>24479700</v>
      </c>
      <c r="G7423">
        <v>67.45</v>
      </c>
      <c r="H7423" t="s">
        <v>12</v>
      </c>
      <c r="I7423" s="22">
        <f t="shared" si="231"/>
        <v>2.8878529602359333E-2</v>
      </c>
      <c r="J7423" s="22" t="str">
        <f t="shared" si="232"/>
        <v/>
      </c>
    </row>
    <row r="7424" spans="1:10">
      <c r="A7424" s="1">
        <v>41208</v>
      </c>
      <c r="B7424">
        <v>69.739999999999995</v>
      </c>
      <c r="C7424">
        <v>70.36</v>
      </c>
      <c r="D7424">
        <v>69.39</v>
      </c>
      <c r="E7424">
        <v>69.44</v>
      </c>
      <c r="F7424">
        <v>11945200</v>
      </c>
      <c r="G7424">
        <v>66.84</v>
      </c>
      <c r="H7424" t="s">
        <v>12</v>
      </c>
      <c r="I7424" s="22">
        <f t="shared" si="231"/>
        <v>-9.0848789265719418E-3</v>
      </c>
      <c r="J7424" s="22" t="str">
        <f t="shared" si="232"/>
        <v>lost money</v>
      </c>
    </row>
    <row r="7425" spans="1:10">
      <c r="A7425" s="1">
        <v>41213</v>
      </c>
      <c r="B7425">
        <v>69.510000000000005</v>
      </c>
      <c r="C7425">
        <v>69.95</v>
      </c>
      <c r="D7425">
        <v>69.010000000000005</v>
      </c>
      <c r="E7425">
        <v>69.239999999999995</v>
      </c>
      <c r="F7425">
        <v>9095400</v>
      </c>
      <c r="G7425">
        <v>66.650000000000006</v>
      </c>
      <c r="H7425" t="s">
        <v>12</v>
      </c>
      <c r="I7425" s="22">
        <f t="shared" si="231"/>
        <v>-2.846657102475282E-3</v>
      </c>
      <c r="J7425" s="22" t="str">
        <f t="shared" si="232"/>
        <v>lost money</v>
      </c>
    </row>
    <row r="7426" spans="1:10">
      <c r="A7426" s="1">
        <v>41214</v>
      </c>
      <c r="B7426">
        <v>69.16</v>
      </c>
      <c r="C7426">
        <v>69.510000000000005</v>
      </c>
      <c r="D7426">
        <v>69.14</v>
      </c>
      <c r="E7426">
        <v>69.25</v>
      </c>
      <c r="F7426">
        <v>7703800</v>
      </c>
      <c r="G7426">
        <v>66.66</v>
      </c>
      <c r="H7426" t="s">
        <v>12</v>
      </c>
      <c r="I7426" s="22">
        <f t="shared" si="231"/>
        <v>1.5002625487586178E-4</v>
      </c>
      <c r="J7426" s="22" t="str">
        <f t="shared" si="232"/>
        <v/>
      </c>
    </row>
    <row r="7427" spans="1:10">
      <c r="A7427" s="1">
        <v>41215</v>
      </c>
      <c r="B7427">
        <v>69.739999999999995</v>
      </c>
      <c r="C7427">
        <v>69.77</v>
      </c>
      <c r="D7427">
        <v>69.06</v>
      </c>
      <c r="E7427">
        <v>69.19</v>
      </c>
      <c r="F7427">
        <v>6963100</v>
      </c>
      <c r="G7427">
        <v>66.599999999999994</v>
      </c>
      <c r="H7427" t="s">
        <v>12</v>
      </c>
      <c r="I7427" s="22">
        <f t="shared" ref="I7427:I7490" si="233">IF(A7427=$A$2,"",LN(G7427/G7426))</f>
        <v>-9.0049533325020626E-4</v>
      </c>
      <c r="J7427" s="22" t="str">
        <f t="shared" ref="J7427:J7490" si="234">IF(B7427&gt;E7427,"lost money","")</f>
        <v>lost money</v>
      </c>
    </row>
    <row r="7428" spans="1:10">
      <c r="A7428" s="1">
        <v>41218</v>
      </c>
      <c r="B7428">
        <v>69.22</v>
      </c>
      <c r="C7428">
        <v>69.22</v>
      </c>
      <c r="D7428">
        <v>68.349999999999994</v>
      </c>
      <c r="E7428">
        <v>68.67</v>
      </c>
      <c r="F7428">
        <v>6525700</v>
      </c>
      <c r="G7428">
        <v>66.099999999999994</v>
      </c>
      <c r="H7428" t="s">
        <v>12</v>
      </c>
      <c r="I7428" s="22">
        <f t="shared" si="233"/>
        <v>-7.5358306887028477E-3</v>
      </c>
      <c r="J7428" s="22" t="str">
        <f t="shared" si="234"/>
        <v>lost money</v>
      </c>
    </row>
    <row r="7429" spans="1:10">
      <c r="A7429" s="1">
        <v>41219</v>
      </c>
      <c r="B7429">
        <v>68.599999999999994</v>
      </c>
      <c r="C7429">
        <v>69</v>
      </c>
      <c r="D7429">
        <v>68.36</v>
      </c>
      <c r="E7429">
        <v>68.930000000000007</v>
      </c>
      <c r="F7429">
        <v>6639800</v>
      </c>
      <c r="G7429">
        <v>66.349999999999994</v>
      </c>
      <c r="H7429" t="s">
        <v>12</v>
      </c>
      <c r="I7429" s="22">
        <f t="shared" si="233"/>
        <v>3.7750139205759508E-3</v>
      </c>
      <c r="J7429" s="22" t="str">
        <f t="shared" si="234"/>
        <v/>
      </c>
    </row>
    <row r="7430" spans="1:10">
      <c r="A7430" s="1">
        <v>41220</v>
      </c>
      <c r="B7430">
        <v>68.819999999999993</v>
      </c>
      <c r="C7430">
        <v>68.87</v>
      </c>
      <c r="D7430">
        <v>67.790000000000006</v>
      </c>
      <c r="E7430">
        <v>68.06</v>
      </c>
      <c r="F7430">
        <v>8849600</v>
      </c>
      <c r="G7430">
        <v>65.510000000000005</v>
      </c>
      <c r="H7430" t="s">
        <v>12</v>
      </c>
      <c r="I7430" s="22">
        <f t="shared" si="233"/>
        <v>-1.2740958034431401E-2</v>
      </c>
      <c r="J7430" s="22" t="str">
        <f t="shared" si="234"/>
        <v>lost money</v>
      </c>
    </row>
    <row r="7431" spans="1:10">
      <c r="A7431" s="1">
        <v>41221</v>
      </c>
      <c r="B7431">
        <v>67.98</v>
      </c>
      <c r="C7431">
        <v>68.09</v>
      </c>
      <c r="D7431">
        <v>66.900000000000006</v>
      </c>
      <c r="E7431">
        <v>66.91</v>
      </c>
      <c r="F7431">
        <v>7917700</v>
      </c>
      <c r="G7431">
        <v>64.400000000000006</v>
      </c>
      <c r="H7431" t="s">
        <v>12</v>
      </c>
      <c r="I7431" s="22">
        <f t="shared" si="233"/>
        <v>-1.7089169633477071E-2</v>
      </c>
      <c r="J7431" s="22" t="str">
        <f t="shared" si="234"/>
        <v>lost money</v>
      </c>
    </row>
    <row r="7432" spans="1:10">
      <c r="A7432" s="1">
        <v>41222</v>
      </c>
      <c r="B7432">
        <v>66.83</v>
      </c>
      <c r="C7432">
        <v>67.459999999999994</v>
      </c>
      <c r="D7432">
        <v>66.760000000000005</v>
      </c>
      <c r="E7432">
        <v>67.010000000000005</v>
      </c>
      <c r="F7432">
        <v>8147700</v>
      </c>
      <c r="G7432">
        <v>64.5</v>
      </c>
      <c r="H7432" t="s">
        <v>12</v>
      </c>
      <c r="I7432" s="22">
        <f t="shared" si="233"/>
        <v>1.55159069141885E-3</v>
      </c>
      <c r="J7432" s="22" t="str">
        <f t="shared" si="234"/>
        <v/>
      </c>
    </row>
    <row r="7433" spans="1:10">
      <c r="A7433" s="1">
        <v>41225</v>
      </c>
      <c r="B7433">
        <v>67.150000000000006</v>
      </c>
      <c r="C7433">
        <v>67.400000000000006</v>
      </c>
      <c r="D7433">
        <v>66.91</v>
      </c>
      <c r="E7433">
        <v>67.08</v>
      </c>
      <c r="F7433">
        <v>4371300</v>
      </c>
      <c r="G7433">
        <v>64.569999999999993</v>
      </c>
      <c r="H7433" t="s">
        <v>12</v>
      </c>
      <c r="I7433" s="22">
        <f t="shared" si="233"/>
        <v>1.0846828366486789E-3</v>
      </c>
      <c r="J7433" s="22" t="str">
        <f t="shared" si="234"/>
        <v>lost money</v>
      </c>
    </row>
    <row r="7434" spans="1:10">
      <c r="A7434" s="1">
        <v>41226</v>
      </c>
      <c r="B7434">
        <v>66.77</v>
      </c>
      <c r="C7434">
        <v>67.599999999999994</v>
      </c>
      <c r="D7434">
        <v>66.77</v>
      </c>
      <c r="E7434">
        <v>66.849999999999994</v>
      </c>
      <c r="F7434">
        <v>6769100</v>
      </c>
      <c r="G7434">
        <v>64.349999999999994</v>
      </c>
      <c r="H7434" t="s">
        <v>12</v>
      </c>
      <c r="I7434" s="22">
        <f t="shared" si="233"/>
        <v>-3.4129725962399574E-3</v>
      </c>
      <c r="J7434" s="22" t="str">
        <f t="shared" si="234"/>
        <v/>
      </c>
    </row>
    <row r="7435" spans="1:10">
      <c r="A7435" s="1">
        <v>41227</v>
      </c>
      <c r="B7435">
        <v>66.89</v>
      </c>
      <c r="C7435">
        <v>67.06</v>
      </c>
      <c r="D7435">
        <v>66.290000000000006</v>
      </c>
      <c r="E7435">
        <v>66.53</v>
      </c>
      <c r="F7435">
        <v>9680100</v>
      </c>
      <c r="G7435">
        <v>64.040000000000006</v>
      </c>
      <c r="H7435" t="s">
        <v>12</v>
      </c>
      <c r="I7435" s="22">
        <f t="shared" si="233"/>
        <v>-4.8290459136215835E-3</v>
      </c>
      <c r="J7435" s="22" t="str">
        <f t="shared" si="234"/>
        <v>lost money</v>
      </c>
    </row>
    <row r="7436" spans="1:10">
      <c r="A7436" s="1">
        <v>41228</v>
      </c>
      <c r="B7436">
        <v>66.760000000000005</v>
      </c>
      <c r="C7436">
        <v>67</v>
      </c>
      <c r="D7436">
        <v>65.83</v>
      </c>
      <c r="E7436">
        <v>66.319999999999993</v>
      </c>
      <c r="F7436">
        <v>9290000</v>
      </c>
      <c r="G7436">
        <v>63.84</v>
      </c>
      <c r="H7436" t="s">
        <v>12</v>
      </c>
      <c r="I7436" s="22">
        <f t="shared" si="233"/>
        <v>-3.1279349869606323E-3</v>
      </c>
      <c r="J7436" s="22" t="str">
        <f t="shared" si="234"/>
        <v>lost money</v>
      </c>
    </row>
    <row r="7437" spans="1:10">
      <c r="A7437" s="1">
        <v>41229</v>
      </c>
      <c r="B7437">
        <v>66.36</v>
      </c>
      <c r="C7437">
        <v>66.97</v>
      </c>
      <c r="D7437">
        <v>66.14</v>
      </c>
      <c r="E7437">
        <v>66.819999999999993</v>
      </c>
      <c r="F7437">
        <v>11354200</v>
      </c>
      <c r="G7437">
        <v>64.319999999999993</v>
      </c>
      <c r="H7437" t="s">
        <v>12</v>
      </c>
      <c r="I7437" s="22">
        <f t="shared" si="233"/>
        <v>7.4906717291574384E-3</v>
      </c>
      <c r="J7437" s="22" t="str">
        <f t="shared" si="234"/>
        <v/>
      </c>
    </row>
    <row r="7438" spans="1:10">
      <c r="A7438" s="1">
        <v>41232</v>
      </c>
      <c r="B7438">
        <v>66.989999999999995</v>
      </c>
      <c r="C7438">
        <v>67.92</v>
      </c>
      <c r="D7438">
        <v>66.86</v>
      </c>
      <c r="E7438">
        <v>67.92</v>
      </c>
      <c r="F7438">
        <v>8741400</v>
      </c>
      <c r="G7438">
        <v>65.38</v>
      </c>
      <c r="H7438" t="s">
        <v>12</v>
      </c>
      <c r="I7438" s="22">
        <f t="shared" si="233"/>
        <v>1.6345776425353696E-2</v>
      </c>
      <c r="J7438" s="22" t="str">
        <f t="shared" si="234"/>
        <v/>
      </c>
    </row>
    <row r="7439" spans="1:10">
      <c r="A7439" s="1">
        <v>41233</v>
      </c>
      <c r="B7439">
        <v>67.81</v>
      </c>
      <c r="C7439">
        <v>68.489999999999995</v>
      </c>
      <c r="D7439">
        <v>67.760000000000005</v>
      </c>
      <c r="E7439">
        <v>68.3</v>
      </c>
      <c r="F7439">
        <v>7611600</v>
      </c>
      <c r="G7439">
        <v>65.739999999999995</v>
      </c>
      <c r="H7439" t="s">
        <v>12</v>
      </c>
      <c r="I7439" s="22">
        <f t="shared" si="233"/>
        <v>5.4911669400086738E-3</v>
      </c>
      <c r="J7439" s="22" t="str">
        <f t="shared" si="234"/>
        <v/>
      </c>
    </row>
    <row r="7440" spans="1:10">
      <c r="A7440" s="1">
        <v>41234</v>
      </c>
      <c r="B7440">
        <v>68.16</v>
      </c>
      <c r="C7440">
        <v>68.5</v>
      </c>
      <c r="D7440">
        <v>67.97</v>
      </c>
      <c r="E7440">
        <v>68.47</v>
      </c>
      <c r="F7440">
        <v>6201400</v>
      </c>
      <c r="G7440">
        <v>65.900000000000006</v>
      </c>
      <c r="H7440" t="s">
        <v>12</v>
      </c>
      <c r="I7440" s="22">
        <f t="shared" si="233"/>
        <v>2.4308732723882791E-3</v>
      </c>
      <c r="J7440" s="22" t="str">
        <f t="shared" si="234"/>
        <v/>
      </c>
    </row>
    <row r="7441" spans="1:10">
      <c r="A7441" s="1">
        <v>41236</v>
      </c>
      <c r="B7441">
        <v>68.75</v>
      </c>
      <c r="C7441">
        <v>69.61</v>
      </c>
      <c r="D7441">
        <v>68.709999999999994</v>
      </c>
      <c r="E7441">
        <v>69.59</v>
      </c>
      <c r="F7441">
        <v>4598200</v>
      </c>
      <c r="G7441">
        <v>66.98</v>
      </c>
      <c r="H7441" t="s">
        <v>12</v>
      </c>
      <c r="I7441" s="22">
        <f t="shared" si="233"/>
        <v>1.625562585759693E-2</v>
      </c>
      <c r="J7441" s="22" t="str">
        <f t="shared" si="234"/>
        <v/>
      </c>
    </row>
    <row r="7442" spans="1:10">
      <c r="A7442" s="1">
        <v>41239</v>
      </c>
      <c r="B7442">
        <v>69.14</v>
      </c>
      <c r="C7442">
        <v>69.569999999999993</v>
      </c>
      <c r="D7442">
        <v>69.05</v>
      </c>
      <c r="E7442">
        <v>69.48</v>
      </c>
      <c r="F7442">
        <v>7493600</v>
      </c>
      <c r="G7442">
        <v>66.88</v>
      </c>
      <c r="H7442" t="s">
        <v>12</v>
      </c>
      <c r="I7442" s="22">
        <f t="shared" si="233"/>
        <v>-1.4940985896124347E-3</v>
      </c>
      <c r="J7442" s="22" t="str">
        <f t="shared" si="234"/>
        <v/>
      </c>
    </row>
    <row r="7443" spans="1:10">
      <c r="A7443" s="1">
        <v>41240</v>
      </c>
      <c r="B7443">
        <v>69.2</v>
      </c>
      <c r="C7443">
        <v>69.48</v>
      </c>
      <c r="D7443">
        <v>68.91</v>
      </c>
      <c r="E7443">
        <v>68.989999999999995</v>
      </c>
      <c r="F7443">
        <v>8154300</v>
      </c>
      <c r="G7443">
        <v>66.41</v>
      </c>
      <c r="H7443" t="s">
        <v>12</v>
      </c>
      <c r="I7443" s="22">
        <f t="shared" si="233"/>
        <v>-7.052321223823853E-3</v>
      </c>
      <c r="J7443" s="22" t="str">
        <f t="shared" si="234"/>
        <v>lost money</v>
      </c>
    </row>
    <row r="7444" spans="1:10">
      <c r="A7444" s="1">
        <v>41241</v>
      </c>
      <c r="B7444">
        <v>69</v>
      </c>
      <c r="C7444">
        <v>69.739999999999995</v>
      </c>
      <c r="D7444">
        <v>68.900000000000006</v>
      </c>
      <c r="E7444">
        <v>69.44</v>
      </c>
      <c r="F7444">
        <v>11255800</v>
      </c>
      <c r="G7444">
        <v>66.84</v>
      </c>
      <c r="H7444" t="s">
        <v>12</v>
      </c>
      <c r="I7444" s="22">
        <f t="shared" si="233"/>
        <v>6.4540561745708349E-3</v>
      </c>
      <c r="J7444" s="22" t="str">
        <f t="shared" si="234"/>
        <v/>
      </c>
    </row>
    <row r="7445" spans="1:10">
      <c r="A7445" s="1">
        <v>41242</v>
      </c>
      <c r="B7445">
        <v>69.41</v>
      </c>
      <c r="C7445">
        <v>69.8</v>
      </c>
      <c r="D7445">
        <v>69.13</v>
      </c>
      <c r="E7445">
        <v>69.5</v>
      </c>
      <c r="F7445">
        <v>8783800</v>
      </c>
      <c r="G7445">
        <v>66.900000000000006</v>
      </c>
      <c r="H7445" t="s">
        <v>12</v>
      </c>
      <c r="I7445" s="22">
        <f t="shared" si="233"/>
        <v>8.9726340698990503E-4</v>
      </c>
      <c r="J7445" s="22" t="str">
        <f t="shared" si="234"/>
        <v/>
      </c>
    </row>
    <row r="7446" spans="1:10">
      <c r="A7446" s="1">
        <v>41243</v>
      </c>
      <c r="B7446">
        <v>69.37</v>
      </c>
      <c r="C7446">
        <v>69.89</v>
      </c>
      <c r="D7446">
        <v>69.37</v>
      </c>
      <c r="E7446">
        <v>69.83</v>
      </c>
      <c r="F7446">
        <v>8886800</v>
      </c>
      <c r="G7446">
        <v>67.209999999999994</v>
      </c>
      <c r="H7446" t="s">
        <v>12</v>
      </c>
      <c r="I7446" s="22">
        <f t="shared" si="233"/>
        <v>4.6230788476915767E-3</v>
      </c>
      <c r="J7446" s="22" t="str">
        <f t="shared" si="234"/>
        <v/>
      </c>
    </row>
    <row r="7447" spans="1:10">
      <c r="A7447" s="1">
        <v>41246</v>
      </c>
      <c r="B7447">
        <v>69.84</v>
      </c>
      <c r="C7447">
        <v>69.930000000000007</v>
      </c>
      <c r="D7447">
        <v>69.5</v>
      </c>
      <c r="E7447">
        <v>69.58</v>
      </c>
      <c r="F7447">
        <v>7404600</v>
      </c>
      <c r="G7447">
        <v>66.97</v>
      </c>
      <c r="H7447" t="s">
        <v>12</v>
      </c>
      <c r="I7447" s="22">
        <f t="shared" si="233"/>
        <v>-3.5772880599155756E-3</v>
      </c>
      <c r="J7447" s="22" t="str">
        <f t="shared" si="234"/>
        <v>lost money</v>
      </c>
    </row>
    <row r="7448" spans="1:10">
      <c r="A7448" s="1">
        <v>41247</v>
      </c>
      <c r="B7448">
        <v>69.5</v>
      </c>
      <c r="C7448">
        <v>69.849999999999994</v>
      </c>
      <c r="D7448">
        <v>69.069999999999993</v>
      </c>
      <c r="E7448">
        <v>69.31</v>
      </c>
      <c r="F7448">
        <v>6634900</v>
      </c>
      <c r="G7448">
        <v>66.709999999999994</v>
      </c>
      <c r="H7448" t="s">
        <v>12</v>
      </c>
      <c r="I7448" s="22">
        <f t="shared" si="233"/>
        <v>-3.889891200534833E-3</v>
      </c>
      <c r="J7448" s="22" t="str">
        <f t="shared" si="234"/>
        <v>lost money</v>
      </c>
    </row>
    <row r="7449" spans="1:10">
      <c r="A7449" s="1">
        <v>41248</v>
      </c>
      <c r="B7449">
        <v>69.48</v>
      </c>
      <c r="C7449">
        <v>69.88</v>
      </c>
      <c r="D7449">
        <v>69.08</v>
      </c>
      <c r="E7449">
        <v>69.41</v>
      </c>
      <c r="F7449">
        <v>7623400</v>
      </c>
      <c r="G7449">
        <v>66.81</v>
      </c>
      <c r="H7449" t="s">
        <v>12</v>
      </c>
      <c r="I7449" s="22">
        <f t="shared" si="233"/>
        <v>1.497903215962048E-3</v>
      </c>
      <c r="J7449" s="22" t="str">
        <f t="shared" si="234"/>
        <v>lost money</v>
      </c>
    </row>
    <row r="7450" spans="1:10">
      <c r="A7450" s="1">
        <v>41249</v>
      </c>
      <c r="B7450">
        <v>69.48</v>
      </c>
      <c r="C7450">
        <v>70.239999999999995</v>
      </c>
      <c r="D7450">
        <v>69.44</v>
      </c>
      <c r="E7450">
        <v>69.95</v>
      </c>
      <c r="F7450">
        <v>10686900</v>
      </c>
      <c r="G7450">
        <v>67.33</v>
      </c>
      <c r="H7450" t="s">
        <v>12</v>
      </c>
      <c r="I7450" s="22">
        <f t="shared" si="233"/>
        <v>7.7531326198035195E-3</v>
      </c>
      <c r="J7450" s="22" t="str">
        <f t="shared" si="234"/>
        <v/>
      </c>
    </row>
    <row r="7451" spans="1:10">
      <c r="A7451" s="1">
        <v>41250</v>
      </c>
      <c r="B7451">
        <v>69.849999999999994</v>
      </c>
      <c r="C7451">
        <v>70.66</v>
      </c>
      <c r="D7451">
        <v>69.849999999999994</v>
      </c>
      <c r="E7451">
        <v>70.290000000000006</v>
      </c>
      <c r="F7451">
        <v>11590900</v>
      </c>
      <c r="G7451">
        <v>67.66</v>
      </c>
      <c r="H7451" t="s">
        <v>12</v>
      </c>
      <c r="I7451" s="22">
        <f t="shared" si="233"/>
        <v>4.8892607953727844E-3</v>
      </c>
      <c r="J7451" s="22" t="str">
        <f t="shared" si="234"/>
        <v/>
      </c>
    </row>
    <row r="7452" spans="1:10">
      <c r="A7452" s="1">
        <v>41253</v>
      </c>
      <c r="B7452">
        <v>70.12</v>
      </c>
      <c r="C7452">
        <v>70.42</v>
      </c>
      <c r="D7452">
        <v>70.03</v>
      </c>
      <c r="E7452">
        <v>70.22</v>
      </c>
      <c r="F7452">
        <v>8124100</v>
      </c>
      <c r="G7452">
        <v>67.59</v>
      </c>
      <c r="H7452" t="s">
        <v>12</v>
      </c>
      <c r="I7452" s="22">
        <f t="shared" si="233"/>
        <v>-1.0351202402995874E-3</v>
      </c>
      <c r="J7452" s="22" t="str">
        <f t="shared" si="234"/>
        <v/>
      </c>
    </row>
    <row r="7453" spans="1:10">
      <c r="A7453" s="1">
        <v>41254</v>
      </c>
      <c r="B7453">
        <v>70.290000000000006</v>
      </c>
      <c r="C7453">
        <v>70.97</v>
      </c>
      <c r="D7453">
        <v>70.14</v>
      </c>
      <c r="E7453">
        <v>70.66</v>
      </c>
      <c r="F7453">
        <v>9298000</v>
      </c>
      <c r="G7453">
        <v>68.010000000000005</v>
      </c>
      <c r="H7453" t="s">
        <v>12</v>
      </c>
      <c r="I7453" s="22">
        <f t="shared" si="233"/>
        <v>6.1947100752846188E-3</v>
      </c>
      <c r="J7453" s="22" t="str">
        <f t="shared" si="234"/>
        <v/>
      </c>
    </row>
    <row r="7454" spans="1:10">
      <c r="A7454" s="1">
        <v>41255</v>
      </c>
      <c r="B7454">
        <v>70.760000000000005</v>
      </c>
      <c r="C7454">
        <v>70.989999999999995</v>
      </c>
      <c r="D7454">
        <v>70.61</v>
      </c>
      <c r="E7454">
        <v>70.760000000000005</v>
      </c>
      <c r="F7454">
        <v>8405900</v>
      </c>
      <c r="G7454">
        <v>68.11</v>
      </c>
      <c r="H7454" t="s">
        <v>12</v>
      </c>
      <c r="I7454" s="22">
        <f t="shared" si="233"/>
        <v>1.4692920656795669E-3</v>
      </c>
      <c r="J7454" s="22" t="str">
        <f t="shared" si="234"/>
        <v/>
      </c>
    </row>
    <row r="7455" spans="1:10">
      <c r="A7455" s="1">
        <v>41256</v>
      </c>
      <c r="B7455">
        <v>70.55</v>
      </c>
      <c r="C7455">
        <v>70.64</v>
      </c>
      <c r="D7455">
        <v>69.900000000000006</v>
      </c>
      <c r="E7455">
        <v>70.13</v>
      </c>
      <c r="F7455">
        <v>8478200</v>
      </c>
      <c r="G7455">
        <v>67.5</v>
      </c>
      <c r="H7455" t="s">
        <v>12</v>
      </c>
      <c r="I7455" s="22">
        <f t="shared" si="233"/>
        <v>-8.9964473747428022E-3</v>
      </c>
      <c r="J7455" s="22" t="str">
        <f t="shared" si="234"/>
        <v>lost money</v>
      </c>
    </row>
    <row r="7456" spans="1:10">
      <c r="A7456" s="1">
        <v>41257</v>
      </c>
      <c r="B7456">
        <v>69.92</v>
      </c>
      <c r="C7456">
        <v>70.47</v>
      </c>
      <c r="D7456">
        <v>69.78</v>
      </c>
      <c r="E7456">
        <v>69.930000000000007</v>
      </c>
      <c r="F7456">
        <v>8997600</v>
      </c>
      <c r="G7456">
        <v>67.31</v>
      </c>
      <c r="H7456" t="s">
        <v>12</v>
      </c>
      <c r="I7456" s="22">
        <f t="shared" si="233"/>
        <v>-2.8187838558624109E-3</v>
      </c>
      <c r="J7456" s="22" t="str">
        <f t="shared" si="234"/>
        <v/>
      </c>
    </row>
    <row r="7457" spans="1:10">
      <c r="A7457" s="1">
        <v>41260</v>
      </c>
      <c r="B7457">
        <v>69.95</v>
      </c>
      <c r="C7457">
        <v>70.150000000000006</v>
      </c>
      <c r="D7457">
        <v>69.62</v>
      </c>
      <c r="E7457">
        <v>69.930000000000007</v>
      </c>
      <c r="F7457">
        <v>8791500</v>
      </c>
      <c r="G7457">
        <v>67.31</v>
      </c>
      <c r="H7457" t="s">
        <v>12</v>
      </c>
      <c r="I7457" s="22">
        <f t="shared" si="233"/>
        <v>0</v>
      </c>
      <c r="J7457" s="22" t="str">
        <f t="shared" si="234"/>
        <v>lost money</v>
      </c>
    </row>
    <row r="7458" spans="1:10">
      <c r="A7458" s="1">
        <v>41261</v>
      </c>
      <c r="B7458">
        <v>69.89</v>
      </c>
      <c r="C7458">
        <v>70.28</v>
      </c>
      <c r="D7458">
        <v>69.430000000000007</v>
      </c>
      <c r="E7458">
        <v>69.97</v>
      </c>
      <c r="F7458">
        <v>13568900</v>
      </c>
      <c r="G7458">
        <v>67.349999999999994</v>
      </c>
      <c r="H7458" t="s">
        <v>12</v>
      </c>
      <c r="I7458" s="22">
        <f t="shared" si="233"/>
        <v>5.9408883375110862E-4</v>
      </c>
      <c r="J7458" s="22" t="str">
        <f t="shared" si="234"/>
        <v/>
      </c>
    </row>
    <row r="7459" spans="1:10">
      <c r="A7459" s="1">
        <v>41262</v>
      </c>
      <c r="B7459">
        <v>69.760000000000005</v>
      </c>
      <c r="C7459">
        <v>69.989999999999995</v>
      </c>
      <c r="D7459">
        <v>68.77</v>
      </c>
      <c r="E7459">
        <v>69.34</v>
      </c>
      <c r="F7459">
        <v>10304800</v>
      </c>
      <c r="G7459">
        <v>66.739999999999995</v>
      </c>
      <c r="H7459" t="s">
        <v>12</v>
      </c>
      <c r="I7459" s="22">
        <f t="shared" si="233"/>
        <v>-9.0984295331450436E-3</v>
      </c>
      <c r="J7459" s="22" t="str">
        <f t="shared" si="234"/>
        <v>lost money</v>
      </c>
    </row>
    <row r="7460" spans="1:10">
      <c r="A7460" s="1">
        <v>41263</v>
      </c>
      <c r="B7460">
        <v>69.3</v>
      </c>
      <c r="C7460">
        <v>70.25</v>
      </c>
      <c r="D7460">
        <v>69.3</v>
      </c>
      <c r="E7460">
        <v>69.819999999999993</v>
      </c>
      <c r="F7460">
        <v>10218200</v>
      </c>
      <c r="G7460">
        <v>67.2</v>
      </c>
      <c r="H7460" t="s">
        <v>12</v>
      </c>
      <c r="I7460" s="22">
        <f t="shared" si="233"/>
        <v>6.8687742058759528E-3</v>
      </c>
      <c r="J7460" s="22" t="str">
        <f t="shared" si="234"/>
        <v/>
      </c>
    </row>
    <row r="7461" spans="1:10">
      <c r="A7461" s="1">
        <v>41264</v>
      </c>
      <c r="B7461">
        <v>69.430000000000007</v>
      </c>
      <c r="C7461">
        <v>69.819999999999993</v>
      </c>
      <c r="D7461">
        <v>68.38</v>
      </c>
      <c r="E7461">
        <v>68.72</v>
      </c>
      <c r="F7461">
        <v>17746900</v>
      </c>
      <c r="G7461">
        <v>66.150000000000006</v>
      </c>
      <c r="H7461" t="s">
        <v>12</v>
      </c>
      <c r="I7461" s="22">
        <f t="shared" si="233"/>
        <v>-1.5748356968139168E-2</v>
      </c>
      <c r="J7461" s="22" t="str">
        <f t="shared" si="234"/>
        <v>lost money</v>
      </c>
    </row>
    <row r="7462" spans="1:10">
      <c r="A7462" s="1">
        <v>41267</v>
      </c>
      <c r="B7462">
        <v>68.67</v>
      </c>
      <c r="C7462">
        <v>68.69</v>
      </c>
      <c r="D7462">
        <v>68.239999999999995</v>
      </c>
      <c r="E7462">
        <v>68.52</v>
      </c>
      <c r="F7462">
        <v>3578800</v>
      </c>
      <c r="G7462">
        <v>65.95</v>
      </c>
      <c r="H7462" t="s">
        <v>12</v>
      </c>
      <c r="I7462" s="22">
        <f t="shared" si="233"/>
        <v>-3.0280113976411016E-3</v>
      </c>
      <c r="J7462" s="22" t="str">
        <f t="shared" si="234"/>
        <v>lost money</v>
      </c>
    </row>
    <row r="7463" spans="1:10">
      <c r="A7463" s="1">
        <v>41269</v>
      </c>
      <c r="B7463">
        <v>68.569999999999993</v>
      </c>
      <c r="C7463">
        <v>68.59</v>
      </c>
      <c r="D7463">
        <v>67.7</v>
      </c>
      <c r="E7463">
        <v>68</v>
      </c>
      <c r="F7463">
        <v>6937000</v>
      </c>
      <c r="G7463">
        <v>65.45</v>
      </c>
      <c r="H7463" t="s">
        <v>12</v>
      </c>
      <c r="I7463" s="22">
        <f t="shared" si="233"/>
        <v>-7.6103868074147204E-3</v>
      </c>
      <c r="J7463" s="22" t="str">
        <f t="shared" si="234"/>
        <v>lost money</v>
      </c>
    </row>
    <row r="7464" spans="1:10">
      <c r="A7464" s="1">
        <v>41270</v>
      </c>
      <c r="B7464">
        <v>67.88</v>
      </c>
      <c r="C7464">
        <v>68.16</v>
      </c>
      <c r="D7464">
        <v>67.41</v>
      </c>
      <c r="E7464">
        <v>67.97</v>
      </c>
      <c r="F7464">
        <v>7648800</v>
      </c>
      <c r="G7464">
        <v>65.42</v>
      </c>
      <c r="H7464" t="s">
        <v>12</v>
      </c>
      <c r="I7464" s="22">
        <f t="shared" si="233"/>
        <v>-4.5847024567114347E-4</v>
      </c>
      <c r="J7464" s="22" t="str">
        <f t="shared" si="234"/>
        <v/>
      </c>
    </row>
    <row r="7465" spans="1:10">
      <c r="A7465" s="1">
        <v>41271</v>
      </c>
      <c r="B7465">
        <v>67.73</v>
      </c>
      <c r="C7465">
        <v>67.91</v>
      </c>
      <c r="D7465">
        <v>67.06</v>
      </c>
      <c r="E7465">
        <v>67.150000000000006</v>
      </c>
      <c r="F7465">
        <v>6463300</v>
      </c>
      <c r="G7465">
        <v>64.63</v>
      </c>
      <c r="H7465" t="s">
        <v>12</v>
      </c>
      <c r="I7465" s="22">
        <f t="shared" si="233"/>
        <v>-1.2149322835433869E-2</v>
      </c>
      <c r="J7465" s="22" t="str">
        <f t="shared" si="234"/>
        <v>lost money</v>
      </c>
    </row>
    <row r="7466" spans="1:10">
      <c r="A7466" s="1">
        <v>41274</v>
      </c>
      <c r="B7466">
        <v>67</v>
      </c>
      <c r="C7466">
        <v>67.97</v>
      </c>
      <c r="D7466">
        <v>66.83</v>
      </c>
      <c r="E7466">
        <v>67.89</v>
      </c>
      <c r="F7466">
        <v>9061900</v>
      </c>
      <c r="G7466">
        <v>65.349999999999994</v>
      </c>
      <c r="H7466" t="s">
        <v>12</v>
      </c>
      <c r="I7466" s="22">
        <f t="shared" si="233"/>
        <v>1.107874079542683E-2</v>
      </c>
      <c r="J7466" s="22" t="str">
        <f t="shared" si="234"/>
        <v/>
      </c>
    </row>
    <row r="7467" spans="1:10">
      <c r="A7467" s="1">
        <v>41276</v>
      </c>
      <c r="B7467">
        <v>68.650000000000006</v>
      </c>
      <c r="C7467">
        <v>69.39</v>
      </c>
      <c r="D7467">
        <v>68.349999999999994</v>
      </c>
      <c r="E7467">
        <v>69.39</v>
      </c>
      <c r="F7467">
        <v>9987000</v>
      </c>
      <c r="G7467">
        <v>66.790000000000006</v>
      </c>
      <c r="H7467" t="s">
        <v>12</v>
      </c>
      <c r="I7467" s="22">
        <f t="shared" si="233"/>
        <v>2.1795928667313884E-2</v>
      </c>
      <c r="J7467" s="22" t="str">
        <f t="shared" si="234"/>
        <v/>
      </c>
    </row>
    <row r="7468" spans="1:10">
      <c r="A7468" s="1">
        <v>41277</v>
      </c>
      <c r="B7468">
        <v>69.44</v>
      </c>
      <c r="C7468">
        <v>69.5</v>
      </c>
      <c r="D7468">
        <v>68.94</v>
      </c>
      <c r="E7468">
        <v>68.95</v>
      </c>
      <c r="F7468">
        <v>7741900</v>
      </c>
      <c r="G7468">
        <v>66.37</v>
      </c>
      <c r="H7468" t="s">
        <v>12</v>
      </c>
      <c r="I7468" s="22">
        <f t="shared" si="233"/>
        <v>-6.3082215797110137E-3</v>
      </c>
      <c r="J7468" s="22" t="str">
        <f t="shared" si="234"/>
        <v>lost money</v>
      </c>
    </row>
    <row r="7469" spans="1:10">
      <c r="A7469" s="1">
        <v>41278</v>
      </c>
      <c r="B7469">
        <v>69.010000000000005</v>
      </c>
      <c r="C7469">
        <v>69.17</v>
      </c>
      <c r="D7469">
        <v>68.680000000000007</v>
      </c>
      <c r="E7469">
        <v>69.09</v>
      </c>
      <c r="F7469">
        <v>5853700</v>
      </c>
      <c r="G7469">
        <v>66.5</v>
      </c>
      <c r="H7469" t="s">
        <v>12</v>
      </c>
      <c r="I7469" s="22">
        <f t="shared" si="233"/>
        <v>1.9568005039748088E-3</v>
      </c>
      <c r="J7469" s="22" t="str">
        <f t="shared" si="234"/>
        <v/>
      </c>
    </row>
    <row r="7470" spans="1:10">
      <c r="A7470" s="1">
        <v>41281</v>
      </c>
      <c r="B7470">
        <v>68.92</v>
      </c>
      <c r="C7470">
        <v>68.92</v>
      </c>
      <c r="D7470">
        <v>68.38</v>
      </c>
      <c r="E7470">
        <v>68.62</v>
      </c>
      <c r="F7470">
        <v>5269800</v>
      </c>
      <c r="G7470">
        <v>66.05</v>
      </c>
      <c r="H7470" t="s">
        <v>12</v>
      </c>
      <c r="I7470" s="22">
        <f t="shared" si="233"/>
        <v>-6.7899166934741358E-3</v>
      </c>
      <c r="J7470" s="22" t="str">
        <f t="shared" si="234"/>
        <v>lost money</v>
      </c>
    </row>
    <row r="7471" spans="1:10">
      <c r="A7471" s="1">
        <v>41282</v>
      </c>
      <c r="B7471">
        <v>68.52</v>
      </c>
      <c r="C7471">
        <v>68.73</v>
      </c>
      <c r="D7471">
        <v>68.400000000000006</v>
      </c>
      <c r="E7471">
        <v>68.510000000000005</v>
      </c>
      <c r="F7471">
        <v>7362000</v>
      </c>
      <c r="G7471">
        <v>65.94</v>
      </c>
      <c r="H7471" t="s">
        <v>12</v>
      </c>
      <c r="I7471" s="22">
        <f t="shared" si="233"/>
        <v>-1.6667933247492667E-3</v>
      </c>
      <c r="J7471" s="22" t="str">
        <f t="shared" si="234"/>
        <v>lost money</v>
      </c>
    </row>
    <row r="7472" spans="1:10">
      <c r="A7472" s="1">
        <v>41283</v>
      </c>
      <c r="B7472">
        <v>68.77</v>
      </c>
      <c r="C7472">
        <v>69.11</v>
      </c>
      <c r="D7472">
        <v>68.61</v>
      </c>
      <c r="E7472">
        <v>68.88</v>
      </c>
      <c r="F7472">
        <v>5762900</v>
      </c>
      <c r="G7472">
        <v>66.3</v>
      </c>
      <c r="H7472" t="s">
        <v>12</v>
      </c>
      <c r="I7472" s="22">
        <f t="shared" si="233"/>
        <v>5.4446595482317639E-3</v>
      </c>
      <c r="J7472" s="22" t="str">
        <f t="shared" si="234"/>
        <v/>
      </c>
    </row>
    <row r="7473" spans="1:10">
      <c r="A7473" s="1">
        <v>41284</v>
      </c>
      <c r="B7473">
        <v>68.98</v>
      </c>
      <c r="C7473">
        <v>69.290000000000006</v>
      </c>
      <c r="D7473">
        <v>68.680000000000007</v>
      </c>
      <c r="E7473">
        <v>69.27</v>
      </c>
      <c r="F7473">
        <v>12855000</v>
      </c>
      <c r="G7473">
        <v>66.67</v>
      </c>
      <c r="H7473" t="s">
        <v>12</v>
      </c>
      <c r="I7473" s="22">
        <f t="shared" si="233"/>
        <v>5.5651794381518082E-3</v>
      </c>
      <c r="J7473" s="22" t="str">
        <f t="shared" si="234"/>
        <v/>
      </c>
    </row>
    <row r="7474" spans="1:10">
      <c r="A7474" s="1">
        <v>41285</v>
      </c>
      <c r="B7474">
        <v>69.3</v>
      </c>
      <c r="C7474">
        <v>69.3</v>
      </c>
      <c r="D7474">
        <v>69.010000000000005</v>
      </c>
      <c r="E7474">
        <v>69.22</v>
      </c>
      <c r="F7474">
        <v>12193500</v>
      </c>
      <c r="G7474">
        <v>66.63</v>
      </c>
      <c r="H7474" t="s">
        <v>12</v>
      </c>
      <c r="I7474" s="22">
        <f t="shared" si="233"/>
        <v>-6.0015005552298772E-4</v>
      </c>
      <c r="J7474" s="22" t="str">
        <f t="shared" si="234"/>
        <v>lost money</v>
      </c>
    </row>
    <row r="7475" spans="1:10">
      <c r="A7475" s="1">
        <v>41288</v>
      </c>
      <c r="B7475">
        <v>69.31</v>
      </c>
      <c r="C7475">
        <v>69.97</v>
      </c>
      <c r="D7475">
        <v>69.23</v>
      </c>
      <c r="E7475">
        <v>69.63</v>
      </c>
      <c r="F7475">
        <v>11570700</v>
      </c>
      <c r="G7475">
        <v>67.02</v>
      </c>
      <c r="H7475" t="s">
        <v>12</v>
      </c>
      <c r="I7475" s="22">
        <f t="shared" si="233"/>
        <v>5.8361557347186427E-3</v>
      </c>
      <c r="J7475" s="22" t="str">
        <f t="shared" si="234"/>
        <v/>
      </c>
    </row>
    <row r="7476" spans="1:10">
      <c r="A7476" s="1">
        <v>41289</v>
      </c>
      <c r="B7476">
        <v>69.16</v>
      </c>
      <c r="C7476">
        <v>69.959999999999994</v>
      </c>
      <c r="D7476">
        <v>69.150000000000006</v>
      </c>
      <c r="E7476">
        <v>69.88</v>
      </c>
      <c r="F7476">
        <v>7563400</v>
      </c>
      <c r="G7476">
        <v>67.260000000000005</v>
      </c>
      <c r="H7476" t="s">
        <v>12</v>
      </c>
      <c r="I7476" s="22">
        <f t="shared" si="233"/>
        <v>3.5746240029594259E-3</v>
      </c>
      <c r="J7476" s="22" t="str">
        <f t="shared" si="234"/>
        <v/>
      </c>
    </row>
    <row r="7477" spans="1:10">
      <c r="A7477" s="1">
        <v>41290</v>
      </c>
      <c r="B7477">
        <v>69.42</v>
      </c>
      <c r="C7477">
        <v>69.7</v>
      </c>
      <c r="D7477">
        <v>69.11</v>
      </c>
      <c r="E7477">
        <v>69.34</v>
      </c>
      <c r="F7477">
        <v>7061000</v>
      </c>
      <c r="G7477">
        <v>67.28</v>
      </c>
      <c r="H7477" t="s">
        <v>12</v>
      </c>
      <c r="I7477" s="22">
        <f t="shared" si="233"/>
        <v>2.9730935256912103E-4</v>
      </c>
      <c r="J7477" s="22" t="str">
        <f t="shared" si="234"/>
        <v>lost money</v>
      </c>
    </row>
    <row r="7478" spans="1:10">
      <c r="A7478" s="1">
        <v>41291</v>
      </c>
      <c r="B7478">
        <v>69.56</v>
      </c>
      <c r="C7478">
        <v>69.959999999999994</v>
      </c>
      <c r="D7478">
        <v>69.34</v>
      </c>
      <c r="E7478">
        <v>69.67</v>
      </c>
      <c r="F7478">
        <v>6263300</v>
      </c>
      <c r="G7478">
        <v>67.599999999999994</v>
      </c>
      <c r="H7478" t="s">
        <v>12</v>
      </c>
      <c r="I7478" s="22">
        <f t="shared" si="233"/>
        <v>4.7449673842257329E-3</v>
      </c>
      <c r="J7478" s="22" t="str">
        <f t="shared" si="234"/>
        <v/>
      </c>
    </row>
    <row r="7479" spans="1:10">
      <c r="A7479" s="1">
        <v>41292</v>
      </c>
      <c r="B7479">
        <v>69.69</v>
      </c>
      <c r="C7479">
        <v>70</v>
      </c>
      <c r="D7479">
        <v>69.67</v>
      </c>
      <c r="E7479">
        <v>69.94</v>
      </c>
      <c r="F7479">
        <v>10610800</v>
      </c>
      <c r="G7479">
        <v>67.87</v>
      </c>
      <c r="H7479" t="s">
        <v>12</v>
      </c>
      <c r="I7479" s="22">
        <f t="shared" si="233"/>
        <v>3.9861276667488409E-3</v>
      </c>
      <c r="J7479" s="22" t="str">
        <f t="shared" si="234"/>
        <v/>
      </c>
    </row>
    <row r="7480" spans="1:10">
      <c r="A7480" s="1">
        <v>41296</v>
      </c>
      <c r="B7480">
        <v>69.86</v>
      </c>
      <c r="C7480">
        <v>69.98</v>
      </c>
      <c r="D7480">
        <v>69.75</v>
      </c>
      <c r="E7480">
        <v>69.95</v>
      </c>
      <c r="F7480">
        <v>8313600</v>
      </c>
      <c r="G7480">
        <v>67.88</v>
      </c>
      <c r="H7480" t="s">
        <v>12</v>
      </c>
      <c r="I7480" s="22">
        <f t="shared" si="233"/>
        <v>1.4732965035835579E-4</v>
      </c>
      <c r="J7480" s="22" t="str">
        <f t="shared" si="234"/>
        <v/>
      </c>
    </row>
    <row r="7481" spans="1:10">
      <c r="A7481" s="1">
        <v>41297</v>
      </c>
      <c r="B7481">
        <v>69.84</v>
      </c>
      <c r="C7481">
        <v>70.7</v>
      </c>
      <c r="D7481">
        <v>69.8</v>
      </c>
      <c r="E7481">
        <v>70.69</v>
      </c>
      <c r="F7481">
        <v>10588600</v>
      </c>
      <c r="G7481">
        <v>68.59</v>
      </c>
      <c r="H7481" t="s">
        <v>12</v>
      </c>
      <c r="I7481" s="22">
        <f t="shared" si="233"/>
        <v>1.0405311145204672E-2</v>
      </c>
      <c r="J7481" s="22" t="str">
        <f t="shared" si="234"/>
        <v/>
      </c>
    </row>
    <row r="7482" spans="1:10">
      <c r="A7482" s="1">
        <v>41298</v>
      </c>
      <c r="B7482">
        <v>70.680000000000007</v>
      </c>
      <c r="C7482">
        <v>70.849999999999994</v>
      </c>
      <c r="D7482">
        <v>70.2</v>
      </c>
      <c r="E7482">
        <v>70.42</v>
      </c>
      <c r="F7482">
        <v>8877200</v>
      </c>
      <c r="G7482">
        <v>68.33</v>
      </c>
      <c r="H7482" t="s">
        <v>12</v>
      </c>
      <c r="I7482" s="22">
        <f t="shared" si="233"/>
        <v>-3.7978427185432016E-3</v>
      </c>
      <c r="J7482" s="22" t="str">
        <f t="shared" si="234"/>
        <v>lost money</v>
      </c>
    </row>
    <row r="7483" spans="1:10">
      <c r="A7483" s="1">
        <v>41299</v>
      </c>
      <c r="B7483">
        <v>71.75</v>
      </c>
      <c r="C7483">
        <v>73.25</v>
      </c>
      <c r="D7483">
        <v>71.75</v>
      </c>
      <c r="E7483">
        <v>73.25</v>
      </c>
      <c r="F7483">
        <v>28760300</v>
      </c>
      <c r="G7483">
        <v>71.08</v>
      </c>
      <c r="H7483" t="s">
        <v>12</v>
      </c>
      <c r="I7483" s="22">
        <f t="shared" si="233"/>
        <v>3.9457094493763709E-2</v>
      </c>
      <c r="J7483" s="22" t="str">
        <f t="shared" si="234"/>
        <v/>
      </c>
    </row>
    <row r="7484" spans="1:10">
      <c r="A7484" s="1">
        <v>41302</v>
      </c>
      <c r="B7484">
        <v>73.73</v>
      </c>
      <c r="C7484">
        <v>74.23</v>
      </c>
      <c r="D7484">
        <v>73.19</v>
      </c>
      <c r="E7484">
        <v>73.77</v>
      </c>
      <c r="F7484">
        <v>14010000</v>
      </c>
      <c r="G7484">
        <v>71.58</v>
      </c>
      <c r="H7484" t="s">
        <v>12</v>
      </c>
      <c r="I7484" s="22">
        <f t="shared" si="233"/>
        <v>7.0097020514290516E-3</v>
      </c>
      <c r="J7484" s="22" t="str">
        <f t="shared" si="234"/>
        <v/>
      </c>
    </row>
    <row r="7485" spans="1:10">
      <c r="A7485" s="1">
        <v>41303</v>
      </c>
      <c r="B7485">
        <v>73.55</v>
      </c>
      <c r="C7485">
        <v>75.31</v>
      </c>
      <c r="D7485">
        <v>73.52</v>
      </c>
      <c r="E7485">
        <v>75</v>
      </c>
      <c r="F7485">
        <v>17576700</v>
      </c>
      <c r="G7485">
        <v>72.78</v>
      </c>
      <c r="H7485" t="s">
        <v>12</v>
      </c>
      <c r="I7485" s="22">
        <f t="shared" si="233"/>
        <v>1.662548684613413E-2</v>
      </c>
      <c r="J7485" s="22" t="str">
        <f t="shared" si="234"/>
        <v/>
      </c>
    </row>
    <row r="7486" spans="1:10">
      <c r="A7486" s="1">
        <v>41304</v>
      </c>
      <c r="B7486">
        <v>74.75</v>
      </c>
      <c r="C7486">
        <v>75.48</v>
      </c>
      <c r="D7486">
        <v>74.67</v>
      </c>
      <c r="E7486">
        <v>75.08</v>
      </c>
      <c r="F7486">
        <v>12677800</v>
      </c>
      <c r="G7486">
        <v>72.849999999999994</v>
      </c>
      <c r="H7486" t="s">
        <v>12</v>
      </c>
      <c r="I7486" s="22">
        <f t="shared" si="233"/>
        <v>9.6134045719988882E-4</v>
      </c>
      <c r="J7486" s="22" t="str">
        <f t="shared" si="234"/>
        <v/>
      </c>
    </row>
    <row r="7487" spans="1:10">
      <c r="A7487" s="1">
        <v>41305</v>
      </c>
      <c r="B7487">
        <v>74.83</v>
      </c>
      <c r="C7487">
        <v>75.260000000000005</v>
      </c>
      <c r="D7487">
        <v>74.67</v>
      </c>
      <c r="E7487">
        <v>75.16</v>
      </c>
      <c r="F7487">
        <v>11661500</v>
      </c>
      <c r="G7487">
        <v>72.930000000000007</v>
      </c>
      <c r="H7487" t="s">
        <v>12</v>
      </c>
      <c r="I7487" s="22">
        <f t="shared" si="233"/>
        <v>1.0975443549279605E-3</v>
      </c>
      <c r="J7487" s="22" t="str">
        <f t="shared" si="234"/>
        <v/>
      </c>
    </row>
    <row r="7488" spans="1:10">
      <c r="A7488" s="1">
        <v>41306</v>
      </c>
      <c r="B7488">
        <v>75.3</v>
      </c>
      <c r="C7488">
        <v>75.97</v>
      </c>
      <c r="D7488">
        <v>75.17</v>
      </c>
      <c r="E7488">
        <v>75.92</v>
      </c>
      <c r="F7488">
        <v>12204000</v>
      </c>
      <c r="G7488">
        <v>73.67</v>
      </c>
      <c r="H7488" t="s">
        <v>12</v>
      </c>
      <c r="I7488" s="22">
        <f t="shared" si="233"/>
        <v>1.0095583698580483E-2</v>
      </c>
      <c r="J7488" s="22" t="str">
        <f t="shared" si="234"/>
        <v/>
      </c>
    </row>
    <row r="7489" spans="1:10">
      <c r="A7489" s="1">
        <v>41309</v>
      </c>
      <c r="B7489">
        <v>75.69</v>
      </c>
      <c r="C7489">
        <v>75.8</v>
      </c>
      <c r="D7489">
        <v>74.95</v>
      </c>
      <c r="E7489">
        <v>75.25</v>
      </c>
      <c r="F7489">
        <v>11086000</v>
      </c>
      <c r="G7489">
        <v>73.02</v>
      </c>
      <c r="H7489" t="s">
        <v>12</v>
      </c>
      <c r="I7489" s="22">
        <f t="shared" si="233"/>
        <v>-8.8622844672314963E-3</v>
      </c>
      <c r="J7489" s="22" t="str">
        <f t="shared" si="234"/>
        <v>lost money</v>
      </c>
    </row>
    <row r="7490" spans="1:10">
      <c r="A7490" s="1">
        <v>41310</v>
      </c>
      <c r="B7490">
        <v>75.44</v>
      </c>
      <c r="C7490">
        <v>76.69</v>
      </c>
      <c r="D7490">
        <v>75.319999999999993</v>
      </c>
      <c r="E7490">
        <v>75.7</v>
      </c>
      <c r="F7490">
        <v>14851700</v>
      </c>
      <c r="G7490">
        <v>73.45</v>
      </c>
      <c r="H7490" t="s">
        <v>12</v>
      </c>
      <c r="I7490" s="22">
        <f t="shared" si="233"/>
        <v>5.871526392395565E-3</v>
      </c>
      <c r="J7490" s="22" t="str">
        <f t="shared" si="234"/>
        <v/>
      </c>
    </row>
    <row r="7491" spans="1:10">
      <c r="A7491" s="1">
        <v>41311</v>
      </c>
      <c r="B7491">
        <v>75.319999999999993</v>
      </c>
      <c r="C7491">
        <v>76.19</v>
      </c>
      <c r="D7491">
        <v>75.040000000000006</v>
      </c>
      <c r="E7491">
        <v>76.150000000000006</v>
      </c>
      <c r="F7491">
        <v>17015800</v>
      </c>
      <c r="G7491">
        <v>73.89</v>
      </c>
      <c r="H7491" t="s">
        <v>12</v>
      </c>
      <c r="I7491" s="22">
        <f t="shared" ref="I7491:I7554" si="235">IF(A7491=$A$2,"",LN(G7491/G7490))</f>
        <v>5.9725981806699547E-3</v>
      </c>
      <c r="J7491" s="22" t="str">
        <f t="shared" ref="J7491:J7554" si="236">IF(B7491&gt;E7491,"lost money","")</f>
        <v/>
      </c>
    </row>
    <row r="7492" spans="1:10">
      <c r="A7492" s="1">
        <v>41312</v>
      </c>
      <c r="B7492">
        <v>75.98</v>
      </c>
      <c r="C7492">
        <v>76.42</v>
      </c>
      <c r="D7492">
        <v>75.790000000000006</v>
      </c>
      <c r="E7492">
        <v>76.150000000000006</v>
      </c>
      <c r="F7492">
        <v>9897000</v>
      </c>
      <c r="G7492">
        <v>73.89</v>
      </c>
      <c r="H7492" t="s">
        <v>12</v>
      </c>
      <c r="I7492" s="22">
        <f t="shared" si="235"/>
        <v>0</v>
      </c>
      <c r="J7492" s="22" t="str">
        <f t="shared" si="236"/>
        <v/>
      </c>
    </row>
    <row r="7493" spans="1:10">
      <c r="A7493" s="1">
        <v>41313</v>
      </c>
      <c r="B7493">
        <v>76.150000000000006</v>
      </c>
      <c r="C7493">
        <v>76.48</v>
      </c>
      <c r="D7493">
        <v>75.56</v>
      </c>
      <c r="E7493">
        <v>75.75</v>
      </c>
      <c r="F7493">
        <v>9130700</v>
      </c>
      <c r="G7493">
        <v>73.5</v>
      </c>
      <c r="H7493" t="s">
        <v>12</v>
      </c>
      <c r="I7493" s="22">
        <f t="shared" si="235"/>
        <v>-5.2920945817653015E-3</v>
      </c>
      <c r="J7493" s="22" t="str">
        <f t="shared" si="236"/>
        <v>lost money</v>
      </c>
    </row>
    <row r="7494" spans="1:10">
      <c r="A7494" s="1">
        <v>41316</v>
      </c>
      <c r="B7494">
        <v>75.41</v>
      </c>
      <c r="C7494">
        <v>75.92</v>
      </c>
      <c r="D7494">
        <v>75.12</v>
      </c>
      <c r="E7494">
        <v>75.81</v>
      </c>
      <c r="F7494">
        <v>6928200</v>
      </c>
      <c r="G7494">
        <v>73.56</v>
      </c>
      <c r="H7494" t="s">
        <v>12</v>
      </c>
      <c r="I7494" s="22">
        <f t="shared" si="235"/>
        <v>8.1599351732935925E-4</v>
      </c>
      <c r="J7494" s="22" t="str">
        <f t="shared" si="236"/>
        <v/>
      </c>
    </row>
    <row r="7495" spans="1:10">
      <c r="A7495" s="1">
        <v>41317</v>
      </c>
      <c r="B7495">
        <v>75.959999999999994</v>
      </c>
      <c r="C7495">
        <v>76.31</v>
      </c>
      <c r="D7495">
        <v>75.81</v>
      </c>
      <c r="E7495">
        <v>75.98</v>
      </c>
      <c r="F7495">
        <v>6281000</v>
      </c>
      <c r="G7495">
        <v>73.73</v>
      </c>
      <c r="H7495" t="s">
        <v>12</v>
      </c>
      <c r="I7495" s="22">
        <f t="shared" si="235"/>
        <v>2.3083722654387933E-3</v>
      </c>
      <c r="J7495" s="22" t="str">
        <f t="shared" si="236"/>
        <v/>
      </c>
    </row>
    <row r="7496" spans="1:10">
      <c r="A7496" s="1">
        <v>41318</v>
      </c>
      <c r="B7496">
        <v>76.010000000000005</v>
      </c>
      <c r="C7496">
        <v>76.58</v>
      </c>
      <c r="D7496">
        <v>75.98</v>
      </c>
      <c r="E7496">
        <v>76.56</v>
      </c>
      <c r="F7496">
        <v>7113300</v>
      </c>
      <c r="G7496">
        <v>74.290000000000006</v>
      </c>
      <c r="H7496" t="s">
        <v>12</v>
      </c>
      <c r="I7496" s="22">
        <f t="shared" si="235"/>
        <v>7.5665811621557421E-3</v>
      </c>
      <c r="J7496" s="22" t="str">
        <f t="shared" si="236"/>
        <v/>
      </c>
    </row>
    <row r="7497" spans="1:10">
      <c r="A7497" s="1">
        <v>41319</v>
      </c>
      <c r="B7497">
        <v>76.3</v>
      </c>
      <c r="C7497">
        <v>76.97</v>
      </c>
      <c r="D7497">
        <v>76.25</v>
      </c>
      <c r="E7497">
        <v>76.78</v>
      </c>
      <c r="F7497">
        <v>10049400</v>
      </c>
      <c r="G7497">
        <v>74.5</v>
      </c>
      <c r="H7497" t="s">
        <v>12</v>
      </c>
      <c r="I7497" s="22">
        <f t="shared" si="235"/>
        <v>2.8227722217989528E-3</v>
      </c>
      <c r="J7497" s="22" t="str">
        <f t="shared" si="236"/>
        <v/>
      </c>
    </row>
    <row r="7498" spans="1:10">
      <c r="A7498" s="1">
        <v>41320</v>
      </c>
      <c r="B7498">
        <v>76.72</v>
      </c>
      <c r="C7498">
        <v>76.959999999999994</v>
      </c>
      <c r="D7498">
        <v>76.209999999999994</v>
      </c>
      <c r="E7498">
        <v>76.540000000000006</v>
      </c>
      <c r="F7498">
        <v>11165600</v>
      </c>
      <c r="G7498">
        <v>74.27</v>
      </c>
      <c r="H7498" t="s">
        <v>12</v>
      </c>
      <c r="I7498" s="22">
        <f t="shared" si="235"/>
        <v>-3.0920237043087929E-3</v>
      </c>
      <c r="J7498" s="22" t="str">
        <f t="shared" si="236"/>
        <v>lost money</v>
      </c>
    </row>
    <row r="7499" spans="1:10">
      <c r="A7499" s="1">
        <v>41324</v>
      </c>
      <c r="B7499">
        <v>76.56</v>
      </c>
      <c r="C7499">
        <v>77.77</v>
      </c>
      <c r="D7499">
        <v>76.489999999999995</v>
      </c>
      <c r="E7499">
        <v>77.38</v>
      </c>
      <c r="F7499">
        <v>11783500</v>
      </c>
      <c r="G7499">
        <v>75.09</v>
      </c>
      <c r="H7499" t="s">
        <v>12</v>
      </c>
      <c r="I7499" s="22">
        <f t="shared" si="235"/>
        <v>1.098029243058758E-2</v>
      </c>
      <c r="J7499" s="22" t="str">
        <f t="shared" si="236"/>
        <v/>
      </c>
    </row>
    <row r="7500" spans="1:10">
      <c r="A7500" s="1">
        <v>41325</v>
      </c>
      <c r="B7500">
        <v>77.27</v>
      </c>
      <c r="C7500">
        <v>77.52</v>
      </c>
      <c r="D7500">
        <v>76.92</v>
      </c>
      <c r="E7500">
        <v>77.08</v>
      </c>
      <c r="F7500">
        <v>9275400</v>
      </c>
      <c r="G7500">
        <v>74.790000000000006</v>
      </c>
      <c r="H7500" t="s">
        <v>12</v>
      </c>
      <c r="I7500" s="22">
        <f t="shared" si="235"/>
        <v>-4.0032079082162452E-3</v>
      </c>
      <c r="J7500" s="22" t="str">
        <f t="shared" si="236"/>
        <v>lost money</v>
      </c>
    </row>
    <row r="7501" spans="1:10">
      <c r="A7501" s="1">
        <v>41326</v>
      </c>
      <c r="B7501">
        <v>76.28</v>
      </c>
      <c r="C7501">
        <v>77.2</v>
      </c>
      <c r="D7501">
        <v>75.900000000000006</v>
      </c>
      <c r="E7501">
        <v>77.040000000000006</v>
      </c>
      <c r="F7501">
        <v>10305200</v>
      </c>
      <c r="G7501">
        <v>74.760000000000005</v>
      </c>
      <c r="H7501" t="s">
        <v>12</v>
      </c>
      <c r="I7501" s="22">
        <f t="shared" si="235"/>
        <v>-4.0120361621411374E-4</v>
      </c>
      <c r="J7501" s="22" t="str">
        <f t="shared" si="236"/>
        <v/>
      </c>
    </row>
    <row r="7502" spans="1:10">
      <c r="A7502" s="1">
        <v>41327</v>
      </c>
      <c r="B7502">
        <v>77.05</v>
      </c>
      <c r="C7502">
        <v>77.19</v>
      </c>
      <c r="D7502">
        <v>76.75</v>
      </c>
      <c r="E7502">
        <v>76.989999999999995</v>
      </c>
      <c r="F7502">
        <v>8433200</v>
      </c>
      <c r="G7502">
        <v>74.709999999999994</v>
      </c>
      <c r="H7502" t="s">
        <v>12</v>
      </c>
      <c r="I7502" s="22">
        <f t="shared" si="235"/>
        <v>-6.6903059965236469E-4</v>
      </c>
      <c r="J7502" s="22" t="str">
        <f t="shared" si="236"/>
        <v>lost money</v>
      </c>
    </row>
    <row r="7503" spans="1:10">
      <c r="A7503" s="1">
        <v>41330</v>
      </c>
      <c r="B7503">
        <v>77.069999999999993</v>
      </c>
      <c r="C7503">
        <v>77.67</v>
      </c>
      <c r="D7503">
        <v>75.92</v>
      </c>
      <c r="E7503">
        <v>75.92</v>
      </c>
      <c r="F7503">
        <v>9970400</v>
      </c>
      <c r="G7503">
        <v>73.67</v>
      </c>
      <c r="H7503" t="s">
        <v>12</v>
      </c>
      <c r="I7503" s="22">
        <f t="shared" si="235"/>
        <v>-1.4018291292987527E-2</v>
      </c>
      <c r="J7503" s="22" t="str">
        <f t="shared" si="236"/>
        <v>lost money</v>
      </c>
    </row>
    <row r="7504" spans="1:10">
      <c r="A7504" s="1">
        <v>41331</v>
      </c>
      <c r="B7504">
        <v>75.989999999999995</v>
      </c>
      <c r="C7504">
        <v>76.38</v>
      </c>
      <c r="D7504">
        <v>75.77</v>
      </c>
      <c r="E7504">
        <v>76.08</v>
      </c>
      <c r="F7504">
        <v>8378900</v>
      </c>
      <c r="G7504">
        <v>73.819999999999993</v>
      </c>
      <c r="H7504" t="s">
        <v>12</v>
      </c>
      <c r="I7504" s="22">
        <f t="shared" si="235"/>
        <v>2.0340369071302471E-3</v>
      </c>
      <c r="J7504" s="22" t="str">
        <f t="shared" si="236"/>
        <v/>
      </c>
    </row>
    <row r="7505" spans="1:10">
      <c r="A7505" s="1">
        <v>41332</v>
      </c>
      <c r="B7505">
        <v>75.95</v>
      </c>
      <c r="C7505">
        <v>76.95</v>
      </c>
      <c r="D7505">
        <v>75.7</v>
      </c>
      <c r="E7505">
        <v>76.75</v>
      </c>
      <c r="F7505">
        <v>7567800</v>
      </c>
      <c r="G7505">
        <v>74.47</v>
      </c>
      <c r="H7505" t="s">
        <v>12</v>
      </c>
      <c r="I7505" s="22">
        <f t="shared" si="235"/>
        <v>8.7666621207017556E-3</v>
      </c>
      <c r="J7505" s="22" t="str">
        <f t="shared" si="236"/>
        <v/>
      </c>
    </row>
    <row r="7506" spans="1:10">
      <c r="A7506" s="1">
        <v>41333</v>
      </c>
      <c r="B7506">
        <v>76.66</v>
      </c>
      <c r="C7506">
        <v>76.91</v>
      </c>
      <c r="D7506">
        <v>76.17</v>
      </c>
      <c r="E7506">
        <v>76.180000000000007</v>
      </c>
      <c r="F7506">
        <v>10466900</v>
      </c>
      <c r="G7506">
        <v>73.92</v>
      </c>
      <c r="H7506" t="s">
        <v>12</v>
      </c>
      <c r="I7506" s="22">
        <f t="shared" si="235"/>
        <v>-7.4129323891254113E-3</v>
      </c>
      <c r="J7506" s="22" t="str">
        <f t="shared" si="236"/>
        <v>lost money</v>
      </c>
    </row>
    <row r="7507" spans="1:10">
      <c r="A7507" s="1">
        <v>41334</v>
      </c>
      <c r="B7507">
        <v>75.7</v>
      </c>
      <c r="C7507">
        <v>76.72</v>
      </c>
      <c r="D7507">
        <v>75.56</v>
      </c>
      <c r="E7507">
        <v>76.489999999999995</v>
      </c>
      <c r="F7507">
        <v>9599700</v>
      </c>
      <c r="G7507">
        <v>74.22</v>
      </c>
      <c r="H7507" t="s">
        <v>12</v>
      </c>
      <c r="I7507" s="22">
        <f t="shared" si="235"/>
        <v>4.0502282990227383E-3</v>
      </c>
      <c r="J7507" s="22" t="str">
        <f t="shared" si="236"/>
        <v/>
      </c>
    </row>
    <row r="7508" spans="1:10">
      <c r="A7508" s="1">
        <v>41337</v>
      </c>
      <c r="B7508">
        <v>76.25</v>
      </c>
      <c r="C7508">
        <v>76.680000000000007</v>
      </c>
      <c r="D7508">
        <v>75.97</v>
      </c>
      <c r="E7508">
        <v>76.680000000000007</v>
      </c>
      <c r="F7508">
        <v>7631000</v>
      </c>
      <c r="G7508">
        <v>74.41</v>
      </c>
      <c r="H7508" t="s">
        <v>12</v>
      </c>
      <c r="I7508" s="22">
        <f t="shared" si="235"/>
        <v>2.5566857767182569E-3</v>
      </c>
      <c r="J7508" s="22" t="str">
        <f t="shared" si="236"/>
        <v/>
      </c>
    </row>
    <row r="7509" spans="1:10">
      <c r="A7509" s="1">
        <v>41338</v>
      </c>
      <c r="B7509">
        <v>76.78</v>
      </c>
      <c r="C7509">
        <v>77.39</v>
      </c>
      <c r="D7509">
        <v>76.72</v>
      </c>
      <c r="E7509">
        <v>77.05</v>
      </c>
      <c r="F7509">
        <v>9716200</v>
      </c>
      <c r="G7509">
        <v>74.760000000000005</v>
      </c>
      <c r="H7509" t="s">
        <v>12</v>
      </c>
      <c r="I7509" s="22">
        <f t="shared" si="235"/>
        <v>4.6926411781922249E-3</v>
      </c>
      <c r="J7509" s="22" t="str">
        <f t="shared" si="236"/>
        <v/>
      </c>
    </row>
    <row r="7510" spans="1:10">
      <c r="A7510" s="1">
        <v>41339</v>
      </c>
      <c r="B7510">
        <v>77.010000000000005</v>
      </c>
      <c r="C7510">
        <v>77.45</v>
      </c>
      <c r="D7510">
        <v>76.81</v>
      </c>
      <c r="E7510">
        <v>77.2</v>
      </c>
      <c r="F7510">
        <v>7194700</v>
      </c>
      <c r="G7510">
        <v>74.91</v>
      </c>
      <c r="H7510" t="s">
        <v>12</v>
      </c>
      <c r="I7510" s="22">
        <f t="shared" si="235"/>
        <v>2.0044103724292479E-3</v>
      </c>
      <c r="J7510" s="22" t="str">
        <f t="shared" si="236"/>
        <v/>
      </c>
    </row>
    <row r="7511" spans="1:10">
      <c r="A7511" s="1">
        <v>41340</v>
      </c>
      <c r="B7511">
        <v>77.22</v>
      </c>
      <c r="C7511">
        <v>77.489999999999995</v>
      </c>
      <c r="D7511">
        <v>76.78</v>
      </c>
      <c r="E7511">
        <v>76.900000000000006</v>
      </c>
      <c r="F7511">
        <v>7111400</v>
      </c>
      <c r="G7511">
        <v>74.62</v>
      </c>
      <c r="H7511" t="s">
        <v>12</v>
      </c>
      <c r="I7511" s="22">
        <f t="shared" si="235"/>
        <v>-3.8788251667796342E-3</v>
      </c>
      <c r="J7511" s="22" t="str">
        <f t="shared" si="236"/>
        <v>lost money</v>
      </c>
    </row>
    <row r="7512" spans="1:10">
      <c r="A7512" s="1">
        <v>41341</v>
      </c>
      <c r="B7512">
        <v>77.010000000000005</v>
      </c>
      <c r="C7512">
        <v>77.2</v>
      </c>
      <c r="D7512">
        <v>76.459999999999994</v>
      </c>
      <c r="E7512">
        <v>77.180000000000007</v>
      </c>
      <c r="F7512">
        <v>7252800</v>
      </c>
      <c r="G7512">
        <v>74.89</v>
      </c>
      <c r="H7512" t="s">
        <v>12</v>
      </c>
      <c r="I7512" s="22">
        <f t="shared" si="235"/>
        <v>3.6118024682638599E-3</v>
      </c>
      <c r="J7512" s="22" t="str">
        <f t="shared" si="236"/>
        <v/>
      </c>
    </row>
    <row r="7513" spans="1:10">
      <c r="A7513" s="1">
        <v>41344</v>
      </c>
      <c r="B7513">
        <v>77.02</v>
      </c>
      <c r="C7513">
        <v>77.39</v>
      </c>
      <c r="D7513">
        <v>76.900000000000006</v>
      </c>
      <c r="E7513">
        <v>77.349999999999994</v>
      </c>
      <c r="F7513">
        <v>6621000</v>
      </c>
      <c r="G7513">
        <v>75.06</v>
      </c>
      <c r="H7513" t="s">
        <v>12</v>
      </c>
      <c r="I7513" s="22">
        <f t="shared" si="235"/>
        <v>2.267423445599145E-3</v>
      </c>
      <c r="J7513" s="22" t="str">
        <f t="shared" si="236"/>
        <v/>
      </c>
    </row>
    <row r="7514" spans="1:10">
      <c r="A7514" s="1">
        <v>41345</v>
      </c>
      <c r="B7514">
        <v>77.19</v>
      </c>
      <c r="C7514">
        <v>77.45</v>
      </c>
      <c r="D7514">
        <v>77</v>
      </c>
      <c r="E7514">
        <v>77.17</v>
      </c>
      <c r="F7514">
        <v>7016700</v>
      </c>
      <c r="G7514">
        <v>74.88</v>
      </c>
      <c r="H7514" t="s">
        <v>12</v>
      </c>
      <c r="I7514" s="22">
        <f t="shared" si="235"/>
        <v>-2.4009615375382618E-3</v>
      </c>
      <c r="J7514" s="22" t="str">
        <f t="shared" si="236"/>
        <v>lost money</v>
      </c>
    </row>
    <row r="7515" spans="1:10">
      <c r="A7515" s="1">
        <v>41346</v>
      </c>
      <c r="B7515">
        <v>77.069999999999993</v>
      </c>
      <c r="C7515">
        <v>77.099999999999994</v>
      </c>
      <c r="D7515">
        <v>76.52</v>
      </c>
      <c r="E7515">
        <v>76.8</v>
      </c>
      <c r="F7515">
        <v>6340300</v>
      </c>
      <c r="G7515">
        <v>74.52</v>
      </c>
      <c r="H7515" t="s">
        <v>12</v>
      </c>
      <c r="I7515" s="22">
        <f t="shared" si="235"/>
        <v>-4.8192864359488828E-3</v>
      </c>
      <c r="J7515" s="22" t="str">
        <f t="shared" si="236"/>
        <v>lost money</v>
      </c>
    </row>
    <row r="7516" spans="1:10">
      <c r="A7516" s="1">
        <v>41347</v>
      </c>
      <c r="B7516">
        <v>76.87</v>
      </c>
      <c r="C7516">
        <v>77.47</v>
      </c>
      <c r="D7516">
        <v>76.83</v>
      </c>
      <c r="E7516">
        <v>77.39</v>
      </c>
      <c r="F7516">
        <v>8079100</v>
      </c>
      <c r="G7516">
        <v>75.09</v>
      </c>
      <c r="H7516" t="s">
        <v>12</v>
      </c>
      <c r="I7516" s="22">
        <f t="shared" si="235"/>
        <v>7.6198483784048641E-3</v>
      </c>
      <c r="J7516" s="22" t="str">
        <f t="shared" si="236"/>
        <v/>
      </c>
    </row>
    <row r="7517" spans="1:10">
      <c r="A7517" s="1">
        <v>41348</v>
      </c>
      <c r="B7517">
        <v>77.08</v>
      </c>
      <c r="C7517">
        <v>77.38</v>
      </c>
      <c r="D7517">
        <v>76.34</v>
      </c>
      <c r="E7517">
        <v>76.34</v>
      </c>
      <c r="F7517">
        <v>15237000</v>
      </c>
      <c r="G7517">
        <v>74.08</v>
      </c>
      <c r="H7517" t="s">
        <v>12</v>
      </c>
      <c r="I7517" s="22">
        <f t="shared" si="235"/>
        <v>-1.3541803773868618E-2</v>
      </c>
      <c r="J7517" s="22" t="str">
        <f t="shared" si="236"/>
        <v>lost money</v>
      </c>
    </row>
    <row r="7518" spans="1:10">
      <c r="A7518" s="1">
        <v>41351</v>
      </c>
      <c r="B7518">
        <v>75.900000000000006</v>
      </c>
      <c r="C7518">
        <v>76.55</v>
      </c>
      <c r="D7518">
        <v>75.8</v>
      </c>
      <c r="E7518">
        <v>76.16</v>
      </c>
      <c r="F7518">
        <v>7081800</v>
      </c>
      <c r="G7518">
        <v>73.900000000000006</v>
      </c>
      <c r="H7518" t="s">
        <v>12</v>
      </c>
      <c r="I7518" s="22">
        <f t="shared" si="235"/>
        <v>-2.4327623837677149E-3</v>
      </c>
      <c r="J7518" s="22" t="str">
        <f t="shared" si="236"/>
        <v/>
      </c>
    </row>
    <row r="7519" spans="1:10">
      <c r="A7519" s="1">
        <v>41352</v>
      </c>
      <c r="B7519">
        <v>76.14</v>
      </c>
      <c r="C7519">
        <v>77.180000000000007</v>
      </c>
      <c r="D7519">
        <v>76.11</v>
      </c>
      <c r="E7519">
        <v>77.11</v>
      </c>
      <c r="F7519">
        <v>9326400</v>
      </c>
      <c r="G7519">
        <v>74.819999999999993</v>
      </c>
      <c r="H7519" t="s">
        <v>12</v>
      </c>
      <c r="I7519" s="22">
        <f t="shared" si="235"/>
        <v>1.2372400965843853E-2</v>
      </c>
      <c r="J7519" s="22" t="str">
        <f t="shared" si="236"/>
        <v/>
      </c>
    </row>
    <row r="7520" spans="1:10">
      <c r="A7520" s="1">
        <v>41353</v>
      </c>
      <c r="B7520">
        <v>77.290000000000006</v>
      </c>
      <c r="C7520">
        <v>77.819999999999993</v>
      </c>
      <c r="D7520">
        <v>77.27</v>
      </c>
      <c r="E7520">
        <v>77.58</v>
      </c>
      <c r="F7520">
        <v>8615800</v>
      </c>
      <c r="G7520">
        <v>75.28</v>
      </c>
      <c r="H7520" t="s">
        <v>12</v>
      </c>
      <c r="I7520" s="22">
        <f t="shared" si="235"/>
        <v>6.1292663571241527E-3</v>
      </c>
      <c r="J7520" s="22" t="str">
        <f t="shared" si="236"/>
        <v/>
      </c>
    </row>
    <row r="7521" spans="1:10">
      <c r="A7521" s="1">
        <v>41354</v>
      </c>
      <c r="B7521">
        <v>77.42</v>
      </c>
      <c r="C7521">
        <v>77.67</v>
      </c>
      <c r="D7521">
        <v>77.14</v>
      </c>
      <c r="E7521">
        <v>77.209999999999994</v>
      </c>
      <c r="F7521">
        <v>6319500</v>
      </c>
      <c r="G7521">
        <v>74.92</v>
      </c>
      <c r="H7521" t="s">
        <v>12</v>
      </c>
      <c r="I7521" s="22">
        <f t="shared" si="235"/>
        <v>-4.7936177012364084E-3</v>
      </c>
      <c r="J7521" s="22" t="str">
        <f t="shared" si="236"/>
        <v>lost money</v>
      </c>
    </row>
    <row r="7522" spans="1:10">
      <c r="A7522" s="1">
        <v>41355</v>
      </c>
      <c r="B7522">
        <v>77.180000000000007</v>
      </c>
      <c r="C7522">
        <v>77.45</v>
      </c>
      <c r="D7522">
        <v>77</v>
      </c>
      <c r="E7522">
        <v>77.27</v>
      </c>
      <c r="F7522">
        <v>5868400</v>
      </c>
      <c r="G7522">
        <v>74.98</v>
      </c>
      <c r="H7522" t="s">
        <v>12</v>
      </c>
      <c r="I7522" s="22">
        <f t="shared" si="235"/>
        <v>8.0053373187817739E-4</v>
      </c>
      <c r="J7522" s="22" t="str">
        <f t="shared" si="236"/>
        <v/>
      </c>
    </row>
    <row r="7523" spans="1:10">
      <c r="A7523" s="1">
        <v>41358</v>
      </c>
      <c r="B7523">
        <v>77.27</v>
      </c>
      <c r="C7523">
        <v>77.62</v>
      </c>
      <c r="D7523">
        <v>76.44</v>
      </c>
      <c r="E7523">
        <v>76.680000000000007</v>
      </c>
      <c r="F7523">
        <v>6843600</v>
      </c>
      <c r="G7523">
        <v>74.41</v>
      </c>
      <c r="H7523" t="s">
        <v>12</v>
      </c>
      <c r="I7523" s="22">
        <f t="shared" si="235"/>
        <v>-7.6310698985961687E-3</v>
      </c>
      <c r="J7523" s="22" t="str">
        <f t="shared" si="236"/>
        <v>lost money</v>
      </c>
    </row>
    <row r="7524" spans="1:10">
      <c r="A7524" s="1">
        <v>41359</v>
      </c>
      <c r="B7524">
        <v>77.02</v>
      </c>
      <c r="C7524">
        <v>77.5</v>
      </c>
      <c r="D7524">
        <v>76.89</v>
      </c>
      <c r="E7524">
        <v>77.400000000000006</v>
      </c>
      <c r="F7524">
        <v>5386000</v>
      </c>
      <c r="G7524">
        <v>75.099999999999994</v>
      </c>
      <c r="H7524" t="s">
        <v>12</v>
      </c>
      <c r="I7524" s="22">
        <f t="shared" si="235"/>
        <v>9.2302173609190852E-3</v>
      </c>
      <c r="J7524" s="22" t="str">
        <f t="shared" si="236"/>
        <v/>
      </c>
    </row>
    <row r="7525" spans="1:10">
      <c r="A7525" s="1">
        <v>41360</v>
      </c>
      <c r="B7525">
        <v>76.98</v>
      </c>
      <c r="C7525">
        <v>77.11</v>
      </c>
      <c r="D7525">
        <v>76.569999999999993</v>
      </c>
      <c r="E7525">
        <v>77.06</v>
      </c>
      <c r="F7525">
        <v>5274600</v>
      </c>
      <c r="G7525">
        <v>74.77</v>
      </c>
      <c r="H7525" t="s">
        <v>12</v>
      </c>
      <c r="I7525" s="22">
        <f t="shared" si="235"/>
        <v>-4.4038237582648791E-3</v>
      </c>
      <c r="J7525" s="22" t="str">
        <f t="shared" si="236"/>
        <v/>
      </c>
    </row>
    <row r="7526" spans="1:10">
      <c r="A7526" s="1">
        <v>41361</v>
      </c>
      <c r="B7526">
        <v>76.95</v>
      </c>
      <c r="C7526">
        <v>77.16</v>
      </c>
      <c r="D7526">
        <v>76.66</v>
      </c>
      <c r="E7526">
        <v>77.06</v>
      </c>
      <c r="F7526">
        <v>8016700</v>
      </c>
      <c r="G7526">
        <v>74.77</v>
      </c>
      <c r="H7526" t="s">
        <v>12</v>
      </c>
      <c r="I7526" s="22">
        <f t="shared" si="235"/>
        <v>0</v>
      </c>
      <c r="J7526" s="22" t="str">
        <f t="shared" si="236"/>
        <v/>
      </c>
    </row>
    <row r="7527" spans="1:10">
      <c r="A7527" s="1">
        <v>41365</v>
      </c>
      <c r="B7527">
        <v>76.849999999999994</v>
      </c>
      <c r="C7527">
        <v>77.849999999999994</v>
      </c>
      <c r="D7527">
        <v>76.73</v>
      </c>
      <c r="E7527">
        <v>77.7</v>
      </c>
      <c r="F7527">
        <v>7266000</v>
      </c>
      <c r="G7527">
        <v>75.400000000000006</v>
      </c>
      <c r="H7527" t="s">
        <v>12</v>
      </c>
      <c r="I7527" s="22">
        <f t="shared" si="235"/>
        <v>8.3905400020863087E-3</v>
      </c>
      <c r="J7527" s="22" t="str">
        <f t="shared" si="236"/>
        <v/>
      </c>
    </row>
    <row r="7528" spans="1:10">
      <c r="A7528" s="1">
        <v>41366</v>
      </c>
      <c r="B7528">
        <v>77.84</v>
      </c>
      <c r="C7528">
        <v>79.150000000000006</v>
      </c>
      <c r="D7528">
        <v>77.650000000000006</v>
      </c>
      <c r="E7528">
        <v>78.959999999999994</v>
      </c>
      <c r="F7528">
        <v>13373600</v>
      </c>
      <c r="G7528">
        <v>76.62</v>
      </c>
      <c r="H7528" t="s">
        <v>12</v>
      </c>
      <c r="I7528" s="22">
        <f t="shared" si="235"/>
        <v>1.6050864258592441E-2</v>
      </c>
      <c r="J7528" s="22" t="str">
        <f t="shared" si="236"/>
        <v/>
      </c>
    </row>
    <row r="7529" spans="1:10">
      <c r="A7529" s="1">
        <v>41367</v>
      </c>
      <c r="B7529">
        <v>78.88</v>
      </c>
      <c r="C7529">
        <v>79.08</v>
      </c>
      <c r="D7529">
        <v>77.84</v>
      </c>
      <c r="E7529">
        <v>78.12</v>
      </c>
      <c r="F7529">
        <v>8426700</v>
      </c>
      <c r="G7529">
        <v>75.8</v>
      </c>
      <c r="H7529" t="s">
        <v>12</v>
      </c>
      <c r="I7529" s="22">
        <f t="shared" si="235"/>
        <v>-1.0759846624177035E-2</v>
      </c>
      <c r="J7529" s="22" t="str">
        <f t="shared" si="236"/>
        <v>lost money</v>
      </c>
    </row>
    <row r="7530" spans="1:10">
      <c r="A7530" s="1">
        <v>41368</v>
      </c>
      <c r="B7530">
        <v>78.319999999999993</v>
      </c>
      <c r="C7530">
        <v>78.98</v>
      </c>
      <c r="D7530">
        <v>78.25</v>
      </c>
      <c r="E7530">
        <v>78.540000000000006</v>
      </c>
      <c r="F7530">
        <v>8770600</v>
      </c>
      <c r="G7530">
        <v>76.209999999999994</v>
      </c>
      <c r="H7530" t="s">
        <v>12</v>
      </c>
      <c r="I7530" s="22">
        <f t="shared" si="235"/>
        <v>5.3943950297000737E-3</v>
      </c>
      <c r="J7530" s="22" t="str">
        <f t="shared" si="236"/>
        <v/>
      </c>
    </row>
    <row r="7531" spans="1:10">
      <c r="A7531" s="1">
        <v>41369</v>
      </c>
      <c r="B7531">
        <v>77.88</v>
      </c>
      <c r="C7531">
        <v>78.39</v>
      </c>
      <c r="D7531">
        <v>77.83</v>
      </c>
      <c r="E7531">
        <v>78.23</v>
      </c>
      <c r="F7531">
        <v>6562600</v>
      </c>
      <c r="G7531">
        <v>75.91</v>
      </c>
      <c r="H7531" t="s">
        <v>12</v>
      </c>
      <c r="I7531" s="22">
        <f t="shared" si="235"/>
        <v>-3.9442596493492353E-3</v>
      </c>
      <c r="J7531" s="22" t="str">
        <f t="shared" si="236"/>
        <v/>
      </c>
    </row>
    <row r="7532" spans="1:10">
      <c r="A7532" s="1">
        <v>41372</v>
      </c>
      <c r="B7532">
        <v>78.12</v>
      </c>
      <c r="C7532">
        <v>78.88</v>
      </c>
      <c r="D7532">
        <v>77.88</v>
      </c>
      <c r="E7532">
        <v>78.790000000000006</v>
      </c>
      <c r="F7532">
        <v>6284500</v>
      </c>
      <c r="G7532">
        <v>76.45</v>
      </c>
      <c r="H7532" t="s">
        <v>12</v>
      </c>
      <c r="I7532" s="22">
        <f t="shared" si="235"/>
        <v>7.0885043463945795E-3</v>
      </c>
      <c r="J7532" s="22" t="str">
        <f t="shared" si="236"/>
        <v/>
      </c>
    </row>
    <row r="7533" spans="1:10">
      <c r="A7533" s="1">
        <v>41373</v>
      </c>
      <c r="B7533">
        <v>78.819999999999993</v>
      </c>
      <c r="C7533">
        <v>78.89</v>
      </c>
      <c r="D7533">
        <v>78.069999999999993</v>
      </c>
      <c r="E7533">
        <v>78.260000000000005</v>
      </c>
      <c r="F7533">
        <v>6760600</v>
      </c>
      <c r="G7533">
        <v>75.94</v>
      </c>
      <c r="H7533" t="s">
        <v>12</v>
      </c>
      <c r="I7533" s="22">
        <f t="shared" si="235"/>
        <v>-6.6933775714151647E-3</v>
      </c>
      <c r="J7533" s="22" t="str">
        <f t="shared" si="236"/>
        <v>lost money</v>
      </c>
    </row>
    <row r="7534" spans="1:10">
      <c r="A7534" s="1">
        <v>41374</v>
      </c>
      <c r="B7534">
        <v>78.489999999999995</v>
      </c>
      <c r="C7534">
        <v>79.489999999999995</v>
      </c>
      <c r="D7534">
        <v>78.430000000000007</v>
      </c>
      <c r="E7534">
        <v>79.239999999999995</v>
      </c>
      <c r="F7534">
        <v>7947600</v>
      </c>
      <c r="G7534">
        <v>76.89</v>
      </c>
      <c r="H7534" t="s">
        <v>12</v>
      </c>
      <c r="I7534" s="22">
        <f t="shared" si="235"/>
        <v>1.2432274240433146E-2</v>
      </c>
      <c r="J7534" s="22" t="str">
        <f t="shared" si="236"/>
        <v/>
      </c>
    </row>
    <row r="7535" spans="1:10">
      <c r="A7535" s="1">
        <v>41375</v>
      </c>
      <c r="B7535">
        <v>79.37</v>
      </c>
      <c r="C7535">
        <v>80.13</v>
      </c>
      <c r="D7535">
        <v>79.33</v>
      </c>
      <c r="E7535">
        <v>79.67</v>
      </c>
      <c r="F7535">
        <v>11831600</v>
      </c>
      <c r="G7535">
        <v>77.31</v>
      </c>
      <c r="H7535" t="s">
        <v>12</v>
      </c>
      <c r="I7535" s="22">
        <f t="shared" si="235"/>
        <v>5.4474842882939623E-3</v>
      </c>
      <c r="J7535" s="22" t="str">
        <f t="shared" si="236"/>
        <v/>
      </c>
    </row>
    <row r="7536" spans="1:10">
      <c r="A7536" s="1">
        <v>41376</v>
      </c>
      <c r="B7536">
        <v>79.510000000000005</v>
      </c>
      <c r="C7536">
        <v>80.66</v>
      </c>
      <c r="D7536">
        <v>79.47</v>
      </c>
      <c r="E7536">
        <v>80.08</v>
      </c>
      <c r="F7536">
        <v>9383400</v>
      </c>
      <c r="G7536">
        <v>77.7</v>
      </c>
      <c r="H7536" t="s">
        <v>12</v>
      </c>
      <c r="I7536" s="22">
        <f t="shared" si="235"/>
        <v>5.0319440412183135E-3</v>
      </c>
      <c r="J7536" s="22" t="str">
        <f t="shared" si="236"/>
        <v/>
      </c>
    </row>
    <row r="7537" spans="1:10">
      <c r="A7537" s="1">
        <v>41379</v>
      </c>
      <c r="B7537">
        <v>79.790000000000006</v>
      </c>
      <c r="C7537">
        <v>80.84</v>
      </c>
      <c r="D7537">
        <v>79.599999999999994</v>
      </c>
      <c r="E7537">
        <v>79.650000000000006</v>
      </c>
      <c r="F7537">
        <v>10877200</v>
      </c>
      <c r="G7537">
        <v>77.290000000000006</v>
      </c>
      <c r="H7537" t="s">
        <v>12</v>
      </c>
      <c r="I7537" s="22">
        <f t="shared" si="235"/>
        <v>-5.2906762548220604E-3</v>
      </c>
      <c r="J7537" s="22" t="str">
        <f t="shared" si="236"/>
        <v>lost money</v>
      </c>
    </row>
    <row r="7538" spans="1:10">
      <c r="A7538" s="1">
        <v>41380</v>
      </c>
      <c r="B7538">
        <v>79.83</v>
      </c>
      <c r="C7538">
        <v>80.209999999999994</v>
      </c>
      <c r="D7538">
        <v>79.37</v>
      </c>
      <c r="E7538">
        <v>80.099999999999994</v>
      </c>
      <c r="F7538">
        <v>9365600</v>
      </c>
      <c r="G7538">
        <v>77.72</v>
      </c>
      <c r="H7538" t="s">
        <v>12</v>
      </c>
      <c r="I7538" s="22">
        <f t="shared" si="235"/>
        <v>5.5480433904596992E-3</v>
      </c>
      <c r="J7538" s="22" t="str">
        <f t="shared" si="236"/>
        <v/>
      </c>
    </row>
    <row r="7539" spans="1:10">
      <c r="A7539" s="1">
        <v>41381</v>
      </c>
      <c r="B7539">
        <v>79.98</v>
      </c>
      <c r="C7539">
        <v>80.14</v>
      </c>
      <c r="D7539">
        <v>78.849999999999994</v>
      </c>
      <c r="E7539">
        <v>79.06</v>
      </c>
      <c r="F7539">
        <v>10964600</v>
      </c>
      <c r="G7539">
        <v>76.72</v>
      </c>
      <c r="H7539" t="s">
        <v>12</v>
      </c>
      <c r="I7539" s="22">
        <f t="shared" si="235"/>
        <v>-1.295019393405652E-2</v>
      </c>
      <c r="J7539" s="22" t="str">
        <f t="shared" si="236"/>
        <v>lost money</v>
      </c>
    </row>
    <row r="7540" spans="1:10">
      <c r="A7540" s="1">
        <v>41382</v>
      </c>
      <c r="B7540">
        <v>79.09</v>
      </c>
      <c r="C7540">
        <v>80.180000000000007</v>
      </c>
      <c r="D7540">
        <v>79.06</v>
      </c>
      <c r="E7540">
        <v>79.87</v>
      </c>
      <c r="F7540">
        <v>10896200</v>
      </c>
      <c r="G7540">
        <v>77.5</v>
      </c>
      <c r="H7540" t="s">
        <v>12</v>
      </c>
      <c r="I7540" s="22">
        <f t="shared" si="235"/>
        <v>1.01155057841186E-2</v>
      </c>
      <c r="J7540" s="22" t="str">
        <f t="shared" si="236"/>
        <v/>
      </c>
    </row>
    <row r="7541" spans="1:10">
      <c r="A7541" s="1">
        <v>41383</v>
      </c>
      <c r="B7541">
        <v>80.37</v>
      </c>
      <c r="C7541">
        <v>81.7</v>
      </c>
      <c r="D7541">
        <v>80.2</v>
      </c>
      <c r="E7541">
        <v>81.430000000000007</v>
      </c>
      <c r="F7541">
        <v>13147600</v>
      </c>
      <c r="G7541">
        <v>79.010000000000005</v>
      </c>
      <c r="H7541" t="s">
        <v>12</v>
      </c>
      <c r="I7541" s="22">
        <f t="shared" si="235"/>
        <v>1.9296490375340727E-2</v>
      </c>
      <c r="J7541" s="22" t="str">
        <f t="shared" si="236"/>
        <v/>
      </c>
    </row>
    <row r="7542" spans="1:10">
      <c r="A7542" s="1">
        <v>41386</v>
      </c>
      <c r="B7542">
        <v>81.31</v>
      </c>
      <c r="C7542">
        <v>81.59</v>
      </c>
      <c r="D7542">
        <v>81.12</v>
      </c>
      <c r="E7542">
        <v>81.400000000000006</v>
      </c>
      <c r="F7542">
        <v>7530300</v>
      </c>
      <c r="G7542">
        <v>78.989999999999995</v>
      </c>
      <c r="H7542" t="s">
        <v>12</v>
      </c>
      <c r="I7542" s="22">
        <f t="shared" si="235"/>
        <v>-2.5316455831433829E-4</v>
      </c>
      <c r="J7542" s="22" t="str">
        <f t="shared" si="236"/>
        <v/>
      </c>
    </row>
    <row r="7543" spans="1:10">
      <c r="A7543" s="1">
        <v>41387</v>
      </c>
      <c r="B7543">
        <v>81.459999999999994</v>
      </c>
      <c r="C7543">
        <v>82.54</v>
      </c>
      <c r="D7543">
        <v>80.510000000000005</v>
      </c>
      <c r="E7543">
        <v>82.54</v>
      </c>
      <c r="F7543">
        <v>12684800</v>
      </c>
      <c r="G7543">
        <v>80.09</v>
      </c>
      <c r="H7543" t="s">
        <v>12</v>
      </c>
      <c r="I7543" s="22">
        <f t="shared" si="235"/>
        <v>1.3829740159263354E-2</v>
      </c>
      <c r="J7543" s="22" t="str">
        <f t="shared" si="236"/>
        <v/>
      </c>
    </row>
    <row r="7544" spans="1:10">
      <c r="A7544" s="1">
        <v>41388</v>
      </c>
      <c r="B7544">
        <v>79.489999999999995</v>
      </c>
      <c r="C7544">
        <v>79.61</v>
      </c>
      <c r="D7544">
        <v>76.930000000000007</v>
      </c>
      <c r="E7544">
        <v>77.12</v>
      </c>
      <c r="F7544">
        <v>25708200</v>
      </c>
      <c r="G7544">
        <v>75.38</v>
      </c>
      <c r="H7544" t="s">
        <v>12</v>
      </c>
      <c r="I7544" s="22">
        <f t="shared" si="235"/>
        <v>-6.0609014496601582E-2</v>
      </c>
      <c r="J7544" s="22" t="str">
        <f t="shared" si="236"/>
        <v>lost money</v>
      </c>
    </row>
    <row r="7545" spans="1:10">
      <c r="A7545" s="1">
        <v>41389</v>
      </c>
      <c r="B7545">
        <v>77.67</v>
      </c>
      <c r="C7545">
        <v>77.67</v>
      </c>
      <c r="D7545">
        <v>76.349999999999994</v>
      </c>
      <c r="E7545">
        <v>76.58</v>
      </c>
      <c r="F7545">
        <v>14702300</v>
      </c>
      <c r="G7545">
        <v>74.849999999999994</v>
      </c>
      <c r="H7545" t="s">
        <v>12</v>
      </c>
      <c r="I7545" s="22">
        <f t="shared" si="235"/>
        <v>-7.0558769733519997E-3</v>
      </c>
      <c r="J7545" s="22" t="str">
        <f t="shared" si="236"/>
        <v>lost money</v>
      </c>
    </row>
    <row r="7546" spans="1:10">
      <c r="A7546" s="1">
        <v>41390</v>
      </c>
      <c r="B7546">
        <v>76.72</v>
      </c>
      <c r="C7546">
        <v>77.22</v>
      </c>
      <c r="D7546">
        <v>76.58</v>
      </c>
      <c r="E7546">
        <v>77.099999999999994</v>
      </c>
      <c r="F7546">
        <v>8769100</v>
      </c>
      <c r="G7546">
        <v>75.36</v>
      </c>
      <c r="H7546" t="s">
        <v>12</v>
      </c>
      <c r="I7546" s="22">
        <f t="shared" si="235"/>
        <v>6.7905194024704164E-3</v>
      </c>
      <c r="J7546" s="22" t="str">
        <f t="shared" si="236"/>
        <v/>
      </c>
    </row>
    <row r="7547" spans="1:10">
      <c r="A7547" s="1">
        <v>41393</v>
      </c>
      <c r="B7547">
        <v>77.56</v>
      </c>
      <c r="C7547">
        <v>77.98</v>
      </c>
      <c r="D7547">
        <v>77.23</v>
      </c>
      <c r="E7547">
        <v>77.680000000000007</v>
      </c>
      <c r="F7547">
        <v>6638100</v>
      </c>
      <c r="G7547">
        <v>75.930000000000007</v>
      </c>
      <c r="H7547" t="s">
        <v>12</v>
      </c>
      <c r="I7547" s="22">
        <f t="shared" si="235"/>
        <v>7.5352329570349628E-3</v>
      </c>
      <c r="J7547" s="22" t="str">
        <f t="shared" si="236"/>
        <v/>
      </c>
    </row>
    <row r="7548" spans="1:10">
      <c r="A7548" s="1">
        <v>41394</v>
      </c>
      <c r="B7548">
        <v>77.86</v>
      </c>
      <c r="C7548">
        <v>77.89</v>
      </c>
      <c r="D7548">
        <v>76.599999999999994</v>
      </c>
      <c r="E7548">
        <v>76.77</v>
      </c>
      <c r="F7548">
        <v>9653800</v>
      </c>
      <c r="G7548">
        <v>75.040000000000006</v>
      </c>
      <c r="H7548" t="s">
        <v>12</v>
      </c>
      <c r="I7548" s="22">
        <f t="shared" si="235"/>
        <v>-1.1790558527173197E-2</v>
      </c>
      <c r="J7548" s="22" t="str">
        <f t="shared" si="236"/>
        <v>lost money</v>
      </c>
    </row>
    <row r="7549" spans="1:10">
      <c r="A7549" s="1">
        <v>41395</v>
      </c>
      <c r="B7549">
        <v>76.83</v>
      </c>
      <c r="C7549">
        <v>77.77</v>
      </c>
      <c r="D7549">
        <v>76.72</v>
      </c>
      <c r="E7549">
        <v>76.989999999999995</v>
      </c>
      <c r="F7549">
        <v>8388800</v>
      </c>
      <c r="G7549">
        <v>75.260000000000005</v>
      </c>
      <c r="H7549" t="s">
        <v>12</v>
      </c>
      <c r="I7549" s="22">
        <f t="shared" si="235"/>
        <v>2.9274804673218562E-3</v>
      </c>
      <c r="J7549" s="22" t="str">
        <f t="shared" si="236"/>
        <v/>
      </c>
    </row>
    <row r="7550" spans="1:10">
      <c r="A7550" s="1">
        <v>41396</v>
      </c>
      <c r="B7550">
        <v>77.39</v>
      </c>
      <c r="C7550">
        <v>78.28</v>
      </c>
      <c r="D7550">
        <v>77.14</v>
      </c>
      <c r="E7550">
        <v>77.760000000000005</v>
      </c>
      <c r="F7550">
        <v>7288200</v>
      </c>
      <c r="G7550">
        <v>76.010000000000005</v>
      </c>
      <c r="H7550" t="s">
        <v>12</v>
      </c>
      <c r="I7550" s="22">
        <f t="shared" si="235"/>
        <v>9.9161254126578884E-3</v>
      </c>
      <c r="J7550" s="22" t="str">
        <f t="shared" si="236"/>
        <v/>
      </c>
    </row>
    <row r="7551" spans="1:10">
      <c r="A7551" s="1">
        <v>41397</v>
      </c>
      <c r="B7551">
        <v>78.099999999999994</v>
      </c>
      <c r="C7551">
        <v>78.459999999999994</v>
      </c>
      <c r="D7551">
        <v>77.66</v>
      </c>
      <c r="E7551">
        <v>78.19</v>
      </c>
      <c r="F7551">
        <v>7884000</v>
      </c>
      <c r="G7551">
        <v>76.430000000000007</v>
      </c>
      <c r="H7551" t="s">
        <v>12</v>
      </c>
      <c r="I7551" s="22">
        <f t="shared" si="235"/>
        <v>5.5103786768436157E-3</v>
      </c>
      <c r="J7551" s="22" t="str">
        <f t="shared" si="236"/>
        <v/>
      </c>
    </row>
    <row r="7552" spans="1:10">
      <c r="A7552" s="1">
        <v>41400</v>
      </c>
      <c r="B7552">
        <v>78.03</v>
      </c>
      <c r="C7552">
        <v>78.400000000000006</v>
      </c>
      <c r="D7552">
        <v>77.52</v>
      </c>
      <c r="E7552">
        <v>77.75</v>
      </c>
      <c r="F7552">
        <v>7204200</v>
      </c>
      <c r="G7552">
        <v>76</v>
      </c>
      <c r="H7552" t="s">
        <v>12</v>
      </c>
      <c r="I7552" s="22">
        <f t="shared" si="235"/>
        <v>-5.6419489684617005E-3</v>
      </c>
      <c r="J7552" s="22" t="str">
        <f t="shared" si="236"/>
        <v>lost money</v>
      </c>
    </row>
    <row r="7553" spans="1:10">
      <c r="A7553" s="1">
        <v>41401</v>
      </c>
      <c r="B7553">
        <v>77.98</v>
      </c>
      <c r="C7553">
        <v>78.2</v>
      </c>
      <c r="D7553">
        <v>77.27</v>
      </c>
      <c r="E7553">
        <v>77.94</v>
      </c>
      <c r="F7553">
        <v>9574200</v>
      </c>
      <c r="G7553">
        <v>76.180000000000007</v>
      </c>
      <c r="H7553" t="s">
        <v>12</v>
      </c>
      <c r="I7553" s="22">
        <f t="shared" si="235"/>
        <v>2.3656207641269008E-3</v>
      </c>
      <c r="J7553" s="22" t="str">
        <f t="shared" si="236"/>
        <v>lost money</v>
      </c>
    </row>
    <row r="7554" spans="1:10">
      <c r="A7554" s="1">
        <v>41402</v>
      </c>
      <c r="B7554">
        <v>77.900000000000006</v>
      </c>
      <c r="C7554">
        <v>78.510000000000005</v>
      </c>
      <c r="D7554">
        <v>77.23</v>
      </c>
      <c r="E7554">
        <v>78.44</v>
      </c>
      <c r="F7554">
        <v>12067300</v>
      </c>
      <c r="G7554">
        <v>76.67</v>
      </c>
      <c r="H7554" t="s">
        <v>12</v>
      </c>
      <c r="I7554" s="22">
        <f t="shared" si="235"/>
        <v>6.4115365203450958E-3</v>
      </c>
      <c r="J7554" s="22" t="str">
        <f t="shared" si="236"/>
        <v/>
      </c>
    </row>
    <row r="7555" spans="1:10">
      <c r="A7555" s="1">
        <v>41403</v>
      </c>
      <c r="B7555">
        <v>78.569999999999993</v>
      </c>
      <c r="C7555">
        <v>78.89</v>
      </c>
      <c r="D7555">
        <v>78.02</v>
      </c>
      <c r="E7555">
        <v>78.209999999999994</v>
      </c>
      <c r="F7555">
        <v>7189400</v>
      </c>
      <c r="G7555">
        <v>76.45</v>
      </c>
      <c r="H7555" t="s">
        <v>12</v>
      </c>
      <c r="I7555" s="22">
        <f t="shared" ref="I7555:I7618" si="237">IF(A7555=$A$2,"",LN(G7555/G7554))</f>
        <v>-2.8735651957316958E-3</v>
      </c>
      <c r="J7555" s="22" t="str">
        <f t="shared" ref="J7555:J7618" si="238">IF(B7555&gt;E7555,"lost money","")</f>
        <v>lost money</v>
      </c>
    </row>
    <row r="7556" spans="1:10">
      <c r="A7556" s="1">
        <v>41404</v>
      </c>
      <c r="B7556">
        <v>78.41</v>
      </c>
      <c r="C7556">
        <v>78.790000000000006</v>
      </c>
      <c r="D7556">
        <v>78.23</v>
      </c>
      <c r="E7556">
        <v>78.760000000000005</v>
      </c>
      <c r="F7556">
        <v>6162500</v>
      </c>
      <c r="G7556">
        <v>76.989999999999995</v>
      </c>
      <c r="H7556" t="s">
        <v>12</v>
      </c>
      <c r="I7556" s="22">
        <f t="shared" si="237"/>
        <v>7.0386109148866871E-3</v>
      </c>
      <c r="J7556" s="22" t="str">
        <f t="shared" si="238"/>
        <v/>
      </c>
    </row>
    <row r="7557" spans="1:10">
      <c r="A7557" s="1">
        <v>41407</v>
      </c>
      <c r="B7557">
        <v>78.510000000000005</v>
      </c>
      <c r="C7557">
        <v>78.97</v>
      </c>
      <c r="D7557">
        <v>78.42</v>
      </c>
      <c r="E7557">
        <v>78.59</v>
      </c>
      <c r="F7557">
        <v>5420200</v>
      </c>
      <c r="G7557">
        <v>76.819999999999993</v>
      </c>
      <c r="H7557" t="s">
        <v>12</v>
      </c>
      <c r="I7557" s="22">
        <f t="shared" si="237"/>
        <v>-2.2105203721995252E-3</v>
      </c>
      <c r="J7557" s="22" t="str">
        <f t="shared" si="238"/>
        <v/>
      </c>
    </row>
    <row r="7558" spans="1:10">
      <c r="A7558" s="1">
        <v>41408</v>
      </c>
      <c r="B7558">
        <v>78.930000000000007</v>
      </c>
      <c r="C7558">
        <v>79.47</v>
      </c>
      <c r="D7558">
        <v>78.739999999999995</v>
      </c>
      <c r="E7558">
        <v>79.47</v>
      </c>
      <c r="F7558">
        <v>6867400</v>
      </c>
      <c r="G7558">
        <v>77.680000000000007</v>
      </c>
      <c r="H7558" t="s">
        <v>12</v>
      </c>
      <c r="I7558" s="22">
        <f t="shared" si="237"/>
        <v>1.1132801065310949E-2</v>
      </c>
      <c r="J7558" s="22" t="str">
        <f t="shared" si="238"/>
        <v/>
      </c>
    </row>
    <row r="7559" spans="1:10">
      <c r="A7559" s="1">
        <v>41409</v>
      </c>
      <c r="B7559">
        <v>79.47</v>
      </c>
      <c r="C7559">
        <v>81</v>
      </c>
      <c r="D7559">
        <v>79.47</v>
      </c>
      <c r="E7559">
        <v>80.680000000000007</v>
      </c>
      <c r="F7559">
        <v>11154400</v>
      </c>
      <c r="G7559">
        <v>78.86</v>
      </c>
      <c r="H7559" t="s">
        <v>12</v>
      </c>
      <c r="I7559" s="22">
        <f t="shared" si="237"/>
        <v>1.5076304466411483E-2</v>
      </c>
      <c r="J7559" s="22" t="str">
        <f t="shared" si="238"/>
        <v/>
      </c>
    </row>
    <row r="7560" spans="1:10">
      <c r="A7560" s="1">
        <v>41410</v>
      </c>
      <c r="B7560">
        <v>80.489999999999995</v>
      </c>
      <c r="C7560">
        <v>80.739999999999995</v>
      </c>
      <c r="D7560">
        <v>79.89</v>
      </c>
      <c r="E7560">
        <v>80.2</v>
      </c>
      <c r="F7560">
        <v>8065600</v>
      </c>
      <c r="G7560">
        <v>78.39</v>
      </c>
      <c r="H7560" t="s">
        <v>12</v>
      </c>
      <c r="I7560" s="22">
        <f t="shared" si="237"/>
        <v>-5.9777602488503435E-3</v>
      </c>
      <c r="J7560" s="22" t="str">
        <f t="shared" si="238"/>
        <v>lost money</v>
      </c>
    </row>
    <row r="7561" spans="1:10">
      <c r="A7561" s="1">
        <v>41411</v>
      </c>
      <c r="B7561">
        <v>79.91</v>
      </c>
      <c r="C7561">
        <v>80.180000000000007</v>
      </c>
      <c r="D7561">
        <v>79.31</v>
      </c>
      <c r="E7561">
        <v>80.02</v>
      </c>
      <c r="F7561">
        <v>8549900</v>
      </c>
      <c r="G7561">
        <v>78.22</v>
      </c>
      <c r="H7561" t="s">
        <v>12</v>
      </c>
      <c r="I7561" s="22">
        <f t="shared" si="237"/>
        <v>-2.1709988732627567E-3</v>
      </c>
      <c r="J7561" s="22" t="str">
        <f t="shared" si="238"/>
        <v/>
      </c>
    </row>
    <row r="7562" spans="1:10">
      <c r="A7562" s="1">
        <v>41414</v>
      </c>
      <c r="B7562">
        <v>79.98</v>
      </c>
      <c r="C7562">
        <v>79.98</v>
      </c>
      <c r="D7562">
        <v>78.78</v>
      </c>
      <c r="E7562">
        <v>79.09</v>
      </c>
      <c r="F7562">
        <v>7307300</v>
      </c>
      <c r="G7562">
        <v>77.31</v>
      </c>
      <c r="H7562" t="s">
        <v>12</v>
      </c>
      <c r="I7562" s="22">
        <f t="shared" si="237"/>
        <v>-1.1702055994984648E-2</v>
      </c>
      <c r="J7562" s="22" t="str">
        <f t="shared" si="238"/>
        <v>lost money</v>
      </c>
    </row>
    <row r="7563" spans="1:10">
      <c r="A7563" s="1">
        <v>41415</v>
      </c>
      <c r="B7563">
        <v>79.17</v>
      </c>
      <c r="C7563">
        <v>79.22</v>
      </c>
      <c r="D7563">
        <v>78.22</v>
      </c>
      <c r="E7563">
        <v>78.8</v>
      </c>
      <c r="F7563">
        <v>7377700</v>
      </c>
      <c r="G7563">
        <v>77.02</v>
      </c>
      <c r="H7563" t="s">
        <v>12</v>
      </c>
      <c r="I7563" s="22">
        <f t="shared" si="237"/>
        <v>-3.7581849456206286E-3</v>
      </c>
      <c r="J7563" s="22" t="str">
        <f t="shared" si="238"/>
        <v>lost money</v>
      </c>
    </row>
    <row r="7564" spans="1:10">
      <c r="A7564" s="1">
        <v>41416</v>
      </c>
      <c r="B7564">
        <v>78.84</v>
      </c>
      <c r="C7564">
        <v>79.680000000000007</v>
      </c>
      <c r="D7564">
        <v>78.62</v>
      </c>
      <c r="E7564">
        <v>78.819999999999993</v>
      </c>
      <c r="F7564">
        <v>8873300</v>
      </c>
      <c r="G7564">
        <v>77.040000000000006</v>
      </c>
      <c r="H7564" t="s">
        <v>12</v>
      </c>
      <c r="I7564" s="22">
        <f t="shared" si="237"/>
        <v>2.5963910310731141E-4</v>
      </c>
      <c r="J7564" s="22" t="str">
        <f t="shared" si="238"/>
        <v>lost money</v>
      </c>
    </row>
    <row r="7565" spans="1:10">
      <c r="A7565" s="1">
        <v>41417</v>
      </c>
      <c r="B7565">
        <v>78.27</v>
      </c>
      <c r="C7565">
        <v>79.11</v>
      </c>
      <c r="D7565">
        <v>78.23</v>
      </c>
      <c r="E7565">
        <v>78.7</v>
      </c>
      <c r="F7565">
        <v>7141200</v>
      </c>
      <c r="G7565">
        <v>76.930000000000007</v>
      </c>
      <c r="H7565" t="s">
        <v>12</v>
      </c>
      <c r="I7565" s="22">
        <f t="shared" si="237"/>
        <v>-1.428850019026766E-3</v>
      </c>
      <c r="J7565" s="22" t="str">
        <f t="shared" si="238"/>
        <v/>
      </c>
    </row>
    <row r="7566" spans="1:10">
      <c r="A7566" s="1">
        <v>41418</v>
      </c>
      <c r="B7566">
        <v>81.88</v>
      </c>
      <c r="C7566">
        <v>82.35</v>
      </c>
      <c r="D7566">
        <v>81.44</v>
      </c>
      <c r="E7566">
        <v>81.88</v>
      </c>
      <c r="F7566">
        <v>25580900</v>
      </c>
      <c r="G7566">
        <v>80.040000000000006</v>
      </c>
      <c r="H7566" t="s">
        <v>12</v>
      </c>
      <c r="I7566" s="22">
        <f t="shared" si="237"/>
        <v>3.9630592244689442E-2</v>
      </c>
      <c r="J7566" s="22" t="str">
        <f t="shared" si="238"/>
        <v/>
      </c>
    </row>
    <row r="7567" spans="1:10">
      <c r="A7567" s="1">
        <v>41422</v>
      </c>
      <c r="B7567">
        <v>82.05</v>
      </c>
      <c r="C7567">
        <v>82.13</v>
      </c>
      <c r="D7567">
        <v>80.77</v>
      </c>
      <c r="E7567">
        <v>80.86</v>
      </c>
      <c r="F7567">
        <v>14372700</v>
      </c>
      <c r="G7567">
        <v>79.040000000000006</v>
      </c>
      <c r="H7567" t="s">
        <v>12</v>
      </c>
      <c r="I7567" s="22">
        <f t="shared" si="237"/>
        <v>-1.257245627592026E-2</v>
      </c>
      <c r="J7567" s="22" t="str">
        <f t="shared" si="238"/>
        <v>lost money</v>
      </c>
    </row>
    <row r="7568" spans="1:10">
      <c r="A7568" s="1">
        <v>41423</v>
      </c>
      <c r="B7568">
        <v>80.16</v>
      </c>
      <c r="C7568">
        <v>80.25</v>
      </c>
      <c r="D7568">
        <v>78.87</v>
      </c>
      <c r="E7568">
        <v>78.900000000000006</v>
      </c>
      <c r="F7568">
        <v>9992500</v>
      </c>
      <c r="G7568">
        <v>77.12</v>
      </c>
      <c r="H7568" t="s">
        <v>12</v>
      </c>
      <c r="I7568" s="22">
        <f t="shared" si="237"/>
        <v>-2.4591403137322207E-2</v>
      </c>
      <c r="J7568" s="22" t="str">
        <f t="shared" si="238"/>
        <v>lost money</v>
      </c>
    </row>
    <row r="7569" spans="1:10">
      <c r="A7569" s="1">
        <v>41424</v>
      </c>
      <c r="B7569">
        <v>78.900000000000006</v>
      </c>
      <c r="C7569">
        <v>79.88</v>
      </c>
      <c r="D7569">
        <v>78.900000000000006</v>
      </c>
      <c r="E7569">
        <v>79.09</v>
      </c>
      <c r="F7569">
        <v>14761500</v>
      </c>
      <c r="G7569">
        <v>77.31</v>
      </c>
      <c r="H7569" t="s">
        <v>12</v>
      </c>
      <c r="I7569" s="22">
        <f t="shared" si="237"/>
        <v>2.4606630300930922E-3</v>
      </c>
      <c r="J7569" s="22" t="str">
        <f t="shared" si="238"/>
        <v/>
      </c>
    </row>
    <row r="7570" spans="1:10">
      <c r="A7570" s="1">
        <v>41425</v>
      </c>
      <c r="B7570">
        <v>78.790000000000006</v>
      </c>
      <c r="C7570">
        <v>78.81</v>
      </c>
      <c r="D7570">
        <v>76.75</v>
      </c>
      <c r="E7570">
        <v>76.760000000000005</v>
      </c>
      <c r="F7570">
        <v>16461900</v>
      </c>
      <c r="G7570">
        <v>75.03</v>
      </c>
      <c r="H7570" t="s">
        <v>12</v>
      </c>
      <c r="I7570" s="22">
        <f t="shared" si="237"/>
        <v>-2.9935279774746033E-2</v>
      </c>
      <c r="J7570" s="22" t="str">
        <f t="shared" si="238"/>
        <v>lost money</v>
      </c>
    </row>
    <row r="7571" spans="1:10">
      <c r="A7571" s="1">
        <v>41428</v>
      </c>
      <c r="B7571">
        <v>76.87</v>
      </c>
      <c r="C7571">
        <v>77.7</v>
      </c>
      <c r="D7571">
        <v>76.12</v>
      </c>
      <c r="E7571">
        <v>77.66</v>
      </c>
      <c r="F7571">
        <v>11720600</v>
      </c>
      <c r="G7571">
        <v>75.91</v>
      </c>
      <c r="H7571" t="s">
        <v>12</v>
      </c>
      <c r="I7571" s="22">
        <f t="shared" si="237"/>
        <v>1.1660394471039498E-2</v>
      </c>
      <c r="J7571" s="22" t="str">
        <f t="shared" si="238"/>
        <v/>
      </c>
    </row>
    <row r="7572" spans="1:10">
      <c r="A7572" s="1">
        <v>41429</v>
      </c>
      <c r="B7572">
        <v>77.709999999999994</v>
      </c>
      <c r="C7572">
        <v>78.47</v>
      </c>
      <c r="D7572">
        <v>76.75</v>
      </c>
      <c r="E7572">
        <v>77.37</v>
      </c>
      <c r="F7572">
        <v>11379300</v>
      </c>
      <c r="G7572">
        <v>75.63</v>
      </c>
      <c r="H7572" t="s">
        <v>12</v>
      </c>
      <c r="I7572" s="22">
        <f t="shared" si="237"/>
        <v>-3.6953981607386844E-3</v>
      </c>
      <c r="J7572" s="22" t="str">
        <f t="shared" si="238"/>
        <v>lost money</v>
      </c>
    </row>
    <row r="7573" spans="1:10">
      <c r="A7573" s="1">
        <v>41430</v>
      </c>
      <c r="B7573">
        <v>77.08</v>
      </c>
      <c r="C7573">
        <v>77.209999999999994</v>
      </c>
      <c r="D7573">
        <v>76.63</v>
      </c>
      <c r="E7573">
        <v>76.66</v>
      </c>
      <c r="F7573">
        <v>8826900</v>
      </c>
      <c r="G7573">
        <v>74.930000000000007</v>
      </c>
      <c r="H7573" t="s">
        <v>12</v>
      </c>
      <c r="I7573" s="22">
        <f t="shared" si="237"/>
        <v>-9.2986854917186633E-3</v>
      </c>
      <c r="J7573" s="22" t="str">
        <f t="shared" si="238"/>
        <v>lost money</v>
      </c>
    </row>
    <row r="7574" spans="1:10">
      <c r="A7574" s="1">
        <v>41431</v>
      </c>
      <c r="B7574">
        <v>76.56</v>
      </c>
      <c r="C7574">
        <v>76.97</v>
      </c>
      <c r="D7574">
        <v>75.83</v>
      </c>
      <c r="E7574">
        <v>76.819999999999993</v>
      </c>
      <c r="F7574">
        <v>11099900</v>
      </c>
      <c r="G7574">
        <v>75.09</v>
      </c>
      <c r="H7574" t="s">
        <v>12</v>
      </c>
      <c r="I7574" s="22">
        <f t="shared" si="237"/>
        <v>2.133049735573201E-3</v>
      </c>
      <c r="J7574" s="22" t="str">
        <f t="shared" si="238"/>
        <v/>
      </c>
    </row>
    <row r="7575" spans="1:10">
      <c r="A7575" s="1">
        <v>41432</v>
      </c>
      <c r="B7575">
        <v>77.44</v>
      </c>
      <c r="C7575">
        <v>78.28</v>
      </c>
      <c r="D7575">
        <v>77.27</v>
      </c>
      <c r="E7575">
        <v>77.75</v>
      </c>
      <c r="F7575">
        <v>7839500</v>
      </c>
      <c r="G7575">
        <v>76</v>
      </c>
      <c r="H7575" t="s">
        <v>12</v>
      </c>
      <c r="I7575" s="22">
        <f t="shared" si="237"/>
        <v>1.2045946174538521E-2</v>
      </c>
      <c r="J7575" s="22" t="str">
        <f t="shared" si="238"/>
        <v/>
      </c>
    </row>
    <row r="7576" spans="1:10">
      <c r="A7576" s="1">
        <v>41435</v>
      </c>
      <c r="B7576">
        <v>77.69</v>
      </c>
      <c r="C7576">
        <v>78.22</v>
      </c>
      <c r="D7576">
        <v>77.260000000000005</v>
      </c>
      <c r="E7576">
        <v>78.069999999999993</v>
      </c>
      <c r="F7576">
        <v>8966400</v>
      </c>
      <c r="G7576">
        <v>76.31</v>
      </c>
      <c r="H7576" t="s">
        <v>12</v>
      </c>
      <c r="I7576" s="22">
        <f t="shared" si="237"/>
        <v>4.070651015210756E-3</v>
      </c>
      <c r="J7576" s="22" t="str">
        <f t="shared" si="238"/>
        <v/>
      </c>
    </row>
    <row r="7577" spans="1:10">
      <c r="A7577" s="1">
        <v>41436</v>
      </c>
      <c r="B7577">
        <v>77.680000000000007</v>
      </c>
      <c r="C7577">
        <v>78.75</v>
      </c>
      <c r="D7577">
        <v>77.45</v>
      </c>
      <c r="E7577">
        <v>78.12</v>
      </c>
      <c r="F7577">
        <v>6781200</v>
      </c>
      <c r="G7577">
        <v>76.36</v>
      </c>
      <c r="H7577" t="s">
        <v>12</v>
      </c>
      <c r="I7577" s="22">
        <f t="shared" si="237"/>
        <v>6.5500755600493836E-4</v>
      </c>
      <c r="J7577" s="22" t="str">
        <f t="shared" si="238"/>
        <v/>
      </c>
    </row>
    <row r="7578" spans="1:10">
      <c r="A7578" s="1">
        <v>41437</v>
      </c>
      <c r="B7578">
        <v>78.64</v>
      </c>
      <c r="C7578">
        <v>78.89</v>
      </c>
      <c r="D7578">
        <v>77.48</v>
      </c>
      <c r="E7578">
        <v>77.599999999999994</v>
      </c>
      <c r="F7578">
        <v>7834200</v>
      </c>
      <c r="G7578">
        <v>75.849999999999994</v>
      </c>
      <c r="H7578" t="s">
        <v>12</v>
      </c>
      <c r="I7578" s="22">
        <f t="shared" si="237"/>
        <v>-6.7012930630056308E-3</v>
      </c>
      <c r="J7578" s="22" t="str">
        <f t="shared" si="238"/>
        <v>lost money</v>
      </c>
    </row>
    <row r="7579" spans="1:10">
      <c r="A7579" s="1">
        <v>41438</v>
      </c>
      <c r="B7579">
        <v>77.540000000000006</v>
      </c>
      <c r="C7579">
        <v>78.69</v>
      </c>
      <c r="D7579">
        <v>77.14</v>
      </c>
      <c r="E7579">
        <v>78.430000000000007</v>
      </c>
      <c r="F7579">
        <v>6927700</v>
      </c>
      <c r="G7579">
        <v>76.66</v>
      </c>
      <c r="H7579" t="s">
        <v>12</v>
      </c>
      <c r="I7579" s="22">
        <f t="shared" si="237"/>
        <v>1.0622354157867791E-2</v>
      </c>
      <c r="J7579" s="22" t="str">
        <f t="shared" si="238"/>
        <v/>
      </c>
    </row>
    <row r="7580" spans="1:10">
      <c r="A7580" s="1">
        <v>41439</v>
      </c>
      <c r="B7580">
        <v>78.489999999999995</v>
      </c>
      <c r="C7580">
        <v>78.790000000000006</v>
      </c>
      <c r="D7580">
        <v>77.67</v>
      </c>
      <c r="E7580">
        <v>78.03</v>
      </c>
      <c r="F7580">
        <v>6825900</v>
      </c>
      <c r="G7580">
        <v>76.27</v>
      </c>
      <c r="H7580" t="s">
        <v>12</v>
      </c>
      <c r="I7580" s="22">
        <f t="shared" si="237"/>
        <v>-5.1003837762618586E-3</v>
      </c>
      <c r="J7580" s="22" t="str">
        <f t="shared" si="238"/>
        <v>lost money</v>
      </c>
    </row>
    <row r="7581" spans="1:10">
      <c r="A7581" s="1">
        <v>41442</v>
      </c>
      <c r="B7581">
        <v>78.260000000000005</v>
      </c>
      <c r="C7581">
        <v>79.47</v>
      </c>
      <c r="D7581">
        <v>78.25</v>
      </c>
      <c r="E7581">
        <v>78.959999999999994</v>
      </c>
      <c r="F7581">
        <v>7359900</v>
      </c>
      <c r="G7581">
        <v>77.180000000000007</v>
      </c>
      <c r="H7581" t="s">
        <v>12</v>
      </c>
      <c r="I7581" s="22">
        <f t="shared" si="237"/>
        <v>1.186067993332569E-2</v>
      </c>
      <c r="J7581" s="22" t="str">
        <f t="shared" si="238"/>
        <v/>
      </c>
    </row>
    <row r="7582" spans="1:10">
      <c r="A7582" s="1">
        <v>41443</v>
      </c>
      <c r="B7582">
        <v>78.95</v>
      </c>
      <c r="C7582">
        <v>79.23</v>
      </c>
      <c r="D7582">
        <v>78.7</v>
      </c>
      <c r="E7582">
        <v>79.040000000000006</v>
      </c>
      <c r="F7582">
        <v>6051400</v>
      </c>
      <c r="G7582">
        <v>77.260000000000005</v>
      </c>
      <c r="H7582" t="s">
        <v>12</v>
      </c>
      <c r="I7582" s="22">
        <f t="shared" si="237"/>
        <v>1.0360011286625582E-3</v>
      </c>
      <c r="J7582" s="22" t="str">
        <f t="shared" si="238"/>
        <v/>
      </c>
    </row>
    <row r="7583" spans="1:10">
      <c r="A7583" s="1">
        <v>41444</v>
      </c>
      <c r="B7583">
        <v>79.05</v>
      </c>
      <c r="C7583">
        <v>79.47</v>
      </c>
      <c r="D7583">
        <v>77.59</v>
      </c>
      <c r="E7583">
        <v>77.61</v>
      </c>
      <c r="F7583">
        <v>7424500</v>
      </c>
      <c r="G7583">
        <v>75.86</v>
      </c>
      <c r="H7583" t="s">
        <v>12</v>
      </c>
      <c r="I7583" s="22">
        <f t="shared" si="237"/>
        <v>-1.8286820977382434E-2</v>
      </c>
      <c r="J7583" s="22" t="str">
        <f t="shared" si="238"/>
        <v>lost money</v>
      </c>
    </row>
    <row r="7584" spans="1:10">
      <c r="A7584" s="1">
        <v>41445</v>
      </c>
      <c r="B7584">
        <v>77.209999999999994</v>
      </c>
      <c r="C7584">
        <v>77.33</v>
      </c>
      <c r="D7584">
        <v>75.099999999999994</v>
      </c>
      <c r="E7584">
        <v>75.25</v>
      </c>
      <c r="F7584">
        <v>15555700</v>
      </c>
      <c r="G7584">
        <v>73.55</v>
      </c>
      <c r="H7584" t="s">
        <v>12</v>
      </c>
      <c r="I7584" s="22">
        <f t="shared" si="237"/>
        <v>-3.0924089213306402E-2</v>
      </c>
      <c r="J7584" s="22" t="str">
        <f t="shared" si="238"/>
        <v>lost money</v>
      </c>
    </row>
    <row r="7585" spans="1:10">
      <c r="A7585" s="1">
        <v>41446</v>
      </c>
      <c r="B7585">
        <v>76.25</v>
      </c>
      <c r="C7585">
        <v>77.53</v>
      </c>
      <c r="D7585">
        <v>75.69</v>
      </c>
      <c r="E7585">
        <v>77.430000000000007</v>
      </c>
      <c r="F7585">
        <v>20055700</v>
      </c>
      <c r="G7585">
        <v>75.69</v>
      </c>
      <c r="H7585" t="s">
        <v>12</v>
      </c>
      <c r="I7585" s="22">
        <f t="shared" si="237"/>
        <v>2.8680604273629614E-2</v>
      </c>
      <c r="J7585" s="22" t="str">
        <f t="shared" si="238"/>
        <v/>
      </c>
    </row>
    <row r="7586" spans="1:10">
      <c r="A7586" s="1">
        <v>41449</v>
      </c>
      <c r="B7586">
        <v>76.95</v>
      </c>
      <c r="C7586">
        <v>77.430000000000007</v>
      </c>
      <c r="D7586">
        <v>75.63</v>
      </c>
      <c r="E7586">
        <v>76.58</v>
      </c>
      <c r="F7586">
        <v>12563300</v>
      </c>
      <c r="G7586">
        <v>74.849999999999994</v>
      </c>
      <c r="H7586" t="s">
        <v>12</v>
      </c>
      <c r="I7586" s="22">
        <f t="shared" si="237"/>
        <v>-1.1159940455438715E-2</v>
      </c>
      <c r="J7586" s="22" t="str">
        <f t="shared" si="238"/>
        <v>lost money</v>
      </c>
    </row>
    <row r="7587" spans="1:10">
      <c r="A7587" s="1">
        <v>41450</v>
      </c>
      <c r="B7587">
        <v>77.099999999999994</v>
      </c>
      <c r="C7587">
        <v>77.239999999999995</v>
      </c>
      <c r="D7587">
        <v>76.290000000000006</v>
      </c>
      <c r="E7587">
        <v>76.69</v>
      </c>
      <c r="F7587">
        <v>7909400</v>
      </c>
      <c r="G7587">
        <v>74.959999999999994</v>
      </c>
      <c r="H7587" t="s">
        <v>12</v>
      </c>
      <c r="I7587" s="22">
        <f t="shared" si="237"/>
        <v>1.4685270645294676E-3</v>
      </c>
      <c r="J7587" s="22" t="str">
        <f t="shared" si="238"/>
        <v>lost money</v>
      </c>
    </row>
    <row r="7588" spans="1:10">
      <c r="A7588" s="1">
        <v>41451</v>
      </c>
      <c r="B7588">
        <v>77.23</v>
      </c>
      <c r="C7588">
        <v>77.59</v>
      </c>
      <c r="D7588">
        <v>77.02</v>
      </c>
      <c r="E7588">
        <v>77.400000000000006</v>
      </c>
      <c r="F7588">
        <v>7326500</v>
      </c>
      <c r="G7588">
        <v>75.66</v>
      </c>
      <c r="H7588" t="s">
        <v>12</v>
      </c>
      <c r="I7588" s="22">
        <f t="shared" si="237"/>
        <v>9.2949812747164812E-3</v>
      </c>
      <c r="J7588" s="22" t="str">
        <f t="shared" si="238"/>
        <v/>
      </c>
    </row>
    <row r="7589" spans="1:10">
      <c r="A7589" s="1">
        <v>41452</v>
      </c>
      <c r="B7589">
        <v>77.959999999999994</v>
      </c>
      <c r="C7589">
        <v>78.38</v>
      </c>
      <c r="D7589">
        <v>77.569999999999993</v>
      </c>
      <c r="E7589">
        <v>77.67</v>
      </c>
      <c r="F7589">
        <v>14731500</v>
      </c>
      <c r="G7589">
        <v>75.92</v>
      </c>
      <c r="H7589" t="s">
        <v>12</v>
      </c>
      <c r="I7589" s="22">
        <f t="shared" si="237"/>
        <v>3.4305350967892222E-3</v>
      </c>
      <c r="J7589" s="22" t="str">
        <f t="shared" si="238"/>
        <v>lost money</v>
      </c>
    </row>
    <row r="7590" spans="1:10">
      <c r="A7590" s="1">
        <v>41453</v>
      </c>
      <c r="B7590">
        <v>77.62</v>
      </c>
      <c r="C7590">
        <v>77.94</v>
      </c>
      <c r="D7590">
        <v>76.900000000000006</v>
      </c>
      <c r="E7590">
        <v>76.989999999999995</v>
      </c>
      <c r="F7590">
        <v>9865300</v>
      </c>
      <c r="G7590">
        <v>75.260000000000005</v>
      </c>
      <c r="H7590" t="s">
        <v>12</v>
      </c>
      <c r="I7590" s="22">
        <f t="shared" si="237"/>
        <v>-8.7313691363811782E-3</v>
      </c>
      <c r="J7590" s="22" t="str">
        <f t="shared" si="238"/>
        <v>lost money</v>
      </c>
    </row>
    <row r="7591" spans="1:10">
      <c r="A7591" s="1">
        <v>41456</v>
      </c>
      <c r="B7591">
        <v>77.02</v>
      </c>
      <c r="C7591">
        <v>78.45</v>
      </c>
      <c r="D7591">
        <v>77</v>
      </c>
      <c r="E7591">
        <v>78.02</v>
      </c>
      <c r="F7591">
        <v>6699200</v>
      </c>
      <c r="G7591">
        <v>76.260000000000005</v>
      </c>
      <c r="H7591" t="s">
        <v>12</v>
      </c>
      <c r="I7591" s="22">
        <f t="shared" si="237"/>
        <v>1.3199769264126502E-2</v>
      </c>
      <c r="J7591" s="22" t="str">
        <f t="shared" si="238"/>
        <v/>
      </c>
    </row>
    <row r="7592" spans="1:10">
      <c r="A7592" s="1">
        <v>41457</v>
      </c>
      <c r="B7592">
        <v>77.95</v>
      </c>
      <c r="C7592">
        <v>78.61</v>
      </c>
      <c r="D7592">
        <v>77.709999999999994</v>
      </c>
      <c r="E7592">
        <v>78.44</v>
      </c>
      <c r="F7592">
        <v>10228500</v>
      </c>
      <c r="G7592">
        <v>76.67</v>
      </c>
      <c r="H7592" t="s">
        <v>12</v>
      </c>
      <c r="I7592" s="22">
        <f t="shared" si="237"/>
        <v>5.3619431413853731E-3</v>
      </c>
      <c r="J7592" s="22" t="str">
        <f t="shared" si="238"/>
        <v/>
      </c>
    </row>
    <row r="7593" spans="1:10">
      <c r="A7593" s="1">
        <v>41458</v>
      </c>
      <c r="B7593">
        <v>78.28</v>
      </c>
      <c r="C7593">
        <v>78.75</v>
      </c>
      <c r="D7593">
        <v>77.430000000000007</v>
      </c>
      <c r="E7593">
        <v>78.569999999999993</v>
      </c>
      <c r="F7593">
        <v>5339900</v>
      </c>
      <c r="G7593">
        <v>76.8</v>
      </c>
      <c r="H7593" t="s">
        <v>12</v>
      </c>
      <c r="I7593" s="22">
        <f t="shared" si="237"/>
        <v>1.6941425828234347E-3</v>
      </c>
      <c r="J7593" s="22" t="str">
        <f t="shared" si="238"/>
        <v/>
      </c>
    </row>
    <row r="7594" spans="1:10">
      <c r="A7594" s="1">
        <v>41460</v>
      </c>
      <c r="B7594">
        <v>78.89</v>
      </c>
      <c r="C7594">
        <v>79.02</v>
      </c>
      <c r="D7594">
        <v>77.78</v>
      </c>
      <c r="E7594">
        <v>78.34</v>
      </c>
      <c r="F7594">
        <v>7264700</v>
      </c>
      <c r="G7594">
        <v>76.58</v>
      </c>
      <c r="H7594" t="s">
        <v>12</v>
      </c>
      <c r="I7594" s="22">
        <f t="shared" si="237"/>
        <v>-2.8686941044779785E-3</v>
      </c>
      <c r="J7594" s="22" t="str">
        <f t="shared" si="238"/>
        <v>lost money</v>
      </c>
    </row>
    <row r="7595" spans="1:10">
      <c r="A7595" s="1">
        <v>41463</v>
      </c>
      <c r="B7595">
        <v>78.540000000000006</v>
      </c>
      <c r="C7595">
        <v>79.08</v>
      </c>
      <c r="D7595">
        <v>78.5</v>
      </c>
      <c r="E7595">
        <v>78.760000000000005</v>
      </c>
      <c r="F7595">
        <v>11141400</v>
      </c>
      <c r="G7595">
        <v>76.989999999999995</v>
      </c>
      <c r="H7595" t="s">
        <v>12</v>
      </c>
      <c r="I7595" s="22">
        <f t="shared" si="237"/>
        <v>5.3395972408097746E-3</v>
      </c>
      <c r="J7595" s="22" t="str">
        <f t="shared" si="238"/>
        <v/>
      </c>
    </row>
    <row r="7596" spans="1:10">
      <c r="A7596" s="1">
        <v>41464</v>
      </c>
      <c r="B7596">
        <v>79.069999999999993</v>
      </c>
      <c r="C7596">
        <v>79.900000000000006</v>
      </c>
      <c r="D7596">
        <v>79.069999999999993</v>
      </c>
      <c r="E7596">
        <v>79.569999999999993</v>
      </c>
      <c r="F7596">
        <v>11456200</v>
      </c>
      <c r="G7596">
        <v>77.78</v>
      </c>
      <c r="H7596" t="s">
        <v>12</v>
      </c>
      <c r="I7596" s="22">
        <f t="shared" si="237"/>
        <v>1.020878543764314E-2</v>
      </c>
      <c r="J7596" s="22" t="str">
        <f t="shared" si="238"/>
        <v/>
      </c>
    </row>
    <row r="7597" spans="1:10">
      <c r="A7597" s="1">
        <v>41465</v>
      </c>
      <c r="B7597">
        <v>79.650000000000006</v>
      </c>
      <c r="C7597">
        <v>80.099999999999994</v>
      </c>
      <c r="D7597">
        <v>79.3</v>
      </c>
      <c r="E7597">
        <v>79.8</v>
      </c>
      <c r="F7597">
        <v>6862800</v>
      </c>
      <c r="G7597">
        <v>78</v>
      </c>
      <c r="H7597" t="s">
        <v>12</v>
      </c>
      <c r="I7597" s="22">
        <f t="shared" si="237"/>
        <v>2.8244979619905636E-3</v>
      </c>
      <c r="J7597" s="22" t="str">
        <f t="shared" si="238"/>
        <v/>
      </c>
    </row>
    <row r="7598" spans="1:10">
      <c r="A7598" s="1">
        <v>41466</v>
      </c>
      <c r="B7598">
        <v>80.55</v>
      </c>
      <c r="C7598">
        <v>80.989999999999995</v>
      </c>
      <c r="D7598">
        <v>80.290000000000006</v>
      </c>
      <c r="E7598">
        <v>80.77</v>
      </c>
      <c r="F7598">
        <v>9185400</v>
      </c>
      <c r="G7598">
        <v>78.95</v>
      </c>
      <c r="H7598" t="s">
        <v>12</v>
      </c>
      <c r="I7598" s="22">
        <f t="shared" si="237"/>
        <v>1.2105914012059318E-2</v>
      </c>
      <c r="J7598" s="22" t="str">
        <f t="shared" si="238"/>
        <v/>
      </c>
    </row>
    <row r="7599" spans="1:10">
      <c r="A7599" s="1">
        <v>41467</v>
      </c>
      <c r="B7599">
        <v>80.67</v>
      </c>
      <c r="C7599">
        <v>81.64</v>
      </c>
      <c r="D7599">
        <v>80.67</v>
      </c>
      <c r="E7599">
        <v>81.55</v>
      </c>
      <c r="F7599">
        <v>12586300</v>
      </c>
      <c r="G7599">
        <v>79.709999999999994</v>
      </c>
      <c r="H7599" t="s">
        <v>12</v>
      </c>
      <c r="I7599" s="22">
        <f t="shared" si="237"/>
        <v>9.5803077381805598E-3</v>
      </c>
      <c r="J7599" s="22" t="str">
        <f t="shared" si="238"/>
        <v/>
      </c>
    </row>
    <row r="7600" spans="1:10">
      <c r="A7600" s="1">
        <v>41470</v>
      </c>
      <c r="B7600">
        <v>81.37</v>
      </c>
      <c r="C7600">
        <v>81.59</v>
      </c>
      <c r="D7600">
        <v>80.849999999999994</v>
      </c>
      <c r="E7600">
        <v>81.510000000000005</v>
      </c>
      <c r="F7600">
        <v>10024700</v>
      </c>
      <c r="G7600">
        <v>79.67</v>
      </c>
      <c r="H7600" t="s">
        <v>12</v>
      </c>
      <c r="I7600" s="22">
        <f t="shared" si="237"/>
        <v>-5.0194504755704376E-4</v>
      </c>
      <c r="J7600" s="22" t="str">
        <f t="shared" si="238"/>
        <v/>
      </c>
    </row>
    <row r="7601" spans="1:10">
      <c r="A7601" s="1">
        <v>41471</v>
      </c>
      <c r="B7601">
        <v>81.319999999999993</v>
      </c>
      <c r="C7601">
        <v>81.37</v>
      </c>
      <c r="D7601">
        <v>80.91</v>
      </c>
      <c r="E7601">
        <v>80.97</v>
      </c>
      <c r="F7601">
        <v>11208600</v>
      </c>
      <c r="G7601">
        <v>79.150000000000006</v>
      </c>
      <c r="H7601" t="s">
        <v>12</v>
      </c>
      <c r="I7601" s="22">
        <f t="shared" si="237"/>
        <v>-6.5483170652534768E-3</v>
      </c>
      <c r="J7601" s="22" t="str">
        <f t="shared" si="238"/>
        <v>lost money</v>
      </c>
    </row>
    <row r="7602" spans="1:10">
      <c r="A7602" s="1">
        <v>41472</v>
      </c>
      <c r="B7602">
        <v>80.489999999999995</v>
      </c>
      <c r="C7602">
        <v>80.849999999999994</v>
      </c>
      <c r="D7602">
        <v>80.010000000000005</v>
      </c>
      <c r="E7602">
        <v>80.09</v>
      </c>
      <c r="F7602">
        <v>7644300</v>
      </c>
      <c r="G7602">
        <v>78.87</v>
      </c>
      <c r="H7602" t="s">
        <v>12</v>
      </c>
      <c r="I7602" s="22">
        <f t="shared" si="237"/>
        <v>-3.5438589171215874E-3</v>
      </c>
      <c r="J7602" s="22" t="str">
        <f t="shared" si="238"/>
        <v>lost money</v>
      </c>
    </row>
    <row r="7603" spans="1:10">
      <c r="A7603" s="1">
        <v>41473</v>
      </c>
      <c r="B7603">
        <v>80.03</v>
      </c>
      <c r="C7603">
        <v>80.75</v>
      </c>
      <c r="D7603">
        <v>80.03</v>
      </c>
      <c r="E7603">
        <v>80.3</v>
      </c>
      <c r="F7603">
        <v>5526000</v>
      </c>
      <c r="G7603">
        <v>79.08</v>
      </c>
      <c r="H7603" t="s">
        <v>12</v>
      </c>
      <c r="I7603" s="22">
        <f t="shared" si="237"/>
        <v>2.6590708925165987E-3</v>
      </c>
      <c r="J7603" s="22" t="str">
        <f t="shared" si="238"/>
        <v/>
      </c>
    </row>
    <row r="7604" spans="1:10">
      <c r="A7604" s="1">
        <v>41474</v>
      </c>
      <c r="B7604">
        <v>80.36</v>
      </c>
      <c r="C7604">
        <v>81.41</v>
      </c>
      <c r="D7604">
        <v>80.05</v>
      </c>
      <c r="E7604">
        <v>81.37</v>
      </c>
      <c r="F7604">
        <v>7862600</v>
      </c>
      <c r="G7604">
        <v>80.13</v>
      </c>
      <c r="H7604" t="s">
        <v>12</v>
      </c>
      <c r="I7604" s="22">
        <f t="shared" si="237"/>
        <v>1.3190317487563072E-2</v>
      </c>
      <c r="J7604" s="22" t="str">
        <f t="shared" si="238"/>
        <v/>
      </c>
    </row>
    <row r="7605" spans="1:10">
      <c r="A7605" s="1">
        <v>41477</v>
      </c>
      <c r="B7605">
        <v>81.23</v>
      </c>
      <c r="C7605">
        <v>81.45</v>
      </c>
      <c r="D7605">
        <v>80.900000000000006</v>
      </c>
      <c r="E7605">
        <v>81.22</v>
      </c>
      <c r="F7605">
        <v>4813600</v>
      </c>
      <c r="G7605">
        <v>79.98</v>
      </c>
      <c r="H7605" t="s">
        <v>12</v>
      </c>
      <c r="I7605" s="22">
        <f t="shared" si="237"/>
        <v>-1.8737123713067282E-3</v>
      </c>
      <c r="J7605" s="22" t="str">
        <f t="shared" si="238"/>
        <v>lost money</v>
      </c>
    </row>
    <row r="7606" spans="1:10">
      <c r="A7606" s="1">
        <v>41478</v>
      </c>
      <c r="B7606">
        <v>81.22</v>
      </c>
      <c r="C7606">
        <v>81.400000000000006</v>
      </c>
      <c r="D7606">
        <v>80.78</v>
      </c>
      <c r="E7606">
        <v>80.95</v>
      </c>
      <c r="F7606">
        <v>4311700</v>
      </c>
      <c r="G7606">
        <v>79.72</v>
      </c>
      <c r="H7606" t="s">
        <v>12</v>
      </c>
      <c r="I7606" s="22">
        <f t="shared" si="237"/>
        <v>-3.2561080740783816E-3</v>
      </c>
      <c r="J7606" s="22" t="str">
        <f t="shared" si="238"/>
        <v>lost money</v>
      </c>
    </row>
    <row r="7607" spans="1:10">
      <c r="A7607" s="1">
        <v>41479</v>
      </c>
      <c r="B7607">
        <v>80.95</v>
      </c>
      <c r="C7607">
        <v>81</v>
      </c>
      <c r="D7607">
        <v>80.13</v>
      </c>
      <c r="E7607">
        <v>80.27</v>
      </c>
      <c r="F7607">
        <v>5606600</v>
      </c>
      <c r="G7607">
        <v>79.05</v>
      </c>
      <c r="H7607" t="s">
        <v>12</v>
      </c>
      <c r="I7607" s="22">
        <f t="shared" si="237"/>
        <v>-8.4399316891129537E-3</v>
      </c>
      <c r="J7607" s="22" t="str">
        <f t="shared" si="238"/>
        <v>lost money</v>
      </c>
    </row>
    <row r="7608" spans="1:10">
      <c r="A7608" s="1">
        <v>41480</v>
      </c>
      <c r="B7608">
        <v>80.010000000000005</v>
      </c>
      <c r="C7608">
        <v>80.569999999999993</v>
      </c>
      <c r="D7608">
        <v>79.84</v>
      </c>
      <c r="E7608">
        <v>80.41</v>
      </c>
      <c r="F7608">
        <v>6239900</v>
      </c>
      <c r="G7608">
        <v>79.19</v>
      </c>
      <c r="H7608" t="s">
        <v>12</v>
      </c>
      <c r="I7608" s="22">
        <f t="shared" si="237"/>
        <v>1.7694645668400353E-3</v>
      </c>
      <c r="J7608" s="22" t="str">
        <f t="shared" si="238"/>
        <v/>
      </c>
    </row>
    <row r="7609" spans="1:10">
      <c r="A7609" s="1">
        <v>41481</v>
      </c>
      <c r="B7609">
        <v>80.02</v>
      </c>
      <c r="C7609">
        <v>80.42</v>
      </c>
      <c r="D7609">
        <v>79.39</v>
      </c>
      <c r="E7609">
        <v>80.39</v>
      </c>
      <c r="F7609">
        <v>6543500</v>
      </c>
      <c r="G7609">
        <v>79.17</v>
      </c>
      <c r="H7609" t="s">
        <v>12</v>
      </c>
      <c r="I7609" s="22">
        <f t="shared" si="237"/>
        <v>-2.5258903897866101E-4</v>
      </c>
      <c r="J7609" s="22" t="str">
        <f t="shared" si="238"/>
        <v/>
      </c>
    </row>
    <row r="7610" spans="1:10">
      <c r="A7610" s="1">
        <v>41484</v>
      </c>
      <c r="B7610">
        <v>80.099999999999994</v>
      </c>
      <c r="C7610">
        <v>80.45</v>
      </c>
      <c r="D7610">
        <v>80.05</v>
      </c>
      <c r="E7610">
        <v>80.09</v>
      </c>
      <c r="F7610">
        <v>4389400</v>
      </c>
      <c r="G7610">
        <v>78.87</v>
      </c>
      <c r="H7610" t="s">
        <v>12</v>
      </c>
      <c r="I7610" s="22">
        <f t="shared" si="237"/>
        <v>-3.7965117734427671E-3</v>
      </c>
      <c r="J7610" s="22" t="str">
        <f t="shared" si="238"/>
        <v>lost money</v>
      </c>
    </row>
    <row r="7611" spans="1:10">
      <c r="A7611" s="1">
        <v>41485</v>
      </c>
      <c r="B7611">
        <v>80.489999999999995</v>
      </c>
      <c r="C7611">
        <v>80.900000000000006</v>
      </c>
      <c r="D7611">
        <v>80.16</v>
      </c>
      <c r="E7611">
        <v>80.44</v>
      </c>
      <c r="F7611">
        <v>6434100</v>
      </c>
      <c r="G7611">
        <v>79.22</v>
      </c>
      <c r="H7611" t="s">
        <v>12</v>
      </c>
      <c r="I7611" s="22">
        <f t="shared" si="237"/>
        <v>4.4278647838710793E-3</v>
      </c>
      <c r="J7611" s="22" t="str">
        <f t="shared" si="238"/>
        <v>lost money</v>
      </c>
    </row>
    <row r="7612" spans="1:10">
      <c r="A7612" s="1">
        <v>41486</v>
      </c>
      <c r="B7612">
        <v>80.44</v>
      </c>
      <c r="C7612">
        <v>81.41</v>
      </c>
      <c r="D7612">
        <v>80.16</v>
      </c>
      <c r="E7612">
        <v>80.3</v>
      </c>
      <c r="F7612">
        <v>11857000</v>
      </c>
      <c r="G7612">
        <v>79.08</v>
      </c>
      <c r="H7612" t="s">
        <v>12</v>
      </c>
      <c r="I7612" s="22">
        <f t="shared" si="237"/>
        <v>-1.7687938913544417E-3</v>
      </c>
      <c r="J7612" s="22" t="str">
        <f t="shared" si="238"/>
        <v>lost money</v>
      </c>
    </row>
    <row r="7613" spans="1:10">
      <c r="A7613" s="1">
        <v>41487</v>
      </c>
      <c r="B7613">
        <v>81.62</v>
      </c>
      <c r="C7613">
        <v>82.23</v>
      </c>
      <c r="D7613">
        <v>81.209999999999994</v>
      </c>
      <c r="E7613">
        <v>81.64</v>
      </c>
      <c r="F7613">
        <v>10724800</v>
      </c>
      <c r="G7613">
        <v>80.400000000000006</v>
      </c>
      <c r="H7613" t="s">
        <v>12</v>
      </c>
      <c r="I7613" s="22">
        <f t="shared" si="237"/>
        <v>1.6554177882504725E-2</v>
      </c>
      <c r="J7613" s="22" t="str">
        <f t="shared" si="238"/>
        <v/>
      </c>
    </row>
    <row r="7614" spans="1:10">
      <c r="A7614" s="1">
        <v>41488</v>
      </c>
      <c r="B7614">
        <v>81.42</v>
      </c>
      <c r="C7614">
        <v>81.5</v>
      </c>
      <c r="D7614">
        <v>80.56</v>
      </c>
      <c r="E7614">
        <v>81.290000000000006</v>
      </c>
      <c r="F7614">
        <v>6626300</v>
      </c>
      <c r="G7614">
        <v>80.05</v>
      </c>
      <c r="H7614" t="s">
        <v>12</v>
      </c>
      <c r="I7614" s="22">
        <f t="shared" si="237"/>
        <v>-4.362736742197071E-3</v>
      </c>
      <c r="J7614" s="22" t="str">
        <f t="shared" si="238"/>
        <v>lost money</v>
      </c>
    </row>
    <row r="7615" spans="1:10">
      <c r="A7615" s="1">
        <v>41491</v>
      </c>
      <c r="B7615">
        <v>81.05</v>
      </c>
      <c r="C7615">
        <v>81.650000000000006</v>
      </c>
      <c r="D7615">
        <v>80.959999999999994</v>
      </c>
      <c r="E7615">
        <v>81.400000000000006</v>
      </c>
      <c r="F7615">
        <v>4662800</v>
      </c>
      <c r="G7615">
        <v>80.16</v>
      </c>
      <c r="H7615" t="s">
        <v>12</v>
      </c>
      <c r="I7615" s="22">
        <f t="shared" si="237"/>
        <v>1.3731978938308963E-3</v>
      </c>
      <c r="J7615" s="22" t="str">
        <f t="shared" si="238"/>
        <v/>
      </c>
    </row>
    <row r="7616" spans="1:10">
      <c r="A7616" s="1">
        <v>41492</v>
      </c>
      <c r="B7616">
        <v>81.3</v>
      </c>
      <c r="C7616">
        <v>81.97</v>
      </c>
      <c r="D7616">
        <v>81.3</v>
      </c>
      <c r="E7616">
        <v>81.739999999999995</v>
      </c>
      <c r="F7616">
        <v>6212500</v>
      </c>
      <c r="G7616">
        <v>80.5</v>
      </c>
      <c r="H7616" t="s">
        <v>12</v>
      </c>
      <c r="I7616" s="22">
        <f t="shared" si="237"/>
        <v>4.2325470879630471E-3</v>
      </c>
      <c r="J7616" s="22" t="str">
        <f t="shared" si="238"/>
        <v/>
      </c>
    </row>
    <row r="7617" spans="1:10">
      <c r="A7617" s="1">
        <v>41493</v>
      </c>
      <c r="B7617">
        <v>81.41</v>
      </c>
      <c r="C7617">
        <v>82.21</v>
      </c>
      <c r="D7617">
        <v>81.38</v>
      </c>
      <c r="E7617">
        <v>81.96</v>
      </c>
      <c r="F7617">
        <v>5828500</v>
      </c>
      <c r="G7617">
        <v>80.709999999999994</v>
      </c>
      <c r="H7617" t="s">
        <v>12</v>
      </c>
      <c r="I7617" s="22">
        <f t="shared" si="237"/>
        <v>2.605298911763173E-3</v>
      </c>
      <c r="J7617" s="22" t="str">
        <f t="shared" si="238"/>
        <v/>
      </c>
    </row>
    <row r="7618" spans="1:10">
      <c r="A7618" s="1">
        <v>41494</v>
      </c>
      <c r="B7618">
        <v>82.11</v>
      </c>
      <c r="C7618">
        <v>82.4</v>
      </c>
      <c r="D7618">
        <v>81.510000000000005</v>
      </c>
      <c r="E7618">
        <v>82.17</v>
      </c>
      <c r="F7618">
        <v>6207900</v>
      </c>
      <c r="G7618">
        <v>80.92</v>
      </c>
      <c r="H7618" t="s">
        <v>12</v>
      </c>
      <c r="I7618" s="22">
        <f t="shared" si="237"/>
        <v>2.5985289632639522E-3</v>
      </c>
      <c r="J7618" s="22" t="str">
        <f t="shared" si="238"/>
        <v/>
      </c>
    </row>
    <row r="7619" spans="1:10">
      <c r="A7619" s="1">
        <v>41495</v>
      </c>
      <c r="B7619">
        <v>81.92</v>
      </c>
      <c r="C7619">
        <v>82.06</v>
      </c>
      <c r="D7619">
        <v>81.19</v>
      </c>
      <c r="E7619">
        <v>81.64</v>
      </c>
      <c r="F7619">
        <v>6127200</v>
      </c>
      <c r="G7619">
        <v>80.400000000000006</v>
      </c>
      <c r="H7619" t="s">
        <v>12</v>
      </c>
      <c r="I7619" s="22">
        <f t="shared" ref="I7619:I7682" si="239">IF(A7619=$A$2,"",LN(G7619/G7618))</f>
        <v>-6.4468361146240334E-3</v>
      </c>
      <c r="J7619" s="22" t="str">
        <f t="shared" ref="J7619:J7682" si="240">IF(B7619&gt;E7619,"lost money","")</f>
        <v>lost money</v>
      </c>
    </row>
    <row r="7620" spans="1:10">
      <c r="A7620" s="1">
        <v>41498</v>
      </c>
      <c r="B7620">
        <v>81.23</v>
      </c>
      <c r="C7620">
        <v>81.73</v>
      </c>
      <c r="D7620">
        <v>81.040000000000006</v>
      </c>
      <c r="E7620">
        <v>81.62</v>
      </c>
      <c r="F7620">
        <v>4922200</v>
      </c>
      <c r="G7620">
        <v>80.38</v>
      </c>
      <c r="H7620" t="s">
        <v>12</v>
      </c>
      <c r="I7620" s="22">
        <f t="shared" si="239"/>
        <v>-2.4878716386579516E-4</v>
      </c>
      <c r="J7620" s="22" t="str">
        <f t="shared" si="240"/>
        <v/>
      </c>
    </row>
    <row r="7621" spans="1:10">
      <c r="A7621" s="1">
        <v>41499</v>
      </c>
      <c r="B7621">
        <v>81.78</v>
      </c>
      <c r="C7621">
        <v>81.99</v>
      </c>
      <c r="D7621">
        <v>81.33</v>
      </c>
      <c r="E7621">
        <v>81.66</v>
      </c>
      <c r="F7621">
        <v>4936400</v>
      </c>
      <c r="G7621">
        <v>80.42</v>
      </c>
      <c r="H7621" t="s">
        <v>12</v>
      </c>
      <c r="I7621" s="22">
        <f t="shared" si="239"/>
        <v>4.9751244807295014E-4</v>
      </c>
      <c r="J7621" s="22" t="str">
        <f t="shared" si="240"/>
        <v>lost money</v>
      </c>
    </row>
    <row r="7622" spans="1:10">
      <c r="A7622" s="1">
        <v>41500</v>
      </c>
      <c r="B7622">
        <v>81.67</v>
      </c>
      <c r="C7622">
        <v>81.78</v>
      </c>
      <c r="D7622">
        <v>81.19</v>
      </c>
      <c r="E7622">
        <v>81.25</v>
      </c>
      <c r="F7622">
        <v>5167500</v>
      </c>
      <c r="G7622">
        <v>80.010000000000005</v>
      </c>
      <c r="H7622" t="s">
        <v>12</v>
      </c>
      <c r="I7622" s="22">
        <f t="shared" si="239"/>
        <v>-5.1112746070953478E-3</v>
      </c>
      <c r="J7622" s="22" t="str">
        <f t="shared" si="240"/>
        <v>lost money</v>
      </c>
    </row>
    <row r="7623" spans="1:10">
      <c r="A7623" s="1">
        <v>41501</v>
      </c>
      <c r="B7623">
        <v>80.959999999999994</v>
      </c>
      <c r="C7623">
        <v>81.08</v>
      </c>
      <c r="D7623">
        <v>80.17</v>
      </c>
      <c r="E7623">
        <v>80.48</v>
      </c>
      <c r="F7623">
        <v>7415300</v>
      </c>
      <c r="G7623">
        <v>79.260000000000005</v>
      </c>
      <c r="H7623" t="s">
        <v>12</v>
      </c>
      <c r="I7623" s="22">
        <f t="shared" si="239"/>
        <v>-9.4180390997436192E-3</v>
      </c>
      <c r="J7623" s="22" t="str">
        <f t="shared" si="240"/>
        <v>lost money</v>
      </c>
    </row>
    <row r="7624" spans="1:10">
      <c r="A7624" s="1">
        <v>41502</v>
      </c>
      <c r="B7624">
        <v>80.27</v>
      </c>
      <c r="C7624">
        <v>80.48</v>
      </c>
      <c r="D7624">
        <v>79.06</v>
      </c>
      <c r="E7624">
        <v>79.900000000000006</v>
      </c>
      <c r="F7624">
        <v>9451600</v>
      </c>
      <c r="G7624">
        <v>78.680000000000007</v>
      </c>
      <c r="H7624" t="s">
        <v>12</v>
      </c>
      <c r="I7624" s="22">
        <f t="shared" si="239"/>
        <v>-7.3445942414305807E-3</v>
      </c>
      <c r="J7624" s="22" t="str">
        <f t="shared" si="240"/>
        <v>lost money</v>
      </c>
    </row>
    <row r="7625" spans="1:10">
      <c r="A7625" s="1">
        <v>41505</v>
      </c>
      <c r="B7625">
        <v>79.64</v>
      </c>
      <c r="C7625">
        <v>80.09</v>
      </c>
      <c r="D7625">
        <v>79.42</v>
      </c>
      <c r="E7625">
        <v>79.59</v>
      </c>
      <c r="F7625">
        <v>5959400</v>
      </c>
      <c r="G7625">
        <v>78.38</v>
      </c>
      <c r="H7625" t="s">
        <v>12</v>
      </c>
      <c r="I7625" s="22">
        <f t="shared" si="239"/>
        <v>-3.8202007493731067E-3</v>
      </c>
      <c r="J7625" s="22" t="str">
        <f t="shared" si="240"/>
        <v>lost money</v>
      </c>
    </row>
    <row r="7626" spans="1:10">
      <c r="A7626" s="1">
        <v>41506</v>
      </c>
      <c r="B7626">
        <v>79.72</v>
      </c>
      <c r="C7626">
        <v>80.099999999999994</v>
      </c>
      <c r="D7626">
        <v>79.28</v>
      </c>
      <c r="E7626">
        <v>79.53</v>
      </c>
      <c r="F7626">
        <v>5172500</v>
      </c>
      <c r="G7626">
        <v>78.319999999999993</v>
      </c>
      <c r="H7626" t="s">
        <v>12</v>
      </c>
      <c r="I7626" s="22">
        <f t="shared" si="239"/>
        <v>-7.6579454923046317E-4</v>
      </c>
      <c r="J7626" s="22" t="str">
        <f t="shared" si="240"/>
        <v>lost money</v>
      </c>
    </row>
    <row r="7627" spans="1:10">
      <c r="A7627" s="1">
        <v>41507</v>
      </c>
      <c r="B7627">
        <v>79.5</v>
      </c>
      <c r="C7627">
        <v>80.12</v>
      </c>
      <c r="D7627">
        <v>79.05</v>
      </c>
      <c r="E7627">
        <v>79.38</v>
      </c>
      <c r="F7627">
        <v>7390900</v>
      </c>
      <c r="G7627">
        <v>78.17</v>
      </c>
      <c r="H7627" t="s">
        <v>12</v>
      </c>
      <c r="I7627" s="22">
        <f t="shared" si="239"/>
        <v>-1.9170559900157675E-3</v>
      </c>
      <c r="J7627" s="22" t="str">
        <f t="shared" si="240"/>
        <v>lost money</v>
      </c>
    </row>
    <row r="7628" spans="1:10">
      <c r="A7628" s="1">
        <v>41508</v>
      </c>
      <c r="B7628">
        <v>79.3</v>
      </c>
      <c r="C7628">
        <v>80.05</v>
      </c>
      <c r="D7628">
        <v>78.87</v>
      </c>
      <c r="E7628">
        <v>79.77</v>
      </c>
      <c r="F7628">
        <v>6274400</v>
      </c>
      <c r="G7628">
        <v>78.56</v>
      </c>
      <c r="H7628" t="s">
        <v>12</v>
      </c>
      <c r="I7628" s="22">
        <f t="shared" si="239"/>
        <v>4.9767218139714509E-3</v>
      </c>
      <c r="J7628" s="22" t="str">
        <f t="shared" si="240"/>
        <v/>
      </c>
    </row>
    <row r="7629" spans="1:10">
      <c r="A7629" s="1">
        <v>41509</v>
      </c>
      <c r="B7629">
        <v>79.87</v>
      </c>
      <c r="C7629">
        <v>80.069999999999993</v>
      </c>
      <c r="D7629">
        <v>79.59</v>
      </c>
      <c r="E7629">
        <v>80.010000000000005</v>
      </c>
      <c r="F7629">
        <v>5219600</v>
      </c>
      <c r="G7629">
        <v>78.790000000000006</v>
      </c>
      <c r="H7629" t="s">
        <v>12</v>
      </c>
      <c r="I7629" s="22">
        <f t="shared" si="239"/>
        <v>2.9234212113862464E-3</v>
      </c>
      <c r="J7629" s="22" t="str">
        <f t="shared" si="240"/>
        <v/>
      </c>
    </row>
    <row r="7630" spans="1:10">
      <c r="A7630" s="1">
        <v>41512</v>
      </c>
      <c r="B7630">
        <v>79.92</v>
      </c>
      <c r="C7630">
        <v>79.98</v>
      </c>
      <c r="D7630">
        <v>78.53</v>
      </c>
      <c r="E7630">
        <v>78.540000000000006</v>
      </c>
      <c r="F7630">
        <v>6385400</v>
      </c>
      <c r="G7630">
        <v>77.349999999999994</v>
      </c>
      <c r="H7630" t="s">
        <v>12</v>
      </c>
      <c r="I7630" s="22">
        <f t="shared" si="239"/>
        <v>-1.8445508238521716E-2</v>
      </c>
      <c r="J7630" s="22" t="str">
        <f t="shared" si="240"/>
        <v>lost money</v>
      </c>
    </row>
    <row r="7631" spans="1:10">
      <c r="A7631" s="1">
        <v>41513</v>
      </c>
      <c r="B7631">
        <v>77.87</v>
      </c>
      <c r="C7631">
        <v>78.36</v>
      </c>
      <c r="D7631">
        <v>77.33</v>
      </c>
      <c r="E7631">
        <v>77.97</v>
      </c>
      <c r="F7631">
        <v>7052200</v>
      </c>
      <c r="G7631">
        <v>76.78</v>
      </c>
      <c r="H7631" t="s">
        <v>12</v>
      </c>
      <c r="I7631" s="22">
        <f t="shared" si="239"/>
        <v>-7.3963874464233409E-3</v>
      </c>
      <c r="J7631" s="22" t="str">
        <f t="shared" si="240"/>
        <v/>
      </c>
    </row>
    <row r="7632" spans="1:10">
      <c r="A7632" s="1">
        <v>41514</v>
      </c>
      <c r="B7632">
        <v>77.86</v>
      </c>
      <c r="C7632">
        <v>77.86</v>
      </c>
      <c r="D7632">
        <v>76.849999999999994</v>
      </c>
      <c r="E7632">
        <v>76.849999999999994</v>
      </c>
      <c r="F7632">
        <v>9008500</v>
      </c>
      <c r="G7632">
        <v>75.680000000000007</v>
      </c>
      <c r="H7632" t="s">
        <v>12</v>
      </c>
      <c r="I7632" s="22">
        <f t="shared" si="239"/>
        <v>-1.4430264829028783E-2</v>
      </c>
      <c r="J7632" s="22" t="str">
        <f t="shared" si="240"/>
        <v>lost money</v>
      </c>
    </row>
    <row r="7633" spans="1:10">
      <c r="A7633" s="1">
        <v>41515</v>
      </c>
      <c r="B7633">
        <v>76.760000000000005</v>
      </c>
      <c r="C7633">
        <v>77.84</v>
      </c>
      <c r="D7633">
        <v>76.42</v>
      </c>
      <c r="E7633">
        <v>77.31</v>
      </c>
      <c r="F7633">
        <v>5961000</v>
      </c>
      <c r="G7633">
        <v>76.13</v>
      </c>
      <c r="H7633" t="s">
        <v>12</v>
      </c>
      <c r="I7633" s="22">
        <f t="shared" si="239"/>
        <v>5.9284805744982466E-3</v>
      </c>
      <c r="J7633" s="22" t="str">
        <f t="shared" si="240"/>
        <v/>
      </c>
    </row>
    <row r="7634" spans="1:10">
      <c r="A7634" s="1">
        <v>41516</v>
      </c>
      <c r="B7634">
        <v>77.53</v>
      </c>
      <c r="C7634">
        <v>78.069999999999993</v>
      </c>
      <c r="D7634">
        <v>73.61</v>
      </c>
      <c r="E7634">
        <v>77.89</v>
      </c>
      <c r="F7634">
        <v>9039100</v>
      </c>
      <c r="G7634">
        <v>76.709999999999994</v>
      </c>
      <c r="H7634" t="s">
        <v>12</v>
      </c>
      <c r="I7634" s="22">
        <f t="shared" si="239"/>
        <v>7.5896726530836562E-3</v>
      </c>
      <c r="J7634" s="22" t="str">
        <f t="shared" si="240"/>
        <v/>
      </c>
    </row>
    <row r="7635" spans="1:10">
      <c r="A7635" s="1">
        <v>41520</v>
      </c>
      <c r="B7635">
        <v>78.27</v>
      </c>
      <c r="C7635">
        <v>78.42</v>
      </c>
      <c r="D7635">
        <v>77.44</v>
      </c>
      <c r="E7635">
        <v>77.75</v>
      </c>
      <c r="F7635">
        <v>6743800</v>
      </c>
      <c r="G7635">
        <v>76.569999999999993</v>
      </c>
      <c r="H7635" t="s">
        <v>12</v>
      </c>
      <c r="I7635" s="22">
        <f t="shared" si="239"/>
        <v>-1.8267228461729317E-3</v>
      </c>
      <c r="J7635" s="22" t="str">
        <f t="shared" si="240"/>
        <v>lost money</v>
      </c>
    </row>
    <row r="7636" spans="1:10">
      <c r="A7636" s="1">
        <v>41521</v>
      </c>
      <c r="B7636">
        <v>77.52</v>
      </c>
      <c r="C7636">
        <v>77.75</v>
      </c>
      <c r="D7636">
        <v>77.12</v>
      </c>
      <c r="E7636">
        <v>77.489999999999995</v>
      </c>
      <c r="F7636">
        <v>6031300</v>
      </c>
      <c r="G7636">
        <v>76.31</v>
      </c>
      <c r="H7636" t="s">
        <v>12</v>
      </c>
      <c r="I7636" s="22">
        <f t="shared" si="239"/>
        <v>-3.4013638234901785E-3</v>
      </c>
      <c r="J7636" s="22" t="str">
        <f t="shared" si="240"/>
        <v>lost money</v>
      </c>
    </row>
    <row r="7637" spans="1:10">
      <c r="A7637" s="1">
        <v>41522</v>
      </c>
      <c r="B7637">
        <v>77.58</v>
      </c>
      <c r="C7637">
        <v>77.63</v>
      </c>
      <c r="D7637">
        <v>76.83</v>
      </c>
      <c r="E7637">
        <v>77.14</v>
      </c>
      <c r="F7637">
        <v>7163200</v>
      </c>
      <c r="G7637">
        <v>75.97</v>
      </c>
      <c r="H7637" t="s">
        <v>12</v>
      </c>
      <c r="I7637" s="22">
        <f t="shared" si="239"/>
        <v>-4.465465786411593E-3</v>
      </c>
      <c r="J7637" s="22" t="str">
        <f t="shared" si="240"/>
        <v>lost money</v>
      </c>
    </row>
    <row r="7638" spans="1:10">
      <c r="A7638" s="1">
        <v>41523</v>
      </c>
      <c r="B7638">
        <v>77.12</v>
      </c>
      <c r="C7638">
        <v>77.61</v>
      </c>
      <c r="D7638">
        <v>76.400000000000006</v>
      </c>
      <c r="E7638">
        <v>77.150000000000006</v>
      </c>
      <c r="F7638">
        <v>6977400</v>
      </c>
      <c r="G7638">
        <v>75.98</v>
      </c>
      <c r="H7638" t="s">
        <v>12</v>
      </c>
      <c r="I7638" s="22">
        <f t="shared" si="239"/>
        <v>1.316222443493565E-4</v>
      </c>
      <c r="J7638" s="22" t="str">
        <f t="shared" si="240"/>
        <v/>
      </c>
    </row>
    <row r="7639" spans="1:10">
      <c r="A7639" s="1">
        <v>41526</v>
      </c>
      <c r="B7639">
        <v>77.37</v>
      </c>
      <c r="C7639">
        <v>78.2</v>
      </c>
      <c r="D7639">
        <v>77.37</v>
      </c>
      <c r="E7639">
        <v>78.16</v>
      </c>
      <c r="F7639">
        <v>6089300</v>
      </c>
      <c r="G7639">
        <v>76.97</v>
      </c>
      <c r="H7639" t="s">
        <v>12</v>
      </c>
      <c r="I7639" s="22">
        <f t="shared" si="239"/>
        <v>1.2945587786746532E-2</v>
      </c>
      <c r="J7639" s="22" t="str">
        <f t="shared" si="240"/>
        <v/>
      </c>
    </row>
    <row r="7640" spans="1:10">
      <c r="A7640" s="1">
        <v>41527</v>
      </c>
      <c r="B7640">
        <v>78.5</v>
      </c>
      <c r="C7640">
        <v>78.64</v>
      </c>
      <c r="D7640">
        <v>77.78</v>
      </c>
      <c r="E7640">
        <v>77.95</v>
      </c>
      <c r="F7640">
        <v>6650200</v>
      </c>
      <c r="G7640">
        <v>76.760000000000005</v>
      </c>
      <c r="H7640" t="s">
        <v>12</v>
      </c>
      <c r="I7640" s="22">
        <f t="shared" si="239"/>
        <v>-2.7320644067268625E-3</v>
      </c>
      <c r="J7640" s="22" t="str">
        <f t="shared" si="240"/>
        <v>lost money</v>
      </c>
    </row>
    <row r="7641" spans="1:10">
      <c r="A7641" s="1">
        <v>41528</v>
      </c>
      <c r="B7641">
        <v>77.260000000000005</v>
      </c>
      <c r="C7641">
        <v>78.27</v>
      </c>
      <c r="D7641">
        <v>77.25</v>
      </c>
      <c r="E7641">
        <v>78.27</v>
      </c>
      <c r="F7641">
        <v>7049800</v>
      </c>
      <c r="G7641">
        <v>77.08</v>
      </c>
      <c r="H7641" t="s">
        <v>12</v>
      </c>
      <c r="I7641" s="22">
        <f t="shared" si="239"/>
        <v>4.160172406666344E-3</v>
      </c>
      <c r="J7641" s="22" t="str">
        <f t="shared" si="240"/>
        <v/>
      </c>
    </row>
    <row r="7642" spans="1:10">
      <c r="A7642" s="1">
        <v>41529</v>
      </c>
      <c r="B7642">
        <v>78.400000000000006</v>
      </c>
      <c r="C7642">
        <v>78.8</v>
      </c>
      <c r="D7642">
        <v>78.17</v>
      </c>
      <c r="E7642">
        <v>78.260000000000005</v>
      </c>
      <c r="F7642">
        <v>6944900</v>
      </c>
      <c r="G7642">
        <v>77.069999999999993</v>
      </c>
      <c r="H7642" t="s">
        <v>12</v>
      </c>
      <c r="I7642" s="22">
        <f t="shared" si="239"/>
        <v>-1.2974375626382894E-4</v>
      </c>
      <c r="J7642" s="22" t="str">
        <f t="shared" si="240"/>
        <v>lost money</v>
      </c>
    </row>
    <row r="7643" spans="1:10">
      <c r="A7643" s="1">
        <v>41530</v>
      </c>
      <c r="B7643">
        <v>78.44</v>
      </c>
      <c r="C7643">
        <v>79.180000000000007</v>
      </c>
      <c r="D7643">
        <v>78.41</v>
      </c>
      <c r="E7643">
        <v>79.05</v>
      </c>
      <c r="F7643">
        <v>4894100</v>
      </c>
      <c r="G7643">
        <v>77.849999999999994</v>
      </c>
      <c r="H7643" t="s">
        <v>12</v>
      </c>
      <c r="I7643" s="22">
        <f t="shared" si="239"/>
        <v>1.0069798490105553E-2</v>
      </c>
      <c r="J7643" s="22" t="str">
        <f t="shared" si="240"/>
        <v/>
      </c>
    </row>
    <row r="7644" spans="1:10">
      <c r="A7644" s="1">
        <v>41533</v>
      </c>
      <c r="B7644">
        <v>79.72</v>
      </c>
      <c r="C7644">
        <v>80.209999999999994</v>
      </c>
      <c r="D7644">
        <v>79.709999999999994</v>
      </c>
      <c r="E7644">
        <v>80.16</v>
      </c>
      <c r="F7644">
        <v>7512800</v>
      </c>
      <c r="G7644">
        <v>78.94</v>
      </c>
      <c r="H7644" t="s">
        <v>12</v>
      </c>
      <c r="I7644" s="22">
        <f t="shared" si="239"/>
        <v>1.3904171954693813E-2</v>
      </c>
      <c r="J7644" s="22" t="str">
        <f t="shared" si="240"/>
        <v/>
      </c>
    </row>
    <row r="7645" spans="1:10">
      <c r="A7645" s="1">
        <v>41534</v>
      </c>
      <c r="B7645">
        <v>79.959999999999994</v>
      </c>
      <c r="C7645">
        <v>80.25</v>
      </c>
      <c r="D7645">
        <v>79.64</v>
      </c>
      <c r="E7645">
        <v>79.83</v>
      </c>
      <c r="F7645">
        <v>5457700</v>
      </c>
      <c r="G7645">
        <v>78.62</v>
      </c>
      <c r="H7645" t="s">
        <v>12</v>
      </c>
      <c r="I7645" s="22">
        <f t="shared" si="239"/>
        <v>-4.0619502409866672E-3</v>
      </c>
      <c r="J7645" s="22" t="str">
        <f t="shared" si="240"/>
        <v>lost money</v>
      </c>
    </row>
    <row r="7646" spans="1:10">
      <c r="A7646" s="1">
        <v>41535</v>
      </c>
      <c r="B7646">
        <v>79.06</v>
      </c>
      <c r="C7646">
        <v>80.48</v>
      </c>
      <c r="D7646">
        <v>78.53</v>
      </c>
      <c r="E7646">
        <v>80.3</v>
      </c>
      <c r="F7646">
        <v>10372100</v>
      </c>
      <c r="G7646">
        <v>79.08</v>
      </c>
      <c r="H7646" t="s">
        <v>12</v>
      </c>
      <c r="I7646" s="22">
        <f t="shared" si="239"/>
        <v>5.8338783087019024E-3</v>
      </c>
      <c r="J7646" s="22" t="str">
        <f t="shared" si="240"/>
        <v/>
      </c>
    </row>
    <row r="7647" spans="1:10">
      <c r="A7647" s="1">
        <v>41536</v>
      </c>
      <c r="B7647">
        <v>80.5</v>
      </c>
      <c r="C7647">
        <v>80.53</v>
      </c>
      <c r="D7647">
        <v>79.78</v>
      </c>
      <c r="E7647">
        <v>80.12</v>
      </c>
      <c r="F7647">
        <v>8157300</v>
      </c>
      <c r="G7647">
        <v>78.900000000000006</v>
      </c>
      <c r="H7647" t="s">
        <v>12</v>
      </c>
      <c r="I7647" s="22">
        <f t="shared" si="239"/>
        <v>-2.278770450587489E-3</v>
      </c>
      <c r="J7647" s="22" t="str">
        <f t="shared" si="240"/>
        <v>lost money</v>
      </c>
    </row>
    <row r="7648" spans="1:10">
      <c r="A7648" s="1">
        <v>41537</v>
      </c>
      <c r="B7648">
        <v>80.09</v>
      </c>
      <c r="C7648">
        <v>80.180000000000007</v>
      </c>
      <c r="D7648">
        <v>79.39</v>
      </c>
      <c r="E7648">
        <v>79.39</v>
      </c>
      <c r="F7648">
        <v>11146100</v>
      </c>
      <c r="G7648">
        <v>78.180000000000007</v>
      </c>
      <c r="H7648" t="s">
        <v>12</v>
      </c>
      <c r="I7648" s="22">
        <f t="shared" si="239"/>
        <v>-9.1673674870197518E-3</v>
      </c>
      <c r="J7648" s="22" t="str">
        <f t="shared" si="240"/>
        <v>lost money</v>
      </c>
    </row>
    <row r="7649" spans="1:10">
      <c r="A7649" s="1">
        <v>41540</v>
      </c>
      <c r="B7649">
        <v>79.2</v>
      </c>
      <c r="C7649">
        <v>79.58</v>
      </c>
      <c r="D7649">
        <v>78.67</v>
      </c>
      <c r="E7649">
        <v>79.28</v>
      </c>
      <c r="F7649">
        <v>6304900</v>
      </c>
      <c r="G7649">
        <v>78.069999999999993</v>
      </c>
      <c r="H7649" t="s">
        <v>12</v>
      </c>
      <c r="I7649" s="22">
        <f t="shared" si="239"/>
        <v>-1.4080002326093371E-3</v>
      </c>
      <c r="J7649" s="22" t="str">
        <f t="shared" si="240"/>
        <v/>
      </c>
    </row>
    <row r="7650" spans="1:10">
      <c r="A7650" s="1">
        <v>41541</v>
      </c>
      <c r="B7650">
        <v>78.97</v>
      </c>
      <c r="C7650">
        <v>79.48</v>
      </c>
      <c r="D7650">
        <v>78.59</v>
      </c>
      <c r="E7650">
        <v>78.62</v>
      </c>
      <c r="F7650">
        <v>7692100</v>
      </c>
      <c r="G7650">
        <v>77.42</v>
      </c>
      <c r="H7650" t="s">
        <v>12</v>
      </c>
      <c r="I7650" s="22">
        <f t="shared" si="239"/>
        <v>-8.3607149826973887E-3</v>
      </c>
      <c r="J7650" s="22" t="str">
        <f t="shared" si="240"/>
        <v>lost money</v>
      </c>
    </row>
    <row r="7651" spans="1:10">
      <c r="A7651" s="1">
        <v>41542</v>
      </c>
      <c r="B7651">
        <v>78.84</v>
      </c>
      <c r="C7651">
        <v>79</v>
      </c>
      <c r="D7651">
        <v>77.709999999999994</v>
      </c>
      <c r="E7651">
        <v>77.72</v>
      </c>
      <c r="F7651">
        <v>7589300</v>
      </c>
      <c r="G7651">
        <v>76.540000000000006</v>
      </c>
      <c r="H7651" t="s">
        <v>12</v>
      </c>
      <c r="I7651" s="22">
        <f t="shared" si="239"/>
        <v>-1.1431665151945769E-2</v>
      </c>
      <c r="J7651" s="22" t="str">
        <f t="shared" si="240"/>
        <v>lost money</v>
      </c>
    </row>
    <row r="7652" spans="1:10">
      <c r="A7652" s="1">
        <v>41543</v>
      </c>
      <c r="B7652">
        <v>77.91</v>
      </c>
      <c r="C7652">
        <v>78.14</v>
      </c>
      <c r="D7652">
        <v>77.62</v>
      </c>
      <c r="E7652">
        <v>78.05</v>
      </c>
      <c r="F7652">
        <v>4632600</v>
      </c>
      <c r="G7652">
        <v>76.86</v>
      </c>
      <c r="H7652" t="s">
        <v>12</v>
      </c>
      <c r="I7652" s="22">
        <f t="shared" si="239"/>
        <v>4.1721051391416025E-3</v>
      </c>
      <c r="J7652" s="22" t="str">
        <f t="shared" si="240"/>
        <v/>
      </c>
    </row>
    <row r="7653" spans="1:10">
      <c r="A7653" s="1">
        <v>41544</v>
      </c>
      <c r="B7653">
        <v>77.75</v>
      </c>
      <c r="C7653">
        <v>77.75</v>
      </c>
      <c r="D7653">
        <v>76.77</v>
      </c>
      <c r="E7653">
        <v>77.209999999999994</v>
      </c>
      <c r="F7653">
        <v>6551300</v>
      </c>
      <c r="G7653">
        <v>76.040000000000006</v>
      </c>
      <c r="H7653" t="s">
        <v>12</v>
      </c>
      <c r="I7653" s="22">
        <f t="shared" si="239"/>
        <v>-1.0726067516469328E-2</v>
      </c>
      <c r="J7653" s="22" t="str">
        <f t="shared" si="240"/>
        <v>lost money</v>
      </c>
    </row>
    <row r="7654" spans="1:10">
      <c r="A7654" s="1">
        <v>41547</v>
      </c>
      <c r="B7654">
        <v>76.8</v>
      </c>
      <c r="C7654">
        <v>77.16</v>
      </c>
      <c r="D7654">
        <v>75.349999999999994</v>
      </c>
      <c r="E7654">
        <v>75.59</v>
      </c>
      <c r="F7654">
        <v>15028300</v>
      </c>
      <c r="G7654">
        <v>74.44</v>
      </c>
      <c r="H7654" t="s">
        <v>12</v>
      </c>
      <c r="I7654" s="22">
        <f t="shared" si="239"/>
        <v>-2.1266085846178544E-2</v>
      </c>
      <c r="J7654" s="22" t="str">
        <f t="shared" si="240"/>
        <v>lost money</v>
      </c>
    </row>
    <row r="7655" spans="1:10">
      <c r="A7655" s="1">
        <v>41548</v>
      </c>
      <c r="B7655">
        <v>75.52</v>
      </c>
      <c r="C7655">
        <v>76.5</v>
      </c>
      <c r="D7655">
        <v>75.44</v>
      </c>
      <c r="E7655">
        <v>76.16</v>
      </c>
      <c r="F7655">
        <v>8076100</v>
      </c>
      <c r="G7655">
        <v>75</v>
      </c>
      <c r="H7655" t="s">
        <v>12</v>
      </c>
      <c r="I7655" s="22">
        <f t="shared" si="239"/>
        <v>7.4946817622603829E-3</v>
      </c>
      <c r="J7655" s="22" t="str">
        <f t="shared" si="240"/>
        <v/>
      </c>
    </row>
    <row r="7656" spans="1:10">
      <c r="A7656" s="1">
        <v>41549</v>
      </c>
      <c r="B7656">
        <v>75.91</v>
      </c>
      <c r="C7656">
        <v>76.14</v>
      </c>
      <c r="D7656">
        <v>75.42</v>
      </c>
      <c r="E7656">
        <v>75.930000000000007</v>
      </c>
      <c r="F7656">
        <v>8522900</v>
      </c>
      <c r="G7656">
        <v>74.78</v>
      </c>
      <c r="H7656" t="s">
        <v>12</v>
      </c>
      <c r="I7656" s="22">
        <f t="shared" si="239"/>
        <v>-2.9376439873427906E-3</v>
      </c>
      <c r="J7656" s="22" t="str">
        <f t="shared" si="240"/>
        <v/>
      </c>
    </row>
    <row r="7657" spans="1:10">
      <c r="A7657" s="1">
        <v>41550</v>
      </c>
      <c r="B7657">
        <v>75.89</v>
      </c>
      <c r="C7657">
        <v>76.14</v>
      </c>
      <c r="D7657">
        <v>75.2</v>
      </c>
      <c r="E7657">
        <v>75.84</v>
      </c>
      <c r="F7657">
        <v>9251600</v>
      </c>
      <c r="G7657">
        <v>74.69</v>
      </c>
      <c r="H7657" t="s">
        <v>12</v>
      </c>
      <c r="I7657" s="22">
        <f t="shared" si="239"/>
        <v>-1.2042551799923546E-3</v>
      </c>
      <c r="J7657" s="22" t="str">
        <f t="shared" si="240"/>
        <v>lost money</v>
      </c>
    </row>
    <row r="7658" spans="1:10">
      <c r="A7658" s="1">
        <v>41551</v>
      </c>
      <c r="B7658">
        <v>75.98</v>
      </c>
      <c r="C7658">
        <v>76.12</v>
      </c>
      <c r="D7658">
        <v>75.510000000000005</v>
      </c>
      <c r="E7658">
        <v>76.02</v>
      </c>
      <c r="F7658">
        <v>4984700</v>
      </c>
      <c r="G7658">
        <v>74.86</v>
      </c>
      <c r="H7658" t="s">
        <v>12</v>
      </c>
      <c r="I7658" s="22">
        <f t="shared" si="239"/>
        <v>2.2734881073075567E-3</v>
      </c>
      <c r="J7658" s="22" t="str">
        <f t="shared" si="240"/>
        <v/>
      </c>
    </row>
    <row r="7659" spans="1:10">
      <c r="A7659" s="1">
        <v>41554</v>
      </c>
      <c r="B7659">
        <v>75.66</v>
      </c>
      <c r="C7659">
        <v>76.099999999999994</v>
      </c>
      <c r="D7659">
        <v>75.48</v>
      </c>
      <c r="E7659">
        <v>75.650000000000006</v>
      </c>
      <c r="F7659">
        <v>6373300</v>
      </c>
      <c r="G7659">
        <v>74.5</v>
      </c>
      <c r="H7659" t="s">
        <v>12</v>
      </c>
      <c r="I7659" s="22">
        <f t="shared" si="239"/>
        <v>-4.8205770907690263E-3</v>
      </c>
      <c r="J7659" s="22" t="str">
        <f t="shared" si="240"/>
        <v>lost money</v>
      </c>
    </row>
    <row r="7660" spans="1:10">
      <c r="A7660" s="1">
        <v>41555</v>
      </c>
      <c r="B7660">
        <v>76.39</v>
      </c>
      <c r="C7660">
        <v>77</v>
      </c>
      <c r="D7660">
        <v>76.05</v>
      </c>
      <c r="E7660">
        <v>76.33</v>
      </c>
      <c r="F7660">
        <v>9656600</v>
      </c>
      <c r="G7660">
        <v>75.17</v>
      </c>
      <c r="H7660" t="s">
        <v>12</v>
      </c>
      <c r="I7660" s="22">
        <f t="shared" si="239"/>
        <v>8.9530898038637664E-3</v>
      </c>
      <c r="J7660" s="22" t="str">
        <f t="shared" si="240"/>
        <v>lost money</v>
      </c>
    </row>
    <row r="7661" spans="1:10">
      <c r="A7661" s="1">
        <v>41556</v>
      </c>
      <c r="B7661">
        <v>76.58</v>
      </c>
      <c r="C7661">
        <v>77.16</v>
      </c>
      <c r="D7661">
        <v>76.099999999999994</v>
      </c>
      <c r="E7661">
        <v>76.95</v>
      </c>
      <c r="F7661">
        <v>8470700</v>
      </c>
      <c r="G7661">
        <v>75.78</v>
      </c>
      <c r="H7661" t="s">
        <v>12</v>
      </c>
      <c r="I7661" s="22">
        <f t="shared" si="239"/>
        <v>8.0821904010773132E-3</v>
      </c>
      <c r="J7661" s="22" t="str">
        <f t="shared" si="240"/>
        <v/>
      </c>
    </row>
    <row r="7662" spans="1:10">
      <c r="A7662" s="1">
        <v>41557</v>
      </c>
      <c r="B7662">
        <v>77.41</v>
      </c>
      <c r="C7662">
        <v>77.92</v>
      </c>
      <c r="D7662">
        <v>77.150000000000006</v>
      </c>
      <c r="E7662">
        <v>77.89</v>
      </c>
      <c r="F7662">
        <v>10121900</v>
      </c>
      <c r="G7662">
        <v>76.709999999999994</v>
      </c>
      <c r="H7662" t="s">
        <v>12</v>
      </c>
      <c r="I7662" s="22">
        <f t="shared" si="239"/>
        <v>1.2197672380750205E-2</v>
      </c>
      <c r="J7662" s="22" t="str">
        <f t="shared" si="240"/>
        <v/>
      </c>
    </row>
    <row r="7663" spans="1:10">
      <c r="A7663" s="1">
        <v>41558</v>
      </c>
      <c r="B7663">
        <v>78</v>
      </c>
      <c r="C7663">
        <v>78.489999999999995</v>
      </c>
      <c r="D7663">
        <v>77.81</v>
      </c>
      <c r="E7663">
        <v>78.48</v>
      </c>
      <c r="F7663">
        <v>6082200</v>
      </c>
      <c r="G7663">
        <v>77.290000000000006</v>
      </c>
      <c r="H7663" t="s">
        <v>12</v>
      </c>
      <c r="I7663" s="22">
        <f t="shared" si="239"/>
        <v>7.5325031475748944E-3</v>
      </c>
      <c r="J7663" s="22" t="str">
        <f t="shared" si="240"/>
        <v/>
      </c>
    </row>
    <row r="7664" spans="1:10">
      <c r="A7664" s="1">
        <v>41561</v>
      </c>
      <c r="B7664">
        <v>78.010000000000005</v>
      </c>
      <c r="C7664">
        <v>78.8</v>
      </c>
      <c r="D7664">
        <v>77.930000000000007</v>
      </c>
      <c r="E7664">
        <v>78.739999999999995</v>
      </c>
      <c r="F7664">
        <v>6326100</v>
      </c>
      <c r="G7664">
        <v>77.540000000000006</v>
      </c>
      <c r="H7664" t="s">
        <v>12</v>
      </c>
      <c r="I7664" s="22">
        <f t="shared" si="239"/>
        <v>3.229351124003528E-3</v>
      </c>
      <c r="J7664" s="22" t="str">
        <f t="shared" si="240"/>
        <v/>
      </c>
    </row>
    <row r="7665" spans="1:10">
      <c r="A7665" s="1">
        <v>41562</v>
      </c>
      <c r="B7665">
        <v>78.38</v>
      </c>
      <c r="C7665">
        <v>78.61</v>
      </c>
      <c r="D7665">
        <v>77.44</v>
      </c>
      <c r="E7665">
        <v>77.599999999999994</v>
      </c>
      <c r="F7665">
        <v>11192500</v>
      </c>
      <c r="G7665">
        <v>76.42</v>
      </c>
      <c r="H7665" t="s">
        <v>12</v>
      </c>
      <c r="I7665" s="22">
        <f t="shared" si="239"/>
        <v>-1.4549490224029219E-2</v>
      </c>
      <c r="J7665" s="22" t="str">
        <f t="shared" si="240"/>
        <v>lost money</v>
      </c>
    </row>
    <row r="7666" spans="1:10">
      <c r="A7666" s="1">
        <v>41563</v>
      </c>
      <c r="B7666">
        <v>77.349999999999994</v>
      </c>
      <c r="C7666">
        <v>78.489999999999995</v>
      </c>
      <c r="D7666">
        <v>77.260000000000005</v>
      </c>
      <c r="E7666">
        <v>78.34</v>
      </c>
      <c r="F7666">
        <v>6562600</v>
      </c>
      <c r="G7666">
        <v>77.75</v>
      </c>
      <c r="H7666" t="s">
        <v>12</v>
      </c>
      <c r="I7666" s="22">
        <f t="shared" si="239"/>
        <v>1.7254109040589535E-2</v>
      </c>
      <c r="J7666" s="22" t="str">
        <f t="shared" si="240"/>
        <v/>
      </c>
    </row>
    <row r="7667" spans="1:10">
      <c r="A7667" s="1">
        <v>41564</v>
      </c>
      <c r="B7667">
        <v>78.19</v>
      </c>
      <c r="C7667">
        <v>79.47</v>
      </c>
      <c r="D7667">
        <v>77.98</v>
      </c>
      <c r="E7667">
        <v>79.42</v>
      </c>
      <c r="F7667">
        <v>8671300</v>
      </c>
      <c r="G7667">
        <v>78.819999999999993</v>
      </c>
      <c r="H7667" t="s">
        <v>12</v>
      </c>
      <c r="I7667" s="22">
        <f t="shared" si="239"/>
        <v>1.3668220707514091E-2</v>
      </c>
      <c r="J7667" s="22" t="str">
        <f t="shared" si="240"/>
        <v/>
      </c>
    </row>
    <row r="7668" spans="1:10">
      <c r="A7668" s="1">
        <v>41565</v>
      </c>
      <c r="B7668">
        <v>79.39</v>
      </c>
      <c r="C7668">
        <v>79.569999999999993</v>
      </c>
      <c r="D7668">
        <v>78.78</v>
      </c>
      <c r="E7668">
        <v>79.41</v>
      </c>
      <c r="F7668">
        <v>7958500</v>
      </c>
      <c r="G7668">
        <v>78.81</v>
      </c>
      <c r="H7668" t="s">
        <v>12</v>
      </c>
      <c r="I7668" s="22">
        <f t="shared" si="239"/>
        <v>-1.2687940129930999E-4</v>
      </c>
      <c r="J7668" s="22" t="str">
        <f t="shared" si="240"/>
        <v/>
      </c>
    </row>
    <row r="7669" spans="1:10">
      <c r="A7669" s="1">
        <v>41568</v>
      </c>
      <c r="B7669">
        <v>79.27</v>
      </c>
      <c r="C7669">
        <v>79.319999999999993</v>
      </c>
      <c r="D7669">
        <v>78.44</v>
      </c>
      <c r="E7669">
        <v>78.97</v>
      </c>
      <c r="F7669">
        <v>6478700</v>
      </c>
      <c r="G7669">
        <v>78.38</v>
      </c>
      <c r="H7669" t="s">
        <v>12</v>
      </c>
      <c r="I7669" s="22">
        <f t="shared" si="239"/>
        <v>-5.4710995940728674E-3</v>
      </c>
      <c r="J7669" s="22" t="str">
        <f t="shared" si="240"/>
        <v>lost money</v>
      </c>
    </row>
    <row r="7670" spans="1:10">
      <c r="A7670" s="1">
        <v>41569</v>
      </c>
      <c r="B7670">
        <v>79.31</v>
      </c>
      <c r="C7670">
        <v>80.61</v>
      </c>
      <c r="D7670">
        <v>79.28</v>
      </c>
      <c r="E7670">
        <v>80.38</v>
      </c>
      <c r="F7670">
        <v>9572300</v>
      </c>
      <c r="G7670">
        <v>79.78</v>
      </c>
      <c r="H7670" t="s">
        <v>12</v>
      </c>
      <c r="I7670" s="22">
        <f t="shared" si="239"/>
        <v>1.7704053705775345E-2</v>
      </c>
      <c r="J7670" s="22" t="str">
        <f t="shared" si="240"/>
        <v/>
      </c>
    </row>
    <row r="7671" spans="1:10">
      <c r="A7671" s="1">
        <v>41570</v>
      </c>
      <c r="B7671">
        <v>80.34</v>
      </c>
      <c r="C7671">
        <v>81.25</v>
      </c>
      <c r="D7671">
        <v>80.25</v>
      </c>
      <c r="E7671">
        <v>80.91</v>
      </c>
      <c r="F7671">
        <v>8960700</v>
      </c>
      <c r="G7671">
        <v>80.3</v>
      </c>
      <c r="H7671" t="s">
        <v>12</v>
      </c>
      <c r="I7671" s="22">
        <f t="shared" si="239"/>
        <v>6.4967744754552796E-3</v>
      </c>
      <c r="J7671" s="22" t="str">
        <f t="shared" si="240"/>
        <v/>
      </c>
    </row>
    <row r="7672" spans="1:10">
      <c r="A7672" s="1">
        <v>41571</v>
      </c>
      <c r="B7672">
        <v>80.77</v>
      </c>
      <c r="C7672">
        <v>80.95</v>
      </c>
      <c r="D7672">
        <v>80.25</v>
      </c>
      <c r="E7672">
        <v>80.61</v>
      </c>
      <c r="F7672">
        <v>7521100</v>
      </c>
      <c r="G7672">
        <v>80</v>
      </c>
      <c r="H7672" t="s">
        <v>12</v>
      </c>
      <c r="I7672" s="22">
        <f t="shared" si="239"/>
        <v>-3.742986278834392E-3</v>
      </c>
      <c r="J7672" s="22" t="str">
        <f t="shared" si="240"/>
        <v>lost money</v>
      </c>
    </row>
    <row r="7673" spans="1:10">
      <c r="A7673" s="1">
        <v>41572</v>
      </c>
      <c r="B7673">
        <v>80.55</v>
      </c>
      <c r="C7673">
        <v>80.72</v>
      </c>
      <c r="D7673">
        <v>79.510000000000005</v>
      </c>
      <c r="E7673">
        <v>80</v>
      </c>
      <c r="F7673">
        <v>9606500</v>
      </c>
      <c r="G7673">
        <v>79.400000000000006</v>
      </c>
      <c r="H7673" t="s">
        <v>12</v>
      </c>
      <c r="I7673" s="22">
        <f t="shared" si="239"/>
        <v>-7.5282664207915245E-3</v>
      </c>
      <c r="J7673" s="22" t="str">
        <f t="shared" si="240"/>
        <v>lost money</v>
      </c>
    </row>
    <row r="7674" spans="1:10">
      <c r="A7674" s="1">
        <v>41575</v>
      </c>
      <c r="B7674">
        <v>80.11</v>
      </c>
      <c r="C7674">
        <v>81.86</v>
      </c>
      <c r="D7674">
        <v>79.95</v>
      </c>
      <c r="E7674">
        <v>81.3</v>
      </c>
      <c r="F7674">
        <v>9820900</v>
      </c>
      <c r="G7674">
        <v>80.69</v>
      </c>
      <c r="H7674" t="s">
        <v>12</v>
      </c>
      <c r="I7674" s="22">
        <f t="shared" si="239"/>
        <v>1.6116283607325123E-2</v>
      </c>
      <c r="J7674" s="22" t="str">
        <f t="shared" si="240"/>
        <v/>
      </c>
    </row>
    <row r="7675" spans="1:10">
      <c r="A7675" s="1">
        <v>41576</v>
      </c>
      <c r="B7675">
        <v>81.459999999999994</v>
      </c>
      <c r="C7675">
        <v>82.62</v>
      </c>
      <c r="D7675">
        <v>81.099999999999994</v>
      </c>
      <c r="E7675">
        <v>82.46</v>
      </c>
      <c r="F7675">
        <v>9482900</v>
      </c>
      <c r="G7675">
        <v>81.84</v>
      </c>
      <c r="H7675" t="s">
        <v>12</v>
      </c>
      <c r="I7675" s="22">
        <f t="shared" si="239"/>
        <v>1.4151469782955896E-2</v>
      </c>
      <c r="J7675" s="22" t="str">
        <f t="shared" si="240"/>
        <v/>
      </c>
    </row>
    <row r="7676" spans="1:10">
      <c r="A7676" s="1">
        <v>41577</v>
      </c>
      <c r="B7676">
        <v>82.53</v>
      </c>
      <c r="C7676">
        <v>82.56</v>
      </c>
      <c r="D7676">
        <v>81.23</v>
      </c>
      <c r="E7676">
        <v>81.52</v>
      </c>
      <c r="F7676">
        <v>6490000</v>
      </c>
      <c r="G7676">
        <v>80.91</v>
      </c>
      <c r="H7676" t="s">
        <v>12</v>
      </c>
      <c r="I7676" s="22">
        <f t="shared" si="239"/>
        <v>-1.1428695823622857E-2</v>
      </c>
      <c r="J7676" s="22" t="str">
        <f t="shared" si="240"/>
        <v>lost money</v>
      </c>
    </row>
    <row r="7677" spans="1:10">
      <c r="A7677" s="1">
        <v>41578</v>
      </c>
      <c r="B7677">
        <v>81.2</v>
      </c>
      <c r="C7677">
        <v>81.599999999999994</v>
      </c>
      <c r="D7677">
        <v>80.72</v>
      </c>
      <c r="E7677">
        <v>80.75</v>
      </c>
      <c r="F7677">
        <v>7786800</v>
      </c>
      <c r="G7677">
        <v>80.14</v>
      </c>
      <c r="H7677" t="s">
        <v>12</v>
      </c>
      <c r="I7677" s="22">
        <f t="shared" si="239"/>
        <v>-9.5623206117497889E-3</v>
      </c>
      <c r="J7677" s="22" t="str">
        <f t="shared" si="240"/>
        <v>lost money</v>
      </c>
    </row>
    <row r="7678" spans="1:10">
      <c r="A7678" s="1">
        <v>41579</v>
      </c>
      <c r="B7678">
        <v>80.680000000000007</v>
      </c>
      <c r="C7678">
        <v>81.33</v>
      </c>
      <c r="D7678">
        <v>80.64</v>
      </c>
      <c r="E7678">
        <v>81.150000000000006</v>
      </c>
      <c r="F7678">
        <v>6802300</v>
      </c>
      <c r="G7678">
        <v>80.540000000000006</v>
      </c>
      <c r="H7678" t="s">
        <v>12</v>
      </c>
      <c r="I7678" s="22">
        <f t="shared" si="239"/>
        <v>4.9788502153096754E-3</v>
      </c>
      <c r="J7678" s="22" t="str">
        <f t="shared" si="240"/>
        <v/>
      </c>
    </row>
    <row r="7679" spans="1:10">
      <c r="A7679" s="1">
        <v>41582</v>
      </c>
      <c r="B7679">
        <v>81.459999999999994</v>
      </c>
      <c r="C7679">
        <v>81.73</v>
      </c>
      <c r="D7679">
        <v>80.91</v>
      </c>
      <c r="E7679">
        <v>81.33</v>
      </c>
      <c r="F7679">
        <v>5460100</v>
      </c>
      <c r="G7679">
        <v>80.72</v>
      </c>
      <c r="H7679" t="s">
        <v>12</v>
      </c>
      <c r="I7679" s="22">
        <f t="shared" si="239"/>
        <v>2.2324206220453698E-3</v>
      </c>
      <c r="J7679" s="22" t="str">
        <f t="shared" si="240"/>
        <v>lost money</v>
      </c>
    </row>
    <row r="7680" spans="1:10">
      <c r="A7680" s="1">
        <v>41583</v>
      </c>
      <c r="B7680">
        <v>81.13</v>
      </c>
      <c r="C7680">
        <v>81.739999999999995</v>
      </c>
      <c r="D7680">
        <v>80.849999999999994</v>
      </c>
      <c r="E7680">
        <v>81.430000000000007</v>
      </c>
      <c r="F7680">
        <v>4949300</v>
      </c>
      <c r="G7680">
        <v>80.819999999999993</v>
      </c>
      <c r="H7680" t="s">
        <v>12</v>
      </c>
      <c r="I7680" s="22">
        <f t="shared" si="239"/>
        <v>1.2380836049740989E-3</v>
      </c>
      <c r="J7680" s="22" t="str">
        <f t="shared" si="240"/>
        <v/>
      </c>
    </row>
    <row r="7681" spans="1:10">
      <c r="A7681" s="1">
        <v>41584</v>
      </c>
      <c r="B7681">
        <v>81.64</v>
      </c>
      <c r="C7681">
        <v>83.1</v>
      </c>
      <c r="D7681">
        <v>81.33</v>
      </c>
      <c r="E7681">
        <v>82.81</v>
      </c>
      <c r="F7681">
        <v>9526400</v>
      </c>
      <c r="G7681">
        <v>82.19</v>
      </c>
      <c r="H7681" t="s">
        <v>12</v>
      </c>
      <c r="I7681" s="22">
        <f t="shared" si="239"/>
        <v>1.6809180510081144E-2</v>
      </c>
      <c r="J7681" s="22" t="str">
        <f t="shared" si="240"/>
        <v/>
      </c>
    </row>
    <row r="7682" spans="1:10">
      <c r="A7682" s="1">
        <v>41585</v>
      </c>
      <c r="B7682">
        <v>82.91</v>
      </c>
      <c r="C7682">
        <v>83.1</v>
      </c>
      <c r="D7682">
        <v>82.11</v>
      </c>
      <c r="E7682">
        <v>82.32</v>
      </c>
      <c r="F7682">
        <v>10087700</v>
      </c>
      <c r="G7682">
        <v>81.7</v>
      </c>
      <c r="H7682" t="s">
        <v>12</v>
      </c>
      <c r="I7682" s="22">
        <f t="shared" si="239"/>
        <v>-5.9796382944513685E-3</v>
      </c>
      <c r="J7682" s="22" t="str">
        <f t="shared" si="240"/>
        <v>lost money</v>
      </c>
    </row>
    <row r="7683" spans="1:10">
      <c r="A7683" s="1">
        <v>41586</v>
      </c>
      <c r="B7683">
        <v>82.28</v>
      </c>
      <c r="C7683">
        <v>82.57</v>
      </c>
      <c r="D7683">
        <v>81.67</v>
      </c>
      <c r="E7683">
        <v>82.51</v>
      </c>
      <c r="F7683">
        <v>9768400</v>
      </c>
      <c r="G7683">
        <v>81.89</v>
      </c>
      <c r="H7683" t="s">
        <v>12</v>
      </c>
      <c r="I7683" s="22">
        <f t="shared" ref="I7683:I7746" si="241">IF(A7683=$A$2,"",LN(G7683/G7682))</f>
        <v>2.3228814161397287E-3</v>
      </c>
      <c r="J7683" s="22" t="str">
        <f t="shared" ref="J7683:J7746" si="242">IF(B7683&gt;E7683,"lost money","")</f>
        <v/>
      </c>
    </row>
    <row r="7684" spans="1:10">
      <c r="A7684" s="1">
        <v>41589</v>
      </c>
      <c r="B7684">
        <v>82.35</v>
      </c>
      <c r="C7684">
        <v>82.68</v>
      </c>
      <c r="D7684">
        <v>82.02</v>
      </c>
      <c r="E7684">
        <v>82.26</v>
      </c>
      <c r="F7684">
        <v>6173600</v>
      </c>
      <c r="G7684">
        <v>81.64</v>
      </c>
      <c r="H7684" t="s">
        <v>12</v>
      </c>
      <c r="I7684" s="22">
        <f t="shared" si="241"/>
        <v>-3.0575453404527802E-3</v>
      </c>
      <c r="J7684" s="22" t="str">
        <f t="shared" si="242"/>
        <v>lost money</v>
      </c>
    </row>
    <row r="7685" spans="1:10">
      <c r="A7685" s="1">
        <v>41590</v>
      </c>
      <c r="B7685">
        <v>82.23</v>
      </c>
      <c r="C7685">
        <v>83.04</v>
      </c>
      <c r="D7685">
        <v>82.12</v>
      </c>
      <c r="E7685">
        <v>82.8</v>
      </c>
      <c r="F7685">
        <v>8201700</v>
      </c>
      <c r="G7685">
        <v>82.18</v>
      </c>
      <c r="H7685" t="s">
        <v>12</v>
      </c>
      <c r="I7685" s="22">
        <f t="shared" si="241"/>
        <v>6.5926255136197426E-3</v>
      </c>
      <c r="J7685" s="22" t="str">
        <f t="shared" si="242"/>
        <v/>
      </c>
    </row>
    <row r="7686" spans="1:10">
      <c r="A7686" s="1">
        <v>41591</v>
      </c>
      <c r="B7686">
        <v>82.57</v>
      </c>
      <c r="C7686">
        <v>83.5</v>
      </c>
      <c r="D7686">
        <v>82.46</v>
      </c>
      <c r="E7686">
        <v>83.5</v>
      </c>
      <c r="F7686">
        <v>7581600</v>
      </c>
      <c r="G7686">
        <v>82.87</v>
      </c>
      <c r="H7686" t="s">
        <v>12</v>
      </c>
      <c r="I7686" s="22">
        <f t="shared" si="241"/>
        <v>8.3611514056874461E-3</v>
      </c>
      <c r="J7686" s="22" t="str">
        <f t="shared" si="242"/>
        <v/>
      </c>
    </row>
    <row r="7687" spans="1:10">
      <c r="A7687" s="1">
        <v>41592</v>
      </c>
      <c r="B7687">
        <v>83.43</v>
      </c>
      <c r="C7687">
        <v>84.46</v>
      </c>
      <c r="D7687">
        <v>83.43</v>
      </c>
      <c r="E7687">
        <v>84.32</v>
      </c>
      <c r="F7687">
        <v>7580500</v>
      </c>
      <c r="G7687">
        <v>83.69</v>
      </c>
      <c r="H7687" t="s">
        <v>12</v>
      </c>
      <c r="I7687" s="22">
        <f t="shared" si="241"/>
        <v>9.8463811838315173E-3</v>
      </c>
      <c r="J7687" s="22" t="str">
        <f t="shared" si="242"/>
        <v/>
      </c>
    </row>
    <row r="7688" spans="1:10">
      <c r="A7688" s="1">
        <v>41593</v>
      </c>
      <c r="B7688">
        <v>84.17</v>
      </c>
      <c r="C7688">
        <v>84.92</v>
      </c>
      <c r="D7688">
        <v>84.16</v>
      </c>
      <c r="E7688">
        <v>84.84</v>
      </c>
      <c r="F7688">
        <v>9664700</v>
      </c>
      <c r="G7688">
        <v>84.2</v>
      </c>
      <c r="H7688" t="s">
        <v>12</v>
      </c>
      <c r="I7688" s="22">
        <f t="shared" si="241"/>
        <v>6.0754252034984505E-3</v>
      </c>
      <c r="J7688" s="22" t="str">
        <f t="shared" si="242"/>
        <v/>
      </c>
    </row>
    <row r="7689" spans="1:10">
      <c r="A7689" s="1">
        <v>41596</v>
      </c>
      <c r="B7689">
        <v>84.79</v>
      </c>
      <c r="C7689">
        <v>84.94</v>
      </c>
      <c r="D7689">
        <v>84.18</v>
      </c>
      <c r="E7689">
        <v>84.57</v>
      </c>
      <c r="F7689">
        <v>8507300</v>
      </c>
      <c r="G7689">
        <v>83.94</v>
      </c>
      <c r="H7689" t="s">
        <v>12</v>
      </c>
      <c r="I7689" s="22">
        <f t="shared" si="241"/>
        <v>-3.0926633428362896E-3</v>
      </c>
      <c r="J7689" s="22" t="str">
        <f t="shared" si="242"/>
        <v>lost money</v>
      </c>
    </row>
    <row r="7690" spans="1:10">
      <c r="A7690" s="1">
        <v>41597</v>
      </c>
      <c r="B7690">
        <v>84.31</v>
      </c>
      <c r="C7690">
        <v>84.59</v>
      </c>
      <c r="D7690">
        <v>84.21</v>
      </c>
      <c r="E7690">
        <v>84.34</v>
      </c>
      <c r="F7690">
        <v>7924200</v>
      </c>
      <c r="G7690">
        <v>83.71</v>
      </c>
      <c r="H7690" t="s">
        <v>12</v>
      </c>
      <c r="I7690" s="22">
        <f t="shared" si="241"/>
        <v>-2.7438132334798504E-3</v>
      </c>
      <c r="J7690" s="22" t="str">
        <f t="shared" si="242"/>
        <v/>
      </c>
    </row>
    <row r="7691" spans="1:10">
      <c r="A7691" s="1">
        <v>41598</v>
      </c>
      <c r="B7691">
        <v>84.31</v>
      </c>
      <c r="C7691">
        <v>84.98</v>
      </c>
      <c r="D7691">
        <v>84.24</v>
      </c>
      <c r="E7691">
        <v>84.69</v>
      </c>
      <c r="F7691">
        <v>7680900</v>
      </c>
      <c r="G7691">
        <v>84.05</v>
      </c>
      <c r="H7691" t="s">
        <v>12</v>
      </c>
      <c r="I7691" s="22">
        <f t="shared" si="241"/>
        <v>4.0534151826597462E-3</v>
      </c>
      <c r="J7691" s="22" t="str">
        <f t="shared" si="242"/>
        <v/>
      </c>
    </row>
    <row r="7692" spans="1:10">
      <c r="A7692" s="1">
        <v>41599</v>
      </c>
      <c r="B7692">
        <v>84.84</v>
      </c>
      <c r="C7692">
        <v>84.89</v>
      </c>
      <c r="D7692">
        <v>84.51</v>
      </c>
      <c r="E7692">
        <v>84.67</v>
      </c>
      <c r="F7692">
        <v>7287700</v>
      </c>
      <c r="G7692">
        <v>84.03</v>
      </c>
      <c r="H7692" t="s">
        <v>12</v>
      </c>
      <c r="I7692" s="22">
        <f t="shared" si="241"/>
        <v>-2.3798191449768302E-4</v>
      </c>
      <c r="J7692" s="22" t="str">
        <f t="shared" si="242"/>
        <v>lost money</v>
      </c>
    </row>
    <row r="7693" spans="1:10">
      <c r="A7693" s="1">
        <v>41600</v>
      </c>
      <c r="B7693">
        <v>84.53</v>
      </c>
      <c r="C7693">
        <v>85</v>
      </c>
      <c r="D7693">
        <v>84.23</v>
      </c>
      <c r="E7693">
        <v>84.95</v>
      </c>
      <c r="F7693">
        <v>7436200</v>
      </c>
      <c r="G7693">
        <v>84.31</v>
      </c>
      <c r="H7693" t="s">
        <v>12</v>
      </c>
      <c r="I7693" s="22">
        <f t="shared" si="241"/>
        <v>3.3266039944574383E-3</v>
      </c>
      <c r="J7693" s="22" t="str">
        <f t="shared" si="242"/>
        <v/>
      </c>
    </row>
    <row r="7694" spans="1:10">
      <c r="A7694" s="1">
        <v>41603</v>
      </c>
      <c r="B7694">
        <v>84.96</v>
      </c>
      <c r="C7694">
        <v>85.82</v>
      </c>
      <c r="D7694">
        <v>84.85</v>
      </c>
      <c r="E7694">
        <v>85.41</v>
      </c>
      <c r="F7694">
        <v>9670500</v>
      </c>
      <c r="G7694">
        <v>84.77</v>
      </c>
      <c r="H7694" t="s">
        <v>12</v>
      </c>
      <c r="I7694" s="22">
        <f t="shared" si="241"/>
        <v>5.4412246857297938E-3</v>
      </c>
      <c r="J7694" s="22" t="str">
        <f t="shared" si="242"/>
        <v/>
      </c>
    </row>
    <row r="7695" spans="1:10">
      <c r="A7695" s="1">
        <v>41604</v>
      </c>
      <c r="B7695">
        <v>85.2</v>
      </c>
      <c r="C7695">
        <v>85.76</v>
      </c>
      <c r="D7695">
        <v>84.64</v>
      </c>
      <c r="E7695">
        <v>84.64</v>
      </c>
      <c r="F7695">
        <v>7111600</v>
      </c>
      <c r="G7695">
        <v>84</v>
      </c>
      <c r="H7695" t="s">
        <v>12</v>
      </c>
      <c r="I7695" s="22">
        <f t="shared" si="241"/>
        <v>-9.1249077770004967E-3</v>
      </c>
      <c r="J7695" s="22" t="str">
        <f t="shared" si="242"/>
        <v>lost money</v>
      </c>
    </row>
    <row r="7696" spans="1:10">
      <c r="A7696" s="1">
        <v>41605</v>
      </c>
      <c r="B7696">
        <v>84.88</v>
      </c>
      <c r="C7696">
        <v>84.89</v>
      </c>
      <c r="D7696">
        <v>84.02</v>
      </c>
      <c r="E7696">
        <v>84.28</v>
      </c>
      <c r="F7696">
        <v>4905000</v>
      </c>
      <c r="G7696">
        <v>83.65</v>
      </c>
      <c r="H7696" t="s">
        <v>12</v>
      </c>
      <c r="I7696" s="22">
        <f t="shared" si="241"/>
        <v>-4.1753714104806215E-3</v>
      </c>
      <c r="J7696" s="22" t="str">
        <f t="shared" si="242"/>
        <v>lost money</v>
      </c>
    </row>
    <row r="7697" spans="1:10">
      <c r="A7697" s="1">
        <v>41607</v>
      </c>
      <c r="B7697">
        <v>84.77</v>
      </c>
      <c r="C7697">
        <v>85.21</v>
      </c>
      <c r="D7697">
        <v>84.15</v>
      </c>
      <c r="E7697">
        <v>84.22</v>
      </c>
      <c r="F7697">
        <v>4954500</v>
      </c>
      <c r="G7697">
        <v>83.59</v>
      </c>
      <c r="H7697" t="s">
        <v>12</v>
      </c>
      <c r="I7697" s="22">
        <f t="shared" si="241"/>
        <v>-7.1753172176823479E-4</v>
      </c>
      <c r="J7697" s="22" t="str">
        <f t="shared" si="242"/>
        <v>lost money</v>
      </c>
    </row>
    <row r="7698" spans="1:10">
      <c r="A7698" s="1">
        <v>40911</v>
      </c>
      <c r="B7698">
        <v>74.010000000000005</v>
      </c>
      <c r="C7698">
        <v>74.92</v>
      </c>
      <c r="D7698">
        <v>73.83</v>
      </c>
      <c r="E7698">
        <v>74.16</v>
      </c>
      <c r="F7698">
        <v>5152300</v>
      </c>
      <c r="G7698">
        <v>69.97</v>
      </c>
      <c r="H7698" t="s">
        <v>18</v>
      </c>
      <c r="I7698" s="22" t="str">
        <f t="shared" si="241"/>
        <v/>
      </c>
      <c r="J7698" s="22" t="str">
        <f t="shared" si="242"/>
        <v/>
      </c>
    </row>
    <row r="7699" spans="1:10">
      <c r="A7699" s="1">
        <v>40912</v>
      </c>
      <c r="B7699">
        <v>73.930000000000007</v>
      </c>
      <c r="C7699">
        <v>74.37</v>
      </c>
      <c r="D7699">
        <v>73.52</v>
      </c>
      <c r="E7699">
        <v>73.84</v>
      </c>
      <c r="F7699">
        <v>3698900</v>
      </c>
      <c r="G7699">
        <v>69.67</v>
      </c>
      <c r="H7699" t="s">
        <v>18</v>
      </c>
      <c r="I7699" s="22">
        <f t="shared" si="241"/>
        <v>-4.2967697157777675E-3</v>
      </c>
      <c r="J7699" s="22" t="str">
        <f t="shared" si="242"/>
        <v>lost money</v>
      </c>
    </row>
    <row r="7700" spans="1:10">
      <c r="A7700" s="1">
        <v>40913</v>
      </c>
      <c r="B7700">
        <v>73.459999999999994</v>
      </c>
      <c r="C7700">
        <v>73.5</v>
      </c>
      <c r="D7700">
        <v>72.150000000000006</v>
      </c>
      <c r="E7700">
        <v>73.12</v>
      </c>
      <c r="F7700">
        <v>5064700</v>
      </c>
      <c r="G7700">
        <v>68.989999999999995</v>
      </c>
      <c r="H7700" t="s">
        <v>18</v>
      </c>
      <c r="I7700" s="22">
        <f t="shared" si="241"/>
        <v>-9.8082424840103058E-3</v>
      </c>
      <c r="J7700" s="22" t="str">
        <f t="shared" si="242"/>
        <v>lost money</v>
      </c>
    </row>
    <row r="7701" spans="1:10">
      <c r="A7701" s="1">
        <v>40914</v>
      </c>
      <c r="B7701">
        <v>73.13</v>
      </c>
      <c r="C7701">
        <v>73.94</v>
      </c>
      <c r="D7701">
        <v>73.05</v>
      </c>
      <c r="E7701">
        <v>73.48</v>
      </c>
      <c r="F7701">
        <v>3177500</v>
      </c>
      <c r="G7701">
        <v>69.33</v>
      </c>
      <c r="H7701" t="s">
        <v>18</v>
      </c>
      <c r="I7701" s="22">
        <f t="shared" si="241"/>
        <v>4.9161463963817683E-3</v>
      </c>
      <c r="J7701" s="22" t="str">
        <f t="shared" si="242"/>
        <v/>
      </c>
    </row>
    <row r="7702" spans="1:10">
      <c r="A7702" s="1">
        <v>40917</v>
      </c>
      <c r="B7702">
        <v>73.25</v>
      </c>
      <c r="C7702">
        <v>73.5</v>
      </c>
      <c r="D7702">
        <v>72.83</v>
      </c>
      <c r="E7702">
        <v>73.45</v>
      </c>
      <c r="F7702">
        <v>3959000</v>
      </c>
      <c r="G7702">
        <v>69.3</v>
      </c>
      <c r="H7702" t="s">
        <v>18</v>
      </c>
      <c r="I7702" s="22">
        <f t="shared" si="241"/>
        <v>-4.3280675854152721E-4</v>
      </c>
      <c r="J7702" s="22" t="str">
        <f t="shared" si="242"/>
        <v/>
      </c>
    </row>
    <row r="7703" spans="1:10">
      <c r="A7703" s="1">
        <v>40918</v>
      </c>
      <c r="B7703">
        <v>73.97</v>
      </c>
      <c r="C7703">
        <v>74.739999999999995</v>
      </c>
      <c r="D7703">
        <v>73.3</v>
      </c>
      <c r="E7703">
        <v>74.19</v>
      </c>
      <c r="F7703">
        <v>3803700</v>
      </c>
      <c r="G7703">
        <v>70</v>
      </c>
      <c r="H7703" t="s">
        <v>18</v>
      </c>
      <c r="I7703" s="22">
        <f t="shared" si="241"/>
        <v>1.0050335853501506E-2</v>
      </c>
      <c r="J7703" s="22" t="str">
        <f t="shared" si="242"/>
        <v/>
      </c>
    </row>
    <row r="7704" spans="1:10">
      <c r="A7704" s="1">
        <v>40919</v>
      </c>
      <c r="B7704">
        <v>73.98</v>
      </c>
      <c r="C7704">
        <v>74.760000000000005</v>
      </c>
      <c r="D7704">
        <v>73.78</v>
      </c>
      <c r="E7704">
        <v>74.61</v>
      </c>
      <c r="F7704">
        <v>4047500</v>
      </c>
      <c r="G7704">
        <v>70.39</v>
      </c>
      <c r="H7704" t="s">
        <v>18</v>
      </c>
      <c r="I7704" s="22">
        <f t="shared" si="241"/>
        <v>5.5559655706812353E-3</v>
      </c>
      <c r="J7704" s="22" t="str">
        <f t="shared" si="242"/>
        <v/>
      </c>
    </row>
    <row r="7705" spans="1:10">
      <c r="A7705" s="1">
        <v>40920</v>
      </c>
      <c r="B7705">
        <v>74.41</v>
      </c>
      <c r="C7705">
        <v>74.959999999999994</v>
      </c>
      <c r="D7705">
        <v>74.41</v>
      </c>
      <c r="E7705">
        <v>74.739999999999995</v>
      </c>
      <c r="F7705">
        <v>2777700</v>
      </c>
      <c r="G7705">
        <v>70.52</v>
      </c>
      <c r="H7705" t="s">
        <v>18</v>
      </c>
      <c r="I7705" s="22">
        <f t="shared" si="241"/>
        <v>1.8451499096292074E-3</v>
      </c>
      <c r="J7705" s="22" t="str">
        <f t="shared" si="242"/>
        <v/>
      </c>
    </row>
    <row r="7706" spans="1:10">
      <c r="A7706" s="1">
        <v>40921</v>
      </c>
      <c r="B7706">
        <v>73.19</v>
      </c>
      <c r="C7706">
        <v>74.27</v>
      </c>
      <c r="D7706">
        <v>73</v>
      </c>
      <c r="E7706">
        <v>74.16</v>
      </c>
      <c r="F7706">
        <v>5020600</v>
      </c>
      <c r="G7706">
        <v>69.97</v>
      </c>
      <c r="H7706" t="s">
        <v>18</v>
      </c>
      <c r="I7706" s="22">
        <f t="shared" si="241"/>
        <v>-7.8297787718640908E-3</v>
      </c>
      <c r="J7706" s="22" t="str">
        <f t="shared" si="242"/>
        <v/>
      </c>
    </row>
    <row r="7707" spans="1:10">
      <c r="A7707" s="1">
        <v>40925</v>
      </c>
      <c r="B7707">
        <v>74.64</v>
      </c>
      <c r="C7707">
        <v>74.75</v>
      </c>
      <c r="D7707">
        <v>73.900000000000006</v>
      </c>
      <c r="E7707">
        <v>74.2</v>
      </c>
      <c r="F7707">
        <v>4093200</v>
      </c>
      <c r="G7707">
        <v>70.010000000000005</v>
      </c>
      <c r="H7707" t="s">
        <v>18</v>
      </c>
      <c r="I7707" s="22">
        <f t="shared" si="241"/>
        <v>5.7151023130085706E-4</v>
      </c>
      <c r="J7707" s="22" t="str">
        <f t="shared" si="242"/>
        <v>lost money</v>
      </c>
    </row>
    <row r="7708" spans="1:10">
      <c r="A7708" s="1">
        <v>40926</v>
      </c>
      <c r="B7708">
        <v>74.27</v>
      </c>
      <c r="C7708">
        <v>75.14</v>
      </c>
      <c r="D7708">
        <v>74.09</v>
      </c>
      <c r="E7708">
        <v>74.930000000000007</v>
      </c>
      <c r="F7708">
        <v>4578400</v>
      </c>
      <c r="G7708">
        <v>70.7</v>
      </c>
      <c r="H7708" t="s">
        <v>18</v>
      </c>
      <c r="I7708" s="22">
        <f t="shared" si="241"/>
        <v>9.8074839134208724E-3</v>
      </c>
      <c r="J7708" s="22" t="str">
        <f t="shared" si="242"/>
        <v/>
      </c>
    </row>
    <row r="7709" spans="1:10">
      <c r="A7709" s="1">
        <v>40927</v>
      </c>
      <c r="B7709">
        <v>74.97</v>
      </c>
      <c r="C7709">
        <v>75.58</v>
      </c>
      <c r="D7709">
        <v>74.97</v>
      </c>
      <c r="E7709">
        <v>75.31</v>
      </c>
      <c r="F7709">
        <v>4714100</v>
      </c>
      <c r="G7709">
        <v>71.05</v>
      </c>
      <c r="H7709" t="s">
        <v>18</v>
      </c>
      <c r="I7709" s="22">
        <f t="shared" si="241"/>
        <v>4.9382816405825767E-3</v>
      </c>
      <c r="J7709" s="22" t="str">
        <f t="shared" si="242"/>
        <v/>
      </c>
    </row>
    <row r="7710" spans="1:10">
      <c r="A7710" s="1">
        <v>40928</v>
      </c>
      <c r="B7710">
        <v>75.31</v>
      </c>
      <c r="C7710">
        <v>75.61</v>
      </c>
      <c r="D7710">
        <v>75</v>
      </c>
      <c r="E7710">
        <v>75.42</v>
      </c>
      <c r="F7710">
        <v>5051000</v>
      </c>
      <c r="G7710">
        <v>71.16</v>
      </c>
      <c r="H7710" t="s">
        <v>18</v>
      </c>
      <c r="I7710" s="22">
        <f t="shared" si="241"/>
        <v>1.5470082545248533E-3</v>
      </c>
      <c r="J7710" s="22" t="str">
        <f t="shared" si="242"/>
        <v/>
      </c>
    </row>
    <row r="7711" spans="1:10">
      <c r="A7711" s="1">
        <v>40931</v>
      </c>
      <c r="B7711">
        <v>75.45</v>
      </c>
      <c r="C7711">
        <v>75.489999999999995</v>
      </c>
      <c r="D7711">
        <v>74.680000000000007</v>
      </c>
      <c r="E7711">
        <v>75.13</v>
      </c>
      <c r="F7711">
        <v>3198600</v>
      </c>
      <c r="G7711">
        <v>70.88</v>
      </c>
      <c r="H7711" t="s">
        <v>18</v>
      </c>
      <c r="I7711" s="22">
        <f t="shared" si="241"/>
        <v>-3.9425565008089289E-3</v>
      </c>
      <c r="J7711" s="22" t="str">
        <f t="shared" si="242"/>
        <v>lost money</v>
      </c>
    </row>
    <row r="7712" spans="1:10">
      <c r="A7712" s="1">
        <v>40932</v>
      </c>
      <c r="B7712">
        <v>74.67</v>
      </c>
      <c r="C7712">
        <v>75.09</v>
      </c>
      <c r="D7712">
        <v>74.459999999999994</v>
      </c>
      <c r="E7712">
        <v>75</v>
      </c>
      <c r="F7712">
        <v>3577700</v>
      </c>
      <c r="G7712">
        <v>70.760000000000005</v>
      </c>
      <c r="H7712" t="s">
        <v>18</v>
      </c>
      <c r="I7712" s="22">
        <f t="shared" si="241"/>
        <v>-1.6944370052407889E-3</v>
      </c>
      <c r="J7712" s="22" t="str">
        <f t="shared" si="242"/>
        <v/>
      </c>
    </row>
    <row r="7713" spans="1:10">
      <c r="A7713" s="1">
        <v>40933</v>
      </c>
      <c r="B7713">
        <v>74.760000000000005</v>
      </c>
      <c r="C7713">
        <v>75.75</v>
      </c>
      <c r="D7713">
        <v>74.599999999999994</v>
      </c>
      <c r="E7713">
        <v>75.62</v>
      </c>
      <c r="F7713">
        <v>4219800</v>
      </c>
      <c r="G7713">
        <v>71.349999999999994</v>
      </c>
      <c r="H7713" t="s">
        <v>18</v>
      </c>
      <c r="I7713" s="22">
        <f t="shared" si="241"/>
        <v>8.3034746312608161E-3</v>
      </c>
      <c r="J7713" s="22" t="str">
        <f t="shared" si="242"/>
        <v/>
      </c>
    </row>
    <row r="7714" spans="1:10">
      <c r="A7714" s="1">
        <v>40934</v>
      </c>
      <c r="B7714">
        <v>75.69</v>
      </c>
      <c r="C7714">
        <v>76.39</v>
      </c>
      <c r="D7714">
        <v>75.56</v>
      </c>
      <c r="E7714">
        <v>75.84</v>
      </c>
      <c r="F7714">
        <v>4011600</v>
      </c>
      <c r="G7714">
        <v>71.55</v>
      </c>
      <c r="H7714" t="s">
        <v>18</v>
      </c>
      <c r="I7714" s="22">
        <f t="shared" si="241"/>
        <v>2.7991620796145524E-3</v>
      </c>
      <c r="J7714" s="22" t="str">
        <f t="shared" si="242"/>
        <v/>
      </c>
    </row>
    <row r="7715" spans="1:10">
      <c r="A7715" s="1">
        <v>40935</v>
      </c>
      <c r="B7715">
        <v>75.89</v>
      </c>
      <c r="C7715">
        <v>76.510000000000005</v>
      </c>
      <c r="D7715">
        <v>75.62</v>
      </c>
      <c r="E7715">
        <v>76.040000000000006</v>
      </c>
      <c r="F7715">
        <v>4284000</v>
      </c>
      <c r="G7715">
        <v>71.739999999999995</v>
      </c>
      <c r="H7715" t="s">
        <v>18</v>
      </c>
      <c r="I7715" s="22">
        <f t="shared" si="241"/>
        <v>2.6519661016764788E-3</v>
      </c>
      <c r="J7715" s="22" t="str">
        <f t="shared" si="242"/>
        <v/>
      </c>
    </row>
    <row r="7716" spans="1:10">
      <c r="A7716" s="1">
        <v>40938</v>
      </c>
      <c r="B7716">
        <v>75.55</v>
      </c>
      <c r="C7716">
        <v>76.41</v>
      </c>
      <c r="D7716">
        <v>75.5</v>
      </c>
      <c r="E7716">
        <v>76.150000000000006</v>
      </c>
      <c r="F7716">
        <v>4318400</v>
      </c>
      <c r="G7716">
        <v>71.849999999999994</v>
      </c>
      <c r="H7716" t="s">
        <v>18</v>
      </c>
      <c r="I7716" s="22">
        <f t="shared" si="241"/>
        <v>1.5321404208972979E-3</v>
      </c>
      <c r="J7716" s="22" t="str">
        <f t="shared" si="242"/>
        <v/>
      </c>
    </row>
    <row r="7717" spans="1:10">
      <c r="A7717" s="1">
        <v>40939</v>
      </c>
      <c r="B7717">
        <v>76.540000000000006</v>
      </c>
      <c r="C7717">
        <v>76.930000000000007</v>
      </c>
      <c r="D7717">
        <v>74.84</v>
      </c>
      <c r="E7717">
        <v>75.650000000000006</v>
      </c>
      <c r="F7717">
        <v>6997700</v>
      </c>
      <c r="G7717">
        <v>71.38</v>
      </c>
      <c r="H7717" t="s">
        <v>18</v>
      </c>
      <c r="I7717" s="22">
        <f t="shared" si="241"/>
        <v>-6.5628944630196666E-3</v>
      </c>
      <c r="J7717" s="22" t="str">
        <f t="shared" si="242"/>
        <v>lost money</v>
      </c>
    </row>
    <row r="7718" spans="1:10">
      <c r="A7718" s="1">
        <v>40940</v>
      </c>
      <c r="B7718">
        <v>76.37</v>
      </c>
      <c r="C7718">
        <v>77.180000000000007</v>
      </c>
      <c r="D7718">
        <v>75.75</v>
      </c>
      <c r="E7718">
        <v>76.78</v>
      </c>
      <c r="F7718">
        <v>7305600</v>
      </c>
      <c r="G7718">
        <v>72.44</v>
      </c>
      <c r="H7718" t="s">
        <v>18</v>
      </c>
      <c r="I7718" s="22">
        <f t="shared" si="241"/>
        <v>1.4740914953198465E-2</v>
      </c>
      <c r="J7718" s="22" t="str">
        <f t="shared" si="242"/>
        <v/>
      </c>
    </row>
    <row r="7719" spans="1:10">
      <c r="A7719" s="1">
        <v>40941</v>
      </c>
      <c r="B7719">
        <v>76.98</v>
      </c>
      <c r="C7719">
        <v>77.16</v>
      </c>
      <c r="D7719">
        <v>76.27</v>
      </c>
      <c r="E7719">
        <v>76.38</v>
      </c>
      <c r="F7719">
        <v>3043100</v>
      </c>
      <c r="G7719">
        <v>72.06</v>
      </c>
      <c r="H7719" t="s">
        <v>18</v>
      </c>
      <c r="I7719" s="22">
        <f t="shared" si="241"/>
        <v>-5.2595276952653834E-3</v>
      </c>
      <c r="J7719" s="22" t="str">
        <f t="shared" si="242"/>
        <v>lost money</v>
      </c>
    </row>
    <row r="7720" spans="1:10">
      <c r="A7720" s="1">
        <v>40942</v>
      </c>
      <c r="B7720">
        <v>77.08</v>
      </c>
      <c r="C7720">
        <v>77.34</v>
      </c>
      <c r="D7720">
        <v>76.64</v>
      </c>
      <c r="E7720">
        <v>76.7</v>
      </c>
      <c r="F7720">
        <v>4149200</v>
      </c>
      <c r="G7720">
        <v>72.37</v>
      </c>
      <c r="H7720" t="s">
        <v>18</v>
      </c>
      <c r="I7720" s="22">
        <f t="shared" si="241"/>
        <v>4.2927435580891876E-3</v>
      </c>
      <c r="J7720" s="22" t="str">
        <f t="shared" si="242"/>
        <v>lost money</v>
      </c>
    </row>
    <row r="7721" spans="1:10">
      <c r="A7721" s="1">
        <v>40945</v>
      </c>
      <c r="B7721">
        <v>76.53</v>
      </c>
      <c r="C7721">
        <v>77.040000000000006</v>
      </c>
      <c r="D7721">
        <v>76.53</v>
      </c>
      <c r="E7721">
        <v>76.92</v>
      </c>
      <c r="F7721">
        <v>3922300</v>
      </c>
      <c r="G7721">
        <v>72.569999999999993</v>
      </c>
      <c r="H7721" t="s">
        <v>18</v>
      </c>
      <c r="I7721" s="22">
        <f t="shared" si="241"/>
        <v>2.7597644120091608E-3</v>
      </c>
      <c r="J7721" s="22" t="str">
        <f t="shared" si="242"/>
        <v/>
      </c>
    </row>
    <row r="7722" spans="1:10">
      <c r="A7722" s="1">
        <v>40946</v>
      </c>
      <c r="B7722">
        <v>76.56</v>
      </c>
      <c r="C7722">
        <v>77.55</v>
      </c>
      <c r="D7722">
        <v>76.34</v>
      </c>
      <c r="E7722">
        <v>77.290000000000006</v>
      </c>
      <c r="F7722">
        <v>5027900</v>
      </c>
      <c r="G7722">
        <v>72.92</v>
      </c>
      <c r="H7722" t="s">
        <v>18</v>
      </c>
      <c r="I7722" s="22">
        <f t="shared" si="241"/>
        <v>4.8113365204168852E-3</v>
      </c>
      <c r="J7722" s="22" t="str">
        <f t="shared" si="242"/>
        <v/>
      </c>
    </row>
    <row r="7723" spans="1:10">
      <c r="A7723" s="1">
        <v>40947</v>
      </c>
      <c r="B7723">
        <v>77.180000000000007</v>
      </c>
      <c r="C7723">
        <v>77.3</v>
      </c>
      <c r="D7723">
        <v>76.75</v>
      </c>
      <c r="E7723">
        <v>76.92</v>
      </c>
      <c r="F7723">
        <v>3262300</v>
      </c>
      <c r="G7723">
        <v>72.569999999999993</v>
      </c>
      <c r="H7723" t="s">
        <v>18</v>
      </c>
      <c r="I7723" s="22">
        <f t="shared" si="241"/>
        <v>-4.8113365204168236E-3</v>
      </c>
      <c r="J7723" s="22" t="str">
        <f t="shared" si="242"/>
        <v>lost money</v>
      </c>
    </row>
    <row r="7724" spans="1:10">
      <c r="A7724" s="1">
        <v>40948</v>
      </c>
      <c r="B7724">
        <v>76.849999999999994</v>
      </c>
      <c r="C7724">
        <v>77.03</v>
      </c>
      <c r="D7724">
        <v>76.25</v>
      </c>
      <c r="E7724">
        <v>76.569999999999993</v>
      </c>
      <c r="F7724">
        <v>3848700</v>
      </c>
      <c r="G7724">
        <v>72.239999999999995</v>
      </c>
      <c r="H7724" t="s">
        <v>18</v>
      </c>
      <c r="I7724" s="22">
        <f t="shared" si="241"/>
        <v>-4.5577041813156267E-3</v>
      </c>
      <c r="J7724" s="22" t="str">
        <f t="shared" si="242"/>
        <v>lost money</v>
      </c>
    </row>
    <row r="7725" spans="1:10">
      <c r="A7725" s="1">
        <v>40949</v>
      </c>
      <c r="B7725">
        <v>76.099999999999994</v>
      </c>
      <c r="C7725">
        <v>76.760000000000005</v>
      </c>
      <c r="D7725">
        <v>75.97</v>
      </c>
      <c r="E7725">
        <v>76.69</v>
      </c>
      <c r="F7725">
        <v>3620600</v>
      </c>
      <c r="G7725">
        <v>72.36</v>
      </c>
      <c r="H7725" t="s">
        <v>18</v>
      </c>
      <c r="I7725" s="22">
        <f t="shared" si="241"/>
        <v>1.6597514183644708E-3</v>
      </c>
      <c r="J7725" s="22" t="str">
        <f t="shared" si="242"/>
        <v/>
      </c>
    </row>
    <row r="7726" spans="1:10">
      <c r="A7726" s="1">
        <v>40952</v>
      </c>
      <c r="B7726">
        <v>76.959999999999994</v>
      </c>
      <c r="C7726">
        <v>77.260000000000005</v>
      </c>
      <c r="D7726">
        <v>76.52</v>
      </c>
      <c r="E7726">
        <v>77.16</v>
      </c>
      <c r="F7726">
        <v>3115800</v>
      </c>
      <c r="G7726">
        <v>72.8</v>
      </c>
      <c r="H7726" t="s">
        <v>18</v>
      </c>
      <c r="I7726" s="22">
        <f t="shared" si="241"/>
        <v>6.0622946755457627E-3</v>
      </c>
      <c r="J7726" s="22" t="str">
        <f t="shared" si="242"/>
        <v/>
      </c>
    </row>
    <row r="7727" spans="1:10">
      <c r="A7727" s="1">
        <v>40953</v>
      </c>
      <c r="B7727">
        <v>77.03</v>
      </c>
      <c r="C7727">
        <v>77.22</v>
      </c>
      <c r="D7727">
        <v>76.650000000000006</v>
      </c>
      <c r="E7727">
        <v>77.11</v>
      </c>
      <c r="F7727">
        <v>2918600</v>
      </c>
      <c r="G7727">
        <v>72.75</v>
      </c>
      <c r="H7727" t="s">
        <v>18</v>
      </c>
      <c r="I7727" s="22">
        <f t="shared" si="241"/>
        <v>-6.870491510383883E-4</v>
      </c>
      <c r="J7727" s="22" t="str">
        <f t="shared" si="242"/>
        <v/>
      </c>
    </row>
    <row r="7728" spans="1:10">
      <c r="A7728" s="1">
        <v>40954</v>
      </c>
      <c r="B7728">
        <v>77.33</v>
      </c>
      <c r="C7728">
        <v>77.33</v>
      </c>
      <c r="D7728">
        <v>76.36</v>
      </c>
      <c r="E7728">
        <v>76.73</v>
      </c>
      <c r="F7728">
        <v>3424300</v>
      </c>
      <c r="G7728">
        <v>72.39</v>
      </c>
      <c r="H7728" t="s">
        <v>18</v>
      </c>
      <c r="I7728" s="22">
        <f t="shared" si="241"/>
        <v>-4.9607377465517759E-3</v>
      </c>
      <c r="J7728" s="22" t="str">
        <f t="shared" si="242"/>
        <v>lost money</v>
      </c>
    </row>
    <row r="7729" spans="1:10">
      <c r="A7729" s="1">
        <v>40955</v>
      </c>
      <c r="B7729">
        <v>76.2</v>
      </c>
      <c r="C7729">
        <v>76.86</v>
      </c>
      <c r="D7729">
        <v>76.06</v>
      </c>
      <c r="E7729">
        <v>76.760000000000005</v>
      </c>
      <c r="F7729">
        <v>3692400</v>
      </c>
      <c r="G7729">
        <v>72.959999999999994</v>
      </c>
      <c r="H7729" t="s">
        <v>18</v>
      </c>
      <c r="I7729" s="22">
        <f t="shared" si="241"/>
        <v>7.8431774610258787E-3</v>
      </c>
      <c r="J7729" s="22" t="str">
        <f t="shared" si="242"/>
        <v/>
      </c>
    </row>
    <row r="7730" spans="1:10">
      <c r="A7730" s="1">
        <v>40956</v>
      </c>
      <c r="B7730">
        <v>77.09</v>
      </c>
      <c r="C7730">
        <v>77.290000000000006</v>
      </c>
      <c r="D7730">
        <v>75.459999999999994</v>
      </c>
      <c r="E7730">
        <v>76.760000000000005</v>
      </c>
      <c r="F7730">
        <v>7105100</v>
      </c>
      <c r="G7730">
        <v>72.959999999999994</v>
      </c>
      <c r="H7730" t="s">
        <v>18</v>
      </c>
      <c r="I7730" s="22">
        <f t="shared" si="241"/>
        <v>0</v>
      </c>
      <c r="J7730" s="22" t="str">
        <f t="shared" si="242"/>
        <v>lost money</v>
      </c>
    </row>
    <row r="7731" spans="1:10">
      <c r="A7731" s="1">
        <v>40960</v>
      </c>
      <c r="B7731">
        <v>76.959999999999994</v>
      </c>
      <c r="C7731">
        <v>77.09</v>
      </c>
      <c r="D7731">
        <v>76.06</v>
      </c>
      <c r="E7731">
        <v>76.400000000000006</v>
      </c>
      <c r="F7731">
        <v>3652400</v>
      </c>
      <c r="G7731">
        <v>72.62</v>
      </c>
      <c r="H7731" t="s">
        <v>18</v>
      </c>
      <c r="I7731" s="22">
        <f t="shared" si="241"/>
        <v>-4.6709797798860217E-3</v>
      </c>
      <c r="J7731" s="22" t="str">
        <f t="shared" si="242"/>
        <v>lost money</v>
      </c>
    </row>
    <row r="7732" spans="1:10">
      <c r="A7732" s="1">
        <v>40961</v>
      </c>
      <c r="B7732">
        <v>76.290000000000006</v>
      </c>
      <c r="C7732">
        <v>76.569999999999993</v>
      </c>
      <c r="D7732">
        <v>75.81</v>
      </c>
      <c r="E7732">
        <v>75.900000000000006</v>
      </c>
      <c r="F7732">
        <v>3284900</v>
      </c>
      <c r="G7732">
        <v>72.150000000000006</v>
      </c>
      <c r="H7732" t="s">
        <v>18</v>
      </c>
      <c r="I7732" s="22">
        <f t="shared" si="241"/>
        <v>-6.4930807663097865E-3</v>
      </c>
      <c r="J7732" s="22" t="str">
        <f t="shared" si="242"/>
        <v>lost money</v>
      </c>
    </row>
    <row r="7733" spans="1:10">
      <c r="A7733" s="1">
        <v>40962</v>
      </c>
      <c r="B7733">
        <v>76</v>
      </c>
      <c r="C7733">
        <v>76.790000000000006</v>
      </c>
      <c r="D7733">
        <v>75.790000000000006</v>
      </c>
      <c r="E7733">
        <v>76.64</v>
      </c>
      <c r="F7733">
        <v>3018200</v>
      </c>
      <c r="G7733">
        <v>72.849999999999994</v>
      </c>
      <c r="H7733" t="s">
        <v>18</v>
      </c>
      <c r="I7733" s="22">
        <f t="shared" si="241"/>
        <v>9.6552474213337774E-3</v>
      </c>
      <c r="J7733" s="22" t="str">
        <f t="shared" si="242"/>
        <v/>
      </c>
    </row>
    <row r="7734" spans="1:10">
      <c r="A7734" s="1">
        <v>40963</v>
      </c>
      <c r="B7734">
        <v>76.59</v>
      </c>
      <c r="C7734">
        <v>76.78</v>
      </c>
      <c r="D7734">
        <v>76.27</v>
      </c>
      <c r="E7734">
        <v>76.5</v>
      </c>
      <c r="F7734">
        <v>3575300</v>
      </c>
      <c r="G7734">
        <v>72.72</v>
      </c>
      <c r="H7734" t="s">
        <v>18</v>
      </c>
      <c r="I7734" s="22">
        <f t="shared" si="241"/>
        <v>-1.7860827719904122E-3</v>
      </c>
      <c r="J7734" s="22" t="str">
        <f t="shared" si="242"/>
        <v>lost money</v>
      </c>
    </row>
    <row r="7735" spans="1:10">
      <c r="A7735" s="1">
        <v>40966</v>
      </c>
      <c r="B7735">
        <v>76.34</v>
      </c>
      <c r="C7735">
        <v>77.14</v>
      </c>
      <c r="D7735">
        <v>75.84</v>
      </c>
      <c r="E7735">
        <v>76.77</v>
      </c>
      <c r="F7735">
        <v>3439000</v>
      </c>
      <c r="G7735">
        <v>72.97</v>
      </c>
      <c r="H7735" t="s">
        <v>18</v>
      </c>
      <c r="I7735" s="22">
        <f t="shared" si="241"/>
        <v>3.4319479083054082E-3</v>
      </c>
      <c r="J7735" s="22" t="str">
        <f t="shared" si="242"/>
        <v/>
      </c>
    </row>
    <row r="7736" spans="1:10">
      <c r="A7736" s="1">
        <v>40967</v>
      </c>
      <c r="B7736">
        <v>76.66</v>
      </c>
      <c r="C7736">
        <v>77.09</v>
      </c>
      <c r="D7736">
        <v>76.45</v>
      </c>
      <c r="E7736">
        <v>76.86</v>
      </c>
      <c r="F7736">
        <v>3209000</v>
      </c>
      <c r="G7736">
        <v>73.06</v>
      </c>
      <c r="H7736" t="s">
        <v>18</v>
      </c>
      <c r="I7736" s="22">
        <f t="shared" si="241"/>
        <v>1.2326235896078009E-3</v>
      </c>
      <c r="J7736" s="22" t="str">
        <f t="shared" si="242"/>
        <v/>
      </c>
    </row>
    <row r="7737" spans="1:10">
      <c r="A7737" s="1">
        <v>40968</v>
      </c>
      <c r="B7737">
        <v>76.86</v>
      </c>
      <c r="C7737">
        <v>77.099999999999994</v>
      </c>
      <c r="D7737">
        <v>76.33</v>
      </c>
      <c r="E7737">
        <v>76.989999999999995</v>
      </c>
      <c r="F7737">
        <v>4314300</v>
      </c>
      <c r="G7737">
        <v>73.180000000000007</v>
      </c>
      <c r="H7737" t="s">
        <v>18</v>
      </c>
      <c r="I7737" s="22">
        <f t="shared" si="241"/>
        <v>1.6411382239244234E-3</v>
      </c>
      <c r="J7737" s="22" t="str">
        <f t="shared" si="242"/>
        <v/>
      </c>
    </row>
    <row r="7738" spans="1:10">
      <c r="A7738" s="1">
        <v>40969</v>
      </c>
      <c r="B7738">
        <v>77.150000000000006</v>
      </c>
      <c r="C7738">
        <v>77.260000000000005</v>
      </c>
      <c r="D7738">
        <v>76.59</v>
      </c>
      <c r="E7738">
        <v>76.89</v>
      </c>
      <c r="F7738">
        <v>3659700</v>
      </c>
      <c r="G7738">
        <v>73.09</v>
      </c>
      <c r="H7738" t="s">
        <v>18</v>
      </c>
      <c r="I7738" s="22">
        <f t="shared" si="241"/>
        <v>-1.2306010987605121E-3</v>
      </c>
      <c r="J7738" s="22" t="str">
        <f t="shared" si="242"/>
        <v>lost money</v>
      </c>
    </row>
    <row r="7739" spans="1:10">
      <c r="A7739" s="1">
        <v>40970</v>
      </c>
      <c r="B7739">
        <v>76.09</v>
      </c>
      <c r="C7739">
        <v>77</v>
      </c>
      <c r="D7739">
        <v>76.09</v>
      </c>
      <c r="E7739">
        <v>76.540000000000006</v>
      </c>
      <c r="F7739">
        <v>1992900</v>
      </c>
      <c r="G7739">
        <v>72.760000000000005</v>
      </c>
      <c r="H7739" t="s">
        <v>18</v>
      </c>
      <c r="I7739" s="22">
        <f t="shared" si="241"/>
        <v>-4.5252048423788634E-3</v>
      </c>
      <c r="J7739" s="22" t="str">
        <f t="shared" si="242"/>
        <v/>
      </c>
    </row>
    <row r="7740" spans="1:10">
      <c r="A7740" s="1">
        <v>40973</v>
      </c>
      <c r="B7740">
        <v>76.540000000000006</v>
      </c>
      <c r="C7740">
        <v>76.569999999999993</v>
      </c>
      <c r="D7740">
        <v>75.930000000000007</v>
      </c>
      <c r="E7740">
        <v>76.319999999999993</v>
      </c>
      <c r="F7740">
        <v>2102500</v>
      </c>
      <c r="G7740">
        <v>72.55</v>
      </c>
      <c r="H7740" t="s">
        <v>18</v>
      </c>
      <c r="I7740" s="22">
        <f t="shared" si="241"/>
        <v>-2.8903743197247252E-3</v>
      </c>
      <c r="J7740" s="22" t="str">
        <f t="shared" si="242"/>
        <v>lost money</v>
      </c>
    </row>
    <row r="7741" spans="1:10">
      <c r="A7741" s="1">
        <v>40974</v>
      </c>
      <c r="B7741">
        <v>75.69</v>
      </c>
      <c r="C7741">
        <v>76.22</v>
      </c>
      <c r="D7741">
        <v>75.38</v>
      </c>
      <c r="E7741">
        <v>75.61</v>
      </c>
      <c r="F7741">
        <v>3290300</v>
      </c>
      <c r="G7741">
        <v>71.87</v>
      </c>
      <c r="H7741" t="s">
        <v>18</v>
      </c>
      <c r="I7741" s="22">
        <f t="shared" si="241"/>
        <v>-9.4170478498455338E-3</v>
      </c>
      <c r="J7741" s="22" t="str">
        <f t="shared" si="242"/>
        <v>lost money</v>
      </c>
    </row>
    <row r="7742" spans="1:10">
      <c r="A7742" s="1">
        <v>40975</v>
      </c>
      <c r="B7742">
        <v>75.59</v>
      </c>
      <c r="C7742">
        <v>76.16</v>
      </c>
      <c r="D7742">
        <v>75.569999999999993</v>
      </c>
      <c r="E7742">
        <v>76</v>
      </c>
      <c r="F7742">
        <v>2552500</v>
      </c>
      <c r="G7742">
        <v>72.239999999999995</v>
      </c>
      <c r="H7742" t="s">
        <v>18</v>
      </c>
      <c r="I7742" s="22">
        <f t="shared" si="241"/>
        <v>5.1349776283785347E-3</v>
      </c>
      <c r="J7742" s="22" t="str">
        <f t="shared" si="242"/>
        <v/>
      </c>
    </row>
    <row r="7743" spans="1:10">
      <c r="A7743" s="1">
        <v>40976</v>
      </c>
      <c r="B7743">
        <v>76.28</v>
      </c>
      <c r="C7743">
        <v>76.89</v>
      </c>
      <c r="D7743">
        <v>76.040000000000006</v>
      </c>
      <c r="E7743">
        <v>76.72</v>
      </c>
      <c r="F7743">
        <v>3405400</v>
      </c>
      <c r="G7743">
        <v>72.930000000000007</v>
      </c>
      <c r="H7743" t="s">
        <v>18</v>
      </c>
      <c r="I7743" s="22">
        <f t="shared" si="241"/>
        <v>9.5061678874119714E-3</v>
      </c>
      <c r="J7743" s="22" t="str">
        <f t="shared" si="242"/>
        <v/>
      </c>
    </row>
    <row r="7744" spans="1:10">
      <c r="A7744" s="1">
        <v>40977</v>
      </c>
      <c r="B7744">
        <v>76.92</v>
      </c>
      <c r="C7744">
        <v>77.42</v>
      </c>
      <c r="D7744">
        <v>76.44</v>
      </c>
      <c r="E7744">
        <v>77.16</v>
      </c>
      <c r="F7744">
        <v>2954900</v>
      </c>
      <c r="G7744">
        <v>73.34</v>
      </c>
      <c r="H7744" t="s">
        <v>18</v>
      </c>
      <c r="I7744" s="22">
        <f t="shared" si="241"/>
        <v>5.6060856470382297E-3</v>
      </c>
      <c r="J7744" s="22" t="str">
        <f t="shared" si="242"/>
        <v/>
      </c>
    </row>
    <row r="7745" spans="1:10">
      <c r="A7745" s="1">
        <v>40980</v>
      </c>
      <c r="B7745">
        <v>77.39</v>
      </c>
      <c r="C7745">
        <v>77.790000000000006</v>
      </c>
      <c r="D7745">
        <v>77.12</v>
      </c>
      <c r="E7745">
        <v>77.69</v>
      </c>
      <c r="F7745">
        <v>3243400</v>
      </c>
      <c r="G7745">
        <v>73.849999999999994</v>
      </c>
      <c r="H7745" t="s">
        <v>18</v>
      </c>
      <c r="I7745" s="22">
        <f t="shared" si="241"/>
        <v>6.9298463342086815E-3</v>
      </c>
      <c r="J7745" s="22" t="str">
        <f t="shared" si="242"/>
        <v/>
      </c>
    </row>
    <row r="7746" spans="1:10">
      <c r="A7746" s="1">
        <v>40981</v>
      </c>
      <c r="B7746">
        <v>77.77</v>
      </c>
      <c r="C7746">
        <v>78.430000000000007</v>
      </c>
      <c r="D7746">
        <v>77.56</v>
      </c>
      <c r="E7746">
        <v>78.37</v>
      </c>
      <c r="F7746">
        <v>4442600</v>
      </c>
      <c r="G7746">
        <v>74.489999999999995</v>
      </c>
      <c r="H7746" t="s">
        <v>18</v>
      </c>
      <c r="I7746" s="22">
        <f t="shared" si="241"/>
        <v>8.6288792107961504E-3</v>
      </c>
      <c r="J7746" s="22" t="str">
        <f t="shared" si="242"/>
        <v/>
      </c>
    </row>
    <row r="7747" spans="1:10">
      <c r="A7747" s="1">
        <v>40982</v>
      </c>
      <c r="B7747">
        <v>78.33</v>
      </c>
      <c r="C7747">
        <v>78.45</v>
      </c>
      <c r="D7747">
        <v>78.010000000000005</v>
      </c>
      <c r="E7747">
        <v>78.239999999999995</v>
      </c>
      <c r="F7747">
        <v>3453000</v>
      </c>
      <c r="G7747">
        <v>74.37</v>
      </c>
      <c r="H7747" t="s">
        <v>18</v>
      </c>
      <c r="I7747" s="22">
        <f t="shared" ref="I7747:I7810" si="243">IF(A7747=$A$2,"",LN(G7747/G7746))</f>
        <v>-1.6122534729759613E-3</v>
      </c>
      <c r="J7747" s="22" t="str">
        <f t="shared" ref="J7747:J7810" si="244">IF(B7747&gt;E7747,"lost money","")</f>
        <v>lost money</v>
      </c>
    </row>
    <row r="7748" spans="1:10">
      <c r="A7748" s="1">
        <v>40983</v>
      </c>
      <c r="B7748">
        <v>78.25</v>
      </c>
      <c r="C7748">
        <v>78.98</v>
      </c>
      <c r="D7748">
        <v>77.900000000000006</v>
      </c>
      <c r="E7748">
        <v>78.94</v>
      </c>
      <c r="F7748">
        <v>3956700</v>
      </c>
      <c r="G7748">
        <v>75.040000000000006</v>
      </c>
      <c r="H7748" t="s">
        <v>18</v>
      </c>
      <c r="I7748" s="22">
        <f t="shared" si="243"/>
        <v>8.9686699827605364E-3</v>
      </c>
      <c r="J7748" s="22" t="str">
        <f t="shared" si="244"/>
        <v/>
      </c>
    </row>
    <row r="7749" spans="1:10">
      <c r="A7749" s="1">
        <v>40984</v>
      </c>
      <c r="B7749">
        <v>78.930000000000007</v>
      </c>
      <c r="C7749">
        <v>79.13</v>
      </c>
      <c r="D7749">
        <v>78.400000000000006</v>
      </c>
      <c r="E7749">
        <v>78.41</v>
      </c>
      <c r="F7749">
        <v>4612000</v>
      </c>
      <c r="G7749">
        <v>74.53</v>
      </c>
      <c r="H7749" t="s">
        <v>18</v>
      </c>
      <c r="I7749" s="22">
        <f t="shared" si="243"/>
        <v>-6.8195758043668028E-3</v>
      </c>
      <c r="J7749" s="22" t="str">
        <f t="shared" si="244"/>
        <v>lost money</v>
      </c>
    </row>
    <row r="7750" spans="1:10">
      <c r="A7750" s="1">
        <v>40987</v>
      </c>
      <c r="B7750">
        <v>79.63</v>
      </c>
      <c r="C7750">
        <v>81.790000000000006</v>
      </c>
      <c r="D7750">
        <v>79.38</v>
      </c>
      <c r="E7750">
        <v>81.11</v>
      </c>
      <c r="F7750">
        <v>11886200</v>
      </c>
      <c r="G7750">
        <v>77.099999999999994</v>
      </c>
      <c r="H7750" t="s">
        <v>18</v>
      </c>
      <c r="I7750" s="22">
        <f t="shared" si="243"/>
        <v>3.39015516756812E-2</v>
      </c>
      <c r="J7750" s="22" t="str">
        <f t="shared" si="244"/>
        <v/>
      </c>
    </row>
    <row r="7751" spans="1:10">
      <c r="A7751" s="1">
        <v>40988</v>
      </c>
      <c r="B7751">
        <v>80.349999999999994</v>
      </c>
      <c r="C7751">
        <v>80.72</v>
      </c>
      <c r="D7751">
        <v>79.95</v>
      </c>
      <c r="E7751">
        <v>80.39</v>
      </c>
      <c r="F7751">
        <v>5137500</v>
      </c>
      <c r="G7751">
        <v>76.41</v>
      </c>
      <c r="H7751" t="s">
        <v>18</v>
      </c>
      <c r="I7751" s="22">
        <f t="shared" si="243"/>
        <v>-8.9897029098084426E-3</v>
      </c>
      <c r="J7751" s="22" t="str">
        <f t="shared" si="244"/>
        <v/>
      </c>
    </row>
    <row r="7752" spans="1:10">
      <c r="A7752" s="1">
        <v>40989</v>
      </c>
      <c r="B7752">
        <v>80.400000000000006</v>
      </c>
      <c r="C7752">
        <v>80.739999999999995</v>
      </c>
      <c r="D7752">
        <v>79.959999999999994</v>
      </c>
      <c r="E7752">
        <v>80.510000000000005</v>
      </c>
      <c r="F7752">
        <v>3846800</v>
      </c>
      <c r="G7752">
        <v>76.53</v>
      </c>
      <c r="H7752" t="s">
        <v>18</v>
      </c>
      <c r="I7752" s="22">
        <f t="shared" si="243"/>
        <v>1.5692431623545466E-3</v>
      </c>
      <c r="J7752" s="22" t="str">
        <f t="shared" si="244"/>
        <v/>
      </c>
    </row>
    <row r="7753" spans="1:10">
      <c r="A7753" s="1">
        <v>40990</v>
      </c>
      <c r="B7753">
        <v>79.72</v>
      </c>
      <c r="C7753">
        <v>80.44</v>
      </c>
      <c r="D7753">
        <v>79.48</v>
      </c>
      <c r="E7753">
        <v>80.28</v>
      </c>
      <c r="F7753">
        <v>3711800</v>
      </c>
      <c r="G7753">
        <v>76.31</v>
      </c>
      <c r="H7753" t="s">
        <v>18</v>
      </c>
      <c r="I7753" s="22">
        <f t="shared" si="243"/>
        <v>-2.8788295202878374E-3</v>
      </c>
      <c r="J7753" s="22" t="str">
        <f t="shared" si="244"/>
        <v/>
      </c>
    </row>
    <row r="7754" spans="1:10">
      <c r="A7754" s="1">
        <v>40991</v>
      </c>
      <c r="B7754">
        <v>80.19</v>
      </c>
      <c r="C7754">
        <v>80.25</v>
      </c>
      <c r="D7754">
        <v>79.3</v>
      </c>
      <c r="E7754">
        <v>79.709999999999994</v>
      </c>
      <c r="F7754">
        <v>4198300</v>
      </c>
      <c r="G7754">
        <v>75.77</v>
      </c>
      <c r="H7754" t="s">
        <v>18</v>
      </c>
      <c r="I7754" s="22">
        <f t="shared" si="243"/>
        <v>-7.1015553582599181E-3</v>
      </c>
      <c r="J7754" s="22" t="str">
        <f t="shared" si="244"/>
        <v>lost money</v>
      </c>
    </row>
    <row r="7755" spans="1:10">
      <c r="A7755" s="1">
        <v>40994</v>
      </c>
      <c r="B7755">
        <v>80.260000000000005</v>
      </c>
      <c r="C7755">
        <v>80.84</v>
      </c>
      <c r="D7755">
        <v>80.260000000000005</v>
      </c>
      <c r="E7755">
        <v>80.569999999999993</v>
      </c>
      <c r="F7755">
        <v>3218600</v>
      </c>
      <c r="G7755">
        <v>76.59</v>
      </c>
      <c r="H7755" t="s">
        <v>18</v>
      </c>
      <c r="I7755" s="22">
        <f t="shared" si="243"/>
        <v>1.0764083978220259E-2</v>
      </c>
      <c r="J7755" s="22" t="str">
        <f t="shared" si="244"/>
        <v/>
      </c>
    </row>
    <row r="7756" spans="1:10">
      <c r="A7756" s="1">
        <v>40995</v>
      </c>
      <c r="B7756">
        <v>80.94</v>
      </c>
      <c r="C7756">
        <v>81</v>
      </c>
      <c r="D7756">
        <v>80.34</v>
      </c>
      <c r="E7756">
        <v>80.39</v>
      </c>
      <c r="F7756">
        <v>3059400</v>
      </c>
      <c r="G7756">
        <v>76.41</v>
      </c>
      <c r="H7756" t="s">
        <v>18</v>
      </c>
      <c r="I7756" s="22">
        <f t="shared" si="243"/>
        <v>-2.3529422620269498E-3</v>
      </c>
      <c r="J7756" s="22" t="str">
        <f t="shared" si="244"/>
        <v>lost money</v>
      </c>
    </row>
    <row r="7757" spans="1:10">
      <c r="A7757" s="1">
        <v>40996</v>
      </c>
      <c r="B7757">
        <v>80.209999999999994</v>
      </c>
      <c r="C7757">
        <v>80.42</v>
      </c>
      <c r="D7757">
        <v>79.45</v>
      </c>
      <c r="E7757">
        <v>80.040000000000006</v>
      </c>
      <c r="F7757">
        <v>3656600</v>
      </c>
      <c r="G7757">
        <v>76.08</v>
      </c>
      <c r="H7757" t="s">
        <v>18</v>
      </c>
      <c r="I7757" s="22">
        <f t="shared" si="243"/>
        <v>-4.3281594223404584E-3</v>
      </c>
      <c r="J7757" s="22" t="str">
        <f t="shared" si="244"/>
        <v>lost money</v>
      </c>
    </row>
    <row r="7758" spans="1:10">
      <c r="A7758" s="1">
        <v>40997</v>
      </c>
      <c r="B7758">
        <v>79.739999999999995</v>
      </c>
      <c r="C7758">
        <v>80.040000000000006</v>
      </c>
      <c r="D7758">
        <v>78.849999999999994</v>
      </c>
      <c r="E7758">
        <v>79.849999999999994</v>
      </c>
      <c r="F7758">
        <v>3231500</v>
      </c>
      <c r="G7758">
        <v>75.900000000000006</v>
      </c>
      <c r="H7758" t="s">
        <v>18</v>
      </c>
      <c r="I7758" s="22">
        <f t="shared" si="243"/>
        <v>-2.3687338355504978E-3</v>
      </c>
      <c r="J7758" s="22" t="str">
        <f t="shared" si="244"/>
        <v/>
      </c>
    </row>
    <row r="7759" spans="1:10">
      <c r="A7759" s="1">
        <v>40998</v>
      </c>
      <c r="B7759">
        <v>80.23</v>
      </c>
      <c r="C7759">
        <v>80.8</v>
      </c>
      <c r="D7759">
        <v>80.010000000000005</v>
      </c>
      <c r="E7759">
        <v>80.72</v>
      </c>
      <c r="F7759">
        <v>3470100</v>
      </c>
      <c r="G7759">
        <v>76.73</v>
      </c>
      <c r="H7759" t="s">
        <v>18</v>
      </c>
      <c r="I7759" s="22">
        <f t="shared" si="243"/>
        <v>1.0876081787989709E-2</v>
      </c>
      <c r="J7759" s="22" t="str">
        <f t="shared" si="244"/>
        <v/>
      </c>
    </row>
    <row r="7760" spans="1:10">
      <c r="A7760" s="1">
        <v>41001</v>
      </c>
      <c r="B7760">
        <v>80.31</v>
      </c>
      <c r="C7760">
        <v>80.97</v>
      </c>
      <c r="D7760">
        <v>80.12</v>
      </c>
      <c r="E7760">
        <v>80.67</v>
      </c>
      <c r="F7760">
        <v>2979300</v>
      </c>
      <c r="G7760">
        <v>76.680000000000007</v>
      </c>
      <c r="H7760" t="s">
        <v>18</v>
      </c>
      <c r="I7760" s="22">
        <f t="shared" si="243"/>
        <v>-6.5184801213004882E-4</v>
      </c>
      <c r="J7760" s="22" t="str">
        <f t="shared" si="244"/>
        <v/>
      </c>
    </row>
    <row r="7761" spans="1:10">
      <c r="A7761" s="1">
        <v>41002</v>
      </c>
      <c r="B7761">
        <v>80.790000000000006</v>
      </c>
      <c r="C7761">
        <v>80.790000000000006</v>
      </c>
      <c r="D7761">
        <v>79.94</v>
      </c>
      <c r="E7761">
        <v>80.52</v>
      </c>
      <c r="F7761">
        <v>2947100</v>
      </c>
      <c r="G7761">
        <v>76.540000000000006</v>
      </c>
      <c r="H7761" t="s">
        <v>18</v>
      </c>
      <c r="I7761" s="22">
        <f t="shared" si="243"/>
        <v>-1.8274381798875324E-3</v>
      </c>
      <c r="J7761" s="22" t="str">
        <f t="shared" si="244"/>
        <v>lost money</v>
      </c>
    </row>
    <row r="7762" spans="1:10">
      <c r="A7762" s="1">
        <v>41003</v>
      </c>
      <c r="B7762">
        <v>80.19</v>
      </c>
      <c r="C7762">
        <v>80.37</v>
      </c>
      <c r="D7762">
        <v>79.63</v>
      </c>
      <c r="E7762">
        <v>79.86</v>
      </c>
      <c r="F7762">
        <v>2629600</v>
      </c>
      <c r="G7762">
        <v>75.91</v>
      </c>
      <c r="H7762" t="s">
        <v>18</v>
      </c>
      <c r="I7762" s="22">
        <f t="shared" si="243"/>
        <v>-8.2650519688794426E-3</v>
      </c>
      <c r="J7762" s="22" t="str">
        <f t="shared" si="244"/>
        <v>lost money</v>
      </c>
    </row>
    <row r="7763" spans="1:10">
      <c r="A7763" s="1">
        <v>41004</v>
      </c>
      <c r="B7763">
        <v>79.5</v>
      </c>
      <c r="C7763">
        <v>80.25</v>
      </c>
      <c r="D7763">
        <v>79.319999999999993</v>
      </c>
      <c r="E7763">
        <v>80.180000000000007</v>
      </c>
      <c r="F7763">
        <v>2389200</v>
      </c>
      <c r="G7763">
        <v>76.22</v>
      </c>
      <c r="H7763" t="s">
        <v>18</v>
      </c>
      <c r="I7763" s="22">
        <f t="shared" si="243"/>
        <v>4.0754674170373397E-3</v>
      </c>
      <c r="J7763" s="22" t="str">
        <f t="shared" si="244"/>
        <v/>
      </c>
    </row>
    <row r="7764" spans="1:10">
      <c r="A7764" s="1">
        <v>41008</v>
      </c>
      <c r="B7764">
        <v>79.349999999999994</v>
      </c>
      <c r="C7764">
        <v>79.569999999999993</v>
      </c>
      <c r="D7764">
        <v>78.95</v>
      </c>
      <c r="E7764">
        <v>79.19</v>
      </c>
      <c r="F7764">
        <v>2386200</v>
      </c>
      <c r="G7764">
        <v>75.27</v>
      </c>
      <c r="H7764" t="s">
        <v>18</v>
      </c>
      <c r="I7764" s="22">
        <f t="shared" si="243"/>
        <v>-1.2542246399273609E-2</v>
      </c>
      <c r="J7764" s="22" t="str">
        <f t="shared" si="244"/>
        <v>lost money</v>
      </c>
    </row>
    <row r="7765" spans="1:10">
      <c r="A7765" s="1">
        <v>41009</v>
      </c>
      <c r="B7765">
        <v>78.930000000000007</v>
      </c>
      <c r="C7765">
        <v>79.05</v>
      </c>
      <c r="D7765">
        <v>78.03</v>
      </c>
      <c r="E7765">
        <v>78.33</v>
      </c>
      <c r="F7765">
        <v>4226800</v>
      </c>
      <c r="G7765">
        <v>74.459999999999994</v>
      </c>
      <c r="H7765" t="s">
        <v>18</v>
      </c>
      <c r="I7765" s="22">
        <f t="shared" si="243"/>
        <v>-1.0819580601869747E-2</v>
      </c>
      <c r="J7765" s="22" t="str">
        <f t="shared" si="244"/>
        <v>lost money</v>
      </c>
    </row>
    <row r="7766" spans="1:10">
      <c r="A7766" s="1">
        <v>41010</v>
      </c>
      <c r="B7766">
        <v>78.930000000000007</v>
      </c>
      <c r="C7766">
        <v>79.489999999999995</v>
      </c>
      <c r="D7766">
        <v>78.72</v>
      </c>
      <c r="E7766">
        <v>78.790000000000006</v>
      </c>
      <c r="F7766">
        <v>3998400</v>
      </c>
      <c r="G7766">
        <v>74.89</v>
      </c>
      <c r="H7766" t="s">
        <v>18</v>
      </c>
      <c r="I7766" s="22">
        <f t="shared" si="243"/>
        <v>5.7583018167050469E-3</v>
      </c>
      <c r="J7766" s="22" t="str">
        <f t="shared" si="244"/>
        <v>lost money</v>
      </c>
    </row>
    <row r="7767" spans="1:10">
      <c r="A7767" s="1">
        <v>41011</v>
      </c>
      <c r="B7767">
        <v>78.94</v>
      </c>
      <c r="C7767">
        <v>79.61</v>
      </c>
      <c r="D7767">
        <v>78.739999999999995</v>
      </c>
      <c r="E7767">
        <v>79.42</v>
      </c>
      <c r="F7767">
        <v>4016100</v>
      </c>
      <c r="G7767">
        <v>75.489999999999995</v>
      </c>
      <c r="H7767" t="s">
        <v>18</v>
      </c>
      <c r="I7767" s="22">
        <f t="shared" si="243"/>
        <v>7.9798268902577917E-3</v>
      </c>
      <c r="J7767" s="22" t="str">
        <f t="shared" si="244"/>
        <v/>
      </c>
    </row>
    <row r="7768" spans="1:10">
      <c r="A7768" s="1">
        <v>41012</v>
      </c>
      <c r="B7768">
        <v>79.290000000000006</v>
      </c>
      <c r="C7768">
        <v>79.7</v>
      </c>
      <c r="D7768">
        <v>78.62</v>
      </c>
      <c r="E7768">
        <v>79.56</v>
      </c>
      <c r="F7768">
        <v>3945000</v>
      </c>
      <c r="G7768">
        <v>75.63</v>
      </c>
      <c r="H7768" t="s">
        <v>18</v>
      </c>
      <c r="I7768" s="22">
        <f t="shared" si="243"/>
        <v>1.8528327164047534E-3</v>
      </c>
      <c r="J7768" s="22" t="str">
        <f t="shared" si="244"/>
        <v/>
      </c>
    </row>
    <row r="7769" spans="1:10">
      <c r="A7769" s="1">
        <v>41015</v>
      </c>
      <c r="B7769">
        <v>79.78</v>
      </c>
      <c r="C7769">
        <v>79.88</v>
      </c>
      <c r="D7769">
        <v>79.099999999999994</v>
      </c>
      <c r="E7769">
        <v>79.56</v>
      </c>
      <c r="F7769">
        <v>3212400</v>
      </c>
      <c r="G7769">
        <v>75.63</v>
      </c>
      <c r="H7769" t="s">
        <v>18</v>
      </c>
      <c r="I7769" s="22">
        <f t="shared" si="243"/>
        <v>0</v>
      </c>
      <c r="J7769" s="22" t="str">
        <f t="shared" si="244"/>
        <v>lost money</v>
      </c>
    </row>
    <row r="7770" spans="1:10">
      <c r="A7770" s="1">
        <v>41016</v>
      </c>
      <c r="B7770">
        <v>79.83</v>
      </c>
      <c r="C7770">
        <v>80.650000000000006</v>
      </c>
      <c r="D7770">
        <v>79.77</v>
      </c>
      <c r="E7770">
        <v>80.3</v>
      </c>
      <c r="F7770">
        <v>3541700</v>
      </c>
      <c r="G7770">
        <v>76.33</v>
      </c>
      <c r="H7770" t="s">
        <v>18</v>
      </c>
      <c r="I7770" s="22">
        <f t="shared" si="243"/>
        <v>9.2130159424409497E-3</v>
      </c>
      <c r="J7770" s="22" t="str">
        <f t="shared" si="244"/>
        <v/>
      </c>
    </row>
    <row r="7771" spans="1:10">
      <c r="A7771" s="1">
        <v>41017</v>
      </c>
      <c r="B7771">
        <v>80.099999999999994</v>
      </c>
      <c r="C7771">
        <v>80.97</v>
      </c>
      <c r="D7771">
        <v>79.94</v>
      </c>
      <c r="E7771">
        <v>80.489999999999995</v>
      </c>
      <c r="F7771">
        <v>3696500</v>
      </c>
      <c r="G7771">
        <v>76.510000000000005</v>
      </c>
      <c r="H7771" t="s">
        <v>18</v>
      </c>
      <c r="I7771" s="22">
        <f t="shared" si="243"/>
        <v>2.3554054333816327E-3</v>
      </c>
      <c r="J7771" s="22" t="str">
        <f t="shared" si="244"/>
        <v/>
      </c>
    </row>
    <row r="7772" spans="1:10">
      <c r="A7772" s="1">
        <v>41018</v>
      </c>
      <c r="B7772">
        <v>80.58</v>
      </c>
      <c r="C7772">
        <v>80.64</v>
      </c>
      <c r="D7772">
        <v>79.41</v>
      </c>
      <c r="E7772">
        <v>79.86</v>
      </c>
      <c r="F7772">
        <v>3471400</v>
      </c>
      <c r="G7772">
        <v>75.91</v>
      </c>
      <c r="H7772" t="s">
        <v>18</v>
      </c>
      <c r="I7772" s="22">
        <f t="shared" si="243"/>
        <v>-7.8730232150837857E-3</v>
      </c>
      <c r="J7772" s="22" t="str">
        <f t="shared" si="244"/>
        <v>lost money</v>
      </c>
    </row>
    <row r="7773" spans="1:10">
      <c r="A7773" s="1">
        <v>41019</v>
      </c>
      <c r="B7773">
        <v>79.989999999999995</v>
      </c>
      <c r="C7773">
        <v>80.53</v>
      </c>
      <c r="D7773">
        <v>79.290000000000006</v>
      </c>
      <c r="E7773">
        <v>80.27</v>
      </c>
      <c r="F7773">
        <v>4216000</v>
      </c>
      <c r="G7773">
        <v>76.3</v>
      </c>
      <c r="H7773" t="s">
        <v>18</v>
      </c>
      <c r="I7773" s="22">
        <f t="shared" si="243"/>
        <v>5.1245102617344393E-3</v>
      </c>
      <c r="J7773" s="22" t="str">
        <f t="shared" si="244"/>
        <v/>
      </c>
    </row>
    <row r="7774" spans="1:10">
      <c r="A7774" s="1">
        <v>41022</v>
      </c>
      <c r="B7774">
        <v>80.06</v>
      </c>
      <c r="C7774">
        <v>80.06</v>
      </c>
      <c r="D7774">
        <v>78.47</v>
      </c>
      <c r="E7774">
        <v>79.03</v>
      </c>
      <c r="F7774">
        <v>4307900</v>
      </c>
      <c r="G7774">
        <v>75.12</v>
      </c>
      <c r="H7774" t="s">
        <v>18</v>
      </c>
      <c r="I7774" s="22">
        <f t="shared" si="243"/>
        <v>-1.5586103390403732E-2</v>
      </c>
      <c r="J7774" s="22" t="str">
        <f t="shared" si="244"/>
        <v>lost money</v>
      </c>
    </row>
    <row r="7775" spans="1:10">
      <c r="A7775" s="1">
        <v>41023</v>
      </c>
      <c r="B7775">
        <v>79.3</v>
      </c>
      <c r="C7775">
        <v>80.14</v>
      </c>
      <c r="D7775">
        <v>79.16</v>
      </c>
      <c r="E7775">
        <v>79.459999999999994</v>
      </c>
      <c r="F7775">
        <v>2874800</v>
      </c>
      <c r="G7775">
        <v>75.53</v>
      </c>
      <c r="H7775" t="s">
        <v>18</v>
      </c>
      <c r="I7775" s="22">
        <f t="shared" si="243"/>
        <v>5.443093425349029E-3</v>
      </c>
      <c r="J7775" s="22" t="str">
        <f t="shared" si="244"/>
        <v/>
      </c>
    </row>
    <row r="7776" spans="1:10">
      <c r="A7776" s="1">
        <v>41024</v>
      </c>
      <c r="B7776">
        <v>79.94</v>
      </c>
      <c r="C7776">
        <v>80.09</v>
      </c>
      <c r="D7776">
        <v>79.430000000000007</v>
      </c>
      <c r="E7776">
        <v>79.650000000000006</v>
      </c>
      <c r="F7776">
        <v>3318200</v>
      </c>
      <c r="G7776">
        <v>75.709999999999994</v>
      </c>
      <c r="H7776" t="s">
        <v>18</v>
      </c>
      <c r="I7776" s="22">
        <f t="shared" si="243"/>
        <v>2.3803237898586444E-3</v>
      </c>
      <c r="J7776" s="22" t="str">
        <f t="shared" si="244"/>
        <v>lost money</v>
      </c>
    </row>
    <row r="7777" spans="1:10">
      <c r="A7777" s="1">
        <v>41025</v>
      </c>
      <c r="B7777">
        <v>77.58</v>
      </c>
      <c r="C7777">
        <v>78.290000000000006</v>
      </c>
      <c r="D7777">
        <v>76.56</v>
      </c>
      <c r="E7777">
        <v>78.25</v>
      </c>
      <c r="F7777">
        <v>8120500</v>
      </c>
      <c r="G7777">
        <v>74.38</v>
      </c>
      <c r="H7777" t="s">
        <v>18</v>
      </c>
      <c r="I7777" s="22">
        <f t="shared" si="243"/>
        <v>-1.7723163618291286E-2</v>
      </c>
      <c r="J7777" s="22" t="str">
        <f t="shared" si="244"/>
        <v/>
      </c>
    </row>
    <row r="7778" spans="1:10">
      <c r="A7778" s="1">
        <v>41026</v>
      </c>
      <c r="B7778">
        <v>78.41</v>
      </c>
      <c r="C7778">
        <v>78.989999999999995</v>
      </c>
      <c r="D7778">
        <v>77.97</v>
      </c>
      <c r="E7778">
        <v>78.44</v>
      </c>
      <c r="F7778">
        <v>3788600</v>
      </c>
      <c r="G7778">
        <v>74.56</v>
      </c>
      <c r="H7778" t="s">
        <v>18</v>
      </c>
      <c r="I7778" s="22">
        <f t="shared" si="243"/>
        <v>2.4170818804118885E-3</v>
      </c>
      <c r="J7778" s="22" t="str">
        <f t="shared" si="244"/>
        <v/>
      </c>
    </row>
    <row r="7779" spans="1:10">
      <c r="A7779" s="1">
        <v>41029</v>
      </c>
      <c r="B7779">
        <v>78.25</v>
      </c>
      <c r="C7779">
        <v>78.75</v>
      </c>
      <c r="D7779">
        <v>77.900000000000006</v>
      </c>
      <c r="E7779">
        <v>78.14</v>
      </c>
      <c r="F7779">
        <v>2405100</v>
      </c>
      <c r="G7779">
        <v>74.28</v>
      </c>
      <c r="H7779" t="s">
        <v>18</v>
      </c>
      <c r="I7779" s="22">
        <f t="shared" si="243"/>
        <v>-3.7624338928307481E-3</v>
      </c>
      <c r="J7779" s="22" t="str">
        <f t="shared" si="244"/>
        <v>lost money</v>
      </c>
    </row>
    <row r="7780" spans="1:10">
      <c r="A7780" s="1">
        <v>41030</v>
      </c>
      <c r="B7780">
        <v>78.14</v>
      </c>
      <c r="C7780">
        <v>78.91</v>
      </c>
      <c r="D7780">
        <v>77.959999999999994</v>
      </c>
      <c r="E7780">
        <v>78.47</v>
      </c>
      <c r="F7780">
        <v>3313400</v>
      </c>
      <c r="G7780">
        <v>74.59</v>
      </c>
      <c r="H7780" t="s">
        <v>18</v>
      </c>
      <c r="I7780" s="22">
        <f t="shared" si="243"/>
        <v>4.1647134825669608E-3</v>
      </c>
      <c r="J7780" s="22" t="str">
        <f t="shared" si="244"/>
        <v/>
      </c>
    </row>
    <row r="7781" spans="1:10">
      <c r="A7781" s="1">
        <v>41031</v>
      </c>
      <c r="B7781">
        <v>78.27</v>
      </c>
      <c r="C7781">
        <v>78.62</v>
      </c>
      <c r="D7781">
        <v>78.06</v>
      </c>
      <c r="E7781">
        <v>78.42</v>
      </c>
      <c r="F7781">
        <v>4227400</v>
      </c>
      <c r="G7781">
        <v>74.540000000000006</v>
      </c>
      <c r="H7781" t="s">
        <v>18</v>
      </c>
      <c r="I7781" s="22">
        <f t="shared" si="243"/>
        <v>-6.7055591595953736E-4</v>
      </c>
      <c r="J7781" s="22" t="str">
        <f t="shared" si="244"/>
        <v/>
      </c>
    </row>
    <row r="7782" spans="1:10">
      <c r="A7782" s="1">
        <v>41032</v>
      </c>
      <c r="B7782">
        <v>78.48</v>
      </c>
      <c r="C7782">
        <v>78.64</v>
      </c>
      <c r="D7782">
        <v>78.06</v>
      </c>
      <c r="E7782">
        <v>78.069999999999993</v>
      </c>
      <c r="F7782">
        <v>3025300</v>
      </c>
      <c r="G7782">
        <v>74.209999999999994</v>
      </c>
      <c r="H7782" t="s">
        <v>18</v>
      </c>
      <c r="I7782" s="22">
        <f t="shared" si="243"/>
        <v>-4.4369820690703604E-3</v>
      </c>
      <c r="J7782" s="22" t="str">
        <f t="shared" si="244"/>
        <v>lost money</v>
      </c>
    </row>
    <row r="7783" spans="1:10">
      <c r="A7783" s="1">
        <v>41033</v>
      </c>
      <c r="B7783">
        <v>77.900000000000006</v>
      </c>
      <c r="C7783">
        <v>78.25</v>
      </c>
      <c r="D7783">
        <v>77.239999999999995</v>
      </c>
      <c r="E7783">
        <v>77.73</v>
      </c>
      <c r="F7783">
        <v>3991500</v>
      </c>
      <c r="G7783">
        <v>73.89</v>
      </c>
      <c r="H7783" t="s">
        <v>18</v>
      </c>
      <c r="I7783" s="22">
        <f t="shared" si="243"/>
        <v>-4.3214111814858973E-3</v>
      </c>
      <c r="J7783" s="22" t="str">
        <f t="shared" si="244"/>
        <v>lost money</v>
      </c>
    </row>
    <row r="7784" spans="1:10">
      <c r="A7784" s="1">
        <v>41036</v>
      </c>
      <c r="B7784">
        <v>77.349999999999994</v>
      </c>
      <c r="C7784">
        <v>78.37</v>
      </c>
      <c r="D7784">
        <v>77.23</v>
      </c>
      <c r="E7784">
        <v>77.8</v>
      </c>
      <c r="F7784">
        <v>2953900</v>
      </c>
      <c r="G7784">
        <v>73.95</v>
      </c>
      <c r="H7784" t="s">
        <v>18</v>
      </c>
      <c r="I7784" s="22">
        <f t="shared" si="243"/>
        <v>8.1168835625266319E-4</v>
      </c>
      <c r="J7784" s="22" t="str">
        <f t="shared" si="244"/>
        <v/>
      </c>
    </row>
    <row r="7785" spans="1:10">
      <c r="A7785" s="1">
        <v>41037</v>
      </c>
      <c r="B7785">
        <v>77.53</v>
      </c>
      <c r="C7785">
        <v>77.94</v>
      </c>
      <c r="D7785">
        <v>77.41</v>
      </c>
      <c r="E7785">
        <v>77.66</v>
      </c>
      <c r="F7785">
        <v>6463400</v>
      </c>
      <c r="G7785">
        <v>73.819999999999993</v>
      </c>
      <c r="H7785" t="s">
        <v>18</v>
      </c>
      <c r="I7785" s="22">
        <f t="shared" si="243"/>
        <v>-1.7594915549563903E-3</v>
      </c>
      <c r="J7785" s="22" t="str">
        <f t="shared" si="244"/>
        <v/>
      </c>
    </row>
    <row r="7786" spans="1:10">
      <c r="A7786" s="1">
        <v>41038</v>
      </c>
      <c r="B7786">
        <v>77.2</v>
      </c>
      <c r="C7786">
        <v>77.569999999999993</v>
      </c>
      <c r="D7786">
        <v>76.709999999999994</v>
      </c>
      <c r="E7786">
        <v>77.150000000000006</v>
      </c>
      <c r="F7786">
        <v>3984600</v>
      </c>
      <c r="G7786">
        <v>73.34</v>
      </c>
      <c r="H7786" t="s">
        <v>18</v>
      </c>
      <c r="I7786" s="22">
        <f t="shared" si="243"/>
        <v>-6.5235349586724514E-3</v>
      </c>
      <c r="J7786" s="22" t="str">
        <f t="shared" si="244"/>
        <v>lost money</v>
      </c>
    </row>
    <row r="7787" spans="1:10">
      <c r="A7787" s="1">
        <v>41039</v>
      </c>
      <c r="B7787">
        <v>77.47</v>
      </c>
      <c r="C7787">
        <v>77.72</v>
      </c>
      <c r="D7787">
        <v>76.489999999999995</v>
      </c>
      <c r="E7787">
        <v>76.61</v>
      </c>
      <c r="F7787">
        <v>2984900</v>
      </c>
      <c r="G7787">
        <v>73.36</v>
      </c>
      <c r="H7787" t="s">
        <v>18</v>
      </c>
      <c r="I7787" s="22">
        <f t="shared" si="243"/>
        <v>2.7266530502937541E-4</v>
      </c>
      <c r="J7787" s="22" t="str">
        <f t="shared" si="244"/>
        <v>lost money</v>
      </c>
    </row>
    <row r="7788" spans="1:10">
      <c r="A7788" s="1">
        <v>41040</v>
      </c>
      <c r="B7788">
        <v>76.37</v>
      </c>
      <c r="C7788">
        <v>77.08</v>
      </c>
      <c r="D7788">
        <v>76.290000000000006</v>
      </c>
      <c r="E7788">
        <v>76.430000000000007</v>
      </c>
      <c r="F7788">
        <v>2529800</v>
      </c>
      <c r="G7788">
        <v>73.19</v>
      </c>
      <c r="H7788" t="s">
        <v>18</v>
      </c>
      <c r="I7788" s="22">
        <f t="shared" si="243"/>
        <v>-2.320028335073685E-3</v>
      </c>
      <c r="J7788" s="22" t="str">
        <f t="shared" si="244"/>
        <v/>
      </c>
    </row>
    <row r="7789" spans="1:10">
      <c r="A7789" s="1">
        <v>41043</v>
      </c>
      <c r="B7789">
        <v>75.94</v>
      </c>
      <c r="C7789">
        <v>76.849999999999994</v>
      </c>
      <c r="D7789">
        <v>75.66</v>
      </c>
      <c r="E7789">
        <v>76.209999999999994</v>
      </c>
      <c r="F7789">
        <v>2629700</v>
      </c>
      <c r="G7789">
        <v>72.98</v>
      </c>
      <c r="H7789" t="s">
        <v>18</v>
      </c>
      <c r="I7789" s="22">
        <f t="shared" si="243"/>
        <v>-2.8733686048340833E-3</v>
      </c>
      <c r="J7789" s="22" t="str">
        <f t="shared" si="244"/>
        <v/>
      </c>
    </row>
    <row r="7790" spans="1:10">
      <c r="A7790" s="1">
        <v>41044</v>
      </c>
      <c r="B7790">
        <v>76.010000000000005</v>
      </c>
      <c r="C7790">
        <v>76.78</v>
      </c>
      <c r="D7790">
        <v>75.86</v>
      </c>
      <c r="E7790">
        <v>76.08</v>
      </c>
      <c r="F7790">
        <v>3022100</v>
      </c>
      <c r="G7790">
        <v>72.86</v>
      </c>
      <c r="H7790" t="s">
        <v>18</v>
      </c>
      <c r="I7790" s="22">
        <f t="shared" si="243"/>
        <v>-1.6456394278839285E-3</v>
      </c>
      <c r="J7790" s="22" t="str">
        <f t="shared" si="244"/>
        <v/>
      </c>
    </row>
    <row r="7791" spans="1:10">
      <c r="A7791" s="1">
        <v>41045</v>
      </c>
      <c r="B7791">
        <v>76.33</v>
      </c>
      <c r="C7791">
        <v>76.95</v>
      </c>
      <c r="D7791">
        <v>75.900000000000006</v>
      </c>
      <c r="E7791">
        <v>75.92</v>
      </c>
      <c r="F7791">
        <v>3047700</v>
      </c>
      <c r="G7791">
        <v>72.7</v>
      </c>
      <c r="H7791" t="s">
        <v>18</v>
      </c>
      <c r="I7791" s="22">
        <f t="shared" si="243"/>
        <v>-2.1984070409440505E-3</v>
      </c>
      <c r="J7791" s="22" t="str">
        <f t="shared" si="244"/>
        <v>lost money</v>
      </c>
    </row>
    <row r="7792" spans="1:10">
      <c r="A7792" s="1">
        <v>41046</v>
      </c>
      <c r="B7792">
        <v>75.94</v>
      </c>
      <c r="C7792">
        <v>76.13</v>
      </c>
      <c r="D7792">
        <v>74.78</v>
      </c>
      <c r="E7792">
        <v>74.81</v>
      </c>
      <c r="F7792">
        <v>3099300</v>
      </c>
      <c r="G7792">
        <v>71.64</v>
      </c>
      <c r="H7792" t="s">
        <v>18</v>
      </c>
      <c r="I7792" s="22">
        <f t="shared" si="243"/>
        <v>-1.4687807346962737E-2</v>
      </c>
      <c r="J7792" s="22" t="str">
        <f t="shared" si="244"/>
        <v>lost money</v>
      </c>
    </row>
    <row r="7793" spans="1:10">
      <c r="A7793" s="1">
        <v>41047</v>
      </c>
      <c r="B7793">
        <v>75.16</v>
      </c>
      <c r="C7793">
        <v>75.34</v>
      </c>
      <c r="D7793">
        <v>73.86</v>
      </c>
      <c r="E7793">
        <v>74.03</v>
      </c>
      <c r="F7793">
        <v>4986700</v>
      </c>
      <c r="G7793">
        <v>70.89</v>
      </c>
      <c r="H7793" t="s">
        <v>18</v>
      </c>
      <c r="I7793" s="22">
        <f t="shared" si="243"/>
        <v>-1.0524197325584867E-2</v>
      </c>
      <c r="J7793" s="22" t="str">
        <f t="shared" si="244"/>
        <v>lost money</v>
      </c>
    </row>
    <row r="7794" spans="1:10">
      <c r="A7794" s="1">
        <v>41050</v>
      </c>
      <c r="B7794">
        <v>74.290000000000006</v>
      </c>
      <c r="C7794">
        <v>74.819999999999993</v>
      </c>
      <c r="D7794">
        <v>74.03</v>
      </c>
      <c r="E7794">
        <v>74.64</v>
      </c>
      <c r="F7794">
        <v>3667900</v>
      </c>
      <c r="G7794">
        <v>71.48</v>
      </c>
      <c r="H7794" t="s">
        <v>18</v>
      </c>
      <c r="I7794" s="22">
        <f t="shared" si="243"/>
        <v>8.2883104243011447E-3</v>
      </c>
      <c r="J7794" s="22" t="str">
        <f t="shared" si="244"/>
        <v/>
      </c>
    </row>
    <row r="7795" spans="1:10">
      <c r="A7795" s="1">
        <v>41051</v>
      </c>
      <c r="B7795">
        <v>74.59</v>
      </c>
      <c r="C7795">
        <v>75.3</v>
      </c>
      <c r="D7795">
        <v>74.290000000000006</v>
      </c>
      <c r="E7795">
        <v>74.760000000000005</v>
      </c>
      <c r="F7795">
        <v>3662500</v>
      </c>
      <c r="G7795">
        <v>71.59</v>
      </c>
      <c r="H7795" t="s">
        <v>18</v>
      </c>
      <c r="I7795" s="22">
        <f t="shared" si="243"/>
        <v>1.5377091168664358E-3</v>
      </c>
      <c r="J7795" s="22" t="str">
        <f t="shared" si="244"/>
        <v/>
      </c>
    </row>
    <row r="7796" spans="1:10">
      <c r="A7796" s="1">
        <v>41052</v>
      </c>
      <c r="B7796">
        <v>74.27</v>
      </c>
      <c r="C7796">
        <v>75.2</v>
      </c>
      <c r="D7796">
        <v>73.56</v>
      </c>
      <c r="E7796">
        <v>75</v>
      </c>
      <c r="F7796">
        <v>4455500</v>
      </c>
      <c r="G7796">
        <v>71.819999999999993</v>
      </c>
      <c r="H7796" t="s">
        <v>18</v>
      </c>
      <c r="I7796" s="22">
        <f t="shared" si="243"/>
        <v>3.2075893898429334E-3</v>
      </c>
      <c r="J7796" s="22" t="str">
        <f t="shared" si="244"/>
        <v/>
      </c>
    </row>
    <row r="7797" spans="1:10">
      <c r="A7797" s="1">
        <v>41053</v>
      </c>
      <c r="B7797">
        <v>75.22</v>
      </c>
      <c r="C7797">
        <v>75.77</v>
      </c>
      <c r="D7797">
        <v>74.569999999999993</v>
      </c>
      <c r="E7797">
        <v>75.180000000000007</v>
      </c>
      <c r="F7797">
        <v>3607100</v>
      </c>
      <c r="G7797">
        <v>71.989999999999995</v>
      </c>
      <c r="H7797" t="s">
        <v>18</v>
      </c>
      <c r="I7797" s="22">
        <f t="shared" si="243"/>
        <v>2.3642316832747311E-3</v>
      </c>
      <c r="J7797" s="22" t="str">
        <f t="shared" si="244"/>
        <v>lost money</v>
      </c>
    </row>
    <row r="7798" spans="1:10">
      <c r="A7798" s="1">
        <v>41054</v>
      </c>
      <c r="B7798">
        <v>75.67</v>
      </c>
      <c r="C7798">
        <v>75.67</v>
      </c>
      <c r="D7798">
        <v>74.72</v>
      </c>
      <c r="E7798">
        <v>74.94</v>
      </c>
      <c r="F7798">
        <v>1998600</v>
      </c>
      <c r="G7798">
        <v>71.760000000000005</v>
      </c>
      <c r="H7798" t="s">
        <v>18</v>
      </c>
      <c r="I7798" s="22">
        <f t="shared" si="243"/>
        <v>-3.2000027306706797E-3</v>
      </c>
      <c r="J7798" s="22" t="str">
        <f t="shared" si="244"/>
        <v>lost money</v>
      </c>
    </row>
    <row r="7799" spans="1:10">
      <c r="A7799" s="1">
        <v>41058</v>
      </c>
      <c r="B7799">
        <v>75.39</v>
      </c>
      <c r="C7799">
        <v>76.069999999999993</v>
      </c>
      <c r="D7799">
        <v>75.11</v>
      </c>
      <c r="E7799">
        <v>75.510000000000005</v>
      </c>
      <c r="F7799">
        <v>2342900</v>
      </c>
      <c r="G7799">
        <v>72.31</v>
      </c>
      <c r="H7799" t="s">
        <v>18</v>
      </c>
      <c r="I7799" s="22">
        <f t="shared" si="243"/>
        <v>7.6352144363198643E-3</v>
      </c>
      <c r="J7799" s="22" t="str">
        <f t="shared" si="244"/>
        <v/>
      </c>
    </row>
    <row r="7800" spans="1:10">
      <c r="A7800" s="1">
        <v>41059</v>
      </c>
      <c r="B7800">
        <v>75.180000000000007</v>
      </c>
      <c r="C7800">
        <v>75.47</v>
      </c>
      <c r="D7800">
        <v>74.52</v>
      </c>
      <c r="E7800">
        <v>74.61</v>
      </c>
      <c r="F7800">
        <v>3140700</v>
      </c>
      <c r="G7800">
        <v>71.45</v>
      </c>
      <c r="H7800" t="s">
        <v>18</v>
      </c>
      <c r="I7800" s="22">
        <f t="shared" si="243"/>
        <v>-1.1964527810984036E-2</v>
      </c>
      <c r="J7800" s="22" t="str">
        <f t="shared" si="244"/>
        <v>lost money</v>
      </c>
    </row>
    <row r="7801" spans="1:10">
      <c r="A7801" s="1">
        <v>41060</v>
      </c>
      <c r="B7801">
        <v>74.64</v>
      </c>
      <c r="C7801">
        <v>75.260000000000005</v>
      </c>
      <c r="D7801">
        <v>73.61</v>
      </c>
      <c r="E7801">
        <v>74.94</v>
      </c>
      <c r="F7801">
        <v>4673900</v>
      </c>
      <c r="G7801">
        <v>71.760000000000005</v>
      </c>
      <c r="H7801" t="s">
        <v>18</v>
      </c>
      <c r="I7801" s="22">
        <f t="shared" si="243"/>
        <v>4.3293133746643633E-3</v>
      </c>
      <c r="J7801" s="22" t="str">
        <f t="shared" si="244"/>
        <v/>
      </c>
    </row>
    <row r="7802" spans="1:10">
      <c r="A7802" s="1">
        <v>41061</v>
      </c>
      <c r="B7802">
        <v>74</v>
      </c>
      <c r="C7802">
        <v>74.209999999999994</v>
      </c>
      <c r="D7802">
        <v>73.13</v>
      </c>
      <c r="E7802">
        <v>73.25</v>
      </c>
      <c r="F7802">
        <v>4813300</v>
      </c>
      <c r="G7802">
        <v>70.150000000000006</v>
      </c>
      <c r="H7802" t="s">
        <v>18</v>
      </c>
      <c r="I7802" s="22">
        <f t="shared" si="243"/>
        <v>-2.2691411202070765E-2</v>
      </c>
      <c r="J7802" s="22" t="str">
        <f t="shared" si="244"/>
        <v>lost money</v>
      </c>
    </row>
    <row r="7803" spans="1:10">
      <c r="A7803" s="1">
        <v>41064</v>
      </c>
      <c r="B7803">
        <v>73.36</v>
      </c>
      <c r="C7803">
        <v>73.56</v>
      </c>
      <c r="D7803">
        <v>72.56</v>
      </c>
      <c r="E7803">
        <v>72.989999999999995</v>
      </c>
      <c r="F7803">
        <v>3605000</v>
      </c>
      <c r="G7803">
        <v>69.900000000000006</v>
      </c>
      <c r="H7803" t="s">
        <v>18</v>
      </c>
      <c r="I7803" s="22">
        <f t="shared" si="243"/>
        <v>-3.5701573087054258E-3</v>
      </c>
      <c r="J7803" s="22" t="str">
        <f t="shared" si="244"/>
        <v>lost money</v>
      </c>
    </row>
    <row r="7804" spans="1:10">
      <c r="A7804" s="1">
        <v>41065</v>
      </c>
      <c r="B7804">
        <v>72.7</v>
      </c>
      <c r="C7804">
        <v>73.05</v>
      </c>
      <c r="D7804">
        <v>72.150000000000006</v>
      </c>
      <c r="E7804">
        <v>72.8</v>
      </c>
      <c r="F7804">
        <v>2762400</v>
      </c>
      <c r="G7804">
        <v>69.72</v>
      </c>
      <c r="H7804" t="s">
        <v>18</v>
      </c>
      <c r="I7804" s="22">
        <f t="shared" si="243"/>
        <v>-2.5784285879444763E-3</v>
      </c>
      <c r="J7804" s="22" t="str">
        <f t="shared" si="244"/>
        <v/>
      </c>
    </row>
    <row r="7805" spans="1:10">
      <c r="A7805" s="1">
        <v>41066</v>
      </c>
      <c r="B7805">
        <v>73.05</v>
      </c>
      <c r="C7805">
        <v>74.98</v>
      </c>
      <c r="D7805">
        <v>73.05</v>
      </c>
      <c r="E7805">
        <v>74.98</v>
      </c>
      <c r="F7805">
        <v>4085800</v>
      </c>
      <c r="G7805">
        <v>71.8</v>
      </c>
      <c r="H7805" t="s">
        <v>18</v>
      </c>
      <c r="I7805" s="22">
        <f t="shared" si="243"/>
        <v>2.9397255402358317E-2</v>
      </c>
      <c r="J7805" s="22" t="str">
        <f t="shared" si="244"/>
        <v/>
      </c>
    </row>
    <row r="7806" spans="1:10">
      <c r="A7806" s="1">
        <v>41067</v>
      </c>
      <c r="B7806">
        <v>75.47</v>
      </c>
      <c r="C7806">
        <v>76.099999999999994</v>
      </c>
      <c r="D7806">
        <v>75.239999999999995</v>
      </c>
      <c r="E7806">
        <v>75.47</v>
      </c>
      <c r="F7806">
        <v>3997000</v>
      </c>
      <c r="G7806">
        <v>72.27</v>
      </c>
      <c r="H7806" t="s">
        <v>18</v>
      </c>
      <c r="I7806" s="22">
        <f t="shared" si="243"/>
        <v>6.5246292407112674E-3</v>
      </c>
      <c r="J7806" s="22" t="str">
        <f t="shared" si="244"/>
        <v/>
      </c>
    </row>
    <row r="7807" spans="1:10">
      <c r="A7807" s="1">
        <v>41068</v>
      </c>
      <c r="B7807">
        <v>75.42</v>
      </c>
      <c r="C7807">
        <v>76.650000000000006</v>
      </c>
      <c r="D7807">
        <v>75.42</v>
      </c>
      <c r="E7807">
        <v>76.63</v>
      </c>
      <c r="F7807">
        <v>3562900</v>
      </c>
      <c r="G7807">
        <v>73.38</v>
      </c>
      <c r="H7807" t="s">
        <v>18</v>
      </c>
      <c r="I7807" s="22">
        <f t="shared" si="243"/>
        <v>1.5242313632246214E-2</v>
      </c>
      <c r="J7807" s="22" t="str">
        <f t="shared" si="244"/>
        <v/>
      </c>
    </row>
    <row r="7808" spans="1:10">
      <c r="A7808" s="1">
        <v>41071</v>
      </c>
      <c r="B7808">
        <v>77.010000000000005</v>
      </c>
      <c r="C7808">
        <v>77.12</v>
      </c>
      <c r="D7808">
        <v>75.709999999999994</v>
      </c>
      <c r="E7808">
        <v>75.83</v>
      </c>
      <c r="F7808">
        <v>2316800</v>
      </c>
      <c r="G7808">
        <v>72.62</v>
      </c>
      <c r="H7808" t="s">
        <v>18</v>
      </c>
      <c r="I7808" s="22">
        <f t="shared" si="243"/>
        <v>-1.041105294094617E-2</v>
      </c>
      <c r="J7808" s="22" t="str">
        <f t="shared" si="244"/>
        <v>lost money</v>
      </c>
    </row>
    <row r="7809" spans="1:10">
      <c r="A7809" s="1">
        <v>41072</v>
      </c>
      <c r="B7809">
        <v>76.150000000000006</v>
      </c>
      <c r="C7809">
        <v>76.31</v>
      </c>
      <c r="D7809">
        <v>75.45</v>
      </c>
      <c r="E7809">
        <v>76.19</v>
      </c>
      <c r="F7809">
        <v>3416900</v>
      </c>
      <c r="G7809">
        <v>72.959999999999994</v>
      </c>
      <c r="H7809" t="s">
        <v>18</v>
      </c>
      <c r="I7809" s="22">
        <f t="shared" si="243"/>
        <v>4.6709797798860893E-3</v>
      </c>
      <c r="J7809" s="22" t="str">
        <f t="shared" si="244"/>
        <v/>
      </c>
    </row>
    <row r="7810" spans="1:10">
      <c r="A7810" s="1">
        <v>41073</v>
      </c>
      <c r="B7810">
        <v>76.09</v>
      </c>
      <c r="C7810">
        <v>76.81</v>
      </c>
      <c r="D7810">
        <v>75.73</v>
      </c>
      <c r="E7810">
        <v>76.27</v>
      </c>
      <c r="F7810">
        <v>2851400</v>
      </c>
      <c r="G7810">
        <v>73.040000000000006</v>
      </c>
      <c r="H7810" t="s">
        <v>18</v>
      </c>
      <c r="I7810" s="22">
        <f t="shared" si="243"/>
        <v>1.0958905206373314E-3</v>
      </c>
      <c r="J7810" s="22" t="str">
        <f t="shared" si="244"/>
        <v/>
      </c>
    </row>
    <row r="7811" spans="1:10">
      <c r="A7811" s="1">
        <v>41074</v>
      </c>
      <c r="B7811">
        <v>76.45</v>
      </c>
      <c r="C7811">
        <v>77.83</v>
      </c>
      <c r="D7811">
        <v>76.34</v>
      </c>
      <c r="E7811">
        <v>77.37</v>
      </c>
      <c r="F7811">
        <v>3693200</v>
      </c>
      <c r="G7811">
        <v>74.09</v>
      </c>
      <c r="H7811" t="s">
        <v>18</v>
      </c>
      <c r="I7811" s="22">
        <f t="shared" ref="I7811:I7874" si="245">IF(A7811=$A$2,"",LN(G7811/G7810))</f>
        <v>1.4273334141852435E-2</v>
      </c>
      <c r="J7811" s="22" t="str">
        <f t="shared" ref="J7811:J7874" si="246">IF(B7811&gt;E7811,"lost money","")</f>
        <v/>
      </c>
    </row>
    <row r="7812" spans="1:10">
      <c r="A7812" s="1">
        <v>41075</v>
      </c>
      <c r="B7812">
        <v>77.989999999999995</v>
      </c>
      <c r="C7812">
        <v>78.05</v>
      </c>
      <c r="D7812">
        <v>77.180000000000007</v>
      </c>
      <c r="E7812">
        <v>77.53</v>
      </c>
      <c r="F7812">
        <v>4579600</v>
      </c>
      <c r="G7812">
        <v>74.239999999999995</v>
      </c>
      <c r="H7812" t="s">
        <v>18</v>
      </c>
      <c r="I7812" s="22">
        <f t="shared" si="245"/>
        <v>2.0225180493795608E-3</v>
      </c>
      <c r="J7812" s="22" t="str">
        <f t="shared" si="246"/>
        <v>lost money</v>
      </c>
    </row>
    <row r="7813" spans="1:10">
      <c r="A7813" s="1">
        <v>41078</v>
      </c>
      <c r="B7813">
        <v>77.41</v>
      </c>
      <c r="C7813">
        <v>78.12</v>
      </c>
      <c r="D7813">
        <v>77.069999999999993</v>
      </c>
      <c r="E7813">
        <v>77.790000000000006</v>
      </c>
      <c r="F7813">
        <v>3083500</v>
      </c>
      <c r="G7813">
        <v>74.489999999999995</v>
      </c>
      <c r="H7813" t="s">
        <v>18</v>
      </c>
      <c r="I7813" s="22">
        <f t="shared" si="245"/>
        <v>3.3617997102398968E-3</v>
      </c>
      <c r="J7813" s="22" t="str">
        <f t="shared" si="246"/>
        <v/>
      </c>
    </row>
    <row r="7814" spans="1:10">
      <c r="A7814" s="1">
        <v>41079</v>
      </c>
      <c r="B7814">
        <v>77.650000000000006</v>
      </c>
      <c r="C7814">
        <v>78.5</v>
      </c>
      <c r="D7814">
        <v>77.650000000000006</v>
      </c>
      <c r="E7814">
        <v>78.16</v>
      </c>
      <c r="F7814">
        <v>2814500</v>
      </c>
      <c r="G7814">
        <v>74.849999999999994</v>
      </c>
      <c r="H7814" t="s">
        <v>18</v>
      </c>
      <c r="I7814" s="22">
        <f t="shared" si="245"/>
        <v>4.8212226774523338E-3</v>
      </c>
      <c r="J7814" s="22" t="str">
        <f t="shared" si="246"/>
        <v/>
      </c>
    </row>
    <row r="7815" spans="1:10">
      <c r="A7815" s="1">
        <v>41080</v>
      </c>
      <c r="B7815">
        <v>78.31</v>
      </c>
      <c r="C7815">
        <v>78.459999999999994</v>
      </c>
      <c r="D7815">
        <v>77.5</v>
      </c>
      <c r="E7815">
        <v>78.17</v>
      </c>
      <c r="F7815">
        <v>2577100</v>
      </c>
      <c r="G7815">
        <v>74.86</v>
      </c>
      <c r="H7815" t="s">
        <v>18</v>
      </c>
      <c r="I7815" s="22">
        <f t="shared" si="245"/>
        <v>1.3359161064555245E-4</v>
      </c>
      <c r="J7815" s="22" t="str">
        <f t="shared" si="246"/>
        <v>lost money</v>
      </c>
    </row>
    <row r="7816" spans="1:10">
      <c r="A7816" s="1">
        <v>41081</v>
      </c>
      <c r="B7816">
        <v>78.489999999999995</v>
      </c>
      <c r="C7816">
        <v>78.599999999999994</v>
      </c>
      <c r="D7816">
        <v>77.02</v>
      </c>
      <c r="E7816">
        <v>77.099999999999994</v>
      </c>
      <c r="F7816">
        <v>3709400</v>
      </c>
      <c r="G7816">
        <v>73.83</v>
      </c>
      <c r="H7816" t="s">
        <v>18</v>
      </c>
      <c r="I7816" s="22">
        <f t="shared" si="245"/>
        <v>-1.3854549405208742E-2</v>
      </c>
      <c r="J7816" s="22" t="str">
        <f t="shared" si="246"/>
        <v>lost money</v>
      </c>
    </row>
    <row r="7817" spans="1:10">
      <c r="A7817" s="1">
        <v>41082</v>
      </c>
      <c r="B7817">
        <v>77.27</v>
      </c>
      <c r="C7817">
        <v>77.94</v>
      </c>
      <c r="D7817">
        <v>76.790000000000006</v>
      </c>
      <c r="E7817">
        <v>77.709999999999994</v>
      </c>
      <c r="F7817">
        <v>3830200</v>
      </c>
      <c r="G7817">
        <v>74.42</v>
      </c>
      <c r="H7817" t="s">
        <v>18</v>
      </c>
      <c r="I7817" s="22">
        <f t="shared" si="245"/>
        <v>7.959569847402247E-3</v>
      </c>
      <c r="J7817" s="22" t="str">
        <f t="shared" si="246"/>
        <v/>
      </c>
    </row>
    <row r="7818" spans="1:10">
      <c r="A7818" s="1">
        <v>41085</v>
      </c>
      <c r="B7818">
        <v>77.040000000000006</v>
      </c>
      <c r="C7818">
        <v>77.13</v>
      </c>
      <c r="D7818">
        <v>76.099999999999994</v>
      </c>
      <c r="E7818">
        <v>76.44</v>
      </c>
      <c r="F7818">
        <v>2557400</v>
      </c>
      <c r="G7818">
        <v>73.2</v>
      </c>
      <c r="H7818" t="s">
        <v>18</v>
      </c>
      <c r="I7818" s="22">
        <f t="shared" si="245"/>
        <v>-1.6529301951210582E-2</v>
      </c>
      <c r="J7818" s="22" t="str">
        <f t="shared" si="246"/>
        <v>lost money</v>
      </c>
    </row>
    <row r="7819" spans="1:10">
      <c r="A7819" s="1">
        <v>41086</v>
      </c>
      <c r="B7819">
        <v>76.430000000000007</v>
      </c>
      <c r="C7819">
        <v>76.72</v>
      </c>
      <c r="D7819">
        <v>75.62</v>
      </c>
      <c r="E7819">
        <v>76.36</v>
      </c>
      <c r="F7819">
        <v>2309900</v>
      </c>
      <c r="G7819">
        <v>73.12</v>
      </c>
      <c r="H7819" t="s">
        <v>18</v>
      </c>
      <c r="I7819" s="22">
        <f t="shared" si="245"/>
        <v>-1.0934938213713295E-3</v>
      </c>
      <c r="J7819" s="22" t="str">
        <f t="shared" si="246"/>
        <v>lost money</v>
      </c>
    </row>
    <row r="7820" spans="1:10">
      <c r="A7820" s="1">
        <v>41087</v>
      </c>
      <c r="B7820">
        <v>76.3</v>
      </c>
      <c r="C7820">
        <v>76.930000000000007</v>
      </c>
      <c r="D7820">
        <v>76.3</v>
      </c>
      <c r="E7820">
        <v>76.790000000000006</v>
      </c>
      <c r="F7820">
        <v>1942600</v>
      </c>
      <c r="G7820">
        <v>73.540000000000006</v>
      </c>
      <c r="H7820" t="s">
        <v>18</v>
      </c>
      <c r="I7820" s="22">
        <f t="shared" si="245"/>
        <v>5.7275487272314034E-3</v>
      </c>
      <c r="J7820" s="22" t="str">
        <f t="shared" si="246"/>
        <v/>
      </c>
    </row>
    <row r="7821" spans="1:10">
      <c r="A7821" s="1">
        <v>41088</v>
      </c>
      <c r="B7821">
        <v>76.56</v>
      </c>
      <c r="C7821">
        <v>77.28</v>
      </c>
      <c r="D7821">
        <v>75.88</v>
      </c>
      <c r="E7821">
        <v>77.11</v>
      </c>
      <c r="F7821">
        <v>2512300</v>
      </c>
      <c r="G7821">
        <v>73.84</v>
      </c>
      <c r="H7821" t="s">
        <v>18</v>
      </c>
      <c r="I7821" s="22">
        <f t="shared" si="245"/>
        <v>4.0711143214707275E-3</v>
      </c>
      <c r="J7821" s="22" t="str">
        <f t="shared" si="246"/>
        <v/>
      </c>
    </row>
    <row r="7822" spans="1:10">
      <c r="A7822" s="1">
        <v>41089</v>
      </c>
      <c r="B7822">
        <v>77.42</v>
      </c>
      <c r="C7822">
        <v>78.760000000000005</v>
      </c>
      <c r="D7822">
        <v>77.28</v>
      </c>
      <c r="E7822">
        <v>78.760000000000005</v>
      </c>
      <c r="F7822">
        <v>4822400</v>
      </c>
      <c r="G7822">
        <v>75.42</v>
      </c>
      <c r="H7822" t="s">
        <v>18</v>
      </c>
      <c r="I7822" s="22">
        <f t="shared" si="245"/>
        <v>2.1171901635614283E-2</v>
      </c>
      <c r="J7822" s="22" t="str">
        <f t="shared" si="246"/>
        <v/>
      </c>
    </row>
    <row r="7823" spans="1:10">
      <c r="A7823" s="1">
        <v>41092</v>
      </c>
      <c r="B7823">
        <v>78.23</v>
      </c>
      <c r="C7823">
        <v>78.78</v>
      </c>
      <c r="D7823">
        <v>77.61</v>
      </c>
      <c r="E7823">
        <v>78.69</v>
      </c>
      <c r="F7823">
        <v>3584100</v>
      </c>
      <c r="G7823">
        <v>75.36</v>
      </c>
      <c r="H7823" t="s">
        <v>18</v>
      </c>
      <c r="I7823" s="22">
        <f t="shared" si="245"/>
        <v>-7.9586156210345333E-4</v>
      </c>
      <c r="J7823" s="22" t="str">
        <f t="shared" si="246"/>
        <v/>
      </c>
    </row>
    <row r="7824" spans="1:10">
      <c r="A7824" s="1">
        <v>41093</v>
      </c>
      <c r="B7824">
        <v>78.510000000000005</v>
      </c>
      <c r="C7824">
        <v>79.73</v>
      </c>
      <c r="D7824">
        <v>78.180000000000007</v>
      </c>
      <c r="E7824">
        <v>79.47</v>
      </c>
      <c r="F7824">
        <v>2817400</v>
      </c>
      <c r="G7824">
        <v>76.099999999999994</v>
      </c>
      <c r="H7824" t="s">
        <v>18</v>
      </c>
      <c r="I7824" s="22">
        <f t="shared" si="245"/>
        <v>9.7716345995323937E-3</v>
      </c>
      <c r="J7824" s="22" t="str">
        <f t="shared" si="246"/>
        <v/>
      </c>
    </row>
    <row r="7825" spans="1:10">
      <c r="A7825" s="1">
        <v>41095</v>
      </c>
      <c r="B7825">
        <v>79.3</v>
      </c>
      <c r="C7825">
        <v>80.209999999999994</v>
      </c>
      <c r="D7825">
        <v>78.989999999999995</v>
      </c>
      <c r="E7825">
        <v>79.91</v>
      </c>
      <c r="F7825">
        <v>3660800</v>
      </c>
      <c r="G7825">
        <v>76.52</v>
      </c>
      <c r="H7825" t="s">
        <v>18</v>
      </c>
      <c r="I7825" s="22">
        <f t="shared" si="245"/>
        <v>5.5038797044120969E-3</v>
      </c>
      <c r="J7825" s="22" t="str">
        <f t="shared" si="246"/>
        <v/>
      </c>
    </row>
    <row r="7826" spans="1:10">
      <c r="A7826" s="1">
        <v>41096</v>
      </c>
      <c r="B7826">
        <v>79.42</v>
      </c>
      <c r="C7826">
        <v>79.88</v>
      </c>
      <c r="D7826">
        <v>78.930000000000007</v>
      </c>
      <c r="E7826">
        <v>79.37</v>
      </c>
      <c r="F7826">
        <v>3014400</v>
      </c>
      <c r="G7826">
        <v>76.010000000000005</v>
      </c>
      <c r="H7826" t="s">
        <v>18</v>
      </c>
      <c r="I7826" s="22">
        <f t="shared" si="245"/>
        <v>-6.6872339941029812E-3</v>
      </c>
      <c r="J7826" s="22" t="str">
        <f t="shared" si="246"/>
        <v>lost money</v>
      </c>
    </row>
    <row r="7827" spans="1:10">
      <c r="A7827" s="1">
        <v>41099</v>
      </c>
      <c r="B7827">
        <v>79.28</v>
      </c>
      <c r="C7827">
        <v>79.569999999999993</v>
      </c>
      <c r="D7827">
        <v>78.92</v>
      </c>
      <c r="E7827">
        <v>79.2</v>
      </c>
      <c r="F7827">
        <v>2357600</v>
      </c>
      <c r="G7827">
        <v>75.84</v>
      </c>
      <c r="H7827" t="s">
        <v>18</v>
      </c>
      <c r="I7827" s="22">
        <f t="shared" si="245"/>
        <v>-2.239052631182716E-3</v>
      </c>
      <c r="J7827" s="22" t="str">
        <f t="shared" si="246"/>
        <v>lost money</v>
      </c>
    </row>
    <row r="7828" spans="1:10">
      <c r="A7828" s="1">
        <v>41100</v>
      </c>
      <c r="B7828">
        <v>79.64</v>
      </c>
      <c r="C7828">
        <v>79.67</v>
      </c>
      <c r="D7828">
        <v>78.16</v>
      </c>
      <c r="E7828">
        <v>78.58</v>
      </c>
      <c r="F7828">
        <v>3230600</v>
      </c>
      <c r="G7828">
        <v>75.25</v>
      </c>
      <c r="H7828" t="s">
        <v>18</v>
      </c>
      <c r="I7828" s="22">
        <f t="shared" si="245"/>
        <v>-7.8099543177812779E-3</v>
      </c>
      <c r="J7828" s="22" t="str">
        <f t="shared" si="246"/>
        <v>lost money</v>
      </c>
    </row>
    <row r="7829" spans="1:10">
      <c r="A7829" s="1">
        <v>41101</v>
      </c>
      <c r="B7829">
        <v>78.67</v>
      </c>
      <c r="C7829">
        <v>79.11</v>
      </c>
      <c r="D7829">
        <v>78.319999999999993</v>
      </c>
      <c r="E7829">
        <v>78.88</v>
      </c>
      <c r="F7829">
        <v>3768800</v>
      </c>
      <c r="G7829">
        <v>75.540000000000006</v>
      </c>
      <c r="H7829" t="s">
        <v>18</v>
      </c>
      <c r="I7829" s="22">
        <f t="shared" si="245"/>
        <v>3.8464136553258074E-3</v>
      </c>
      <c r="J7829" s="22" t="str">
        <f t="shared" si="246"/>
        <v/>
      </c>
    </row>
    <row r="7830" spans="1:10">
      <c r="A7830" s="1">
        <v>41102</v>
      </c>
      <c r="B7830">
        <v>78.599999999999994</v>
      </c>
      <c r="C7830">
        <v>79.099999999999994</v>
      </c>
      <c r="D7830">
        <v>77.88</v>
      </c>
      <c r="E7830">
        <v>78.59</v>
      </c>
      <c r="F7830">
        <v>3637000</v>
      </c>
      <c r="G7830">
        <v>75.260000000000005</v>
      </c>
      <c r="H7830" t="s">
        <v>18</v>
      </c>
      <c r="I7830" s="22">
        <f t="shared" si="245"/>
        <v>-3.7135321190196083E-3</v>
      </c>
      <c r="J7830" s="22" t="str">
        <f t="shared" si="246"/>
        <v>lost money</v>
      </c>
    </row>
    <row r="7831" spans="1:10">
      <c r="A7831" s="1">
        <v>41103</v>
      </c>
      <c r="B7831">
        <v>78.5</v>
      </c>
      <c r="C7831">
        <v>79.739999999999995</v>
      </c>
      <c r="D7831">
        <v>78.5</v>
      </c>
      <c r="E7831">
        <v>79.44</v>
      </c>
      <c r="F7831">
        <v>3462400</v>
      </c>
      <c r="G7831">
        <v>76.069999999999993</v>
      </c>
      <c r="H7831" t="s">
        <v>18</v>
      </c>
      <c r="I7831" s="22">
        <f t="shared" si="245"/>
        <v>1.0705183843918364E-2</v>
      </c>
      <c r="J7831" s="22" t="str">
        <f t="shared" si="246"/>
        <v/>
      </c>
    </row>
    <row r="7832" spans="1:10">
      <c r="A7832" s="1">
        <v>41106</v>
      </c>
      <c r="B7832">
        <v>79.62</v>
      </c>
      <c r="C7832">
        <v>79.62</v>
      </c>
      <c r="D7832">
        <v>78.95</v>
      </c>
      <c r="E7832">
        <v>79.17</v>
      </c>
      <c r="F7832">
        <v>2634100</v>
      </c>
      <c r="G7832">
        <v>75.819999999999993</v>
      </c>
      <c r="H7832" t="s">
        <v>18</v>
      </c>
      <c r="I7832" s="22">
        <f t="shared" si="245"/>
        <v>-3.2918589210209968E-3</v>
      </c>
      <c r="J7832" s="22" t="str">
        <f t="shared" si="246"/>
        <v>lost money</v>
      </c>
    </row>
    <row r="7833" spans="1:10">
      <c r="A7833" s="1">
        <v>41107</v>
      </c>
      <c r="B7833">
        <v>79.44</v>
      </c>
      <c r="C7833">
        <v>79.5</v>
      </c>
      <c r="D7833">
        <v>78.36</v>
      </c>
      <c r="E7833">
        <v>79.33</v>
      </c>
      <c r="F7833">
        <v>2981500</v>
      </c>
      <c r="G7833">
        <v>75.97</v>
      </c>
      <c r="H7833" t="s">
        <v>18</v>
      </c>
      <c r="I7833" s="22">
        <f t="shared" si="245"/>
        <v>1.9764154269414193E-3</v>
      </c>
      <c r="J7833" s="22" t="str">
        <f t="shared" si="246"/>
        <v>lost money</v>
      </c>
    </row>
    <row r="7834" spans="1:10">
      <c r="A7834" s="1">
        <v>41108</v>
      </c>
      <c r="B7834">
        <v>79.010000000000005</v>
      </c>
      <c r="C7834">
        <v>80.53</v>
      </c>
      <c r="D7834">
        <v>79</v>
      </c>
      <c r="E7834">
        <v>80.209999999999994</v>
      </c>
      <c r="F7834">
        <v>3722000</v>
      </c>
      <c r="G7834">
        <v>76.81</v>
      </c>
      <c r="H7834" t="s">
        <v>18</v>
      </c>
      <c r="I7834" s="22">
        <f t="shared" si="245"/>
        <v>1.099631449546048E-2</v>
      </c>
      <c r="J7834" s="22" t="str">
        <f t="shared" si="246"/>
        <v/>
      </c>
    </row>
    <row r="7835" spans="1:10">
      <c r="A7835" s="1">
        <v>41109</v>
      </c>
      <c r="B7835">
        <v>80.099999999999994</v>
      </c>
      <c r="C7835">
        <v>80.400000000000006</v>
      </c>
      <c r="D7835">
        <v>79.67</v>
      </c>
      <c r="E7835">
        <v>79.97</v>
      </c>
      <c r="F7835">
        <v>3199200</v>
      </c>
      <c r="G7835">
        <v>76.58</v>
      </c>
      <c r="H7835" t="s">
        <v>18</v>
      </c>
      <c r="I7835" s="22">
        <f t="shared" si="245"/>
        <v>-2.9988939614421705E-3</v>
      </c>
      <c r="J7835" s="22" t="str">
        <f t="shared" si="246"/>
        <v>lost money</v>
      </c>
    </row>
    <row r="7836" spans="1:10">
      <c r="A7836" s="1">
        <v>41110</v>
      </c>
      <c r="B7836">
        <v>79.8</v>
      </c>
      <c r="C7836">
        <v>79.8</v>
      </c>
      <c r="D7836">
        <v>78.34</v>
      </c>
      <c r="E7836">
        <v>78.45</v>
      </c>
      <c r="F7836">
        <v>4664000</v>
      </c>
      <c r="G7836">
        <v>75.13</v>
      </c>
      <c r="H7836" t="s">
        <v>18</v>
      </c>
      <c r="I7836" s="22">
        <f t="shared" si="245"/>
        <v>-1.9115999668079295E-2</v>
      </c>
      <c r="J7836" s="22" t="str">
        <f t="shared" si="246"/>
        <v>lost money</v>
      </c>
    </row>
    <row r="7837" spans="1:10">
      <c r="A7837" s="1">
        <v>41113</v>
      </c>
      <c r="B7837">
        <v>77.819999999999993</v>
      </c>
      <c r="C7837">
        <v>78.150000000000006</v>
      </c>
      <c r="D7837">
        <v>76.39</v>
      </c>
      <c r="E7837">
        <v>77.95</v>
      </c>
      <c r="F7837">
        <v>4214400</v>
      </c>
      <c r="G7837">
        <v>74.650000000000006</v>
      </c>
      <c r="H7837" t="s">
        <v>18</v>
      </c>
      <c r="I7837" s="22">
        <f t="shared" si="245"/>
        <v>-6.409422395869736E-3</v>
      </c>
      <c r="J7837" s="22" t="str">
        <f t="shared" si="246"/>
        <v/>
      </c>
    </row>
    <row r="7838" spans="1:10">
      <c r="A7838" s="1">
        <v>41114</v>
      </c>
      <c r="B7838">
        <v>75.239999999999995</v>
      </c>
      <c r="C7838">
        <v>76.75</v>
      </c>
      <c r="D7838">
        <v>73.510000000000005</v>
      </c>
      <c r="E7838">
        <v>74.34</v>
      </c>
      <c r="F7838">
        <v>12643000</v>
      </c>
      <c r="G7838">
        <v>71.19</v>
      </c>
      <c r="H7838" t="s">
        <v>18</v>
      </c>
      <c r="I7838" s="22">
        <f t="shared" si="245"/>
        <v>-4.7458164869417604E-2</v>
      </c>
      <c r="J7838" s="22" t="str">
        <f t="shared" si="246"/>
        <v>lost money</v>
      </c>
    </row>
    <row r="7839" spans="1:10">
      <c r="A7839" s="1">
        <v>41115</v>
      </c>
      <c r="B7839">
        <v>74.27</v>
      </c>
      <c r="C7839">
        <v>74.95</v>
      </c>
      <c r="D7839">
        <v>73.77</v>
      </c>
      <c r="E7839">
        <v>74.27</v>
      </c>
      <c r="F7839">
        <v>4243700</v>
      </c>
      <c r="G7839">
        <v>71.12</v>
      </c>
      <c r="H7839" t="s">
        <v>18</v>
      </c>
      <c r="I7839" s="22">
        <f t="shared" si="245"/>
        <v>-9.8376791013261573E-4</v>
      </c>
      <c r="J7839" s="22" t="str">
        <f t="shared" si="246"/>
        <v/>
      </c>
    </row>
    <row r="7840" spans="1:10">
      <c r="A7840" s="1">
        <v>41116</v>
      </c>
      <c r="B7840">
        <v>75.22</v>
      </c>
      <c r="C7840">
        <v>75.709999999999994</v>
      </c>
      <c r="D7840">
        <v>74.53</v>
      </c>
      <c r="E7840">
        <v>74.87</v>
      </c>
      <c r="F7840">
        <v>4625200</v>
      </c>
      <c r="G7840">
        <v>71.7</v>
      </c>
      <c r="H7840" t="s">
        <v>18</v>
      </c>
      <c r="I7840" s="22">
        <f t="shared" si="245"/>
        <v>8.1221563999254592E-3</v>
      </c>
      <c r="J7840" s="22" t="str">
        <f t="shared" si="246"/>
        <v>lost money</v>
      </c>
    </row>
    <row r="7841" spans="1:10">
      <c r="A7841" s="1">
        <v>41117</v>
      </c>
      <c r="B7841">
        <v>75.23</v>
      </c>
      <c r="C7841">
        <v>76.459999999999994</v>
      </c>
      <c r="D7841">
        <v>75.099999999999994</v>
      </c>
      <c r="E7841">
        <v>76</v>
      </c>
      <c r="F7841">
        <v>3446900</v>
      </c>
      <c r="G7841">
        <v>72.78</v>
      </c>
      <c r="H7841" t="s">
        <v>18</v>
      </c>
      <c r="I7841" s="22">
        <f t="shared" si="245"/>
        <v>1.4950444578439106E-2</v>
      </c>
      <c r="J7841" s="22" t="str">
        <f t="shared" si="246"/>
        <v/>
      </c>
    </row>
    <row r="7842" spans="1:10">
      <c r="A7842" s="1">
        <v>41120</v>
      </c>
      <c r="B7842">
        <v>75.930000000000007</v>
      </c>
      <c r="C7842">
        <v>76.36</v>
      </c>
      <c r="D7842">
        <v>75.59</v>
      </c>
      <c r="E7842">
        <v>76.23</v>
      </c>
      <c r="F7842">
        <v>2770100</v>
      </c>
      <c r="G7842">
        <v>73</v>
      </c>
      <c r="H7842" t="s">
        <v>18</v>
      </c>
      <c r="I7842" s="22">
        <f t="shared" si="245"/>
        <v>3.0182489643773799E-3</v>
      </c>
      <c r="J7842" s="22" t="str">
        <f t="shared" si="246"/>
        <v/>
      </c>
    </row>
    <row r="7843" spans="1:10">
      <c r="A7843" s="1">
        <v>41121</v>
      </c>
      <c r="B7843">
        <v>76.09</v>
      </c>
      <c r="C7843">
        <v>76.239999999999995</v>
      </c>
      <c r="D7843">
        <v>75.540000000000006</v>
      </c>
      <c r="E7843">
        <v>75.61</v>
      </c>
      <c r="F7843">
        <v>2815200</v>
      </c>
      <c r="G7843">
        <v>72.41</v>
      </c>
      <c r="H7843" t="s">
        <v>18</v>
      </c>
      <c r="I7843" s="22">
        <f t="shared" si="245"/>
        <v>-8.1150297476617443E-3</v>
      </c>
      <c r="J7843" s="22" t="str">
        <f t="shared" si="246"/>
        <v>lost money</v>
      </c>
    </row>
    <row r="7844" spans="1:10">
      <c r="A7844" s="1">
        <v>41122</v>
      </c>
      <c r="B7844">
        <v>75.81</v>
      </c>
      <c r="C7844">
        <v>76</v>
      </c>
      <c r="D7844">
        <v>74.78</v>
      </c>
      <c r="E7844">
        <v>75.150000000000006</v>
      </c>
      <c r="F7844">
        <v>3493000</v>
      </c>
      <c r="G7844">
        <v>71.97</v>
      </c>
      <c r="H7844" t="s">
        <v>18</v>
      </c>
      <c r="I7844" s="22">
        <f t="shared" si="245"/>
        <v>-6.0950458810164572E-3</v>
      </c>
      <c r="J7844" s="22" t="str">
        <f t="shared" si="246"/>
        <v>lost money</v>
      </c>
    </row>
    <row r="7845" spans="1:10">
      <c r="A7845" s="1">
        <v>41123</v>
      </c>
      <c r="B7845">
        <v>74.94</v>
      </c>
      <c r="C7845">
        <v>75.3</v>
      </c>
      <c r="D7845">
        <v>74.069999999999993</v>
      </c>
      <c r="E7845">
        <v>75</v>
      </c>
      <c r="F7845">
        <v>3111800</v>
      </c>
      <c r="G7845">
        <v>71.819999999999993</v>
      </c>
      <c r="H7845" t="s">
        <v>18</v>
      </c>
      <c r="I7845" s="22">
        <f t="shared" si="245"/>
        <v>-2.0863767217761875E-3</v>
      </c>
      <c r="J7845" s="22" t="str">
        <f t="shared" si="246"/>
        <v/>
      </c>
    </row>
    <row r="7846" spans="1:10">
      <c r="A7846" s="1">
        <v>41124</v>
      </c>
      <c r="B7846">
        <v>75.83</v>
      </c>
      <c r="C7846">
        <v>76.5</v>
      </c>
      <c r="D7846">
        <v>75.69</v>
      </c>
      <c r="E7846">
        <v>75.760000000000005</v>
      </c>
      <c r="F7846">
        <v>2844400</v>
      </c>
      <c r="G7846">
        <v>72.55</v>
      </c>
      <c r="H7846" t="s">
        <v>18</v>
      </c>
      <c r="I7846" s="22">
        <f t="shared" si="245"/>
        <v>1.0112990532260044E-2</v>
      </c>
      <c r="J7846" s="22" t="str">
        <f t="shared" si="246"/>
        <v>lost money</v>
      </c>
    </row>
    <row r="7847" spans="1:10">
      <c r="A7847" s="1">
        <v>41127</v>
      </c>
      <c r="B7847">
        <v>75.989999999999995</v>
      </c>
      <c r="C7847">
        <v>76.400000000000006</v>
      </c>
      <c r="D7847">
        <v>75.59</v>
      </c>
      <c r="E7847">
        <v>75.62</v>
      </c>
      <c r="F7847">
        <v>2104600</v>
      </c>
      <c r="G7847">
        <v>72.42</v>
      </c>
      <c r="H7847" t="s">
        <v>18</v>
      </c>
      <c r="I7847" s="22">
        <f t="shared" si="245"/>
        <v>-1.7934749927016548E-3</v>
      </c>
      <c r="J7847" s="22" t="str">
        <f t="shared" si="246"/>
        <v>lost money</v>
      </c>
    </row>
    <row r="7848" spans="1:10">
      <c r="A7848" s="1">
        <v>41128</v>
      </c>
      <c r="B7848">
        <v>76.03</v>
      </c>
      <c r="C7848">
        <v>76.25</v>
      </c>
      <c r="D7848">
        <v>75.790000000000006</v>
      </c>
      <c r="E7848">
        <v>76.09</v>
      </c>
      <c r="F7848">
        <v>2156600</v>
      </c>
      <c r="G7848">
        <v>72.87</v>
      </c>
      <c r="H7848" t="s">
        <v>18</v>
      </c>
      <c r="I7848" s="22">
        <f t="shared" si="245"/>
        <v>6.1945273446957954E-3</v>
      </c>
      <c r="J7848" s="22" t="str">
        <f t="shared" si="246"/>
        <v/>
      </c>
    </row>
    <row r="7849" spans="1:10">
      <c r="A7849" s="1">
        <v>41129</v>
      </c>
      <c r="B7849">
        <v>76</v>
      </c>
      <c r="C7849">
        <v>76.11</v>
      </c>
      <c r="D7849">
        <v>75.569999999999993</v>
      </c>
      <c r="E7849">
        <v>75.78</v>
      </c>
      <c r="F7849">
        <v>2261400</v>
      </c>
      <c r="G7849">
        <v>72.569999999999993</v>
      </c>
      <c r="H7849" t="s">
        <v>18</v>
      </c>
      <c r="I7849" s="22">
        <f t="shared" si="245"/>
        <v>-4.1254183921454425E-3</v>
      </c>
      <c r="J7849" s="22" t="str">
        <f t="shared" si="246"/>
        <v>lost money</v>
      </c>
    </row>
    <row r="7850" spans="1:10">
      <c r="A7850" s="1">
        <v>41130</v>
      </c>
      <c r="B7850">
        <v>75.680000000000007</v>
      </c>
      <c r="C7850">
        <v>76.14</v>
      </c>
      <c r="D7850">
        <v>75.319999999999993</v>
      </c>
      <c r="E7850">
        <v>76.03</v>
      </c>
      <c r="F7850">
        <v>2868400</v>
      </c>
      <c r="G7850">
        <v>72.81</v>
      </c>
      <c r="H7850" t="s">
        <v>18</v>
      </c>
      <c r="I7850" s="22">
        <f t="shared" si="245"/>
        <v>3.3016951165743282E-3</v>
      </c>
      <c r="J7850" s="22" t="str">
        <f t="shared" si="246"/>
        <v/>
      </c>
    </row>
    <row r="7851" spans="1:10">
      <c r="A7851" s="1">
        <v>41131</v>
      </c>
      <c r="B7851">
        <v>75.959999999999994</v>
      </c>
      <c r="C7851">
        <v>76.349999999999994</v>
      </c>
      <c r="D7851">
        <v>75.61</v>
      </c>
      <c r="E7851">
        <v>76.3</v>
      </c>
      <c r="F7851">
        <v>2222600</v>
      </c>
      <c r="G7851">
        <v>73.069999999999993</v>
      </c>
      <c r="H7851" t="s">
        <v>18</v>
      </c>
      <c r="I7851" s="22">
        <f t="shared" si="245"/>
        <v>3.5645773965066138E-3</v>
      </c>
      <c r="J7851" s="22" t="str">
        <f t="shared" si="246"/>
        <v/>
      </c>
    </row>
    <row r="7852" spans="1:10">
      <c r="A7852" s="1">
        <v>41134</v>
      </c>
      <c r="B7852">
        <v>76</v>
      </c>
      <c r="C7852">
        <v>76.17</v>
      </c>
      <c r="D7852">
        <v>75.64</v>
      </c>
      <c r="E7852">
        <v>76.150000000000006</v>
      </c>
      <c r="F7852">
        <v>1624000</v>
      </c>
      <c r="G7852">
        <v>72.92</v>
      </c>
      <c r="H7852" t="s">
        <v>18</v>
      </c>
      <c r="I7852" s="22">
        <f t="shared" si="245"/>
        <v>-2.0549359926639896E-3</v>
      </c>
      <c r="J7852" s="22" t="str">
        <f t="shared" si="246"/>
        <v/>
      </c>
    </row>
    <row r="7853" spans="1:10">
      <c r="A7853" s="1">
        <v>41135</v>
      </c>
      <c r="B7853">
        <v>76.45</v>
      </c>
      <c r="C7853">
        <v>76.53</v>
      </c>
      <c r="D7853">
        <v>75.989999999999995</v>
      </c>
      <c r="E7853">
        <v>76.180000000000007</v>
      </c>
      <c r="F7853">
        <v>2197300</v>
      </c>
      <c r="G7853">
        <v>72.95</v>
      </c>
      <c r="H7853" t="s">
        <v>18</v>
      </c>
      <c r="I7853" s="22">
        <f t="shared" si="245"/>
        <v>4.1132515833231014E-4</v>
      </c>
      <c r="J7853" s="22" t="str">
        <f t="shared" si="246"/>
        <v>lost money</v>
      </c>
    </row>
    <row r="7854" spans="1:10">
      <c r="A7854" s="1">
        <v>41136</v>
      </c>
      <c r="B7854">
        <v>76.14</v>
      </c>
      <c r="C7854">
        <v>76.81</v>
      </c>
      <c r="D7854">
        <v>75.989999999999995</v>
      </c>
      <c r="E7854">
        <v>76.58</v>
      </c>
      <c r="F7854">
        <v>2349200</v>
      </c>
      <c r="G7854">
        <v>73.34</v>
      </c>
      <c r="H7854" t="s">
        <v>18</v>
      </c>
      <c r="I7854" s="22">
        <f t="shared" si="245"/>
        <v>5.331887674385344E-3</v>
      </c>
      <c r="J7854" s="22" t="str">
        <f t="shared" si="246"/>
        <v/>
      </c>
    </row>
    <row r="7855" spans="1:10">
      <c r="A7855" s="1">
        <v>41137</v>
      </c>
      <c r="B7855">
        <v>76.17</v>
      </c>
      <c r="C7855">
        <v>76.69</v>
      </c>
      <c r="D7855">
        <v>76.040000000000006</v>
      </c>
      <c r="E7855">
        <v>76.37</v>
      </c>
      <c r="F7855">
        <v>2153200</v>
      </c>
      <c r="G7855">
        <v>73.680000000000007</v>
      </c>
      <c r="H7855" t="s">
        <v>18</v>
      </c>
      <c r="I7855" s="22">
        <f t="shared" si="245"/>
        <v>4.6252293038714105E-3</v>
      </c>
      <c r="J7855" s="22" t="str">
        <f t="shared" si="246"/>
        <v/>
      </c>
    </row>
    <row r="7856" spans="1:10">
      <c r="A7856" s="1">
        <v>41138</v>
      </c>
      <c r="B7856">
        <v>76.69</v>
      </c>
      <c r="C7856">
        <v>76.69</v>
      </c>
      <c r="D7856">
        <v>76.33</v>
      </c>
      <c r="E7856">
        <v>76.489999999999995</v>
      </c>
      <c r="F7856">
        <v>1746300</v>
      </c>
      <c r="G7856">
        <v>73.8</v>
      </c>
      <c r="H7856" t="s">
        <v>18</v>
      </c>
      <c r="I7856" s="22">
        <f t="shared" si="245"/>
        <v>1.627339659375186E-3</v>
      </c>
      <c r="J7856" s="22" t="str">
        <f t="shared" si="246"/>
        <v>lost money</v>
      </c>
    </row>
    <row r="7857" spans="1:10">
      <c r="A7857" s="1">
        <v>41141</v>
      </c>
      <c r="B7857">
        <v>76.400000000000006</v>
      </c>
      <c r="C7857">
        <v>76.72</v>
      </c>
      <c r="D7857">
        <v>76.22</v>
      </c>
      <c r="E7857">
        <v>76.44</v>
      </c>
      <c r="F7857">
        <v>2186100</v>
      </c>
      <c r="G7857">
        <v>73.75</v>
      </c>
      <c r="H7857" t="s">
        <v>18</v>
      </c>
      <c r="I7857" s="22">
        <f t="shared" si="245"/>
        <v>-6.7773638649758162E-4</v>
      </c>
      <c r="J7857" s="22" t="str">
        <f t="shared" si="246"/>
        <v/>
      </c>
    </row>
    <row r="7858" spans="1:10">
      <c r="A7858" s="1">
        <v>41142</v>
      </c>
      <c r="B7858">
        <v>76.430000000000007</v>
      </c>
      <c r="C7858">
        <v>76.88</v>
      </c>
      <c r="D7858">
        <v>75.83</v>
      </c>
      <c r="E7858">
        <v>75.900000000000006</v>
      </c>
      <c r="F7858">
        <v>2732700</v>
      </c>
      <c r="G7858">
        <v>73.23</v>
      </c>
      <c r="H7858" t="s">
        <v>18</v>
      </c>
      <c r="I7858" s="22">
        <f t="shared" si="245"/>
        <v>-7.0758221469507691E-3</v>
      </c>
      <c r="J7858" s="22" t="str">
        <f t="shared" si="246"/>
        <v>lost money</v>
      </c>
    </row>
    <row r="7859" spans="1:10">
      <c r="A7859" s="1">
        <v>41143</v>
      </c>
      <c r="B7859">
        <v>75.989999999999995</v>
      </c>
      <c r="C7859">
        <v>76.459999999999994</v>
      </c>
      <c r="D7859">
        <v>75.709999999999994</v>
      </c>
      <c r="E7859">
        <v>76.14</v>
      </c>
      <c r="F7859">
        <v>2142500</v>
      </c>
      <c r="G7859">
        <v>73.459999999999994</v>
      </c>
      <c r="H7859" t="s">
        <v>18</v>
      </c>
      <c r="I7859" s="22">
        <f t="shared" si="245"/>
        <v>3.1358673185426355E-3</v>
      </c>
      <c r="J7859" s="22" t="str">
        <f t="shared" si="246"/>
        <v/>
      </c>
    </row>
    <row r="7860" spans="1:10">
      <c r="A7860" s="1">
        <v>41144</v>
      </c>
      <c r="B7860">
        <v>75.98</v>
      </c>
      <c r="C7860">
        <v>76.27</v>
      </c>
      <c r="D7860">
        <v>75.27</v>
      </c>
      <c r="E7860">
        <v>75.680000000000007</v>
      </c>
      <c r="F7860">
        <v>2312100</v>
      </c>
      <c r="G7860">
        <v>73.02</v>
      </c>
      <c r="H7860" t="s">
        <v>18</v>
      </c>
      <c r="I7860" s="22">
        <f t="shared" si="245"/>
        <v>-6.0076641640303616E-3</v>
      </c>
      <c r="J7860" s="22" t="str">
        <f t="shared" si="246"/>
        <v>lost money</v>
      </c>
    </row>
    <row r="7861" spans="1:10">
      <c r="A7861" s="1">
        <v>41145</v>
      </c>
      <c r="B7861">
        <v>75.53</v>
      </c>
      <c r="C7861">
        <v>75.87</v>
      </c>
      <c r="D7861">
        <v>75.28</v>
      </c>
      <c r="E7861">
        <v>75.72</v>
      </c>
      <c r="F7861">
        <v>2253000</v>
      </c>
      <c r="G7861">
        <v>73.06</v>
      </c>
      <c r="H7861" t="s">
        <v>18</v>
      </c>
      <c r="I7861" s="22">
        <f t="shared" si="245"/>
        <v>5.4764513964579735E-4</v>
      </c>
      <c r="J7861" s="22" t="str">
        <f t="shared" si="246"/>
        <v/>
      </c>
    </row>
    <row r="7862" spans="1:10">
      <c r="A7862" s="1">
        <v>41148</v>
      </c>
      <c r="B7862">
        <v>75.78</v>
      </c>
      <c r="C7862">
        <v>75.95</v>
      </c>
      <c r="D7862">
        <v>75.13</v>
      </c>
      <c r="E7862">
        <v>75.260000000000005</v>
      </c>
      <c r="F7862">
        <v>1893300</v>
      </c>
      <c r="G7862">
        <v>72.61</v>
      </c>
      <c r="H7862" t="s">
        <v>18</v>
      </c>
      <c r="I7862" s="22">
        <f t="shared" si="245"/>
        <v>-6.1783679749810453E-3</v>
      </c>
      <c r="J7862" s="22" t="str">
        <f t="shared" si="246"/>
        <v>lost money</v>
      </c>
    </row>
    <row r="7863" spans="1:10">
      <c r="A7863" s="1">
        <v>41149</v>
      </c>
      <c r="B7863">
        <v>75.069999999999993</v>
      </c>
      <c r="C7863">
        <v>75.19</v>
      </c>
      <c r="D7863">
        <v>74.5</v>
      </c>
      <c r="E7863">
        <v>74.59</v>
      </c>
      <c r="F7863">
        <v>2954300</v>
      </c>
      <c r="G7863">
        <v>71.97</v>
      </c>
      <c r="H7863" t="s">
        <v>18</v>
      </c>
      <c r="I7863" s="22">
        <f t="shared" si="245"/>
        <v>-8.8532878724425206E-3</v>
      </c>
      <c r="J7863" s="22" t="str">
        <f t="shared" si="246"/>
        <v>lost money</v>
      </c>
    </row>
    <row r="7864" spans="1:10">
      <c r="A7864" s="1">
        <v>41150</v>
      </c>
      <c r="B7864">
        <v>74.64</v>
      </c>
      <c r="C7864">
        <v>74.72</v>
      </c>
      <c r="D7864">
        <v>74.23</v>
      </c>
      <c r="E7864">
        <v>74.3</v>
      </c>
      <c r="F7864">
        <v>2829800</v>
      </c>
      <c r="G7864">
        <v>71.69</v>
      </c>
      <c r="H7864" t="s">
        <v>18</v>
      </c>
      <c r="I7864" s="22">
        <f t="shared" si="245"/>
        <v>-3.8980976549319946E-3</v>
      </c>
      <c r="J7864" s="22" t="str">
        <f t="shared" si="246"/>
        <v>lost money</v>
      </c>
    </row>
    <row r="7865" spans="1:10">
      <c r="A7865" s="1">
        <v>41151</v>
      </c>
      <c r="B7865">
        <v>73.97</v>
      </c>
      <c r="C7865">
        <v>74.16</v>
      </c>
      <c r="D7865">
        <v>73.739999999999995</v>
      </c>
      <c r="E7865">
        <v>73.819999999999993</v>
      </c>
      <c r="F7865">
        <v>2587000</v>
      </c>
      <c r="G7865">
        <v>71.22</v>
      </c>
      <c r="H7865" t="s">
        <v>18</v>
      </c>
      <c r="I7865" s="22">
        <f t="shared" si="245"/>
        <v>-6.5775900151492312E-3</v>
      </c>
      <c r="J7865" s="22" t="str">
        <f t="shared" si="246"/>
        <v>lost money</v>
      </c>
    </row>
    <row r="7866" spans="1:10">
      <c r="A7866" s="1">
        <v>41152</v>
      </c>
      <c r="B7866">
        <v>74.069999999999993</v>
      </c>
      <c r="C7866">
        <v>74.349999999999994</v>
      </c>
      <c r="D7866">
        <v>73.569999999999993</v>
      </c>
      <c r="E7866">
        <v>73.81</v>
      </c>
      <c r="F7866">
        <v>2717800</v>
      </c>
      <c r="G7866">
        <v>71.209999999999994</v>
      </c>
      <c r="H7866" t="s">
        <v>18</v>
      </c>
      <c r="I7866" s="22">
        <f t="shared" si="245"/>
        <v>-1.4041985559837169E-4</v>
      </c>
      <c r="J7866" s="22" t="str">
        <f t="shared" si="246"/>
        <v>lost money</v>
      </c>
    </row>
    <row r="7867" spans="1:10">
      <c r="A7867" s="1">
        <v>41156</v>
      </c>
      <c r="B7867">
        <v>73.569999999999993</v>
      </c>
      <c r="C7867">
        <v>73.92</v>
      </c>
      <c r="D7867">
        <v>73.3</v>
      </c>
      <c r="E7867">
        <v>73.7</v>
      </c>
      <c r="F7867">
        <v>4513400</v>
      </c>
      <c r="G7867">
        <v>71.11</v>
      </c>
      <c r="H7867" t="s">
        <v>18</v>
      </c>
      <c r="I7867" s="22">
        <f t="shared" si="245"/>
        <v>-1.405284098606731E-3</v>
      </c>
      <c r="J7867" s="22" t="str">
        <f t="shared" si="246"/>
        <v/>
      </c>
    </row>
    <row r="7868" spans="1:10">
      <c r="A7868" s="1">
        <v>41157</v>
      </c>
      <c r="B7868">
        <v>72.5</v>
      </c>
      <c r="C7868">
        <v>72.77</v>
      </c>
      <c r="D7868">
        <v>71.790000000000006</v>
      </c>
      <c r="E7868">
        <v>71.94</v>
      </c>
      <c r="F7868">
        <v>10182200</v>
      </c>
      <c r="G7868">
        <v>69.41</v>
      </c>
      <c r="H7868" t="s">
        <v>18</v>
      </c>
      <c r="I7868" s="22">
        <f t="shared" si="245"/>
        <v>-2.4197024543934235E-2</v>
      </c>
      <c r="J7868" s="22" t="str">
        <f t="shared" si="246"/>
        <v>lost money</v>
      </c>
    </row>
    <row r="7869" spans="1:10">
      <c r="A7869" s="1">
        <v>41158</v>
      </c>
      <c r="B7869">
        <v>72.14</v>
      </c>
      <c r="C7869">
        <v>73.06</v>
      </c>
      <c r="D7869">
        <v>71.62</v>
      </c>
      <c r="E7869">
        <v>71.94</v>
      </c>
      <c r="F7869">
        <v>8389000</v>
      </c>
      <c r="G7869">
        <v>69.41</v>
      </c>
      <c r="H7869" t="s">
        <v>18</v>
      </c>
      <c r="I7869" s="22">
        <f t="shared" si="245"/>
        <v>0</v>
      </c>
      <c r="J7869" s="22" t="str">
        <f t="shared" si="246"/>
        <v>lost money</v>
      </c>
    </row>
    <row r="7870" spans="1:10">
      <c r="A7870" s="1">
        <v>41159</v>
      </c>
      <c r="B7870">
        <v>72.010000000000005</v>
      </c>
      <c r="C7870">
        <v>72.61</v>
      </c>
      <c r="D7870">
        <v>71.88</v>
      </c>
      <c r="E7870">
        <v>72.599999999999994</v>
      </c>
      <c r="F7870">
        <v>4799000</v>
      </c>
      <c r="G7870">
        <v>70.05</v>
      </c>
      <c r="H7870" t="s">
        <v>18</v>
      </c>
      <c r="I7870" s="22">
        <f t="shared" si="245"/>
        <v>9.1783234315237164E-3</v>
      </c>
      <c r="J7870" s="22" t="str">
        <f t="shared" si="246"/>
        <v/>
      </c>
    </row>
    <row r="7871" spans="1:10">
      <c r="A7871" s="1">
        <v>41162</v>
      </c>
      <c r="B7871">
        <v>72.239999999999995</v>
      </c>
      <c r="C7871">
        <v>73.31</v>
      </c>
      <c r="D7871">
        <v>72.239999999999995</v>
      </c>
      <c r="E7871">
        <v>73.05</v>
      </c>
      <c r="F7871">
        <v>4762600</v>
      </c>
      <c r="G7871">
        <v>70.48</v>
      </c>
      <c r="H7871" t="s">
        <v>18</v>
      </c>
      <c r="I7871" s="22">
        <f t="shared" si="245"/>
        <v>6.1197088449081788E-3</v>
      </c>
      <c r="J7871" s="22" t="str">
        <f t="shared" si="246"/>
        <v/>
      </c>
    </row>
    <row r="7872" spans="1:10">
      <c r="A7872" s="1">
        <v>41163</v>
      </c>
      <c r="B7872">
        <v>72.930000000000007</v>
      </c>
      <c r="C7872">
        <v>73.77</v>
      </c>
      <c r="D7872">
        <v>72.59</v>
      </c>
      <c r="E7872">
        <v>73.540000000000006</v>
      </c>
      <c r="F7872">
        <v>3914900</v>
      </c>
      <c r="G7872">
        <v>70.95</v>
      </c>
      <c r="H7872" t="s">
        <v>18</v>
      </c>
      <c r="I7872" s="22">
        <f t="shared" si="245"/>
        <v>6.6464219781274831E-3</v>
      </c>
      <c r="J7872" s="22" t="str">
        <f t="shared" si="246"/>
        <v/>
      </c>
    </row>
    <row r="7873" spans="1:10">
      <c r="A7873" s="1">
        <v>41164</v>
      </c>
      <c r="B7873">
        <v>73.83</v>
      </c>
      <c r="C7873">
        <v>73.930000000000007</v>
      </c>
      <c r="D7873">
        <v>72.92</v>
      </c>
      <c r="E7873">
        <v>73.64</v>
      </c>
      <c r="F7873">
        <v>3917800</v>
      </c>
      <c r="G7873">
        <v>71.05</v>
      </c>
      <c r="H7873" t="s">
        <v>18</v>
      </c>
      <c r="I7873" s="22">
        <f t="shared" si="245"/>
        <v>1.4084509370579205E-3</v>
      </c>
      <c r="J7873" s="22" t="str">
        <f t="shared" si="246"/>
        <v>lost money</v>
      </c>
    </row>
    <row r="7874" spans="1:10">
      <c r="A7874" s="1">
        <v>41165</v>
      </c>
      <c r="B7874">
        <v>73.37</v>
      </c>
      <c r="C7874">
        <v>75.25</v>
      </c>
      <c r="D7874">
        <v>73.099999999999994</v>
      </c>
      <c r="E7874">
        <v>74.73</v>
      </c>
      <c r="F7874">
        <v>4915600</v>
      </c>
      <c r="G7874">
        <v>72.099999999999994</v>
      </c>
      <c r="H7874" t="s">
        <v>18</v>
      </c>
      <c r="I7874" s="22">
        <f t="shared" si="245"/>
        <v>1.4670189747793621E-2</v>
      </c>
      <c r="J7874" s="22" t="str">
        <f t="shared" si="246"/>
        <v/>
      </c>
    </row>
    <row r="7875" spans="1:10">
      <c r="A7875" s="1">
        <v>41166</v>
      </c>
      <c r="B7875">
        <v>74.599999999999994</v>
      </c>
      <c r="C7875">
        <v>74.64</v>
      </c>
      <c r="D7875">
        <v>73.55</v>
      </c>
      <c r="E7875">
        <v>73.680000000000007</v>
      </c>
      <c r="F7875">
        <v>6255200</v>
      </c>
      <c r="G7875">
        <v>71.09</v>
      </c>
      <c r="H7875" t="s">
        <v>18</v>
      </c>
      <c r="I7875" s="22">
        <f t="shared" ref="I7875:I7938" si="247">IF(A7875=$A$2,"",LN(G7875/G7874))</f>
        <v>-1.4107364349511563E-2</v>
      </c>
      <c r="J7875" s="22" t="str">
        <f t="shared" ref="J7875:J7938" si="248">IF(B7875&gt;E7875,"lost money","")</f>
        <v>lost money</v>
      </c>
    </row>
    <row r="7876" spans="1:10">
      <c r="A7876" s="1">
        <v>41169</v>
      </c>
      <c r="B7876">
        <v>73.510000000000005</v>
      </c>
      <c r="C7876">
        <v>74.5</v>
      </c>
      <c r="D7876">
        <v>73.44</v>
      </c>
      <c r="E7876">
        <v>74.23</v>
      </c>
      <c r="F7876">
        <v>4361200</v>
      </c>
      <c r="G7876">
        <v>71.62</v>
      </c>
      <c r="H7876" t="s">
        <v>18</v>
      </c>
      <c r="I7876" s="22">
        <f t="shared" si="247"/>
        <v>7.4276846288949729E-3</v>
      </c>
      <c r="J7876" s="22" t="str">
        <f t="shared" si="248"/>
        <v/>
      </c>
    </row>
    <row r="7877" spans="1:10">
      <c r="A7877" s="1">
        <v>41170</v>
      </c>
      <c r="B7877">
        <v>73.87</v>
      </c>
      <c r="C7877">
        <v>74.27</v>
      </c>
      <c r="D7877">
        <v>73.319999999999993</v>
      </c>
      <c r="E7877">
        <v>73.510000000000005</v>
      </c>
      <c r="F7877">
        <v>3774600</v>
      </c>
      <c r="G7877">
        <v>70.92</v>
      </c>
      <c r="H7877" t="s">
        <v>18</v>
      </c>
      <c r="I7877" s="22">
        <f t="shared" si="247"/>
        <v>-9.8218833642795822E-3</v>
      </c>
      <c r="J7877" s="22" t="str">
        <f t="shared" si="248"/>
        <v>lost money</v>
      </c>
    </row>
    <row r="7878" spans="1:10">
      <c r="A7878" s="1">
        <v>41171</v>
      </c>
      <c r="B7878">
        <v>74.12</v>
      </c>
      <c r="C7878">
        <v>74.87</v>
      </c>
      <c r="D7878">
        <v>73.400000000000006</v>
      </c>
      <c r="E7878">
        <v>74.27</v>
      </c>
      <c r="F7878">
        <v>4477700</v>
      </c>
      <c r="G7878">
        <v>71.66</v>
      </c>
      <c r="H7878" t="s">
        <v>18</v>
      </c>
      <c r="I7878" s="22">
        <f t="shared" si="247"/>
        <v>1.0380230670800454E-2</v>
      </c>
      <c r="J7878" s="22" t="str">
        <f t="shared" si="248"/>
        <v/>
      </c>
    </row>
    <row r="7879" spans="1:10">
      <c r="A7879" s="1">
        <v>41172</v>
      </c>
      <c r="B7879">
        <v>73.790000000000006</v>
      </c>
      <c r="C7879">
        <v>74.099999999999994</v>
      </c>
      <c r="D7879">
        <v>72.36</v>
      </c>
      <c r="E7879">
        <v>72.61</v>
      </c>
      <c r="F7879">
        <v>8127000</v>
      </c>
      <c r="G7879">
        <v>70.05</v>
      </c>
      <c r="H7879" t="s">
        <v>18</v>
      </c>
      <c r="I7879" s="22">
        <f t="shared" si="247"/>
        <v>-2.2723439093791761E-2</v>
      </c>
      <c r="J7879" s="22" t="str">
        <f t="shared" si="248"/>
        <v>lost money</v>
      </c>
    </row>
    <row r="7880" spans="1:10">
      <c r="A7880" s="1">
        <v>41173</v>
      </c>
      <c r="B7880">
        <v>72.33</v>
      </c>
      <c r="C7880">
        <v>72.94</v>
      </c>
      <c r="D7880">
        <v>71.180000000000007</v>
      </c>
      <c r="E7880">
        <v>71.88</v>
      </c>
      <c r="F7880">
        <v>29326400</v>
      </c>
      <c r="G7880">
        <v>69.349999999999994</v>
      </c>
      <c r="H7880" t="s">
        <v>18</v>
      </c>
      <c r="I7880" s="22">
        <f t="shared" si="247"/>
        <v>-1.0043126022175452E-2</v>
      </c>
      <c r="J7880" s="22" t="str">
        <f t="shared" si="248"/>
        <v>lost money</v>
      </c>
    </row>
    <row r="7881" spans="1:10">
      <c r="A7881" s="1">
        <v>41176</v>
      </c>
      <c r="B7881">
        <v>71.78</v>
      </c>
      <c r="C7881">
        <v>72.33</v>
      </c>
      <c r="D7881">
        <v>71.5</v>
      </c>
      <c r="E7881">
        <v>72.03</v>
      </c>
      <c r="F7881">
        <v>5919700</v>
      </c>
      <c r="G7881">
        <v>69.5</v>
      </c>
      <c r="H7881" t="s">
        <v>18</v>
      </c>
      <c r="I7881" s="22">
        <f t="shared" si="247"/>
        <v>2.1606058099059074E-3</v>
      </c>
      <c r="J7881" s="22" t="str">
        <f t="shared" si="248"/>
        <v/>
      </c>
    </row>
    <row r="7882" spans="1:10">
      <c r="A7882" s="1">
        <v>41177</v>
      </c>
      <c r="B7882">
        <v>72.25</v>
      </c>
      <c r="C7882">
        <v>73.53</v>
      </c>
      <c r="D7882">
        <v>72.03</v>
      </c>
      <c r="E7882">
        <v>72.069999999999993</v>
      </c>
      <c r="F7882">
        <v>7047400</v>
      </c>
      <c r="G7882">
        <v>69.53</v>
      </c>
      <c r="H7882" t="s">
        <v>18</v>
      </c>
      <c r="I7882" s="22">
        <f t="shared" si="247"/>
        <v>4.3156154018006963E-4</v>
      </c>
      <c r="J7882" s="22" t="str">
        <f t="shared" si="248"/>
        <v>lost money</v>
      </c>
    </row>
    <row r="7883" spans="1:10">
      <c r="A7883" s="1">
        <v>41178</v>
      </c>
      <c r="B7883">
        <v>72.099999999999994</v>
      </c>
      <c r="C7883">
        <v>72.260000000000005</v>
      </c>
      <c r="D7883">
        <v>71.69</v>
      </c>
      <c r="E7883">
        <v>71.78</v>
      </c>
      <c r="F7883">
        <v>3928100</v>
      </c>
      <c r="G7883">
        <v>69.25</v>
      </c>
      <c r="H7883" t="s">
        <v>18</v>
      </c>
      <c r="I7883" s="22">
        <f t="shared" si="247"/>
        <v>-4.0351690434785887E-3</v>
      </c>
      <c r="J7883" s="22" t="str">
        <f t="shared" si="248"/>
        <v>lost money</v>
      </c>
    </row>
    <row r="7884" spans="1:10">
      <c r="A7884" s="1">
        <v>41179</v>
      </c>
      <c r="B7884">
        <v>71.92</v>
      </c>
      <c r="C7884">
        <v>72.239999999999995</v>
      </c>
      <c r="D7884">
        <v>71.58</v>
      </c>
      <c r="E7884">
        <v>72.02</v>
      </c>
      <c r="F7884">
        <v>2651100</v>
      </c>
      <c r="G7884">
        <v>69.489999999999995</v>
      </c>
      <c r="H7884" t="s">
        <v>18</v>
      </c>
      <c r="I7884" s="22">
        <f t="shared" si="247"/>
        <v>3.4597122587879722E-3</v>
      </c>
      <c r="J7884" s="22" t="str">
        <f t="shared" si="248"/>
        <v/>
      </c>
    </row>
    <row r="7885" spans="1:10">
      <c r="A7885" s="1">
        <v>41180</v>
      </c>
      <c r="B7885">
        <v>71.87</v>
      </c>
      <c r="C7885">
        <v>71.89</v>
      </c>
      <c r="D7885">
        <v>71.25</v>
      </c>
      <c r="E7885">
        <v>71.569999999999993</v>
      </c>
      <c r="F7885">
        <v>3350900</v>
      </c>
      <c r="G7885">
        <v>69.05</v>
      </c>
      <c r="H7885" t="s">
        <v>18</v>
      </c>
      <c r="I7885" s="22">
        <f t="shared" si="247"/>
        <v>-6.3519774709347747E-3</v>
      </c>
      <c r="J7885" s="22" t="str">
        <f t="shared" si="248"/>
        <v>lost money</v>
      </c>
    </row>
    <row r="7886" spans="1:10">
      <c r="A7886" s="1">
        <v>41183</v>
      </c>
      <c r="B7886">
        <v>72.09</v>
      </c>
      <c r="C7886">
        <v>72.91</v>
      </c>
      <c r="D7886">
        <v>71.709999999999994</v>
      </c>
      <c r="E7886">
        <v>72.010000000000005</v>
      </c>
      <c r="F7886">
        <v>3788900</v>
      </c>
      <c r="G7886">
        <v>69.48</v>
      </c>
      <c r="H7886" t="s">
        <v>18</v>
      </c>
      <c r="I7886" s="22">
        <f t="shared" si="247"/>
        <v>6.2080615176031972E-3</v>
      </c>
      <c r="J7886" s="22" t="str">
        <f t="shared" si="248"/>
        <v>lost money</v>
      </c>
    </row>
    <row r="7887" spans="1:10">
      <c r="A7887" s="1">
        <v>41184</v>
      </c>
      <c r="B7887">
        <v>72.27</v>
      </c>
      <c r="C7887">
        <v>72.5</v>
      </c>
      <c r="D7887">
        <v>71.69</v>
      </c>
      <c r="E7887">
        <v>72.02</v>
      </c>
      <c r="F7887">
        <v>2791300</v>
      </c>
      <c r="G7887">
        <v>69.489999999999995</v>
      </c>
      <c r="H7887" t="s">
        <v>18</v>
      </c>
      <c r="I7887" s="22">
        <f t="shared" si="247"/>
        <v>1.4391595333174703E-4</v>
      </c>
      <c r="J7887" s="22" t="str">
        <f t="shared" si="248"/>
        <v>lost money</v>
      </c>
    </row>
    <row r="7888" spans="1:10">
      <c r="A7888" s="1">
        <v>41185</v>
      </c>
      <c r="B7888">
        <v>72.27</v>
      </c>
      <c r="C7888">
        <v>73.459999999999994</v>
      </c>
      <c r="D7888">
        <v>72.03</v>
      </c>
      <c r="E7888">
        <v>73.39</v>
      </c>
      <c r="F7888">
        <v>5109300</v>
      </c>
      <c r="G7888">
        <v>70.81</v>
      </c>
      <c r="H7888" t="s">
        <v>18</v>
      </c>
      <c r="I7888" s="22">
        <f t="shared" si="247"/>
        <v>1.8817376337446796E-2</v>
      </c>
      <c r="J7888" s="22" t="str">
        <f t="shared" si="248"/>
        <v/>
      </c>
    </row>
    <row r="7889" spans="1:10">
      <c r="A7889" s="1">
        <v>41186</v>
      </c>
      <c r="B7889">
        <v>73.08</v>
      </c>
      <c r="C7889">
        <v>73.64</v>
      </c>
      <c r="D7889">
        <v>72.819999999999993</v>
      </c>
      <c r="E7889">
        <v>72.97</v>
      </c>
      <c r="F7889">
        <v>3868100</v>
      </c>
      <c r="G7889">
        <v>70.400000000000006</v>
      </c>
      <c r="H7889" t="s">
        <v>18</v>
      </c>
      <c r="I7889" s="22">
        <f t="shared" si="247"/>
        <v>-5.8069704996857813E-3</v>
      </c>
      <c r="J7889" s="22" t="str">
        <f t="shared" si="248"/>
        <v>lost money</v>
      </c>
    </row>
    <row r="7890" spans="1:10">
      <c r="A7890" s="1">
        <v>41187</v>
      </c>
      <c r="B7890">
        <v>73.31</v>
      </c>
      <c r="C7890">
        <v>73.88</v>
      </c>
      <c r="D7890">
        <v>72.98</v>
      </c>
      <c r="E7890">
        <v>73.099999999999994</v>
      </c>
      <c r="F7890">
        <v>3964000</v>
      </c>
      <c r="G7890">
        <v>70.53</v>
      </c>
      <c r="H7890" t="s">
        <v>18</v>
      </c>
      <c r="I7890" s="22">
        <f t="shared" si="247"/>
        <v>1.8448880560909926E-3</v>
      </c>
      <c r="J7890" s="22" t="str">
        <f t="shared" si="248"/>
        <v>lost money</v>
      </c>
    </row>
    <row r="7891" spans="1:10">
      <c r="A7891" s="1">
        <v>41190</v>
      </c>
      <c r="B7891">
        <v>73.069999999999993</v>
      </c>
      <c r="C7891">
        <v>73.88</v>
      </c>
      <c r="D7891">
        <v>72.75</v>
      </c>
      <c r="E7891">
        <v>73.760000000000005</v>
      </c>
      <c r="F7891">
        <v>2949500</v>
      </c>
      <c r="G7891">
        <v>71.16</v>
      </c>
      <c r="H7891" t="s">
        <v>18</v>
      </c>
      <c r="I7891" s="22">
        <f t="shared" si="247"/>
        <v>8.8927115775464978E-3</v>
      </c>
      <c r="J7891" s="22" t="str">
        <f t="shared" si="248"/>
        <v/>
      </c>
    </row>
    <row r="7892" spans="1:10">
      <c r="A7892" s="1">
        <v>41191</v>
      </c>
      <c r="B7892">
        <v>73.88</v>
      </c>
      <c r="C7892">
        <v>74</v>
      </c>
      <c r="D7892">
        <v>72.92</v>
      </c>
      <c r="E7892">
        <v>73.02</v>
      </c>
      <c r="F7892">
        <v>2328800</v>
      </c>
      <c r="G7892">
        <v>70.45</v>
      </c>
      <c r="H7892" t="s">
        <v>18</v>
      </c>
      <c r="I7892" s="22">
        <f t="shared" si="247"/>
        <v>-1.002762445294505E-2</v>
      </c>
      <c r="J7892" s="22" t="str">
        <f t="shared" si="248"/>
        <v>lost money</v>
      </c>
    </row>
    <row r="7893" spans="1:10">
      <c r="A7893" s="1">
        <v>41192</v>
      </c>
      <c r="B7893">
        <v>73.83</v>
      </c>
      <c r="C7893">
        <v>73.88</v>
      </c>
      <c r="D7893">
        <v>72.239999999999995</v>
      </c>
      <c r="E7893">
        <v>72.260000000000005</v>
      </c>
      <c r="F7893">
        <v>4014900</v>
      </c>
      <c r="G7893">
        <v>69.72</v>
      </c>
      <c r="H7893" t="s">
        <v>18</v>
      </c>
      <c r="I7893" s="22">
        <f t="shared" si="247"/>
        <v>-1.0416017692869067E-2</v>
      </c>
      <c r="J7893" s="22" t="str">
        <f t="shared" si="248"/>
        <v>lost money</v>
      </c>
    </row>
    <row r="7894" spans="1:10">
      <c r="A7894" s="1">
        <v>41193</v>
      </c>
      <c r="B7894">
        <v>72.91</v>
      </c>
      <c r="C7894">
        <v>73.08</v>
      </c>
      <c r="D7894">
        <v>72.260000000000005</v>
      </c>
      <c r="E7894">
        <v>72.3</v>
      </c>
      <c r="F7894">
        <v>3006700</v>
      </c>
      <c r="G7894">
        <v>69.760000000000005</v>
      </c>
      <c r="H7894" t="s">
        <v>18</v>
      </c>
      <c r="I7894" s="22">
        <f t="shared" si="247"/>
        <v>5.7355894890412026E-4</v>
      </c>
      <c r="J7894" s="22" t="str">
        <f t="shared" si="248"/>
        <v>lost money</v>
      </c>
    </row>
    <row r="7895" spans="1:10">
      <c r="A7895" s="1">
        <v>41194</v>
      </c>
      <c r="B7895">
        <v>72.569999999999993</v>
      </c>
      <c r="C7895">
        <v>72.849999999999994</v>
      </c>
      <c r="D7895">
        <v>71.98</v>
      </c>
      <c r="E7895">
        <v>72.11</v>
      </c>
      <c r="F7895">
        <v>2335800</v>
      </c>
      <c r="G7895">
        <v>69.569999999999993</v>
      </c>
      <c r="H7895" t="s">
        <v>18</v>
      </c>
      <c r="I7895" s="22">
        <f t="shared" si="247"/>
        <v>-2.727339665174436E-3</v>
      </c>
      <c r="J7895" s="22" t="str">
        <f t="shared" si="248"/>
        <v>lost money</v>
      </c>
    </row>
    <row r="7896" spans="1:10">
      <c r="A7896" s="1">
        <v>41197</v>
      </c>
      <c r="B7896">
        <v>72.2</v>
      </c>
      <c r="C7896">
        <v>72.819999999999993</v>
      </c>
      <c r="D7896">
        <v>72.150000000000006</v>
      </c>
      <c r="E7896">
        <v>72.59</v>
      </c>
      <c r="F7896">
        <v>2407000</v>
      </c>
      <c r="G7896">
        <v>70.040000000000006</v>
      </c>
      <c r="H7896" t="s">
        <v>18</v>
      </c>
      <c r="I7896" s="22">
        <f t="shared" si="247"/>
        <v>6.7330674821014106E-3</v>
      </c>
      <c r="J7896" s="22" t="str">
        <f t="shared" si="248"/>
        <v/>
      </c>
    </row>
    <row r="7897" spans="1:10">
      <c r="A7897" s="1">
        <v>41198</v>
      </c>
      <c r="B7897">
        <v>72.42</v>
      </c>
      <c r="C7897">
        <v>73.39</v>
      </c>
      <c r="D7897">
        <v>72.3</v>
      </c>
      <c r="E7897">
        <v>73.11</v>
      </c>
      <c r="F7897">
        <v>2755500</v>
      </c>
      <c r="G7897">
        <v>70.540000000000006</v>
      </c>
      <c r="H7897" t="s">
        <v>18</v>
      </c>
      <c r="I7897" s="22">
        <f t="shared" si="247"/>
        <v>7.1134173902547655E-3</v>
      </c>
      <c r="J7897" s="22" t="str">
        <f t="shared" si="248"/>
        <v/>
      </c>
    </row>
    <row r="7898" spans="1:10">
      <c r="A7898" s="1">
        <v>41199</v>
      </c>
      <c r="B7898">
        <v>73.319999999999993</v>
      </c>
      <c r="C7898">
        <v>73.44</v>
      </c>
      <c r="D7898">
        <v>72.92</v>
      </c>
      <c r="E7898">
        <v>73.290000000000006</v>
      </c>
      <c r="F7898">
        <v>2913500</v>
      </c>
      <c r="G7898">
        <v>70.709999999999994</v>
      </c>
      <c r="H7898" t="s">
        <v>18</v>
      </c>
      <c r="I7898" s="22">
        <f t="shared" si="247"/>
        <v>2.4070808082432217E-3</v>
      </c>
      <c r="J7898" s="22" t="str">
        <f t="shared" si="248"/>
        <v>lost money</v>
      </c>
    </row>
    <row r="7899" spans="1:10">
      <c r="A7899" s="1">
        <v>41200</v>
      </c>
      <c r="B7899">
        <v>73.31</v>
      </c>
      <c r="C7899">
        <v>73.88</v>
      </c>
      <c r="D7899">
        <v>73.11</v>
      </c>
      <c r="E7899">
        <v>73.61</v>
      </c>
      <c r="F7899">
        <v>3003900</v>
      </c>
      <c r="G7899">
        <v>71.02</v>
      </c>
      <c r="H7899" t="s">
        <v>18</v>
      </c>
      <c r="I7899" s="22">
        <f t="shared" si="247"/>
        <v>4.3745218987924321E-3</v>
      </c>
      <c r="J7899" s="22" t="str">
        <f t="shared" si="248"/>
        <v/>
      </c>
    </row>
    <row r="7900" spans="1:10">
      <c r="A7900" s="1">
        <v>41201</v>
      </c>
      <c r="B7900">
        <v>73.03</v>
      </c>
      <c r="C7900">
        <v>73.459999999999994</v>
      </c>
      <c r="D7900">
        <v>71.91</v>
      </c>
      <c r="E7900">
        <v>72.3</v>
      </c>
      <c r="F7900">
        <v>5469900</v>
      </c>
      <c r="G7900">
        <v>69.760000000000005</v>
      </c>
      <c r="H7900" t="s">
        <v>18</v>
      </c>
      <c r="I7900" s="22">
        <f t="shared" si="247"/>
        <v>-1.7900747914217544E-2</v>
      </c>
      <c r="J7900" s="22" t="str">
        <f t="shared" si="248"/>
        <v>lost money</v>
      </c>
    </row>
    <row r="7901" spans="1:10">
      <c r="A7901" s="1">
        <v>41204</v>
      </c>
      <c r="B7901">
        <v>72.040000000000006</v>
      </c>
      <c r="C7901">
        <v>72.13</v>
      </c>
      <c r="D7901">
        <v>71.02</v>
      </c>
      <c r="E7901">
        <v>71.56</v>
      </c>
      <c r="F7901">
        <v>6481900</v>
      </c>
      <c r="G7901">
        <v>69.040000000000006</v>
      </c>
      <c r="H7901" t="s">
        <v>18</v>
      </c>
      <c r="I7901" s="22">
        <f t="shared" si="247"/>
        <v>-1.0374732825551704E-2</v>
      </c>
      <c r="J7901" s="22" t="str">
        <f t="shared" si="248"/>
        <v>lost money</v>
      </c>
    </row>
    <row r="7902" spans="1:10">
      <c r="A7902" s="1">
        <v>41205</v>
      </c>
      <c r="B7902">
        <v>73.209999999999994</v>
      </c>
      <c r="C7902">
        <v>74.14</v>
      </c>
      <c r="D7902">
        <v>72.760000000000005</v>
      </c>
      <c r="E7902">
        <v>73.73</v>
      </c>
      <c r="F7902">
        <v>8209600</v>
      </c>
      <c r="G7902">
        <v>71.14</v>
      </c>
      <c r="H7902" t="s">
        <v>18</v>
      </c>
      <c r="I7902" s="22">
        <f t="shared" si="247"/>
        <v>2.9963719745136487E-2</v>
      </c>
      <c r="J7902" s="22" t="str">
        <f t="shared" si="248"/>
        <v/>
      </c>
    </row>
    <row r="7903" spans="1:10">
      <c r="A7903" s="1">
        <v>41206</v>
      </c>
      <c r="B7903">
        <v>73.97</v>
      </c>
      <c r="C7903">
        <v>74.06</v>
      </c>
      <c r="D7903">
        <v>72.989999999999995</v>
      </c>
      <c r="E7903">
        <v>73.12</v>
      </c>
      <c r="F7903">
        <v>3894200</v>
      </c>
      <c r="G7903">
        <v>70.55</v>
      </c>
      <c r="H7903" t="s">
        <v>18</v>
      </c>
      <c r="I7903" s="22">
        <f t="shared" si="247"/>
        <v>-8.3280882214861567E-3</v>
      </c>
      <c r="J7903" s="22" t="str">
        <f t="shared" si="248"/>
        <v>lost money</v>
      </c>
    </row>
    <row r="7904" spans="1:10">
      <c r="A7904" s="1">
        <v>41207</v>
      </c>
      <c r="B7904">
        <v>73.41</v>
      </c>
      <c r="C7904">
        <v>73.44</v>
      </c>
      <c r="D7904">
        <v>72.88</v>
      </c>
      <c r="E7904">
        <v>73.2</v>
      </c>
      <c r="F7904">
        <v>3080100</v>
      </c>
      <c r="G7904">
        <v>70.62</v>
      </c>
      <c r="H7904" t="s">
        <v>18</v>
      </c>
      <c r="I7904" s="22">
        <f t="shared" si="247"/>
        <v>9.9171220141734445E-4</v>
      </c>
      <c r="J7904" s="22" t="str">
        <f t="shared" si="248"/>
        <v>lost money</v>
      </c>
    </row>
    <row r="7905" spans="1:10">
      <c r="A7905" s="1">
        <v>41208</v>
      </c>
      <c r="B7905">
        <v>73.39</v>
      </c>
      <c r="C7905">
        <v>73.569999999999993</v>
      </c>
      <c r="D7905">
        <v>72.75</v>
      </c>
      <c r="E7905">
        <v>73.02</v>
      </c>
      <c r="F7905">
        <v>3044500</v>
      </c>
      <c r="G7905">
        <v>70.45</v>
      </c>
      <c r="H7905" t="s">
        <v>18</v>
      </c>
      <c r="I7905" s="22">
        <f t="shared" si="247"/>
        <v>-2.4101521555511016E-3</v>
      </c>
      <c r="J7905" s="22" t="str">
        <f t="shared" si="248"/>
        <v>lost money</v>
      </c>
    </row>
    <row r="7906" spans="1:10">
      <c r="A7906" s="1">
        <v>41213</v>
      </c>
      <c r="B7906">
        <v>73.45</v>
      </c>
      <c r="C7906">
        <v>74.099999999999994</v>
      </c>
      <c r="D7906">
        <v>73</v>
      </c>
      <c r="E7906">
        <v>73.25</v>
      </c>
      <c r="F7906">
        <v>3002000</v>
      </c>
      <c r="G7906">
        <v>70.67</v>
      </c>
      <c r="H7906" t="s">
        <v>18</v>
      </c>
      <c r="I7906" s="22">
        <f t="shared" si="247"/>
        <v>3.117916358073642E-3</v>
      </c>
      <c r="J7906" s="22" t="str">
        <f t="shared" si="248"/>
        <v>lost money</v>
      </c>
    </row>
    <row r="7907" spans="1:10">
      <c r="A7907" s="1">
        <v>41214</v>
      </c>
      <c r="B7907">
        <v>73.38</v>
      </c>
      <c r="C7907">
        <v>74.12</v>
      </c>
      <c r="D7907">
        <v>73.05</v>
      </c>
      <c r="E7907">
        <v>73.900000000000006</v>
      </c>
      <c r="F7907">
        <v>3674900</v>
      </c>
      <c r="G7907">
        <v>71.3</v>
      </c>
      <c r="H7907" t="s">
        <v>18</v>
      </c>
      <c r="I7907" s="22">
        <f t="shared" si="247"/>
        <v>8.8751727174871415E-3</v>
      </c>
      <c r="J7907" s="22" t="str">
        <f t="shared" si="248"/>
        <v/>
      </c>
    </row>
    <row r="7908" spans="1:10">
      <c r="A7908" s="1">
        <v>41215</v>
      </c>
      <c r="B7908">
        <v>74.23</v>
      </c>
      <c r="C7908">
        <v>74.5</v>
      </c>
      <c r="D7908">
        <v>73.39</v>
      </c>
      <c r="E7908">
        <v>73.48</v>
      </c>
      <c r="F7908">
        <v>3158800</v>
      </c>
      <c r="G7908">
        <v>70.89</v>
      </c>
      <c r="H7908" t="s">
        <v>18</v>
      </c>
      <c r="I7908" s="22">
        <f t="shared" si="247"/>
        <v>-5.7669475533240946E-3</v>
      </c>
      <c r="J7908" s="22" t="str">
        <f t="shared" si="248"/>
        <v>lost money</v>
      </c>
    </row>
    <row r="7909" spans="1:10">
      <c r="A7909" s="1">
        <v>41218</v>
      </c>
      <c r="B7909">
        <v>73.55</v>
      </c>
      <c r="C7909">
        <v>73.62</v>
      </c>
      <c r="D7909">
        <v>73.23</v>
      </c>
      <c r="E7909">
        <v>73.45</v>
      </c>
      <c r="F7909">
        <v>3312700</v>
      </c>
      <c r="G7909">
        <v>70.87</v>
      </c>
      <c r="H7909" t="s">
        <v>18</v>
      </c>
      <c r="I7909" s="22">
        <f t="shared" si="247"/>
        <v>-2.8216704476148656E-4</v>
      </c>
      <c r="J7909" s="22" t="str">
        <f t="shared" si="248"/>
        <v>lost money</v>
      </c>
    </row>
    <row r="7910" spans="1:10">
      <c r="A7910" s="1">
        <v>41219</v>
      </c>
      <c r="B7910">
        <v>73.67</v>
      </c>
      <c r="C7910">
        <v>74.180000000000007</v>
      </c>
      <c r="D7910">
        <v>73.2</v>
      </c>
      <c r="E7910">
        <v>73.569999999999993</v>
      </c>
      <c r="F7910">
        <v>3832500</v>
      </c>
      <c r="G7910">
        <v>70.98</v>
      </c>
      <c r="H7910" t="s">
        <v>18</v>
      </c>
      <c r="I7910" s="22">
        <f t="shared" si="247"/>
        <v>1.550934396185766E-3</v>
      </c>
      <c r="J7910" s="22" t="str">
        <f t="shared" si="248"/>
        <v>lost money</v>
      </c>
    </row>
    <row r="7911" spans="1:10">
      <c r="A7911" s="1">
        <v>41220</v>
      </c>
      <c r="B7911">
        <v>73.819999999999993</v>
      </c>
      <c r="C7911">
        <v>73.819999999999993</v>
      </c>
      <c r="D7911">
        <v>72.3</v>
      </c>
      <c r="E7911">
        <v>73</v>
      </c>
      <c r="F7911">
        <v>3866200</v>
      </c>
      <c r="G7911">
        <v>70.430000000000007</v>
      </c>
      <c r="H7911" t="s">
        <v>18</v>
      </c>
      <c r="I7911" s="22">
        <f t="shared" si="247"/>
        <v>-7.778838461031343E-3</v>
      </c>
      <c r="J7911" s="22" t="str">
        <f t="shared" si="248"/>
        <v>lost money</v>
      </c>
    </row>
    <row r="7912" spans="1:10">
      <c r="A7912" s="1">
        <v>41221</v>
      </c>
      <c r="B7912">
        <v>72.56</v>
      </c>
      <c r="C7912">
        <v>73.400000000000006</v>
      </c>
      <c r="D7912">
        <v>72.5</v>
      </c>
      <c r="E7912">
        <v>72.59</v>
      </c>
      <c r="F7912">
        <v>3695100</v>
      </c>
      <c r="G7912">
        <v>70.040000000000006</v>
      </c>
      <c r="H7912" t="s">
        <v>18</v>
      </c>
      <c r="I7912" s="22">
        <f t="shared" si="247"/>
        <v>-5.5528013396679019E-3</v>
      </c>
      <c r="J7912" s="22" t="str">
        <f t="shared" si="248"/>
        <v/>
      </c>
    </row>
    <row r="7913" spans="1:10">
      <c r="A7913" s="1">
        <v>41222</v>
      </c>
      <c r="B7913">
        <v>72.260000000000005</v>
      </c>
      <c r="C7913">
        <v>72.87</v>
      </c>
      <c r="D7913">
        <v>71.94</v>
      </c>
      <c r="E7913">
        <v>72.25</v>
      </c>
      <c r="F7913">
        <v>3607300</v>
      </c>
      <c r="G7913">
        <v>69.709999999999994</v>
      </c>
      <c r="H7913" t="s">
        <v>18</v>
      </c>
      <c r="I7913" s="22">
        <f t="shared" si="247"/>
        <v>-4.7227279193439052E-3</v>
      </c>
      <c r="J7913" s="22" t="str">
        <f t="shared" si="248"/>
        <v>lost money</v>
      </c>
    </row>
    <row r="7914" spans="1:10">
      <c r="A7914" s="1">
        <v>41225</v>
      </c>
      <c r="B7914">
        <v>72.239999999999995</v>
      </c>
      <c r="C7914">
        <v>72.63</v>
      </c>
      <c r="D7914">
        <v>71.87</v>
      </c>
      <c r="E7914">
        <v>72.3</v>
      </c>
      <c r="F7914">
        <v>1835300</v>
      </c>
      <c r="G7914">
        <v>69.760000000000005</v>
      </c>
      <c r="H7914" t="s">
        <v>18</v>
      </c>
      <c r="I7914" s="22">
        <f t="shared" si="247"/>
        <v>7.1700010241696529E-4</v>
      </c>
      <c r="J7914" s="22" t="str">
        <f t="shared" si="248"/>
        <v/>
      </c>
    </row>
    <row r="7915" spans="1:10">
      <c r="A7915" s="1">
        <v>41226</v>
      </c>
      <c r="B7915">
        <v>71.900000000000006</v>
      </c>
      <c r="C7915">
        <v>72.69</v>
      </c>
      <c r="D7915">
        <v>71.819999999999993</v>
      </c>
      <c r="E7915">
        <v>71.86</v>
      </c>
      <c r="F7915">
        <v>2194100</v>
      </c>
      <c r="G7915">
        <v>69.33</v>
      </c>
      <c r="H7915" t="s">
        <v>18</v>
      </c>
      <c r="I7915" s="22">
        <f t="shared" si="247"/>
        <v>-6.183066646325259E-3</v>
      </c>
      <c r="J7915" s="22" t="str">
        <f t="shared" si="248"/>
        <v>lost money</v>
      </c>
    </row>
    <row r="7916" spans="1:10">
      <c r="A7916" s="1">
        <v>41227</v>
      </c>
      <c r="B7916">
        <v>71.83</v>
      </c>
      <c r="C7916">
        <v>72.150000000000006</v>
      </c>
      <c r="D7916">
        <v>70.069999999999993</v>
      </c>
      <c r="E7916">
        <v>70.3</v>
      </c>
      <c r="F7916">
        <v>4037100</v>
      </c>
      <c r="G7916">
        <v>67.83</v>
      </c>
      <c r="H7916" t="s">
        <v>18</v>
      </c>
      <c r="I7916" s="22">
        <f t="shared" si="247"/>
        <v>-2.1873137996410913E-2</v>
      </c>
      <c r="J7916" s="22" t="str">
        <f t="shared" si="248"/>
        <v>lost money</v>
      </c>
    </row>
    <row r="7917" spans="1:10">
      <c r="A7917" s="1">
        <v>41228</v>
      </c>
      <c r="B7917">
        <v>70</v>
      </c>
      <c r="C7917">
        <v>70.39</v>
      </c>
      <c r="D7917">
        <v>69.56</v>
      </c>
      <c r="E7917">
        <v>70.33</v>
      </c>
      <c r="F7917">
        <v>4172200</v>
      </c>
      <c r="G7917">
        <v>68.41</v>
      </c>
      <c r="H7917" t="s">
        <v>18</v>
      </c>
      <c r="I7917" s="22">
        <f t="shared" si="247"/>
        <v>8.5144378149184605E-3</v>
      </c>
      <c r="J7917" s="22" t="str">
        <f t="shared" si="248"/>
        <v/>
      </c>
    </row>
    <row r="7918" spans="1:10">
      <c r="A7918" s="1">
        <v>41229</v>
      </c>
      <c r="B7918">
        <v>70.84</v>
      </c>
      <c r="C7918">
        <v>70.84</v>
      </c>
      <c r="D7918">
        <v>69.72</v>
      </c>
      <c r="E7918">
        <v>70.02</v>
      </c>
      <c r="F7918">
        <v>4610300</v>
      </c>
      <c r="G7918">
        <v>68.11</v>
      </c>
      <c r="H7918" t="s">
        <v>18</v>
      </c>
      <c r="I7918" s="22">
        <f t="shared" si="247"/>
        <v>-4.3949675196796453E-3</v>
      </c>
      <c r="J7918" s="22" t="str">
        <f t="shared" si="248"/>
        <v>lost money</v>
      </c>
    </row>
    <row r="7919" spans="1:10">
      <c r="A7919" s="1">
        <v>41232</v>
      </c>
      <c r="B7919">
        <v>70.7</v>
      </c>
      <c r="C7919">
        <v>71.44</v>
      </c>
      <c r="D7919">
        <v>70.33</v>
      </c>
      <c r="E7919">
        <v>71.44</v>
      </c>
      <c r="F7919">
        <v>4126100</v>
      </c>
      <c r="G7919">
        <v>69.489999999999995</v>
      </c>
      <c r="H7919" t="s">
        <v>18</v>
      </c>
      <c r="I7919" s="22">
        <f t="shared" si="247"/>
        <v>2.0058812073008997E-2</v>
      </c>
      <c r="J7919" s="22" t="str">
        <f t="shared" si="248"/>
        <v/>
      </c>
    </row>
    <row r="7920" spans="1:10">
      <c r="A7920" s="1">
        <v>41233</v>
      </c>
      <c r="B7920">
        <v>71.27</v>
      </c>
      <c r="C7920">
        <v>71.48</v>
      </c>
      <c r="D7920">
        <v>70.91</v>
      </c>
      <c r="E7920">
        <v>71.34</v>
      </c>
      <c r="F7920">
        <v>3226400</v>
      </c>
      <c r="G7920">
        <v>69.39</v>
      </c>
      <c r="H7920" t="s">
        <v>18</v>
      </c>
      <c r="I7920" s="22">
        <f t="shared" si="247"/>
        <v>-1.4400924147783976E-3</v>
      </c>
      <c r="J7920" s="22" t="str">
        <f t="shared" si="248"/>
        <v/>
      </c>
    </row>
    <row r="7921" spans="1:10">
      <c r="A7921" s="1">
        <v>41234</v>
      </c>
      <c r="B7921">
        <v>71.459999999999994</v>
      </c>
      <c r="C7921">
        <v>71.69</v>
      </c>
      <c r="D7921">
        <v>71.23</v>
      </c>
      <c r="E7921">
        <v>71.400000000000006</v>
      </c>
      <c r="F7921">
        <v>2157100</v>
      </c>
      <c r="G7921">
        <v>69.45</v>
      </c>
      <c r="H7921" t="s">
        <v>18</v>
      </c>
      <c r="I7921" s="22">
        <f t="shared" si="247"/>
        <v>8.6430428889526447E-4</v>
      </c>
      <c r="J7921" s="22" t="str">
        <f t="shared" si="248"/>
        <v>lost money</v>
      </c>
    </row>
    <row r="7922" spans="1:10">
      <c r="A7922" s="1">
        <v>41236</v>
      </c>
      <c r="B7922">
        <v>71.52</v>
      </c>
      <c r="C7922">
        <v>72.08</v>
      </c>
      <c r="D7922">
        <v>71.38</v>
      </c>
      <c r="E7922">
        <v>71.98</v>
      </c>
      <c r="F7922">
        <v>1594600</v>
      </c>
      <c r="G7922">
        <v>70.010000000000005</v>
      </c>
      <c r="H7922" t="s">
        <v>18</v>
      </c>
      <c r="I7922" s="22">
        <f t="shared" si="247"/>
        <v>8.0310197887535611E-3</v>
      </c>
      <c r="J7922" s="22" t="str">
        <f t="shared" si="248"/>
        <v/>
      </c>
    </row>
    <row r="7923" spans="1:10">
      <c r="A7923" s="1">
        <v>41239</v>
      </c>
      <c r="B7923">
        <v>71.83</v>
      </c>
      <c r="C7923">
        <v>72.61</v>
      </c>
      <c r="D7923">
        <v>71.83</v>
      </c>
      <c r="E7923">
        <v>72.58</v>
      </c>
      <c r="F7923">
        <v>3433900</v>
      </c>
      <c r="G7923">
        <v>70.599999999999994</v>
      </c>
      <c r="H7923" t="s">
        <v>18</v>
      </c>
      <c r="I7923" s="22">
        <f t="shared" si="247"/>
        <v>8.3920555100900126E-3</v>
      </c>
      <c r="J7923" s="22" t="str">
        <f t="shared" si="248"/>
        <v/>
      </c>
    </row>
    <row r="7924" spans="1:10">
      <c r="A7924" s="1">
        <v>41240</v>
      </c>
      <c r="B7924">
        <v>72.67</v>
      </c>
      <c r="C7924">
        <v>72.849999999999994</v>
      </c>
      <c r="D7924">
        <v>72.11</v>
      </c>
      <c r="E7924">
        <v>72.16</v>
      </c>
      <c r="F7924">
        <v>2355900</v>
      </c>
      <c r="G7924">
        <v>70.19</v>
      </c>
      <c r="H7924" t="s">
        <v>18</v>
      </c>
      <c r="I7924" s="22">
        <f t="shared" si="247"/>
        <v>-5.8242937568662315E-3</v>
      </c>
      <c r="J7924" s="22" t="str">
        <f t="shared" si="248"/>
        <v>lost money</v>
      </c>
    </row>
    <row r="7925" spans="1:10">
      <c r="A7925" s="1">
        <v>41241</v>
      </c>
      <c r="B7925">
        <v>72.02</v>
      </c>
      <c r="C7925">
        <v>72.739999999999995</v>
      </c>
      <c r="D7925">
        <v>71.760000000000005</v>
      </c>
      <c r="E7925">
        <v>72.709999999999994</v>
      </c>
      <c r="F7925">
        <v>2523200</v>
      </c>
      <c r="G7925">
        <v>70.72</v>
      </c>
      <c r="H7925" t="s">
        <v>18</v>
      </c>
      <c r="I7925" s="22">
        <f t="shared" si="247"/>
        <v>7.5225675870578095E-3</v>
      </c>
      <c r="J7925" s="22" t="str">
        <f t="shared" si="248"/>
        <v/>
      </c>
    </row>
    <row r="7926" spans="1:10">
      <c r="A7926" s="1">
        <v>41242</v>
      </c>
      <c r="B7926">
        <v>73</v>
      </c>
      <c r="C7926">
        <v>73.83</v>
      </c>
      <c r="D7926">
        <v>72.97</v>
      </c>
      <c r="E7926">
        <v>73.56</v>
      </c>
      <c r="F7926">
        <v>4449100</v>
      </c>
      <c r="G7926">
        <v>71.55</v>
      </c>
      <c r="H7926" t="s">
        <v>18</v>
      </c>
      <c r="I7926" s="22">
        <f t="shared" si="247"/>
        <v>1.1668087673071988E-2</v>
      </c>
      <c r="J7926" s="22" t="str">
        <f t="shared" si="248"/>
        <v/>
      </c>
    </row>
    <row r="7927" spans="1:10">
      <c r="A7927" s="1">
        <v>41243</v>
      </c>
      <c r="B7927">
        <v>73.45</v>
      </c>
      <c r="C7927">
        <v>73.5</v>
      </c>
      <c r="D7927">
        <v>72.69</v>
      </c>
      <c r="E7927">
        <v>73.11</v>
      </c>
      <c r="F7927">
        <v>3520000</v>
      </c>
      <c r="G7927">
        <v>71.11</v>
      </c>
      <c r="H7927" t="s">
        <v>18</v>
      </c>
      <c r="I7927" s="22">
        <f t="shared" si="247"/>
        <v>-6.1685321070333527E-3</v>
      </c>
      <c r="J7927" s="22" t="str">
        <f t="shared" si="248"/>
        <v>lost money</v>
      </c>
    </row>
    <row r="7928" spans="1:10">
      <c r="A7928" s="1">
        <v>41246</v>
      </c>
      <c r="B7928">
        <v>73.5</v>
      </c>
      <c r="C7928">
        <v>73.5</v>
      </c>
      <c r="D7928">
        <v>72.2</v>
      </c>
      <c r="E7928">
        <v>72.27</v>
      </c>
      <c r="F7928">
        <v>2703800</v>
      </c>
      <c r="G7928">
        <v>70.3</v>
      </c>
      <c r="H7928" t="s">
        <v>18</v>
      </c>
      <c r="I7928" s="22">
        <f t="shared" si="247"/>
        <v>-1.1456175078807349E-2</v>
      </c>
      <c r="J7928" s="22" t="str">
        <f t="shared" si="248"/>
        <v>lost money</v>
      </c>
    </row>
    <row r="7929" spans="1:10">
      <c r="A7929" s="1">
        <v>41247</v>
      </c>
      <c r="B7929">
        <v>72.27</v>
      </c>
      <c r="C7929">
        <v>73.37</v>
      </c>
      <c r="D7929">
        <v>71.959999999999994</v>
      </c>
      <c r="E7929">
        <v>73.040000000000006</v>
      </c>
      <c r="F7929">
        <v>3832800</v>
      </c>
      <c r="G7929">
        <v>71.05</v>
      </c>
      <c r="H7929" t="s">
        <v>18</v>
      </c>
      <c r="I7929" s="22">
        <f t="shared" si="247"/>
        <v>1.0612055726490386E-2</v>
      </c>
      <c r="J7929" s="22" t="str">
        <f t="shared" si="248"/>
        <v/>
      </c>
    </row>
    <row r="7930" spans="1:10">
      <c r="A7930" s="1">
        <v>41248</v>
      </c>
      <c r="B7930">
        <v>73.150000000000006</v>
      </c>
      <c r="C7930">
        <v>73.680000000000007</v>
      </c>
      <c r="D7930">
        <v>72.69</v>
      </c>
      <c r="E7930">
        <v>73.5</v>
      </c>
      <c r="F7930">
        <v>3216100</v>
      </c>
      <c r="G7930">
        <v>71.489999999999995</v>
      </c>
      <c r="H7930" t="s">
        <v>18</v>
      </c>
      <c r="I7930" s="22">
        <f t="shared" si="247"/>
        <v>6.1737252356507694E-3</v>
      </c>
      <c r="J7930" s="22" t="str">
        <f t="shared" si="248"/>
        <v/>
      </c>
    </row>
    <row r="7931" spans="1:10">
      <c r="A7931" s="1">
        <v>41249</v>
      </c>
      <c r="B7931">
        <v>73.75</v>
      </c>
      <c r="C7931">
        <v>73.83</v>
      </c>
      <c r="D7931">
        <v>72.64</v>
      </c>
      <c r="E7931">
        <v>72.930000000000007</v>
      </c>
      <c r="F7931">
        <v>4269300</v>
      </c>
      <c r="G7931">
        <v>70.94</v>
      </c>
      <c r="H7931" t="s">
        <v>18</v>
      </c>
      <c r="I7931" s="22">
        <f t="shared" si="247"/>
        <v>-7.7231304332846867E-3</v>
      </c>
      <c r="J7931" s="22" t="str">
        <f t="shared" si="248"/>
        <v>lost money</v>
      </c>
    </row>
    <row r="7932" spans="1:10">
      <c r="A7932" s="1">
        <v>41250</v>
      </c>
      <c r="B7932">
        <v>73.09</v>
      </c>
      <c r="C7932">
        <v>73.48</v>
      </c>
      <c r="D7932">
        <v>72.75</v>
      </c>
      <c r="E7932">
        <v>73.17</v>
      </c>
      <c r="F7932">
        <v>4098100</v>
      </c>
      <c r="G7932">
        <v>71.17</v>
      </c>
      <c r="H7932" t="s">
        <v>18</v>
      </c>
      <c r="I7932" s="22">
        <f t="shared" si="247"/>
        <v>3.2369319657041089E-3</v>
      </c>
      <c r="J7932" s="22" t="str">
        <f t="shared" si="248"/>
        <v/>
      </c>
    </row>
    <row r="7933" spans="1:10">
      <c r="A7933" s="1">
        <v>41253</v>
      </c>
      <c r="B7933">
        <v>73.12</v>
      </c>
      <c r="C7933">
        <v>73.95</v>
      </c>
      <c r="D7933">
        <v>73.09</v>
      </c>
      <c r="E7933">
        <v>73.680000000000007</v>
      </c>
      <c r="F7933">
        <v>3018600</v>
      </c>
      <c r="G7933">
        <v>71.67</v>
      </c>
      <c r="H7933" t="s">
        <v>18</v>
      </c>
      <c r="I7933" s="22">
        <f t="shared" si="247"/>
        <v>7.0008686946480886E-3</v>
      </c>
      <c r="J7933" s="22" t="str">
        <f t="shared" si="248"/>
        <v/>
      </c>
    </row>
    <row r="7934" spans="1:10">
      <c r="A7934" s="1">
        <v>41254</v>
      </c>
      <c r="B7934">
        <v>73.73</v>
      </c>
      <c r="C7934">
        <v>74.260000000000005</v>
      </c>
      <c r="D7934">
        <v>73.34</v>
      </c>
      <c r="E7934">
        <v>73.760000000000005</v>
      </c>
      <c r="F7934">
        <v>3021900</v>
      </c>
      <c r="G7934">
        <v>71.75</v>
      </c>
      <c r="H7934" t="s">
        <v>18</v>
      </c>
      <c r="I7934" s="22">
        <f t="shared" si="247"/>
        <v>1.1156046339025241E-3</v>
      </c>
      <c r="J7934" s="22" t="str">
        <f t="shared" si="248"/>
        <v/>
      </c>
    </row>
    <row r="7935" spans="1:10">
      <c r="A7935" s="1">
        <v>41255</v>
      </c>
      <c r="B7935">
        <v>73.87</v>
      </c>
      <c r="C7935">
        <v>74.05</v>
      </c>
      <c r="D7935">
        <v>73.33</v>
      </c>
      <c r="E7935">
        <v>73.430000000000007</v>
      </c>
      <c r="F7935">
        <v>2749500</v>
      </c>
      <c r="G7935">
        <v>71.430000000000007</v>
      </c>
      <c r="H7935" t="s">
        <v>18</v>
      </c>
      <c r="I7935" s="22">
        <f t="shared" si="247"/>
        <v>-4.4699054728492464E-3</v>
      </c>
      <c r="J7935" s="22" t="str">
        <f t="shared" si="248"/>
        <v>lost money</v>
      </c>
    </row>
    <row r="7936" spans="1:10">
      <c r="A7936" s="1">
        <v>41256</v>
      </c>
      <c r="B7936">
        <v>73.5</v>
      </c>
      <c r="C7936">
        <v>73.84</v>
      </c>
      <c r="D7936">
        <v>73.02</v>
      </c>
      <c r="E7936">
        <v>73.349999999999994</v>
      </c>
      <c r="F7936">
        <v>2753300</v>
      </c>
      <c r="G7936">
        <v>71.349999999999994</v>
      </c>
      <c r="H7936" t="s">
        <v>18</v>
      </c>
      <c r="I7936" s="22">
        <f t="shared" si="247"/>
        <v>-1.1206052440358198E-3</v>
      </c>
      <c r="J7936" s="22" t="str">
        <f t="shared" si="248"/>
        <v>lost money</v>
      </c>
    </row>
    <row r="7937" spans="1:10">
      <c r="A7937" s="1">
        <v>41257</v>
      </c>
      <c r="B7937">
        <v>73.239999999999995</v>
      </c>
      <c r="C7937">
        <v>73.56</v>
      </c>
      <c r="D7937">
        <v>72.72</v>
      </c>
      <c r="E7937">
        <v>72.849999999999994</v>
      </c>
      <c r="F7937">
        <v>2874800</v>
      </c>
      <c r="G7937">
        <v>70.86</v>
      </c>
      <c r="H7937" t="s">
        <v>18</v>
      </c>
      <c r="I7937" s="22">
        <f t="shared" si="247"/>
        <v>-6.8912444855193898E-3</v>
      </c>
      <c r="J7937" s="22" t="str">
        <f t="shared" si="248"/>
        <v>lost money</v>
      </c>
    </row>
    <row r="7938" spans="1:10">
      <c r="A7938" s="1">
        <v>41260</v>
      </c>
      <c r="B7938">
        <v>73.150000000000006</v>
      </c>
      <c r="C7938">
        <v>73.400000000000006</v>
      </c>
      <c r="D7938">
        <v>72.959999999999994</v>
      </c>
      <c r="E7938">
        <v>73.36</v>
      </c>
      <c r="F7938">
        <v>2950300</v>
      </c>
      <c r="G7938">
        <v>71.36</v>
      </c>
      <c r="H7938" t="s">
        <v>18</v>
      </c>
      <c r="I7938" s="22">
        <f t="shared" si="247"/>
        <v>7.0313888344279551E-3</v>
      </c>
      <c r="J7938" s="22" t="str">
        <f t="shared" si="248"/>
        <v/>
      </c>
    </row>
    <row r="7939" spans="1:10">
      <c r="A7939" s="1">
        <v>41261</v>
      </c>
      <c r="B7939">
        <v>73.31</v>
      </c>
      <c r="C7939">
        <v>75.06</v>
      </c>
      <c r="D7939">
        <v>73</v>
      </c>
      <c r="E7939">
        <v>75.05</v>
      </c>
      <c r="F7939">
        <v>6385800</v>
      </c>
      <c r="G7939">
        <v>73</v>
      </c>
      <c r="H7939" t="s">
        <v>18</v>
      </c>
      <c r="I7939" s="22">
        <f t="shared" ref="I7939:I8002" si="249">IF(A7939=$A$2,"",LN(G7939/G7938))</f>
        <v>2.2721952876637176E-2</v>
      </c>
      <c r="J7939" s="22" t="str">
        <f t="shared" ref="J7939:J8002" si="250">IF(B7939&gt;E7939,"lost money","")</f>
        <v/>
      </c>
    </row>
    <row r="7940" spans="1:10">
      <c r="A7940" s="1">
        <v>41262</v>
      </c>
      <c r="B7940">
        <v>75.319999999999993</v>
      </c>
      <c r="C7940">
        <v>76.2</v>
      </c>
      <c r="D7940">
        <v>75.11</v>
      </c>
      <c r="E7940">
        <v>75.61</v>
      </c>
      <c r="F7940">
        <v>6184000</v>
      </c>
      <c r="G7940">
        <v>73.55</v>
      </c>
      <c r="H7940" t="s">
        <v>18</v>
      </c>
      <c r="I7940" s="22">
        <f t="shared" si="249"/>
        <v>7.5060058990554478E-3</v>
      </c>
      <c r="J7940" s="22" t="str">
        <f t="shared" si="250"/>
        <v/>
      </c>
    </row>
    <row r="7941" spans="1:10">
      <c r="A7941" s="1">
        <v>41263</v>
      </c>
      <c r="B7941">
        <v>75.400000000000006</v>
      </c>
      <c r="C7941">
        <v>75.56</v>
      </c>
      <c r="D7941">
        <v>74.64</v>
      </c>
      <c r="E7941">
        <v>75.13</v>
      </c>
      <c r="F7941">
        <v>3631700</v>
      </c>
      <c r="G7941">
        <v>73.08</v>
      </c>
      <c r="H7941" t="s">
        <v>18</v>
      </c>
      <c r="I7941" s="22">
        <f t="shared" si="249"/>
        <v>-6.4107155376405892E-3</v>
      </c>
      <c r="J7941" s="22" t="str">
        <f t="shared" si="250"/>
        <v>lost money</v>
      </c>
    </row>
    <row r="7942" spans="1:10">
      <c r="A7942" s="1">
        <v>41264</v>
      </c>
      <c r="B7942">
        <v>74.599999999999994</v>
      </c>
      <c r="C7942">
        <v>75.05</v>
      </c>
      <c r="D7942">
        <v>74.28</v>
      </c>
      <c r="E7942">
        <v>74.84</v>
      </c>
      <c r="F7942">
        <v>5567400</v>
      </c>
      <c r="G7942">
        <v>72.8</v>
      </c>
      <c r="H7942" t="s">
        <v>18</v>
      </c>
      <c r="I7942" s="22">
        <f t="shared" si="249"/>
        <v>-3.8387763071657129E-3</v>
      </c>
      <c r="J7942" s="22" t="str">
        <f t="shared" si="250"/>
        <v/>
      </c>
    </row>
    <row r="7943" spans="1:10">
      <c r="A7943" s="1">
        <v>41267</v>
      </c>
      <c r="B7943">
        <v>74.739999999999995</v>
      </c>
      <c r="C7943">
        <v>74.930000000000007</v>
      </c>
      <c r="D7943">
        <v>74.39</v>
      </c>
      <c r="E7943">
        <v>74.64</v>
      </c>
      <c r="F7943">
        <v>1451400</v>
      </c>
      <c r="G7943">
        <v>72.599999999999994</v>
      </c>
      <c r="H7943" t="s">
        <v>18</v>
      </c>
      <c r="I7943" s="22">
        <f t="shared" si="249"/>
        <v>-2.7510333718898708E-3</v>
      </c>
      <c r="J7943" s="22" t="str">
        <f t="shared" si="250"/>
        <v>lost money</v>
      </c>
    </row>
    <row r="7944" spans="1:10">
      <c r="A7944" s="1">
        <v>41269</v>
      </c>
      <c r="B7944">
        <v>74.650000000000006</v>
      </c>
      <c r="C7944">
        <v>74.84</v>
      </c>
      <c r="D7944">
        <v>74.05</v>
      </c>
      <c r="E7944">
        <v>74.260000000000005</v>
      </c>
      <c r="F7944">
        <v>1917000</v>
      </c>
      <c r="G7944">
        <v>72.23</v>
      </c>
      <c r="H7944" t="s">
        <v>18</v>
      </c>
      <c r="I7944" s="22">
        <f t="shared" si="249"/>
        <v>-5.1094497679948069E-3</v>
      </c>
      <c r="J7944" s="22" t="str">
        <f t="shared" si="250"/>
        <v>lost money</v>
      </c>
    </row>
    <row r="7945" spans="1:10">
      <c r="A7945" s="1">
        <v>41270</v>
      </c>
      <c r="B7945">
        <v>74.16</v>
      </c>
      <c r="C7945">
        <v>74.31</v>
      </c>
      <c r="D7945">
        <v>73.2</v>
      </c>
      <c r="E7945">
        <v>73.91</v>
      </c>
      <c r="F7945">
        <v>3355100</v>
      </c>
      <c r="G7945">
        <v>71.89</v>
      </c>
      <c r="H7945" t="s">
        <v>18</v>
      </c>
      <c r="I7945" s="22">
        <f t="shared" si="249"/>
        <v>-4.7182990669752851E-3</v>
      </c>
      <c r="J7945" s="22" t="str">
        <f t="shared" si="250"/>
        <v>lost money</v>
      </c>
    </row>
    <row r="7946" spans="1:10">
      <c r="A7946" s="1">
        <v>41271</v>
      </c>
      <c r="B7946">
        <v>73.55</v>
      </c>
      <c r="C7946">
        <v>73.95</v>
      </c>
      <c r="D7946">
        <v>72.81</v>
      </c>
      <c r="E7946">
        <v>72.83</v>
      </c>
      <c r="F7946">
        <v>2599500</v>
      </c>
      <c r="G7946">
        <v>70.84</v>
      </c>
      <c r="H7946" t="s">
        <v>18</v>
      </c>
      <c r="I7946" s="22">
        <f t="shared" si="249"/>
        <v>-1.4713360081147308E-2</v>
      </c>
      <c r="J7946" s="22" t="str">
        <f t="shared" si="250"/>
        <v>lost money</v>
      </c>
    </row>
    <row r="7947" spans="1:10">
      <c r="A7947" s="1">
        <v>41274</v>
      </c>
      <c r="B7947">
        <v>72.8</v>
      </c>
      <c r="C7947">
        <v>73.83</v>
      </c>
      <c r="D7947">
        <v>72.58</v>
      </c>
      <c r="E7947">
        <v>73.73</v>
      </c>
      <c r="F7947">
        <v>4700000</v>
      </c>
      <c r="G7947">
        <v>71.72</v>
      </c>
      <c r="H7947" t="s">
        <v>18</v>
      </c>
      <c r="I7947" s="22">
        <f t="shared" si="249"/>
        <v>1.2345835822299362E-2</v>
      </c>
      <c r="J7947" s="22" t="str">
        <f t="shared" si="250"/>
        <v/>
      </c>
    </row>
    <row r="7948" spans="1:10">
      <c r="A7948" s="1">
        <v>41276</v>
      </c>
      <c r="B7948">
        <v>75.09</v>
      </c>
      <c r="C7948">
        <v>76.31</v>
      </c>
      <c r="D7948">
        <v>75.02</v>
      </c>
      <c r="E7948">
        <v>76.31</v>
      </c>
      <c r="F7948">
        <v>4810800</v>
      </c>
      <c r="G7948">
        <v>74.23</v>
      </c>
      <c r="H7948" t="s">
        <v>18</v>
      </c>
      <c r="I7948" s="22">
        <f t="shared" si="249"/>
        <v>3.4398732392523584E-2</v>
      </c>
      <c r="J7948" s="22" t="str">
        <f t="shared" si="250"/>
        <v/>
      </c>
    </row>
    <row r="7949" spans="1:10">
      <c r="A7949" s="1">
        <v>41277</v>
      </c>
      <c r="B7949">
        <v>76.25</v>
      </c>
      <c r="C7949">
        <v>76.52</v>
      </c>
      <c r="D7949">
        <v>75.98</v>
      </c>
      <c r="E7949">
        <v>76.38</v>
      </c>
      <c r="F7949">
        <v>4528900</v>
      </c>
      <c r="G7949">
        <v>74.290000000000006</v>
      </c>
      <c r="H7949" t="s">
        <v>18</v>
      </c>
      <c r="I7949" s="22">
        <f t="shared" si="249"/>
        <v>8.0797203425920041E-4</v>
      </c>
      <c r="J7949" s="22" t="str">
        <f t="shared" si="250"/>
        <v/>
      </c>
    </row>
    <row r="7950" spans="1:10">
      <c r="A7950" s="1">
        <v>41278</v>
      </c>
      <c r="B7950">
        <v>76.510000000000005</v>
      </c>
      <c r="C7950">
        <v>76.959999999999994</v>
      </c>
      <c r="D7950">
        <v>76.41</v>
      </c>
      <c r="E7950">
        <v>76.569999999999993</v>
      </c>
      <c r="F7950">
        <v>2632000</v>
      </c>
      <c r="G7950">
        <v>74.48</v>
      </c>
      <c r="H7950" t="s">
        <v>18</v>
      </c>
      <c r="I7950" s="22">
        <f t="shared" si="249"/>
        <v>2.5542798050967007E-3</v>
      </c>
      <c r="J7950" s="22" t="str">
        <f t="shared" si="250"/>
        <v/>
      </c>
    </row>
    <row r="7951" spans="1:10">
      <c r="A7951" s="1">
        <v>41281</v>
      </c>
      <c r="B7951">
        <v>76.45</v>
      </c>
      <c r="C7951">
        <v>76.7</v>
      </c>
      <c r="D7951">
        <v>76.22</v>
      </c>
      <c r="E7951">
        <v>76.349999999999994</v>
      </c>
      <c r="F7951">
        <v>2955900</v>
      </c>
      <c r="G7951">
        <v>74.27</v>
      </c>
      <c r="H7951" t="s">
        <v>18</v>
      </c>
      <c r="I7951" s="22">
        <f t="shared" si="249"/>
        <v>-2.8235312876067182E-3</v>
      </c>
      <c r="J7951" s="22" t="str">
        <f t="shared" si="250"/>
        <v>lost money</v>
      </c>
    </row>
    <row r="7952" spans="1:10">
      <c r="A7952" s="1">
        <v>41282</v>
      </c>
      <c r="B7952">
        <v>76.16</v>
      </c>
      <c r="C7952">
        <v>76.430000000000007</v>
      </c>
      <c r="D7952">
        <v>75.81</v>
      </c>
      <c r="E7952">
        <v>76.14</v>
      </c>
      <c r="F7952">
        <v>2653300</v>
      </c>
      <c r="G7952">
        <v>74.06</v>
      </c>
      <c r="H7952" t="s">
        <v>18</v>
      </c>
      <c r="I7952" s="22">
        <f t="shared" si="249"/>
        <v>-2.8315261957383405E-3</v>
      </c>
      <c r="J7952" s="22" t="str">
        <f t="shared" si="250"/>
        <v>lost money</v>
      </c>
    </row>
    <row r="7953" spans="1:10">
      <c r="A7953" s="1">
        <v>41283</v>
      </c>
      <c r="B7953">
        <v>76.3</v>
      </c>
      <c r="C7953">
        <v>77.099999999999994</v>
      </c>
      <c r="D7953">
        <v>76.25</v>
      </c>
      <c r="E7953">
        <v>77</v>
      </c>
      <c r="F7953">
        <v>3123900</v>
      </c>
      <c r="G7953">
        <v>74.900000000000006</v>
      </c>
      <c r="H7953" t="s">
        <v>18</v>
      </c>
      <c r="I7953" s="22">
        <f t="shared" si="249"/>
        <v>1.1278315037707274E-2</v>
      </c>
      <c r="J7953" s="22" t="str">
        <f t="shared" si="250"/>
        <v/>
      </c>
    </row>
    <row r="7954" spans="1:10">
      <c r="A7954" s="1">
        <v>41284</v>
      </c>
      <c r="B7954">
        <v>77.16</v>
      </c>
      <c r="C7954">
        <v>78.22</v>
      </c>
      <c r="D7954">
        <v>77</v>
      </c>
      <c r="E7954">
        <v>78.2</v>
      </c>
      <c r="F7954">
        <v>4761000</v>
      </c>
      <c r="G7954">
        <v>76.06</v>
      </c>
      <c r="H7954" t="s">
        <v>18</v>
      </c>
      <c r="I7954" s="22">
        <f t="shared" si="249"/>
        <v>1.5368611976939768E-2</v>
      </c>
      <c r="J7954" s="22" t="str">
        <f t="shared" si="250"/>
        <v/>
      </c>
    </row>
    <row r="7955" spans="1:10">
      <c r="A7955" s="1">
        <v>41285</v>
      </c>
      <c r="B7955">
        <v>78.36</v>
      </c>
      <c r="C7955">
        <v>78.430000000000007</v>
      </c>
      <c r="D7955">
        <v>77.77</v>
      </c>
      <c r="E7955">
        <v>77.92</v>
      </c>
      <c r="F7955">
        <v>2323800</v>
      </c>
      <c r="G7955">
        <v>75.790000000000006</v>
      </c>
      <c r="H7955" t="s">
        <v>18</v>
      </c>
      <c r="I7955" s="22">
        <f t="shared" si="249"/>
        <v>-3.5561446761757979E-3</v>
      </c>
      <c r="J7955" s="22" t="str">
        <f t="shared" si="250"/>
        <v>lost money</v>
      </c>
    </row>
    <row r="7956" spans="1:10">
      <c r="A7956" s="1">
        <v>41288</v>
      </c>
      <c r="B7956">
        <v>78.66</v>
      </c>
      <c r="C7956">
        <v>79.819999999999993</v>
      </c>
      <c r="D7956">
        <v>78.540000000000006</v>
      </c>
      <c r="E7956">
        <v>79.239999999999995</v>
      </c>
      <c r="F7956">
        <v>7255400</v>
      </c>
      <c r="G7956">
        <v>77.08</v>
      </c>
      <c r="H7956" t="s">
        <v>18</v>
      </c>
      <c r="I7956" s="22">
        <f t="shared" si="249"/>
        <v>1.6877485722227775E-2</v>
      </c>
      <c r="J7956" s="22" t="str">
        <f t="shared" si="250"/>
        <v/>
      </c>
    </row>
    <row r="7957" spans="1:10">
      <c r="A7957" s="1">
        <v>41289</v>
      </c>
      <c r="B7957">
        <v>78.739999999999995</v>
      </c>
      <c r="C7957">
        <v>79.400000000000006</v>
      </c>
      <c r="D7957">
        <v>78.58</v>
      </c>
      <c r="E7957">
        <v>79.33</v>
      </c>
      <c r="F7957">
        <v>3562200</v>
      </c>
      <c r="G7957">
        <v>77.16</v>
      </c>
      <c r="H7957" t="s">
        <v>18</v>
      </c>
      <c r="I7957" s="22">
        <f t="shared" si="249"/>
        <v>1.0373444913627219E-3</v>
      </c>
      <c r="J7957" s="22" t="str">
        <f t="shared" si="250"/>
        <v/>
      </c>
    </row>
    <row r="7958" spans="1:10">
      <c r="A7958" s="1">
        <v>41290</v>
      </c>
      <c r="B7958">
        <v>79.05</v>
      </c>
      <c r="C7958">
        <v>79.709999999999994</v>
      </c>
      <c r="D7958">
        <v>79</v>
      </c>
      <c r="E7958">
        <v>79.66</v>
      </c>
      <c r="F7958">
        <v>3018700</v>
      </c>
      <c r="G7958">
        <v>77.48</v>
      </c>
      <c r="H7958" t="s">
        <v>18</v>
      </c>
      <c r="I7958" s="22">
        <f t="shared" si="249"/>
        <v>4.1386505012668984E-3</v>
      </c>
      <c r="J7958" s="22" t="str">
        <f t="shared" si="250"/>
        <v/>
      </c>
    </row>
    <row r="7959" spans="1:10">
      <c r="A7959" s="1">
        <v>41291</v>
      </c>
      <c r="B7959">
        <v>79.81</v>
      </c>
      <c r="C7959">
        <v>80.05</v>
      </c>
      <c r="D7959">
        <v>79.599999999999994</v>
      </c>
      <c r="E7959">
        <v>79.790000000000006</v>
      </c>
      <c r="F7959">
        <v>3076500</v>
      </c>
      <c r="G7959">
        <v>77.61</v>
      </c>
      <c r="H7959" t="s">
        <v>18</v>
      </c>
      <c r="I7959" s="22">
        <f t="shared" si="249"/>
        <v>1.6764463272523522E-3</v>
      </c>
      <c r="J7959" s="22" t="str">
        <f t="shared" si="250"/>
        <v>lost money</v>
      </c>
    </row>
    <row r="7960" spans="1:10">
      <c r="A7960" s="1">
        <v>41292</v>
      </c>
      <c r="B7960">
        <v>79.95</v>
      </c>
      <c r="C7960">
        <v>80.31</v>
      </c>
      <c r="D7960">
        <v>79.31</v>
      </c>
      <c r="E7960">
        <v>80.25</v>
      </c>
      <c r="F7960">
        <v>5850000</v>
      </c>
      <c r="G7960">
        <v>78.06</v>
      </c>
      <c r="H7960" t="s">
        <v>18</v>
      </c>
      <c r="I7960" s="22">
        <f t="shared" si="249"/>
        <v>5.7814768864214525E-3</v>
      </c>
      <c r="J7960" s="22" t="str">
        <f t="shared" si="250"/>
        <v/>
      </c>
    </row>
    <row r="7961" spans="1:10">
      <c r="A7961" s="1">
        <v>41296</v>
      </c>
      <c r="B7961">
        <v>79.95</v>
      </c>
      <c r="C7961">
        <v>80.69</v>
      </c>
      <c r="D7961">
        <v>79.900000000000006</v>
      </c>
      <c r="E7961">
        <v>80.680000000000007</v>
      </c>
      <c r="F7961">
        <v>3310000</v>
      </c>
      <c r="G7961">
        <v>78.48</v>
      </c>
      <c r="H7961" t="s">
        <v>18</v>
      </c>
      <c r="I7961" s="22">
        <f t="shared" si="249"/>
        <v>5.3660535046388264E-3</v>
      </c>
      <c r="J7961" s="22" t="str">
        <f t="shared" si="250"/>
        <v/>
      </c>
    </row>
    <row r="7962" spans="1:10">
      <c r="A7962" s="1">
        <v>41297</v>
      </c>
      <c r="B7962">
        <v>80.36</v>
      </c>
      <c r="C7962">
        <v>80.88</v>
      </c>
      <c r="D7962">
        <v>80.22</v>
      </c>
      <c r="E7962">
        <v>80.34</v>
      </c>
      <c r="F7962">
        <v>3029500</v>
      </c>
      <c r="G7962">
        <v>78.150000000000006</v>
      </c>
      <c r="H7962" t="s">
        <v>18</v>
      </c>
      <c r="I7962" s="22">
        <f t="shared" si="249"/>
        <v>-4.2137583896220115E-3</v>
      </c>
      <c r="J7962" s="22" t="str">
        <f t="shared" si="250"/>
        <v>lost money</v>
      </c>
    </row>
    <row r="7963" spans="1:10">
      <c r="A7963" s="1">
        <v>41298</v>
      </c>
      <c r="B7963">
        <v>80.959999999999994</v>
      </c>
      <c r="C7963">
        <v>82.49</v>
      </c>
      <c r="D7963">
        <v>80.8</v>
      </c>
      <c r="E7963">
        <v>82.14</v>
      </c>
      <c r="F7963">
        <v>6434300</v>
      </c>
      <c r="G7963">
        <v>79.900000000000006</v>
      </c>
      <c r="H7963" t="s">
        <v>18</v>
      </c>
      <c r="I7963" s="22">
        <f t="shared" si="249"/>
        <v>2.2145795904743325E-2</v>
      </c>
      <c r="J7963" s="22" t="str">
        <f t="shared" si="250"/>
        <v/>
      </c>
    </row>
    <row r="7964" spans="1:10">
      <c r="A7964" s="1">
        <v>41299</v>
      </c>
      <c r="B7964">
        <v>82.39</v>
      </c>
      <c r="C7964">
        <v>82.76</v>
      </c>
      <c r="D7964">
        <v>81.84</v>
      </c>
      <c r="E7964">
        <v>82.45</v>
      </c>
      <c r="F7964">
        <v>4211300</v>
      </c>
      <c r="G7964">
        <v>80.2</v>
      </c>
      <c r="H7964" t="s">
        <v>18</v>
      </c>
      <c r="I7964" s="22">
        <f t="shared" si="249"/>
        <v>3.7476621002397489E-3</v>
      </c>
      <c r="J7964" s="22" t="str">
        <f t="shared" si="250"/>
        <v/>
      </c>
    </row>
    <row r="7965" spans="1:10">
      <c r="A7965" s="1">
        <v>41302</v>
      </c>
      <c r="B7965">
        <v>82.62</v>
      </c>
      <c r="C7965">
        <v>82.75</v>
      </c>
      <c r="D7965">
        <v>81.86</v>
      </c>
      <c r="E7965">
        <v>82.51</v>
      </c>
      <c r="F7965">
        <v>3083800</v>
      </c>
      <c r="G7965">
        <v>80.260000000000005</v>
      </c>
      <c r="H7965" t="s">
        <v>18</v>
      </c>
      <c r="I7965" s="22">
        <f t="shared" si="249"/>
        <v>7.4784996630188625E-4</v>
      </c>
      <c r="J7965" s="22" t="str">
        <f t="shared" si="250"/>
        <v>lost money</v>
      </c>
    </row>
    <row r="7966" spans="1:10">
      <c r="A7966" s="1">
        <v>41303</v>
      </c>
      <c r="B7966">
        <v>82.42</v>
      </c>
      <c r="C7966">
        <v>82.5</v>
      </c>
      <c r="D7966">
        <v>82.04</v>
      </c>
      <c r="E7966">
        <v>82.21</v>
      </c>
      <c r="F7966">
        <v>4021600</v>
      </c>
      <c r="G7966">
        <v>79.97</v>
      </c>
      <c r="H7966" t="s">
        <v>18</v>
      </c>
      <c r="I7966" s="22">
        <f t="shared" si="249"/>
        <v>-3.6198004949721902E-3</v>
      </c>
      <c r="J7966" s="22" t="str">
        <f t="shared" si="250"/>
        <v>lost money</v>
      </c>
    </row>
    <row r="7967" spans="1:10">
      <c r="A7967" s="1">
        <v>41304</v>
      </c>
      <c r="B7967">
        <v>81.94</v>
      </c>
      <c r="C7967">
        <v>82.17</v>
      </c>
      <c r="D7967">
        <v>81.2</v>
      </c>
      <c r="E7967">
        <v>81.23</v>
      </c>
      <c r="F7967">
        <v>3877000</v>
      </c>
      <c r="G7967">
        <v>79.010000000000005</v>
      </c>
      <c r="H7967" t="s">
        <v>18</v>
      </c>
      <c r="I7967" s="22">
        <f t="shared" si="249"/>
        <v>-1.2077137609156522E-2</v>
      </c>
      <c r="J7967" s="22" t="str">
        <f t="shared" si="250"/>
        <v>lost money</v>
      </c>
    </row>
    <row r="7968" spans="1:10">
      <c r="A7968" s="1">
        <v>41305</v>
      </c>
      <c r="B7968">
        <v>79.75</v>
      </c>
      <c r="C7968">
        <v>80.83</v>
      </c>
      <c r="D7968">
        <v>79.25</v>
      </c>
      <c r="E7968">
        <v>79.290000000000006</v>
      </c>
      <c r="F7968">
        <v>9502800</v>
      </c>
      <c r="G7968">
        <v>77.13</v>
      </c>
      <c r="H7968" t="s">
        <v>18</v>
      </c>
      <c r="I7968" s="22">
        <f t="shared" si="249"/>
        <v>-2.4082116788734228E-2</v>
      </c>
      <c r="J7968" s="22" t="str">
        <f t="shared" si="250"/>
        <v>lost money</v>
      </c>
    </row>
    <row r="7969" spans="1:10">
      <c r="A7969" s="1">
        <v>41306</v>
      </c>
      <c r="B7969">
        <v>79.2</v>
      </c>
      <c r="C7969">
        <v>80</v>
      </c>
      <c r="D7969">
        <v>79</v>
      </c>
      <c r="E7969">
        <v>79.97</v>
      </c>
      <c r="F7969">
        <v>5220500</v>
      </c>
      <c r="G7969">
        <v>77.790000000000006</v>
      </c>
      <c r="H7969" t="s">
        <v>18</v>
      </c>
      <c r="I7969" s="22">
        <f t="shared" si="249"/>
        <v>8.5205782727750014E-3</v>
      </c>
      <c r="J7969" s="22" t="str">
        <f t="shared" si="250"/>
        <v/>
      </c>
    </row>
    <row r="7970" spans="1:10">
      <c r="A7970" s="1">
        <v>41309</v>
      </c>
      <c r="B7970">
        <v>79.61</v>
      </c>
      <c r="C7970">
        <v>80.25</v>
      </c>
      <c r="D7970">
        <v>79.510000000000005</v>
      </c>
      <c r="E7970">
        <v>79.91</v>
      </c>
      <c r="F7970">
        <v>4074200</v>
      </c>
      <c r="G7970">
        <v>77.73</v>
      </c>
      <c r="H7970" t="s">
        <v>18</v>
      </c>
      <c r="I7970" s="22">
        <f t="shared" si="249"/>
        <v>-7.7160497655447558E-4</v>
      </c>
      <c r="J7970" s="22" t="str">
        <f t="shared" si="250"/>
        <v/>
      </c>
    </row>
    <row r="7971" spans="1:10">
      <c r="A7971" s="1">
        <v>41310</v>
      </c>
      <c r="B7971">
        <v>80.239999999999995</v>
      </c>
      <c r="C7971">
        <v>80.959999999999994</v>
      </c>
      <c r="D7971">
        <v>80.040000000000006</v>
      </c>
      <c r="E7971">
        <v>80.8</v>
      </c>
      <c r="F7971">
        <v>3394100</v>
      </c>
      <c r="G7971">
        <v>78.59</v>
      </c>
      <c r="H7971" t="s">
        <v>18</v>
      </c>
      <c r="I7971" s="22">
        <f t="shared" si="249"/>
        <v>1.1003181635955289E-2</v>
      </c>
      <c r="J7971" s="22" t="str">
        <f t="shared" si="250"/>
        <v/>
      </c>
    </row>
    <row r="7972" spans="1:10">
      <c r="A7972" s="1">
        <v>41311</v>
      </c>
      <c r="B7972">
        <v>80.42</v>
      </c>
      <c r="C7972">
        <v>80.959999999999994</v>
      </c>
      <c r="D7972">
        <v>80.28</v>
      </c>
      <c r="E7972">
        <v>80.91</v>
      </c>
      <c r="F7972">
        <v>3733500</v>
      </c>
      <c r="G7972">
        <v>78.7</v>
      </c>
      <c r="H7972" t="s">
        <v>18</v>
      </c>
      <c r="I7972" s="22">
        <f t="shared" si="249"/>
        <v>1.3986905452738885E-3</v>
      </c>
      <c r="J7972" s="22" t="str">
        <f t="shared" si="250"/>
        <v/>
      </c>
    </row>
    <row r="7973" spans="1:10">
      <c r="A7973" s="1">
        <v>41312</v>
      </c>
      <c r="B7973">
        <v>80.86</v>
      </c>
      <c r="C7973">
        <v>81.81</v>
      </c>
      <c r="D7973">
        <v>80.67</v>
      </c>
      <c r="E7973">
        <v>81.8</v>
      </c>
      <c r="F7973">
        <v>4602400</v>
      </c>
      <c r="G7973">
        <v>79.569999999999993</v>
      </c>
      <c r="H7973" t="s">
        <v>18</v>
      </c>
      <c r="I7973" s="22">
        <f t="shared" si="249"/>
        <v>1.0993981966085746E-2</v>
      </c>
      <c r="J7973" s="22" t="str">
        <f t="shared" si="250"/>
        <v/>
      </c>
    </row>
    <row r="7974" spans="1:10">
      <c r="A7974" s="1">
        <v>41313</v>
      </c>
      <c r="B7974">
        <v>81.75</v>
      </c>
      <c r="C7974">
        <v>82.46</v>
      </c>
      <c r="D7974">
        <v>81.66</v>
      </c>
      <c r="E7974">
        <v>82.38</v>
      </c>
      <c r="F7974">
        <v>3805400</v>
      </c>
      <c r="G7974">
        <v>80.13</v>
      </c>
      <c r="H7974" t="s">
        <v>18</v>
      </c>
      <c r="I7974" s="22">
        <f t="shared" si="249"/>
        <v>7.0131784005356794E-3</v>
      </c>
      <c r="J7974" s="22" t="str">
        <f t="shared" si="250"/>
        <v/>
      </c>
    </row>
    <row r="7975" spans="1:10">
      <c r="A7975" s="1">
        <v>41316</v>
      </c>
      <c r="B7975">
        <v>82.11</v>
      </c>
      <c r="C7975">
        <v>82.73</v>
      </c>
      <c r="D7975">
        <v>82.11</v>
      </c>
      <c r="E7975">
        <v>82.69</v>
      </c>
      <c r="F7975">
        <v>3063900</v>
      </c>
      <c r="G7975">
        <v>80.430000000000007</v>
      </c>
      <c r="H7975" t="s">
        <v>18</v>
      </c>
      <c r="I7975" s="22">
        <f t="shared" si="249"/>
        <v>3.7369251259985474E-3</v>
      </c>
      <c r="J7975" s="22" t="str">
        <f t="shared" si="250"/>
        <v/>
      </c>
    </row>
    <row r="7976" spans="1:10">
      <c r="A7976" s="1">
        <v>41317</v>
      </c>
      <c r="B7976">
        <v>83.07</v>
      </c>
      <c r="C7976">
        <v>83.08</v>
      </c>
      <c r="D7976">
        <v>82.23</v>
      </c>
      <c r="E7976">
        <v>82.31</v>
      </c>
      <c r="F7976">
        <v>3941800</v>
      </c>
      <c r="G7976">
        <v>80.06</v>
      </c>
      <c r="H7976" t="s">
        <v>18</v>
      </c>
      <c r="I7976" s="22">
        <f t="shared" si="249"/>
        <v>-4.6108873515501581E-3</v>
      </c>
      <c r="J7976" s="22" t="str">
        <f t="shared" si="250"/>
        <v>lost money</v>
      </c>
    </row>
    <row r="7977" spans="1:10">
      <c r="A7977" s="1">
        <v>41318</v>
      </c>
      <c r="B7977">
        <v>82.44</v>
      </c>
      <c r="C7977">
        <v>82.69</v>
      </c>
      <c r="D7977">
        <v>82.39</v>
      </c>
      <c r="E7977">
        <v>82.5</v>
      </c>
      <c r="F7977">
        <v>2926400</v>
      </c>
      <c r="G7977">
        <v>80.25</v>
      </c>
      <c r="H7977" t="s">
        <v>18</v>
      </c>
      <c r="I7977" s="22">
        <f t="shared" si="249"/>
        <v>2.3704084456976238E-3</v>
      </c>
      <c r="J7977" s="22" t="str">
        <f t="shared" si="250"/>
        <v/>
      </c>
    </row>
    <row r="7978" spans="1:10">
      <c r="A7978" s="1">
        <v>41319</v>
      </c>
      <c r="B7978">
        <v>82.19</v>
      </c>
      <c r="C7978">
        <v>82.83</v>
      </c>
      <c r="D7978">
        <v>81.89</v>
      </c>
      <c r="E7978">
        <v>82.69</v>
      </c>
      <c r="F7978">
        <v>3761400</v>
      </c>
      <c r="G7978">
        <v>80.430000000000007</v>
      </c>
      <c r="H7978" t="s">
        <v>18</v>
      </c>
      <c r="I7978" s="22">
        <f t="shared" si="249"/>
        <v>2.2404789058523993E-3</v>
      </c>
      <c r="J7978" s="22" t="str">
        <f t="shared" si="250"/>
        <v/>
      </c>
    </row>
    <row r="7979" spans="1:10">
      <c r="A7979" s="1">
        <v>41320</v>
      </c>
      <c r="B7979">
        <v>83.14</v>
      </c>
      <c r="C7979">
        <v>84.11</v>
      </c>
      <c r="D7979">
        <v>82.79</v>
      </c>
      <c r="E7979">
        <v>83.48</v>
      </c>
      <c r="F7979">
        <v>4983000</v>
      </c>
      <c r="G7979">
        <v>81.2</v>
      </c>
      <c r="H7979" t="s">
        <v>18</v>
      </c>
      <c r="I7979" s="22">
        <f t="shared" si="249"/>
        <v>9.5280062516545135E-3</v>
      </c>
      <c r="J7979" s="22" t="str">
        <f t="shared" si="250"/>
        <v/>
      </c>
    </row>
    <row r="7980" spans="1:10">
      <c r="A7980" s="1">
        <v>41324</v>
      </c>
      <c r="B7980">
        <v>83.5</v>
      </c>
      <c r="C7980">
        <v>84.87</v>
      </c>
      <c r="D7980">
        <v>83.48</v>
      </c>
      <c r="E7980">
        <v>84.76</v>
      </c>
      <c r="F7980">
        <v>5442400</v>
      </c>
      <c r="G7980">
        <v>82.45</v>
      </c>
      <c r="H7980" t="s">
        <v>18</v>
      </c>
      <c r="I7980" s="22">
        <f t="shared" si="249"/>
        <v>1.5276801837975746E-2</v>
      </c>
      <c r="J7980" s="22" t="str">
        <f t="shared" si="250"/>
        <v/>
      </c>
    </row>
    <row r="7981" spans="1:10">
      <c r="A7981" s="1">
        <v>41325</v>
      </c>
      <c r="B7981">
        <v>84.64</v>
      </c>
      <c r="C7981">
        <v>84.69</v>
      </c>
      <c r="D7981">
        <v>83.81</v>
      </c>
      <c r="E7981">
        <v>83.81</v>
      </c>
      <c r="F7981">
        <v>4456000</v>
      </c>
      <c r="G7981">
        <v>81.52</v>
      </c>
      <c r="H7981" t="s">
        <v>18</v>
      </c>
      <c r="I7981" s="22">
        <f t="shared" si="249"/>
        <v>-1.1343660091138607E-2</v>
      </c>
      <c r="J7981" s="22" t="str">
        <f t="shared" si="250"/>
        <v>lost money</v>
      </c>
    </row>
    <row r="7982" spans="1:10">
      <c r="A7982" s="1">
        <v>41326</v>
      </c>
      <c r="B7982">
        <v>82.87</v>
      </c>
      <c r="C7982">
        <v>83.14</v>
      </c>
      <c r="D7982">
        <v>82.27</v>
      </c>
      <c r="E7982">
        <v>82.61</v>
      </c>
      <c r="F7982">
        <v>5027400</v>
      </c>
      <c r="G7982">
        <v>80.95</v>
      </c>
      <c r="H7982" t="s">
        <v>18</v>
      </c>
      <c r="I7982" s="22">
        <f t="shared" si="249"/>
        <v>-7.0167087908251467E-3</v>
      </c>
      <c r="J7982" s="22" t="str">
        <f t="shared" si="250"/>
        <v>lost money</v>
      </c>
    </row>
    <row r="7983" spans="1:10">
      <c r="A7983" s="1">
        <v>41327</v>
      </c>
      <c r="B7983">
        <v>82.99</v>
      </c>
      <c r="C7983">
        <v>83.19</v>
      </c>
      <c r="D7983">
        <v>82.67</v>
      </c>
      <c r="E7983">
        <v>82.94</v>
      </c>
      <c r="F7983">
        <v>2394500</v>
      </c>
      <c r="G7983">
        <v>81.28</v>
      </c>
      <c r="H7983" t="s">
        <v>18</v>
      </c>
      <c r="I7983" s="22">
        <f t="shared" si="249"/>
        <v>4.0683037065277075E-3</v>
      </c>
      <c r="J7983" s="22" t="str">
        <f t="shared" si="250"/>
        <v>lost money</v>
      </c>
    </row>
    <row r="7984" spans="1:10">
      <c r="A7984" s="1">
        <v>41330</v>
      </c>
      <c r="B7984">
        <v>83.28</v>
      </c>
      <c r="C7984">
        <v>83.67</v>
      </c>
      <c r="D7984">
        <v>81.94</v>
      </c>
      <c r="E7984">
        <v>81.94</v>
      </c>
      <c r="F7984">
        <v>3996800</v>
      </c>
      <c r="G7984">
        <v>80.3</v>
      </c>
      <c r="H7984" t="s">
        <v>18</v>
      </c>
      <c r="I7984" s="22">
        <f t="shared" si="249"/>
        <v>-1.2130362877455806E-2</v>
      </c>
      <c r="J7984" s="22" t="str">
        <f t="shared" si="250"/>
        <v>lost money</v>
      </c>
    </row>
    <row r="7985" spans="1:10">
      <c r="A7985" s="1">
        <v>41331</v>
      </c>
      <c r="B7985">
        <v>82.33</v>
      </c>
      <c r="C7985">
        <v>82.51</v>
      </c>
      <c r="D7985">
        <v>81.510000000000005</v>
      </c>
      <c r="E7985">
        <v>81.94</v>
      </c>
      <c r="F7985">
        <v>3806400</v>
      </c>
      <c r="G7985">
        <v>80.3</v>
      </c>
      <c r="H7985" t="s">
        <v>18</v>
      </c>
      <c r="I7985" s="22">
        <f t="shared" si="249"/>
        <v>0</v>
      </c>
      <c r="J7985" s="22" t="str">
        <f t="shared" si="250"/>
        <v>lost money</v>
      </c>
    </row>
    <row r="7986" spans="1:10">
      <c r="A7986" s="1">
        <v>41332</v>
      </c>
      <c r="B7986">
        <v>81.84</v>
      </c>
      <c r="C7986">
        <v>83.09</v>
      </c>
      <c r="D7986">
        <v>81.78</v>
      </c>
      <c r="E7986">
        <v>82.83</v>
      </c>
      <c r="F7986">
        <v>4015400</v>
      </c>
      <c r="G7986">
        <v>81.17</v>
      </c>
      <c r="H7986" t="s">
        <v>18</v>
      </c>
      <c r="I7986" s="22">
        <f t="shared" si="249"/>
        <v>1.077609982036847E-2</v>
      </c>
      <c r="J7986" s="22" t="str">
        <f t="shared" si="250"/>
        <v/>
      </c>
    </row>
    <row r="7987" spans="1:10">
      <c r="A7987" s="1">
        <v>41333</v>
      </c>
      <c r="B7987">
        <v>82.99</v>
      </c>
      <c r="C7987">
        <v>83.2</v>
      </c>
      <c r="D7987">
        <v>82.65</v>
      </c>
      <c r="E7987">
        <v>82.65</v>
      </c>
      <c r="F7987">
        <v>3744700</v>
      </c>
      <c r="G7987">
        <v>80.989999999999995</v>
      </c>
      <c r="H7987" t="s">
        <v>18</v>
      </c>
      <c r="I7987" s="22">
        <f t="shared" si="249"/>
        <v>-2.2200305121858749E-3</v>
      </c>
      <c r="J7987" s="22" t="str">
        <f t="shared" si="250"/>
        <v>lost money</v>
      </c>
    </row>
    <row r="7988" spans="1:10">
      <c r="A7988" s="1">
        <v>41334</v>
      </c>
      <c r="B7988">
        <v>82.55</v>
      </c>
      <c r="C7988">
        <v>82.99</v>
      </c>
      <c r="D7988">
        <v>82.28</v>
      </c>
      <c r="E7988">
        <v>82.87</v>
      </c>
      <c r="F7988">
        <v>2722800</v>
      </c>
      <c r="G7988">
        <v>81.209999999999994</v>
      </c>
      <c r="H7988" t="s">
        <v>18</v>
      </c>
      <c r="I7988" s="22">
        <f t="shared" si="249"/>
        <v>2.7127020334210602E-3</v>
      </c>
      <c r="J7988" s="22" t="str">
        <f t="shared" si="250"/>
        <v/>
      </c>
    </row>
    <row r="7989" spans="1:10">
      <c r="A7989" s="1">
        <v>41337</v>
      </c>
      <c r="B7989">
        <v>82.85</v>
      </c>
      <c r="C7989">
        <v>82.95</v>
      </c>
      <c r="D7989">
        <v>82.4</v>
      </c>
      <c r="E7989">
        <v>82.93</v>
      </c>
      <c r="F7989">
        <v>2737600</v>
      </c>
      <c r="G7989">
        <v>81.27</v>
      </c>
      <c r="H7989" t="s">
        <v>18</v>
      </c>
      <c r="I7989" s="22">
        <f t="shared" si="249"/>
        <v>7.385524707939744E-4</v>
      </c>
      <c r="J7989" s="22" t="str">
        <f t="shared" si="250"/>
        <v/>
      </c>
    </row>
    <row r="7990" spans="1:10">
      <c r="A7990" s="1">
        <v>41338</v>
      </c>
      <c r="B7990">
        <v>83.23</v>
      </c>
      <c r="C7990">
        <v>84.46</v>
      </c>
      <c r="D7990">
        <v>83.12</v>
      </c>
      <c r="E7990">
        <v>84.07</v>
      </c>
      <c r="F7990">
        <v>3581100</v>
      </c>
      <c r="G7990">
        <v>82.38</v>
      </c>
      <c r="H7990" t="s">
        <v>18</v>
      </c>
      <c r="I7990" s="22">
        <f t="shared" si="249"/>
        <v>1.356574424282125E-2</v>
      </c>
      <c r="J7990" s="22" t="str">
        <f t="shared" si="250"/>
        <v/>
      </c>
    </row>
    <row r="7991" spans="1:10">
      <c r="A7991" s="1">
        <v>41339</v>
      </c>
      <c r="B7991">
        <v>84.52</v>
      </c>
      <c r="C7991">
        <v>84.74</v>
      </c>
      <c r="D7991">
        <v>84.21</v>
      </c>
      <c r="E7991">
        <v>84.43</v>
      </c>
      <c r="F7991">
        <v>3221500</v>
      </c>
      <c r="G7991">
        <v>82.74</v>
      </c>
      <c r="H7991" t="s">
        <v>18</v>
      </c>
      <c r="I7991" s="22">
        <f t="shared" si="249"/>
        <v>4.3604720253306627E-3</v>
      </c>
      <c r="J7991" s="22" t="str">
        <f t="shared" si="250"/>
        <v>lost money</v>
      </c>
    </row>
    <row r="7992" spans="1:10">
      <c r="A7992" s="1">
        <v>41340</v>
      </c>
      <c r="B7992">
        <v>84.44</v>
      </c>
      <c r="C7992">
        <v>84.65</v>
      </c>
      <c r="D7992">
        <v>83.98</v>
      </c>
      <c r="E7992">
        <v>84.3</v>
      </c>
      <c r="F7992">
        <v>2404600</v>
      </c>
      <c r="G7992">
        <v>82.61</v>
      </c>
      <c r="H7992" t="s">
        <v>18</v>
      </c>
      <c r="I7992" s="22">
        <f t="shared" si="249"/>
        <v>-1.5724224588514629E-3</v>
      </c>
      <c r="J7992" s="22" t="str">
        <f t="shared" si="250"/>
        <v>lost money</v>
      </c>
    </row>
    <row r="7993" spans="1:10">
      <c r="A7993" s="1">
        <v>41341</v>
      </c>
      <c r="B7993">
        <v>84.7</v>
      </c>
      <c r="C7993">
        <v>84.75</v>
      </c>
      <c r="D7993">
        <v>84.24</v>
      </c>
      <c r="E7993">
        <v>84.44</v>
      </c>
      <c r="F7993">
        <v>2225800</v>
      </c>
      <c r="G7993">
        <v>82.75</v>
      </c>
      <c r="H7993" t="s">
        <v>18</v>
      </c>
      <c r="I7993" s="22">
        <f t="shared" si="249"/>
        <v>1.6932756827583177E-3</v>
      </c>
      <c r="J7993" s="22" t="str">
        <f t="shared" si="250"/>
        <v>lost money</v>
      </c>
    </row>
    <row r="7994" spans="1:10">
      <c r="A7994" s="1">
        <v>41344</v>
      </c>
      <c r="B7994">
        <v>84.33</v>
      </c>
      <c r="C7994">
        <v>84.95</v>
      </c>
      <c r="D7994">
        <v>84.33</v>
      </c>
      <c r="E7994">
        <v>84.68</v>
      </c>
      <c r="F7994">
        <v>2793400</v>
      </c>
      <c r="G7994">
        <v>82.98</v>
      </c>
      <c r="H7994" t="s">
        <v>18</v>
      </c>
      <c r="I7994" s="22">
        <f t="shared" si="249"/>
        <v>2.7756006475497101E-3</v>
      </c>
      <c r="J7994" s="22" t="str">
        <f t="shared" si="250"/>
        <v/>
      </c>
    </row>
    <row r="7995" spans="1:10">
      <c r="A7995" s="1">
        <v>41345</v>
      </c>
      <c r="B7995">
        <v>84.8</v>
      </c>
      <c r="C7995">
        <v>84.95</v>
      </c>
      <c r="D7995">
        <v>84.12</v>
      </c>
      <c r="E7995">
        <v>84.53</v>
      </c>
      <c r="F7995">
        <v>2503500</v>
      </c>
      <c r="G7995">
        <v>82.83</v>
      </c>
      <c r="H7995" t="s">
        <v>18</v>
      </c>
      <c r="I7995" s="22">
        <f t="shared" si="249"/>
        <v>-1.8093002945492051E-3</v>
      </c>
      <c r="J7995" s="22" t="str">
        <f t="shared" si="250"/>
        <v>lost money</v>
      </c>
    </row>
    <row r="7996" spans="1:10">
      <c r="A7996" s="1">
        <v>41346</v>
      </c>
      <c r="B7996">
        <v>84.53</v>
      </c>
      <c r="C7996">
        <v>85.32</v>
      </c>
      <c r="D7996">
        <v>84.48</v>
      </c>
      <c r="E7996">
        <v>85.18</v>
      </c>
      <c r="F7996">
        <v>2885700</v>
      </c>
      <c r="G7996">
        <v>83.47</v>
      </c>
      <c r="H7996" t="s">
        <v>18</v>
      </c>
      <c r="I7996" s="22">
        <f t="shared" si="249"/>
        <v>7.6969712524725302E-3</v>
      </c>
      <c r="J7996" s="22" t="str">
        <f t="shared" si="250"/>
        <v/>
      </c>
    </row>
    <row r="7997" spans="1:10">
      <c r="A7997" s="1">
        <v>41347</v>
      </c>
      <c r="B7997">
        <v>85.22</v>
      </c>
      <c r="C7997">
        <v>85.7</v>
      </c>
      <c r="D7997">
        <v>85.18</v>
      </c>
      <c r="E7997">
        <v>85.63</v>
      </c>
      <c r="F7997">
        <v>3410800</v>
      </c>
      <c r="G7997">
        <v>83.91</v>
      </c>
      <c r="H7997" t="s">
        <v>18</v>
      </c>
      <c r="I7997" s="22">
        <f t="shared" si="249"/>
        <v>5.2575100193326726E-3</v>
      </c>
      <c r="J7997" s="22" t="str">
        <f t="shared" si="250"/>
        <v/>
      </c>
    </row>
    <row r="7998" spans="1:10">
      <c r="A7998" s="1">
        <v>41348</v>
      </c>
      <c r="B7998">
        <v>85.15</v>
      </c>
      <c r="C7998">
        <v>85.66</v>
      </c>
      <c r="D7998">
        <v>84.98</v>
      </c>
      <c r="E7998">
        <v>85.47</v>
      </c>
      <c r="F7998">
        <v>5015600</v>
      </c>
      <c r="G7998">
        <v>83.76</v>
      </c>
      <c r="H7998" t="s">
        <v>18</v>
      </c>
      <c r="I7998" s="22">
        <f t="shared" si="249"/>
        <v>-1.7892293196965631E-3</v>
      </c>
      <c r="J7998" s="22" t="str">
        <f t="shared" si="250"/>
        <v/>
      </c>
    </row>
    <row r="7999" spans="1:10">
      <c r="A7999" s="1">
        <v>41351</v>
      </c>
      <c r="B7999">
        <v>84.81</v>
      </c>
      <c r="C7999">
        <v>85.62</v>
      </c>
      <c r="D7999">
        <v>84.59</v>
      </c>
      <c r="E7999">
        <v>85.43</v>
      </c>
      <c r="F7999">
        <v>3374300</v>
      </c>
      <c r="G7999">
        <v>83.72</v>
      </c>
      <c r="H7999" t="s">
        <v>18</v>
      </c>
      <c r="I7999" s="22">
        <f t="shared" si="249"/>
        <v>-4.7766898448250511E-4</v>
      </c>
      <c r="J7999" s="22" t="str">
        <f t="shared" si="250"/>
        <v/>
      </c>
    </row>
    <row r="8000" spans="1:10">
      <c r="A8000" s="1">
        <v>41352</v>
      </c>
      <c r="B8000">
        <v>85.56</v>
      </c>
      <c r="C8000">
        <v>85.85</v>
      </c>
      <c r="D8000">
        <v>84.82</v>
      </c>
      <c r="E8000">
        <v>85.08</v>
      </c>
      <c r="F8000">
        <v>3640300</v>
      </c>
      <c r="G8000">
        <v>83.37</v>
      </c>
      <c r="H8000" t="s">
        <v>18</v>
      </c>
      <c r="I8000" s="22">
        <f t="shared" si="249"/>
        <v>-4.1893651552768829E-3</v>
      </c>
      <c r="J8000" s="22" t="str">
        <f t="shared" si="250"/>
        <v>lost money</v>
      </c>
    </row>
    <row r="8001" spans="1:10">
      <c r="A8001" s="1">
        <v>41353</v>
      </c>
      <c r="B8001">
        <v>84.17</v>
      </c>
      <c r="C8001">
        <v>84.96</v>
      </c>
      <c r="D8001">
        <v>83.83</v>
      </c>
      <c r="E8001">
        <v>84.03</v>
      </c>
      <c r="F8001">
        <v>5285400</v>
      </c>
      <c r="G8001">
        <v>82.34</v>
      </c>
      <c r="H8001" t="s">
        <v>18</v>
      </c>
      <c r="I8001" s="22">
        <f t="shared" si="249"/>
        <v>-1.2431516080763472E-2</v>
      </c>
      <c r="J8001" s="22" t="str">
        <f t="shared" si="250"/>
        <v>lost money</v>
      </c>
    </row>
    <row r="8002" spans="1:10">
      <c r="A8002" s="1">
        <v>41354</v>
      </c>
      <c r="B8002">
        <v>83.79</v>
      </c>
      <c r="C8002">
        <v>84.15</v>
      </c>
      <c r="D8002">
        <v>82.67</v>
      </c>
      <c r="E8002">
        <v>83</v>
      </c>
      <c r="F8002">
        <v>5824100</v>
      </c>
      <c r="G8002">
        <v>81.34</v>
      </c>
      <c r="H8002" t="s">
        <v>18</v>
      </c>
      <c r="I8002" s="22">
        <f t="shared" si="249"/>
        <v>-1.2219115862680194E-2</v>
      </c>
      <c r="J8002" s="22" t="str">
        <f t="shared" si="250"/>
        <v>lost money</v>
      </c>
    </row>
    <row r="8003" spans="1:10">
      <c r="A8003" s="1">
        <v>41355</v>
      </c>
      <c r="B8003">
        <v>83.3</v>
      </c>
      <c r="C8003">
        <v>84.86</v>
      </c>
      <c r="D8003">
        <v>83.27</v>
      </c>
      <c r="E8003">
        <v>84.76</v>
      </c>
      <c r="F8003">
        <v>4667000</v>
      </c>
      <c r="G8003">
        <v>83.06</v>
      </c>
      <c r="H8003" t="s">
        <v>18</v>
      </c>
      <c r="I8003" s="22">
        <f t="shared" ref="I8003:I8066" si="251">IF(A8003=$A$2,"",LN(G8003/G8002))</f>
        <v>2.0925337723528909E-2</v>
      </c>
      <c r="J8003" s="22" t="str">
        <f t="shared" ref="J8003:J8066" si="252">IF(B8003&gt;E8003,"lost money","")</f>
        <v/>
      </c>
    </row>
    <row r="8004" spans="1:10">
      <c r="A8004" s="1">
        <v>41358</v>
      </c>
      <c r="B8004">
        <v>84.98</v>
      </c>
      <c r="C8004">
        <v>85.03</v>
      </c>
      <c r="D8004">
        <v>84.11</v>
      </c>
      <c r="E8004">
        <v>84.61</v>
      </c>
      <c r="F8004">
        <v>4080300</v>
      </c>
      <c r="G8004">
        <v>82.91</v>
      </c>
      <c r="H8004" t="s">
        <v>18</v>
      </c>
      <c r="I8004" s="22">
        <f t="shared" si="251"/>
        <v>-1.8075560744801953E-3</v>
      </c>
      <c r="J8004" s="22" t="str">
        <f t="shared" si="252"/>
        <v>lost money</v>
      </c>
    </row>
    <row r="8005" spans="1:10">
      <c r="A8005" s="1">
        <v>41359</v>
      </c>
      <c r="B8005">
        <v>84.85</v>
      </c>
      <c r="C8005">
        <v>85.08</v>
      </c>
      <c r="D8005">
        <v>84.52</v>
      </c>
      <c r="E8005">
        <v>85.04</v>
      </c>
      <c r="F8005">
        <v>3184600</v>
      </c>
      <c r="G8005">
        <v>83.33</v>
      </c>
      <c r="H8005" t="s">
        <v>18</v>
      </c>
      <c r="I8005" s="22">
        <f t="shared" si="251"/>
        <v>5.0529462659879886E-3</v>
      </c>
      <c r="J8005" s="22" t="str">
        <f t="shared" si="252"/>
        <v/>
      </c>
    </row>
    <row r="8006" spans="1:10">
      <c r="A8006" s="1">
        <v>41360</v>
      </c>
      <c r="B8006">
        <v>84.84</v>
      </c>
      <c r="C8006">
        <v>85.54</v>
      </c>
      <c r="D8006">
        <v>84.65</v>
      </c>
      <c r="E8006">
        <v>85.43</v>
      </c>
      <c r="F8006">
        <v>2611500</v>
      </c>
      <c r="G8006">
        <v>83.72</v>
      </c>
      <c r="H8006" t="s">
        <v>18</v>
      </c>
      <c r="I8006" s="22">
        <f t="shared" si="251"/>
        <v>4.6692691836834714E-3</v>
      </c>
      <c r="J8006" s="22" t="str">
        <f t="shared" si="252"/>
        <v/>
      </c>
    </row>
    <row r="8007" spans="1:10">
      <c r="A8007" s="1">
        <v>41361</v>
      </c>
      <c r="B8007">
        <v>85.16</v>
      </c>
      <c r="C8007">
        <v>85.93</v>
      </c>
      <c r="D8007">
        <v>85.01</v>
      </c>
      <c r="E8007">
        <v>85.9</v>
      </c>
      <c r="F8007">
        <v>3498300</v>
      </c>
      <c r="G8007">
        <v>84.18</v>
      </c>
      <c r="H8007" t="s">
        <v>18</v>
      </c>
      <c r="I8007" s="22">
        <f t="shared" si="251"/>
        <v>5.4794657646257908E-3</v>
      </c>
      <c r="J8007" s="22" t="str">
        <f t="shared" si="252"/>
        <v/>
      </c>
    </row>
    <row r="8008" spans="1:10">
      <c r="A8008" s="1">
        <v>41365</v>
      </c>
      <c r="B8008">
        <v>85.81</v>
      </c>
      <c r="C8008">
        <v>85.95</v>
      </c>
      <c r="D8008">
        <v>84.33</v>
      </c>
      <c r="E8008">
        <v>84.47</v>
      </c>
      <c r="F8008">
        <v>2959800</v>
      </c>
      <c r="G8008">
        <v>82.78</v>
      </c>
      <c r="H8008" t="s">
        <v>18</v>
      </c>
      <c r="I8008" s="22">
        <f t="shared" si="251"/>
        <v>-1.6770877021838323E-2</v>
      </c>
      <c r="J8008" s="22" t="str">
        <f t="shared" si="252"/>
        <v>lost money</v>
      </c>
    </row>
    <row r="8009" spans="1:10">
      <c r="A8009" s="1">
        <v>41366</v>
      </c>
      <c r="B8009">
        <v>83.84</v>
      </c>
      <c r="C8009">
        <v>84.35</v>
      </c>
      <c r="D8009">
        <v>83.65</v>
      </c>
      <c r="E8009">
        <v>83.92</v>
      </c>
      <c r="F8009">
        <v>4133000</v>
      </c>
      <c r="G8009">
        <v>82.24</v>
      </c>
      <c r="H8009" t="s">
        <v>18</v>
      </c>
      <c r="I8009" s="22">
        <f t="shared" si="251"/>
        <v>-6.5446846137314479E-3</v>
      </c>
      <c r="J8009" s="22" t="str">
        <f t="shared" si="252"/>
        <v/>
      </c>
    </row>
    <row r="8010" spans="1:10">
      <c r="A8010" s="1">
        <v>41367</v>
      </c>
      <c r="B8010">
        <v>84.01</v>
      </c>
      <c r="C8010">
        <v>84.08</v>
      </c>
      <c r="D8010">
        <v>83.11</v>
      </c>
      <c r="E8010">
        <v>83.33</v>
      </c>
      <c r="F8010">
        <v>4010900</v>
      </c>
      <c r="G8010">
        <v>81.66</v>
      </c>
      <c r="H8010" t="s">
        <v>18</v>
      </c>
      <c r="I8010" s="22">
        <f t="shared" si="251"/>
        <v>-7.0775158154252477E-3</v>
      </c>
      <c r="J8010" s="22" t="str">
        <f t="shared" si="252"/>
        <v>lost money</v>
      </c>
    </row>
    <row r="8011" spans="1:10">
      <c r="A8011" s="1">
        <v>41368</v>
      </c>
      <c r="B8011">
        <v>83.46</v>
      </c>
      <c r="C8011">
        <v>83.86</v>
      </c>
      <c r="D8011">
        <v>83.27</v>
      </c>
      <c r="E8011">
        <v>83.67</v>
      </c>
      <c r="F8011">
        <v>2730700</v>
      </c>
      <c r="G8011">
        <v>81.99</v>
      </c>
      <c r="H8011" t="s">
        <v>18</v>
      </c>
      <c r="I8011" s="22">
        <f t="shared" si="251"/>
        <v>4.0330027166566957E-3</v>
      </c>
      <c r="J8011" s="22" t="str">
        <f t="shared" si="252"/>
        <v/>
      </c>
    </row>
    <row r="8012" spans="1:10">
      <c r="A8012" s="1">
        <v>41369</v>
      </c>
      <c r="B8012">
        <v>82.81</v>
      </c>
      <c r="C8012">
        <v>83.64</v>
      </c>
      <c r="D8012">
        <v>82.33</v>
      </c>
      <c r="E8012">
        <v>83.54</v>
      </c>
      <c r="F8012">
        <v>3031000</v>
      </c>
      <c r="G8012">
        <v>81.86</v>
      </c>
      <c r="H8012" t="s">
        <v>18</v>
      </c>
      <c r="I8012" s="22">
        <f t="shared" si="251"/>
        <v>-1.5868175438293239E-3</v>
      </c>
      <c r="J8012" s="22" t="str">
        <f t="shared" si="252"/>
        <v/>
      </c>
    </row>
    <row r="8013" spans="1:10">
      <c r="A8013" s="1">
        <v>41372</v>
      </c>
      <c r="B8013">
        <v>83.55</v>
      </c>
      <c r="C8013">
        <v>83.7</v>
      </c>
      <c r="D8013">
        <v>82.85</v>
      </c>
      <c r="E8013">
        <v>83.23</v>
      </c>
      <c r="F8013">
        <v>3057900</v>
      </c>
      <c r="G8013">
        <v>81.56</v>
      </c>
      <c r="H8013" t="s">
        <v>18</v>
      </c>
      <c r="I8013" s="22">
        <f t="shared" si="251"/>
        <v>-3.6715253580024611E-3</v>
      </c>
      <c r="J8013" s="22" t="str">
        <f t="shared" si="252"/>
        <v>lost money</v>
      </c>
    </row>
    <row r="8014" spans="1:10">
      <c r="A8014" s="1">
        <v>41373</v>
      </c>
      <c r="B8014">
        <v>83.5</v>
      </c>
      <c r="C8014">
        <v>83.82</v>
      </c>
      <c r="D8014">
        <v>82.97</v>
      </c>
      <c r="E8014">
        <v>83.55</v>
      </c>
      <c r="F8014">
        <v>3164600</v>
      </c>
      <c r="G8014">
        <v>81.87</v>
      </c>
      <c r="H8014" t="s">
        <v>18</v>
      </c>
      <c r="I8014" s="22">
        <f t="shared" si="251"/>
        <v>3.7936776821023629E-3</v>
      </c>
      <c r="J8014" s="22" t="str">
        <f t="shared" si="252"/>
        <v/>
      </c>
    </row>
    <row r="8015" spans="1:10">
      <c r="A8015" s="1">
        <v>41374</v>
      </c>
      <c r="B8015">
        <v>83.73</v>
      </c>
      <c r="C8015">
        <v>84.82</v>
      </c>
      <c r="D8015">
        <v>83.67</v>
      </c>
      <c r="E8015">
        <v>84.56</v>
      </c>
      <c r="F8015">
        <v>3446100</v>
      </c>
      <c r="G8015">
        <v>82.86</v>
      </c>
      <c r="H8015" t="s">
        <v>18</v>
      </c>
      <c r="I8015" s="22">
        <f t="shared" si="251"/>
        <v>1.2019813260898835E-2</v>
      </c>
      <c r="J8015" s="22" t="str">
        <f t="shared" si="252"/>
        <v/>
      </c>
    </row>
    <row r="8016" spans="1:10">
      <c r="A8016" s="1">
        <v>41375</v>
      </c>
      <c r="B8016">
        <v>84.66</v>
      </c>
      <c r="C8016">
        <v>84.78</v>
      </c>
      <c r="D8016">
        <v>84.17</v>
      </c>
      <c r="E8016">
        <v>84.32</v>
      </c>
      <c r="F8016">
        <v>3788200</v>
      </c>
      <c r="G8016">
        <v>82.63</v>
      </c>
      <c r="H8016" t="s">
        <v>18</v>
      </c>
      <c r="I8016" s="22">
        <f t="shared" si="251"/>
        <v>-2.7796259361628334E-3</v>
      </c>
      <c r="J8016" s="22" t="str">
        <f t="shared" si="252"/>
        <v>lost money</v>
      </c>
    </row>
    <row r="8017" spans="1:10">
      <c r="A8017" s="1">
        <v>41376</v>
      </c>
      <c r="B8017">
        <v>84.15</v>
      </c>
      <c r="C8017">
        <v>84.38</v>
      </c>
      <c r="D8017">
        <v>83.88</v>
      </c>
      <c r="E8017">
        <v>84.14</v>
      </c>
      <c r="F8017">
        <v>2491500</v>
      </c>
      <c r="G8017">
        <v>82.45</v>
      </c>
      <c r="H8017" t="s">
        <v>18</v>
      </c>
      <c r="I8017" s="22">
        <f t="shared" si="251"/>
        <v>-2.1807617074849849E-3</v>
      </c>
      <c r="J8017" s="22" t="str">
        <f t="shared" si="252"/>
        <v>lost money</v>
      </c>
    </row>
    <row r="8018" spans="1:10">
      <c r="A8018" s="1">
        <v>41379</v>
      </c>
      <c r="B8018">
        <v>83.97</v>
      </c>
      <c r="C8018">
        <v>84.09</v>
      </c>
      <c r="D8018">
        <v>82.37</v>
      </c>
      <c r="E8018">
        <v>82.41</v>
      </c>
      <c r="F8018">
        <v>3678000</v>
      </c>
      <c r="G8018">
        <v>80.760000000000005</v>
      </c>
      <c r="H8018" t="s">
        <v>18</v>
      </c>
      <c r="I8018" s="22">
        <f t="shared" si="251"/>
        <v>-2.0710255560971089E-2</v>
      </c>
      <c r="J8018" s="22" t="str">
        <f t="shared" si="252"/>
        <v>lost money</v>
      </c>
    </row>
    <row r="8019" spans="1:10">
      <c r="A8019" s="1">
        <v>41380</v>
      </c>
      <c r="B8019">
        <v>82.87</v>
      </c>
      <c r="C8019">
        <v>83.23</v>
      </c>
      <c r="D8019">
        <v>82.5</v>
      </c>
      <c r="E8019">
        <v>83.22</v>
      </c>
      <c r="F8019">
        <v>2365500</v>
      </c>
      <c r="G8019">
        <v>81.55</v>
      </c>
      <c r="H8019" t="s">
        <v>18</v>
      </c>
      <c r="I8019" s="22">
        <f t="shared" si="251"/>
        <v>9.7345356223860965E-3</v>
      </c>
      <c r="J8019" s="22" t="str">
        <f t="shared" si="252"/>
        <v/>
      </c>
    </row>
    <row r="8020" spans="1:10">
      <c r="A8020" s="1">
        <v>41381</v>
      </c>
      <c r="B8020">
        <v>82.89</v>
      </c>
      <c r="C8020">
        <v>83</v>
      </c>
      <c r="D8020">
        <v>82.09</v>
      </c>
      <c r="E8020">
        <v>82.52</v>
      </c>
      <c r="F8020">
        <v>3113900</v>
      </c>
      <c r="G8020">
        <v>80.87</v>
      </c>
      <c r="H8020" t="s">
        <v>18</v>
      </c>
      <c r="I8020" s="22">
        <f t="shared" si="251"/>
        <v>-8.3734019592919713E-3</v>
      </c>
      <c r="J8020" s="22" t="str">
        <f t="shared" si="252"/>
        <v>lost money</v>
      </c>
    </row>
    <row r="8021" spans="1:10">
      <c r="A8021" s="1">
        <v>41382</v>
      </c>
      <c r="B8021">
        <v>83.05</v>
      </c>
      <c r="C8021">
        <v>83.19</v>
      </c>
      <c r="D8021">
        <v>81.95</v>
      </c>
      <c r="E8021">
        <v>82.37</v>
      </c>
      <c r="F8021">
        <v>4188900</v>
      </c>
      <c r="G8021">
        <v>80.72</v>
      </c>
      <c r="H8021" t="s">
        <v>18</v>
      </c>
      <c r="I8021" s="22">
        <f t="shared" si="251"/>
        <v>-1.8565510623773493E-3</v>
      </c>
      <c r="J8021" s="22" t="str">
        <f t="shared" si="252"/>
        <v>lost money</v>
      </c>
    </row>
    <row r="8022" spans="1:10">
      <c r="A8022" s="1">
        <v>41383</v>
      </c>
      <c r="B8022">
        <v>82.68</v>
      </c>
      <c r="C8022">
        <v>83.43</v>
      </c>
      <c r="D8022">
        <v>82.41</v>
      </c>
      <c r="E8022">
        <v>82.99</v>
      </c>
      <c r="F8022">
        <v>3115200</v>
      </c>
      <c r="G8022">
        <v>81.33</v>
      </c>
      <c r="H8022" t="s">
        <v>18</v>
      </c>
      <c r="I8022" s="22">
        <f t="shared" si="251"/>
        <v>7.5285761333303662E-3</v>
      </c>
      <c r="J8022" s="22" t="str">
        <f t="shared" si="252"/>
        <v/>
      </c>
    </row>
    <row r="8023" spans="1:10">
      <c r="A8023" s="1">
        <v>41386</v>
      </c>
      <c r="B8023">
        <v>83.01</v>
      </c>
      <c r="C8023">
        <v>83.43</v>
      </c>
      <c r="D8023">
        <v>82.24</v>
      </c>
      <c r="E8023">
        <v>83.26</v>
      </c>
      <c r="F8023">
        <v>3410400</v>
      </c>
      <c r="G8023">
        <v>81.59</v>
      </c>
      <c r="H8023" t="s">
        <v>18</v>
      </c>
      <c r="I8023" s="22">
        <f t="shared" si="251"/>
        <v>3.191753262025112E-3</v>
      </c>
      <c r="J8023" s="22" t="str">
        <f t="shared" si="252"/>
        <v/>
      </c>
    </row>
    <row r="8024" spans="1:10">
      <c r="A8024" s="1">
        <v>41387</v>
      </c>
      <c r="B8024">
        <v>83.38</v>
      </c>
      <c r="C8024">
        <v>83.99</v>
      </c>
      <c r="D8024">
        <v>83.01</v>
      </c>
      <c r="E8024">
        <v>83.74</v>
      </c>
      <c r="F8024">
        <v>3729400</v>
      </c>
      <c r="G8024">
        <v>82.06</v>
      </c>
      <c r="H8024" t="s">
        <v>18</v>
      </c>
      <c r="I8024" s="22">
        <f t="shared" si="251"/>
        <v>5.7439815733310827E-3</v>
      </c>
      <c r="J8024" s="22" t="str">
        <f t="shared" si="252"/>
        <v/>
      </c>
    </row>
    <row r="8025" spans="1:10">
      <c r="A8025" s="1">
        <v>41388</v>
      </c>
      <c r="B8025">
        <v>83.8</v>
      </c>
      <c r="C8025">
        <v>83.94</v>
      </c>
      <c r="D8025">
        <v>83.12</v>
      </c>
      <c r="E8025">
        <v>83.5</v>
      </c>
      <c r="F8025">
        <v>4387400</v>
      </c>
      <c r="G8025">
        <v>81.83</v>
      </c>
      <c r="H8025" t="s">
        <v>18</v>
      </c>
      <c r="I8025" s="22">
        <f t="shared" si="251"/>
        <v>-2.8067624747497499E-3</v>
      </c>
      <c r="J8025" s="22" t="str">
        <f t="shared" si="252"/>
        <v>lost money</v>
      </c>
    </row>
    <row r="8026" spans="1:10">
      <c r="A8026" s="1">
        <v>41389</v>
      </c>
      <c r="B8026">
        <v>84.55</v>
      </c>
      <c r="C8026">
        <v>85.88</v>
      </c>
      <c r="D8026">
        <v>84.18</v>
      </c>
      <c r="E8026">
        <v>85.42</v>
      </c>
      <c r="F8026">
        <v>4825000</v>
      </c>
      <c r="G8026">
        <v>83.71</v>
      </c>
      <c r="H8026" t="s">
        <v>18</v>
      </c>
      <c r="I8026" s="22">
        <f t="shared" si="251"/>
        <v>2.2714520132674502E-2</v>
      </c>
      <c r="J8026" s="22" t="str">
        <f t="shared" si="252"/>
        <v/>
      </c>
    </row>
    <row r="8027" spans="1:10">
      <c r="A8027" s="1">
        <v>41390</v>
      </c>
      <c r="B8027">
        <v>85.36</v>
      </c>
      <c r="C8027">
        <v>85.98</v>
      </c>
      <c r="D8027">
        <v>85.13</v>
      </c>
      <c r="E8027">
        <v>85.71</v>
      </c>
      <c r="F8027">
        <v>3266300</v>
      </c>
      <c r="G8027">
        <v>83.99</v>
      </c>
      <c r="H8027" t="s">
        <v>18</v>
      </c>
      <c r="I8027" s="22">
        <f t="shared" si="251"/>
        <v>3.3392994655707664E-3</v>
      </c>
      <c r="J8027" s="22" t="str">
        <f t="shared" si="252"/>
        <v/>
      </c>
    </row>
    <row r="8028" spans="1:10">
      <c r="A8028" s="1">
        <v>41393</v>
      </c>
      <c r="B8028">
        <v>85.77</v>
      </c>
      <c r="C8028">
        <v>86.46</v>
      </c>
      <c r="D8028">
        <v>85.6</v>
      </c>
      <c r="E8028">
        <v>86.27</v>
      </c>
      <c r="F8028">
        <v>3000300</v>
      </c>
      <c r="G8028">
        <v>84.54</v>
      </c>
      <c r="H8028" t="s">
        <v>18</v>
      </c>
      <c r="I8028" s="22">
        <f t="shared" si="251"/>
        <v>6.5270510011081308E-3</v>
      </c>
      <c r="J8028" s="22" t="str">
        <f t="shared" si="252"/>
        <v/>
      </c>
    </row>
    <row r="8029" spans="1:10">
      <c r="A8029" s="1">
        <v>41394</v>
      </c>
      <c r="B8029">
        <v>86.39</v>
      </c>
      <c r="C8029">
        <v>86.39</v>
      </c>
      <c r="D8029">
        <v>85.61</v>
      </c>
      <c r="E8029">
        <v>85.84</v>
      </c>
      <c r="F8029">
        <v>4296400</v>
      </c>
      <c r="G8029">
        <v>84.12</v>
      </c>
      <c r="H8029" t="s">
        <v>18</v>
      </c>
      <c r="I8029" s="22">
        <f t="shared" si="251"/>
        <v>-4.9804443041448149E-3</v>
      </c>
      <c r="J8029" s="22" t="str">
        <f t="shared" si="252"/>
        <v>lost money</v>
      </c>
    </row>
    <row r="8030" spans="1:10">
      <c r="A8030" s="1">
        <v>41395</v>
      </c>
      <c r="B8030">
        <v>85.82</v>
      </c>
      <c r="C8030">
        <v>85.9</v>
      </c>
      <c r="D8030">
        <v>84.65</v>
      </c>
      <c r="E8030">
        <v>84.82</v>
      </c>
      <c r="F8030">
        <v>3372200</v>
      </c>
      <c r="G8030">
        <v>83.12</v>
      </c>
      <c r="H8030" t="s">
        <v>18</v>
      </c>
      <c r="I8030" s="22">
        <f t="shared" si="251"/>
        <v>-1.1959004043527097E-2</v>
      </c>
      <c r="J8030" s="22" t="str">
        <f t="shared" si="252"/>
        <v>lost money</v>
      </c>
    </row>
    <row r="8031" spans="1:10">
      <c r="A8031" s="1">
        <v>41396</v>
      </c>
      <c r="B8031">
        <v>84.83</v>
      </c>
      <c r="C8031">
        <v>85.45</v>
      </c>
      <c r="D8031">
        <v>84.8</v>
      </c>
      <c r="E8031">
        <v>85.33</v>
      </c>
      <c r="F8031">
        <v>3566400</v>
      </c>
      <c r="G8031">
        <v>83.62</v>
      </c>
      <c r="H8031" t="s">
        <v>18</v>
      </c>
      <c r="I8031" s="22">
        <f t="shared" si="251"/>
        <v>5.997379137446952E-3</v>
      </c>
      <c r="J8031" s="22" t="str">
        <f t="shared" si="252"/>
        <v/>
      </c>
    </row>
    <row r="8032" spans="1:10">
      <c r="A8032" s="1">
        <v>41397</v>
      </c>
      <c r="B8032">
        <v>85.93</v>
      </c>
      <c r="C8032">
        <v>86.48</v>
      </c>
      <c r="D8032">
        <v>85.8</v>
      </c>
      <c r="E8032">
        <v>86.09</v>
      </c>
      <c r="F8032">
        <v>3471700</v>
      </c>
      <c r="G8032">
        <v>84.36</v>
      </c>
      <c r="H8032" t="s">
        <v>18</v>
      </c>
      <c r="I8032" s="22">
        <f t="shared" si="251"/>
        <v>8.8106296821549059E-3</v>
      </c>
      <c r="J8032" s="22" t="str">
        <f t="shared" si="252"/>
        <v/>
      </c>
    </row>
    <row r="8033" spans="1:10">
      <c r="A8033" s="1">
        <v>41400</v>
      </c>
      <c r="B8033">
        <v>86.13</v>
      </c>
      <c r="C8033">
        <v>87.55</v>
      </c>
      <c r="D8033">
        <v>86.07</v>
      </c>
      <c r="E8033">
        <v>87.04</v>
      </c>
      <c r="F8033">
        <v>3259000</v>
      </c>
      <c r="G8033">
        <v>85.29</v>
      </c>
      <c r="H8033" t="s">
        <v>18</v>
      </c>
      <c r="I8033" s="22">
        <f t="shared" si="251"/>
        <v>1.0963858720444374E-2</v>
      </c>
      <c r="J8033" s="22" t="str">
        <f t="shared" si="252"/>
        <v/>
      </c>
    </row>
    <row r="8034" spans="1:10">
      <c r="A8034" s="1">
        <v>41401</v>
      </c>
      <c r="B8034">
        <v>87.43</v>
      </c>
      <c r="C8034">
        <v>88.95</v>
      </c>
      <c r="D8034">
        <v>87.31</v>
      </c>
      <c r="E8034">
        <v>88.66</v>
      </c>
      <c r="F8034">
        <v>4853800</v>
      </c>
      <c r="G8034">
        <v>86.88</v>
      </c>
      <c r="H8034" t="s">
        <v>18</v>
      </c>
      <c r="I8034" s="22">
        <f t="shared" si="251"/>
        <v>1.8470641854606971E-2</v>
      </c>
      <c r="J8034" s="22" t="str">
        <f t="shared" si="252"/>
        <v/>
      </c>
    </row>
    <row r="8035" spans="1:10">
      <c r="A8035" s="1">
        <v>41402</v>
      </c>
      <c r="B8035">
        <v>88.39</v>
      </c>
      <c r="C8035">
        <v>89.96</v>
      </c>
      <c r="D8035">
        <v>87.84</v>
      </c>
      <c r="E8035">
        <v>89.03</v>
      </c>
      <c r="F8035">
        <v>6309100</v>
      </c>
      <c r="G8035">
        <v>87.24</v>
      </c>
      <c r="H8035" t="s">
        <v>18</v>
      </c>
      <c r="I8035" s="22">
        <f t="shared" si="251"/>
        <v>4.1350851478030174E-3</v>
      </c>
      <c r="J8035" s="22" t="str">
        <f t="shared" si="252"/>
        <v/>
      </c>
    </row>
    <row r="8036" spans="1:10">
      <c r="A8036" s="1">
        <v>41403</v>
      </c>
      <c r="B8036">
        <v>88.5</v>
      </c>
      <c r="C8036">
        <v>89</v>
      </c>
      <c r="D8036">
        <v>88.03</v>
      </c>
      <c r="E8036">
        <v>88.23</v>
      </c>
      <c r="F8036">
        <v>4937000</v>
      </c>
      <c r="G8036">
        <v>87.07</v>
      </c>
      <c r="H8036" t="s">
        <v>18</v>
      </c>
      <c r="I8036" s="22">
        <f t="shared" si="251"/>
        <v>-1.9505484929040967E-3</v>
      </c>
      <c r="J8036" s="22" t="str">
        <f t="shared" si="252"/>
        <v>lost money</v>
      </c>
    </row>
    <row r="8037" spans="1:10">
      <c r="A8037" s="1">
        <v>41404</v>
      </c>
      <c r="B8037">
        <v>88.16</v>
      </c>
      <c r="C8037">
        <v>88.83</v>
      </c>
      <c r="D8037">
        <v>88.11</v>
      </c>
      <c r="E8037">
        <v>88.34</v>
      </c>
      <c r="F8037">
        <v>2604900</v>
      </c>
      <c r="G8037">
        <v>87.18</v>
      </c>
      <c r="H8037" t="s">
        <v>18</v>
      </c>
      <c r="I8037" s="22">
        <f t="shared" si="251"/>
        <v>1.2625539697224174E-3</v>
      </c>
      <c r="J8037" s="22" t="str">
        <f t="shared" si="252"/>
        <v/>
      </c>
    </row>
    <row r="8038" spans="1:10">
      <c r="A8038" s="1">
        <v>41407</v>
      </c>
      <c r="B8038">
        <v>88.14</v>
      </c>
      <c r="C8038">
        <v>88.38</v>
      </c>
      <c r="D8038">
        <v>87.8</v>
      </c>
      <c r="E8038">
        <v>88.04</v>
      </c>
      <c r="F8038">
        <v>1858700</v>
      </c>
      <c r="G8038">
        <v>86.88</v>
      </c>
      <c r="H8038" t="s">
        <v>18</v>
      </c>
      <c r="I8038" s="22">
        <f t="shared" si="251"/>
        <v>-3.4470906246214031E-3</v>
      </c>
      <c r="J8038" s="22" t="str">
        <f t="shared" si="252"/>
        <v>lost money</v>
      </c>
    </row>
    <row r="8039" spans="1:10">
      <c r="A8039" s="1">
        <v>41408</v>
      </c>
      <c r="B8039">
        <v>88.26</v>
      </c>
      <c r="C8039">
        <v>88.72</v>
      </c>
      <c r="D8039">
        <v>88.16</v>
      </c>
      <c r="E8039">
        <v>88.4</v>
      </c>
      <c r="F8039">
        <v>3233400</v>
      </c>
      <c r="G8039">
        <v>87.23</v>
      </c>
      <c r="H8039" t="s">
        <v>18</v>
      </c>
      <c r="I8039" s="22">
        <f t="shared" si="251"/>
        <v>4.0204522595020291E-3</v>
      </c>
      <c r="J8039" s="22" t="str">
        <f t="shared" si="252"/>
        <v/>
      </c>
    </row>
    <row r="8040" spans="1:10">
      <c r="A8040" s="1">
        <v>41409</v>
      </c>
      <c r="B8040">
        <v>88.34</v>
      </c>
      <c r="C8040">
        <v>88.69</v>
      </c>
      <c r="D8040">
        <v>88.1</v>
      </c>
      <c r="E8040">
        <v>88.6</v>
      </c>
      <c r="F8040">
        <v>3534400</v>
      </c>
      <c r="G8040">
        <v>87.43</v>
      </c>
      <c r="H8040" t="s">
        <v>18</v>
      </c>
      <c r="I8040" s="22">
        <f t="shared" si="251"/>
        <v>2.2901647476724759E-3</v>
      </c>
      <c r="J8040" s="22" t="str">
        <f t="shared" si="252"/>
        <v/>
      </c>
    </row>
    <row r="8041" spans="1:10">
      <c r="A8041" s="1">
        <v>41410</v>
      </c>
      <c r="B8041">
        <v>88.39</v>
      </c>
      <c r="C8041">
        <v>88.65</v>
      </c>
      <c r="D8041">
        <v>87.7</v>
      </c>
      <c r="E8041">
        <v>87.85</v>
      </c>
      <c r="F8041">
        <v>3115400</v>
      </c>
      <c r="G8041">
        <v>86.69</v>
      </c>
      <c r="H8041" t="s">
        <v>18</v>
      </c>
      <c r="I8041" s="22">
        <f t="shared" si="251"/>
        <v>-8.4999363122507457E-3</v>
      </c>
      <c r="J8041" s="22" t="str">
        <f t="shared" si="252"/>
        <v>lost money</v>
      </c>
    </row>
    <row r="8042" spans="1:10">
      <c r="A8042" s="1">
        <v>41411</v>
      </c>
      <c r="B8042">
        <v>87.96</v>
      </c>
      <c r="C8042">
        <v>88.74</v>
      </c>
      <c r="D8042">
        <v>87.87</v>
      </c>
      <c r="E8042">
        <v>88.7</v>
      </c>
      <c r="F8042">
        <v>3440500</v>
      </c>
      <c r="G8042">
        <v>87.53</v>
      </c>
      <c r="H8042" t="s">
        <v>18</v>
      </c>
      <c r="I8042" s="22">
        <f t="shared" si="251"/>
        <v>9.6430548637976444E-3</v>
      </c>
      <c r="J8042" s="22" t="str">
        <f t="shared" si="252"/>
        <v/>
      </c>
    </row>
    <row r="8043" spans="1:10">
      <c r="A8043" s="1">
        <v>41414</v>
      </c>
      <c r="B8043">
        <v>88.62</v>
      </c>
      <c r="C8043">
        <v>88.85</v>
      </c>
      <c r="D8043">
        <v>88.35</v>
      </c>
      <c r="E8043">
        <v>88.55</v>
      </c>
      <c r="F8043">
        <v>2640000</v>
      </c>
      <c r="G8043">
        <v>87.38</v>
      </c>
      <c r="H8043" t="s">
        <v>18</v>
      </c>
      <c r="I8043" s="22">
        <f t="shared" si="251"/>
        <v>-1.7151682210568883E-3</v>
      </c>
      <c r="J8043" s="22" t="str">
        <f t="shared" si="252"/>
        <v>lost money</v>
      </c>
    </row>
    <row r="8044" spans="1:10">
      <c r="A8044" s="1">
        <v>41415</v>
      </c>
      <c r="B8044">
        <v>88.55</v>
      </c>
      <c r="C8044">
        <v>89.42</v>
      </c>
      <c r="D8044">
        <v>88.51</v>
      </c>
      <c r="E8044">
        <v>88.78</v>
      </c>
      <c r="F8044">
        <v>2907300</v>
      </c>
      <c r="G8044">
        <v>87.61</v>
      </c>
      <c r="H8044" t="s">
        <v>18</v>
      </c>
      <c r="I8044" s="22">
        <f t="shared" si="251"/>
        <v>2.628723154982623E-3</v>
      </c>
      <c r="J8044" s="22" t="str">
        <f t="shared" si="252"/>
        <v/>
      </c>
    </row>
    <row r="8045" spans="1:10">
      <c r="A8045" s="1">
        <v>41416</v>
      </c>
      <c r="B8045">
        <v>88.73</v>
      </c>
      <c r="C8045">
        <v>89.54</v>
      </c>
      <c r="D8045">
        <v>87.77</v>
      </c>
      <c r="E8045">
        <v>88.14</v>
      </c>
      <c r="F8045">
        <v>4191600</v>
      </c>
      <c r="G8045">
        <v>86.98</v>
      </c>
      <c r="H8045" t="s">
        <v>18</v>
      </c>
      <c r="I8045" s="22">
        <f t="shared" si="251"/>
        <v>-7.2169395087800748E-3</v>
      </c>
      <c r="J8045" s="22" t="str">
        <f t="shared" si="252"/>
        <v>lost money</v>
      </c>
    </row>
    <row r="8046" spans="1:10">
      <c r="A8046" s="1">
        <v>41417</v>
      </c>
      <c r="B8046">
        <v>87.6</v>
      </c>
      <c r="C8046">
        <v>87.81</v>
      </c>
      <c r="D8046">
        <v>87</v>
      </c>
      <c r="E8046">
        <v>87.31</v>
      </c>
      <c r="F8046">
        <v>5157400</v>
      </c>
      <c r="G8046">
        <v>86.16</v>
      </c>
      <c r="H8046" t="s">
        <v>18</v>
      </c>
      <c r="I8046" s="22">
        <f t="shared" si="251"/>
        <v>-9.4721743213593539E-3</v>
      </c>
      <c r="J8046" s="22" t="str">
        <f t="shared" si="252"/>
        <v>lost money</v>
      </c>
    </row>
    <row r="8047" spans="1:10">
      <c r="A8047" s="1">
        <v>41418</v>
      </c>
      <c r="B8047">
        <v>86.72</v>
      </c>
      <c r="C8047">
        <v>86.9</v>
      </c>
      <c r="D8047">
        <v>86.38</v>
      </c>
      <c r="E8047">
        <v>86.83</v>
      </c>
      <c r="F8047">
        <v>3587400</v>
      </c>
      <c r="G8047">
        <v>85.69</v>
      </c>
      <c r="H8047" t="s">
        <v>18</v>
      </c>
      <c r="I8047" s="22">
        <f t="shared" si="251"/>
        <v>-5.469900167105639E-3</v>
      </c>
      <c r="J8047" s="22" t="str">
        <f t="shared" si="252"/>
        <v/>
      </c>
    </row>
    <row r="8048" spans="1:10">
      <c r="A8048" s="1">
        <v>41422</v>
      </c>
      <c r="B8048">
        <v>87.23</v>
      </c>
      <c r="C8048">
        <v>87.5</v>
      </c>
      <c r="D8048">
        <v>86.36</v>
      </c>
      <c r="E8048">
        <v>86.75</v>
      </c>
      <c r="F8048">
        <v>4191300</v>
      </c>
      <c r="G8048">
        <v>85.61</v>
      </c>
      <c r="H8048" t="s">
        <v>18</v>
      </c>
      <c r="I8048" s="22">
        <f t="shared" si="251"/>
        <v>-9.3403392663316334E-4</v>
      </c>
      <c r="J8048" s="22" t="str">
        <f t="shared" si="252"/>
        <v>lost money</v>
      </c>
    </row>
    <row r="8049" spans="1:10">
      <c r="A8049" s="1">
        <v>41423</v>
      </c>
      <c r="B8049">
        <v>86.35</v>
      </c>
      <c r="C8049">
        <v>86.61</v>
      </c>
      <c r="D8049">
        <v>86.06</v>
      </c>
      <c r="E8049">
        <v>86.34</v>
      </c>
      <c r="F8049">
        <v>3306300</v>
      </c>
      <c r="G8049">
        <v>85.2</v>
      </c>
      <c r="H8049" t="s">
        <v>18</v>
      </c>
      <c r="I8049" s="22">
        <f t="shared" si="251"/>
        <v>-4.8006649191242269E-3</v>
      </c>
      <c r="J8049" s="22" t="str">
        <f t="shared" si="252"/>
        <v>lost money</v>
      </c>
    </row>
    <row r="8050" spans="1:10">
      <c r="A8050" s="1">
        <v>41424</v>
      </c>
      <c r="B8050">
        <v>86.41</v>
      </c>
      <c r="C8050">
        <v>86.77</v>
      </c>
      <c r="D8050">
        <v>86.31</v>
      </c>
      <c r="E8050">
        <v>86.36</v>
      </c>
      <c r="F8050">
        <v>2882600</v>
      </c>
      <c r="G8050">
        <v>85.22</v>
      </c>
      <c r="H8050" t="s">
        <v>18</v>
      </c>
      <c r="I8050" s="22">
        <f t="shared" si="251"/>
        <v>2.3471423649596386E-4</v>
      </c>
      <c r="J8050" s="22" t="str">
        <f t="shared" si="252"/>
        <v>lost money</v>
      </c>
    </row>
    <row r="8051" spans="1:10">
      <c r="A8051" s="1">
        <v>41425</v>
      </c>
      <c r="B8051">
        <v>86.32</v>
      </c>
      <c r="C8051">
        <v>86.78</v>
      </c>
      <c r="D8051">
        <v>85.87</v>
      </c>
      <c r="E8051">
        <v>85.9</v>
      </c>
      <c r="F8051">
        <v>4082000</v>
      </c>
      <c r="G8051">
        <v>84.77</v>
      </c>
      <c r="H8051" t="s">
        <v>18</v>
      </c>
      <c r="I8051" s="22">
        <f t="shared" si="251"/>
        <v>-5.2944414514517766E-3</v>
      </c>
      <c r="J8051" s="22" t="str">
        <f t="shared" si="252"/>
        <v>lost money</v>
      </c>
    </row>
    <row r="8052" spans="1:10">
      <c r="A8052" s="1">
        <v>41428</v>
      </c>
      <c r="B8052">
        <v>85.87</v>
      </c>
      <c r="C8052">
        <v>86.42</v>
      </c>
      <c r="D8052">
        <v>85.62</v>
      </c>
      <c r="E8052">
        <v>86.25</v>
      </c>
      <c r="F8052">
        <v>4186800</v>
      </c>
      <c r="G8052">
        <v>85.11</v>
      </c>
      <c r="H8052" t="s">
        <v>18</v>
      </c>
      <c r="I8052" s="22">
        <f t="shared" si="251"/>
        <v>4.0028308685555961E-3</v>
      </c>
      <c r="J8052" s="22" t="str">
        <f t="shared" si="252"/>
        <v/>
      </c>
    </row>
    <row r="8053" spans="1:10">
      <c r="A8053" s="1">
        <v>41429</v>
      </c>
      <c r="B8053">
        <v>86.25</v>
      </c>
      <c r="C8053">
        <v>86.84</v>
      </c>
      <c r="D8053">
        <v>85.78</v>
      </c>
      <c r="E8053">
        <v>85.96</v>
      </c>
      <c r="F8053">
        <v>3454900</v>
      </c>
      <c r="G8053">
        <v>84.83</v>
      </c>
      <c r="H8053" t="s">
        <v>18</v>
      </c>
      <c r="I8053" s="22">
        <f t="shared" si="251"/>
        <v>-3.2952836692263345E-3</v>
      </c>
      <c r="J8053" s="22" t="str">
        <f t="shared" si="252"/>
        <v>lost money</v>
      </c>
    </row>
    <row r="8054" spans="1:10">
      <c r="A8054" s="1">
        <v>41430</v>
      </c>
      <c r="B8054">
        <v>85.77</v>
      </c>
      <c r="C8054">
        <v>85.91</v>
      </c>
      <c r="D8054">
        <v>84.68</v>
      </c>
      <c r="E8054">
        <v>84.96</v>
      </c>
      <c r="F8054">
        <v>4156200</v>
      </c>
      <c r="G8054">
        <v>83.84</v>
      </c>
      <c r="H8054" t="s">
        <v>18</v>
      </c>
      <c r="I8054" s="22">
        <f t="shared" si="251"/>
        <v>-1.1739033246911324E-2</v>
      </c>
      <c r="J8054" s="22" t="str">
        <f t="shared" si="252"/>
        <v>lost money</v>
      </c>
    </row>
    <row r="8055" spans="1:10">
      <c r="A8055" s="1">
        <v>41431</v>
      </c>
      <c r="B8055">
        <v>84.71</v>
      </c>
      <c r="C8055">
        <v>85.05</v>
      </c>
      <c r="D8055">
        <v>84.2</v>
      </c>
      <c r="E8055">
        <v>84.76</v>
      </c>
      <c r="F8055">
        <v>3918000</v>
      </c>
      <c r="G8055">
        <v>83.64</v>
      </c>
      <c r="H8055" t="s">
        <v>18</v>
      </c>
      <c r="I8055" s="22">
        <f t="shared" si="251"/>
        <v>-2.3883460122992588E-3</v>
      </c>
      <c r="J8055" s="22" t="str">
        <f t="shared" si="252"/>
        <v/>
      </c>
    </row>
    <row r="8056" spans="1:10">
      <c r="A8056" s="1">
        <v>41432</v>
      </c>
      <c r="B8056">
        <v>85.21</v>
      </c>
      <c r="C8056">
        <v>86.5</v>
      </c>
      <c r="D8056">
        <v>85.1</v>
      </c>
      <c r="E8056">
        <v>86.37</v>
      </c>
      <c r="F8056">
        <v>4231900</v>
      </c>
      <c r="G8056">
        <v>85.23</v>
      </c>
      <c r="H8056" t="s">
        <v>18</v>
      </c>
      <c r="I8056" s="22">
        <f t="shared" si="251"/>
        <v>1.883160997377346E-2</v>
      </c>
      <c r="J8056" s="22" t="str">
        <f t="shared" si="252"/>
        <v/>
      </c>
    </row>
    <row r="8057" spans="1:10">
      <c r="A8057" s="1">
        <v>41435</v>
      </c>
      <c r="B8057">
        <v>86.54</v>
      </c>
      <c r="C8057">
        <v>86.57</v>
      </c>
      <c r="D8057">
        <v>85.94</v>
      </c>
      <c r="E8057">
        <v>86.35</v>
      </c>
      <c r="F8057">
        <v>2101600</v>
      </c>
      <c r="G8057">
        <v>85.21</v>
      </c>
      <c r="H8057" t="s">
        <v>18</v>
      </c>
      <c r="I8057" s="22">
        <f t="shared" si="251"/>
        <v>-2.3468669434173963E-4</v>
      </c>
      <c r="J8057" s="22" t="str">
        <f t="shared" si="252"/>
        <v>lost money</v>
      </c>
    </row>
    <row r="8058" spans="1:10">
      <c r="A8058" s="1">
        <v>41436</v>
      </c>
      <c r="B8058">
        <v>85.74</v>
      </c>
      <c r="C8058">
        <v>86.25</v>
      </c>
      <c r="D8058">
        <v>85.5</v>
      </c>
      <c r="E8058">
        <v>85.65</v>
      </c>
      <c r="F8058">
        <v>2478600</v>
      </c>
      <c r="G8058">
        <v>84.52</v>
      </c>
      <c r="H8058" t="s">
        <v>18</v>
      </c>
      <c r="I8058" s="22">
        <f t="shared" si="251"/>
        <v>-8.1306050920086081E-3</v>
      </c>
      <c r="J8058" s="22" t="str">
        <f t="shared" si="252"/>
        <v>lost money</v>
      </c>
    </row>
    <row r="8059" spans="1:10">
      <c r="A8059" s="1">
        <v>41437</v>
      </c>
      <c r="B8059">
        <v>86.22</v>
      </c>
      <c r="C8059">
        <v>86.42</v>
      </c>
      <c r="D8059">
        <v>85.14</v>
      </c>
      <c r="E8059">
        <v>85.51</v>
      </c>
      <c r="F8059">
        <v>2771200</v>
      </c>
      <c r="G8059">
        <v>84.38</v>
      </c>
      <c r="H8059" t="s">
        <v>18</v>
      </c>
      <c r="I8059" s="22">
        <f t="shared" si="251"/>
        <v>-1.6577860516633536E-3</v>
      </c>
      <c r="J8059" s="22" t="str">
        <f t="shared" si="252"/>
        <v>lost money</v>
      </c>
    </row>
    <row r="8060" spans="1:10">
      <c r="A8060" s="1">
        <v>41438</v>
      </c>
      <c r="B8060">
        <v>85.51</v>
      </c>
      <c r="C8060">
        <v>86.48</v>
      </c>
      <c r="D8060">
        <v>85.11</v>
      </c>
      <c r="E8060">
        <v>86.32</v>
      </c>
      <c r="F8060">
        <v>2282000</v>
      </c>
      <c r="G8060">
        <v>85.18</v>
      </c>
      <c r="H8060" t="s">
        <v>18</v>
      </c>
      <c r="I8060" s="22">
        <f t="shared" si="251"/>
        <v>9.4362577988748968E-3</v>
      </c>
      <c r="J8060" s="22" t="str">
        <f t="shared" si="252"/>
        <v/>
      </c>
    </row>
    <row r="8061" spans="1:10">
      <c r="A8061" s="1">
        <v>41439</v>
      </c>
      <c r="B8061">
        <v>86.23</v>
      </c>
      <c r="C8061">
        <v>86.81</v>
      </c>
      <c r="D8061">
        <v>85.59</v>
      </c>
      <c r="E8061">
        <v>85.91</v>
      </c>
      <c r="F8061">
        <v>2505600</v>
      </c>
      <c r="G8061">
        <v>84.78</v>
      </c>
      <c r="H8061" t="s">
        <v>18</v>
      </c>
      <c r="I8061" s="22">
        <f t="shared" si="251"/>
        <v>-4.7069985705764754E-3</v>
      </c>
      <c r="J8061" s="22" t="str">
        <f t="shared" si="252"/>
        <v>lost money</v>
      </c>
    </row>
    <row r="8062" spans="1:10">
      <c r="A8062" s="1">
        <v>41442</v>
      </c>
      <c r="B8062">
        <v>86.44</v>
      </c>
      <c r="C8062">
        <v>86.8</v>
      </c>
      <c r="D8062">
        <v>85.96</v>
      </c>
      <c r="E8062">
        <v>86.54</v>
      </c>
      <c r="F8062">
        <v>3198600</v>
      </c>
      <c r="G8062">
        <v>85.4</v>
      </c>
      <c r="H8062" t="s">
        <v>18</v>
      </c>
      <c r="I8062" s="22">
        <f t="shared" si="251"/>
        <v>7.2864348700330556E-3</v>
      </c>
      <c r="J8062" s="22" t="str">
        <f t="shared" si="252"/>
        <v/>
      </c>
    </row>
    <row r="8063" spans="1:10">
      <c r="A8063" s="1">
        <v>41443</v>
      </c>
      <c r="B8063">
        <v>86.8</v>
      </c>
      <c r="C8063">
        <v>87.82</v>
      </c>
      <c r="D8063">
        <v>86.77</v>
      </c>
      <c r="E8063">
        <v>87.43</v>
      </c>
      <c r="F8063">
        <v>2916200</v>
      </c>
      <c r="G8063">
        <v>86.28</v>
      </c>
      <c r="H8063" t="s">
        <v>18</v>
      </c>
      <c r="I8063" s="22">
        <f t="shared" si="251"/>
        <v>1.0251720726431419E-2</v>
      </c>
      <c r="J8063" s="22" t="str">
        <f t="shared" si="252"/>
        <v/>
      </c>
    </row>
    <row r="8064" spans="1:10">
      <c r="A8064" s="1">
        <v>41444</v>
      </c>
      <c r="B8064">
        <v>87.52</v>
      </c>
      <c r="C8064">
        <v>87.66</v>
      </c>
      <c r="D8064">
        <v>86.31</v>
      </c>
      <c r="E8064">
        <v>86.37</v>
      </c>
      <c r="F8064">
        <v>3027000</v>
      </c>
      <c r="G8064">
        <v>85.23</v>
      </c>
      <c r="H8064" t="s">
        <v>18</v>
      </c>
      <c r="I8064" s="22">
        <f t="shared" si="251"/>
        <v>-1.2244336986749349E-2</v>
      </c>
      <c r="J8064" s="22" t="str">
        <f t="shared" si="252"/>
        <v>lost money</v>
      </c>
    </row>
    <row r="8065" spans="1:10">
      <c r="A8065" s="1">
        <v>41445</v>
      </c>
      <c r="B8065">
        <v>85.82</v>
      </c>
      <c r="C8065">
        <v>85.84</v>
      </c>
      <c r="D8065">
        <v>84.38</v>
      </c>
      <c r="E8065">
        <v>84.89</v>
      </c>
      <c r="F8065">
        <v>4213900</v>
      </c>
      <c r="G8065">
        <v>83.77</v>
      </c>
      <c r="H8065" t="s">
        <v>18</v>
      </c>
      <c r="I8065" s="22">
        <f t="shared" si="251"/>
        <v>-1.7278536368488268E-2</v>
      </c>
      <c r="J8065" s="22" t="str">
        <f t="shared" si="252"/>
        <v>lost money</v>
      </c>
    </row>
    <row r="8066" spans="1:10">
      <c r="A8066" s="1">
        <v>41446</v>
      </c>
      <c r="B8066">
        <v>85.59</v>
      </c>
      <c r="C8066">
        <v>85.86</v>
      </c>
      <c r="D8066">
        <v>84.91</v>
      </c>
      <c r="E8066">
        <v>85.41</v>
      </c>
      <c r="F8066">
        <v>4676900</v>
      </c>
      <c r="G8066">
        <v>84.28</v>
      </c>
      <c r="H8066" t="s">
        <v>18</v>
      </c>
      <c r="I8066" s="22">
        <f t="shared" si="251"/>
        <v>6.0696407702701908E-3</v>
      </c>
      <c r="J8066" s="22" t="str">
        <f t="shared" si="252"/>
        <v>lost money</v>
      </c>
    </row>
    <row r="8067" spans="1:10">
      <c r="A8067" s="1">
        <v>41449</v>
      </c>
      <c r="B8067">
        <v>84.98</v>
      </c>
      <c r="C8067">
        <v>86.29</v>
      </c>
      <c r="D8067">
        <v>84.7</v>
      </c>
      <c r="E8067">
        <v>85.27</v>
      </c>
      <c r="F8067">
        <v>3472300</v>
      </c>
      <c r="G8067">
        <v>84.15</v>
      </c>
      <c r="H8067" t="s">
        <v>18</v>
      </c>
      <c r="I8067" s="22">
        <f t="shared" ref="I8067:I8130" si="253">IF(A8067=$A$2,"",LN(G8067/G8066))</f>
        <v>-1.5436682991732532E-3</v>
      </c>
      <c r="J8067" s="22" t="str">
        <f t="shared" ref="J8067:J8130" si="254">IF(B8067&gt;E8067,"lost money","")</f>
        <v/>
      </c>
    </row>
    <row r="8068" spans="1:10">
      <c r="A8068" s="1">
        <v>41450</v>
      </c>
      <c r="B8068">
        <v>85.82</v>
      </c>
      <c r="C8068">
        <v>86.04</v>
      </c>
      <c r="D8068">
        <v>85.29</v>
      </c>
      <c r="E8068">
        <v>85.72</v>
      </c>
      <c r="F8068">
        <v>2661300</v>
      </c>
      <c r="G8068">
        <v>84.59</v>
      </c>
      <c r="H8068" t="s">
        <v>18</v>
      </c>
      <c r="I8068" s="22">
        <f t="shared" si="253"/>
        <v>5.2151356791081188E-3</v>
      </c>
      <c r="J8068" s="22" t="str">
        <f t="shared" si="254"/>
        <v>lost money</v>
      </c>
    </row>
    <row r="8069" spans="1:10">
      <c r="A8069" s="1">
        <v>41451</v>
      </c>
      <c r="B8069">
        <v>86.31</v>
      </c>
      <c r="C8069">
        <v>86.92</v>
      </c>
      <c r="D8069">
        <v>86.21</v>
      </c>
      <c r="E8069">
        <v>86.42</v>
      </c>
      <c r="F8069">
        <v>2291800</v>
      </c>
      <c r="G8069">
        <v>85.28</v>
      </c>
      <c r="H8069" t="s">
        <v>18</v>
      </c>
      <c r="I8069" s="22">
        <f t="shared" si="253"/>
        <v>8.1239041016111721E-3</v>
      </c>
      <c r="J8069" s="22" t="str">
        <f t="shared" si="254"/>
        <v/>
      </c>
    </row>
    <row r="8070" spans="1:10">
      <c r="A8070" s="1">
        <v>41452</v>
      </c>
      <c r="B8070">
        <v>87.02</v>
      </c>
      <c r="C8070">
        <v>87.3</v>
      </c>
      <c r="D8070">
        <v>86.62</v>
      </c>
      <c r="E8070">
        <v>87.09</v>
      </c>
      <c r="F8070">
        <v>3002700</v>
      </c>
      <c r="G8070">
        <v>85.94</v>
      </c>
      <c r="H8070" t="s">
        <v>18</v>
      </c>
      <c r="I8070" s="22">
        <f t="shared" si="253"/>
        <v>7.7094179293145538E-3</v>
      </c>
      <c r="J8070" s="22" t="str">
        <f t="shared" si="254"/>
        <v/>
      </c>
    </row>
    <row r="8071" spans="1:10">
      <c r="A8071" s="1">
        <v>41453</v>
      </c>
      <c r="B8071">
        <v>86.97</v>
      </c>
      <c r="C8071">
        <v>87.46</v>
      </c>
      <c r="D8071">
        <v>86.47</v>
      </c>
      <c r="E8071">
        <v>86.48</v>
      </c>
      <c r="F8071">
        <v>3271100</v>
      </c>
      <c r="G8071">
        <v>85.34</v>
      </c>
      <c r="H8071" t="s">
        <v>18</v>
      </c>
      <c r="I8071" s="22">
        <f t="shared" si="253"/>
        <v>-7.0061005869950623E-3</v>
      </c>
      <c r="J8071" s="22" t="str">
        <f t="shared" si="254"/>
        <v>lost money</v>
      </c>
    </row>
    <row r="8072" spans="1:10">
      <c r="A8072" s="1">
        <v>41456</v>
      </c>
      <c r="B8072">
        <v>86.92</v>
      </c>
      <c r="C8072">
        <v>87.65</v>
      </c>
      <c r="D8072">
        <v>86.87</v>
      </c>
      <c r="E8072">
        <v>87.05</v>
      </c>
      <c r="F8072">
        <v>2556200</v>
      </c>
      <c r="G8072">
        <v>85.9</v>
      </c>
      <c r="H8072" t="s">
        <v>18</v>
      </c>
      <c r="I8072" s="22">
        <f t="shared" si="253"/>
        <v>6.5405512303557609E-3</v>
      </c>
      <c r="J8072" s="22" t="str">
        <f t="shared" si="254"/>
        <v/>
      </c>
    </row>
    <row r="8073" spans="1:10">
      <c r="A8073" s="1">
        <v>41457</v>
      </c>
      <c r="B8073">
        <v>86.88</v>
      </c>
      <c r="C8073">
        <v>87.48</v>
      </c>
      <c r="D8073">
        <v>86.27</v>
      </c>
      <c r="E8073">
        <v>86.61</v>
      </c>
      <c r="F8073">
        <v>2127800</v>
      </c>
      <c r="G8073">
        <v>85.47</v>
      </c>
      <c r="H8073" t="s">
        <v>18</v>
      </c>
      <c r="I8073" s="22">
        <f t="shared" si="253"/>
        <v>-5.0183918122831545E-3</v>
      </c>
      <c r="J8073" s="22" t="str">
        <f t="shared" si="254"/>
        <v>lost money</v>
      </c>
    </row>
    <row r="8074" spans="1:10">
      <c r="A8074" s="1">
        <v>41458</v>
      </c>
      <c r="B8074">
        <v>86.34</v>
      </c>
      <c r="C8074">
        <v>86.48</v>
      </c>
      <c r="D8074">
        <v>85.84</v>
      </c>
      <c r="E8074">
        <v>86.16</v>
      </c>
      <c r="F8074">
        <v>1223300</v>
      </c>
      <c r="G8074">
        <v>85.02</v>
      </c>
      <c r="H8074" t="s">
        <v>18</v>
      </c>
      <c r="I8074" s="22">
        <f t="shared" si="253"/>
        <v>-5.2789142472825677E-3</v>
      </c>
      <c r="J8074" s="22" t="str">
        <f t="shared" si="254"/>
        <v>lost money</v>
      </c>
    </row>
    <row r="8075" spans="1:10">
      <c r="A8075" s="1">
        <v>41460</v>
      </c>
      <c r="B8075">
        <v>86.68</v>
      </c>
      <c r="C8075">
        <v>87.72</v>
      </c>
      <c r="D8075">
        <v>86.63</v>
      </c>
      <c r="E8075">
        <v>87.54</v>
      </c>
      <c r="F8075">
        <v>1994800</v>
      </c>
      <c r="G8075">
        <v>86.39</v>
      </c>
      <c r="H8075" t="s">
        <v>18</v>
      </c>
      <c r="I8075" s="22">
        <f t="shared" si="253"/>
        <v>1.5985405440148724E-2</v>
      </c>
      <c r="J8075" s="22" t="str">
        <f t="shared" si="254"/>
        <v/>
      </c>
    </row>
    <row r="8076" spans="1:10">
      <c r="A8076" s="1">
        <v>41463</v>
      </c>
      <c r="B8076">
        <v>88</v>
      </c>
      <c r="C8076">
        <v>88.78</v>
      </c>
      <c r="D8076">
        <v>87.85</v>
      </c>
      <c r="E8076">
        <v>88.35</v>
      </c>
      <c r="F8076">
        <v>2852500</v>
      </c>
      <c r="G8076">
        <v>87.19</v>
      </c>
      <c r="H8076" t="s">
        <v>18</v>
      </c>
      <c r="I8076" s="22">
        <f t="shared" si="253"/>
        <v>9.2177170689309047E-3</v>
      </c>
      <c r="J8076" s="22" t="str">
        <f t="shared" si="254"/>
        <v/>
      </c>
    </row>
    <row r="8077" spans="1:10">
      <c r="A8077" s="1">
        <v>41464</v>
      </c>
      <c r="B8077">
        <v>88.64</v>
      </c>
      <c r="C8077">
        <v>91.04</v>
      </c>
      <c r="D8077">
        <v>88.64</v>
      </c>
      <c r="E8077">
        <v>89.73</v>
      </c>
      <c r="F8077">
        <v>5645300</v>
      </c>
      <c r="G8077">
        <v>88.55</v>
      </c>
      <c r="H8077" t="s">
        <v>18</v>
      </c>
      <c r="I8077" s="22">
        <f t="shared" si="253"/>
        <v>1.5477718789118876E-2</v>
      </c>
      <c r="J8077" s="22" t="str">
        <f t="shared" si="254"/>
        <v/>
      </c>
    </row>
    <row r="8078" spans="1:10">
      <c r="A8078" s="1">
        <v>41465</v>
      </c>
      <c r="B8078">
        <v>89.63</v>
      </c>
      <c r="C8078">
        <v>91.03</v>
      </c>
      <c r="D8078">
        <v>89.42</v>
      </c>
      <c r="E8078">
        <v>90.24</v>
      </c>
      <c r="F8078">
        <v>3625400</v>
      </c>
      <c r="G8078">
        <v>89.05</v>
      </c>
      <c r="H8078" t="s">
        <v>18</v>
      </c>
      <c r="I8078" s="22">
        <f t="shared" si="253"/>
        <v>5.630645506828142E-3</v>
      </c>
      <c r="J8078" s="22" t="str">
        <f t="shared" si="254"/>
        <v/>
      </c>
    </row>
    <row r="8079" spans="1:10">
      <c r="A8079" s="1">
        <v>41466</v>
      </c>
      <c r="B8079">
        <v>91.25</v>
      </c>
      <c r="C8079">
        <v>91.78</v>
      </c>
      <c r="D8079">
        <v>91.06</v>
      </c>
      <c r="E8079">
        <v>91.45</v>
      </c>
      <c r="F8079">
        <v>3446700</v>
      </c>
      <c r="G8079">
        <v>90.24</v>
      </c>
      <c r="H8079" t="s">
        <v>18</v>
      </c>
      <c r="I8079" s="22">
        <f t="shared" si="253"/>
        <v>1.3274778014078148E-2</v>
      </c>
      <c r="J8079" s="22" t="str">
        <f t="shared" si="254"/>
        <v/>
      </c>
    </row>
    <row r="8080" spans="1:10">
      <c r="A8080" s="1">
        <v>41467</v>
      </c>
      <c r="B8080">
        <v>86.59</v>
      </c>
      <c r="C8080">
        <v>87.5</v>
      </c>
      <c r="D8080">
        <v>85.49</v>
      </c>
      <c r="E8080">
        <v>86.12</v>
      </c>
      <c r="F8080">
        <v>15335100</v>
      </c>
      <c r="G8080">
        <v>84.98</v>
      </c>
      <c r="H8080" t="s">
        <v>18</v>
      </c>
      <c r="I8080" s="22">
        <f t="shared" si="253"/>
        <v>-6.0056853063083206E-2</v>
      </c>
      <c r="J8080" s="22" t="str">
        <f t="shared" si="254"/>
        <v>lost money</v>
      </c>
    </row>
    <row r="8081" spans="1:10">
      <c r="A8081" s="1">
        <v>41470</v>
      </c>
      <c r="B8081">
        <v>85.63</v>
      </c>
      <c r="C8081">
        <v>86.31</v>
      </c>
      <c r="D8081">
        <v>85.45</v>
      </c>
      <c r="E8081">
        <v>85.48</v>
      </c>
      <c r="F8081">
        <v>6194200</v>
      </c>
      <c r="G8081">
        <v>84.35</v>
      </c>
      <c r="H8081" t="s">
        <v>18</v>
      </c>
      <c r="I8081" s="22">
        <f t="shared" si="253"/>
        <v>-7.4411256946882972E-3</v>
      </c>
      <c r="J8081" s="22" t="str">
        <f t="shared" si="254"/>
        <v>lost money</v>
      </c>
    </row>
    <row r="8082" spans="1:10">
      <c r="A8082" s="1">
        <v>41471</v>
      </c>
      <c r="B8082">
        <v>85.5</v>
      </c>
      <c r="C8082">
        <v>86.06</v>
      </c>
      <c r="D8082">
        <v>85.25</v>
      </c>
      <c r="E8082">
        <v>85.98</v>
      </c>
      <c r="F8082">
        <v>4152400</v>
      </c>
      <c r="G8082">
        <v>84.85</v>
      </c>
      <c r="H8082" t="s">
        <v>18</v>
      </c>
      <c r="I8082" s="22">
        <f t="shared" si="253"/>
        <v>5.9101826882579939E-3</v>
      </c>
      <c r="J8082" s="22" t="str">
        <f t="shared" si="254"/>
        <v/>
      </c>
    </row>
    <row r="8083" spans="1:10">
      <c r="A8083" s="1">
        <v>41472</v>
      </c>
      <c r="B8083">
        <v>86.42</v>
      </c>
      <c r="C8083">
        <v>86.79</v>
      </c>
      <c r="D8083">
        <v>86.25</v>
      </c>
      <c r="E8083">
        <v>86.65</v>
      </c>
      <c r="F8083">
        <v>3185700</v>
      </c>
      <c r="G8083">
        <v>85.51</v>
      </c>
      <c r="H8083" t="s">
        <v>18</v>
      </c>
      <c r="I8083" s="22">
        <f t="shared" si="253"/>
        <v>7.7483364876286221E-3</v>
      </c>
      <c r="J8083" s="22" t="str">
        <f t="shared" si="254"/>
        <v/>
      </c>
    </row>
    <row r="8084" spans="1:10">
      <c r="A8084" s="1">
        <v>41473</v>
      </c>
      <c r="B8084">
        <v>86.72</v>
      </c>
      <c r="C8084">
        <v>88.31</v>
      </c>
      <c r="D8084">
        <v>86.62</v>
      </c>
      <c r="E8084">
        <v>87.85</v>
      </c>
      <c r="F8084">
        <v>4752400</v>
      </c>
      <c r="G8084">
        <v>86.69</v>
      </c>
      <c r="H8084" t="s">
        <v>18</v>
      </c>
      <c r="I8084" s="22">
        <f t="shared" si="253"/>
        <v>1.3705208712685038E-2</v>
      </c>
      <c r="J8084" s="22" t="str">
        <f t="shared" si="254"/>
        <v/>
      </c>
    </row>
    <row r="8085" spans="1:10">
      <c r="A8085" s="1">
        <v>41474</v>
      </c>
      <c r="B8085">
        <v>87.91</v>
      </c>
      <c r="C8085">
        <v>88.09</v>
      </c>
      <c r="D8085">
        <v>87.39</v>
      </c>
      <c r="E8085">
        <v>88.08</v>
      </c>
      <c r="F8085">
        <v>3172000</v>
      </c>
      <c r="G8085">
        <v>86.92</v>
      </c>
      <c r="H8085" t="s">
        <v>18</v>
      </c>
      <c r="I8085" s="22">
        <f t="shared" si="253"/>
        <v>2.649618507679957E-3</v>
      </c>
      <c r="J8085" s="22" t="str">
        <f t="shared" si="254"/>
        <v/>
      </c>
    </row>
    <row r="8086" spans="1:10">
      <c r="A8086" s="1">
        <v>41477</v>
      </c>
      <c r="B8086">
        <v>87.82</v>
      </c>
      <c r="C8086">
        <v>88.13</v>
      </c>
      <c r="D8086">
        <v>87.41</v>
      </c>
      <c r="E8086">
        <v>87.61</v>
      </c>
      <c r="F8086">
        <v>2946200</v>
      </c>
      <c r="G8086">
        <v>86.46</v>
      </c>
      <c r="H8086" t="s">
        <v>18</v>
      </c>
      <c r="I8086" s="22">
        <f t="shared" si="253"/>
        <v>-5.3062761487433141E-3</v>
      </c>
      <c r="J8086" s="22" t="str">
        <f t="shared" si="254"/>
        <v>lost money</v>
      </c>
    </row>
    <row r="8087" spans="1:10">
      <c r="A8087" s="1">
        <v>41478</v>
      </c>
      <c r="B8087">
        <v>87.71</v>
      </c>
      <c r="C8087">
        <v>88</v>
      </c>
      <c r="D8087">
        <v>86.65</v>
      </c>
      <c r="E8087">
        <v>87.51</v>
      </c>
      <c r="F8087">
        <v>3141600</v>
      </c>
      <c r="G8087">
        <v>86.36</v>
      </c>
      <c r="H8087" t="s">
        <v>18</v>
      </c>
      <c r="I8087" s="22">
        <f t="shared" si="253"/>
        <v>-1.1572735928790615E-3</v>
      </c>
      <c r="J8087" s="22" t="str">
        <f t="shared" si="254"/>
        <v>lost money</v>
      </c>
    </row>
    <row r="8088" spans="1:10">
      <c r="A8088" s="1">
        <v>41479</v>
      </c>
      <c r="B8088">
        <v>87.85</v>
      </c>
      <c r="C8088">
        <v>88.06</v>
      </c>
      <c r="D8088">
        <v>86.9</v>
      </c>
      <c r="E8088">
        <v>86.98</v>
      </c>
      <c r="F8088">
        <v>3720300</v>
      </c>
      <c r="G8088">
        <v>85.83</v>
      </c>
      <c r="H8088" t="s">
        <v>18</v>
      </c>
      <c r="I8088" s="22">
        <f t="shared" si="253"/>
        <v>-6.1560099164780033E-3</v>
      </c>
      <c r="J8088" s="22" t="str">
        <f t="shared" si="254"/>
        <v>lost money</v>
      </c>
    </row>
    <row r="8089" spans="1:10">
      <c r="A8089" s="1">
        <v>41480</v>
      </c>
      <c r="B8089">
        <v>86.91</v>
      </c>
      <c r="C8089">
        <v>87.19</v>
      </c>
      <c r="D8089">
        <v>86.3</v>
      </c>
      <c r="E8089">
        <v>86.83</v>
      </c>
      <c r="F8089">
        <v>3190500</v>
      </c>
      <c r="G8089">
        <v>85.69</v>
      </c>
      <c r="H8089" t="s">
        <v>18</v>
      </c>
      <c r="I8089" s="22">
        <f t="shared" si="253"/>
        <v>-1.6324630491011817E-3</v>
      </c>
      <c r="J8089" s="22" t="str">
        <f t="shared" si="254"/>
        <v>lost money</v>
      </c>
    </row>
    <row r="8090" spans="1:10">
      <c r="A8090" s="1">
        <v>41481</v>
      </c>
      <c r="B8090">
        <v>86.44</v>
      </c>
      <c r="C8090">
        <v>87.11</v>
      </c>
      <c r="D8090">
        <v>86.25</v>
      </c>
      <c r="E8090">
        <v>86.99</v>
      </c>
      <c r="F8090">
        <v>2820600</v>
      </c>
      <c r="G8090">
        <v>85.84</v>
      </c>
      <c r="H8090" t="s">
        <v>18</v>
      </c>
      <c r="I8090" s="22">
        <f t="shared" si="253"/>
        <v>1.7489656414155657E-3</v>
      </c>
      <c r="J8090" s="22" t="str">
        <f t="shared" si="254"/>
        <v/>
      </c>
    </row>
    <row r="8091" spans="1:10">
      <c r="A8091" s="1">
        <v>41484</v>
      </c>
      <c r="B8091">
        <v>86.75</v>
      </c>
      <c r="C8091">
        <v>87.05</v>
      </c>
      <c r="D8091">
        <v>86.63</v>
      </c>
      <c r="E8091">
        <v>86.81</v>
      </c>
      <c r="F8091">
        <v>2786000</v>
      </c>
      <c r="G8091">
        <v>85.67</v>
      </c>
      <c r="H8091" t="s">
        <v>18</v>
      </c>
      <c r="I8091" s="22">
        <f t="shared" si="253"/>
        <v>-1.9823923464904148E-3</v>
      </c>
      <c r="J8091" s="22" t="str">
        <f t="shared" si="254"/>
        <v/>
      </c>
    </row>
    <row r="8092" spans="1:10">
      <c r="A8092" s="1">
        <v>41485</v>
      </c>
      <c r="B8092">
        <v>86.93</v>
      </c>
      <c r="C8092">
        <v>87.22</v>
      </c>
      <c r="D8092">
        <v>86.3</v>
      </c>
      <c r="E8092">
        <v>86.41</v>
      </c>
      <c r="F8092">
        <v>3191400</v>
      </c>
      <c r="G8092">
        <v>85.27</v>
      </c>
      <c r="H8092" t="s">
        <v>18</v>
      </c>
      <c r="I8092" s="22">
        <f t="shared" si="253"/>
        <v>-4.6800132219944673E-3</v>
      </c>
      <c r="J8092" s="22" t="str">
        <f t="shared" si="254"/>
        <v>lost money</v>
      </c>
    </row>
    <row r="8093" spans="1:10">
      <c r="A8093" s="1">
        <v>41486</v>
      </c>
      <c r="B8093">
        <v>86.38</v>
      </c>
      <c r="C8093">
        <v>87.64</v>
      </c>
      <c r="D8093">
        <v>86.38</v>
      </c>
      <c r="E8093">
        <v>86.8</v>
      </c>
      <c r="F8093">
        <v>3386300</v>
      </c>
      <c r="G8093">
        <v>85.66</v>
      </c>
      <c r="H8093" t="s">
        <v>18</v>
      </c>
      <c r="I8093" s="22">
        <f t="shared" si="253"/>
        <v>4.5632794332667922E-3</v>
      </c>
      <c r="J8093" s="22" t="str">
        <f t="shared" si="254"/>
        <v/>
      </c>
    </row>
    <row r="8094" spans="1:10">
      <c r="A8094" s="1">
        <v>41487</v>
      </c>
      <c r="B8094">
        <v>87.37</v>
      </c>
      <c r="C8094">
        <v>88.49</v>
      </c>
      <c r="D8094">
        <v>87.36</v>
      </c>
      <c r="E8094">
        <v>88.04</v>
      </c>
      <c r="F8094">
        <v>2942300</v>
      </c>
      <c r="G8094">
        <v>86.88</v>
      </c>
      <c r="H8094" t="s">
        <v>18</v>
      </c>
      <c r="I8094" s="22">
        <f t="shared" si="253"/>
        <v>1.4141883998400412E-2</v>
      </c>
      <c r="J8094" s="22" t="str">
        <f t="shared" si="254"/>
        <v/>
      </c>
    </row>
    <row r="8095" spans="1:10">
      <c r="A8095" s="1">
        <v>41488</v>
      </c>
      <c r="B8095">
        <v>87.65</v>
      </c>
      <c r="C8095">
        <v>87.99</v>
      </c>
      <c r="D8095">
        <v>87.39</v>
      </c>
      <c r="E8095">
        <v>87.92</v>
      </c>
      <c r="F8095">
        <v>2253200</v>
      </c>
      <c r="G8095">
        <v>86.76</v>
      </c>
      <c r="H8095" t="s">
        <v>18</v>
      </c>
      <c r="I8095" s="22">
        <f t="shared" si="253"/>
        <v>-1.3821702269515364E-3</v>
      </c>
      <c r="J8095" s="22" t="str">
        <f t="shared" si="254"/>
        <v/>
      </c>
    </row>
    <row r="8096" spans="1:10">
      <c r="A8096" s="1">
        <v>41491</v>
      </c>
      <c r="B8096">
        <v>87.63</v>
      </c>
      <c r="C8096">
        <v>88.27</v>
      </c>
      <c r="D8096">
        <v>87.6</v>
      </c>
      <c r="E8096">
        <v>87.86</v>
      </c>
      <c r="F8096">
        <v>2086500</v>
      </c>
      <c r="G8096">
        <v>86.7</v>
      </c>
      <c r="H8096" t="s">
        <v>18</v>
      </c>
      <c r="I8096" s="22">
        <f t="shared" si="253"/>
        <v>-6.9180217217745875E-4</v>
      </c>
      <c r="J8096" s="22" t="str">
        <f t="shared" si="254"/>
        <v/>
      </c>
    </row>
    <row r="8097" spans="1:10">
      <c r="A8097" s="1">
        <v>41492</v>
      </c>
      <c r="B8097">
        <v>87.82</v>
      </c>
      <c r="C8097">
        <v>88.69</v>
      </c>
      <c r="D8097">
        <v>87.73</v>
      </c>
      <c r="E8097">
        <v>87.95</v>
      </c>
      <c r="F8097">
        <v>2700700</v>
      </c>
      <c r="G8097">
        <v>86.79</v>
      </c>
      <c r="H8097" t="s">
        <v>18</v>
      </c>
      <c r="I8097" s="22">
        <f t="shared" si="253"/>
        <v>1.0375238696573774E-3</v>
      </c>
      <c r="J8097" s="22" t="str">
        <f t="shared" si="254"/>
        <v/>
      </c>
    </row>
    <row r="8098" spans="1:10">
      <c r="A8098" s="1">
        <v>41493</v>
      </c>
      <c r="B8098">
        <v>87.68</v>
      </c>
      <c r="C8098">
        <v>87.98</v>
      </c>
      <c r="D8098">
        <v>87.36</v>
      </c>
      <c r="E8098">
        <v>87.88</v>
      </c>
      <c r="F8098">
        <v>2039900</v>
      </c>
      <c r="G8098">
        <v>86.72</v>
      </c>
      <c r="H8098" t="s">
        <v>18</v>
      </c>
      <c r="I8098" s="22">
        <f t="shared" si="253"/>
        <v>-8.0686996481746072E-4</v>
      </c>
      <c r="J8098" s="22" t="str">
        <f t="shared" si="254"/>
        <v/>
      </c>
    </row>
    <row r="8099" spans="1:10">
      <c r="A8099" s="1">
        <v>41494</v>
      </c>
      <c r="B8099">
        <v>88.18</v>
      </c>
      <c r="C8099">
        <v>88.48</v>
      </c>
      <c r="D8099">
        <v>87.81</v>
      </c>
      <c r="E8099">
        <v>88.12</v>
      </c>
      <c r="F8099">
        <v>2029200</v>
      </c>
      <c r="G8099">
        <v>86.96</v>
      </c>
      <c r="H8099" t="s">
        <v>18</v>
      </c>
      <c r="I8099" s="22">
        <f t="shared" si="253"/>
        <v>2.7637051216179423E-3</v>
      </c>
      <c r="J8099" s="22" t="str">
        <f t="shared" si="254"/>
        <v>lost money</v>
      </c>
    </row>
    <row r="8100" spans="1:10">
      <c r="A8100" s="1">
        <v>41495</v>
      </c>
      <c r="B8100">
        <v>88.12</v>
      </c>
      <c r="C8100">
        <v>88.28</v>
      </c>
      <c r="D8100">
        <v>87.56</v>
      </c>
      <c r="E8100">
        <v>87.81</v>
      </c>
      <c r="F8100">
        <v>1828100</v>
      </c>
      <c r="G8100">
        <v>86.65</v>
      </c>
      <c r="H8100" t="s">
        <v>18</v>
      </c>
      <c r="I8100" s="22">
        <f t="shared" si="253"/>
        <v>-3.5712266513388143E-3</v>
      </c>
      <c r="J8100" s="22" t="str">
        <f t="shared" si="254"/>
        <v>lost money</v>
      </c>
    </row>
    <row r="8101" spans="1:10">
      <c r="A8101" s="1">
        <v>41498</v>
      </c>
      <c r="B8101">
        <v>87.48</v>
      </c>
      <c r="C8101">
        <v>87.93</v>
      </c>
      <c r="D8101">
        <v>87.4</v>
      </c>
      <c r="E8101">
        <v>87.77</v>
      </c>
      <c r="F8101">
        <v>2160900</v>
      </c>
      <c r="G8101">
        <v>86.61</v>
      </c>
      <c r="H8101" t="s">
        <v>18</v>
      </c>
      <c r="I8101" s="22">
        <f t="shared" si="253"/>
        <v>-4.6173381866170091E-4</v>
      </c>
      <c r="J8101" s="22" t="str">
        <f t="shared" si="254"/>
        <v/>
      </c>
    </row>
    <row r="8102" spans="1:10">
      <c r="A8102" s="1">
        <v>41499</v>
      </c>
      <c r="B8102">
        <v>87.86</v>
      </c>
      <c r="C8102">
        <v>88</v>
      </c>
      <c r="D8102">
        <v>87.37</v>
      </c>
      <c r="E8102">
        <v>87.71</v>
      </c>
      <c r="F8102">
        <v>2384900</v>
      </c>
      <c r="G8102">
        <v>86.55</v>
      </c>
      <c r="H8102" t="s">
        <v>18</v>
      </c>
      <c r="I8102" s="22">
        <f t="shared" si="253"/>
        <v>-6.9300072073520268E-4</v>
      </c>
      <c r="J8102" s="22" t="str">
        <f t="shared" si="254"/>
        <v>lost money</v>
      </c>
    </row>
    <row r="8103" spans="1:10">
      <c r="A8103" s="1">
        <v>41500</v>
      </c>
      <c r="B8103">
        <v>87.48</v>
      </c>
      <c r="C8103">
        <v>87.79</v>
      </c>
      <c r="D8103">
        <v>87.34</v>
      </c>
      <c r="E8103">
        <v>87.45</v>
      </c>
      <c r="F8103">
        <v>2435400</v>
      </c>
      <c r="G8103">
        <v>86.3</v>
      </c>
      <c r="H8103" t="s">
        <v>18</v>
      </c>
      <c r="I8103" s="22">
        <f t="shared" si="253"/>
        <v>-2.8926835328360106E-3</v>
      </c>
      <c r="J8103" s="22" t="str">
        <f t="shared" si="254"/>
        <v>lost money</v>
      </c>
    </row>
    <row r="8104" spans="1:10">
      <c r="A8104" s="1">
        <v>41501</v>
      </c>
      <c r="B8104">
        <v>86.29</v>
      </c>
      <c r="C8104">
        <v>86.32</v>
      </c>
      <c r="D8104">
        <v>85.39</v>
      </c>
      <c r="E8104">
        <v>85.96</v>
      </c>
      <c r="F8104">
        <v>4775800</v>
      </c>
      <c r="G8104">
        <v>85.43</v>
      </c>
      <c r="H8104" t="s">
        <v>18</v>
      </c>
      <c r="I8104" s="22">
        <f t="shared" si="253"/>
        <v>-1.0132270925854905E-2</v>
      </c>
      <c r="J8104" s="22" t="str">
        <f t="shared" si="254"/>
        <v>lost money</v>
      </c>
    </row>
    <row r="8105" spans="1:10">
      <c r="A8105" s="1">
        <v>41502</v>
      </c>
      <c r="B8105">
        <v>85.84</v>
      </c>
      <c r="C8105">
        <v>86.48</v>
      </c>
      <c r="D8105">
        <v>85.83</v>
      </c>
      <c r="E8105">
        <v>86.05</v>
      </c>
      <c r="F8105">
        <v>2822900</v>
      </c>
      <c r="G8105">
        <v>85.52</v>
      </c>
      <c r="H8105" t="s">
        <v>18</v>
      </c>
      <c r="I8105" s="22">
        <f t="shared" si="253"/>
        <v>1.0529395532623499E-3</v>
      </c>
      <c r="J8105" s="22" t="str">
        <f t="shared" si="254"/>
        <v/>
      </c>
    </row>
    <row r="8106" spans="1:10">
      <c r="A8106" s="1">
        <v>41505</v>
      </c>
      <c r="B8106">
        <v>85.81</v>
      </c>
      <c r="C8106">
        <v>86.25</v>
      </c>
      <c r="D8106">
        <v>85.74</v>
      </c>
      <c r="E8106">
        <v>86.08</v>
      </c>
      <c r="F8106">
        <v>2682500</v>
      </c>
      <c r="G8106">
        <v>85.55</v>
      </c>
      <c r="H8106" t="s">
        <v>18</v>
      </c>
      <c r="I8106" s="22">
        <f t="shared" si="253"/>
        <v>3.5073362141264865E-4</v>
      </c>
      <c r="J8106" s="22" t="str">
        <f t="shared" si="254"/>
        <v/>
      </c>
    </row>
    <row r="8107" spans="1:10">
      <c r="A8107" s="1">
        <v>41506</v>
      </c>
      <c r="B8107">
        <v>86.1</v>
      </c>
      <c r="C8107">
        <v>86.75</v>
      </c>
      <c r="D8107">
        <v>85.91</v>
      </c>
      <c r="E8107">
        <v>86.3</v>
      </c>
      <c r="F8107">
        <v>2205300</v>
      </c>
      <c r="G8107">
        <v>85.77</v>
      </c>
      <c r="H8107" t="s">
        <v>18</v>
      </c>
      <c r="I8107" s="22">
        <f t="shared" si="253"/>
        <v>2.5682946641276327E-3</v>
      </c>
      <c r="J8107" s="22" t="str">
        <f t="shared" si="254"/>
        <v/>
      </c>
    </row>
    <row r="8108" spans="1:10">
      <c r="A8108" s="1">
        <v>41507</v>
      </c>
      <c r="B8108">
        <v>86.26</v>
      </c>
      <c r="C8108">
        <v>86.6</v>
      </c>
      <c r="D8108">
        <v>85.9</v>
      </c>
      <c r="E8108">
        <v>86.09</v>
      </c>
      <c r="F8108">
        <v>4179700</v>
      </c>
      <c r="G8108">
        <v>85.56</v>
      </c>
      <c r="H8108" t="s">
        <v>18</v>
      </c>
      <c r="I8108" s="22">
        <f t="shared" si="253"/>
        <v>-2.4514107881251374E-3</v>
      </c>
      <c r="J8108" s="22" t="str">
        <f t="shared" si="254"/>
        <v>lost money</v>
      </c>
    </row>
    <row r="8109" spans="1:10">
      <c r="A8109" s="1">
        <v>41508</v>
      </c>
      <c r="B8109">
        <v>86.1</v>
      </c>
      <c r="C8109">
        <v>87.3</v>
      </c>
      <c r="D8109">
        <v>85.99</v>
      </c>
      <c r="E8109">
        <v>86.96</v>
      </c>
      <c r="F8109">
        <v>2872900</v>
      </c>
      <c r="G8109">
        <v>86.43</v>
      </c>
      <c r="H8109" t="s">
        <v>18</v>
      </c>
      <c r="I8109" s="22">
        <f t="shared" si="253"/>
        <v>1.0116953550342072E-2</v>
      </c>
      <c r="J8109" s="22" t="str">
        <f t="shared" si="254"/>
        <v/>
      </c>
    </row>
    <row r="8110" spans="1:10">
      <c r="A8110" s="1">
        <v>41509</v>
      </c>
      <c r="B8110">
        <v>86.92</v>
      </c>
      <c r="C8110">
        <v>87.44</v>
      </c>
      <c r="D8110">
        <v>86.87</v>
      </c>
      <c r="E8110">
        <v>87.17</v>
      </c>
      <c r="F8110">
        <v>1805000</v>
      </c>
      <c r="G8110">
        <v>86.64</v>
      </c>
      <c r="H8110" t="s">
        <v>18</v>
      </c>
      <c r="I8110" s="22">
        <f t="shared" si="253"/>
        <v>2.4267649281883002E-3</v>
      </c>
      <c r="J8110" s="22" t="str">
        <f t="shared" si="254"/>
        <v/>
      </c>
    </row>
    <row r="8111" spans="1:10">
      <c r="A8111" s="1">
        <v>41512</v>
      </c>
      <c r="B8111">
        <v>87.15</v>
      </c>
      <c r="C8111">
        <v>87.94</v>
      </c>
      <c r="D8111">
        <v>87.15</v>
      </c>
      <c r="E8111">
        <v>87.2</v>
      </c>
      <c r="F8111">
        <v>2208100</v>
      </c>
      <c r="G8111">
        <v>86.66</v>
      </c>
      <c r="H8111" t="s">
        <v>18</v>
      </c>
      <c r="I8111" s="22">
        <f t="shared" si="253"/>
        <v>2.3081361902823038E-4</v>
      </c>
      <c r="J8111" s="22" t="str">
        <f t="shared" si="254"/>
        <v/>
      </c>
    </row>
    <row r="8112" spans="1:10">
      <c r="A8112" s="1">
        <v>41513</v>
      </c>
      <c r="B8112">
        <v>86.47</v>
      </c>
      <c r="C8112">
        <v>86.57</v>
      </c>
      <c r="D8112">
        <v>85.6</v>
      </c>
      <c r="E8112">
        <v>85.84</v>
      </c>
      <c r="F8112">
        <v>3425100</v>
      </c>
      <c r="G8112">
        <v>85.31</v>
      </c>
      <c r="H8112" t="s">
        <v>18</v>
      </c>
      <c r="I8112" s="22">
        <f t="shared" si="253"/>
        <v>-1.5700735391159897E-2</v>
      </c>
      <c r="J8112" s="22" t="str">
        <f t="shared" si="254"/>
        <v>lost money</v>
      </c>
    </row>
    <row r="8113" spans="1:10">
      <c r="A8113" s="1">
        <v>41514</v>
      </c>
      <c r="B8113">
        <v>85.81</v>
      </c>
      <c r="C8113">
        <v>86.08</v>
      </c>
      <c r="D8113">
        <v>85.59</v>
      </c>
      <c r="E8113">
        <v>85.64</v>
      </c>
      <c r="F8113">
        <v>1964400</v>
      </c>
      <c r="G8113">
        <v>85.11</v>
      </c>
      <c r="H8113" t="s">
        <v>18</v>
      </c>
      <c r="I8113" s="22">
        <f t="shared" si="253"/>
        <v>-2.3471434317338005E-3</v>
      </c>
      <c r="J8113" s="22" t="str">
        <f t="shared" si="254"/>
        <v>lost money</v>
      </c>
    </row>
    <row r="8114" spans="1:10">
      <c r="A8114" s="1">
        <v>41515</v>
      </c>
      <c r="B8114">
        <v>85.48</v>
      </c>
      <c r="C8114">
        <v>86.57</v>
      </c>
      <c r="D8114">
        <v>85.34</v>
      </c>
      <c r="E8114">
        <v>85.71</v>
      </c>
      <c r="F8114">
        <v>1571600</v>
      </c>
      <c r="G8114">
        <v>85.18</v>
      </c>
      <c r="H8114" t="s">
        <v>18</v>
      </c>
      <c r="I8114" s="22">
        <f t="shared" si="253"/>
        <v>8.2212700619793363E-4</v>
      </c>
      <c r="J8114" s="22" t="str">
        <f t="shared" si="254"/>
        <v/>
      </c>
    </row>
    <row r="8115" spans="1:10">
      <c r="A8115" s="1">
        <v>41516</v>
      </c>
      <c r="B8115">
        <v>85.76</v>
      </c>
      <c r="C8115">
        <v>85.93</v>
      </c>
      <c r="D8115">
        <v>85.18</v>
      </c>
      <c r="E8115">
        <v>85.58</v>
      </c>
      <c r="F8115">
        <v>2471100</v>
      </c>
      <c r="G8115">
        <v>85.05</v>
      </c>
      <c r="H8115" t="s">
        <v>18</v>
      </c>
      <c r="I8115" s="22">
        <f t="shared" si="253"/>
        <v>-1.5273456531967853E-3</v>
      </c>
      <c r="J8115" s="22" t="str">
        <f t="shared" si="254"/>
        <v>lost money</v>
      </c>
    </row>
    <row r="8116" spans="1:10">
      <c r="A8116" s="1">
        <v>41520</v>
      </c>
      <c r="B8116">
        <v>86.23</v>
      </c>
      <c r="C8116">
        <v>86.5</v>
      </c>
      <c r="D8116">
        <v>85.7</v>
      </c>
      <c r="E8116">
        <v>85.96</v>
      </c>
      <c r="F8116">
        <v>2006800</v>
      </c>
      <c r="G8116">
        <v>85.43</v>
      </c>
      <c r="H8116" t="s">
        <v>18</v>
      </c>
      <c r="I8116" s="22">
        <f t="shared" si="253"/>
        <v>4.4580083216567258E-3</v>
      </c>
      <c r="J8116" s="22" t="str">
        <f t="shared" si="254"/>
        <v>lost money</v>
      </c>
    </row>
    <row r="8117" spans="1:10">
      <c r="A8117" s="1">
        <v>41521</v>
      </c>
      <c r="B8117">
        <v>86.07</v>
      </c>
      <c r="C8117">
        <v>87</v>
      </c>
      <c r="D8117">
        <v>85.88</v>
      </c>
      <c r="E8117">
        <v>86.55</v>
      </c>
      <c r="F8117">
        <v>2187600</v>
      </c>
      <c r="G8117">
        <v>86.02</v>
      </c>
      <c r="H8117" t="s">
        <v>18</v>
      </c>
      <c r="I8117" s="22">
        <f t="shared" si="253"/>
        <v>6.8825001920629451E-3</v>
      </c>
      <c r="J8117" s="22" t="str">
        <f t="shared" si="254"/>
        <v/>
      </c>
    </row>
    <row r="8118" spans="1:10">
      <c r="A8118" s="1">
        <v>41522</v>
      </c>
      <c r="B8118">
        <v>86.54</v>
      </c>
      <c r="C8118">
        <v>87.26</v>
      </c>
      <c r="D8118">
        <v>86.45</v>
      </c>
      <c r="E8118">
        <v>86.81</v>
      </c>
      <c r="F8118">
        <v>1429700</v>
      </c>
      <c r="G8118">
        <v>86.28</v>
      </c>
      <c r="H8118" t="s">
        <v>18</v>
      </c>
      <c r="I8118" s="22">
        <f t="shared" si="253"/>
        <v>3.0179941653653958E-3</v>
      </c>
      <c r="J8118" s="22" t="str">
        <f t="shared" si="254"/>
        <v/>
      </c>
    </row>
    <row r="8119" spans="1:10">
      <c r="A8119" s="1">
        <v>41523</v>
      </c>
      <c r="B8119">
        <v>87.06</v>
      </c>
      <c r="C8119">
        <v>87.38</v>
      </c>
      <c r="D8119">
        <v>86.06</v>
      </c>
      <c r="E8119">
        <v>86.76</v>
      </c>
      <c r="F8119">
        <v>1861500</v>
      </c>
      <c r="G8119">
        <v>86.23</v>
      </c>
      <c r="H8119" t="s">
        <v>18</v>
      </c>
      <c r="I8119" s="22">
        <f t="shared" si="253"/>
        <v>-5.7967655672256746E-4</v>
      </c>
      <c r="J8119" s="22" t="str">
        <f t="shared" si="254"/>
        <v>lost money</v>
      </c>
    </row>
    <row r="8120" spans="1:10">
      <c r="A8120" s="1">
        <v>41526</v>
      </c>
      <c r="B8120">
        <v>86.92</v>
      </c>
      <c r="C8120">
        <v>87.27</v>
      </c>
      <c r="D8120">
        <v>86.84</v>
      </c>
      <c r="E8120">
        <v>87.13</v>
      </c>
      <c r="F8120">
        <v>2099100</v>
      </c>
      <c r="G8120">
        <v>86.6</v>
      </c>
      <c r="H8120" t="s">
        <v>18</v>
      </c>
      <c r="I8120" s="22">
        <f t="shared" si="253"/>
        <v>4.2816706041562602E-3</v>
      </c>
      <c r="J8120" s="22" t="str">
        <f t="shared" si="254"/>
        <v/>
      </c>
    </row>
    <row r="8121" spans="1:10">
      <c r="A8121" s="1">
        <v>41527</v>
      </c>
      <c r="B8121">
        <v>87.58</v>
      </c>
      <c r="C8121">
        <v>88.2</v>
      </c>
      <c r="D8121">
        <v>87.46</v>
      </c>
      <c r="E8121">
        <v>88.07</v>
      </c>
      <c r="F8121">
        <v>2828000</v>
      </c>
      <c r="G8121">
        <v>87.53</v>
      </c>
      <c r="H8121" t="s">
        <v>18</v>
      </c>
      <c r="I8121" s="22">
        <f t="shared" si="253"/>
        <v>1.0681776175957202E-2</v>
      </c>
      <c r="J8121" s="22" t="str">
        <f t="shared" si="254"/>
        <v/>
      </c>
    </row>
    <row r="8122" spans="1:10">
      <c r="A8122" s="1">
        <v>41528</v>
      </c>
      <c r="B8122">
        <v>88.09</v>
      </c>
      <c r="C8122">
        <v>88.91</v>
      </c>
      <c r="D8122">
        <v>87.93</v>
      </c>
      <c r="E8122">
        <v>88.75</v>
      </c>
      <c r="F8122">
        <v>2763900</v>
      </c>
      <c r="G8122">
        <v>88.21</v>
      </c>
      <c r="H8122" t="s">
        <v>18</v>
      </c>
      <c r="I8122" s="22">
        <f t="shared" si="253"/>
        <v>7.7387435263288193E-3</v>
      </c>
      <c r="J8122" s="22" t="str">
        <f t="shared" si="254"/>
        <v/>
      </c>
    </row>
    <row r="8123" spans="1:10">
      <c r="A8123" s="1">
        <v>41529</v>
      </c>
      <c r="B8123">
        <v>88.86</v>
      </c>
      <c r="C8123">
        <v>89.27</v>
      </c>
      <c r="D8123">
        <v>88.5</v>
      </c>
      <c r="E8123">
        <v>88.59</v>
      </c>
      <c r="F8123">
        <v>2187900</v>
      </c>
      <c r="G8123">
        <v>88.05</v>
      </c>
      <c r="H8123" t="s">
        <v>18</v>
      </c>
      <c r="I8123" s="22">
        <f t="shared" si="253"/>
        <v>-1.8155003284603523E-3</v>
      </c>
      <c r="J8123" s="22" t="str">
        <f t="shared" si="254"/>
        <v>lost money</v>
      </c>
    </row>
    <row r="8124" spans="1:10">
      <c r="A8124" s="1">
        <v>41530</v>
      </c>
      <c r="B8124">
        <v>88.77</v>
      </c>
      <c r="C8124">
        <v>88.99</v>
      </c>
      <c r="D8124">
        <v>88.44</v>
      </c>
      <c r="E8124">
        <v>88.66</v>
      </c>
      <c r="F8124">
        <v>1553100</v>
      </c>
      <c r="G8124">
        <v>88.12</v>
      </c>
      <c r="H8124" t="s">
        <v>18</v>
      </c>
      <c r="I8124" s="22">
        <f t="shared" si="253"/>
        <v>7.9468699192738394E-4</v>
      </c>
      <c r="J8124" s="22" t="str">
        <f t="shared" si="254"/>
        <v>lost money</v>
      </c>
    </row>
    <row r="8125" spans="1:10">
      <c r="A8125" s="1">
        <v>41533</v>
      </c>
      <c r="B8125">
        <v>89.92</v>
      </c>
      <c r="C8125">
        <v>90.41</v>
      </c>
      <c r="D8125">
        <v>89.52</v>
      </c>
      <c r="E8125">
        <v>89.59</v>
      </c>
      <c r="F8125">
        <v>3454700</v>
      </c>
      <c r="G8125">
        <v>89.04</v>
      </c>
      <c r="H8125" t="s">
        <v>18</v>
      </c>
      <c r="I8125" s="22">
        <f t="shared" si="253"/>
        <v>1.0386185033147123E-2</v>
      </c>
      <c r="J8125" s="22" t="str">
        <f t="shared" si="254"/>
        <v>lost money</v>
      </c>
    </row>
    <row r="8126" spans="1:10">
      <c r="A8126" s="1">
        <v>41534</v>
      </c>
      <c r="B8126">
        <v>89.62</v>
      </c>
      <c r="C8126">
        <v>90.2</v>
      </c>
      <c r="D8126">
        <v>89.25</v>
      </c>
      <c r="E8126">
        <v>89.89</v>
      </c>
      <c r="F8126">
        <v>2355900</v>
      </c>
      <c r="G8126">
        <v>89.34</v>
      </c>
      <c r="H8126" t="s">
        <v>18</v>
      </c>
      <c r="I8126" s="22">
        <f t="shared" si="253"/>
        <v>3.3636089566832024E-3</v>
      </c>
      <c r="J8126" s="22" t="str">
        <f t="shared" si="254"/>
        <v/>
      </c>
    </row>
    <row r="8127" spans="1:10">
      <c r="A8127" s="1">
        <v>41535</v>
      </c>
      <c r="B8127">
        <v>89.99</v>
      </c>
      <c r="C8127">
        <v>91.1</v>
      </c>
      <c r="D8127">
        <v>89.75</v>
      </c>
      <c r="E8127">
        <v>90.97</v>
      </c>
      <c r="F8127">
        <v>4019200</v>
      </c>
      <c r="G8127">
        <v>90.41</v>
      </c>
      <c r="H8127" t="s">
        <v>18</v>
      </c>
      <c r="I8127" s="22">
        <f t="shared" si="253"/>
        <v>1.1905564825302296E-2</v>
      </c>
      <c r="J8127" s="22" t="str">
        <f t="shared" si="254"/>
        <v/>
      </c>
    </row>
    <row r="8128" spans="1:10">
      <c r="A8128" s="1">
        <v>41536</v>
      </c>
      <c r="B8128">
        <v>90.95</v>
      </c>
      <c r="C8128">
        <v>92.05</v>
      </c>
      <c r="D8128">
        <v>90.81</v>
      </c>
      <c r="E8128">
        <v>91.7</v>
      </c>
      <c r="F8128">
        <v>3140800</v>
      </c>
      <c r="G8128">
        <v>91.14</v>
      </c>
      <c r="H8128" t="s">
        <v>18</v>
      </c>
      <c r="I8128" s="22">
        <f t="shared" si="253"/>
        <v>8.0419050864615777E-3</v>
      </c>
      <c r="J8128" s="22" t="str">
        <f t="shared" si="254"/>
        <v/>
      </c>
    </row>
    <row r="8129" spans="1:10">
      <c r="A8129" s="1">
        <v>41537</v>
      </c>
      <c r="B8129">
        <v>91.72</v>
      </c>
      <c r="C8129">
        <v>92.12</v>
      </c>
      <c r="D8129">
        <v>91.43</v>
      </c>
      <c r="E8129">
        <v>91.55</v>
      </c>
      <c r="F8129">
        <v>5317500</v>
      </c>
      <c r="G8129">
        <v>90.99</v>
      </c>
      <c r="H8129" t="s">
        <v>18</v>
      </c>
      <c r="I8129" s="22">
        <f t="shared" si="253"/>
        <v>-1.6471754671371066E-3</v>
      </c>
      <c r="J8129" s="22" t="str">
        <f t="shared" si="254"/>
        <v>lost money</v>
      </c>
    </row>
    <row r="8130" spans="1:10">
      <c r="A8130" s="1">
        <v>41540</v>
      </c>
      <c r="B8130">
        <v>91.52</v>
      </c>
      <c r="C8130">
        <v>91.59</v>
      </c>
      <c r="D8130">
        <v>90.36</v>
      </c>
      <c r="E8130">
        <v>91.29</v>
      </c>
      <c r="F8130">
        <v>3229200</v>
      </c>
      <c r="G8130">
        <v>90.73</v>
      </c>
      <c r="H8130" t="s">
        <v>18</v>
      </c>
      <c r="I8130" s="22">
        <f t="shared" si="253"/>
        <v>-2.8615471870617475E-3</v>
      </c>
      <c r="J8130" s="22" t="str">
        <f t="shared" si="254"/>
        <v>lost money</v>
      </c>
    </row>
    <row r="8131" spans="1:10">
      <c r="A8131" s="1">
        <v>41541</v>
      </c>
      <c r="B8131">
        <v>91.2</v>
      </c>
      <c r="C8131">
        <v>91.99</v>
      </c>
      <c r="D8131">
        <v>91.04</v>
      </c>
      <c r="E8131">
        <v>91.26</v>
      </c>
      <c r="F8131">
        <v>2931200</v>
      </c>
      <c r="G8131">
        <v>90.7</v>
      </c>
      <c r="H8131" t="s">
        <v>18</v>
      </c>
      <c r="I8131" s="22">
        <f t="shared" ref="I8131:I8194" si="255">IF(A8131=$A$2,"",LN(G8131/G8130))</f>
        <v>-3.3070606044664601E-4</v>
      </c>
      <c r="J8131" s="22" t="str">
        <f t="shared" ref="J8131:J8194" si="256">IF(B8131&gt;E8131,"lost money","")</f>
        <v/>
      </c>
    </row>
    <row r="8132" spans="1:10">
      <c r="A8132" s="1">
        <v>41542</v>
      </c>
      <c r="B8132">
        <v>91.19</v>
      </c>
      <c r="C8132">
        <v>91.54</v>
      </c>
      <c r="D8132">
        <v>90.66</v>
      </c>
      <c r="E8132">
        <v>91</v>
      </c>
      <c r="F8132">
        <v>2544100</v>
      </c>
      <c r="G8132">
        <v>90.44</v>
      </c>
      <c r="H8132" t="s">
        <v>18</v>
      </c>
      <c r="I8132" s="22">
        <f t="shared" si="255"/>
        <v>-2.8707097113218256E-3</v>
      </c>
      <c r="J8132" s="22" t="str">
        <f t="shared" si="256"/>
        <v>lost money</v>
      </c>
    </row>
    <row r="8133" spans="1:10">
      <c r="A8133" s="1">
        <v>41543</v>
      </c>
      <c r="B8133">
        <v>91.18</v>
      </c>
      <c r="C8133">
        <v>91.8</v>
      </c>
      <c r="D8133">
        <v>91.07</v>
      </c>
      <c r="E8133">
        <v>91.8</v>
      </c>
      <c r="F8133">
        <v>2734300</v>
      </c>
      <c r="G8133">
        <v>91.24</v>
      </c>
      <c r="H8133" t="s">
        <v>18</v>
      </c>
      <c r="I8133" s="22">
        <f t="shared" si="255"/>
        <v>8.8067500064182239E-3</v>
      </c>
      <c r="J8133" s="22" t="str">
        <f t="shared" si="256"/>
        <v/>
      </c>
    </row>
    <row r="8134" spans="1:10">
      <c r="A8134" s="1">
        <v>41544</v>
      </c>
      <c r="B8134">
        <v>91.5</v>
      </c>
      <c r="C8134">
        <v>91.7</v>
      </c>
      <c r="D8134">
        <v>90.75</v>
      </c>
      <c r="E8134">
        <v>91.25</v>
      </c>
      <c r="F8134">
        <v>2390500</v>
      </c>
      <c r="G8134">
        <v>90.69</v>
      </c>
      <c r="H8134" t="s">
        <v>18</v>
      </c>
      <c r="I8134" s="22">
        <f t="shared" si="255"/>
        <v>-6.0462999567109229E-3</v>
      </c>
      <c r="J8134" s="22" t="str">
        <f t="shared" si="256"/>
        <v>lost money</v>
      </c>
    </row>
    <row r="8135" spans="1:10">
      <c r="A8135" s="1">
        <v>41547</v>
      </c>
      <c r="B8135">
        <v>90.69</v>
      </c>
      <c r="C8135">
        <v>91.87</v>
      </c>
      <c r="D8135">
        <v>90.45</v>
      </c>
      <c r="E8135">
        <v>91.37</v>
      </c>
      <c r="F8135">
        <v>2436600</v>
      </c>
      <c r="G8135">
        <v>90.81</v>
      </c>
      <c r="H8135" t="s">
        <v>18</v>
      </c>
      <c r="I8135" s="22">
        <f t="shared" si="255"/>
        <v>1.3223142422606644E-3</v>
      </c>
      <c r="J8135" s="22" t="str">
        <f t="shared" si="256"/>
        <v/>
      </c>
    </row>
    <row r="8136" spans="1:10">
      <c r="A8136" s="1">
        <v>41548</v>
      </c>
      <c r="B8136">
        <v>91.43</v>
      </c>
      <c r="C8136">
        <v>91.85</v>
      </c>
      <c r="D8136">
        <v>91.37</v>
      </c>
      <c r="E8136">
        <v>91.8</v>
      </c>
      <c r="F8136">
        <v>1800900</v>
      </c>
      <c r="G8136">
        <v>91.24</v>
      </c>
      <c r="H8136" t="s">
        <v>18</v>
      </c>
      <c r="I8136" s="22">
        <f t="shared" si="255"/>
        <v>4.7239857144502004E-3</v>
      </c>
      <c r="J8136" s="22" t="str">
        <f t="shared" si="256"/>
        <v/>
      </c>
    </row>
    <row r="8137" spans="1:10">
      <c r="A8137" s="1">
        <v>41549</v>
      </c>
      <c r="B8137">
        <v>91.26</v>
      </c>
      <c r="C8137">
        <v>91.44</v>
      </c>
      <c r="D8137">
        <v>90.82</v>
      </c>
      <c r="E8137">
        <v>91.28</v>
      </c>
      <c r="F8137">
        <v>2558900</v>
      </c>
      <c r="G8137">
        <v>90.72</v>
      </c>
      <c r="H8137" t="s">
        <v>18</v>
      </c>
      <c r="I8137" s="22">
        <f t="shared" si="255"/>
        <v>-5.7155574367452559E-3</v>
      </c>
      <c r="J8137" s="22" t="str">
        <f t="shared" si="256"/>
        <v/>
      </c>
    </row>
    <row r="8138" spans="1:10">
      <c r="A8138" s="1">
        <v>41550</v>
      </c>
      <c r="B8138">
        <v>91.09</v>
      </c>
      <c r="C8138">
        <v>91.15</v>
      </c>
      <c r="D8138">
        <v>89.8</v>
      </c>
      <c r="E8138">
        <v>90.1</v>
      </c>
      <c r="F8138">
        <v>3168000</v>
      </c>
      <c r="G8138">
        <v>89.55</v>
      </c>
      <c r="H8138" t="s">
        <v>18</v>
      </c>
      <c r="I8138" s="22">
        <f t="shared" si="255"/>
        <v>-1.2980711472721222E-2</v>
      </c>
      <c r="J8138" s="22" t="str">
        <f t="shared" si="256"/>
        <v>lost money</v>
      </c>
    </row>
    <row r="8139" spans="1:10">
      <c r="A8139" s="1">
        <v>41551</v>
      </c>
      <c r="B8139">
        <v>90.16</v>
      </c>
      <c r="C8139">
        <v>91.08</v>
      </c>
      <c r="D8139">
        <v>89.64</v>
      </c>
      <c r="E8139">
        <v>91</v>
      </c>
      <c r="F8139">
        <v>2253700</v>
      </c>
      <c r="G8139">
        <v>90.44</v>
      </c>
      <c r="H8139" t="s">
        <v>18</v>
      </c>
      <c r="I8139" s="22">
        <f t="shared" si="255"/>
        <v>9.8895189030483513E-3</v>
      </c>
      <c r="J8139" s="22" t="str">
        <f t="shared" si="256"/>
        <v/>
      </c>
    </row>
    <row r="8140" spans="1:10">
      <c r="A8140" s="1">
        <v>41554</v>
      </c>
      <c r="B8140">
        <v>90.21</v>
      </c>
      <c r="C8140">
        <v>90.54</v>
      </c>
      <c r="D8140">
        <v>89.53</v>
      </c>
      <c r="E8140">
        <v>90.03</v>
      </c>
      <c r="F8140">
        <v>1707200</v>
      </c>
      <c r="G8140">
        <v>89.48</v>
      </c>
      <c r="H8140" t="s">
        <v>18</v>
      </c>
      <c r="I8140" s="22">
        <f t="shared" si="255"/>
        <v>-1.0671510787840217E-2</v>
      </c>
      <c r="J8140" s="22" t="str">
        <f t="shared" si="256"/>
        <v>lost money</v>
      </c>
    </row>
    <row r="8141" spans="1:10">
      <c r="A8141" s="1">
        <v>41555</v>
      </c>
      <c r="B8141">
        <v>89.88</v>
      </c>
      <c r="C8141">
        <v>90.16</v>
      </c>
      <c r="D8141">
        <v>88.9</v>
      </c>
      <c r="E8141">
        <v>88.93</v>
      </c>
      <c r="F8141">
        <v>2149200</v>
      </c>
      <c r="G8141">
        <v>88.38</v>
      </c>
      <c r="H8141" t="s">
        <v>18</v>
      </c>
      <c r="I8141" s="22">
        <f t="shared" si="255"/>
        <v>-1.2369436919335093E-2</v>
      </c>
      <c r="J8141" s="22" t="str">
        <f t="shared" si="256"/>
        <v>lost money</v>
      </c>
    </row>
    <row r="8142" spans="1:10">
      <c r="A8142" s="1">
        <v>41556</v>
      </c>
      <c r="B8142">
        <v>89.18</v>
      </c>
      <c r="C8142">
        <v>89.25</v>
      </c>
      <c r="D8142">
        <v>88.45</v>
      </c>
      <c r="E8142">
        <v>88.7</v>
      </c>
      <c r="F8142">
        <v>2455300</v>
      </c>
      <c r="G8142">
        <v>88.16</v>
      </c>
      <c r="H8142" t="s">
        <v>18</v>
      </c>
      <c r="I8142" s="22">
        <f t="shared" si="255"/>
        <v>-2.492354297989499E-3</v>
      </c>
      <c r="J8142" s="22" t="str">
        <f t="shared" si="256"/>
        <v>lost money</v>
      </c>
    </row>
    <row r="8143" spans="1:10">
      <c r="A8143" s="1">
        <v>41557</v>
      </c>
      <c r="B8143">
        <v>89.38</v>
      </c>
      <c r="C8143">
        <v>90.32</v>
      </c>
      <c r="D8143">
        <v>88.91</v>
      </c>
      <c r="E8143">
        <v>90.28</v>
      </c>
      <c r="F8143">
        <v>2540900</v>
      </c>
      <c r="G8143">
        <v>89.73</v>
      </c>
      <c r="H8143" t="s">
        <v>18</v>
      </c>
      <c r="I8143" s="22">
        <f t="shared" si="255"/>
        <v>1.7651815905362155E-2</v>
      </c>
      <c r="J8143" s="22" t="str">
        <f t="shared" si="256"/>
        <v/>
      </c>
    </row>
    <row r="8144" spans="1:10">
      <c r="A8144" s="1">
        <v>41558</v>
      </c>
      <c r="B8144">
        <v>90.21</v>
      </c>
      <c r="C8144">
        <v>90.8</v>
      </c>
      <c r="D8144">
        <v>90.21</v>
      </c>
      <c r="E8144">
        <v>90.77</v>
      </c>
      <c r="F8144">
        <v>1825800</v>
      </c>
      <c r="G8144">
        <v>90.21</v>
      </c>
      <c r="H8144" t="s">
        <v>18</v>
      </c>
      <c r="I8144" s="22">
        <f t="shared" si="255"/>
        <v>5.3351243585809489E-3</v>
      </c>
      <c r="J8144" s="22" t="str">
        <f t="shared" si="256"/>
        <v/>
      </c>
    </row>
    <row r="8145" spans="1:10">
      <c r="A8145" s="1">
        <v>41561</v>
      </c>
      <c r="B8145">
        <v>90.34</v>
      </c>
      <c r="C8145">
        <v>90.68</v>
      </c>
      <c r="D8145">
        <v>90.15</v>
      </c>
      <c r="E8145">
        <v>90.36</v>
      </c>
      <c r="F8145">
        <v>2283200</v>
      </c>
      <c r="G8145">
        <v>89.81</v>
      </c>
      <c r="H8145" t="s">
        <v>18</v>
      </c>
      <c r="I8145" s="22">
        <f t="shared" si="255"/>
        <v>-4.4439579856889637E-3</v>
      </c>
      <c r="J8145" s="22" t="str">
        <f t="shared" si="256"/>
        <v/>
      </c>
    </row>
    <row r="8146" spans="1:10">
      <c r="A8146" s="1">
        <v>41562</v>
      </c>
      <c r="B8146">
        <v>90.38</v>
      </c>
      <c r="C8146">
        <v>91.56</v>
      </c>
      <c r="D8146">
        <v>90.18</v>
      </c>
      <c r="E8146">
        <v>90.28</v>
      </c>
      <c r="F8146">
        <v>3144200</v>
      </c>
      <c r="G8146">
        <v>89.73</v>
      </c>
      <c r="H8146" t="s">
        <v>18</v>
      </c>
      <c r="I8146" s="22">
        <f t="shared" si="255"/>
        <v>-8.9116637289198203E-4</v>
      </c>
      <c r="J8146" s="22" t="str">
        <f t="shared" si="256"/>
        <v>lost money</v>
      </c>
    </row>
    <row r="8147" spans="1:10">
      <c r="A8147" s="1">
        <v>41563</v>
      </c>
      <c r="B8147">
        <v>90.56</v>
      </c>
      <c r="C8147">
        <v>91.47</v>
      </c>
      <c r="D8147">
        <v>90.5</v>
      </c>
      <c r="E8147">
        <v>91.33</v>
      </c>
      <c r="F8147">
        <v>2607500</v>
      </c>
      <c r="G8147">
        <v>90.77</v>
      </c>
      <c r="H8147" t="s">
        <v>18</v>
      </c>
      <c r="I8147" s="22">
        <f t="shared" si="255"/>
        <v>1.1523673228569394E-2</v>
      </c>
      <c r="J8147" s="22" t="str">
        <f t="shared" si="256"/>
        <v/>
      </c>
    </row>
    <row r="8148" spans="1:10">
      <c r="A8148" s="1">
        <v>41564</v>
      </c>
      <c r="B8148">
        <v>91.21</v>
      </c>
      <c r="C8148">
        <v>92.01</v>
      </c>
      <c r="D8148">
        <v>91.03</v>
      </c>
      <c r="E8148">
        <v>91.92</v>
      </c>
      <c r="F8148">
        <v>1954900</v>
      </c>
      <c r="G8148">
        <v>91.36</v>
      </c>
      <c r="H8148" t="s">
        <v>18</v>
      </c>
      <c r="I8148" s="22">
        <f t="shared" si="255"/>
        <v>6.4789113691641918E-3</v>
      </c>
      <c r="J8148" s="22" t="str">
        <f t="shared" si="256"/>
        <v/>
      </c>
    </row>
    <row r="8149" spans="1:10">
      <c r="A8149" s="1">
        <v>41565</v>
      </c>
      <c r="B8149">
        <v>92.31</v>
      </c>
      <c r="C8149">
        <v>93.01</v>
      </c>
      <c r="D8149">
        <v>91.94</v>
      </c>
      <c r="E8149">
        <v>93</v>
      </c>
      <c r="F8149">
        <v>3168500</v>
      </c>
      <c r="G8149">
        <v>92.43</v>
      </c>
      <c r="H8149" t="s">
        <v>18</v>
      </c>
      <c r="I8149" s="22">
        <f t="shared" si="255"/>
        <v>1.1643855368986206E-2</v>
      </c>
      <c r="J8149" s="22" t="str">
        <f t="shared" si="256"/>
        <v/>
      </c>
    </row>
    <row r="8150" spans="1:10">
      <c r="A8150" s="1">
        <v>41568</v>
      </c>
      <c r="B8150">
        <v>93.1</v>
      </c>
      <c r="C8150">
        <v>93.94</v>
      </c>
      <c r="D8150">
        <v>92.93</v>
      </c>
      <c r="E8150">
        <v>93.78</v>
      </c>
      <c r="F8150">
        <v>3778800</v>
      </c>
      <c r="G8150">
        <v>93.2</v>
      </c>
      <c r="H8150" t="s">
        <v>18</v>
      </c>
      <c r="I8150" s="22">
        <f t="shared" si="255"/>
        <v>8.2961204148593003E-3</v>
      </c>
      <c r="J8150" s="22" t="str">
        <f t="shared" si="256"/>
        <v/>
      </c>
    </row>
    <row r="8151" spans="1:10">
      <c r="A8151" s="1">
        <v>41569</v>
      </c>
      <c r="B8151">
        <v>93.96</v>
      </c>
      <c r="C8151">
        <v>94.84</v>
      </c>
      <c r="D8151">
        <v>93.65</v>
      </c>
      <c r="E8151">
        <v>93.77</v>
      </c>
      <c r="F8151">
        <v>3000900</v>
      </c>
      <c r="G8151">
        <v>93.19</v>
      </c>
      <c r="H8151" t="s">
        <v>18</v>
      </c>
      <c r="I8151" s="22">
        <f t="shared" si="255"/>
        <v>-1.0730189398138813E-4</v>
      </c>
      <c r="J8151" s="22" t="str">
        <f t="shared" si="256"/>
        <v>lost money</v>
      </c>
    </row>
    <row r="8152" spans="1:10">
      <c r="A8152" s="1">
        <v>41570</v>
      </c>
      <c r="B8152">
        <v>93.52</v>
      </c>
      <c r="C8152">
        <v>94.03</v>
      </c>
      <c r="D8152">
        <v>93.22</v>
      </c>
      <c r="E8152">
        <v>93.95</v>
      </c>
      <c r="F8152">
        <v>2654400</v>
      </c>
      <c r="G8152">
        <v>93.37</v>
      </c>
      <c r="H8152" t="s">
        <v>18</v>
      </c>
      <c r="I8152" s="22">
        <f t="shared" si="255"/>
        <v>1.9296746982705832E-3</v>
      </c>
      <c r="J8152" s="22" t="str">
        <f t="shared" si="256"/>
        <v/>
      </c>
    </row>
    <row r="8153" spans="1:10">
      <c r="A8153" s="1">
        <v>41571</v>
      </c>
      <c r="B8153">
        <v>94.18</v>
      </c>
      <c r="C8153">
        <v>95.4</v>
      </c>
      <c r="D8153">
        <v>94.18</v>
      </c>
      <c r="E8153">
        <v>94.49</v>
      </c>
      <c r="F8153">
        <v>4802700</v>
      </c>
      <c r="G8153">
        <v>93.91</v>
      </c>
      <c r="H8153" t="s">
        <v>18</v>
      </c>
      <c r="I8153" s="22">
        <f t="shared" si="255"/>
        <v>5.7667823206875709E-3</v>
      </c>
      <c r="J8153" s="22" t="str">
        <f t="shared" si="256"/>
        <v/>
      </c>
    </row>
    <row r="8154" spans="1:10">
      <c r="A8154" s="1">
        <v>41572</v>
      </c>
      <c r="B8154">
        <v>96.67</v>
      </c>
      <c r="C8154">
        <v>97</v>
      </c>
      <c r="D8154">
        <v>94.16</v>
      </c>
      <c r="E8154">
        <v>95.61</v>
      </c>
      <c r="F8154">
        <v>5203400</v>
      </c>
      <c r="G8154">
        <v>95.02</v>
      </c>
      <c r="H8154" t="s">
        <v>18</v>
      </c>
      <c r="I8154" s="22">
        <f t="shared" si="255"/>
        <v>1.1750518942252973E-2</v>
      </c>
      <c r="J8154" s="22" t="str">
        <f t="shared" si="256"/>
        <v>lost money</v>
      </c>
    </row>
    <row r="8155" spans="1:10">
      <c r="A8155" s="1">
        <v>41575</v>
      </c>
      <c r="B8155">
        <v>95.45</v>
      </c>
      <c r="C8155">
        <v>98.78</v>
      </c>
      <c r="D8155">
        <v>95.45</v>
      </c>
      <c r="E8155">
        <v>97.77</v>
      </c>
      <c r="F8155">
        <v>5926700</v>
      </c>
      <c r="G8155">
        <v>97.17</v>
      </c>
      <c r="H8155" t="s">
        <v>18</v>
      </c>
      <c r="I8155" s="22">
        <f t="shared" si="255"/>
        <v>2.2374626092572514E-2</v>
      </c>
      <c r="J8155" s="22" t="str">
        <f t="shared" si="256"/>
        <v/>
      </c>
    </row>
    <row r="8156" spans="1:10">
      <c r="A8156" s="1">
        <v>41576</v>
      </c>
      <c r="B8156">
        <v>97.82</v>
      </c>
      <c r="C8156">
        <v>98.41</v>
      </c>
      <c r="D8156">
        <v>96.66</v>
      </c>
      <c r="E8156">
        <v>98.31</v>
      </c>
      <c r="F8156">
        <v>6452700</v>
      </c>
      <c r="G8156">
        <v>97.71</v>
      </c>
      <c r="H8156" t="s">
        <v>18</v>
      </c>
      <c r="I8156" s="22">
        <f t="shared" si="255"/>
        <v>5.5418861049042062E-3</v>
      </c>
      <c r="J8156" s="22" t="str">
        <f t="shared" si="256"/>
        <v/>
      </c>
    </row>
    <row r="8157" spans="1:10">
      <c r="A8157" s="1">
        <v>41577</v>
      </c>
      <c r="B8157">
        <v>98.21</v>
      </c>
      <c r="C8157">
        <v>98.79</v>
      </c>
      <c r="D8157">
        <v>98.01</v>
      </c>
      <c r="E8157">
        <v>98.28</v>
      </c>
      <c r="F8157">
        <v>3975200</v>
      </c>
      <c r="G8157">
        <v>97.68</v>
      </c>
      <c r="H8157" t="s">
        <v>18</v>
      </c>
      <c r="I8157" s="22">
        <f t="shared" si="255"/>
        <v>-3.0707815380240372E-4</v>
      </c>
      <c r="J8157" s="22" t="str">
        <f t="shared" si="256"/>
        <v/>
      </c>
    </row>
    <row r="8158" spans="1:10">
      <c r="A8158" s="1">
        <v>41578</v>
      </c>
      <c r="B8158">
        <v>97.85</v>
      </c>
      <c r="C8158">
        <v>98.99</v>
      </c>
      <c r="D8158">
        <v>97.34</v>
      </c>
      <c r="E8158">
        <v>98.24</v>
      </c>
      <c r="F8158">
        <v>4213200</v>
      </c>
      <c r="G8158">
        <v>97.64</v>
      </c>
      <c r="H8158" t="s">
        <v>18</v>
      </c>
      <c r="I8158" s="22">
        <f t="shared" si="255"/>
        <v>-4.0958427769000684E-4</v>
      </c>
      <c r="J8158" s="22" t="str">
        <f t="shared" si="256"/>
        <v/>
      </c>
    </row>
    <row r="8159" spans="1:10">
      <c r="A8159" s="1">
        <v>41579</v>
      </c>
      <c r="B8159">
        <v>98.28</v>
      </c>
      <c r="C8159">
        <v>98.82</v>
      </c>
      <c r="D8159">
        <v>97.75</v>
      </c>
      <c r="E8159">
        <v>98.22</v>
      </c>
      <c r="F8159">
        <v>2944500</v>
      </c>
      <c r="G8159">
        <v>97.62</v>
      </c>
      <c r="H8159" t="s">
        <v>18</v>
      </c>
      <c r="I8159" s="22">
        <f t="shared" si="255"/>
        <v>-2.0485506575789323E-4</v>
      </c>
      <c r="J8159" s="22" t="str">
        <f t="shared" si="256"/>
        <v>lost money</v>
      </c>
    </row>
    <row r="8160" spans="1:10">
      <c r="A8160" s="1">
        <v>41582</v>
      </c>
      <c r="B8160">
        <v>98.77</v>
      </c>
      <c r="C8160">
        <v>99.9</v>
      </c>
      <c r="D8160">
        <v>98.64</v>
      </c>
      <c r="E8160">
        <v>99.88</v>
      </c>
      <c r="F8160">
        <v>3009600</v>
      </c>
      <c r="G8160">
        <v>99.27</v>
      </c>
      <c r="H8160" t="s">
        <v>18</v>
      </c>
      <c r="I8160" s="22">
        <f t="shared" si="255"/>
        <v>1.676102014262907E-2</v>
      </c>
      <c r="J8160" s="22" t="str">
        <f t="shared" si="256"/>
        <v/>
      </c>
    </row>
    <row r="8161" spans="1:10">
      <c r="A8161" s="1">
        <v>41583</v>
      </c>
      <c r="B8161">
        <v>99.36</v>
      </c>
      <c r="C8161">
        <v>100.67</v>
      </c>
      <c r="D8161">
        <v>99.01</v>
      </c>
      <c r="E8161">
        <v>100.3</v>
      </c>
      <c r="F8161">
        <v>3912700</v>
      </c>
      <c r="G8161">
        <v>99.68</v>
      </c>
      <c r="H8161" t="s">
        <v>18</v>
      </c>
      <c r="I8161" s="22">
        <f t="shared" si="255"/>
        <v>4.1216444375126535E-3</v>
      </c>
      <c r="J8161" s="22" t="str">
        <f t="shared" si="256"/>
        <v/>
      </c>
    </row>
    <row r="8162" spans="1:10">
      <c r="A8162" s="1">
        <v>41584</v>
      </c>
      <c r="B8162">
        <v>100.31</v>
      </c>
      <c r="C8162">
        <v>100.59</v>
      </c>
      <c r="D8162">
        <v>98.78</v>
      </c>
      <c r="E8162">
        <v>99.1</v>
      </c>
      <c r="F8162">
        <v>4088400</v>
      </c>
      <c r="G8162">
        <v>98.49</v>
      </c>
      <c r="H8162" t="s">
        <v>18</v>
      </c>
      <c r="I8162" s="22">
        <f t="shared" si="255"/>
        <v>-1.2010034857532119E-2</v>
      </c>
      <c r="J8162" s="22" t="str">
        <f t="shared" si="256"/>
        <v>lost money</v>
      </c>
    </row>
    <row r="8163" spans="1:10">
      <c r="A8163" s="1">
        <v>41585</v>
      </c>
      <c r="B8163">
        <v>99.52</v>
      </c>
      <c r="C8163">
        <v>99.93</v>
      </c>
      <c r="D8163">
        <v>98.54</v>
      </c>
      <c r="E8163">
        <v>98.59</v>
      </c>
      <c r="F8163">
        <v>2961400</v>
      </c>
      <c r="G8163">
        <v>97.99</v>
      </c>
      <c r="H8163" t="s">
        <v>18</v>
      </c>
      <c r="I8163" s="22">
        <f t="shared" si="255"/>
        <v>-5.0895875338839124E-3</v>
      </c>
      <c r="J8163" s="22" t="str">
        <f t="shared" si="256"/>
        <v>lost money</v>
      </c>
    </row>
    <row r="8164" spans="1:10">
      <c r="A8164" s="1">
        <v>41586</v>
      </c>
      <c r="B8164">
        <v>98.48</v>
      </c>
      <c r="C8164">
        <v>99.87</v>
      </c>
      <c r="D8164">
        <v>98.47</v>
      </c>
      <c r="E8164">
        <v>99.62</v>
      </c>
      <c r="F8164">
        <v>3886000</v>
      </c>
      <c r="G8164">
        <v>99.01</v>
      </c>
      <c r="H8164" t="s">
        <v>18</v>
      </c>
      <c r="I8164" s="22">
        <f t="shared" si="255"/>
        <v>1.0355422486696251E-2</v>
      </c>
      <c r="J8164" s="22" t="str">
        <f t="shared" si="256"/>
        <v/>
      </c>
    </row>
    <row r="8165" spans="1:10">
      <c r="A8165" s="1">
        <v>41589</v>
      </c>
      <c r="B8165">
        <v>99.51</v>
      </c>
      <c r="C8165">
        <v>99.8</v>
      </c>
      <c r="D8165">
        <v>99.09</v>
      </c>
      <c r="E8165">
        <v>99.28</v>
      </c>
      <c r="F8165">
        <v>4214600</v>
      </c>
      <c r="G8165">
        <v>98.67</v>
      </c>
      <c r="H8165" t="s">
        <v>18</v>
      </c>
      <c r="I8165" s="22">
        <f t="shared" si="255"/>
        <v>-3.4399062653480742E-3</v>
      </c>
      <c r="J8165" s="22" t="str">
        <f t="shared" si="256"/>
        <v>lost money</v>
      </c>
    </row>
    <row r="8166" spans="1:10">
      <c r="A8166" s="1">
        <v>41590</v>
      </c>
      <c r="B8166">
        <v>98.94</v>
      </c>
      <c r="C8166">
        <v>100.08</v>
      </c>
      <c r="D8166">
        <v>98.76</v>
      </c>
      <c r="E8166">
        <v>99.82</v>
      </c>
      <c r="F8166">
        <v>3549900</v>
      </c>
      <c r="G8166">
        <v>99.21</v>
      </c>
      <c r="H8166" t="s">
        <v>18</v>
      </c>
      <c r="I8166" s="22">
        <f t="shared" si="255"/>
        <v>5.4578667927356276E-3</v>
      </c>
      <c r="J8166" s="22" t="str">
        <f t="shared" si="256"/>
        <v/>
      </c>
    </row>
    <row r="8167" spans="1:10">
      <c r="A8167" s="1">
        <v>41591</v>
      </c>
      <c r="B8167">
        <v>99.24</v>
      </c>
      <c r="C8167">
        <v>101.06</v>
      </c>
      <c r="D8167">
        <v>99.15</v>
      </c>
      <c r="E8167">
        <v>101.04</v>
      </c>
      <c r="F8167">
        <v>3862700</v>
      </c>
      <c r="G8167">
        <v>100.42</v>
      </c>
      <c r="H8167" t="s">
        <v>18</v>
      </c>
      <c r="I8167" s="22">
        <f t="shared" si="255"/>
        <v>1.212257494474841E-2</v>
      </c>
      <c r="J8167" s="22" t="str">
        <f t="shared" si="256"/>
        <v/>
      </c>
    </row>
    <row r="8168" spans="1:10">
      <c r="A8168" s="1">
        <v>41592</v>
      </c>
      <c r="B8168">
        <v>100.77</v>
      </c>
      <c r="C8168">
        <v>101.56</v>
      </c>
      <c r="D8168">
        <v>100.27</v>
      </c>
      <c r="E8168">
        <v>100.97</v>
      </c>
      <c r="F8168">
        <v>6082800</v>
      </c>
      <c r="G8168">
        <v>100.97</v>
      </c>
      <c r="H8168" t="s">
        <v>18</v>
      </c>
      <c r="I8168" s="22">
        <f t="shared" si="255"/>
        <v>5.4620524096702563E-3</v>
      </c>
      <c r="J8168" s="22" t="str">
        <f t="shared" si="256"/>
        <v/>
      </c>
    </row>
    <row r="8169" spans="1:10">
      <c r="A8169" s="1">
        <v>41593</v>
      </c>
      <c r="B8169">
        <v>101.1</v>
      </c>
      <c r="C8169">
        <v>101.37</v>
      </c>
      <c r="D8169">
        <v>100.35</v>
      </c>
      <c r="E8169">
        <v>100.94</v>
      </c>
      <c r="F8169">
        <v>4083600</v>
      </c>
      <c r="G8169">
        <v>100.94</v>
      </c>
      <c r="H8169" t="s">
        <v>18</v>
      </c>
      <c r="I8169" s="22">
        <f t="shared" si="255"/>
        <v>-2.9716210411331629E-4</v>
      </c>
      <c r="J8169" s="22" t="str">
        <f t="shared" si="256"/>
        <v>lost money</v>
      </c>
    </row>
    <row r="8170" spans="1:10">
      <c r="A8170" s="1">
        <v>41596</v>
      </c>
      <c r="B8170">
        <v>101.21</v>
      </c>
      <c r="C8170">
        <v>101.75</v>
      </c>
      <c r="D8170">
        <v>100.97</v>
      </c>
      <c r="E8170">
        <v>101.28</v>
      </c>
      <c r="F8170">
        <v>2448900</v>
      </c>
      <c r="G8170">
        <v>101.28</v>
      </c>
      <c r="H8170" t="s">
        <v>18</v>
      </c>
      <c r="I8170" s="22">
        <f t="shared" si="255"/>
        <v>3.362677483749796E-3</v>
      </c>
      <c r="J8170" s="22" t="str">
        <f t="shared" si="256"/>
        <v/>
      </c>
    </row>
    <row r="8171" spans="1:10">
      <c r="A8171" s="1">
        <v>41597</v>
      </c>
      <c r="B8171">
        <v>101.18</v>
      </c>
      <c r="C8171">
        <v>101.36</v>
      </c>
      <c r="D8171">
        <v>100.5</v>
      </c>
      <c r="E8171">
        <v>100.72</v>
      </c>
      <c r="F8171">
        <v>2447200</v>
      </c>
      <c r="G8171">
        <v>100.72</v>
      </c>
      <c r="H8171" t="s">
        <v>18</v>
      </c>
      <c r="I8171" s="22">
        <f t="shared" si="255"/>
        <v>-5.5445686597744058E-3</v>
      </c>
      <c r="J8171" s="22" t="str">
        <f t="shared" si="256"/>
        <v>lost money</v>
      </c>
    </row>
    <row r="8172" spans="1:10">
      <c r="A8172" s="1">
        <v>41598</v>
      </c>
      <c r="B8172">
        <v>100.84</v>
      </c>
      <c r="C8172">
        <v>100.94</v>
      </c>
      <c r="D8172">
        <v>100.11</v>
      </c>
      <c r="E8172">
        <v>100.13</v>
      </c>
      <c r="F8172">
        <v>2128400</v>
      </c>
      <c r="G8172">
        <v>100.13</v>
      </c>
      <c r="H8172" t="s">
        <v>18</v>
      </c>
      <c r="I8172" s="22">
        <f t="shared" si="255"/>
        <v>-5.875048016380377E-3</v>
      </c>
      <c r="J8172" s="22" t="str">
        <f t="shared" si="256"/>
        <v>lost money</v>
      </c>
    </row>
    <row r="8173" spans="1:10">
      <c r="A8173" s="1">
        <v>41599</v>
      </c>
      <c r="B8173">
        <v>100.36</v>
      </c>
      <c r="C8173">
        <v>101.27</v>
      </c>
      <c r="D8173">
        <v>100.2</v>
      </c>
      <c r="E8173">
        <v>101.13</v>
      </c>
      <c r="F8173">
        <v>2262600</v>
      </c>
      <c r="G8173">
        <v>101.13</v>
      </c>
      <c r="H8173" t="s">
        <v>18</v>
      </c>
      <c r="I8173" s="22">
        <f t="shared" si="255"/>
        <v>9.9374761943675817E-3</v>
      </c>
      <c r="J8173" s="22" t="str">
        <f t="shared" si="256"/>
        <v/>
      </c>
    </row>
    <row r="8174" spans="1:10">
      <c r="A8174" s="1">
        <v>41600</v>
      </c>
      <c r="B8174">
        <v>101.44</v>
      </c>
      <c r="C8174">
        <v>102</v>
      </c>
      <c r="D8174">
        <v>100.86</v>
      </c>
      <c r="E8174">
        <v>101.98</v>
      </c>
      <c r="F8174">
        <v>2014300</v>
      </c>
      <c r="G8174">
        <v>101.98</v>
      </c>
      <c r="H8174" t="s">
        <v>18</v>
      </c>
      <c r="I8174" s="22">
        <f t="shared" si="255"/>
        <v>8.3698977129307607E-3</v>
      </c>
      <c r="J8174" s="22" t="str">
        <f t="shared" si="256"/>
        <v/>
      </c>
    </row>
    <row r="8175" spans="1:10">
      <c r="A8175" s="1">
        <v>41603</v>
      </c>
      <c r="B8175">
        <v>102.2</v>
      </c>
      <c r="C8175">
        <v>102.23</v>
      </c>
      <c r="D8175">
        <v>101.19</v>
      </c>
      <c r="E8175">
        <v>101.22</v>
      </c>
      <c r="F8175">
        <v>2219000</v>
      </c>
      <c r="G8175">
        <v>101.22</v>
      </c>
      <c r="H8175" t="s">
        <v>18</v>
      </c>
      <c r="I8175" s="22">
        <f t="shared" si="255"/>
        <v>-7.4803498410777455E-3</v>
      </c>
      <c r="J8175" s="22" t="str">
        <f t="shared" si="256"/>
        <v>lost money</v>
      </c>
    </row>
    <row r="8176" spans="1:10">
      <c r="A8176" s="1">
        <v>41604</v>
      </c>
      <c r="B8176">
        <v>101.32</v>
      </c>
      <c r="C8176">
        <v>102.35</v>
      </c>
      <c r="D8176">
        <v>101.32</v>
      </c>
      <c r="E8176">
        <v>102.29</v>
      </c>
      <c r="F8176">
        <v>3997300</v>
      </c>
      <c r="G8176">
        <v>102.29</v>
      </c>
      <c r="H8176" t="s">
        <v>18</v>
      </c>
      <c r="I8176" s="22">
        <f t="shared" si="255"/>
        <v>1.0515550682984048E-2</v>
      </c>
      <c r="J8176" s="22" t="str">
        <f t="shared" si="256"/>
        <v/>
      </c>
    </row>
    <row r="8177" spans="1:10">
      <c r="A8177" s="1">
        <v>41605</v>
      </c>
      <c r="B8177">
        <v>102.3</v>
      </c>
      <c r="C8177">
        <v>102.82</v>
      </c>
      <c r="D8177">
        <v>102.02</v>
      </c>
      <c r="E8177">
        <v>102.54</v>
      </c>
      <c r="F8177">
        <v>1879700</v>
      </c>
      <c r="G8177">
        <v>102.54</v>
      </c>
      <c r="H8177" t="s">
        <v>18</v>
      </c>
      <c r="I8177" s="22">
        <f t="shared" si="255"/>
        <v>2.4410498866385718E-3</v>
      </c>
      <c r="J8177" s="22" t="str">
        <f t="shared" si="256"/>
        <v/>
      </c>
    </row>
    <row r="8178" spans="1:10">
      <c r="A8178" s="1">
        <v>41607</v>
      </c>
      <c r="B8178">
        <v>102.7</v>
      </c>
      <c r="C8178">
        <v>103.04</v>
      </c>
      <c r="D8178">
        <v>102.37</v>
      </c>
      <c r="E8178">
        <v>102.38</v>
      </c>
      <c r="F8178">
        <v>1281700</v>
      </c>
      <c r="G8178">
        <v>102.38</v>
      </c>
      <c r="H8178" t="s">
        <v>18</v>
      </c>
      <c r="I8178" s="22">
        <f t="shared" si="255"/>
        <v>-1.5615853261174027E-3</v>
      </c>
      <c r="J8178" s="22" t="str">
        <f t="shared" si="256"/>
        <v>lost money</v>
      </c>
    </row>
    <row r="8179" spans="1:10">
      <c r="A8179" s="1">
        <v>40911</v>
      </c>
      <c r="B8179">
        <v>59.97</v>
      </c>
      <c r="C8179">
        <v>61.06</v>
      </c>
      <c r="D8179">
        <v>59.87</v>
      </c>
      <c r="E8179">
        <v>60.33</v>
      </c>
      <c r="F8179">
        <v>12668800</v>
      </c>
      <c r="G8179">
        <v>57.47</v>
      </c>
      <c r="H8179" t="s">
        <v>11</v>
      </c>
      <c r="I8179" s="22" t="str">
        <f t="shared" si="255"/>
        <v/>
      </c>
      <c r="J8179" s="22" t="str">
        <f t="shared" si="256"/>
        <v/>
      </c>
    </row>
    <row r="8180" spans="1:10">
      <c r="A8180" s="1">
        <v>40912</v>
      </c>
      <c r="B8180">
        <v>60.21</v>
      </c>
      <c r="C8180">
        <v>60.35</v>
      </c>
      <c r="D8180">
        <v>59.47</v>
      </c>
      <c r="E8180">
        <v>59.71</v>
      </c>
      <c r="F8180">
        <v>9593300</v>
      </c>
      <c r="G8180">
        <v>56.88</v>
      </c>
      <c r="H8180" t="s">
        <v>11</v>
      </c>
      <c r="I8180" s="22">
        <f t="shared" si="255"/>
        <v>-1.0319287024664659E-2</v>
      </c>
      <c r="J8180" s="22" t="str">
        <f t="shared" si="256"/>
        <v>lost money</v>
      </c>
    </row>
    <row r="8181" spans="1:10">
      <c r="A8181" s="1">
        <v>40913</v>
      </c>
      <c r="B8181">
        <v>59.35</v>
      </c>
      <c r="C8181">
        <v>59.62</v>
      </c>
      <c r="D8181">
        <v>58.37</v>
      </c>
      <c r="E8181">
        <v>59.42</v>
      </c>
      <c r="F8181">
        <v>12768200</v>
      </c>
      <c r="G8181">
        <v>56.6</v>
      </c>
      <c r="H8181" t="s">
        <v>11</v>
      </c>
      <c r="I8181" s="22">
        <f t="shared" si="255"/>
        <v>-4.9348002858481642E-3</v>
      </c>
      <c r="J8181" s="22" t="str">
        <f t="shared" si="256"/>
        <v/>
      </c>
    </row>
    <row r="8182" spans="1:10">
      <c r="A8182" s="1">
        <v>40914</v>
      </c>
      <c r="B8182">
        <v>59.42</v>
      </c>
      <c r="C8182">
        <v>59.45</v>
      </c>
      <c r="D8182">
        <v>58.87</v>
      </c>
      <c r="E8182">
        <v>59</v>
      </c>
      <c r="F8182">
        <v>8069400</v>
      </c>
      <c r="G8182">
        <v>56.2</v>
      </c>
      <c r="H8182" t="s">
        <v>11</v>
      </c>
      <c r="I8182" s="22">
        <f t="shared" si="255"/>
        <v>-7.0922283094917984E-3</v>
      </c>
      <c r="J8182" s="22" t="str">
        <f t="shared" si="256"/>
        <v>lost money</v>
      </c>
    </row>
    <row r="8183" spans="1:10">
      <c r="A8183" s="1">
        <v>40917</v>
      </c>
      <c r="B8183">
        <v>59.03</v>
      </c>
      <c r="C8183">
        <v>59.55</v>
      </c>
      <c r="D8183">
        <v>58.92</v>
      </c>
      <c r="E8183">
        <v>59.18</v>
      </c>
      <c r="F8183">
        <v>6679300</v>
      </c>
      <c r="G8183">
        <v>56.37</v>
      </c>
      <c r="H8183" t="s">
        <v>11</v>
      </c>
      <c r="I8183" s="22">
        <f t="shared" si="255"/>
        <v>3.0203451938381775E-3</v>
      </c>
      <c r="J8183" s="22" t="str">
        <f t="shared" si="256"/>
        <v/>
      </c>
    </row>
    <row r="8184" spans="1:10">
      <c r="A8184" s="1">
        <v>40918</v>
      </c>
      <c r="B8184">
        <v>59.43</v>
      </c>
      <c r="C8184">
        <v>59.71</v>
      </c>
      <c r="D8184">
        <v>58.98</v>
      </c>
      <c r="E8184">
        <v>59.04</v>
      </c>
      <c r="F8184">
        <v>6907300</v>
      </c>
      <c r="G8184">
        <v>56.24</v>
      </c>
      <c r="H8184" t="s">
        <v>11</v>
      </c>
      <c r="I8184" s="22">
        <f t="shared" si="255"/>
        <v>-2.3088545910741154E-3</v>
      </c>
      <c r="J8184" s="22" t="str">
        <f t="shared" si="256"/>
        <v>lost money</v>
      </c>
    </row>
    <row r="8185" spans="1:10">
      <c r="A8185" s="1">
        <v>40919</v>
      </c>
      <c r="B8185">
        <v>59.06</v>
      </c>
      <c r="C8185">
        <v>59.53</v>
      </c>
      <c r="D8185">
        <v>59.04</v>
      </c>
      <c r="E8185">
        <v>59.4</v>
      </c>
      <c r="F8185">
        <v>6365600</v>
      </c>
      <c r="G8185">
        <v>56.58</v>
      </c>
      <c r="H8185" t="s">
        <v>11</v>
      </c>
      <c r="I8185" s="22">
        <f t="shared" si="255"/>
        <v>6.0273183710116193E-3</v>
      </c>
      <c r="J8185" s="22" t="str">
        <f t="shared" si="256"/>
        <v/>
      </c>
    </row>
    <row r="8186" spans="1:10">
      <c r="A8186" s="1">
        <v>40920</v>
      </c>
      <c r="B8186">
        <v>59.79</v>
      </c>
      <c r="C8186">
        <v>60</v>
      </c>
      <c r="D8186">
        <v>59.4</v>
      </c>
      <c r="E8186">
        <v>59.5</v>
      </c>
      <c r="F8186">
        <v>7236400</v>
      </c>
      <c r="G8186">
        <v>56.68</v>
      </c>
      <c r="H8186" t="s">
        <v>11</v>
      </c>
      <c r="I8186" s="22">
        <f t="shared" si="255"/>
        <v>1.7658489490585839E-3</v>
      </c>
      <c r="J8186" s="22" t="str">
        <f t="shared" si="256"/>
        <v>lost money</v>
      </c>
    </row>
    <row r="8187" spans="1:10">
      <c r="A8187" s="1">
        <v>40921</v>
      </c>
      <c r="B8187">
        <v>59.18</v>
      </c>
      <c r="C8187">
        <v>59.61</v>
      </c>
      <c r="D8187">
        <v>59.01</v>
      </c>
      <c r="E8187">
        <v>59.54</v>
      </c>
      <c r="F8187">
        <v>7729300</v>
      </c>
      <c r="G8187">
        <v>56.71</v>
      </c>
      <c r="H8187" t="s">
        <v>11</v>
      </c>
      <c r="I8187" s="22">
        <f t="shared" si="255"/>
        <v>5.2914720345702152E-4</v>
      </c>
      <c r="J8187" s="22" t="str">
        <f t="shared" si="256"/>
        <v/>
      </c>
    </row>
    <row r="8188" spans="1:10">
      <c r="A8188" s="1">
        <v>40925</v>
      </c>
      <c r="B8188">
        <v>59.87</v>
      </c>
      <c r="C8188">
        <v>60.11</v>
      </c>
      <c r="D8188">
        <v>59.52</v>
      </c>
      <c r="E8188">
        <v>59.85</v>
      </c>
      <c r="F8188">
        <v>8500000</v>
      </c>
      <c r="G8188">
        <v>57.01</v>
      </c>
      <c r="H8188" t="s">
        <v>11</v>
      </c>
      <c r="I8188" s="22">
        <f t="shared" si="255"/>
        <v>5.2761290175538916E-3</v>
      </c>
      <c r="J8188" s="22" t="str">
        <f t="shared" si="256"/>
        <v>lost money</v>
      </c>
    </row>
    <row r="8189" spans="1:10">
      <c r="A8189" s="1">
        <v>40926</v>
      </c>
      <c r="B8189">
        <v>59.79</v>
      </c>
      <c r="C8189">
        <v>60.03</v>
      </c>
      <c r="D8189">
        <v>59.65</v>
      </c>
      <c r="E8189">
        <v>60.01</v>
      </c>
      <c r="F8189">
        <v>5911400</v>
      </c>
      <c r="G8189">
        <v>57.16</v>
      </c>
      <c r="H8189" t="s">
        <v>11</v>
      </c>
      <c r="I8189" s="22">
        <f t="shared" si="255"/>
        <v>2.6276620181761691E-3</v>
      </c>
      <c r="J8189" s="22" t="str">
        <f t="shared" si="256"/>
        <v/>
      </c>
    </row>
    <row r="8190" spans="1:10">
      <c r="A8190" s="1">
        <v>40927</v>
      </c>
      <c r="B8190">
        <v>59.93</v>
      </c>
      <c r="C8190">
        <v>60.73</v>
      </c>
      <c r="D8190">
        <v>59.75</v>
      </c>
      <c r="E8190">
        <v>60.61</v>
      </c>
      <c r="F8190">
        <v>9234600</v>
      </c>
      <c r="G8190">
        <v>57.73</v>
      </c>
      <c r="H8190" t="s">
        <v>11</v>
      </c>
      <c r="I8190" s="22">
        <f t="shared" si="255"/>
        <v>9.9226160111755991E-3</v>
      </c>
      <c r="J8190" s="22" t="str">
        <f t="shared" si="256"/>
        <v/>
      </c>
    </row>
    <row r="8191" spans="1:10">
      <c r="A8191" s="1">
        <v>40928</v>
      </c>
      <c r="B8191">
        <v>60.75</v>
      </c>
      <c r="C8191">
        <v>61.25</v>
      </c>
      <c r="D8191">
        <v>60.67</v>
      </c>
      <c r="E8191">
        <v>61.01</v>
      </c>
      <c r="F8191">
        <v>10378800</v>
      </c>
      <c r="G8191">
        <v>58.11</v>
      </c>
      <c r="H8191" t="s">
        <v>11</v>
      </c>
      <c r="I8191" s="22">
        <f t="shared" si="255"/>
        <v>6.560797014172024E-3</v>
      </c>
      <c r="J8191" s="22" t="str">
        <f t="shared" si="256"/>
        <v/>
      </c>
    </row>
    <row r="8192" spans="1:10">
      <c r="A8192" s="1">
        <v>40931</v>
      </c>
      <c r="B8192">
        <v>60.81</v>
      </c>
      <c r="C8192">
        <v>60.98</v>
      </c>
      <c r="D8192">
        <v>60.51</v>
      </c>
      <c r="E8192">
        <v>60.91</v>
      </c>
      <c r="F8192">
        <v>7134100</v>
      </c>
      <c r="G8192">
        <v>58.02</v>
      </c>
      <c r="H8192" t="s">
        <v>11</v>
      </c>
      <c r="I8192" s="22">
        <f t="shared" si="255"/>
        <v>-1.5499873937562139E-3</v>
      </c>
      <c r="J8192" s="22" t="str">
        <f t="shared" si="256"/>
        <v/>
      </c>
    </row>
    <row r="8193" spans="1:10">
      <c r="A8193" s="1">
        <v>40932</v>
      </c>
      <c r="B8193">
        <v>60.75</v>
      </c>
      <c r="C8193">
        <v>62</v>
      </c>
      <c r="D8193">
        <v>60.75</v>
      </c>
      <c r="E8193">
        <v>61.39</v>
      </c>
      <c r="F8193">
        <v>7362800</v>
      </c>
      <c r="G8193">
        <v>58.48</v>
      </c>
      <c r="H8193" t="s">
        <v>11</v>
      </c>
      <c r="I8193" s="22">
        <f t="shared" si="255"/>
        <v>7.8970367482649687E-3</v>
      </c>
      <c r="J8193" s="22" t="str">
        <f t="shared" si="256"/>
        <v/>
      </c>
    </row>
    <row r="8194" spans="1:10">
      <c r="A8194" s="1">
        <v>40933</v>
      </c>
      <c r="B8194">
        <v>61.18</v>
      </c>
      <c r="C8194">
        <v>61.61</v>
      </c>
      <c r="D8194">
        <v>61.04</v>
      </c>
      <c r="E8194">
        <v>61.47</v>
      </c>
      <c r="F8194">
        <v>5915800</v>
      </c>
      <c r="G8194">
        <v>58.55</v>
      </c>
      <c r="H8194" t="s">
        <v>11</v>
      </c>
      <c r="I8194" s="22">
        <f t="shared" si="255"/>
        <v>1.1962746022031823E-3</v>
      </c>
      <c r="J8194" s="22" t="str">
        <f t="shared" si="256"/>
        <v/>
      </c>
    </row>
    <row r="8195" spans="1:10">
      <c r="A8195" s="1">
        <v>40934</v>
      </c>
      <c r="B8195">
        <v>61.8</v>
      </c>
      <c r="C8195">
        <v>61.84</v>
      </c>
      <c r="D8195">
        <v>60.77</v>
      </c>
      <c r="E8195">
        <v>60.97</v>
      </c>
      <c r="F8195">
        <v>7436200</v>
      </c>
      <c r="G8195">
        <v>58.08</v>
      </c>
      <c r="H8195" t="s">
        <v>11</v>
      </c>
      <c r="I8195" s="22">
        <f t="shared" ref="I8195:I8258" si="257">IF(A8195=$A$2,"",LN(G8195/G8194))</f>
        <v>-8.0597195271857186E-3</v>
      </c>
      <c r="J8195" s="22" t="str">
        <f t="shared" ref="J8195:J8258" si="258">IF(B8195&gt;E8195,"lost money","")</f>
        <v>lost money</v>
      </c>
    </row>
    <row r="8196" spans="1:10">
      <c r="A8196" s="1">
        <v>40935</v>
      </c>
      <c r="B8196">
        <v>60.86</v>
      </c>
      <c r="C8196">
        <v>61.12</v>
      </c>
      <c r="D8196">
        <v>60.54</v>
      </c>
      <c r="E8196">
        <v>60.71</v>
      </c>
      <c r="F8196">
        <v>6287300</v>
      </c>
      <c r="G8196">
        <v>57.83</v>
      </c>
      <c r="H8196" t="s">
        <v>11</v>
      </c>
      <c r="I8196" s="22">
        <f t="shared" si="257"/>
        <v>-4.3136983464137409E-3</v>
      </c>
      <c r="J8196" s="22" t="str">
        <f t="shared" si="258"/>
        <v>lost money</v>
      </c>
    </row>
    <row r="8197" spans="1:10">
      <c r="A8197" s="1">
        <v>40938</v>
      </c>
      <c r="B8197">
        <v>60.47</v>
      </c>
      <c r="C8197">
        <v>61.32</v>
      </c>
      <c r="D8197">
        <v>60.35</v>
      </c>
      <c r="E8197">
        <v>61.3</v>
      </c>
      <c r="F8197">
        <v>7636900</v>
      </c>
      <c r="G8197">
        <v>58.39</v>
      </c>
      <c r="H8197" t="s">
        <v>11</v>
      </c>
      <c r="I8197" s="22">
        <f t="shared" si="257"/>
        <v>9.6369701253193763E-3</v>
      </c>
      <c r="J8197" s="22" t="str">
        <f t="shared" si="258"/>
        <v/>
      </c>
    </row>
    <row r="8198" spans="1:10">
      <c r="A8198" s="1">
        <v>40939</v>
      </c>
      <c r="B8198">
        <v>61.53</v>
      </c>
      <c r="C8198">
        <v>61.57</v>
      </c>
      <c r="D8198">
        <v>60.58</v>
      </c>
      <c r="E8198">
        <v>61.36</v>
      </c>
      <c r="F8198">
        <v>9761500</v>
      </c>
      <c r="G8198">
        <v>58.45</v>
      </c>
      <c r="H8198" t="s">
        <v>11</v>
      </c>
      <c r="I8198" s="22">
        <f t="shared" si="257"/>
        <v>1.0270456226313205E-3</v>
      </c>
      <c r="J8198" s="22" t="str">
        <f t="shared" si="258"/>
        <v>lost money</v>
      </c>
    </row>
    <row r="8199" spans="1:10">
      <c r="A8199" s="1">
        <v>40940</v>
      </c>
      <c r="B8199">
        <v>61.79</v>
      </c>
      <c r="C8199">
        <v>62.63</v>
      </c>
      <c r="D8199">
        <v>61.79</v>
      </c>
      <c r="E8199">
        <v>62.18</v>
      </c>
      <c r="F8199">
        <v>12130600</v>
      </c>
      <c r="G8199">
        <v>59.23</v>
      </c>
      <c r="H8199" t="s">
        <v>11</v>
      </c>
      <c r="I8199" s="22">
        <f t="shared" si="257"/>
        <v>1.325648237079626E-2</v>
      </c>
      <c r="J8199" s="22" t="str">
        <f t="shared" si="258"/>
        <v/>
      </c>
    </row>
    <row r="8200" spans="1:10">
      <c r="A8200" s="1">
        <v>40941</v>
      </c>
      <c r="B8200">
        <v>62.4</v>
      </c>
      <c r="C8200">
        <v>62.47</v>
      </c>
      <c r="D8200">
        <v>61.82</v>
      </c>
      <c r="E8200">
        <v>61.94</v>
      </c>
      <c r="F8200">
        <v>6211300</v>
      </c>
      <c r="G8200">
        <v>59</v>
      </c>
      <c r="H8200" t="s">
        <v>11</v>
      </c>
      <c r="I8200" s="22">
        <f t="shared" si="257"/>
        <v>-3.890726383154311E-3</v>
      </c>
      <c r="J8200" s="22" t="str">
        <f t="shared" si="258"/>
        <v>lost money</v>
      </c>
    </row>
    <row r="8201" spans="1:10">
      <c r="A8201" s="1">
        <v>40942</v>
      </c>
      <c r="B8201">
        <v>62.32</v>
      </c>
      <c r="C8201">
        <v>62.43</v>
      </c>
      <c r="D8201">
        <v>61.7</v>
      </c>
      <c r="E8201">
        <v>62.03</v>
      </c>
      <c r="F8201">
        <v>7727200</v>
      </c>
      <c r="G8201">
        <v>59.09</v>
      </c>
      <c r="H8201" t="s">
        <v>11</v>
      </c>
      <c r="I8201" s="22">
        <f t="shared" si="257"/>
        <v>1.5242614518638071E-3</v>
      </c>
      <c r="J8201" s="22" t="str">
        <f t="shared" si="258"/>
        <v>lost money</v>
      </c>
    </row>
    <row r="8202" spans="1:10">
      <c r="A8202" s="1">
        <v>40945</v>
      </c>
      <c r="B8202">
        <v>61.85</v>
      </c>
      <c r="C8202">
        <v>61.98</v>
      </c>
      <c r="D8202">
        <v>61.7</v>
      </c>
      <c r="E8202">
        <v>61.88</v>
      </c>
      <c r="F8202">
        <v>5480600</v>
      </c>
      <c r="G8202">
        <v>58.94</v>
      </c>
      <c r="H8202" t="s">
        <v>11</v>
      </c>
      <c r="I8202" s="22">
        <f t="shared" si="257"/>
        <v>-2.5417280480346189E-3</v>
      </c>
      <c r="J8202" s="22" t="str">
        <f t="shared" si="258"/>
        <v/>
      </c>
    </row>
    <row r="8203" spans="1:10">
      <c r="A8203" s="1">
        <v>40946</v>
      </c>
      <c r="B8203">
        <v>61.62</v>
      </c>
      <c r="C8203">
        <v>61.9</v>
      </c>
      <c r="D8203">
        <v>61.62</v>
      </c>
      <c r="E8203">
        <v>61.69</v>
      </c>
      <c r="F8203">
        <v>6084400</v>
      </c>
      <c r="G8203">
        <v>58.76</v>
      </c>
      <c r="H8203" t="s">
        <v>11</v>
      </c>
      <c r="I8203" s="22">
        <f t="shared" si="257"/>
        <v>-3.0586260038721505E-3</v>
      </c>
      <c r="J8203" s="22" t="str">
        <f t="shared" si="258"/>
        <v/>
      </c>
    </row>
    <row r="8204" spans="1:10">
      <c r="A8204" s="1">
        <v>40947</v>
      </c>
      <c r="B8204">
        <v>61.91</v>
      </c>
      <c r="C8204">
        <v>62.02</v>
      </c>
      <c r="D8204">
        <v>61.23</v>
      </c>
      <c r="E8204">
        <v>61.62</v>
      </c>
      <c r="F8204">
        <v>7260000</v>
      </c>
      <c r="G8204">
        <v>58.7</v>
      </c>
      <c r="H8204" t="s">
        <v>11</v>
      </c>
      <c r="I8204" s="22">
        <f t="shared" si="257"/>
        <v>-1.0216244716256902E-3</v>
      </c>
      <c r="J8204" s="22" t="str">
        <f t="shared" si="258"/>
        <v>lost money</v>
      </c>
    </row>
    <row r="8205" spans="1:10">
      <c r="A8205" s="1">
        <v>40948</v>
      </c>
      <c r="B8205">
        <v>61.58</v>
      </c>
      <c r="C8205">
        <v>62.16</v>
      </c>
      <c r="D8205">
        <v>61.58</v>
      </c>
      <c r="E8205">
        <v>61.96</v>
      </c>
      <c r="F8205">
        <v>6453100</v>
      </c>
      <c r="G8205">
        <v>59.02</v>
      </c>
      <c r="H8205" t="s">
        <v>11</v>
      </c>
      <c r="I8205" s="22">
        <f t="shared" si="257"/>
        <v>5.4366426807425485E-3</v>
      </c>
      <c r="J8205" s="22" t="str">
        <f t="shared" si="258"/>
        <v/>
      </c>
    </row>
    <row r="8206" spans="1:10">
      <c r="A8206" s="1">
        <v>40949</v>
      </c>
      <c r="B8206">
        <v>61.68</v>
      </c>
      <c r="C8206">
        <v>61.91</v>
      </c>
      <c r="D8206">
        <v>61.38</v>
      </c>
      <c r="E8206">
        <v>61.9</v>
      </c>
      <c r="F8206">
        <v>5501000</v>
      </c>
      <c r="G8206">
        <v>58.96</v>
      </c>
      <c r="H8206" t="s">
        <v>11</v>
      </c>
      <c r="I8206" s="22">
        <f t="shared" si="257"/>
        <v>-1.0171216337122051E-3</v>
      </c>
      <c r="J8206" s="22" t="str">
        <f t="shared" si="258"/>
        <v/>
      </c>
    </row>
    <row r="8207" spans="1:10">
      <c r="A8207" s="1">
        <v>40952</v>
      </c>
      <c r="B8207">
        <v>62.01</v>
      </c>
      <c r="C8207">
        <v>62.08</v>
      </c>
      <c r="D8207">
        <v>61.73</v>
      </c>
      <c r="E8207">
        <v>61.79</v>
      </c>
      <c r="F8207">
        <v>4175000</v>
      </c>
      <c r="G8207">
        <v>58.86</v>
      </c>
      <c r="H8207" t="s">
        <v>11</v>
      </c>
      <c r="I8207" s="22">
        <f t="shared" si="257"/>
        <v>-1.697505075754468E-3</v>
      </c>
      <c r="J8207" s="22" t="str">
        <f t="shared" si="258"/>
        <v>lost money</v>
      </c>
    </row>
    <row r="8208" spans="1:10">
      <c r="A8208" s="1">
        <v>40953</v>
      </c>
      <c r="B8208">
        <v>61.91</v>
      </c>
      <c r="C8208">
        <v>62.24</v>
      </c>
      <c r="D8208">
        <v>61.79</v>
      </c>
      <c r="E8208">
        <v>62.22</v>
      </c>
      <c r="F8208">
        <v>5173100</v>
      </c>
      <c r="G8208">
        <v>59.27</v>
      </c>
      <c r="H8208" t="s">
        <v>11</v>
      </c>
      <c r="I8208" s="22">
        <f t="shared" si="257"/>
        <v>6.9415329944201871E-3</v>
      </c>
      <c r="J8208" s="22" t="str">
        <f t="shared" si="258"/>
        <v/>
      </c>
    </row>
    <row r="8209" spans="1:10">
      <c r="A8209" s="1">
        <v>40954</v>
      </c>
      <c r="B8209">
        <v>62.32</v>
      </c>
      <c r="C8209">
        <v>62.44</v>
      </c>
      <c r="D8209">
        <v>61.59</v>
      </c>
      <c r="E8209">
        <v>61.76</v>
      </c>
      <c r="F8209">
        <v>5833700</v>
      </c>
      <c r="G8209">
        <v>58.83</v>
      </c>
      <c r="H8209" t="s">
        <v>11</v>
      </c>
      <c r="I8209" s="22">
        <f t="shared" si="257"/>
        <v>-7.4513469233822589E-3</v>
      </c>
      <c r="J8209" s="22" t="str">
        <f t="shared" si="258"/>
        <v>lost money</v>
      </c>
    </row>
    <row r="8210" spans="1:10">
      <c r="A8210" s="1">
        <v>40955</v>
      </c>
      <c r="B8210">
        <v>61.77</v>
      </c>
      <c r="C8210">
        <v>62.19</v>
      </c>
      <c r="D8210">
        <v>61.7</v>
      </c>
      <c r="E8210">
        <v>62.04</v>
      </c>
      <c r="F8210">
        <v>7256400</v>
      </c>
      <c r="G8210">
        <v>59.1</v>
      </c>
      <c r="H8210" t="s">
        <v>11</v>
      </c>
      <c r="I8210" s="22">
        <f t="shared" si="257"/>
        <v>4.5789955356879946E-3</v>
      </c>
      <c r="J8210" s="22" t="str">
        <f t="shared" si="258"/>
        <v/>
      </c>
    </row>
    <row r="8211" spans="1:10">
      <c r="A8211" s="1">
        <v>40956</v>
      </c>
      <c r="B8211">
        <v>62.32</v>
      </c>
      <c r="C8211">
        <v>62.57</v>
      </c>
      <c r="D8211">
        <v>61.91</v>
      </c>
      <c r="E8211">
        <v>62.48</v>
      </c>
      <c r="F8211">
        <v>8191800</v>
      </c>
      <c r="G8211">
        <v>59.51</v>
      </c>
      <c r="H8211" t="s">
        <v>11</v>
      </c>
      <c r="I8211" s="22">
        <f t="shared" si="257"/>
        <v>6.913441244708031E-3</v>
      </c>
      <c r="J8211" s="22" t="str">
        <f t="shared" si="258"/>
        <v/>
      </c>
    </row>
    <row r="8212" spans="1:10">
      <c r="A8212" s="1">
        <v>40960</v>
      </c>
      <c r="B8212">
        <v>60.33</v>
      </c>
      <c r="C8212">
        <v>60.5</v>
      </c>
      <c r="D8212">
        <v>59.67</v>
      </c>
      <c r="E8212">
        <v>60.07</v>
      </c>
      <c r="F8212">
        <v>23894800</v>
      </c>
      <c r="G8212">
        <v>57.22</v>
      </c>
      <c r="H8212" t="s">
        <v>11</v>
      </c>
      <c r="I8212" s="22">
        <f t="shared" si="257"/>
        <v>-3.9240878034796436E-2</v>
      </c>
      <c r="J8212" s="22" t="str">
        <f t="shared" si="258"/>
        <v>lost money</v>
      </c>
    </row>
    <row r="8213" spans="1:10">
      <c r="A8213" s="1">
        <v>40961</v>
      </c>
      <c r="B8213">
        <v>59.58</v>
      </c>
      <c r="C8213">
        <v>59.9</v>
      </c>
      <c r="D8213">
        <v>58.37</v>
      </c>
      <c r="E8213">
        <v>58.6</v>
      </c>
      <c r="F8213">
        <v>28630200</v>
      </c>
      <c r="G8213">
        <v>55.82</v>
      </c>
      <c r="H8213" t="s">
        <v>11</v>
      </c>
      <c r="I8213" s="22">
        <f t="shared" si="257"/>
        <v>-2.4771259513788113E-2</v>
      </c>
      <c r="J8213" s="22" t="str">
        <f t="shared" si="258"/>
        <v>lost money</v>
      </c>
    </row>
    <row r="8214" spans="1:10">
      <c r="A8214" s="1">
        <v>40962</v>
      </c>
      <c r="B8214">
        <v>58.59</v>
      </c>
      <c r="C8214">
        <v>58.9</v>
      </c>
      <c r="D8214">
        <v>58.21</v>
      </c>
      <c r="E8214">
        <v>58.54</v>
      </c>
      <c r="F8214">
        <v>14880300</v>
      </c>
      <c r="G8214">
        <v>55.76</v>
      </c>
      <c r="H8214" t="s">
        <v>11</v>
      </c>
      <c r="I8214" s="22">
        <f t="shared" si="257"/>
        <v>-1.0754616559076949E-3</v>
      </c>
      <c r="J8214" s="22" t="str">
        <f t="shared" si="258"/>
        <v>lost money</v>
      </c>
    </row>
    <row r="8215" spans="1:10">
      <c r="A8215" s="1">
        <v>40963</v>
      </c>
      <c r="B8215">
        <v>58.75</v>
      </c>
      <c r="C8215">
        <v>58.95</v>
      </c>
      <c r="D8215">
        <v>58.5</v>
      </c>
      <c r="E8215">
        <v>58.79</v>
      </c>
      <c r="F8215">
        <v>9925900</v>
      </c>
      <c r="G8215">
        <v>56</v>
      </c>
      <c r="H8215" t="s">
        <v>11</v>
      </c>
      <c r="I8215" s="22">
        <f t="shared" si="257"/>
        <v>4.2949242828808709E-3</v>
      </c>
      <c r="J8215" s="22" t="str">
        <f t="shared" si="258"/>
        <v/>
      </c>
    </row>
    <row r="8216" spans="1:10">
      <c r="A8216" s="1">
        <v>40966</v>
      </c>
      <c r="B8216">
        <v>58.7</v>
      </c>
      <c r="C8216">
        <v>58.78</v>
      </c>
      <c r="D8216">
        <v>58.29</v>
      </c>
      <c r="E8216">
        <v>58.46</v>
      </c>
      <c r="F8216">
        <v>12258800</v>
      </c>
      <c r="G8216">
        <v>55.69</v>
      </c>
      <c r="H8216" t="s">
        <v>11</v>
      </c>
      <c r="I8216" s="22">
        <f t="shared" si="257"/>
        <v>-5.5510931335720206E-3</v>
      </c>
      <c r="J8216" s="22" t="str">
        <f t="shared" si="258"/>
        <v>lost money</v>
      </c>
    </row>
    <row r="8217" spans="1:10">
      <c r="A8217" s="1">
        <v>40967</v>
      </c>
      <c r="B8217">
        <v>58.44</v>
      </c>
      <c r="C8217">
        <v>59.1</v>
      </c>
      <c r="D8217">
        <v>58.35</v>
      </c>
      <c r="E8217">
        <v>58.93</v>
      </c>
      <c r="F8217">
        <v>10761900</v>
      </c>
      <c r="G8217">
        <v>56.13</v>
      </c>
      <c r="H8217" t="s">
        <v>11</v>
      </c>
      <c r="I8217" s="22">
        <f t="shared" si="257"/>
        <v>7.8698313525307987E-3</v>
      </c>
      <c r="J8217" s="22" t="str">
        <f t="shared" si="258"/>
        <v/>
      </c>
    </row>
    <row r="8218" spans="1:10">
      <c r="A8218" s="1">
        <v>40968</v>
      </c>
      <c r="B8218">
        <v>58.84</v>
      </c>
      <c r="C8218">
        <v>59.33</v>
      </c>
      <c r="D8218">
        <v>58.72</v>
      </c>
      <c r="E8218">
        <v>59.08</v>
      </c>
      <c r="F8218">
        <v>11484400</v>
      </c>
      <c r="G8218">
        <v>56.28</v>
      </c>
      <c r="H8218" t="s">
        <v>11</v>
      </c>
      <c r="I8218" s="22">
        <f t="shared" si="257"/>
        <v>2.6688032920803954E-3</v>
      </c>
      <c r="J8218" s="22" t="str">
        <f t="shared" si="258"/>
        <v/>
      </c>
    </row>
    <row r="8219" spans="1:10">
      <c r="A8219" s="1">
        <v>40969</v>
      </c>
      <c r="B8219">
        <v>59.36</v>
      </c>
      <c r="C8219">
        <v>59.42</v>
      </c>
      <c r="D8219">
        <v>58.64</v>
      </c>
      <c r="E8219">
        <v>58.82</v>
      </c>
      <c r="F8219">
        <v>16283900</v>
      </c>
      <c r="G8219">
        <v>56.03</v>
      </c>
      <c r="H8219" t="s">
        <v>11</v>
      </c>
      <c r="I8219" s="22">
        <f t="shared" si="257"/>
        <v>-4.4519706689951982E-3</v>
      </c>
      <c r="J8219" s="22" t="str">
        <f t="shared" si="258"/>
        <v>lost money</v>
      </c>
    </row>
    <row r="8220" spans="1:10">
      <c r="A8220" s="1">
        <v>40970</v>
      </c>
      <c r="B8220">
        <v>58.99</v>
      </c>
      <c r="C8220">
        <v>59.28</v>
      </c>
      <c r="D8220">
        <v>58.8</v>
      </c>
      <c r="E8220">
        <v>59.01</v>
      </c>
      <c r="F8220">
        <v>9848100</v>
      </c>
      <c r="G8220">
        <v>56.21</v>
      </c>
      <c r="H8220" t="s">
        <v>11</v>
      </c>
      <c r="I8220" s="22">
        <f t="shared" si="257"/>
        <v>3.2074154367903967E-3</v>
      </c>
      <c r="J8220" s="22" t="str">
        <f t="shared" si="258"/>
        <v/>
      </c>
    </row>
    <row r="8221" spans="1:10">
      <c r="A8221" s="1">
        <v>40973</v>
      </c>
      <c r="B8221">
        <v>58.96</v>
      </c>
      <c r="C8221">
        <v>59.59</v>
      </c>
      <c r="D8221">
        <v>58.75</v>
      </c>
      <c r="E8221">
        <v>59.4</v>
      </c>
      <c r="F8221">
        <v>9651000</v>
      </c>
      <c r="G8221">
        <v>56.58</v>
      </c>
      <c r="H8221" t="s">
        <v>11</v>
      </c>
      <c r="I8221" s="22">
        <f t="shared" si="257"/>
        <v>6.5608888594375116E-3</v>
      </c>
      <c r="J8221" s="22" t="str">
        <f t="shared" si="258"/>
        <v/>
      </c>
    </row>
    <row r="8222" spans="1:10">
      <c r="A8222" s="1">
        <v>40974</v>
      </c>
      <c r="B8222">
        <v>59.04</v>
      </c>
      <c r="C8222">
        <v>59.22</v>
      </c>
      <c r="D8222">
        <v>58.75</v>
      </c>
      <c r="E8222">
        <v>58.97</v>
      </c>
      <c r="F8222">
        <v>9057100</v>
      </c>
      <c r="G8222">
        <v>56.17</v>
      </c>
      <c r="H8222" t="s">
        <v>11</v>
      </c>
      <c r="I8222" s="22">
        <f t="shared" si="257"/>
        <v>-7.2727593290796968E-3</v>
      </c>
      <c r="J8222" s="22" t="str">
        <f t="shared" si="258"/>
        <v>lost money</v>
      </c>
    </row>
    <row r="8223" spans="1:10">
      <c r="A8223" s="1">
        <v>40975</v>
      </c>
      <c r="B8223">
        <v>59.11</v>
      </c>
      <c r="C8223">
        <v>59.86</v>
      </c>
      <c r="D8223">
        <v>59.11</v>
      </c>
      <c r="E8223">
        <v>59.86</v>
      </c>
      <c r="F8223">
        <v>14916900</v>
      </c>
      <c r="G8223">
        <v>57.02</v>
      </c>
      <c r="H8223" t="s">
        <v>11</v>
      </c>
      <c r="I8223" s="22">
        <f t="shared" si="257"/>
        <v>1.5019276940184583E-2</v>
      </c>
      <c r="J8223" s="22" t="str">
        <f t="shared" si="258"/>
        <v/>
      </c>
    </row>
    <row r="8224" spans="1:10">
      <c r="A8224" s="1">
        <v>40976</v>
      </c>
      <c r="B8224">
        <v>59.84</v>
      </c>
      <c r="C8224">
        <v>59.95</v>
      </c>
      <c r="D8224">
        <v>59.45</v>
      </c>
      <c r="E8224">
        <v>59.77</v>
      </c>
      <c r="F8224">
        <v>7795600</v>
      </c>
      <c r="G8224">
        <v>57.31</v>
      </c>
      <c r="H8224" t="s">
        <v>11</v>
      </c>
      <c r="I8224" s="22">
        <f t="shared" si="257"/>
        <v>5.0730450791201349E-3</v>
      </c>
      <c r="J8224" s="22" t="str">
        <f t="shared" si="258"/>
        <v>lost money</v>
      </c>
    </row>
    <row r="8225" spans="1:10">
      <c r="A8225" s="1">
        <v>40977</v>
      </c>
      <c r="B8225">
        <v>59.83</v>
      </c>
      <c r="C8225">
        <v>60.2</v>
      </c>
      <c r="D8225">
        <v>59.83</v>
      </c>
      <c r="E8225">
        <v>60.08</v>
      </c>
      <c r="F8225">
        <v>6292900</v>
      </c>
      <c r="G8225">
        <v>57.61</v>
      </c>
      <c r="H8225" t="s">
        <v>11</v>
      </c>
      <c r="I8225" s="22">
        <f t="shared" si="257"/>
        <v>5.2210351806456987E-3</v>
      </c>
      <c r="J8225" s="22" t="str">
        <f t="shared" si="258"/>
        <v/>
      </c>
    </row>
    <row r="8226" spans="1:10">
      <c r="A8226" s="1">
        <v>40980</v>
      </c>
      <c r="B8226">
        <v>60.17</v>
      </c>
      <c r="C8226">
        <v>60.9</v>
      </c>
      <c r="D8226">
        <v>60.09</v>
      </c>
      <c r="E8226">
        <v>60.68</v>
      </c>
      <c r="F8226">
        <v>7576800</v>
      </c>
      <c r="G8226">
        <v>58.19</v>
      </c>
      <c r="H8226" t="s">
        <v>11</v>
      </c>
      <c r="I8226" s="22">
        <f t="shared" si="257"/>
        <v>1.0017354924286726E-2</v>
      </c>
      <c r="J8226" s="22" t="str">
        <f t="shared" si="258"/>
        <v/>
      </c>
    </row>
    <row r="8227" spans="1:10">
      <c r="A8227" s="1">
        <v>40981</v>
      </c>
      <c r="B8227">
        <v>60.93</v>
      </c>
      <c r="C8227">
        <v>61.08</v>
      </c>
      <c r="D8227">
        <v>60.52</v>
      </c>
      <c r="E8227">
        <v>61</v>
      </c>
      <c r="F8227">
        <v>8734600</v>
      </c>
      <c r="G8227">
        <v>58.49</v>
      </c>
      <c r="H8227" t="s">
        <v>11</v>
      </c>
      <c r="I8227" s="22">
        <f t="shared" si="257"/>
        <v>5.1422807863558675E-3</v>
      </c>
      <c r="J8227" s="22" t="str">
        <f t="shared" si="258"/>
        <v/>
      </c>
    </row>
    <row r="8228" spans="1:10">
      <c r="A8228" s="1">
        <v>40982</v>
      </c>
      <c r="B8228">
        <v>60.84</v>
      </c>
      <c r="C8228">
        <v>61.15</v>
      </c>
      <c r="D8228">
        <v>60.69</v>
      </c>
      <c r="E8228">
        <v>61.08</v>
      </c>
      <c r="F8228">
        <v>6375000</v>
      </c>
      <c r="G8228">
        <v>58.57</v>
      </c>
      <c r="H8228" t="s">
        <v>11</v>
      </c>
      <c r="I8228" s="22">
        <f t="shared" si="257"/>
        <v>1.3668206467565517E-3</v>
      </c>
      <c r="J8228" s="22" t="str">
        <f t="shared" si="258"/>
        <v/>
      </c>
    </row>
    <row r="8229" spans="1:10">
      <c r="A8229" s="1">
        <v>40983</v>
      </c>
      <c r="B8229">
        <v>60.89</v>
      </c>
      <c r="C8229">
        <v>61.26</v>
      </c>
      <c r="D8229">
        <v>60.78</v>
      </c>
      <c r="E8229">
        <v>61.23</v>
      </c>
      <c r="F8229">
        <v>6755000</v>
      </c>
      <c r="G8229">
        <v>58.71</v>
      </c>
      <c r="H8229" t="s">
        <v>11</v>
      </c>
      <c r="I8229" s="22">
        <f t="shared" si="257"/>
        <v>2.3874499744036023E-3</v>
      </c>
      <c r="J8229" s="22" t="str">
        <f t="shared" si="258"/>
        <v/>
      </c>
    </row>
    <row r="8230" spans="1:10">
      <c r="A8230" s="1">
        <v>40984</v>
      </c>
      <c r="B8230">
        <v>61.41</v>
      </c>
      <c r="C8230">
        <v>61.47</v>
      </c>
      <c r="D8230">
        <v>60.77</v>
      </c>
      <c r="E8230">
        <v>60.84</v>
      </c>
      <c r="F8230">
        <v>12077100</v>
      </c>
      <c r="G8230">
        <v>58.34</v>
      </c>
      <c r="H8230" t="s">
        <v>11</v>
      </c>
      <c r="I8230" s="22">
        <f t="shared" si="257"/>
        <v>-6.3221056365191835E-3</v>
      </c>
      <c r="J8230" s="22" t="str">
        <f t="shared" si="258"/>
        <v>lost money</v>
      </c>
    </row>
    <row r="8231" spans="1:10">
      <c r="A8231" s="1">
        <v>40987</v>
      </c>
      <c r="B8231">
        <v>60.58</v>
      </c>
      <c r="C8231">
        <v>60.88</v>
      </c>
      <c r="D8231">
        <v>60.46</v>
      </c>
      <c r="E8231">
        <v>60.74</v>
      </c>
      <c r="F8231">
        <v>8251900</v>
      </c>
      <c r="G8231">
        <v>58.24</v>
      </c>
      <c r="H8231" t="s">
        <v>11</v>
      </c>
      <c r="I8231" s="22">
        <f t="shared" si="257"/>
        <v>-1.7155605511448035E-3</v>
      </c>
      <c r="J8231" s="22" t="str">
        <f t="shared" si="258"/>
        <v/>
      </c>
    </row>
    <row r="8232" spans="1:10">
      <c r="A8232" s="1">
        <v>40988</v>
      </c>
      <c r="B8232">
        <v>60.33</v>
      </c>
      <c r="C8232">
        <v>60.86</v>
      </c>
      <c r="D8232">
        <v>60.29</v>
      </c>
      <c r="E8232">
        <v>60.6</v>
      </c>
      <c r="F8232">
        <v>7911500</v>
      </c>
      <c r="G8232">
        <v>58.11</v>
      </c>
      <c r="H8232" t="s">
        <v>11</v>
      </c>
      <c r="I8232" s="22">
        <f t="shared" si="257"/>
        <v>-2.2346378014163771E-3</v>
      </c>
      <c r="J8232" s="22" t="str">
        <f t="shared" si="258"/>
        <v/>
      </c>
    </row>
    <row r="8233" spans="1:10">
      <c r="A8233" s="1">
        <v>40989</v>
      </c>
      <c r="B8233">
        <v>60.45</v>
      </c>
      <c r="C8233">
        <v>60.72</v>
      </c>
      <c r="D8233">
        <v>60.37</v>
      </c>
      <c r="E8233">
        <v>60.56</v>
      </c>
      <c r="F8233">
        <v>7302800</v>
      </c>
      <c r="G8233">
        <v>58.07</v>
      </c>
      <c r="H8233" t="s">
        <v>11</v>
      </c>
      <c r="I8233" s="22">
        <f t="shared" si="257"/>
        <v>-6.8858670305564824E-4</v>
      </c>
      <c r="J8233" s="22" t="str">
        <f t="shared" si="258"/>
        <v/>
      </c>
    </row>
    <row r="8234" spans="1:10">
      <c r="A8234" s="1">
        <v>40990</v>
      </c>
      <c r="B8234">
        <v>60.23</v>
      </c>
      <c r="C8234">
        <v>60.77</v>
      </c>
      <c r="D8234">
        <v>60.23</v>
      </c>
      <c r="E8234">
        <v>60.65</v>
      </c>
      <c r="F8234">
        <v>5710800</v>
      </c>
      <c r="G8234">
        <v>58.16</v>
      </c>
      <c r="H8234" t="s">
        <v>11</v>
      </c>
      <c r="I8234" s="22">
        <f t="shared" si="257"/>
        <v>1.5486538413054273E-3</v>
      </c>
      <c r="J8234" s="22" t="str">
        <f t="shared" si="258"/>
        <v/>
      </c>
    </row>
    <row r="8235" spans="1:10">
      <c r="A8235" s="1">
        <v>40991</v>
      </c>
      <c r="B8235">
        <v>60.61</v>
      </c>
      <c r="C8235">
        <v>60.85</v>
      </c>
      <c r="D8235">
        <v>60.41</v>
      </c>
      <c r="E8235">
        <v>60.75</v>
      </c>
      <c r="F8235">
        <v>6957700</v>
      </c>
      <c r="G8235">
        <v>58.25</v>
      </c>
      <c r="H8235" t="s">
        <v>11</v>
      </c>
      <c r="I8235" s="22">
        <f t="shared" si="257"/>
        <v>1.5462592205460859E-3</v>
      </c>
      <c r="J8235" s="22" t="str">
        <f t="shared" si="258"/>
        <v/>
      </c>
    </row>
    <row r="8236" spans="1:10">
      <c r="A8236" s="1">
        <v>40994</v>
      </c>
      <c r="B8236">
        <v>60.9</v>
      </c>
      <c r="C8236">
        <v>61.32</v>
      </c>
      <c r="D8236">
        <v>60.76</v>
      </c>
      <c r="E8236">
        <v>61.2</v>
      </c>
      <c r="F8236">
        <v>6214800</v>
      </c>
      <c r="G8236">
        <v>58.69</v>
      </c>
      <c r="H8236" t="s">
        <v>11</v>
      </c>
      <c r="I8236" s="22">
        <f t="shared" si="257"/>
        <v>7.5252621244331968E-3</v>
      </c>
      <c r="J8236" s="22" t="str">
        <f t="shared" si="258"/>
        <v/>
      </c>
    </row>
    <row r="8237" spans="1:10">
      <c r="A8237" s="1">
        <v>40995</v>
      </c>
      <c r="B8237">
        <v>61.35</v>
      </c>
      <c r="C8237">
        <v>61.5</v>
      </c>
      <c r="D8237">
        <v>61.02</v>
      </c>
      <c r="E8237">
        <v>61.09</v>
      </c>
      <c r="F8237">
        <v>7351600</v>
      </c>
      <c r="G8237">
        <v>58.58</v>
      </c>
      <c r="H8237" t="s">
        <v>11</v>
      </c>
      <c r="I8237" s="22">
        <f t="shared" si="257"/>
        <v>-1.8760131706556911E-3</v>
      </c>
      <c r="J8237" s="22" t="str">
        <f t="shared" si="258"/>
        <v>lost money</v>
      </c>
    </row>
    <row r="8238" spans="1:10">
      <c r="A8238" s="1">
        <v>40996</v>
      </c>
      <c r="B8238">
        <v>61.15</v>
      </c>
      <c r="C8238">
        <v>61.48</v>
      </c>
      <c r="D8238">
        <v>60.98</v>
      </c>
      <c r="E8238">
        <v>61.19</v>
      </c>
      <c r="F8238">
        <v>7124000</v>
      </c>
      <c r="G8238">
        <v>58.68</v>
      </c>
      <c r="H8238" t="s">
        <v>11</v>
      </c>
      <c r="I8238" s="22">
        <f t="shared" si="257"/>
        <v>1.7056118751936108E-3</v>
      </c>
      <c r="J8238" s="22" t="str">
        <f t="shared" si="258"/>
        <v/>
      </c>
    </row>
    <row r="8239" spans="1:10">
      <c r="A8239" s="1">
        <v>40997</v>
      </c>
      <c r="B8239">
        <v>60.77</v>
      </c>
      <c r="C8239">
        <v>60.95</v>
      </c>
      <c r="D8239">
        <v>60.62</v>
      </c>
      <c r="E8239">
        <v>60.82</v>
      </c>
      <c r="F8239">
        <v>6691700</v>
      </c>
      <c r="G8239">
        <v>58.32</v>
      </c>
      <c r="H8239" t="s">
        <v>11</v>
      </c>
      <c r="I8239" s="22">
        <f t="shared" si="257"/>
        <v>-6.1538655743782235E-3</v>
      </c>
      <c r="J8239" s="22" t="str">
        <f t="shared" si="258"/>
        <v/>
      </c>
    </row>
    <row r="8240" spans="1:10">
      <c r="A8240" s="1">
        <v>40998</v>
      </c>
      <c r="B8240">
        <v>61.07</v>
      </c>
      <c r="C8240">
        <v>61.42</v>
      </c>
      <c r="D8240">
        <v>60.92</v>
      </c>
      <c r="E8240">
        <v>61.2</v>
      </c>
      <c r="F8240">
        <v>6941400</v>
      </c>
      <c r="G8240">
        <v>58.69</v>
      </c>
      <c r="H8240" t="s">
        <v>11</v>
      </c>
      <c r="I8240" s="22">
        <f t="shared" si="257"/>
        <v>6.324266869840391E-3</v>
      </c>
      <c r="J8240" s="22" t="str">
        <f t="shared" si="258"/>
        <v/>
      </c>
    </row>
    <row r="8241" spans="1:10">
      <c r="A8241" s="1">
        <v>41001</v>
      </c>
      <c r="B8241">
        <v>61.08</v>
      </c>
      <c r="C8241">
        <v>61.49</v>
      </c>
      <c r="D8241">
        <v>60.97</v>
      </c>
      <c r="E8241">
        <v>61.36</v>
      </c>
      <c r="F8241">
        <v>6465900</v>
      </c>
      <c r="G8241">
        <v>58.84</v>
      </c>
      <c r="H8241" t="s">
        <v>11</v>
      </c>
      <c r="I8241" s="22">
        <f t="shared" si="257"/>
        <v>2.5525411629936257E-3</v>
      </c>
      <c r="J8241" s="22" t="str">
        <f t="shared" si="258"/>
        <v/>
      </c>
    </row>
    <row r="8242" spans="1:10">
      <c r="A8242" s="1">
        <v>41002</v>
      </c>
      <c r="B8242">
        <v>61.14</v>
      </c>
      <c r="C8242">
        <v>61.41</v>
      </c>
      <c r="D8242">
        <v>60.24</v>
      </c>
      <c r="E8242">
        <v>60.65</v>
      </c>
      <c r="F8242">
        <v>11180100</v>
      </c>
      <c r="G8242">
        <v>58.16</v>
      </c>
      <c r="H8242" t="s">
        <v>11</v>
      </c>
      <c r="I8242" s="22">
        <f t="shared" si="257"/>
        <v>-1.1624062507972982E-2</v>
      </c>
      <c r="J8242" s="22" t="str">
        <f t="shared" si="258"/>
        <v>lost money</v>
      </c>
    </row>
    <row r="8243" spans="1:10">
      <c r="A8243" s="1">
        <v>41003</v>
      </c>
      <c r="B8243">
        <v>60.53</v>
      </c>
      <c r="C8243">
        <v>60.59</v>
      </c>
      <c r="D8243">
        <v>60.02</v>
      </c>
      <c r="E8243">
        <v>60.26</v>
      </c>
      <c r="F8243">
        <v>10851700</v>
      </c>
      <c r="G8243">
        <v>57.78</v>
      </c>
      <c r="H8243" t="s">
        <v>11</v>
      </c>
      <c r="I8243" s="22">
        <f t="shared" si="257"/>
        <v>-6.5551381871746563E-3</v>
      </c>
      <c r="J8243" s="22" t="str">
        <f t="shared" si="258"/>
        <v>lost money</v>
      </c>
    </row>
    <row r="8244" spans="1:10">
      <c r="A8244" s="1">
        <v>41004</v>
      </c>
      <c r="B8244">
        <v>60.2</v>
      </c>
      <c r="C8244">
        <v>60.69</v>
      </c>
      <c r="D8244">
        <v>60.07</v>
      </c>
      <c r="E8244">
        <v>60.67</v>
      </c>
      <c r="F8244">
        <v>6528700</v>
      </c>
      <c r="G8244">
        <v>58.18</v>
      </c>
      <c r="H8244" t="s">
        <v>11</v>
      </c>
      <c r="I8244" s="22">
        <f t="shared" si="257"/>
        <v>6.8989580289662879E-3</v>
      </c>
      <c r="J8244" s="22" t="str">
        <f t="shared" si="258"/>
        <v/>
      </c>
    </row>
    <row r="8245" spans="1:10">
      <c r="A8245" s="1">
        <v>41008</v>
      </c>
      <c r="B8245">
        <v>60.22</v>
      </c>
      <c r="C8245">
        <v>60.34</v>
      </c>
      <c r="D8245">
        <v>60.08</v>
      </c>
      <c r="E8245">
        <v>60.13</v>
      </c>
      <c r="F8245">
        <v>6831700</v>
      </c>
      <c r="G8245">
        <v>57.66</v>
      </c>
      <c r="H8245" t="s">
        <v>11</v>
      </c>
      <c r="I8245" s="22">
        <f t="shared" si="257"/>
        <v>-8.9779608567995047E-3</v>
      </c>
      <c r="J8245" s="22" t="str">
        <f t="shared" si="258"/>
        <v>lost money</v>
      </c>
    </row>
    <row r="8246" spans="1:10">
      <c r="A8246" s="1">
        <v>41009</v>
      </c>
      <c r="B8246">
        <v>60.03</v>
      </c>
      <c r="C8246">
        <v>60.39</v>
      </c>
      <c r="D8246">
        <v>59.55</v>
      </c>
      <c r="E8246">
        <v>59.93</v>
      </c>
      <c r="F8246">
        <v>9553100</v>
      </c>
      <c r="G8246">
        <v>57.47</v>
      </c>
      <c r="H8246" t="s">
        <v>11</v>
      </c>
      <c r="I8246" s="22">
        <f t="shared" si="257"/>
        <v>-3.3006196906059811E-3</v>
      </c>
      <c r="J8246" s="22" t="str">
        <f t="shared" si="258"/>
        <v>lost money</v>
      </c>
    </row>
    <row r="8247" spans="1:10">
      <c r="A8247" s="1">
        <v>41010</v>
      </c>
      <c r="B8247">
        <v>60.29</v>
      </c>
      <c r="C8247">
        <v>60.29</v>
      </c>
      <c r="D8247">
        <v>59.66</v>
      </c>
      <c r="E8247">
        <v>59.8</v>
      </c>
      <c r="F8247">
        <v>7747700</v>
      </c>
      <c r="G8247">
        <v>57.34</v>
      </c>
      <c r="H8247" t="s">
        <v>11</v>
      </c>
      <c r="I8247" s="22">
        <f t="shared" si="257"/>
        <v>-2.2646120644262474E-3</v>
      </c>
      <c r="J8247" s="22" t="str">
        <f t="shared" si="258"/>
        <v>lost money</v>
      </c>
    </row>
    <row r="8248" spans="1:10">
      <c r="A8248" s="1">
        <v>41011</v>
      </c>
      <c r="B8248">
        <v>59.8</v>
      </c>
      <c r="C8248">
        <v>60.2</v>
      </c>
      <c r="D8248">
        <v>59.56</v>
      </c>
      <c r="E8248">
        <v>60.14</v>
      </c>
      <c r="F8248">
        <v>7367700</v>
      </c>
      <c r="G8248">
        <v>57.67</v>
      </c>
      <c r="H8248" t="s">
        <v>11</v>
      </c>
      <c r="I8248" s="22">
        <f t="shared" si="257"/>
        <v>5.7386471720974261E-3</v>
      </c>
      <c r="J8248" s="22" t="str">
        <f t="shared" si="258"/>
        <v/>
      </c>
    </row>
    <row r="8249" spans="1:10">
      <c r="A8249" s="1">
        <v>41012</v>
      </c>
      <c r="B8249">
        <v>60</v>
      </c>
      <c r="C8249">
        <v>60.21</v>
      </c>
      <c r="D8249">
        <v>59.75</v>
      </c>
      <c r="E8249">
        <v>59.77</v>
      </c>
      <c r="F8249">
        <v>6692600</v>
      </c>
      <c r="G8249">
        <v>57.31</v>
      </c>
      <c r="H8249" t="s">
        <v>11</v>
      </c>
      <c r="I8249" s="22">
        <f t="shared" si="257"/>
        <v>-6.2619790636751962E-3</v>
      </c>
      <c r="J8249" s="22" t="str">
        <f t="shared" si="258"/>
        <v>lost money</v>
      </c>
    </row>
    <row r="8250" spans="1:10">
      <c r="A8250" s="1">
        <v>41015</v>
      </c>
      <c r="B8250">
        <v>59.94</v>
      </c>
      <c r="C8250">
        <v>60.81</v>
      </c>
      <c r="D8250">
        <v>59.87</v>
      </c>
      <c r="E8250">
        <v>60.58</v>
      </c>
      <c r="F8250">
        <v>6844600</v>
      </c>
      <c r="G8250">
        <v>58.09</v>
      </c>
      <c r="H8250" t="s">
        <v>11</v>
      </c>
      <c r="I8250" s="22">
        <f t="shared" si="257"/>
        <v>1.3518403440795154E-2</v>
      </c>
      <c r="J8250" s="22" t="str">
        <f t="shared" si="258"/>
        <v/>
      </c>
    </row>
    <row r="8251" spans="1:10">
      <c r="A8251" s="1">
        <v>41016</v>
      </c>
      <c r="B8251">
        <v>61.11</v>
      </c>
      <c r="C8251">
        <v>61.95</v>
      </c>
      <c r="D8251">
        <v>61.09</v>
      </c>
      <c r="E8251">
        <v>61.87</v>
      </c>
      <c r="F8251">
        <v>10676400</v>
      </c>
      <c r="G8251">
        <v>59.33</v>
      </c>
      <c r="H8251" t="s">
        <v>11</v>
      </c>
      <c r="I8251" s="22">
        <f t="shared" si="257"/>
        <v>2.1121548266110571E-2</v>
      </c>
      <c r="J8251" s="22" t="str">
        <f t="shared" si="258"/>
        <v/>
      </c>
    </row>
    <row r="8252" spans="1:10">
      <c r="A8252" s="1">
        <v>41017</v>
      </c>
      <c r="B8252">
        <v>61.55</v>
      </c>
      <c r="C8252">
        <v>62.25</v>
      </c>
      <c r="D8252">
        <v>61.55</v>
      </c>
      <c r="E8252">
        <v>62.06</v>
      </c>
      <c r="F8252">
        <v>7957300</v>
      </c>
      <c r="G8252">
        <v>59.51</v>
      </c>
      <c r="H8252" t="s">
        <v>11</v>
      </c>
      <c r="I8252" s="22">
        <f t="shared" si="257"/>
        <v>3.0292853862088553E-3</v>
      </c>
      <c r="J8252" s="22" t="str">
        <f t="shared" si="258"/>
        <v/>
      </c>
    </row>
    <row r="8253" spans="1:10">
      <c r="A8253" s="1">
        <v>41018</v>
      </c>
      <c r="B8253">
        <v>61.96</v>
      </c>
      <c r="C8253">
        <v>62.05</v>
      </c>
      <c r="D8253">
        <v>61.47</v>
      </c>
      <c r="E8253">
        <v>61.75</v>
      </c>
      <c r="F8253">
        <v>6379600</v>
      </c>
      <c r="G8253">
        <v>59.21</v>
      </c>
      <c r="H8253" t="s">
        <v>11</v>
      </c>
      <c r="I8253" s="22">
        <f t="shared" si="257"/>
        <v>-5.053919113075859E-3</v>
      </c>
      <c r="J8253" s="22" t="str">
        <f t="shared" si="258"/>
        <v>lost money</v>
      </c>
    </row>
    <row r="8254" spans="1:10">
      <c r="A8254" s="1">
        <v>41019</v>
      </c>
      <c r="B8254">
        <v>61.7</v>
      </c>
      <c r="C8254">
        <v>62.49</v>
      </c>
      <c r="D8254">
        <v>61.66</v>
      </c>
      <c r="E8254">
        <v>62.45</v>
      </c>
      <c r="F8254">
        <v>8997700</v>
      </c>
      <c r="G8254">
        <v>59.88</v>
      </c>
      <c r="H8254" t="s">
        <v>11</v>
      </c>
      <c r="I8254" s="22">
        <f t="shared" si="257"/>
        <v>1.1252113007742806E-2</v>
      </c>
      <c r="J8254" s="22" t="str">
        <f t="shared" si="258"/>
        <v/>
      </c>
    </row>
    <row r="8255" spans="1:10">
      <c r="A8255" s="1">
        <v>41022</v>
      </c>
      <c r="B8255">
        <v>59.15</v>
      </c>
      <c r="C8255">
        <v>60.24</v>
      </c>
      <c r="D8255">
        <v>59.13</v>
      </c>
      <c r="E8255">
        <v>59.54</v>
      </c>
      <c r="F8255">
        <v>38007300</v>
      </c>
      <c r="G8255">
        <v>57.09</v>
      </c>
      <c r="H8255" t="s">
        <v>11</v>
      </c>
      <c r="I8255" s="22">
        <f t="shared" si="257"/>
        <v>-4.7713589575259757E-2</v>
      </c>
      <c r="J8255" s="22" t="str">
        <f t="shared" si="258"/>
        <v/>
      </c>
    </row>
    <row r="8256" spans="1:10">
      <c r="A8256" s="1">
        <v>41023</v>
      </c>
      <c r="B8256">
        <v>59.26</v>
      </c>
      <c r="C8256">
        <v>59.35</v>
      </c>
      <c r="D8256">
        <v>57.65</v>
      </c>
      <c r="E8256">
        <v>57.77</v>
      </c>
      <c r="F8256">
        <v>30090600</v>
      </c>
      <c r="G8256">
        <v>55.4</v>
      </c>
      <c r="H8256" t="s">
        <v>11</v>
      </c>
      <c r="I8256" s="22">
        <f t="shared" si="257"/>
        <v>-3.0049376222929809E-2</v>
      </c>
      <c r="J8256" s="22" t="str">
        <f t="shared" si="258"/>
        <v>lost money</v>
      </c>
    </row>
    <row r="8257" spans="1:10">
      <c r="A8257" s="1">
        <v>41024</v>
      </c>
      <c r="B8257">
        <v>57.91</v>
      </c>
      <c r="C8257">
        <v>58.43</v>
      </c>
      <c r="D8257">
        <v>57.18</v>
      </c>
      <c r="E8257">
        <v>57.36</v>
      </c>
      <c r="F8257">
        <v>28011800</v>
      </c>
      <c r="G8257">
        <v>55</v>
      </c>
      <c r="H8257" t="s">
        <v>11</v>
      </c>
      <c r="I8257" s="22">
        <f t="shared" si="257"/>
        <v>-7.2464085207671978E-3</v>
      </c>
      <c r="J8257" s="22" t="str">
        <f t="shared" si="258"/>
        <v>lost money</v>
      </c>
    </row>
    <row r="8258" spans="1:10">
      <c r="A8258" s="1">
        <v>41025</v>
      </c>
      <c r="B8258">
        <v>57.59</v>
      </c>
      <c r="C8258">
        <v>59.43</v>
      </c>
      <c r="D8258">
        <v>57.57</v>
      </c>
      <c r="E8258">
        <v>58.95</v>
      </c>
      <c r="F8258">
        <v>25092900</v>
      </c>
      <c r="G8258">
        <v>56.53</v>
      </c>
      <c r="H8258" t="s">
        <v>11</v>
      </c>
      <c r="I8258" s="22">
        <f t="shared" si="257"/>
        <v>2.7438285454728442E-2</v>
      </c>
      <c r="J8258" s="22" t="str">
        <f t="shared" si="258"/>
        <v/>
      </c>
    </row>
    <row r="8259" spans="1:10">
      <c r="A8259" s="1">
        <v>41026</v>
      </c>
      <c r="B8259">
        <v>59.18</v>
      </c>
      <c r="C8259">
        <v>59.46</v>
      </c>
      <c r="D8259">
        <v>58.94</v>
      </c>
      <c r="E8259">
        <v>59.03</v>
      </c>
      <c r="F8259">
        <v>9027900</v>
      </c>
      <c r="G8259">
        <v>56.6</v>
      </c>
      <c r="H8259" t="s">
        <v>11</v>
      </c>
      <c r="I8259" s="22">
        <f t="shared" ref="I8259:I8322" si="259">IF(A8259=$A$2,"",LN(G8259/G8258))</f>
        <v>1.2375145219378117E-3</v>
      </c>
      <c r="J8259" s="22" t="str">
        <f t="shared" ref="J8259:J8322" si="260">IF(B8259&gt;E8259,"lost money","")</f>
        <v>lost money</v>
      </c>
    </row>
    <row r="8260" spans="1:10">
      <c r="A8260" s="1">
        <v>41029</v>
      </c>
      <c r="B8260">
        <v>58.82</v>
      </c>
      <c r="C8260">
        <v>58.99</v>
      </c>
      <c r="D8260">
        <v>58.53</v>
      </c>
      <c r="E8260">
        <v>58.91</v>
      </c>
      <c r="F8260">
        <v>7482600</v>
      </c>
      <c r="G8260">
        <v>56.49</v>
      </c>
      <c r="H8260" t="s">
        <v>11</v>
      </c>
      <c r="I8260" s="22">
        <f t="shared" si="259"/>
        <v>-1.9453538719664625E-3</v>
      </c>
      <c r="J8260" s="22" t="str">
        <f t="shared" si="260"/>
        <v/>
      </c>
    </row>
    <row r="8261" spans="1:10">
      <c r="A8261" s="1">
        <v>41030</v>
      </c>
      <c r="B8261">
        <v>58.95</v>
      </c>
      <c r="C8261">
        <v>59.27</v>
      </c>
      <c r="D8261">
        <v>58.48</v>
      </c>
      <c r="E8261">
        <v>59.07</v>
      </c>
      <c r="F8261">
        <v>9915700</v>
      </c>
      <c r="G8261">
        <v>56.64</v>
      </c>
      <c r="H8261" t="s">
        <v>11</v>
      </c>
      <c r="I8261" s="22">
        <f t="shared" si="259"/>
        <v>2.6518180482936107E-3</v>
      </c>
      <c r="J8261" s="22" t="str">
        <f t="shared" si="260"/>
        <v/>
      </c>
    </row>
    <row r="8262" spans="1:10">
      <c r="A8262" s="1">
        <v>41031</v>
      </c>
      <c r="B8262">
        <v>58.96</v>
      </c>
      <c r="C8262">
        <v>59.32</v>
      </c>
      <c r="D8262">
        <v>58.82</v>
      </c>
      <c r="E8262">
        <v>59.01</v>
      </c>
      <c r="F8262">
        <v>7347700</v>
      </c>
      <c r="G8262">
        <v>56.59</v>
      </c>
      <c r="H8262" t="s">
        <v>11</v>
      </c>
      <c r="I8262" s="22">
        <f t="shared" si="259"/>
        <v>-8.8315823103178918E-4</v>
      </c>
      <c r="J8262" s="22" t="str">
        <f t="shared" si="260"/>
        <v/>
      </c>
    </row>
    <row r="8263" spans="1:10">
      <c r="A8263" s="1">
        <v>41032</v>
      </c>
      <c r="B8263">
        <v>59.2</v>
      </c>
      <c r="C8263">
        <v>59.2</v>
      </c>
      <c r="D8263">
        <v>58.81</v>
      </c>
      <c r="E8263">
        <v>58.99</v>
      </c>
      <c r="F8263">
        <v>6891900</v>
      </c>
      <c r="G8263">
        <v>56.57</v>
      </c>
      <c r="H8263" t="s">
        <v>11</v>
      </c>
      <c r="I8263" s="22">
        <f t="shared" si="259"/>
        <v>-3.5348179936814519E-4</v>
      </c>
      <c r="J8263" s="22" t="str">
        <f t="shared" si="260"/>
        <v>lost money</v>
      </c>
    </row>
    <row r="8264" spans="1:10">
      <c r="A8264" s="1">
        <v>41033</v>
      </c>
      <c r="B8264">
        <v>58.86</v>
      </c>
      <c r="C8264">
        <v>59.18</v>
      </c>
      <c r="D8264">
        <v>58.68</v>
      </c>
      <c r="E8264">
        <v>58.7</v>
      </c>
      <c r="F8264">
        <v>6944500</v>
      </c>
      <c r="G8264">
        <v>56.29</v>
      </c>
      <c r="H8264" t="s">
        <v>11</v>
      </c>
      <c r="I8264" s="22">
        <f t="shared" si="259"/>
        <v>-4.9619098791291545E-3</v>
      </c>
      <c r="J8264" s="22" t="str">
        <f t="shared" si="260"/>
        <v>lost money</v>
      </c>
    </row>
    <row r="8265" spans="1:10">
      <c r="A8265" s="1">
        <v>41036</v>
      </c>
      <c r="B8265">
        <v>58.55</v>
      </c>
      <c r="C8265">
        <v>59.36</v>
      </c>
      <c r="D8265">
        <v>58.55</v>
      </c>
      <c r="E8265">
        <v>59.19</v>
      </c>
      <c r="F8265">
        <v>8658200</v>
      </c>
      <c r="G8265">
        <v>56.76</v>
      </c>
      <c r="H8265" t="s">
        <v>11</v>
      </c>
      <c r="I8265" s="22">
        <f t="shared" si="259"/>
        <v>8.3149528159067558E-3</v>
      </c>
      <c r="J8265" s="22" t="str">
        <f t="shared" si="260"/>
        <v/>
      </c>
    </row>
    <row r="8266" spans="1:10">
      <c r="A8266" s="1">
        <v>41037</v>
      </c>
      <c r="B8266">
        <v>59.06</v>
      </c>
      <c r="C8266">
        <v>59.37</v>
      </c>
      <c r="D8266">
        <v>58.63</v>
      </c>
      <c r="E8266">
        <v>59.05</v>
      </c>
      <c r="F8266">
        <v>10273300</v>
      </c>
      <c r="G8266">
        <v>56.62</v>
      </c>
      <c r="H8266" t="s">
        <v>11</v>
      </c>
      <c r="I8266" s="22">
        <f t="shared" si="259"/>
        <v>-2.4695726080884326E-3</v>
      </c>
      <c r="J8266" s="22" t="str">
        <f t="shared" si="260"/>
        <v>lost money</v>
      </c>
    </row>
    <row r="8267" spans="1:10">
      <c r="A8267" s="1">
        <v>41038</v>
      </c>
      <c r="B8267">
        <v>58.48</v>
      </c>
      <c r="C8267">
        <v>59.24</v>
      </c>
      <c r="D8267">
        <v>58.27</v>
      </c>
      <c r="E8267">
        <v>59.03</v>
      </c>
      <c r="F8267">
        <v>11157600</v>
      </c>
      <c r="G8267">
        <v>56.99</v>
      </c>
      <c r="H8267" t="s">
        <v>11</v>
      </c>
      <c r="I8267" s="22">
        <f t="shared" si="259"/>
        <v>6.513534163154644E-3</v>
      </c>
      <c r="J8267" s="22" t="str">
        <f t="shared" si="260"/>
        <v/>
      </c>
    </row>
    <row r="8268" spans="1:10">
      <c r="A8268" s="1">
        <v>41039</v>
      </c>
      <c r="B8268">
        <v>59.35</v>
      </c>
      <c r="C8268">
        <v>59.61</v>
      </c>
      <c r="D8268">
        <v>59.09</v>
      </c>
      <c r="E8268">
        <v>59.19</v>
      </c>
      <c r="F8268">
        <v>7740700</v>
      </c>
      <c r="G8268">
        <v>57.14</v>
      </c>
      <c r="H8268" t="s">
        <v>11</v>
      </c>
      <c r="I8268" s="22">
        <f t="shared" si="259"/>
        <v>2.6285829557187446E-3</v>
      </c>
      <c r="J8268" s="22" t="str">
        <f t="shared" si="260"/>
        <v>lost money</v>
      </c>
    </row>
    <row r="8269" spans="1:10">
      <c r="A8269" s="1">
        <v>41040</v>
      </c>
      <c r="B8269">
        <v>59.08</v>
      </c>
      <c r="C8269">
        <v>59.65</v>
      </c>
      <c r="D8269">
        <v>58.81</v>
      </c>
      <c r="E8269">
        <v>59.42</v>
      </c>
      <c r="F8269">
        <v>7473600</v>
      </c>
      <c r="G8269">
        <v>57.36</v>
      </c>
      <c r="H8269" t="s">
        <v>11</v>
      </c>
      <c r="I8269" s="22">
        <f t="shared" si="259"/>
        <v>3.842799488737907E-3</v>
      </c>
      <c r="J8269" s="22" t="str">
        <f t="shared" si="260"/>
        <v/>
      </c>
    </row>
    <row r="8270" spans="1:10">
      <c r="A8270" s="1">
        <v>41043</v>
      </c>
      <c r="B8270">
        <v>59.09</v>
      </c>
      <c r="C8270">
        <v>59.55</v>
      </c>
      <c r="D8270">
        <v>58.92</v>
      </c>
      <c r="E8270">
        <v>59.07</v>
      </c>
      <c r="F8270">
        <v>6201000</v>
      </c>
      <c r="G8270">
        <v>57.03</v>
      </c>
      <c r="H8270" t="s">
        <v>11</v>
      </c>
      <c r="I8270" s="22">
        <f t="shared" si="259"/>
        <v>-5.7697511229173725E-3</v>
      </c>
      <c r="J8270" s="22" t="str">
        <f t="shared" si="260"/>
        <v>lost money</v>
      </c>
    </row>
    <row r="8271" spans="1:10">
      <c r="A8271" s="1">
        <v>41044</v>
      </c>
      <c r="B8271">
        <v>58.95</v>
      </c>
      <c r="C8271">
        <v>59.65</v>
      </c>
      <c r="D8271">
        <v>58.95</v>
      </c>
      <c r="E8271">
        <v>59.35</v>
      </c>
      <c r="F8271">
        <v>10561400</v>
      </c>
      <c r="G8271">
        <v>57.3</v>
      </c>
      <c r="H8271" t="s">
        <v>11</v>
      </c>
      <c r="I8271" s="22">
        <f t="shared" si="259"/>
        <v>4.7231785522463569E-3</v>
      </c>
      <c r="J8271" s="22" t="str">
        <f t="shared" si="260"/>
        <v/>
      </c>
    </row>
    <row r="8272" spans="1:10">
      <c r="A8272" s="1">
        <v>41045</v>
      </c>
      <c r="B8272">
        <v>59.53</v>
      </c>
      <c r="C8272">
        <v>59.66</v>
      </c>
      <c r="D8272">
        <v>59.15</v>
      </c>
      <c r="E8272">
        <v>59.19</v>
      </c>
      <c r="F8272">
        <v>10838100</v>
      </c>
      <c r="G8272">
        <v>57.14</v>
      </c>
      <c r="H8272" t="s">
        <v>11</v>
      </c>
      <c r="I8272" s="22">
        <f t="shared" si="259"/>
        <v>-2.7962269180668176E-3</v>
      </c>
      <c r="J8272" s="22" t="str">
        <f t="shared" si="260"/>
        <v>lost money</v>
      </c>
    </row>
    <row r="8273" spans="1:10">
      <c r="A8273" s="1">
        <v>41046</v>
      </c>
      <c r="B8273">
        <v>61.34</v>
      </c>
      <c r="C8273">
        <v>62.5</v>
      </c>
      <c r="D8273">
        <v>61.25</v>
      </c>
      <c r="E8273">
        <v>61.68</v>
      </c>
      <c r="F8273">
        <v>29292400</v>
      </c>
      <c r="G8273">
        <v>59.55</v>
      </c>
      <c r="H8273" t="s">
        <v>11</v>
      </c>
      <c r="I8273" s="22">
        <f t="shared" si="259"/>
        <v>4.1311898998682116E-2</v>
      </c>
      <c r="J8273" s="22" t="str">
        <f t="shared" si="260"/>
        <v/>
      </c>
    </row>
    <row r="8274" spans="1:10">
      <c r="A8274" s="1">
        <v>41047</v>
      </c>
      <c r="B8274">
        <v>61.87</v>
      </c>
      <c r="C8274">
        <v>62.63</v>
      </c>
      <c r="D8274">
        <v>61.76</v>
      </c>
      <c r="E8274">
        <v>62.43</v>
      </c>
      <c r="F8274">
        <v>16630700</v>
      </c>
      <c r="G8274">
        <v>60.27</v>
      </c>
      <c r="H8274" t="s">
        <v>11</v>
      </c>
      <c r="I8274" s="22">
        <f t="shared" si="259"/>
        <v>1.2018171693643824E-2</v>
      </c>
      <c r="J8274" s="22" t="str">
        <f t="shared" si="260"/>
        <v/>
      </c>
    </row>
    <row r="8275" spans="1:10">
      <c r="A8275" s="1">
        <v>41050</v>
      </c>
      <c r="B8275">
        <v>62.38</v>
      </c>
      <c r="C8275">
        <v>63.1</v>
      </c>
      <c r="D8275">
        <v>62.14</v>
      </c>
      <c r="E8275">
        <v>63.04</v>
      </c>
      <c r="F8275">
        <v>11149900</v>
      </c>
      <c r="G8275">
        <v>60.86</v>
      </c>
      <c r="H8275" t="s">
        <v>11</v>
      </c>
      <c r="I8275" s="22">
        <f t="shared" si="259"/>
        <v>9.7416769738722323E-3</v>
      </c>
      <c r="J8275" s="22" t="str">
        <f t="shared" si="260"/>
        <v/>
      </c>
    </row>
    <row r="8276" spans="1:10">
      <c r="A8276" s="1">
        <v>41051</v>
      </c>
      <c r="B8276">
        <v>62.99</v>
      </c>
      <c r="C8276">
        <v>63.95</v>
      </c>
      <c r="D8276">
        <v>62.9</v>
      </c>
      <c r="E8276">
        <v>63.73</v>
      </c>
      <c r="F8276">
        <v>12074400</v>
      </c>
      <c r="G8276">
        <v>61.53</v>
      </c>
      <c r="H8276" t="s">
        <v>11</v>
      </c>
      <c r="I8276" s="22">
        <f t="shared" si="259"/>
        <v>1.0948716283573858E-2</v>
      </c>
      <c r="J8276" s="22" t="str">
        <f t="shared" si="260"/>
        <v/>
      </c>
    </row>
    <row r="8277" spans="1:10">
      <c r="A8277" s="1">
        <v>41052</v>
      </c>
      <c r="B8277">
        <v>63.39</v>
      </c>
      <c r="C8277">
        <v>64.69</v>
      </c>
      <c r="D8277">
        <v>63.29</v>
      </c>
      <c r="E8277">
        <v>64.58</v>
      </c>
      <c r="F8277">
        <v>15682200</v>
      </c>
      <c r="G8277">
        <v>62.35</v>
      </c>
      <c r="H8277" t="s">
        <v>11</v>
      </c>
      <c r="I8277" s="22">
        <f t="shared" si="259"/>
        <v>1.323881137364652E-2</v>
      </c>
      <c r="J8277" s="22" t="str">
        <f t="shared" si="260"/>
        <v/>
      </c>
    </row>
    <row r="8278" spans="1:10">
      <c r="A8278" s="1">
        <v>41053</v>
      </c>
      <c r="B8278">
        <v>64.709999999999994</v>
      </c>
      <c r="C8278">
        <v>65.180000000000007</v>
      </c>
      <c r="D8278">
        <v>64.459999999999994</v>
      </c>
      <c r="E8278">
        <v>65.069999999999993</v>
      </c>
      <c r="F8278">
        <v>11302700</v>
      </c>
      <c r="G8278">
        <v>62.82</v>
      </c>
      <c r="H8278" t="s">
        <v>11</v>
      </c>
      <c r="I8278" s="22">
        <f t="shared" si="259"/>
        <v>7.5098219844549887E-3</v>
      </c>
      <c r="J8278" s="22" t="str">
        <f t="shared" si="260"/>
        <v/>
      </c>
    </row>
    <row r="8279" spans="1:10">
      <c r="A8279" s="1">
        <v>41054</v>
      </c>
      <c r="B8279">
        <v>64.86</v>
      </c>
      <c r="C8279">
        <v>65.5</v>
      </c>
      <c r="D8279">
        <v>64.8</v>
      </c>
      <c r="E8279">
        <v>65.31</v>
      </c>
      <c r="F8279">
        <v>10179900</v>
      </c>
      <c r="G8279">
        <v>63.05</v>
      </c>
      <c r="H8279" t="s">
        <v>11</v>
      </c>
      <c r="I8279" s="22">
        <f t="shared" si="259"/>
        <v>3.6545683004280088E-3</v>
      </c>
      <c r="J8279" s="22" t="str">
        <f t="shared" si="260"/>
        <v/>
      </c>
    </row>
    <row r="8280" spans="1:10">
      <c r="A8280" s="1">
        <v>41058</v>
      </c>
      <c r="B8280">
        <v>65.400000000000006</v>
      </c>
      <c r="C8280">
        <v>65.760000000000005</v>
      </c>
      <c r="D8280">
        <v>65.209999999999994</v>
      </c>
      <c r="E8280">
        <v>65.680000000000007</v>
      </c>
      <c r="F8280">
        <v>10036900</v>
      </c>
      <c r="G8280">
        <v>63.41</v>
      </c>
      <c r="H8280" t="s">
        <v>11</v>
      </c>
      <c r="I8280" s="22">
        <f t="shared" si="259"/>
        <v>5.6935153010116684E-3</v>
      </c>
      <c r="J8280" s="22" t="str">
        <f t="shared" si="260"/>
        <v/>
      </c>
    </row>
    <row r="8281" spans="1:10">
      <c r="A8281" s="1">
        <v>41059</v>
      </c>
      <c r="B8281">
        <v>65.41</v>
      </c>
      <c r="C8281">
        <v>65.95</v>
      </c>
      <c r="D8281">
        <v>65.33</v>
      </c>
      <c r="E8281">
        <v>65.44</v>
      </c>
      <c r="F8281">
        <v>9979700</v>
      </c>
      <c r="G8281">
        <v>63.18</v>
      </c>
      <c r="H8281" t="s">
        <v>11</v>
      </c>
      <c r="I8281" s="22">
        <f t="shared" si="259"/>
        <v>-3.6337823380010559E-3</v>
      </c>
      <c r="J8281" s="22" t="str">
        <f t="shared" si="260"/>
        <v/>
      </c>
    </row>
    <row r="8282" spans="1:10">
      <c r="A8282" s="1">
        <v>41060</v>
      </c>
      <c r="B8282">
        <v>65.400000000000006</v>
      </c>
      <c r="C8282">
        <v>66.66</v>
      </c>
      <c r="D8282">
        <v>65.38</v>
      </c>
      <c r="E8282">
        <v>65.819999999999993</v>
      </c>
      <c r="F8282">
        <v>16765500</v>
      </c>
      <c r="G8282">
        <v>63.54</v>
      </c>
      <c r="H8282" t="s">
        <v>11</v>
      </c>
      <c r="I8282" s="22">
        <f t="shared" si="259"/>
        <v>5.6818334674308638E-3</v>
      </c>
      <c r="J8282" s="22" t="str">
        <f t="shared" si="260"/>
        <v/>
      </c>
    </row>
    <row r="8283" spans="1:10">
      <c r="A8283" s="1">
        <v>41061</v>
      </c>
      <c r="B8283">
        <v>65.430000000000007</v>
      </c>
      <c r="C8283">
        <v>65.88</v>
      </c>
      <c r="D8283">
        <v>65.13</v>
      </c>
      <c r="E8283">
        <v>65.55</v>
      </c>
      <c r="F8283">
        <v>15300700</v>
      </c>
      <c r="G8283">
        <v>63.28</v>
      </c>
      <c r="H8283" t="s">
        <v>11</v>
      </c>
      <c r="I8283" s="22">
        <f t="shared" si="259"/>
        <v>-4.1003053819716802E-3</v>
      </c>
      <c r="J8283" s="22" t="str">
        <f t="shared" si="260"/>
        <v/>
      </c>
    </row>
    <row r="8284" spans="1:10">
      <c r="A8284" s="1">
        <v>41064</v>
      </c>
      <c r="B8284">
        <v>65.900000000000006</v>
      </c>
      <c r="C8284">
        <v>66.13</v>
      </c>
      <c r="D8284">
        <v>65.400000000000006</v>
      </c>
      <c r="E8284">
        <v>65.989999999999995</v>
      </c>
      <c r="F8284">
        <v>13876800</v>
      </c>
      <c r="G8284">
        <v>63.71</v>
      </c>
      <c r="H8284" t="s">
        <v>11</v>
      </c>
      <c r="I8284" s="22">
        <f t="shared" si="259"/>
        <v>6.7722126689984743E-3</v>
      </c>
      <c r="J8284" s="22" t="str">
        <f t="shared" si="260"/>
        <v/>
      </c>
    </row>
    <row r="8285" spans="1:10">
      <c r="A8285" s="1">
        <v>41065</v>
      </c>
      <c r="B8285">
        <v>65.739999999999995</v>
      </c>
      <c r="C8285">
        <v>65.900000000000006</v>
      </c>
      <c r="D8285">
        <v>65.430000000000007</v>
      </c>
      <c r="E8285">
        <v>65.5</v>
      </c>
      <c r="F8285">
        <v>9341000</v>
      </c>
      <c r="G8285">
        <v>63.23</v>
      </c>
      <c r="H8285" t="s">
        <v>11</v>
      </c>
      <c r="I8285" s="22">
        <f t="shared" si="259"/>
        <v>-7.5626640578750201E-3</v>
      </c>
      <c r="J8285" s="22" t="str">
        <f t="shared" si="260"/>
        <v>lost money</v>
      </c>
    </row>
    <row r="8286" spans="1:10">
      <c r="A8286" s="1">
        <v>41066</v>
      </c>
      <c r="B8286">
        <v>65.599999999999994</v>
      </c>
      <c r="C8286">
        <v>65.97</v>
      </c>
      <c r="D8286">
        <v>65.459999999999994</v>
      </c>
      <c r="E8286">
        <v>65.930000000000007</v>
      </c>
      <c r="F8286">
        <v>10846900</v>
      </c>
      <c r="G8286">
        <v>63.65</v>
      </c>
      <c r="H8286" t="s">
        <v>11</v>
      </c>
      <c r="I8286" s="22">
        <f t="shared" si="259"/>
        <v>6.6204529328938106E-3</v>
      </c>
      <c r="J8286" s="22" t="str">
        <f t="shared" si="260"/>
        <v/>
      </c>
    </row>
    <row r="8287" spans="1:10">
      <c r="A8287" s="1">
        <v>41067</v>
      </c>
      <c r="B8287">
        <v>66.08</v>
      </c>
      <c r="C8287">
        <v>66.08</v>
      </c>
      <c r="D8287">
        <v>65.78</v>
      </c>
      <c r="E8287">
        <v>65.87</v>
      </c>
      <c r="F8287">
        <v>12546700</v>
      </c>
      <c r="G8287">
        <v>63.59</v>
      </c>
      <c r="H8287" t="s">
        <v>11</v>
      </c>
      <c r="I8287" s="22">
        <f t="shared" si="259"/>
        <v>-9.4309972409898528E-4</v>
      </c>
      <c r="J8287" s="22" t="str">
        <f t="shared" si="260"/>
        <v>lost money</v>
      </c>
    </row>
    <row r="8288" spans="1:10">
      <c r="A8288" s="1">
        <v>41068</v>
      </c>
      <c r="B8288">
        <v>66.19</v>
      </c>
      <c r="C8288">
        <v>68.23</v>
      </c>
      <c r="D8288">
        <v>66.08</v>
      </c>
      <c r="E8288">
        <v>68.22</v>
      </c>
      <c r="F8288">
        <v>18012600</v>
      </c>
      <c r="G8288">
        <v>65.86</v>
      </c>
      <c r="H8288" t="s">
        <v>11</v>
      </c>
      <c r="I8288" s="22">
        <f t="shared" si="259"/>
        <v>3.5075051668901805E-2</v>
      </c>
      <c r="J8288" s="22" t="str">
        <f t="shared" si="260"/>
        <v/>
      </c>
    </row>
    <row r="8289" spans="1:10">
      <c r="A8289" s="1">
        <v>41071</v>
      </c>
      <c r="B8289">
        <v>68.39</v>
      </c>
      <c r="C8289">
        <v>68.48</v>
      </c>
      <c r="D8289">
        <v>67.47</v>
      </c>
      <c r="E8289">
        <v>67.53</v>
      </c>
      <c r="F8289">
        <v>10491400</v>
      </c>
      <c r="G8289">
        <v>65.19</v>
      </c>
      <c r="H8289" t="s">
        <v>11</v>
      </c>
      <c r="I8289" s="22">
        <f t="shared" si="259"/>
        <v>-1.0225194011770279E-2</v>
      </c>
      <c r="J8289" s="22" t="str">
        <f t="shared" si="260"/>
        <v>lost money</v>
      </c>
    </row>
    <row r="8290" spans="1:10">
      <c r="A8290" s="1">
        <v>41072</v>
      </c>
      <c r="B8290">
        <v>67.67</v>
      </c>
      <c r="C8290">
        <v>67.849999999999994</v>
      </c>
      <c r="D8290">
        <v>67.3</v>
      </c>
      <c r="E8290">
        <v>67.72</v>
      </c>
      <c r="F8290">
        <v>8987800</v>
      </c>
      <c r="G8290">
        <v>65.38</v>
      </c>
      <c r="H8290" t="s">
        <v>11</v>
      </c>
      <c r="I8290" s="22">
        <f t="shared" si="259"/>
        <v>2.9103183596164935E-3</v>
      </c>
      <c r="J8290" s="22" t="str">
        <f t="shared" si="260"/>
        <v/>
      </c>
    </row>
    <row r="8291" spans="1:10">
      <c r="A8291" s="1">
        <v>41073</v>
      </c>
      <c r="B8291">
        <v>67.59</v>
      </c>
      <c r="C8291">
        <v>67.75</v>
      </c>
      <c r="D8291">
        <v>66.959999999999994</v>
      </c>
      <c r="E8291">
        <v>67.069999999999993</v>
      </c>
      <c r="F8291">
        <v>13275400</v>
      </c>
      <c r="G8291">
        <v>64.75</v>
      </c>
      <c r="H8291" t="s">
        <v>11</v>
      </c>
      <c r="I8291" s="22">
        <f t="shared" si="259"/>
        <v>-9.6827007164173879E-3</v>
      </c>
      <c r="J8291" s="22" t="str">
        <f t="shared" si="260"/>
        <v>lost money</v>
      </c>
    </row>
    <row r="8292" spans="1:10">
      <c r="A8292" s="1">
        <v>41074</v>
      </c>
      <c r="B8292">
        <v>67.099999999999994</v>
      </c>
      <c r="C8292">
        <v>67.790000000000006</v>
      </c>
      <c r="D8292">
        <v>67.09</v>
      </c>
      <c r="E8292">
        <v>67.63</v>
      </c>
      <c r="F8292">
        <v>9994400</v>
      </c>
      <c r="G8292">
        <v>65.290000000000006</v>
      </c>
      <c r="H8292" t="s">
        <v>11</v>
      </c>
      <c r="I8292" s="22">
        <f t="shared" si="259"/>
        <v>8.305184618894991E-3</v>
      </c>
      <c r="J8292" s="22" t="str">
        <f t="shared" si="260"/>
        <v/>
      </c>
    </row>
    <row r="8293" spans="1:10">
      <c r="A8293" s="1">
        <v>41075</v>
      </c>
      <c r="B8293">
        <v>68.05</v>
      </c>
      <c r="C8293">
        <v>68.06</v>
      </c>
      <c r="D8293">
        <v>67.59</v>
      </c>
      <c r="E8293">
        <v>67.75</v>
      </c>
      <c r="F8293">
        <v>12742000</v>
      </c>
      <c r="G8293">
        <v>65.41</v>
      </c>
      <c r="H8293" t="s">
        <v>11</v>
      </c>
      <c r="I8293" s="22">
        <f t="shared" si="259"/>
        <v>1.8362667745790413E-3</v>
      </c>
      <c r="J8293" s="22" t="str">
        <f t="shared" si="260"/>
        <v>lost money</v>
      </c>
    </row>
    <row r="8294" spans="1:10">
      <c r="A8294" s="1">
        <v>41078</v>
      </c>
      <c r="B8294">
        <v>67.47</v>
      </c>
      <c r="C8294">
        <v>68.28</v>
      </c>
      <c r="D8294">
        <v>67.430000000000007</v>
      </c>
      <c r="E8294">
        <v>68.12</v>
      </c>
      <c r="F8294">
        <v>7553500</v>
      </c>
      <c r="G8294">
        <v>65.760000000000005</v>
      </c>
      <c r="H8294" t="s">
        <v>11</v>
      </c>
      <c r="I8294" s="22">
        <f t="shared" si="259"/>
        <v>5.3365987748031397E-3</v>
      </c>
      <c r="J8294" s="22" t="str">
        <f t="shared" si="260"/>
        <v/>
      </c>
    </row>
    <row r="8295" spans="1:10">
      <c r="A8295" s="1">
        <v>41079</v>
      </c>
      <c r="B8295">
        <v>68.09</v>
      </c>
      <c r="C8295">
        <v>68.25</v>
      </c>
      <c r="D8295">
        <v>67.7</v>
      </c>
      <c r="E8295">
        <v>67.81</v>
      </c>
      <c r="F8295">
        <v>7906000</v>
      </c>
      <c r="G8295">
        <v>65.459999999999994</v>
      </c>
      <c r="H8295" t="s">
        <v>11</v>
      </c>
      <c r="I8295" s="22">
        <f t="shared" si="259"/>
        <v>-4.5724816748902285E-3</v>
      </c>
      <c r="J8295" s="22" t="str">
        <f t="shared" si="260"/>
        <v>lost money</v>
      </c>
    </row>
    <row r="8296" spans="1:10">
      <c r="A8296" s="1">
        <v>41080</v>
      </c>
      <c r="B8296">
        <v>67.86</v>
      </c>
      <c r="C8296">
        <v>68.540000000000006</v>
      </c>
      <c r="D8296">
        <v>67.78</v>
      </c>
      <c r="E8296">
        <v>68.52</v>
      </c>
      <c r="F8296">
        <v>8989800</v>
      </c>
      <c r="G8296">
        <v>66.150000000000006</v>
      </c>
      <c r="H8296" t="s">
        <v>11</v>
      </c>
      <c r="I8296" s="22">
        <f t="shared" si="259"/>
        <v>1.0485621487930362E-2</v>
      </c>
      <c r="J8296" s="22" t="str">
        <f t="shared" si="260"/>
        <v/>
      </c>
    </row>
    <row r="8297" spans="1:10">
      <c r="A8297" s="1">
        <v>41081</v>
      </c>
      <c r="B8297">
        <v>68.489999999999995</v>
      </c>
      <c r="C8297">
        <v>68.66</v>
      </c>
      <c r="D8297">
        <v>67.680000000000007</v>
      </c>
      <c r="E8297">
        <v>67.7</v>
      </c>
      <c r="F8297">
        <v>9843600</v>
      </c>
      <c r="G8297">
        <v>65.36</v>
      </c>
      <c r="H8297" t="s">
        <v>11</v>
      </c>
      <c r="I8297" s="22">
        <f t="shared" si="259"/>
        <v>-1.2014440009217338E-2</v>
      </c>
      <c r="J8297" s="22" t="str">
        <f t="shared" si="260"/>
        <v>lost money</v>
      </c>
    </row>
    <row r="8298" spans="1:10">
      <c r="A8298" s="1">
        <v>41082</v>
      </c>
      <c r="B8298">
        <v>68.09</v>
      </c>
      <c r="C8298">
        <v>68.349999999999994</v>
      </c>
      <c r="D8298">
        <v>67.19</v>
      </c>
      <c r="E8298">
        <v>67.3</v>
      </c>
      <c r="F8298">
        <v>11400700</v>
      </c>
      <c r="G8298">
        <v>64.97</v>
      </c>
      <c r="H8298" t="s">
        <v>11</v>
      </c>
      <c r="I8298" s="22">
        <f t="shared" si="259"/>
        <v>-5.9848256593078904E-3</v>
      </c>
      <c r="J8298" s="22" t="str">
        <f t="shared" si="260"/>
        <v>lost money</v>
      </c>
    </row>
    <row r="8299" spans="1:10">
      <c r="A8299" s="1">
        <v>41085</v>
      </c>
      <c r="B8299">
        <v>67.06</v>
      </c>
      <c r="C8299">
        <v>68.23</v>
      </c>
      <c r="D8299">
        <v>67.06</v>
      </c>
      <c r="E8299">
        <v>68.180000000000007</v>
      </c>
      <c r="F8299">
        <v>11830600</v>
      </c>
      <c r="G8299">
        <v>65.819999999999993</v>
      </c>
      <c r="H8299" t="s">
        <v>11</v>
      </c>
      <c r="I8299" s="22">
        <f t="shared" si="259"/>
        <v>1.2998118622754271E-2</v>
      </c>
      <c r="J8299" s="22" t="str">
        <f t="shared" si="260"/>
        <v/>
      </c>
    </row>
    <row r="8300" spans="1:10">
      <c r="A8300" s="1">
        <v>41086</v>
      </c>
      <c r="B8300">
        <v>68.48</v>
      </c>
      <c r="C8300">
        <v>68.92</v>
      </c>
      <c r="D8300">
        <v>68.25</v>
      </c>
      <c r="E8300">
        <v>68.58</v>
      </c>
      <c r="F8300">
        <v>10811800</v>
      </c>
      <c r="G8300">
        <v>66.209999999999994</v>
      </c>
      <c r="H8300" t="s">
        <v>11</v>
      </c>
      <c r="I8300" s="22">
        <f t="shared" si="259"/>
        <v>5.9077654215609543E-3</v>
      </c>
      <c r="J8300" s="22" t="str">
        <f t="shared" si="260"/>
        <v/>
      </c>
    </row>
    <row r="8301" spans="1:10">
      <c r="A8301" s="1">
        <v>41087</v>
      </c>
      <c r="B8301">
        <v>68.59</v>
      </c>
      <c r="C8301">
        <v>68.75</v>
      </c>
      <c r="D8301">
        <v>68.260000000000005</v>
      </c>
      <c r="E8301">
        <v>68.59</v>
      </c>
      <c r="F8301">
        <v>8797800</v>
      </c>
      <c r="G8301">
        <v>66.22</v>
      </c>
      <c r="H8301" t="s">
        <v>11</v>
      </c>
      <c r="I8301" s="22">
        <f t="shared" si="259"/>
        <v>1.5102318234553697E-4</v>
      </c>
      <c r="J8301" s="22" t="str">
        <f t="shared" si="260"/>
        <v/>
      </c>
    </row>
    <row r="8302" spans="1:10">
      <c r="A8302" s="1">
        <v>41088</v>
      </c>
      <c r="B8302">
        <v>67.92</v>
      </c>
      <c r="C8302">
        <v>68.349999999999994</v>
      </c>
      <c r="D8302">
        <v>67.489999999999995</v>
      </c>
      <c r="E8302">
        <v>68.3</v>
      </c>
      <c r="F8302">
        <v>8578400</v>
      </c>
      <c r="G8302">
        <v>65.94</v>
      </c>
      <c r="H8302" t="s">
        <v>11</v>
      </c>
      <c r="I8302" s="22">
        <f t="shared" si="259"/>
        <v>-4.2372944755152669E-3</v>
      </c>
      <c r="J8302" s="22" t="str">
        <f t="shared" si="260"/>
        <v/>
      </c>
    </row>
    <row r="8303" spans="1:10">
      <c r="A8303" s="1">
        <v>41089</v>
      </c>
      <c r="B8303">
        <v>68.94</v>
      </c>
      <c r="C8303">
        <v>69.72</v>
      </c>
      <c r="D8303">
        <v>68.56</v>
      </c>
      <c r="E8303">
        <v>69.72</v>
      </c>
      <c r="F8303">
        <v>10663400</v>
      </c>
      <c r="G8303">
        <v>67.31</v>
      </c>
      <c r="H8303" t="s">
        <v>11</v>
      </c>
      <c r="I8303" s="22">
        <f t="shared" si="259"/>
        <v>2.0563576379036816E-2</v>
      </c>
      <c r="J8303" s="22" t="str">
        <f t="shared" si="260"/>
        <v/>
      </c>
    </row>
    <row r="8304" spans="1:10">
      <c r="A8304" s="1">
        <v>41092</v>
      </c>
      <c r="B8304">
        <v>69.599999999999994</v>
      </c>
      <c r="C8304">
        <v>69.95</v>
      </c>
      <c r="D8304">
        <v>69.150000000000006</v>
      </c>
      <c r="E8304">
        <v>69.349999999999994</v>
      </c>
      <c r="F8304">
        <v>10425200</v>
      </c>
      <c r="G8304">
        <v>66.95</v>
      </c>
      <c r="H8304" t="s">
        <v>11</v>
      </c>
      <c r="I8304" s="22">
        <f t="shared" si="259"/>
        <v>-5.362741885440267E-3</v>
      </c>
      <c r="J8304" s="22" t="str">
        <f t="shared" si="260"/>
        <v>lost money</v>
      </c>
    </row>
    <row r="8305" spans="1:10">
      <c r="A8305" s="1">
        <v>41093</v>
      </c>
      <c r="B8305">
        <v>69.650000000000006</v>
      </c>
      <c r="C8305">
        <v>70.77</v>
      </c>
      <c r="D8305">
        <v>69.3</v>
      </c>
      <c r="E8305">
        <v>70.75</v>
      </c>
      <c r="F8305">
        <v>9394700</v>
      </c>
      <c r="G8305">
        <v>68.3</v>
      </c>
      <c r="H8305" t="s">
        <v>11</v>
      </c>
      <c r="I8305" s="22">
        <f t="shared" si="259"/>
        <v>1.9963694439562873E-2</v>
      </c>
      <c r="J8305" s="22" t="str">
        <f t="shared" si="260"/>
        <v/>
      </c>
    </row>
    <row r="8306" spans="1:10">
      <c r="A8306" s="1">
        <v>41095</v>
      </c>
      <c r="B8306">
        <v>70.37</v>
      </c>
      <c r="C8306">
        <v>71.3</v>
      </c>
      <c r="D8306">
        <v>70.37</v>
      </c>
      <c r="E8306">
        <v>71.08</v>
      </c>
      <c r="F8306">
        <v>12440500</v>
      </c>
      <c r="G8306">
        <v>68.62</v>
      </c>
      <c r="H8306" t="s">
        <v>11</v>
      </c>
      <c r="I8306" s="22">
        <f t="shared" si="259"/>
        <v>4.6742708535594552E-3</v>
      </c>
      <c r="J8306" s="22" t="str">
        <f t="shared" si="260"/>
        <v/>
      </c>
    </row>
    <row r="8307" spans="1:10">
      <c r="A8307" s="1">
        <v>41096</v>
      </c>
      <c r="B8307">
        <v>70.73</v>
      </c>
      <c r="C8307">
        <v>71.36</v>
      </c>
      <c r="D8307">
        <v>70.73</v>
      </c>
      <c r="E8307">
        <v>71.36</v>
      </c>
      <c r="F8307">
        <v>8009200</v>
      </c>
      <c r="G8307">
        <v>68.89</v>
      </c>
      <c r="H8307" t="s">
        <v>11</v>
      </c>
      <c r="I8307" s="22">
        <f t="shared" si="259"/>
        <v>3.9269921748008325E-3</v>
      </c>
      <c r="J8307" s="22" t="str">
        <f t="shared" si="260"/>
        <v/>
      </c>
    </row>
    <row r="8308" spans="1:10">
      <c r="A8308" s="1">
        <v>41099</v>
      </c>
      <c r="B8308">
        <v>71.260000000000005</v>
      </c>
      <c r="C8308">
        <v>71.760000000000005</v>
      </c>
      <c r="D8308">
        <v>71.02</v>
      </c>
      <c r="E8308">
        <v>71.760000000000005</v>
      </c>
      <c r="F8308">
        <v>11150400</v>
      </c>
      <c r="G8308">
        <v>69.28</v>
      </c>
      <c r="H8308" t="s">
        <v>11</v>
      </c>
      <c r="I8308" s="22">
        <f t="shared" si="259"/>
        <v>5.6452346490752621E-3</v>
      </c>
      <c r="J8308" s="22" t="str">
        <f t="shared" si="260"/>
        <v/>
      </c>
    </row>
    <row r="8309" spans="1:10">
      <c r="A8309" s="1">
        <v>41100</v>
      </c>
      <c r="B8309">
        <v>71.930000000000007</v>
      </c>
      <c r="C8309">
        <v>72.58</v>
      </c>
      <c r="D8309">
        <v>71.64</v>
      </c>
      <c r="E8309">
        <v>72.11</v>
      </c>
      <c r="F8309">
        <v>13328200</v>
      </c>
      <c r="G8309">
        <v>69.62</v>
      </c>
      <c r="H8309" t="s">
        <v>11</v>
      </c>
      <c r="I8309" s="22">
        <f t="shared" si="259"/>
        <v>4.8956181291132644E-3</v>
      </c>
      <c r="J8309" s="22" t="str">
        <f t="shared" si="260"/>
        <v/>
      </c>
    </row>
    <row r="8310" spans="1:10">
      <c r="A8310" s="1">
        <v>41101</v>
      </c>
      <c r="B8310">
        <v>72.13</v>
      </c>
      <c r="C8310">
        <v>72.44</v>
      </c>
      <c r="D8310">
        <v>71.78</v>
      </c>
      <c r="E8310">
        <v>72.260000000000005</v>
      </c>
      <c r="F8310">
        <v>12243900</v>
      </c>
      <c r="G8310">
        <v>69.760000000000005</v>
      </c>
      <c r="H8310" t="s">
        <v>11</v>
      </c>
      <c r="I8310" s="22">
        <f t="shared" si="259"/>
        <v>2.0088972174313671E-3</v>
      </c>
      <c r="J8310" s="22" t="str">
        <f t="shared" si="260"/>
        <v/>
      </c>
    </row>
    <row r="8311" spans="1:10">
      <c r="A8311" s="1">
        <v>41102</v>
      </c>
      <c r="B8311">
        <v>72.069999999999993</v>
      </c>
      <c r="C8311">
        <v>72.62</v>
      </c>
      <c r="D8311">
        <v>71.64</v>
      </c>
      <c r="E8311">
        <v>72.31</v>
      </c>
      <c r="F8311">
        <v>10195800</v>
      </c>
      <c r="G8311">
        <v>69.81</v>
      </c>
      <c r="H8311" t="s">
        <v>11</v>
      </c>
      <c r="I8311" s="22">
        <f t="shared" si="259"/>
        <v>7.1648638158587283E-4</v>
      </c>
      <c r="J8311" s="22" t="str">
        <f t="shared" si="260"/>
        <v/>
      </c>
    </row>
    <row r="8312" spans="1:10">
      <c r="A8312" s="1">
        <v>41103</v>
      </c>
      <c r="B8312">
        <v>72.27</v>
      </c>
      <c r="C8312">
        <v>73.239999999999995</v>
      </c>
      <c r="D8312">
        <v>72.150000000000006</v>
      </c>
      <c r="E8312">
        <v>73.180000000000007</v>
      </c>
      <c r="F8312">
        <v>8180100</v>
      </c>
      <c r="G8312">
        <v>70.650000000000006</v>
      </c>
      <c r="H8312" t="s">
        <v>11</v>
      </c>
      <c r="I8312" s="22">
        <f t="shared" si="259"/>
        <v>1.1960843148226395E-2</v>
      </c>
      <c r="J8312" s="22" t="str">
        <f t="shared" si="260"/>
        <v/>
      </c>
    </row>
    <row r="8313" spans="1:10">
      <c r="A8313" s="1">
        <v>41106</v>
      </c>
      <c r="B8313">
        <v>72.92</v>
      </c>
      <c r="C8313">
        <v>73.180000000000007</v>
      </c>
      <c r="D8313">
        <v>72.58</v>
      </c>
      <c r="E8313">
        <v>72.98</v>
      </c>
      <c r="F8313">
        <v>8080600</v>
      </c>
      <c r="G8313">
        <v>70.459999999999994</v>
      </c>
      <c r="H8313" t="s">
        <v>11</v>
      </c>
      <c r="I8313" s="22">
        <f t="shared" si="259"/>
        <v>-2.6929362174450172E-3</v>
      </c>
      <c r="J8313" s="22" t="str">
        <f t="shared" si="260"/>
        <v/>
      </c>
    </row>
    <row r="8314" spans="1:10">
      <c r="A8314" s="1">
        <v>41107</v>
      </c>
      <c r="B8314">
        <v>72.900000000000006</v>
      </c>
      <c r="C8314">
        <v>73.099999999999994</v>
      </c>
      <c r="D8314">
        <v>72.31</v>
      </c>
      <c r="E8314">
        <v>73.099999999999994</v>
      </c>
      <c r="F8314">
        <v>12176300</v>
      </c>
      <c r="G8314">
        <v>70.569999999999993</v>
      </c>
      <c r="H8314" t="s">
        <v>11</v>
      </c>
      <c r="I8314" s="22">
        <f t="shared" si="259"/>
        <v>1.5599520996472166E-3</v>
      </c>
      <c r="J8314" s="22" t="str">
        <f t="shared" si="260"/>
        <v/>
      </c>
    </row>
    <row r="8315" spans="1:10">
      <c r="A8315" s="1">
        <v>41108</v>
      </c>
      <c r="B8315">
        <v>72.89</v>
      </c>
      <c r="C8315">
        <v>73.459999999999994</v>
      </c>
      <c r="D8315">
        <v>72.72</v>
      </c>
      <c r="E8315">
        <v>72.849999999999994</v>
      </c>
      <c r="F8315">
        <v>9495100</v>
      </c>
      <c r="G8315">
        <v>70.33</v>
      </c>
      <c r="H8315" t="s">
        <v>11</v>
      </c>
      <c r="I8315" s="22">
        <f t="shared" si="259"/>
        <v>-3.4066746928119378E-3</v>
      </c>
      <c r="J8315" s="22" t="str">
        <f t="shared" si="260"/>
        <v>lost money</v>
      </c>
    </row>
    <row r="8316" spans="1:10">
      <c r="A8316" s="1">
        <v>41109</v>
      </c>
      <c r="B8316">
        <v>72.849999999999994</v>
      </c>
      <c r="C8316">
        <v>72.86</v>
      </c>
      <c r="D8316">
        <v>70.23</v>
      </c>
      <c r="E8316">
        <v>71.53</v>
      </c>
      <c r="F8316">
        <v>16878000</v>
      </c>
      <c r="G8316">
        <v>69.06</v>
      </c>
      <c r="H8316" t="s">
        <v>11</v>
      </c>
      <c r="I8316" s="22">
        <f t="shared" si="259"/>
        <v>-1.822275835808056E-2</v>
      </c>
      <c r="J8316" s="22" t="str">
        <f t="shared" si="260"/>
        <v>lost money</v>
      </c>
    </row>
    <row r="8317" spans="1:10">
      <c r="A8317" s="1">
        <v>41110</v>
      </c>
      <c r="B8317">
        <v>71.459999999999994</v>
      </c>
      <c r="C8317">
        <v>72.489999999999995</v>
      </c>
      <c r="D8317">
        <v>71.31</v>
      </c>
      <c r="E8317">
        <v>72.25</v>
      </c>
      <c r="F8317">
        <v>11052000</v>
      </c>
      <c r="G8317">
        <v>69.75</v>
      </c>
      <c r="H8317" t="s">
        <v>11</v>
      </c>
      <c r="I8317" s="22">
        <f t="shared" si="259"/>
        <v>9.9417287396287354E-3</v>
      </c>
      <c r="J8317" s="22" t="str">
        <f t="shared" si="260"/>
        <v/>
      </c>
    </row>
    <row r="8318" spans="1:10">
      <c r="A8318" s="1">
        <v>41113</v>
      </c>
      <c r="B8318">
        <v>71.62</v>
      </c>
      <c r="C8318">
        <v>71.989999999999995</v>
      </c>
      <c r="D8318">
        <v>71.260000000000005</v>
      </c>
      <c r="E8318">
        <v>71.849999999999994</v>
      </c>
      <c r="F8318">
        <v>6656500</v>
      </c>
      <c r="G8318">
        <v>69.37</v>
      </c>
      <c r="H8318" t="s">
        <v>11</v>
      </c>
      <c r="I8318" s="22">
        <f t="shared" si="259"/>
        <v>-5.4629233042650495E-3</v>
      </c>
      <c r="J8318" s="22" t="str">
        <f t="shared" si="260"/>
        <v/>
      </c>
    </row>
    <row r="8319" spans="1:10">
      <c r="A8319" s="1">
        <v>41114</v>
      </c>
      <c r="B8319">
        <v>71.680000000000007</v>
      </c>
      <c r="C8319">
        <v>72.239999999999995</v>
      </c>
      <c r="D8319">
        <v>71.45</v>
      </c>
      <c r="E8319">
        <v>72.14</v>
      </c>
      <c r="F8319">
        <v>7475700</v>
      </c>
      <c r="G8319">
        <v>69.650000000000006</v>
      </c>
      <c r="H8319" t="s">
        <v>11</v>
      </c>
      <c r="I8319" s="22">
        <f t="shared" si="259"/>
        <v>4.0282028286047879E-3</v>
      </c>
      <c r="J8319" s="22" t="str">
        <f t="shared" si="260"/>
        <v/>
      </c>
    </row>
    <row r="8320" spans="1:10">
      <c r="A8320" s="1">
        <v>41115</v>
      </c>
      <c r="B8320">
        <v>72.260000000000005</v>
      </c>
      <c r="C8320">
        <v>72.459999999999994</v>
      </c>
      <c r="D8320">
        <v>71.87</v>
      </c>
      <c r="E8320">
        <v>72.08</v>
      </c>
      <c r="F8320">
        <v>6981900</v>
      </c>
      <c r="G8320">
        <v>69.59</v>
      </c>
      <c r="H8320" t="s">
        <v>11</v>
      </c>
      <c r="I8320" s="22">
        <f t="shared" si="259"/>
        <v>-8.6182136905610916E-4</v>
      </c>
      <c r="J8320" s="22" t="str">
        <f t="shared" si="260"/>
        <v>lost money</v>
      </c>
    </row>
    <row r="8321" spans="1:10">
      <c r="A8321" s="1">
        <v>41116</v>
      </c>
      <c r="B8321">
        <v>72.7</v>
      </c>
      <c r="C8321">
        <v>73.95</v>
      </c>
      <c r="D8321">
        <v>72.69</v>
      </c>
      <c r="E8321">
        <v>73.67</v>
      </c>
      <c r="F8321">
        <v>8192400</v>
      </c>
      <c r="G8321">
        <v>71.12</v>
      </c>
      <c r="H8321" t="s">
        <v>11</v>
      </c>
      <c r="I8321" s="22">
        <f t="shared" si="259"/>
        <v>2.1747712348890457E-2</v>
      </c>
      <c r="J8321" s="22" t="str">
        <f t="shared" si="260"/>
        <v/>
      </c>
    </row>
    <row r="8322" spans="1:10">
      <c r="A8322" s="1">
        <v>41117</v>
      </c>
      <c r="B8322">
        <v>73.84</v>
      </c>
      <c r="C8322">
        <v>74.8</v>
      </c>
      <c r="D8322">
        <v>73.790000000000006</v>
      </c>
      <c r="E8322">
        <v>74.52</v>
      </c>
      <c r="F8322">
        <v>10861500</v>
      </c>
      <c r="G8322">
        <v>71.94</v>
      </c>
      <c r="H8322" t="s">
        <v>11</v>
      </c>
      <c r="I8322" s="22">
        <f t="shared" si="259"/>
        <v>1.1463847061828562E-2</v>
      </c>
      <c r="J8322" s="22" t="str">
        <f t="shared" si="260"/>
        <v/>
      </c>
    </row>
    <row r="8323" spans="1:10">
      <c r="A8323" s="1">
        <v>41120</v>
      </c>
      <c r="B8323">
        <v>74.459999999999994</v>
      </c>
      <c r="C8323">
        <v>75.239999999999995</v>
      </c>
      <c r="D8323">
        <v>74.45</v>
      </c>
      <c r="E8323">
        <v>74.98</v>
      </c>
      <c r="F8323">
        <v>9145600</v>
      </c>
      <c r="G8323">
        <v>72.39</v>
      </c>
      <c r="H8323" t="s">
        <v>11</v>
      </c>
      <c r="I8323" s="22">
        <f t="shared" ref="I8323:I8386" si="261">IF(A8323=$A$2,"",LN(G8323/G8322))</f>
        <v>6.2357300375722119E-3</v>
      </c>
      <c r="J8323" s="22" t="str">
        <f t="shared" ref="J8323:J8386" si="262">IF(B8323&gt;E8323,"lost money","")</f>
        <v/>
      </c>
    </row>
    <row r="8324" spans="1:10">
      <c r="A8324" s="1">
        <v>41121</v>
      </c>
      <c r="B8324">
        <v>74.760000000000005</v>
      </c>
      <c r="C8324">
        <v>74.98</v>
      </c>
      <c r="D8324">
        <v>74.430000000000007</v>
      </c>
      <c r="E8324">
        <v>74.430000000000007</v>
      </c>
      <c r="F8324">
        <v>8322900</v>
      </c>
      <c r="G8324">
        <v>71.86</v>
      </c>
      <c r="H8324" t="s">
        <v>11</v>
      </c>
      <c r="I8324" s="22">
        <f t="shared" si="261"/>
        <v>-7.3483866196773799E-3</v>
      </c>
      <c r="J8324" s="22" t="str">
        <f t="shared" si="262"/>
        <v>lost money</v>
      </c>
    </row>
    <row r="8325" spans="1:10">
      <c r="A8325" s="1">
        <v>41122</v>
      </c>
      <c r="B8325">
        <v>74.7</v>
      </c>
      <c r="C8325">
        <v>74.790000000000006</v>
      </c>
      <c r="D8325">
        <v>73.42</v>
      </c>
      <c r="E8325">
        <v>73.62</v>
      </c>
      <c r="F8325">
        <v>9699000</v>
      </c>
      <c r="G8325">
        <v>71.069999999999993</v>
      </c>
      <c r="H8325" t="s">
        <v>11</v>
      </c>
      <c r="I8325" s="22">
        <f t="shared" si="261"/>
        <v>-1.105447484656899E-2</v>
      </c>
      <c r="J8325" s="22" t="str">
        <f t="shared" si="262"/>
        <v>lost money</v>
      </c>
    </row>
    <row r="8326" spans="1:10">
      <c r="A8326" s="1">
        <v>41123</v>
      </c>
      <c r="B8326">
        <v>73.05</v>
      </c>
      <c r="C8326">
        <v>74.16</v>
      </c>
      <c r="D8326">
        <v>72.94</v>
      </c>
      <c r="E8326">
        <v>74.05</v>
      </c>
      <c r="F8326">
        <v>8093000</v>
      </c>
      <c r="G8326">
        <v>71.489999999999995</v>
      </c>
      <c r="H8326" t="s">
        <v>11</v>
      </c>
      <c r="I8326" s="22">
        <f t="shared" si="261"/>
        <v>5.8922729399567067E-3</v>
      </c>
      <c r="J8326" s="22" t="str">
        <f t="shared" si="262"/>
        <v/>
      </c>
    </row>
    <row r="8327" spans="1:10">
      <c r="A8327" s="1">
        <v>41124</v>
      </c>
      <c r="B8327">
        <v>74.739999999999995</v>
      </c>
      <c r="C8327">
        <v>74.959999999999994</v>
      </c>
      <c r="D8327">
        <v>74.25</v>
      </c>
      <c r="E8327">
        <v>74.55</v>
      </c>
      <c r="F8327">
        <v>8740000</v>
      </c>
      <c r="G8327">
        <v>71.97</v>
      </c>
      <c r="H8327" t="s">
        <v>11</v>
      </c>
      <c r="I8327" s="22">
        <f t="shared" si="261"/>
        <v>6.6917857409525376E-3</v>
      </c>
      <c r="J8327" s="22" t="str">
        <f t="shared" si="262"/>
        <v>lost money</v>
      </c>
    </row>
    <row r="8328" spans="1:10">
      <c r="A8328" s="1">
        <v>41127</v>
      </c>
      <c r="B8328">
        <v>74.92</v>
      </c>
      <c r="C8328">
        <v>74.92</v>
      </c>
      <c r="D8328">
        <v>74.28</v>
      </c>
      <c r="E8328">
        <v>74.28</v>
      </c>
      <c r="F8328">
        <v>6117500</v>
      </c>
      <c r="G8328">
        <v>71.709999999999994</v>
      </c>
      <c r="H8328" t="s">
        <v>11</v>
      </c>
      <c r="I8328" s="22">
        <f t="shared" si="261"/>
        <v>-3.6191576252295092E-3</v>
      </c>
      <c r="J8328" s="22" t="str">
        <f t="shared" si="262"/>
        <v>lost money</v>
      </c>
    </row>
    <row r="8329" spans="1:10">
      <c r="A8329" s="1">
        <v>41128</v>
      </c>
      <c r="B8329">
        <v>74.41</v>
      </c>
      <c r="C8329">
        <v>74.599999999999994</v>
      </c>
      <c r="D8329">
        <v>73.97</v>
      </c>
      <c r="E8329">
        <v>73.989999999999995</v>
      </c>
      <c r="F8329">
        <v>7614500</v>
      </c>
      <c r="G8329">
        <v>71.430000000000007</v>
      </c>
      <c r="H8329" t="s">
        <v>11</v>
      </c>
      <c r="I8329" s="22">
        <f t="shared" si="261"/>
        <v>-3.9122587276021886E-3</v>
      </c>
      <c r="J8329" s="22" t="str">
        <f t="shared" si="262"/>
        <v>lost money</v>
      </c>
    </row>
    <row r="8330" spans="1:10">
      <c r="A8330" s="1">
        <v>41129</v>
      </c>
      <c r="B8330">
        <v>73.650000000000006</v>
      </c>
      <c r="C8330">
        <v>74.510000000000005</v>
      </c>
      <c r="D8330">
        <v>73.430000000000007</v>
      </c>
      <c r="E8330">
        <v>74.31</v>
      </c>
      <c r="F8330">
        <v>6578300</v>
      </c>
      <c r="G8330">
        <v>72.13</v>
      </c>
      <c r="H8330" t="s">
        <v>11</v>
      </c>
      <c r="I8330" s="22">
        <f t="shared" si="261"/>
        <v>9.7520973487000145E-3</v>
      </c>
      <c r="J8330" s="22" t="str">
        <f t="shared" si="262"/>
        <v/>
      </c>
    </row>
    <row r="8331" spans="1:10">
      <c r="A8331" s="1">
        <v>41130</v>
      </c>
      <c r="B8331">
        <v>74.28</v>
      </c>
      <c r="C8331">
        <v>74.52</v>
      </c>
      <c r="D8331">
        <v>73.760000000000005</v>
      </c>
      <c r="E8331">
        <v>73.849999999999994</v>
      </c>
      <c r="F8331">
        <v>5284700</v>
      </c>
      <c r="G8331">
        <v>71.680000000000007</v>
      </c>
      <c r="H8331" t="s">
        <v>11</v>
      </c>
      <c r="I8331" s="22">
        <f t="shared" si="261"/>
        <v>-6.2582778489061151E-3</v>
      </c>
      <c r="J8331" s="22" t="str">
        <f t="shared" si="262"/>
        <v>lost money</v>
      </c>
    </row>
    <row r="8332" spans="1:10">
      <c r="A8332" s="1">
        <v>41131</v>
      </c>
      <c r="B8332">
        <v>73.849999999999994</v>
      </c>
      <c r="C8332">
        <v>74.25</v>
      </c>
      <c r="D8332">
        <v>73.430000000000007</v>
      </c>
      <c r="E8332">
        <v>73.680000000000007</v>
      </c>
      <c r="F8332">
        <v>5644200</v>
      </c>
      <c r="G8332">
        <v>71.52</v>
      </c>
      <c r="H8332" t="s">
        <v>11</v>
      </c>
      <c r="I8332" s="22">
        <f t="shared" si="261"/>
        <v>-2.2346378014164881E-3</v>
      </c>
      <c r="J8332" s="22" t="str">
        <f t="shared" si="262"/>
        <v>lost money</v>
      </c>
    </row>
    <row r="8333" spans="1:10">
      <c r="A8333" s="1">
        <v>41134</v>
      </c>
      <c r="B8333">
        <v>73.41</v>
      </c>
      <c r="C8333">
        <v>73.69</v>
      </c>
      <c r="D8333">
        <v>73.180000000000007</v>
      </c>
      <c r="E8333">
        <v>73.400000000000006</v>
      </c>
      <c r="F8333">
        <v>6301000</v>
      </c>
      <c r="G8333">
        <v>71.239999999999995</v>
      </c>
      <c r="H8333" t="s">
        <v>11</v>
      </c>
      <c r="I8333" s="22">
        <f t="shared" si="261"/>
        <v>-3.922672443797859E-3</v>
      </c>
      <c r="J8333" s="22" t="str">
        <f t="shared" si="262"/>
        <v>lost money</v>
      </c>
    </row>
    <row r="8334" spans="1:10">
      <c r="A8334" s="1">
        <v>41135</v>
      </c>
      <c r="B8334">
        <v>73.84</v>
      </c>
      <c r="C8334">
        <v>74.27</v>
      </c>
      <c r="D8334">
        <v>73.569999999999993</v>
      </c>
      <c r="E8334">
        <v>74.010000000000005</v>
      </c>
      <c r="F8334">
        <v>7242000</v>
      </c>
      <c r="G8334">
        <v>71.84</v>
      </c>
      <c r="H8334" t="s">
        <v>11</v>
      </c>
      <c r="I8334" s="22">
        <f t="shared" si="261"/>
        <v>8.3869655724833105E-3</v>
      </c>
      <c r="J8334" s="22" t="str">
        <f t="shared" si="262"/>
        <v/>
      </c>
    </row>
    <row r="8335" spans="1:10">
      <c r="A8335" s="1">
        <v>41136</v>
      </c>
      <c r="B8335">
        <v>73.91</v>
      </c>
      <c r="C8335">
        <v>74.52</v>
      </c>
      <c r="D8335">
        <v>73.819999999999993</v>
      </c>
      <c r="E8335">
        <v>74.45</v>
      </c>
      <c r="F8335">
        <v>7774400</v>
      </c>
      <c r="G8335">
        <v>72.260000000000005</v>
      </c>
      <c r="H8335" t="s">
        <v>11</v>
      </c>
      <c r="I8335" s="22">
        <f t="shared" si="261"/>
        <v>5.8293017255501203E-3</v>
      </c>
      <c r="J8335" s="22" t="str">
        <f t="shared" si="262"/>
        <v/>
      </c>
    </row>
    <row r="8336" spans="1:10">
      <c r="A8336" s="1">
        <v>41137</v>
      </c>
      <c r="B8336">
        <v>72.58</v>
      </c>
      <c r="C8336">
        <v>72.75</v>
      </c>
      <c r="D8336">
        <v>71.78</v>
      </c>
      <c r="E8336">
        <v>72.150000000000006</v>
      </c>
      <c r="F8336">
        <v>17813200</v>
      </c>
      <c r="G8336">
        <v>70.03</v>
      </c>
      <c r="H8336" t="s">
        <v>11</v>
      </c>
      <c r="I8336" s="22">
        <f t="shared" si="261"/>
        <v>-3.1347004052067841E-2</v>
      </c>
      <c r="J8336" s="22" t="str">
        <f t="shared" si="262"/>
        <v>lost money</v>
      </c>
    </row>
    <row r="8337" spans="1:10">
      <c r="A8337" s="1">
        <v>41138</v>
      </c>
      <c r="B8337">
        <v>72.41</v>
      </c>
      <c r="C8337">
        <v>72.69</v>
      </c>
      <c r="D8337">
        <v>71.84</v>
      </c>
      <c r="E8337">
        <v>71.989999999999995</v>
      </c>
      <c r="F8337">
        <v>9734900</v>
      </c>
      <c r="G8337">
        <v>69.88</v>
      </c>
      <c r="H8337" t="s">
        <v>11</v>
      </c>
      <c r="I8337" s="22">
        <f t="shared" si="261"/>
        <v>-2.1442364015706286E-3</v>
      </c>
      <c r="J8337" s="22" t="str">
        <f t="shared" si="262"/>
        <v>lost money</v>
      </c>
    </row>
    <row r="8338" spans="1:10">
      <c r="A8338" s="1">
        <v>41141</v>
      </c>
      <c r="B8338">
        <v>72.010000000000005</v>
      </c>
      <c r="C8338">
        <v>72.41</v>
      </c>
      <c r="D8338">
        <v>71.66</v>
      </c>
      <c r="E8338">
        <v>72.3</v>
      </c>
      <c r="F8338">
        <v>5548700</v>
      </c>
      <c r="G8338">
        <v>70.180000000000007</v>
      </c>
      <c r="H8338" t="s">
        <v>11</v>
      </c>
      <c r="I8338" s="22">
        <f t="shared" si="261"/>
        <v>4.2838848892133652E-3</v>
      </c>
      <c r="J8338" s="22" t="str">
        <f t="shared" si="262"/>
        <v/>
      </c>
    </row>
    <row r="8339" spans="1:10">
      <c r="A8339" s="1">
        <v>41142</v>
      </c>
      <c r="B8339">
        <v>72.3</v>
      </c>
      <c r="C8339">
        <v>72.34</v>
      </c>
      <c r="D8339">
        <v>71.430000000000007</v>
      </c>
      <c r="E8339">
        <v>71.430000000000007</v>
      </c>
      <c r="F8339">
        <v>7634200</v>
      </c>
      <c r="G8339">
        <v>69.33</v>
      </c>
      <c r="H8339" t="s">
        <v>11</v>
      </c>
      <c r="I8339" s="22">
        <f t="shared" si="261"/>
        <v>-1.2185657200670085E-2</v>
      </c>
      <c r="J8339" s="22" t="str">
        <f t="shared" si="262"/>
        <v>lost money</v>
      </c>
    </row>
    <row r="8340" spans="1:10">
      <c r="A8340" s="1">
        <v>41143</v>
      </c>
      <c r="B8340">
        <v>71.349999999999994</v>
      </c>
      <c r="C8340">
        <v>71.849999999999994</v>
      </c>
      <c r="D8340">
        <v>71.349999999999994</v>
      </c>
      <c r="E8340">
        <v>71.77</v>
      </c>
      <c r="F8340">
        <v>6661000</v>
      </c>
      <c r="G8340">
        <v>69.66</v>
      </c>
      <c r="H8340" t="s">
        <v>11</v>
      </c>
      <c r="I8340" s="22">
        <f t="shared" si="261"/>
        <v>4.7485519834560225E-3</v>
      </c>
      <c r="J8340" s="22" t="str">
        <f t="shared" si="262"/>
        <v/>
      </c>
    </row>
    <row r="8341" spans="1:10">
      <c r="A8341" s="1">
        <v>41144</v>
      </c>
      <c r="B8341">
        <v>71.8</v>
      </c>
      <c r="C8341">
        <v>71.94</v>
      </c>
      <c r="D8341">
        <v>71.400000000000006</v>
      </c>
      <c r="E8341">
        <v>71.56</v>
      </c>
      <c r="F8341">
        <v>6005100</v>
      </c>
      <c r="G8341">
        <v>69.459999999999994</v>
      </c>
      <c r="H8341" t="s">
        <v>11</v>
      </c>
      <c r="I8341" s="22">
        <f t="shared" si="261"/>
        <v>-2.8752176219271953E-3</v>
      </c>
      <c r="J8341" s="22" t="str">
        <f t="shared" si="262"/>
        <v>lost money</v>
      </c>
    </row>
    <row r="8342" spans="1:10">
      <c r="A8342" s="1">
        <v>41145</v>
      </c>
      <c r="B8342">
        <v>71.39</v>
      </c>
      <c r="C8342">
        <v>72.2</v>
      </c>
      <c r="D8342">
        <v>71.349999999999994</v>
      </c>
      <c r="E8342">
        <v>72.11</v>
      </c>
      <c r="F8342">
        <v>5190100</v>
      </c>
      <c r="G8342">
        <v>69.989999999999995</v>
      </c>
      <c r="H8342" t="s">
        <v>11</v>
      </c>
      <c r="I8342" s="22">
        <f t="shared" si="261"/>
        <v>7.6013273855204131E-3</v>
      </c>
      <c r="J8342" s="22" t="str">
        <f t="shared" si="262"/>
        <v/>
      </c>
    </row>
    <row r="8343" spans="1:10">
      <c r="A8343" s="1">
        <v>41148</v>
      </c>
      <c r="B8343">
        <v>72.17</v>
      </c>
      <c r="C8343">
        <v>72.790000000000006</v>
      </c>
      <c r="D8343">
        <v>72.069999999999993</v>
      </c>
      <c r="E8343">
        <v>72.5</v>
      </c>
      <c r="F8343">
        <v>5766900</v>
      </c>
      <c r="G8343">
        <v>70.37</v>
      </c>
      <c r="H8343" t="s">
        <v>11</v>
      </c>
      <c r="I8343" s="22">
        <f t="shared" si="261"/>
        <v>5.4146612770095068E-3</v>
      </c>
      <c r="J8343" s="22" t="str">
        <f t="shared" si="262"/>
        <v/>
      </c>
    </row>
    <row r="8344" spans="1:10">
      <c r="A8344" s="1">
        <v>41149</v>
      </c>
      <c r="B8344">
        <v>72.180000000000007</v>
      </c>
      <c r="C8344">
        <v>72.709999999999994</v>
      </c>
      <c r="D8344">
        <v>72.16</v>
      </c>
      <c r="E8344">
        <v>72.41</v>
      </c>
      <c r="F8344">
        <v>4822700</v>
      </c>
      <c r="G8344">
        <v>70.28</v>
      </c>
      <c r="H8344" t="s">
        <v>11</v>
      </c>
      <c r="I8344" s="22">
        <f t="shared" si="261"/>
        <v>-1.2797726595611136E-3</v>
      </c>
      <c r="J8344" s="22" t="str">
        <f t="shared" si="262"/>
        <v/>
      </c>
    </row>
    <row r="8345" spans="1:10">
      <c r="A8345" s="1">
        <v>41150</v>
      </c>
      <c r="B8345">
        <v>72.61</v>
      </c>
      <c r="C8345">
        <v>73.02</v>
      </c>
      <c r="D8345">
        <v>72.430000000000007</v>
      </c>
      <c r="E8345">
        <v>72.77</v>
      </c>
      <c r="F8345">
        <v>4230800</v>
      </c>
      <c r="G8345">
        <v>70.63</v>
      </c>
      <c r="H8345" t="s">
        <v>11</v>
      </c>
      <c r="I8345" s="22">
        <f t="shared" si="261"/>
        <v>4.9677201019344471E-3</v>
      </c>
      <c r="J8345" s="22" t="str">
        <f t="shared" si="262"/>
        <v/>
      </c>
    </row>
    <row r="8346" spans="1:10">
      <c r="A8346" s="1">
        <v>41151</v>
      </c>
      <c r="B8346">
        <v>72.63</v>
      </c>
      <c r="C8346">
        <v>72.75</v>
      </c>
      <c r="D8346">
        <v>72.150000000000006</v>
      </c>
      <c r="E8346">
        <v>72.25</v>
      </c>
      <c r="F8346">
        <v>5237200</v>
      </c>
      <c r="G8346">
        <v>70.13</v>
      </c>
      <c r="H8346" t="s">
        <v>11</v>
      </c>
      <c r="I8346" s="22">
        <f t="shared" si="261"/>
        <v>-7.1043208720117891E-3</v>
      </c>
      <c r="J8346" s="22" t="str">
        <f t="shared" si="262"/>
        <v>lost money</v>
      </c>
    </row>
    <row r="8347" spans="1:10">
      <c r="A8347" s="1">
        <v>41152</v>
      </c>
      <c r="B8347">
        <v>72.59</v>
      </c>
      <c r="C8347">
        <v>72.95</v>
      </c>
      <c r="D8347">
        <v>72.36</v>
      </c>
      <c r="E8347">
        <v>72.599999999999994</v>
      </c>
      <c r="F8347">
        <v>5885100</v>
      </c>
      <c r="G8347">
        <v>70.47</v>
      </c>
      <c r="H8347" t="s">
        <v>11</v>
      </c>
      <c r="I8347" s="22">
        <f t="shared" si="261"/>
        <v>4.8364247901121196E-3</v>
      </c>
      <c r="J8347" s="22" t="str">
        <f t="shared" si="262"/>
        <v/>
      </c>
    </row>
    <row r="8348" spans="1:10">
      <c r="A8348" s="1">
        <v>41156</v>
      </c>
      <c r="B8348">
        <v>72.77</v>
      </c>
      <c r="C8348">
        <v>73.84</v>
      </c>
      <c r="D8348">
        <v>72.569999999999993</v>
      </c>
      <c r="E8348">
        <v>73.510000000000005</v>
      </c>
      <c r="F8348">
        <v>8524100</v>
      </c>
      <c r="G8348">
        <v>71.349999999999994</v>
      </c>
      <c r="H8348" t="s">
        <v>11</v>
      </c>
      <c r="I8348" s="22">
        <f t="shared" si="261"/>
        <v>1.2410256583914281E-2</v>
      </c>
      <c r="J8348" s="22" t="str">
        <f t="shared" si="262"/>
        <v/>
      </c>
    </row>
    <row r="8349" spans="1:10">
      <c r="A8349" s="1">
        <v>41157</v>
      </c>
      <c r="B8349">
        <v>73.86</v>
      </c>
      <c r="C8349">
        <v>73.95</v>
      </c>
      <c r="D8349">
        <v>73.37</v>
      </c>
      <c r="E8349">
        <v>73.55</v>
      </c>
      <c r="F8349">
        <v>7964100</v>
      </c>
      <c r="G8349">
        <v>71.39</v>
      </c>
      <c r="H8349" t="s">
        <v>11</v>
      </c>
      <c r="I8349" s="22">
        <f t="shared" si="261"/>
        <v>5.6045959152384815E-4</v>
      </c>
      <c r="J8349" s="22" t="str">
        <f t="shared" si="262"/>
        <v>lost money</v>
      </c>
    </row>
    <row r="8350" spans="1:10">
      <c r="A8350" s="1">
        <v>41158</v>
      </c>
      <c r="B8350">
        <v>73.98</v>
      </c>
      <c r="C8350">
        <v>74.81</v>
      </c>
      <c r="D8350">
        <v>73.84</v>
      </c>
      <c r="E8350">
        <v>74.81</v>
      </c>
      <c r="F8350">
        <v>6508500</v>
      </c>
      <c r="G8350">
        <v>72.61</v>
      </c>
      <c r="H8350" t="s">
        <v>11</v>
      </c>
      <c r="I8350" s="22">
        <f t="shared" si="261"/>
        <v>1.6944849877786168E-2</v>
      </c>
      <c r="J8350" s="22" t="str">
        <f t="shared" si="262"/>
        <v/>
      </c>
    </row>
    <row r="8351" spans="1:10">
      <c r="A8351" s="1">
        <v>41159</v>
      </c>
      <c r="B8351">
        <v>74.7</v>
      </c>
      <c r="C8351">
        <v>74.8</v>
      </c>
      <c r="D8351">
        <v>73.5</v>
      </c>
      <c r="E8351">
        <v>73.819999999999993</v>
      </c>
      <c r="F8351">
        <v>6621400</v>
      </c>
      <c r="G8351">
        <v>71.650000000000006</v>
      </c>
      <c r="H8351" t="s">
        <v>11</v>
      </c>
      <c r="I8351" s="22">
        <f t="shared" si="261"/>
        <v>-1.3309499117974466E-2</v>
      </c>
      <c r="J8351" s="22" t="str">
        <f t="shared" si="262"/>
        <v>lost money</v>
      </c>
    </row>
    <row r="8352" spans="1:10">
      <c r="A8352" s="1">
        <v>41162</v>
      </c>
      <c r="B8352">
        <v>73.89</v>
      </c>
      <c r="C8352">
        <v>74.12</v>
      </c>
      <c r="D8352">
        <v>73.5</v>
      </c>
      <c r="E8352">
        <v>73.510000000000005</v>
      </c>
      <c r="F8352">
        <v>6500100</v>
      </c>
      <c r="G8352">
        <v>71.349999999999994</v>
      </c>
      <c r="H8352" t="s">
        <v>11</v>
      </c>
      <c r="I8352" s="22">
        <f t="shared" si="261"/>
        <v>-4.1958103513356475E-3</v>
      </c>
      <c r="J8352" s="22" t="str">
        <f t="shared" si="262"/>
        <v>lost money</v>
      </c>
    </row>
    <row r="8353" spans="1:10">
      <c r="A8353" s="1">
        <v>41163</v>
      </c>
      <c r="B8353">
        <v>73.72</v>
      </c>
      <c r="C8353">
        <v>74.42</v>
      </c>
      <c r="D8353">
        <v>73.55</v>
      </c>
      <c r="E8353">
        <v>74.06</v>
      </c>
      <c r="F8353">
        <v>5291400</v>
      </c>
      <c r="G8353">
        <v>71.89</v>
      </c>
      <c r="H8353" t="s">
        <v>11</v>
      </c>
      <c r="I8353" s="22">
        <f t="shared" si="261"/>
        <v>7.539829072934775E-3</v>
      </c>
      <c r="J8353" s="22" t="str">
        <f t="shared" si="262"/>
        <v/>
      </c>
    </row>
    <row r="8354" spans="1:10">
      <c r="A8354" s="1">
        <v>41164</v>
      </c>
      <c r="B8354">
        <v>74.06</v>
      </c>
      <c r="C8354">
        <v>74.349999999999994</v>
      </c>
      <c r="D8354">
        <v>73.75</v>
      </c>
      <c r="E8354">
        <v>74.069999999999993</v>
      </c>
      <c r="F8354">
        <v>4297800</v>
      </c>
      <c r="G8354">
        <v>71.900000000000006</v>
      </c>
      <c r="H8354" t="s">
        <v>11</v>
      </c>
      <c r="I8354" s="22">
        <f t="shared" si="261"/>
        <v>1.3909173122099409E-4</v>
      </c>
      <c r="J8354" s="22" t="str">
        <f t="shared" si="262"/>
        <v/>
      </c>
    </row>
    <row r="8355" spans="1:10">
      <c r="A8355" s="1">
        <v>41165</v>
      </c>
      <c r="B8355">
        <v>73.95</v>
      </c>
      <c r="C8355">
        <v>75.19</v>
      </c>
      <c r="D8355">
        <v>73.95</v>
      </c>
      <c r="E8355">
        <v>75.14</v>
      </c>
      <c r="F8355">
        <v>7407400</v>
      </c>
      <c r="G8355">
        <v>72.930000000000007</v>
      </c>
      <c r="H8355" t="s">
        <v>11</v>
      </c>
      <c r="I8355" s="22">
        <f t="shared" si="261"/>
        <v>1.422381226914061E-2</v>
      </c>
      <c r="J8355" s="22" t="str">
        <f t="shared" si="262"/>
        <v/>
      </c>
    </row>
    <row r="8356" spans="1:10">
      <c r="A8356" s="1">
        <v>41166</v>
      </c>
      <c r="B8356">
        <v>74.84</v>
      </c>
      <c r="C8356">
        <v>74.989999999999995</v>
      </c>
      <c r="D8356">
        <v>74.260000000000005</v>
      </c>
      <c r="E8356">
        <v>74.5</v>
      </c>
      <c r="F8356">
        <v>8535700</v>
      </c>
      <c r="G8356">
        <v>72.31</v>
      </c>
      <c r="H8356" t="s">
        <v>11</v>
      </c>
      <c r="I8356" s="22">
        <f t="shared" si="261"/>
        <v>-8.5376448092812918E-3</v>
      </c>
      <c r="J8356" s="22" t="str">
        <f t="shared" si="262"/>
        <v>lost money</v>
      </c>
    </row>
    <row r="8357" spans="1:10">
      <c r="A8357" s="1">
        <v>41169</v>
      </c>
      <c r="B8357">
        <v>74.36</v>
      </c>
      <c r="C8357">
        <v>74.680000000000007</v>
      </c>
      <c r="D8357">
        <v>73.87</v>
      </c>
      <c r="E8357">
        <v>73.989999999999995</v>
      </c>
      <c r="F8357">
        <v>6854600</v>
      </c>
      <c r="G8357">
        <v>71.819999999999993</v>
      </c>
      <c r="H8357" t="s">
        <v>11</v>
      </c>
      <c r="I8357" s="22">
        <f t="shared" si="261"/>
        <v>-6.7994433889238268E-3</v>
      </c>
      <c r="J8357" s="22" t="str">
        <f t="shared" si="262"/>
        <v>lost money</v>
      </c>
    </row>
    <row r="8358" spans="1:10">
      <c r="A8358" s="1">
        <v>41170</v>
      </c>
      <c r="B8358">
        <v>73.849999999999994</v>
      </c>
      <c r="C8358">
        <v>74.17</v>
      </c>
      <c r="D8358">
        <v>73.680000000000007</v>
      </c>
      <c r="E8358">
        <v>73.95</v>
      </c>
      <c r="F8358">
        <v>5304100</v>
      </c>
      <c r="G8358">
        <v>71.78</v>
      </c>
      <c r="H8358" t="s">
        <v>11</v>
      </c>
      <c r="I8358" s="22">
        <f t="shared" si="261"/>
        <v>-5.5710307847546168E-4</v>
      </c>
      <c r="J8358" s="22" t="str">
        <f t="shared" si="262"/>
        <v/>
      </c>
    </row>
    <row r="8359" spans="1:10">
      <c r="A8359" s="1">
        <v>41171</v>
      </c>
      <c r="B8359">
        <v>74.25</v>
      </c>
      <c r="C8359">
        <v>74.63</v>
      </c>
      <c r="D8359">
        <v>73.989999999999995</v>
      </c>
      <c r="E8359">
        <v>74.37</v>
      </c>
      <c r="F8359">
        <v>5655900</v>
      </c>
      <c r="G8359">
        <v>72.19</v>
      </c>
      <c r="H8359" t="s">
        <v>11</v>
      </c>
      <c r="I8359" s="22">
        <f t="shared" si="261"/>
        <v>5.6956464316084117E-3</v>
      </c>
      <c r="J8359" s="22" t="str">
        <f t="shared" si="262"/>
        <v/>
      </c>
    </row>
    <row r="8360" spans="1:10">
      <c r="A8360" s="1">
        <v>41172</v>
      </c>
      <c r="B8360">
        <v>74.319999999999993</v>
      </c>
      <c r="C8360">
        <v>74.819999999999993</v>
      </c>
      <c r="D8360">
        <v>74.319999999999993</v>
      </c>
      <c r="E8360">
        <v>74.75</v>
      </c>
      <c r="F8360">
        <v>4523200</v>
      </c>
      <c r="G8360">
        <v>72.56</v>
      </c>
      <c r="H8360" t="s">
        <v>11</v>
      </c>
      <c r="I8360" s="22">
        <f t="shared" si="261"/>
        <v>5.1122736558116069E-3</v>
      </c>
      <c r="J8360" s="22" t="str">
        <f t="shared" si="262"/>
        <v/>
      </c>
    </row>
    <row r="8361" spans="1:10">
      <c r="A8361" s="1">
        <v>41173</v>
      </c>
      <c r="B8361">
        <v>74.959999999999994</v>
      </c>
      <c r="C8361">
        <v>75.09</v>
      </c>
      <c r="D8361">
        <v>74.33</v>
      </c>
      <c r="E8361">
        <v>74.45</v>
      </c>
      <c r="F8361">
        <v>10562300</v>
      </c>
      <c r="G8361">
        <v>72.260000000000005</v>
      </c>
      <c r="H8361" t="s">
        <v>11</v>
      </c>
      <c r="I8361" s="22">
        <f t="shared" si="261"/>
        <v>-4.1430800873869956E-3</v>
      </c>
      <c r="J8361" s="22" t="str">
        <f t="shared" si="262"/>
        <v>lost money</v>
      </c>
    </row>
    <row r="8362" spans="1:10">
      <c r="A8362" s="1">
        <v>41176</v>
      </c>
      <c r="B8362">
        <v>74.2</v>
      </c>
      <c r="C8362">
        <v>74.959999999999994</v>
      </c>
      <c r="D8362">
        <v>74.180000000000007</v>
      </c>
      <c r="E8362">
        <v>74.739999999999995</v>
      </c>
      <c r="F8362">
        <v>4413700</v>
      </c>
      <c r="G8362">
        <v>72.55</v>
      </c>
      <c r="H8362" t="s">
        <v>11</v>
      </c>
      <c r="I8362" s="22">
        <f t="shared" si="261"/>
        <v>4.0052536107026094E-3</v>
      </c>
      <c r="J8362" s="22" t="str">
        <f t="shared" si="262"/>
        <v/>
      </c>
    </row>
    <row r="8363" spans="1:10">
      <c r="A8363" s="1">
        <v>41177</v>
      </c>
      <c r="B8363">
        <v>74.91</v>
      </c>
      <c r="C8363">
        <v>75.05</v>
      </c>
      <c r="D8363">
        <v>74.260000000000005</v>
      </c>
      <c r="E8363">
        <v>74.260000000000005</v>
      </c>
      <c r="F8363">
        <v>6424700</v>
      </c>
      <c r="G8363">
        <v>72.08</v>
      </c>
      <c r="H8363" t="s">
        <v>11</v>
      </c>
      <c r="I8363" s="22">
        <f t="shared" si="261"/>
        <v>-6.4993660301143358E-3</v>
      </c>
      <c r="J8363" s="22" t="str">
        <f t="shared" si="262"/>
        <v>lost money</v>
      </c>
    </row>
    <row r="8364" spans="1:10">
      <c r="A8364" s="1">
        <v>41178</v>
      </c>
      <c r="B8364">
        <v>74.16</v>
      </c>
      <c r="C8364">
        <v>74.84</v>
      </c>
      <c r="D8364">
        <v>74.14</v>
      </c>
      <c r="E8364">
        <v>74.19</v>
      </c>
      <c r="F8364">
        <v>4804900</v>
      </c>
      <c r="G8364">
        <v>72.010000000000005</v>
      </c>
      <c r="H8364" t="s">
        <v>11</v>
      </c>
      <c r="I8364" s="22">
        <f t="shared" si="261"/>
        <v>-9.7161503930693488E-4</v>
      </c>
      <c r="J8364" s="22" t="str">
        <f t="shared" si="262"/>
        <v/>
      </c>
    </row>
    <row r="8365" spans="1:10">
      <c r="A8365" s="1">
        <v>41179</v>
      </c>
      <c r="B8365">
        <v>74.37</v>
      </c>
      <c r="C8365">
        <v>74.5</v>
      </c>
      <c r="D8365">
        <v>73.83</v>
      </c>
      <c r="E8365">
        <v>73.98</v>
      </c>
      <c r="F8365">
        <v>5390100</v>
      </c>
      <c r="G8365">
        <v>71.81</v>
      </c>
      <c r="H8365" t="s">
        <v>11</v>
      </c>
      <c r="I8365" s="22">
        <f t="shared" si="261"/>
        <v>-2.7812561385493397E-3</v>
      </c>
      <c r="J8365" s="22" t="str">
        <f t="shared" si="262"/>
        <v>lost money</v>
      </c>
    </row>
    <row r="8366" spans="1:10">
      <c r="A8366" s="1">
        <v>41180</v>
      </c>
      <c r="B8366">
        <v>73.86</v>
      </c>
      <c r="C8366">
        <v>74.06</v>
      </c>
      <c r="D8366">
        <v>73.42</v>
      </c>
      <c r="E8366">
        <v>73.8</v>
      </c>
      <c r="F8366">
        <v>6021000</v>
      </c>
      <c r="G8366">
        <v>71.63</v>
      </c>
      <c r="H8366" t="s">
        <v>11</v>
      </c>
      <c r="I8366" s="22">
        <f t="shared" si="261"/>
        <v>-2.5097614958663945E-3</v>
      </c>
      <c r="J8366" s="22" t="str">
        <f t="shared" si="262"/>
        <v>lost money</v>
      </c>
    </row>
    <row r="8367" spans="1:10">
      <c r="A8367" s="1">
        <v>41183</v>
      </c>
      <c r="B8367">
        <v>73.8</v>
      </c>
      <c r="C8367">
        <v>74.489999999999995</v>
      </c>
      <c r="D8367">
        <v>73.8</v>
      </c>
      <c r="E8367">
        <v>74.05</v>
      </c>
      <c r="F8367">
        <v>4662300</v>
      </c>
      <c r="G8367">
        <v>71.88</v>
      </c>
      <c r="H8367" t="s">
        <v>11</v>
      </c>
      <c r="I8367" s="22">
        <f t="shared" si="261"/>
        <v>3.4840812889984116E-3</v>
      </c>
      <c r="J8367" s="22" t="str">
        <f t="shared" si="262"/>
        <v/>
      </c>
    </row>
    <row r="8368" spans="1:10">
      <c r="A8368" s="1">
        <v>41184</v>
      </c>
      <c r="B8368">
        <v>73.98</v>
      </c>
      <c r="C8368">
        <v>74.36</v>
      </c>
      <c r="D8368">
        <v>73.63</v>
      </c>
      <c r="E8368">
        <v>73.75</v>
      </c>
      <c r="F8368">
        <v>4236500</v>
      </c>
      <c r="G8368">
        <v>71.58</v>
      </c>
      <c r="H8368" t="s">
        <v>11</v>
      </c>
      <c r="I8368" s="22">
        <f t="shared" si="261"/>
        <v>-4.1823565774785285E-3</v>
      </c>
      <c r="J8368" s="22" t="str">
        <f t="shared" si="262"/>
        <v>lost money</v>
      </c>
    </row>
    <row r="8369" spans="1:10">
      <c r="A8369" s="1">
        <v>41185</v>
      </c>
      <c r="B8369">
        <v>74.03</v>
      </c>
      <c r="C8369">
        <v>74.75</v>
      </c>
      <c r="D8369">
        <v>73.75</v>
      </c>
      <c r="E8369">
        <v>74.2</v>
      </c>
      <c r="F8369">
        <v>8164700</v>
      </c>
      <c r="G8369">
        <v>72.02</v>
      </c>
      <c r="H8369" t="s">
        <v>11</v>
      </c>
      <c r="I8369" s="22">
        <f t="shared" si="261"/>
        <v>6.1281528828493852E-3</v>
      </c>
      <c r="J8369" s="22" t="str">
        <f t="shared" si="262"/>
        <v/>
      </c>
    </row>
    <row r="8370" spans="1:10">
      <c r="A8370" s="1">
        <v>41186</v>
      </c>
      <c r="B8370">
        <v>74.510000000000005</v>
      </c>
      <c r="C8370">
        <v>75.010000000000005</v>
      </c>
      <c r="D8370">
        <v>74.510000000000005</v>
      </c>
      <c r="E8370">
        <v>74.72</v>
      </c>
      <c r="F8370">
        <v>5000900</v>
      </c>
      <c r="G8370">
        <v>72.53</v>
      </c>
      <c r="H8370" t="s">
        <v>11</v>
      </c>
      <c r="I8370" s="22">
        <f t="shared" si="261"/>
        <v>7.0564111545918864E-3</v>
      </c>
      <c r="J8370" s="22" t="str">
        <f t="shared" si="262"/>
        <v/>
      </c>
    </row>
    <row r="8371" spans="1:10">
      <c r="A8371" s="1">
        <v>41187</v>
      </c>
      <c r="B8371">
        <v>74.94</v>
      </c>
      <c r="C8371">
        <v>75.5</v>
      </c>
      <c r="D8371">
        <v>74.89</v>
      </c>
      <c r="E8371">
        <v>75.13</v>
      </c>
      <c r="F8371">
        <v>5205100</v>
      </c>
      <c r="G8371">
        <v>72.92</v>
      </c>
      <c r="H8371" t="s">
        <v>11</v>
      </c>
      <c r="I8371" s="22">
        <f t="shared" si="261"/>
        <v>5.3626804351412987E-3</v>
      </c>
      <c r="J8371" s="22" t="str">
        <f t="shared" si="262"/>
        <v/>
      </c>
    </row>
    <row r="8372" spans="1:10">
      <c r="A8372" s="1">
        <v>41190</v>
      </c>
      <c r="B8372">
        <v>75.16</v>
      </c>
      <c r="C8372">
        <v>75.55</v>
      </c>
      <c r="D8372">
        <v>75.06</v>
      </c>
      <c r="E8372">
        <v>75.25</v>
      </c>
      <c r="F8372">
        <v>4545900</v>
      </c>
      <c r="G8372">
        <v>73.040000000000006</v>
      </c>
      <c r="H8372" t="s">
        <v>11</v>
      </c>
      <c r="I8372" s="22">
        <f t="shared" si="261"/>
        <v>1.6442864762507459E-3</v>
      </c>
      <c r="J8372" s="22" t="str">
        <f t="shared" si="262"/>
        <v/>
      </c>
    </row>
    <row r="8373" spans="1:10">
      <c r="A8373" s="1">
        <v>41191</v>
      </c>
      <c r="B8373">
        <v>75.16</v>
      </c>
      <c r="C8373">
        <v>75.38</v>
      </c>
      <c r="D8373">
        <v>74.13</v>
      </c>
      <c r="E8373">
        <v>74.14</v>
      </c>
      <c r="F8373">
        <v>8307300</v>
      </c>
      <c r="G8373">
        <v>71.959999999999994</v>
      </c>
      <c r="H8373" t="s">
        <v>11</v>
      </c>
      <c r="I8373" s="22">
        <f t="shared" si="261"/>
        <v>-1.4896827204380798E-2</v>
      </c>
      <c r="J8373" s="22" t="str">
        <f t="shared" si="262"/>
        <v>lost money</v>
      </c>
    </row>
    <row r="8374" spans="1:10">
      <c r="A8374" s="1">
        <v>41192</v>
      </c>
      <c r="B8374">
        <v>74.650000000000006</v>
      </c>
      <c r="C8374">
        <v>76.81</v>
      </c>
      <c r="D8374">
        <v>74.64</v>
      </c>
      <c r="E8374">
        <v>75.42</v>
      </c>
      <c r="F8374">
        <v>19364800</v>
      </c>
      <c r="G8374">
        <v>73.209999999999994</v>
      </c>
      <c r="H8374" t="s">
        <v>11</v>
      </c>
      <c r="I8374" s="22">
        <f t="shared" si="261"/>
        <v>1.7221614576218895E-2</v>
      </c>
      <c r="J8374" s="22" t="str">
        <f t="shared" si="262"/>
        <v/>
      </c>
    </row>
    <row r="8375" spans="1:10">
      <c r="A8375" s="1">
        <v>41193</v>
      </c>
      <c r="B8375">
        <v>76.599999999999994</v>
      </c>
      <c r="C8375">
        <v>76.61</v>
      </c>
      <c r="D8375">
        <v>74.95</v>
      </c>
      <c r="E8375">
        <v>75.010000000000005</v>
      </c>
      <c r="F8375">
        <v>8325500</v>
      </c>
      <c r="G8375">
        <v>72.81</v>
      </c>
      <c r="H8375" t="s">
        <v>11</v>
      </c>
      <c r="I8375" s="22">
        <f t="shared" si="261"/>
        <v>-5.478715251931515E-3</v>
      </c>
      <c r="J8375" s="22" t="str">
        <f t="shared" si="262"/>
        <v>lost money</v>
      </c>
    </row>
    <row r="8376" spans="1:10">
      <c r="A8376" s="1">
        <v>41194</v>
      </c>
      <c r="B8376">
        <v>75.42</v>
      </c>
      <c r="C8376">
        <v>76.040000000000006</v>
      </c>
      <c r="D8376">
        <v>75.3</v>
      </c>
      <c r="E8376">
        <v>75.81</v>
      </c>
      <c r="F8376">
        <v>8029300</v>
      </c>
      <c r="G8376">
        <v>73.58</v>
      </c>
      <c r="H8376" t="s">
        <v>11</v>
      </c>
      <c r="I8376" s="22">
        <f t="shared" si="261"/>
        <v>1.051994127000859E-2</v>
      </c>
      <c r="J8376" s="22" t="str">
        <f t="shared" si="262"/>
        <v/>
      </c>
    </row>
    <row r="8377" spans="1:10">
      <c r="A8377" s="1">
        <v>41197</v>
      </c>
      <c r="B8377">
        <v>75.87</v>
      </c>
      <c r="C8377">
        <v>77.349999999999994</v>
      </c>
      <c r="D8377">
        <v>75.56</v>
      </c>
      <c r="E8377">
        <v>77.150000000000006</v>
      </c>
      <c r="F8377">
        <v>9669600</v>
      </c>
      <c r="G8377">
        <v>74.88</v>
      </c>
      <c r="H8377" t="s">
        <v>11</v>
      </c>
      <c r="I8377" s="22">
        <f t="shared" si="261"/>
        <v>1.7513582492708211E-2</v>
      </c>
      <c r="J8377" s="22" t="str">
        <f t="shared" si="262"/>
        <v/>
      </c>
    </row>
    <row r="8378" spans="1:10">
      <c r="A8378" s="1">
        <v>41198</v>
      </c>
      <c r="B8378">
        <v>77.599999999999994</v>
      </c>
      <c r="C8378">
        <v>77.599999999999994</v>
      </c>
      <c r="D8378">
        <v>76.69</v>
      </c>
      <c r="E8378">
        <v>76.91</v>
      </c>
      <c r="F8378">
        <v>6310100</v>
      </c>
      <c r="G8378">
        <v>74.650000000000006</v>
      </c>
      <c r="H8378" t="s">
        <v>11</v>
      </c>
      <c r="I8378" s="22">
        <f t="shared" si="261"/>
        <v>-3.076308184137037E-3</v>
      </c>
      <c r="J8378" s="22" t="str">
        <f t="shared" si="262"/>
        <v>lost money</v>
      </c>
    </row>
    <row r="8379" spans="1:10">
      <c r="A8379" s="1">
        <v>41199</v>
      </c>
      <c r="B8379">
        <v>77.33</v>
      </c>
      <c r="C8379">
        <v>77.5</v>
      </c>
      <c r="D8379">
        <v>76.48</v>
      </c>
      <c r="E8379">
        <v>77.03</v>
      </c>
      <c r="F8379">
        <v>7494500</v>
      </c>
      <c r="G8379">
        <v>74.77</v>
      </c>
      <c r="H8379" t="s">
        <v>11</v>
      </c>
      <c r="I8379" s="22">
        <f t="shared" si="261"/>
        <v>1.6062110266246322E-3</v>
      </c>
      <c r="J8379" s="22" t="str">
        <f t="shared" si="262"/>
        <v>lost money</v>
      </c>
    </row>
    <row r="8380" spans="1:10">
      <c r="A8380" s="1">
        <v>41200</v>
      </c>
      <c r="B8380">
        <v>77.02</v>
      </c>
      <c r="C8380">
        <v>77.23</v>
      </c>
      <c r="D8380">
        <v>76.17</v>
      </c>
      <c r="E8380">
        <v>76.56</v>
      </c>
      <c r="F8380">
        <v>7325700</v>
      </c>
      <c r="G8380">
        <v>74.31</v>
      </c>
      <c r="H8380" t="s">
        <v>11</v>
      </c>
      <c r="I8380" s="22">
        <f t="shared" si="261"/>
        <v>-6.1712028424461786E-3</v>
      </c>
      <c r="J8380" s="22" t="str">
        <f t="shared" si="262"/>
        <v>lost money</v>
      </c>
    </row>
    <row r="8381" spans="1:10">
      <c r="A8381" s="1">
        <v>41201</v>
      </c>
      <c r="B8381">
        <v>76.58</v>
      </c>
      <c r="C8381">
        <v>76.709999999999994</v>
      </c>
      <c r="D8381">
        <v>75.430000000000007</v>
      </c>
      <c r="E8381">
        <v>75.62</v>
      </c>
      <c r="F8381">
        <v>6942500</v>
      </c>
      <c r="G8381">
        <v>73.400000000000006</v>
      </c>
      <c r="H8381" t="s">
        <v>11</v>
      </c>
      <c r="I8381" s="22">
        <f t="shared" si="261"/>
        <v>-1.2321596548907901E-2</v>
      </c>
      <c r="J8381" s="22" t="str">
        <f t="shared" si="262"/>
        <v>lost money</v>
      </c>
    </row>
    <row r="8382" spans="1:10">
      <c r="A8382" s="1">
        <v>41204</v>
      </c>
      <c r="B8382">
        <v>75.680000000000007</v>
      </c>
      <c r="C8382">
        <v>75.78</v>
      </c>
      <c r="D8382">
        <v>75.09</v>
      </c>
      <c r="E8382">
        <v>75.650000000000006</v>
      </c>
      <c r="F8382">
        <v>5425400</v>
      </c>
      <c r="G8382">
        <v>73.430000000000007</v>
      </c>
      <c r="H8382" t="s">
        <v>11</v>
      </c>
      <c r="I8382" s="22">
        <f t="shared" si="261"/>
        <v>4.0863584304930438E-4</v>
      </c>
      <c r="J8382" s="22" t="str">
        <f t="shared" si="262"/>
        <v>lost money</v>
      </c>
    </row>
    <row r="8383" spans="1:10">
      <c r="A8383" s="1">
        <v>41205</v>
      </c>
      <c r="B8383">
        <v>75.05</v>
      </c>
      <c r="C8383">
        <v>75.489999999999995</v>
      </c>
      <c r="D8383">
        <v>74.510000000000005</v>
      </c>
      <c r="E8383">
        <v>74.760000000000005</v>
      </c>
      <c r="F8383">
        <v>5833900</v>
      </c>
      <c r="G8383">
        <v>72.56</v>
      </c>
      <c r="H8383" t="s">
        <v>11</v>
      </c>
      <c r="I8383" s="22">
        <f t="shared" si="261"/>
        <v>-1.1918765656638063E-2</v>
      </c>
      <c r="J8383" s="22" t="str">
        <f t="shared" si="262"/>
        <v>lost money</v>
      </c>
    </row>
    <row r="8384" spans="1:10">
      <c r="A8384" s="1">
        <v>41206</v>
      </c>
      <c r="B8384">
        <v>74.930000000000007</v>
      </c>
      <c r="C8384">
        <v>75</v>
      </c>
      <c r="D8384">
        <v>74.52</v>
      </c>
      <c r="E8384">
        <v>74.819999999999993</v>
      </c>
      <c r="F8384">
        <v>4583200</v>
      </c>
      <c r="G8384">
        <v>72.62</v>
      </c>
      <c r="H8384" t="s">
        <v>11</v>
      </c>
      <c r="I8384" s="22">
        <f t="shared" si="261"/>
        <v>8.2656017930865164E-4</v>
      </c>
      <c r="J8384" s="22" t="str">
        <f t="shared" si="262"/>
        <v>lost money</v>
      </c>
    </row>
    <row r="8385" spans="1:10">
      <c r="A8385" s="1">
        <v>41207</v>
      </c>
      <c r="B8385">
        <v>75.3</v>
      </c>
      <c r="C8385">
        <v>75.5</v>
      </c>
      <c r="D8385">
        <v>74.89</v>
      </c>
      <c r="E8385">
        <v>75.319999999999993</v>
      </c>
      <c r="F8385">
        <v>4432900</v>
      </c>
      <c r="G8385">
        <v>73.11</v>
      </c>
      <c r="H8385" t="s">
        <v>11</v>
      </c>
      <c r="I8385" s="22">
        <f t="shared" si="261"/>
        <v>6.724790319034747E-3</v>
      </c>
      <c r="J8385" s="22" t="str">
        <f t="shared" si="262"/>
        <v/>
      </c>
    </row>
    <row r="8386" spans="1:10">
      <c r="A8386" s="1">
        <v>41208</v>
      </c>
      <c r="B8386">
        <v>75.2</v>
      </c>
      <c r="C8386">
        <v>75.42</v>
      </c>
      <c r="D8386">
        <v>74.680000000000007</v>
      </c>
      <c r="E8386">
        <v>75.11</v>
      </c>
      <c r="F8386">
        <v>4446900</v>
      </c>
      <c r="G8386">
        <v>72.900000000000006</v>
      </c>
      <c r="H8386" t="s">
        <v>11</v>
      </c>
      <c r="I8386" s="22">
        <f t="shared" si="261"/>
        <v>-2.8765172906120092E-3</v>
      </c>
      <c r="J8386" s="22" t="str">
        <f t="shared" si="262"/>
        <v>lost money</v>
      </c>
    </row>
    <row r="8387" spans="1:10">
      <c r="A8387" s="1">
        <v>41213</v>
      </c>
      <c r="B8387">
        <v>75.25</v>
      </c>
      <c r="C8387">
        <v>75.680000000000007</v>
      </c>
      <c r="D8387">
        <v>74.13</v>
      </c>
      <c r="E8387">
        <v>75.02</v>
      </c>
      <c r="F8387">
        <v>6551200</v>
      </c>
      <c r="G8387">
        <v>72.819999999999993</v>
      </c>
      <c r="H8387" t="s">
        <v>11</v>
      </c>
      <c r="I8387" s="22">
        <f t="shared" ref="I8387:I8450" si="263">IF(A8387=$A$2,"",LN(G8387/G8386))</f>
        <v>-1.097996267325199E-3</v>
      </c>
      <c r="J8387" s="22" t="str">
        <f t="shared" ref="J8387:J8450" si="264">IF(B8387&gt;E8387,"lost money","")</f>
        <v>lost money</v>
      </c>
    </row>
    <row r="8388" spans="1:10">
      <c r="A8388" s="1">
        <v>41214</v>
      </c>
      <c r="B8388">
        <v>75.13</v>
      </c>
      <c r="C8388">
        <v>75.16</v>
      </c>
      <c r="D8388">
        <v>73.150000000000006</v>
      </c>
      <c r="E8388">
        <v>73.45</v>
      </c>
      <c r="F8388">
        <v>12943600</v>
      </c>
      <c r="G8388">
        <v>71.290000000000006</v>
      </c>
      <c r="H8388" t="s">
        <v>11</v>
      </c>
      <c r="I8388" s="22">
        <f t="shared" si="263"/>
        <v>-2.1234577617750109E-2</v>
      </c>
      <c r="J8388" s="22" t="str">
        <f t="shared" si="264"/>
        <v>lost money</v>
      </c>
    </row>
    <row r="8389" spans="1:10">
      <c r="A8389" s="1">
        <v>41215</v>
      </c>
      <c r="B8389">
        <v>73.459999999999994</v>
      </c>
      <c r="C8389">
        <v>73.569999999999993</v>
      </c>
      <c r="D8389">
        <v>72.709999999999994</v>
      </c>
      <c r="E8389">
        <v>72.77</v>
      </c>
      <c r="F8389">
        <v>8563500</v>
      </c>
      <c r="G8389">
        <v>70.63</v>
      </c>
      <c r="H8389" t="s">
        <v>11</v>
      </c>
      <c r="I8389" s="22">
        <f t="shared" si="263"/>
        <v>-9.3010817087063827E-3</v>
      </c>
      <c r="J8389" s="22" t="str">
        <f t="shared" si="264"/>
        <v>lost money</v>
      </c>
    </row>
    <row r="8390" spans="1:10">
      <c r="A8390" s="1">
        <v>41218</v>
      </c>
      <c r="B8390">
        <v>72.66</v>
      </c>
      <c r="C8390">
        <v>73.2</v>
      </c>
      <c r="D8390">
        <v>72.650000000000006</v>
      </c>
      <c r="E8390">
        <v>73.14</v>
      </c>
      <c r="F8390">
        <v>4767700</v>
      </c>
      <c r="G8390">
        <v>70.989999999999995</v>
      </c>
      <c r="H8390" t="s">
        <v>11</v>
      </c>
      <c r="I8390" s="22">
        <f t="shared" si="263"/>
        <v>5.084038630463676E-3</v>
      </c>
      <c r="J8390" s="22" t="str">
        <f t="shared" si="264"/>
        <v/>
      </c>
    </row>
    <row r="8391" spans="1:10">
      <c r="A8391" s="1">
        <v>41219</v>
      </c>
      <c r="B8391">
        <v>73.17</v>
      </c>
      <c r="C8391">
        <v>74.28</v>
      </c>
      <c r="D8391">
        <v>73.13</v>
      </c>
      <c r="E8391">
        <v>73.760000000000005</v>
      </c>
      <c r="F8391">
        <v>5334400</v>
      </c>
      <c r="G8391">
        <v>71.59</v>
      </c>
      <c r="H8391" t="s">
        <v>11</v>
      </c>
      <c r="I8391" s="22">
        <f t="shared" si="263"/>
        <v>8.4163773567991745E-3</v>
      </c>
      <c r="J8391" s="22" t="str">
        <f t="shared" si="264"/>
        <v/>
      </c>
    </row>
    <row r="8392" spans="1:10">
      <c r="A8392" s="1">
        <v>41220</v>
      </c>
      <c r="B8392">
        <v>73.42</v>
      </c>
      <c r="C8392">
        <v>73.900000000000006</v>
      </c>
      <c r="D8392">
        <v>72.86</v>
      </c>
      <c r="E8392">
        <v>73.11</v>
      </c>
      <c r="F8392">
        <v>6809900</v>
      </c>
      <c r="G8392">
        <v>70.959999999999994</v>
      </c>
      <c r="H8392" t="s">
        <v>11</v>
      </c>
      <c r="I8392" s="22">
        <f t="shared" si="263"/>
        <v>-8.8390614067697139E-3</v>
      </c>
      <c r="J8392" s="22" t="str">
        <f t="shared" si="264"/>
        <v>lost money</v>
      </c>
    </row>
    <row r="8393" spans="1:10">
      <c r="A8393" s="1">
        <v>41221</v>
      </c>
      <c r="B8393">
        <v>73.010000000000005</v>
      </c>
      <c r="C8393">
        <v>73.98</v>
      </c>
      <c r="D8393">
        <v>72.48</v>
      </c>
      <c r="E8393">
        <v>72.48</v>
      </c>
      <c r="F8393">
        <v>7137100</v>
      </c>
      <c r="G8393">
        <v>70.349999999999994</v>
      </c>
      <c r="H8393" t="s">
        <v>11</v>
      </c>
      <c r="I8393" s="22">
        <f t="shared" si="263"/>
        <v>-8.6335544409259796E-3</v>
      </c>
      <c r="J8393" s="22" t="str">
        <f t="shared" si="264"/>
        <v>lost money</v>
      </c>
    </row>
    <row r="8394" spans="1:10">
      <c r="A8394" s="1">
        <v>41222</v>
      </c>
      <c r="B8394">
        <v>72.13</v>
      </c>
      <c r="C8394">
        <v>72.599999999999994</v>
      </c>
      <c r="D8394">
        <v>71.92</v>
      </c>
      <c r="E8394">
        <v>72.31</v>
      </c>
      <c r="F8394">
        <v>6891400</v>
      </c>
      <c r="G8394">
        <v>70.19</v>
      </c>
      <c r="H8394" t="s">
        <v>11</v>
      </c>
      <c r="I8394" s="22">
        <f t="shared" si="263"/>
        <v>-2.2769328180678879E-3</v>
      </c>
      <c r="J8394" s="22" t="str">
        <f t="shared" si="264"/>
        <v/>
      </c>
    </row>
    <row r="8395" spans="1:10">
      <c r="A8395" s="1">
        <v>41225</v>
      </c>
      <c r="B8395">
        <v>72.27</v>
      </c>
      <c r="C8395">
        <v>72.599999999999994</v>
      </c>
      <c r="D8395">
        <v>71.900000000000006</v>
      </c>
      <c r="E8395">
        <v>72.48</v>
      </c>
      <c r="F8395">
        <v>4382800</v>
      </c>
      <c r="G8395">
        <v>70.349999999999994</v>
      </c>
      <c r="H8395" t="s">
        <v>11</v>
      </c>
      <c r="I8395" s="22">
        <f t="shared" si="263"/>
        <v>2.2769328180679942E-3</v>
      </c>
      <c r="J8395" s="22" t="str">
        <f t="shared" si="264"/>
        <v/>
      </c>
    </row>
    <row r="8396" spans="1:10">
      <c r="A8396" s="1">
        <v>41226</v>
      </c>
      <c r="B8396">
        <v>71.97</v>
      </c>
      <c r="C8396">
        <v>72.3</v>
      </c>
      <c r="D8396">
        <v>71.180000000000007</v>
      </c>
      <c r="E8396">
        <v>71.81</v>
      </c>
      <c r="F8396">
        <v>8977400</v>
      </c>
      <c r="G8396">
        <v>69.7</v>
      </c>
      <c r="H8396" t="s">
        <v>11</v>
      </c>
      <c r="I8396" s="22">
        <f t="shared" si="263"/>
        <v>-9.2824657939197235E-3</v>
      </c>
      <c r="J8396" s="22" t="str">
        <f t="shared" si="264"/>
        <v>lost money</v>
      </c>
    </row>
    <row r="8397" spans="1:10">
      <c r="A8397" s="1">
        <v>41227</v>
      </c>
      <c r="B8397">
        <v>71.86</v>
      </c>
      <c r="C8397">
        <v>72</v>
      </c>
      <c r="D8397">
        <v>71.08</v>
      </c>
      <c r="E8397">
        <v>71.31</v>
      </c>
      <c r="F8397">
        <v>9111300</v>
      </c>
      <c r="G8397">
        <v>69.22</v>
      </c>
      <c r="H8397" t="s">
        <v>11</v>
      </c>
      <c r="I8397" s="22">
        <f t="shared" si="263"/>
        <v>-6.9104795592800717E-3</v>
      </c>
      <c r="J8397" s="22" t="str">
        <f t="shared" si="264"/>
        <v>lost money</v>
      </c>
    </row>
    <row r="8398" spans="1:10">
      <c r="A8398" s="1">
        <v>41228</v>
      </c>
      <c r="B8398">
        <v>69.66</v>
      </c>
      <c r="C8398">
        <v>69.69</v>
      </c>
      <c r="D8398">
        <v>67.849999999999994</v>
      </c>
      <c r="E8398">
        <v>68.72</v>
      </c>
      <c r="F8398">
        <v>23048900</v>
      </c>
      <c r="G8398">
        <v>66.7</v>
      </c>
      <c r="H8398" t="s">
        <v>11</v>
      </c>
      <c r="I8398" s="22">
        <f t="shared" si="263"/>
        <v>-3.7084885285620074E-2</v>
      </c>
      <c r="J8398" s="22" t="str">
        <f t="shared" si="264"/>
        <v>lost money</v>
      </c>
    </row>
    <row r="8399" spans="1:10">
      <c r="A8399" s="1">
        <v>41229</v>
      </c>
      <c r="B8399">
        <v>68.59</v>
      </c>
      <c r="C8399">
        <v>68.69</v>
      </c>
      <c r="D8399">
        <v>67.88</v>
      </c>
      <c r="E8399">
        <v>68.03</v>
      </c>
      <c r="F8399">
        <v>12257100</v>
      </c>
      <c r="G8399">
        <v>66.03</v>
      </c>
      <c r="H8399" t="s">
        <v>11</v>
      </c>
      <c r="I8399" s="22">
        <f t="shared" si="263"/>
        <v>-1.0095768715098112E-2</v>
      </c>
      <c r="J8399" s="22" t="str">
        <f t="shared" si="264"/>
        <v>lost money</v>
      </c>
    </row>
    <row r="8400" spans="1:10">
      <c r="A8400" s="1">
        <v>41232</v>
      </c>
      <c r="B8400">
        <v>68.150000000000006</v>
      </c>
      <c r="C8400">
        <v>69.13</v>
      </c>
      <c r="D8400">
        <v>67.650000000000006</v>
      </c>
      <c r="E8400">
        <v>69.02</v>
      </c>
      <c r="F8400">
        <v>12835700</v>
      </c>
      <c r="G8400">
        <v>66.989999999999995</v>
      </c>
      <c r="H8400" t="s">
        <v>11</v>
      </c>
      <c r="I8400" s="22">
        <f t="shared" si="263"/>
        <v>1.443417031369607E-2</v>
      </c>
      <c r="J8400" s="22" t="str">
        <f t="shared" si="264"/>
        <v/>
      </c>
    </row>
    <row r="8401" spans="1:10">
      <c r="A8401" s="1">
        <v>41233</v>
      </c>
      <c r="B8401">
        <v>69.239999999999995</v>
      </c>
      <c r="C8401">
        <v>69.239999999999995</v>
      </c>
      <c r="D8401">
        <v>68.45</v>
      </c>
      <c r="E8401">
        <v>69</v>
      </c>
      <c r="F8401">
        <v>9394600</v>
      </c>
      <c r="G8401">
        <v>66.97</v>
      </c>
      <c r="H8401" t="s">
        <v>11</v>
      </c>
      <c r="I8401" s="22">
        <f t="shared" si="263"/>
        <v>-2.9859659821733579E-4</v>
      </c>
      <c r="J8401" s="22" t="str">
        <f t="shared" si="264"/>
        <v>lost money</v>
      </c>
    </row>
    <row r="8402" spans="1:10">
      <c r="A8402" s="1">
        <v>41234</v>
      </c>
      <c r="B8402">
        <v>68.86</v>
      </c>
      <c r="C8402">
        <v>69.06</v>
      </c>
      <c r="D8402">
        <v>68.680000000000007</v>
      </c>
      <c r="E8402">
        <v>68.89</v>
      </c>
      <c r="F8402">
        <v>7039600</v>
      </c>
      <c r="G8402">
        <v>66.87</v>
      </c>
      <c r="H8402" t="s">
        <v>11</v>
      </c>
      <c r="I8402" s="22">
        <f t="shared" si="263"/>
        <v>-1.4943218560715466E-3</v>
      </c>
      <c r="J8402" s="22" t="str">
        <f t="shared" si="264"/>
        <v/>
      </c>
    </row>
    <row r="8403" spans="1:10">
      <c r="A8403" s="1">
        <v>41236</v>
      </c>
      <c r="B8403">
        <v>69.34</v>
      </c>
      <c r="C8403">
        <v>70.239999999999995</v>
      </c>
      <c r="D8403">
        <v>68.88</v>
      </c>
      <c r="E8403">
        <v>70.2</v>
      </c>
      <c r="F8403">
        <v>5134900</v>
      </c>
      <c r="G8403">
        <v>68.14</v>
      </c>
      <c r="H8403" t="s">
        <v>11</v>
      </c>
      <c r="I8403" s="22">
        <f t="shared" si="263"/>
        <v>1.8813976166933241E-2</v>
      </c>
      <c r="J8403" s="22" t="str">
        <f t="shared" si="264"/>
        <v/>
      </c>
    </row>
    <row r="8404" spans="1:10">
      <c r="A8404" s="1">
        <v>41239</v>
      </c>
      <c r="B8404">
        <v>70.13</v>
      </c>
      <c r="C8404">
        <v>70.23</v>
      </c>
      <c r="D8404">
        <v>69.45</v>
      </c>
      <c r="E8404">
        <v>69.91</v>
      </c>
      <c r="F8404">
        <v>9073200</v>
      </c>
      <c r="G8404">
        <v>67.86</v>
      </c>
      <c r="H8404" t="s">
        <v>11</v>
      </c>
      <c r="I8404" s="22">
        <f t="shared" si="263"/>
        <v>-4.1176528767364814E-3</v>
      </c>
      <c r="J8404" s="22" t="str">
        <f t="shared" si="264"/>
        <v>lost money</v>
      </c>
    </row>
    <row r="8405" spans="1:10">
      <c r="A8405" s="1">
        <v>41240</v>
      </c>
      <c r="B8405">
        <v>69.900000000000006</v>
      </c>
      <c r="C8405">
        <v>70.17</v>
      </c>
      <c r="D8405">
        <v>69.45</v>
      </c>
      <c r="E8405">
        <v>69.5</v>
      </c>
      <c r="F8405">
        <v>7382300</v>
      </c>
      <c r="G8405">
        <v>67.459999999999994</v>
      </c>
      <c r="H8405" t="s">
        <v>11</v>
      </c>
      <c r="I8405" s="22">
        <f t="shared" si="263"/>
        <v>-5.9119297225799349E-3</v>
      </c>
      <c r="J8405" s="22" t="str">
        <f t="shared" si="264"/>
        <v>lost money</v>
      </c>
    </row>
    <row r="8406" spans="1:10">
      <c r="A8406" s="1">
        <v>41241</v>
      </c>
      <c r="B8406">
        <v>69.459999999999994</v>
      </c>
      <c r="C8406">
        <v>70.81</v>
      </c>
      <c r="D8406">
        <v>69.290000000000006</v>
      </c>
      <c r="E8406">
        <v>70.56</v>
      </c>
      <c r="F8406">
        <v>10496400</v>
      </c>
      <c r="G8406">
        <v>68.489999999999995</v>
      </c>
      <c r="H8406" t="s">
        <v>11</v>
      </c>
      <c r="I8406" s="22">
        <f t="shared" si="263"/>
        <v>1.5152919576309711E-2</v>
      </c>
      <c r="J8406" s="22" t="str">
        <f t="shared" si="264"/>
        <v/>
      </c>
    </row>
    <row r="8407" spans="1:10">
      <c r="A8407" s="1">
        <v>41242</v>
      </c>
      <c r="B8407">
        <v>70.48</v>
      </c>
      <c r="C8407">
        <v>71.040000000000006</v>
      </c>
      <c r="D8407">
        <v>70.13</v>
      </c>
      <c r="E8407">
        <v>70.83</v>
      </c>
      <c r="F8407">
        <v>9620500</v>
      </c>
      <c r="G8407">
        <v>68.75</v>
      </c>
      <c r="H8407" t="s">
        <v>11</v>
      </c>
      <c r="I8407" s="22">
        <f t="shared" si="263"/>
        <v>3.7889873368668176E-3</v>
      </c>
      <c r="J8407" s="22" t="str">
        <f t="shared" si="264"/>
        <v/>
      </c>
    </row>
    <row r="8408" spans="1:10">
      <c r="A8408" s="1">
        <v>41243</v>
      </c>
      <c r="B8408">
        <v>70.97</v>
      </c>
      <c r="C8408">
        <v>72.12</v>
      </c>
      <c r="D8408">
        <v>70.849999999999994</v>
      </c>
      <c r="E8408">
        <v>72.02</v>
      </c>
      <c r="F8408">
        <v>12485200</v>
      </c>
      <c r="G8408">
        <v>69.91</v>
      </c>
      <c r="H8408" t="s">
        <v>11</v>
      </c>
      <c r="I8408" s="22">
        <f t="shared" si="263"/>
        <v>1.6731963977212997E-2</v>
      </c>
      <c r="J8408" s="22" t="str">
        <f t="shared" si="264"/>
        <v/>
      </c>
    </row>
    <row r="8409" spans="1:10">
      <c r="A8409" s="1">
        <v>41246</v>
      </c>
      <c r="B8409">
        <v>72.11</v>
      </c>
      <c r="C8409">
        <v>72.34</v>
      </c>
      <c r="D8409">
        <v>71.34</v>
      </c>
      <c r="E8409">
        <v>71.34</v>
      </c>
      <c r="F8409">
        <v>9086800</v>
      </c>
      <c r="G8409">
        <v>69.25</v>
      </c>
      <c r="H8409" t="s">
        <v>11</v>
      </c>
      <c r="I8409" s="22">
        <f t="shared" si="263"/>
        <v>-9.4855554564458565E-3</v>
      </c>
      <c r="J8409" s="22" t="str">
        <f t="shared" si="264"/>
        <v>lost money</v>
      </c>
    </row>
    <row r="8410" spans="1:10">
      <c r="A8410" s="1">
        <v>41247</v>
      </c>
      <c r="B8410">
        <v>71.47</v>
      </c>
      <c r="C8410">
        <v>72.599999999999994</v>
      </c>
      <c r="D8410">
        <v>71.45</v>
      </c>
      <c r="E8410">
        <v>72.12</v>
      </c>
      <c r="F8410">
        <v>12820500</v>
      </c>
      <c r="G8410">
        <v>70</v>
      </c>
      <c r="H8410" t="s">
        <v>11</v>
      </c>
      <c r="I8410" s="22">
        <f t="shared" si="263"/>
        <v>1.077209698191104E-2</v>
      </c>
      <c r="J8410" s="22" t="str">
        <f t="shared" si="264"/>
        <v/>
      </c>
    </row>
    <row r="8411" spans="1:10">
      <c r="A8411" s="1">
        <v>41248</v>
      </c>
      <c r="B8411">
        <v>71.94</v>
      </c>
      <c r="C8411">
        <v>72.02</v>
      </c>
      <c r="D8411">
        <v>71.23</v>
      </c>
      <c r="E8411">
        <v>71.650000000000006</v>
      </c>
      <c r="F8411">
        <v>9513200</v>
      </c>
      <c r="G8411">
        <v>69.930000000000007</v>
      </c>
      <c r="H8411" t="s">
        <v>11</v>
      </c>
      <c r="I8411" s="22">
        <f t="shared" si="263"/>
        <v>-1.0005003335834233E-3</v>
      </c>
      <c r="J8411" s="22" t="str">
        <f t="shared" si="264"/>
        <v>lost money</v>
      </c>
    </row>
    <row r="8412" spans="1:10">
      <c r="A8412" s="1">
        <v>41249</v>
      </c>
      <c r="B8412">
        <v>71.67</v>
      </c>
      <c r="C8412">
        <v>71.849999999999994</v>
      </c>
      <c r="D8412">
        <v>71.099999999999994</v>
      </c>
      <c r="E8412">
        <v>71.59</v>
      </c>
      <c r="F8412">
        <v>7166100</v>
      </c>
      <c r="G8412">
        <v>69.87</v>
      </c>
      <c r="H8412" t="s">
        <v>11</v>
      </c>
      <c r="I8412" s="22">
        <f t="shared" si="263"/>
        <v>-8.5836915141619674E-4</v>
      </c>
      <c r="J8412" s="22" t="str">
        <f t="shared" si="264"/>
        <v>lost money</v>
      </c>
    </row>
    <row r="8413" spans="1:10">
      <c r="A8413" s="1">
        <v>41250</v>
      </c>
      <c r="B8413">
        <v>71.900000000000006</v>
      </c>
      <c r="C8413">
        <v>72.59</v>
      </c>
      <c r="D8413">
        <v>71.849999999999994</v>
      </c>
      <c r="E8413">
        <v>72.290000000000006</v>
      </c>
      <c r="F8413">
        <v>7283000</v>
      </c>
      <c r="G8413">
        <v>70.56</v>
      </c>
      <c r="H8413" t="s">
        <v>11</v>
      </c>
      <c r="I8413" s="22">
        <f t="shared" si="263"/>
        <v>9.8270391341764868E-3</v>
      </c>
      <c r="J8413" s="22" t="str">
        <f t="shared" si="264"/>
        <v/>
      </c>
    </row>
    <row r="8414" spans="1:10">
      <c r="A8414" s="1">
        <v>41253</v>
      </c>
      <c r="B8414">
        <v>72.08</v>
      </c>
      <c r="C8414">
        <v>72.34</v>
      </c>
      <c r="D8414">
        <v>71.790000000000006</v>
      </c>
      <c r="E8414">
        <v>72.150000000000006</v>
      </c>
      <c r="F8414">
        <v>5901600</v>
      </c>
      <c r="G8414">
        <v>70.42</v>
      </c>
      <c r="H8414" t="s">
        <v>11</v>
      </c>
      <c r="I8414" s="22">
        <f t="shared" si="263"/>
        <v>-1.9860979716294028E-3</v>
      </c>
      <c r="J8414" s="22" t="str">
        <f t="shared" si="264"/>
        <v/>
      </c>
    </row>
    <row r="8415" spans="1:10">
      <c r="A8415" s="1">
        <v>41254</v>
      </c>
      <c r="B8415">
        <v>72.25</v>
      </c>
      <c r="C8415">
        <v>72.7</v>
      </c>
      <c r="D8415">
        <v>70.819999999999993</v>
      </c>
      <c r="E8415">
        <v>70.89</v>
      </c>
      <c r="F8415">
        <v>14595000</v>
      </c>
      <c r="G8415">
        <v>69.19</v>
      </c>
      <c r="H8415" t="s">
        <v>11</v>
      </c>
      <c r="I8415" s="22">
        <f t="shared" si="263"/>
        <v>-1.7620970216186811E-2</v>
      </c>
      <c r="J8415" s="22" t="str">
        <f t="shared" si="264"/>
        <v>lost money</v>
      </c>
    </row>
    <row r="8416" spans="1:10">
      <c r="A8416" s="1">
        <v>41255</v>
      </c>
      <c r="B8416">
        <v>70.2</v>
      </c>
      <c r="C8416">
        <v>70.349999999999994</v>
      </c>
      <c r="D8416">
        <v>68.91</v>
      </c>
      <c r="E8416">
        <v>68.94</v>
      </c>
      <c r="F8416">
        <v>23401900</v>
      </c>
      <c r="G8416">
        <v>67.290000000000006</v>
      </c>
      <c r="H8416" t="s">
        <v>11</v>
      </c>
      <c r="I8416" s="22">
        <f t="shared" si="263"/>
        <v>-2.7844706310492986E-2</v>
      </c>
      <c r="J8416" s="22" t="str">
        <f t="shared" si="264"/>
        <v>lost money</v>
      </c>
    </row>
    <row r="8417" spans="1:10">
      <c r="A8417" s="1">
        <v>41256</v>
      </c>
      <c r="B8417">
        <v>69.040000000000006</v>
      </c>
      <c r="C8417">
        <v>69.36</v>
      </c>
      <c r="D8417">
        <v>69</v>
      </c>
      <c r="E8417">
        <v>69.040000000000006</v>
      </c>
      <c r="F8417">
        <v>14243500</v>
      </c>
      <c r="G8417">
        <v>67.38</v>
      </c>
      <c r="H8417" t="s">
        <v>11</v>
      </c>
      <c r="I8417" s="22">
        <f t="shared" si="263"/>
        <v>1.3366007781799084E-3</v>
      </c>
      <c r="J8417" s="22" t="str">
        <f t="shared" si="264"/>
        <v/>
      </c>
    </row>
    <row r="8418" spans="1:10">
      <c r="A8418" s="1">
        <v>41257</v>
      </c>
      <c r="B8418">
        <v>69.05</v>
      </c>
      <c r="C8418">
        <v>69.3</v>
      </c>
      <c r="D8418">
        <v>68.739999999999995</v>
      </c>
      <c r="E8418">
        <v>68.75</v>
      </c>
      <c r="F8418">
        <v>10502300</v>
      </c>
      <c r="G8418">
        <v>67.099999999999994</v>
      </c>
      <c r="H8418" t="s">
        <v>11</v>
      </c>
      <c r="I8418" s="22">
        <f t="shared" si="263"/>
        <v>-4.1641940007707051E-3</v>
      </c>
      <c r="J8418" s="22" t="str">
        <f t="shared" si="264"/>
        <v>lost money</v>
      </c>
    </row>
    <row r="8419" spans="1:10">
      <c r="A8419" s="1">
        <v>41260</v>
      </c>
      <c r="B8419">
        <v>68.959999999999994</v>
      </c>
      <c r="C8419">
        <v>69.510000000000005</v>
      </c>
      <c r="D8419">
        <v>68.89</v>
      </c>
      <c r="E8419">
        <v>69.2</v>
      </c>
      <c r="F8419">
        <v>10531700</v>
      </c>
      <c r="G8419">
        <v>67.540000000000006</v>
      </c>
      <c r="H8419" t="s">
        <v>11</v>
      </c>
      <c r="I8419" s="22">
        <f t="shared" si="263"/>
        <v>6.5359709797856696E-3</v>
      </c>
      <c r="J8419" s="22" t="str">
        <f t="shared" si="264"/>
        <v/>
      </c>
    </row>
    <row r="8420" spans="1:10">
      <c r="A8420" s="1">
        <v>41261</v>
      </c>
      <c r="B8420">
        <v>69.11</v>
      </c>
      <c r="C8420">
        <v>69.66</v>
      </c>
      <c r="D8420">
        <v>68.91</v>
      </c>
      <c r="E8420">
        <v>69.5</v>
      </c>
      <c r="F8420">
        <v>11589800</v>
      </c>
      <c r="G8420">
        <v>67.83</v>
      </c>
      <c r="H8420" t="s">
        <v>11</v>
      </c>
      <c r="I8420" s="22">
        <f t="shared" si="263"/>
        <v>4.2845600005665119E-3</v>
      </c>
      <c r="J8420" s="22" t="str">
        <f t="shared" si="264"/>
        <v/>
      </c>
    </row>
    <row r="8421" spans="1:10">
      <c r="A8421" s="1">
        <v>41262</v>
      </c>
      <c r="B8421">
        <v>69.430000000000007</v>
      </c>
      <c r="C8421">
        <v>69.5</v>
      </c>
      <c r="D8421">
        <v>68.52</v>
      </c>
      <c r="E8421">
        <v>68.52</v>
      </c>
      <c r="F8421">
        <v>9973200</v>
      </c>
      <c r="G8421">
        <v>66.88</v>
      </c>
      <c r="H8421" t="s">
        <v>11</v>
      </c>
      <c r="I8421" s="22">
        <f t="shared" si="263"/>
        <v>-1.4104606181542047E-2</v>
      </c>
      <c r="J8421" s="22" t="str">
        <f t="shared" si="264"/>
        <v>lost money</v>
      </c>
    </row>
    <row r="8422" spans="1:10">
      <c r="A8422" s="1">
        <v>41263</v>
      </c>
      <c r="B8422">
        <v>68.33</v>
      </c>
      <c r="C8422">
        <v>69.06</v>
      </c>
      <c r="D8422">
        <v>68.17</v>
      </c>
      <c r="E8422">
        <v>69</v>
      </c>
      <c r="F8422">
        <v>9686300</v>
      </c>
      <c r="G8422">
        <v>67.349999999999994</v>
      </c>
      <c r="H8422" t="s">
        <v>11</v>
      </c>
      <c r="I8422" s="22">
        <f t="shared" si="263"/>
        <v>7.0029340799267863E-3</v>
      </c>
      <c r="J8422" s="22" t="str">
        <f t="shared" si="264"/>
        <v/>
      </c>
    </row>
    <row r="8423" spans="1:10">
      <c r="A8423" s="1">
        <v>41264</v>
      </c>
      <c r="B8423">
        <v>68.87</v>
      </c>
      <c r="C8423">
        <v>69.16</v>
      </c>
      <c r="D8423">
        <v>68.27</v>
      </c>
      <c r="E8423">
        <v>68.650000000000006</v>
      </c>
      <c r="F8423">
        <v>13231000</v>
      </c>
      <c r="G8423">
        <v>67</v>
      </c>
      <c r="H8423" t="s">
        <v>11</v>
      </c>
      <c r="I8423" s="22">
        <f t="shared" si="263"/>
        <v>-5.2102834654068758E-3</v>
      </c>
      <c r="J8423" s="22" t="str">
        <f t="shared" si="264"/>
        <v>lost money</v>
      </c>
    </row>
    <row r="8424" spans="1:10">
      <c r="A8424" s="1">
        <v>41267</v>
      </c>
      <c r="B8424">
        <v>68.510000000000005</v>
      </c>
      <c r="C8424">
        <v>68.81</v>
      </c>
      <c r="D8424">
        <v>68.31</v>
      </c>
      <c r="E8424">
        <v>68.569999999999993</v>
      </c>
      <c r="F8424">
        <v>2904800</v>
      </c>
      <c r="G8424">
        <v>66.930000000000007</v>
      </c>
      <c r="H8424" t="s">
        <v>11</v>
      </c>
      <c r="I8424" s="22">
        <f t="shared" si="263"/>
        <v>-1.0453222784151397E-3</v>
      </c>
      <c r="J8424" s="22" t="str">
        <f t="shared" si="264"/>
        <v/>
      </c>
    </row>
    <row r="8425" spans="1:10">
      <c r="A8425" s="1">
        <v>41269</v>
      </c>
      <c r="B8425">
        <v>68.56</v>
      </c>
      <c r="C8425">
        <v>68.650000000000006</v>
      </c>
      <c r="D8425">
        <v>67.73</v>
      </c>
      <c r="E8425">
        <v>67.989999999999995</v>
      </c>
      <c r="F8425">
        <v>6092900</v>
      </c>
      <c r="G8425">
        <v>66.36</v>
      </c>
      <c r="H8425" t="s">
        <v>11</v>
      </c>
      <c r="I8425" s="22">
        <f t="shared" si="263"/>
        <v>-8.552831790307254E-3</v>
      </c>
      <c r="J8425" s="22" t="str">
        <f t="shared" si="264"/>
        <v>lost money</v>
      </c>
    </row>
    <row r="8426" spans="1:10">
      <c r="A8426" s="1">
        <v>41270</v>
      </c>
      <c r="B8426">
        <v>68.03</v>
      </c>
      <c r="C8426">
        <v>68.42</v>
      </c>
      <c r="D8426">
        <v>67.790000000000006</v>
      </c>
      <c r="E8426">
        <v>68.19</v>
      </c>
      <c r="F8426">
        <v>7384200</v>
      </c>
      <c r="G8426">
        <v>66.56</v>
      </c>
      <c r="H8426" t="s">
        <v>11</v>
      </c>
      <c r="I8426" s="22">
        <f t="shared" si="263"/>
        <v>3.0093311907094062E-3</v>
      </c>
      <c r="J8426" s="22" t="str">
        <f t="shared" si="264"/>
        <v/>
      </c>
    </row>
    <row r="8427" spans="1:10">
      <c r="A8427" s="1">
        <v>41271</v>
      </c>
      <c r="B8427">
        <v>67.91</v>
      </c>
      <c r="C8427">
        <v>68.349999999999994</v>
      </c>
      <c r="D8427">
        <v>67.540000000000006</v>
      </c>
      <c r="E8427">
        <v>67.61</v>
      </c>
      <c r="F8427">
        <v>5513400</v>
      </c>
      <c r="G8427">
        <v>65.989999999999995</v>
      </c>
      <c r="H8427" t="s">
        <v>11</v>
      </c>
      <c r="I8427" s="22">
        <f t="shared" si="263"/>
        <v>-8.6005811176229578E-3</v>
      </c>
      <c r="J8427" s="22" t="str">
        <f t="shared" si="264"/>
        <v>lost money</v>
      </c>
    </row>
    <row r="8428" spans="1:10">
      <c r="A8428" s="1">
        <v>41274</v>
      </c>
      <c r="B8428">
        <v>67.489999999999995</v>
      </c>
      <c r="C8428">
        <v>68.3</v>
      </c>
      <c r="D8428">
        <v>67.37</v>
      </c>
      <c r="E8428">
        <v>68.23</v>
      </c>
      <c r="F8428">
        <v>7012500</v>
      </c>
      <c r="G8428">
        <v>66.59</v>
      </c>
      <c r="H8428" t="s">
        <v>11</v>
      </c>
      <c r="I8428" s="22">
        <f t="shared" si="263"/>
        <v>9.0512007272009042E-3</v>
      </c>
      <c r="J8428" s="22" t="str">
        <f t="shared" si="264"/>
        <v/>
      </c>
    </row>
    <row r="8429" spans="1:10">
      <c r="A8429" s="1">
        <v>41276</v>
      </c>
      <c r="B8429">
        <v>68.930000000000007</v>
      </c>
      <c r="C8429">
        <v>69.239999999999995</v>
      </c>
      <c r="D8429">
        <v>68.45</v>
      </c>
      <c r="E8429">
        <v>69.239999999999995</v>
      </c>
      <c r="F8429">
        <v>10390800</v>
      </c>
      <c r="G8429">
        <v>67.58</v>
      </c>
      <c r="H8429" t="s">
        <v>11</v>
      </c>
      <c r="I8429" s="22">
        <f t="shared" si="263"/>
        <v>1.4757665163612847E-2</v>
      </c>
      <c r="J8429" s="22" t="str">
        <f t="shared" si="264"/>
        <v/>
      </c>
    </row>
    <row r="8430" spans="1:10">
      <c r="A8430" s="1">
        <v>41277</v>
      </c>
      <c r="B8430">
        <v>69.25</v>
      </c>
      <c r="C8430">
        <v>69.349999999999994</v>
      </c>
      <c r="D8430">
        <v>68.38</v>
      </c>
      <c r="E8430">
        <v>68.8</v>
      </c>
      <c r="F8430">
        <v>8910100</v>
      </c>
      <c r="G8430">
        <v>67.150000000000006</v>
      </c>
      <c r="H8430" t="s">
        <v>11</v>
      </c>
      <c r="I8430" s="22">
        <f t="shared" si="263"/>
        <v>-6.383158316897247E-3</v>
      </c>
      <c r="J8430" s="22" t="str">
        <f t="shared" si="264"/>
        <v>lost money</v>
      </c>
    </row>
    <row r="8431" spans="1:10">
      <c r="A8431" s="1">
        <v>41278</v>
      </c>
      <c r="B8431">
        <v>68.73</v>
      </c>
      <c r="C8431">
        <v>69.180000000000007</v>
      </c>
      <c r="D8431">
        <v>68.34</v>
      </c>
      <c r="E8431">
        <v>69.06</v>
      </c>
      <c r="F8431">
        <v>6438000</v>
      </c>
      <c r="G8431">
        <v>67.400000000000006</v>
      </c>
      <c r="H8431" t="s">
        <v>11</v>
      </c>
      <c r="I8431" s="22">
        <f t="shared" si="263"/>
        <v>3.7160949490148538E-3</v>
      </c>
      <c r="J8431" s="22" t="str">
        <f t="shared" si="264"/>
        <v/>
      </c>
    </row>
    <row r="8432" spans="1:10">
      <c r="A8432" s="1">
        <v>41281</v>
      </c>
      <c r="B8432">
        <v>68.83</v>
      </c>
      <c r="C8432">
        <v>68.92</v>
      </c>
      <c r="D8432">
        <v>68.13</v>
      </c>
      <c r="E8432">
        <v>68.400000000000006</v>
      </c>
      <c r="F8432">
        <v>6201400</v>
      </c>
      <c r="G8432">
        <v>66.760000000000005</v>
      </c>
      <c r="H8432" t="s">
        <v>11</v>
      </c>
      <c r="I8432" s="22">
        <f t="shared" si="263"/>
        <v>-9.5409191246270397E-3</v>
      </c>
      <c r="J8432" s="22" t="str">
        <f t="shared" si="264"/>
        <v>lost money</v>
      </c>
    </row>
    <row r="8433" spans="1:10">
      <c r="A8433" s="1">
        <v>41282</v>
      </c>
      <c r="B8433">
        <v>68.28</v>
      </c>
      <c r="C8433">
        <v>68.89</v>
      </c>
      <c r="D8433">
        <v>68.209999999999994</v>
      </c>
      <c r="E8433">
        <v>68.59</v>
      </c>
      <c r="F8433">
        <v>5866900</v>
      </c>
      <c r="G8433">
        <v>66.95</v>
      </c>
      <c r="H8433" t="s">
        <v>11</v>
      </c>
      <c r="I8433" s="22">
        <f t="shared" si="263"/>
        <v>2.841973343547073E-3</v>
      </c>
      <c r="J8433" s="22" t="str">
        <f t="shared" si="264"/>
        <v/>
      </c>
    </row>
    <row r="8434" spans="1:10">
      <c r="A8434" s="1">
        <v>41283</v>
      </c>
      <c r="B8434">
        <v>68.66</v>
      </c>
      <c r="C8434">
        <v>68.709999999999994</v>
      </c>
      <c r="D8434">
        <v>68.22</v>
      </c>
      <c r="E8434">
        <v>68.569999999999993</v>
      </c>
      <c r="F8434">
        <v>5055200</v>
      </c>
      <c r="G8434">
        <v>66.930000000000007</v>
      </c>
      <c r="H8434" t="s">
        <v>11</v>
      </c>
      <c r="I8434" s="22">
        <f t="shared" si="263"/>
        <v>-2.9877502463063936E-4</v>
      </c>
      <c r="J8434" s="22" t="str">
        <f t="shared" si="264"/>
        <v>lost money</v>
      </c>
    </row>
    <row r="8435" spans="1:10">
      <c r="A8435" s="1">
        <v>41284</v>
      </c>
      <c r="B8435">
        <v>68.66</v>
      </c>
      <c r="C8435">
        <v>69.03</v>
      </c>
      <c r="D8435">
        <v>67.72</v>
      </c>
      <c r="E8435">
        <v>68.36</v>
      </c>
      <c r="F8435">
        <v>11453800</v>
      </c>
      <c r="G8435">
        <v>66.72</v>
      </c>
      <c r="H8435" t="s">
        <v>11</v>
      </c>
      <c r="I8435" s="22">
        <f t="shared" si="263"/>
        <v>-3.1425390620595942E-3</v>
      </c>
      <c r="J8435" s="22" t="str">
        <f t="shared" si="264"/>
        <v>lost money</v>
      </c>
    </row>
    <row r="8436" spans="1:10">
      <c r="A8436" s="1">
        <v>41285</v>
      </c>
      <c r="B8436">
        <v>68.599999999999994</v>
      </c>
      <c r="C8436">
        <v>68.790000000000006</v>
      </c>
      <c r="D8436">
        <v>68.209999999999994</v>
      </c>
      <c r="E8436">
        <v>68.63</v>
      </c>
      <c r="F8436">
        <v>6224500</v>
      </c>
      <c r="G8436">
        <v>66.98</v>
      </c>
      <c r="H8436" t="s">
        <v>11</v>
      </c>
      <c r="I8436" s="22">
        <f t="shared" si="263"/>
        <v>3.8893093155672968E-3</v>
      </c>
      <c r="J8436" s="22" t="str">
        <f t="shared" si="264"/>
        <v/>
      </c>
    </row>
    <row r="8437" spans="1:10">
      <c r="A8437" s="1">
        <v>41288</v>
      </c>
      <c r="B8437">
        <v>68.489999999999995</v>
      </c>
      <c r="C8437">
        <v>68.67</v>
      </c>
      <c r="D8437">
        <v>68.11</v>
      </c>
      <c r="E8437">
        <v>68.3</v>
      </c>
      <c r="F8437">
        <v>5490400</v>
      </c>
      <c r="G8437">
        <v>66.66</v>
      </c>
      <c r="H8437" t="s">
        <v>11</v>
      </c>
      <c r="I8437" s="22">
        <f t="shared" si="263"/>
        <v>-4.7889944864649876E-3</v>
      </c>
      <c r="J8437" s="22" t="str">
        <f t="shared" si="264"/>
        <v>lost money</v>
      </c>
    </row>
    <row r="8438" spans="1:10">
      <c r="A8438" s="1">
        <v>41289</v>
      </c>
      <c r="B8438">
        <v>68.19</v>
      </c>
      <c r="C8438">
        <v>69.239999999999995</v>
      </c>
      <c r="D8438">
        <v>68.099999999999994</v>
      </c>
      <c r="E8438">
        <v>68.98</v>
      </c>
      <c r="F8438">
        <v>6140400</v>
      </c>
      <c r="G8438">
        <v>67.33</v>
      </c>
      <c r="H8438" t="s">
        <v>11</v>
      </c>
      <c r="I8438" s="22">
        <f t="shared" si="263"/>
        <v>1.0000829677595883E-2</v>
      </c>
      <c r="J8438" s="22" t="str">
        <f t="shared" si="264"/>
        <v/>
      </c>
    </row>
    <row r="8439" spans="1:10">
      <c r="A8439" s="1">
        <v>41290</v>
      </c>
      <c r="B8439">
        <v>68.94</v>
      </c>
      <c r="C8439">
        <v>69.37</v>
      </c>
      <c r="D8439">
        <v>68.89</v>
      </c>
      <c r="E8439">
        <v>69.209999999999994</v>
      </c>
      <c r="F8439">
        <v>4917900</v>
      </c>
      <c r="G8439">
        <v>67.55</v>
      </c>
      <c r="H8439" t="s">
        <v>11</v>
      </c>
      <c r="I8439" s="22">
        <f t="shared" si="263"/>
        <v>3.2621618490183439E-3</v>
      </c>
      <c r="J8439" s="22" t="str">
        <f t="shared" si="264"/>
        <v/>
      </c>
    </row>
    <row r="8440" spans="1:10">
      <c r="A8440" s="1">
        <v>41291</v>
      </c>
      <c r="B8440">
        <v>69.3</v>
      </c>
      <c r="C8440">
        <v>69.319999999999993</v>
      </c>
      <c r="D8440">
        <v>68.709999999999994</v>
      </c>
      <c r="E8440">
        <v>68.849999999999994</v>
      </c>
      <c r="F8440">
        <v>7232600</v>
      </c>
      <c r="G8440">
        <v>67.2</v>
      </c>
      <c r="H8440" t="s">
        <v>11</v>
      </c>
      <c r="I8440" s="22">
        <f t="shared" si="263"/>
        <v>-5.1948168771039109E-3</v>
      </c>
      <c r="J8440" s="22" t="str">
        <f t="shared" si="264"/>
        <v>lost money</v>
      </c>
    </row>
    <row r="8441" spans="1:10">
      <c r="A8441" s="1">
        <v>41292</v>
      </c>
      <c r="B8441">
        <v>68.849999999999994</v>
      </c>
      <c r="C8441">
        <v>69.2</v>
      </c>
      <c r="D8441">
        <v>68.849999999999994</v>
      </c>
      <c r="E8441">
        <v>69.2</v>
      </c>
      <c r="F8441">
        <v>7813400</v>
      </c>
      <c r="G8441">
        <v>67.540000000000006</v>
      </c>
      <c r="H8441" t="s">
        <v>11</v>
      </c>
      <c r="I8441" s="22">
        <f t="shared" si="263"/>
        <v>5.0467674283178722E-3</v>
      </c>
      <c r="J8441" s="22" t="str">
        <f t="shared" si="264"/>
        <v/>
      </c>
    </row>
    <row r="8442" spans="1:10">
      <c r="A8442" s="1">
        <v>41296</v>
      </c>
      <c r="B8442">
        <v>69.05</v>
      </c>
      <c r="C8442">
        <v>69.650000000000006</v>
      </c>
      <c r="D8442">
        <v>68.959999999999994</v>
      </c>
      <c r="E8442">
        <v>69.58</v>
      </c>
      <c r="F8442">
        <v>5747900</v>
      </c>
      <c r="G8442">
        <v>67.91</v>
      </c>
      <c r="H8442" t="s">
        <v>11</v>
      </c>
      <c r="I8442" s="22">
        <f t="shared" si="263"/>
        <v>5.4632841682781957E-3</v>
      </c>
      <c r="J8442" s="22" t="str">
        <f t="shared" si="264"/>
        <v/>
      </c>
    </row>
    <row r="8443" spans="1:10">
      <c r="A8443" s="1">
        <v>41297</v>
      </c>
      <c r="B8443">
        <v>69.39</v>
      </c>
      <c r="C8443">
        <v>69.64</v>
      </c>
      <c r="D8443">
        <v>69.150000000000006</v>
      </c>
      <c r="E8443">
        <v>69.489999999999995</v>
      </c>
      <c r="F8443">
        <v>6365400</v>
      </c>
      <c r="G8443">
        <v>67.819999999999993</v>
      </c>
      <c r="H8443" t="s">
        <v>11</v>
      </c>
      <c r="I8443" s="22">
        <f t="shared" si="263"/>
        <v>-1.3261624282075724E-3</v>
      </c>
      <c r="J8443" s="22" t="str">
        <f t="shared" si="264"/>
        <v/>
      </c>
    </row>
    <row r="8444" spans="1:10">
      <c r="A8444" s="1">
        <v>41298</v>
      </c>
      <c r="B8444">
        <v>69.650000000000006</v>
      </c>
      <c r="C8444">
        <v>69.989999999999995</v>
      </c>
      <c r="D8444">
        <v>69.349999999999994</v>
      </c>
      <c r="E8444">
        <v>69.790000000000006</v>
      </c>
      <c r="F8444">
        <v>9139000</v>
      </c>
      <c r="G8444">
        <v>68.12</v>
      </c>
      <c r="H8444" t="s">
        <v>11</v>
      </c>
      <c r="I8444" s="22">
        <f t="shared" si="263"/>
        <v>4.4137190969950994E-3</v>
      </c>
      <c r="J8444" s="22" t="str">
        <f t="shared" si="264"/>
        <v/>
      </c>
    </row>
    <row r="8445" spans="1:10">
      <c r="A8445" s="1">
        <v>41299</v>
      </c>
      <c r="B8445">
        <v>69.91</v>
      </c>
      <c r="C8445">
        <v>70</v>
      </c>
      <c r="D8445">
        <v>68.930000000000007</v>
      </c>
      <c r="E8445">
        <v>69</v>
      </c>
      <c r="F8445">
        <v>7967700</v>
      </c>
      <c r="G8445">
        <v>67.349999999999994</v>
      </c>
      <c r="H8445" t="s">
        <v>11</v>
      </c>
      <c r="I8445" s="22">
        <f t="shared" si="263"/>
        <v>-1.1367952938114659E-2</v>
      </c>
      <c r="J8445" s="22" t="str">
        <f t="shared" si="264"/>
        <v>lost money</v>
      </c>
    </row>
    <row r="8446" spans="1:10">
      <c r="A8446" s="1">
        <v>41302</v>
      </c>
      <c r="B8446">
        <v>69.08</v>
      </c>
      <c r="C8446">
        <v>69.5</v>
      </c>
      <c r="D8446">
        <v>68.8</v>
      </c>
      <c r="E8446">
        <v>69.349999999999994</v>
      </c>
      <c r="F8446">
        <v>7054800</v>
      </c>
      <c r="G8446">
        <v>67.69</v>
      </c>
      <c r="H8446" t="s">
        <v>11</v>
      </c>
      <c r="I8446" s="22">
        <f t="shared" si="263"/>
        <v>5.0355556641433884E-3</v>
      </c>
      <c r="J8446" s="22" t="str">
        <f t="shared" si="264"/>
        <v/>
      </c>
    </row>
    <row r="8447" spans="1:10">
      <c r="A8447" s="1">
        <v>41303</v>
      </c>
      <c r="B8447">
        <v>69.209999999999994</v>
      </c>
      <c r="C8447">
        <v>70.2</v>
      </c>
      <c r="D8447">
        <v>69.2</v>
      </c>
      <c r="E8447">
        <v>69.89</v>
      </c>
      <c r="F8447">
        <v>9560900</v>
      </c>
      <c r="G8447">
        <v>68.209999999999994</v>
      </c>
      <c r="H8447" t="s">
        <v>11</v>
      </c>
      <c r="I8447" s="22">
        <f t="shared" si="263"/>
        <v>7.6527231461116178E-3</v>
      </c>
      <c r="J8447" s="22" t="str">
        <f t="shared" si="264"/>
        <v/>
      </c>
    </row>
    <row r="8448" spans="1:10">
      <c r="A8448" s="1">
        <v>41304</v>
      </c>
      <c r="B8448">
        <v>70.12</v>
      </c>
      <c r="C8448">
        <v>70.12</v>
      </c>
      <c r="D8448">
        <v>69.5</v>
      </c>
      <c r="E8448">
        <v>69.75</v>
      </c>
      <c r="F8448">
        <v>7020600</v>
      </c>
      <c r="G8448">
        <v>68.08</v>
      </c>
      <c r="H8448" t="s">
        <v>11</v>
      </c>
      <c r="I8448" s="22">
        <f t="shared" si="263"/>
        <v>-1.9076974015092292E-3</v>
      </c>
      <c r="J8448" s="22" t="str">
        <f t="shared" si="264"/>
        <v>lost money</v>
      </c>
    </row>
    <row r="8449" spans="1:10">
      <c r="A8449" s="1">
        <v>41305</v>
      </c>
      <c r="B8449">
        <v>69.69</v>
      </c>
      <c r="C8449">
        <v>70.44</v>
      </c>
      <c r="D8449">
        <v>69.69</v>
      </c>
      <c r="E8449">
        <v>69.95</v>
      </c>
      <c r="F8449">
        <v>7016200</v>
      </c>
      <c r="G8449">
        <v>68.27</v>
      </c>
      <c r="H8449" t="s">
        <v>11</v>
      </c>
      <c r="I8449" s="22">
        <f t="shared" si="263"/>
        <v>2.7869471650701187E-3</v>
      </c>
      <c r="J8449" s="22" t="str">
        <f t="shared" si="264"/>
        <v/>
      </c>
    </row>
    <row r="8450" spans="1:10">
      <c r="A8450" s="1">
        <v>41306</v>
      </c>
      <c r="B8450">
        <v>70.11</v>
      </c>
      <c r="C8450">
        <v>70.540000000000006</v>
      </c>
      <c r="D8450">
        <v>69.95</v>
      </c>
      <c r="E8450">
        <v>70.489999999999995</v>
      </c>
      <c r="F8450">
        <v>6449800</v>
      </c>
      <c r="G8450">
        <v>68.8</v>
      </c>
      <c r="H8450" t="s">
        <v>11</v>
      </c>
      <c r="I8450" s="22">
        <f t="shared" si="263"/>
        <v>7.7333135091089611E-3</v>
      </c>
      <c r="J8450" s="22" t="str">
        <f t="shared" si="264"/>
        <v/>
      </c>
    </row>
    <row r="8451" spans="1:10">
      <c r="A8451" s="1">
        <v>41309</v>
      </c>
      <c r="B8451">
        <v>69.44</v>
      </c>
      <c r="C8451">
        <v>69.900000000000006</v>
      </c>
      <c r="D8451">
        <v>69.13</v>
      </c>
      <c r="E8451">
        <v>69.63</v>
      </c>
      <c r="F8451">
        <v>10759300</v>
      </c>
      <c r="G8451">
        <v>67.959999999999994</v>
      </c>
      <c r="H8451" t="s">
        <v>11</v>
      </c>
      <c r="I8451" s="22">
        <f t="shared" ref="I8451:I8514" si="265">IF(A8451=$A$2,"",LN(G8451/G8450))</f>
        <v>-1.2284448135566792E-2</v>
      </c>
      <c r="J8451" s="22" t="str">
        <f t="shared" ref="J8451:J8514" si="266">IF(B8451&gt;E8451,"lost money","")</f>
        <v/>
      </c>
    </row>
    <row r="8452" spans="1:10">
      <c r="A8452" s="1">
        <v>41310</v>
      </c>
      <c r="B8452">
        <v>69.87</v>
      </c>
      <c r="C8452">
        <v>71.069999999999993</v>
      </c>
      <c r="D8452">
        <v>69.760000000000005</v>
      </c>
      <c r="E8452">
        <v>70.77</v>
      </c>
      <c r="F8452">
        <v>10525500</v>
      </c>
      <c r="G8452">
        <v>69.069999999999993</v>
      </c>
      <c r="H8452" t="s">
        <v>11</v>
      </c>
      <c r="I8452" s="22">
        <f t="shared" si="265"/>
        <v>1.6201186297150356E-2</v>
      </c>
      <c r="J8452" s="22" t="str">
        <f t="shared" si="266"/>
        <v/>
      </c>
    </row>
    <row r="8453" spans="1:10">
      <c r="A8453" s="1">
        <v>41311</v>
      </c>
      <c r="B8453">
        <v>70.48</v>
      </c>
      <c r="C8453">
        <v>71.319999999999993</v>
      </c>
      <c r="D8453">
        <v>70.3</v>
      </c>
      <c r="E8453">
        <v>71.31</v>
      </c>
      <c r="F8453">
        <v>9757800</v>
      </c>
      <c r="G8453">
        <v>69.599999999999994</v>
      </c>
      <c r="H8453" t="s">
        <v>11</v>
      </c>
      <c r="I8453" s="22">
        <f t="shared" si="265"/>
        <v>7.6440842394924899E-3</v>
      </c>
      <c r="J8453" s="22" t="str">
        <f t="shared" si="266"/>
        <v/>
      </c>
    </row>
    <row r="8454" spans="1:10">
      <c r="A8454" s="1">
        <v>41312</v>
      </c>
      <c r="B8454">
        <v>71.44</v>
      </c>
      <c r="C8454">
        <v>71.64</v>
      </c>
      <c r="D8454">
        <v>70.900000000000006</v>
      </c>
      <c r="E8454">
        <v>71.23</v>
      </c>
      <c r="F8454">
        <v>8306900</v>
      </c>
      <c r="G8454">
        <v>69.52</v>
      </c>
      <c r="H8454" t="s">
        <v>11</v>
      </c>
      <c r="I8454" s="22">
        <f t="shared" si="265"/>
        <v>-1.1500863832373297E-3</v>
      </c>
      <c r="J8454" s="22" t="str">
        <f t="shared" si="266"/>
        <v>lost money</v>
      </c>
    </row>
    <row r="8455" spans="1:10">
      <c r="A8455" s="1">
        <v>41313</v>
      </c>
      <c r="B8455">
        <v>71.2</v>
      </c>
      <c r="C8455">
        <v>71.64</v>
      </c>
      <c r="D8455">
        <v>71.069999999999993</v>
      </c>
      <c r="E8455">
        <v>71.48</v>
      </c>
      <c r="F8455">
        <v>5906600</v>
      </c>
      <c r="G8455">
        <v>69.77</v>
      </c>
      <c r="H8455" t="s">
        <v>11</v>
      </c>
      <c r="I8455" s="22">
        <f t="shared" si="265"/>
        <v>3.5896369940086772E-3</v>
      </c>
      <c r="J8455" s="22" t="str">
        <f t="shared" si="266"/>
        <v/>
      </c>
    </row>
    <row r="8456" spans="1:10">
      <c r="A8456" s="1">
        <v>41316</v>
      </c>
      <c r="B8456">
        <v>71.25</v>
      </c>
      <c r="C8456">
        <v>71.510000000000005</v>
      </c>
      <c r="D8456">
        <v>70.53</v>
      </c>
      <c r="E8456">
        <v>71.400000000000006</v>
      </c>
      <c r="F8456">
        <v>6202600</v>
      </c>
      <c r="G8456">
        <v>69.69</v>
      </c>
      <c r="H8456" t="s">
        <v>11</v>
      </c>
      <c r="I8456" s="22">
        <f t="shared" si="265"/>
        <v>-1.1472825007177391E-3</v>
      </c>
      <c r="J8456" s="22" t="str">
        <f t="shared" si="266"/>
        <v/>
      </c>
    </row>
    <row r="8457" spans="1:10">
      <c r="A8457" s="1">
        <v>41317</v>
      </c>
      <c r="B8457">
        <v>71.489999999999995</v>
      </c>
      <c r="C8457">
        <v>71.66</v>
      </c>
      <c r="D8457">
        <v>71.099999999999994</v>
      </c>
      <c r="E8457">
        <v>71.400000000000006</v>
      </c>
      <c r="F8457">
        <v>4762000</v>
      </c>
      <c r="G8457">
        <v>69.69</v>
      </c>
      <c r="H8457" t="s">
        <v>11</v>
      </c>
      <c r="I8457" s="22">
        <f t="shared" si="265"/>
        <v>0</v>
      </c>
      <c r="J8457" s="22" t="str">
        <f t="shared" si="266"/>
        <v>lost money</v>
      </c>
    </row>
    <row r="8458" spans="1:10">
      <c r="A8458" s="1">
        <v>41318</v>
      </c>
      <c r="B8458">
        <v>71.290000000000006</v>
      </c>
      <c r="C8458">
        <v>71.7</v>
      </c>
      <c r="D8458">
        <v>71.209999999999994</v>
      </c>
      <c r="E8458">
        <v>71.39</v>
      </c>
      <c r="F8458">
        <v>3968600</v>
      </c>
      <c r="G8458">
        <v>69.680000000000007</v>
      </c>
      <c r="H8458" t="s">
        <v>11</v>
      </c>
      <c r="I8458" s="22">
        <f t="shared" si="265"/>
        <v>-1.4350290617999982E-4</v>
      </c>
      <c r="J8458" s="22" t="str">
        <f t="shared" si="266"/>
        <v/>
      </c>
    </row>
    <row r="8459" spans="1:10">
      <c r="A8459" s="1">
        <v>41319</v>
      </c>
      <c r="B8459">
        <v>71.099999999999994</v>
      </c>
      <c r="C8459">
        <v>71.23</v>
      </c>
      <c r="D8459">
        <v>70.75</v>
      </c>
      <c r="E8459">
        <v>70.819999999999993</v>
      </c>
      <c r="F8459">
        <v>6821000</v>
      </c>
      <c r="G8459">
        <v>69.12</v>
      </c>
      <c r="H8459" t="s">
        <v>11</v>
      </c>
      <c r="I8459" s="22">
        <f t="shared" si="265"/>
        <v>-8.0692080484472406E-3</v>
      </c>
      <c r="J8459" s="22" t="str">
        <f t="shared" si="266"/>
        <v>lost money</v>
      </c>
    </row>
    <row r="8460" spans="1:10">
      <c r="A8460" s="1">
        <v>41320</v>
      </c>
      <c r="B8460">
        <v>69.540000000000006</v>
      </c>
      <c r="C8460">
        <v>70</v>
      </c>
      <c r="D8460">
        <v>68.13</v>
      </c>
      <c r="E8460">
        <v>69.3</v>
      </c>
      <c r="F8460">
        <v>25683700</v>
      </c>
      <c r="G8460">
        <v>67.64</v>
      </c>
      <c r="H8460" t="s">
        <v>11</v>
      </c>
      <c r="I8460" s="22">
        <f t="shared" si="265"/>
        <v>-2.1644600465420688E-2</v>
      </c>
      <c r="J8460" s="22" t="str">
        <f t="shared" si="266"/>
        <v>lost money</v>
      </c>
    </row>
    <row r="8461" spans="1:10">
      <c r="A8461" s="1">
        <v>41324</v>
      </c>
      <c r="B8461">
        <v>69.19</v>
      </c>
      <c r="C8461">
        <v>69.45</v>
      </c>
      <c r="D8461">
        <v>68.540000000000006</v>
      </c>
      <c r="E8461">
        <v>68.760000000000005</v>
      </c>
      <c r="F8461">
        <v>14682300</v>
      </c>
      <c r="G8461">
        <v>67.11</v>
      </c>
      <c r="H8461" t="s">
        <v>11</v>
      </c>
      <c r="I8461" s="22">
        <f t="shared" si="265"/>
        <v>-7.8664598602315866E-3</v>
      </c>
      <c r="J8461" s="22" t="str">
        <f t="shared" si="266"/>
        <v>lost money</v>
      </c>
    </row>
    <row r="8462" spans="1:10">
      <c r="A8462" s="1">
        <v>41325</v>
      </c>
      <c r="B8462">
        <v>68.72</v>
      </c>
      <c r="C8462">
        <v>69.849999999999994</v>
      </c>
      <c r="D8462">
        <v>68.3</v>
      </c>
      <c r="E8462">
        <v>69.209999999999994</v>
      </c>
      <c r="F8462">
        <v>11973600</v>
      </c>
      <c r="G8462">
        <v>67.55</v>
      </c>
      <c r="H8462" t="s">
        <v>11</v>
      </c>
      <c r="I8462" s="22">
        <f t="shared" si="265"/>
        <v>6.5350002360599303E-3</v>
      </c>
      <c r="J8462" s="22" t="str">
        <f t="shared" si="266"/>
        <v/>
      </c>
    </row>
    <row r="8463" spans="1:10">
      <c r="A8463" s="1">
        <v>41326</v>
      </c>
      <c r="B8463">
        <v>70</v>
      </c>
      <c r="C8463">
        <v>71.47</v>
      </c>
      <c r="D8463">
        <v>69.72</v>
      </c>
      <c r="E8463">
        <v>70.260000000000005</v>
      </c>
      <c r="F8463">
        <v>20413100</v>
      </c>
      <c r="G8463">
        <v>68.58</v>
      </c>
      <c r="H8463" t="s">
        <v>11</v>
      </c>
      <c r="I8463" s="22">
        <f t="shared" si="265"/>
        <v>1.5132882628566404E-2</v>
      </c>
      <c r="J8463" s="22" t="str">
        <f t="shared" si="266"/>
        <v/>
      </c>
    </row>
    <row r="8464" spans="1:10">
      <c r="A8464" s="1">
        <v>41327</v>
      </c>
      <c r="B8464">
        <v>70.22</v>
      </c>
      <c r="C8464">
        <v>70.540000000000006</v>
      </c>
      <c r="D8464">
        <v>69.89</v>
      </c>
      <c r="E8464">
        <v>70.400000000000006</v>
      </c>
      <c r="F8464">
        <v>9165200</v>
      </c>
      <c r="G8464">
        <v>68.709999999999994</v>
      </c>
      <c r="H8464" t="s">
        <v>11</v>
      </c>
      <c r="I8464" s="22">
        <f t="shared" si="265"/>
        <v>1.8938020082101721E-3</v>
      </c>
      <c r="J8464" s="22" t="str">
        <f t="shared" si="266"/>
        <v/>
      </c>
    </row>
    <row r="8465" spans="1:10">
      <c r="A8465" s="1">
        <v>41330</v>
      </c>
      <c r="B8465">
        <v>70.5</v>
      </c>
      <c r="C8465">
        <v>71.34</v>
      </c>
      <c r="D8465">
        <v>70.44</v>
      </c>
      <c r="E8465">
        <v>70.44</v>
      </c>
      <c r="F8465">
        <v>11817600</v>
      </c>
      <c r="G8465">
        <v>68.75</v>
      </c>
      <c r="H8465" t="s">
        <v>11</v>
      </c>
      <c r="I8465" s="22">
        <f t="shared" si="265"/>
        <v>5.8198750369614898E-4</v>
      </c>
      <c r="J8465" s="22" t="str">
        <f t="shared" si="266"/>
        <v>lost money</v>
      </c>
    </row>
    <row r="8466" spans="1:10">
      <c r="A8466" s="1">
        <v>41331</v>
      </c>
      <c r="B8466">
        <v>70.69</v>
      </c>
      <c r="C8466">
        <v>71.39</v>
      </c>
      <c r="D8466">
        <v>70.61</v>
      </c>
      <c r="E8466">
        <v>71.11</v>
      </c>
      <c r="F8466">
        <v>10557600</v>
      </c>
      <c r="G8466">
        <v>69.400000000000006</v>
      </c>
      <c r="H8466" t="s">
        <v>11</v>
      </c>
      <c r="I8466" s="22">
        <f t="shared" si="265"/>
        <v>9.4101309660782912E-3</v>
      </c>
      <c r="J8466" s="22" t="str">
        <f t="shared" si="266"/>
        <v/>
      </c>
    </row>
    <row r="8467" spans="1:10">
      <c r="A8467" s="1">
        <v>41332</v>
      </c>
      <c r="B8467">
        <v>70.92</v>
      </c>
      <c r="C8467">
        <v>71.959999999999994</v>
      </c>
      <c r="D8467">
        <v>70.58</v>
      </c>
      <c r="E8467">
        <v>71.66</v>
      </c>
      <c r="F8467">
        <v>8819000</v>
      </c>
      <c r="G8467">
        <v>69.94</v>
      </c>
      <c r="H8467" t="s">
        <v>11</v>
      </c>
      <c r="I8467" s="22">
        <f t="shared" si="265"/>
        <v>7.750864122470771E-3</v>
      </c>
      <c r="J8467" s="22" t="str">
        <f t="shared" si="266"/>
        <v/>
      </c>
    </row>
    <row r="8468" spans="1:10">
      <c r="A8468" s="1">
        <v>41333</v>
      </c>
      <c r="B8468">
        <v>71.59</v>
      </c>
      <c r="C8468">
        <v>71.88</v>
      </c>
      <c r="D8468">
        <v>70.78</v>
      </c>
      <c r="E8468">
        <v>70.78</v>
      </c>
      <c r="F8468">
        <v>18883600</v>
      </c>
      <c r="G8468">
        <v>69.08</v>
      </c>
      <c r="H8468" t="s">
        <v>11</v>
      </c>
      <c r="I8468" s="22">
        <f t="shared" si="265"/>
        <v>-1.2372478356751936E-2</v>
      </c>
      <c r="J8468" s="22" t="str">
        <f t="shared" si="266"/>
        <v>lost money</v>
      </c>
    </row>
    <row r="8469" spans="1:10">
      <c r="A8469" s="1">
        <v>41334</v>
      </c>
      <c r="B8469">
        <v>70.78</v>
      </c>
      <c r="C8469">
        <v>71.900000000000006</v>
      </c>
      <c r="D8469">
        <v>70.78</v>
      </c>
      <c r="E8469">
        <v>71.739999999999995</v>
      </c>
      <c r="F8469">
        <v>8902300</v>
      </c>
      <c r="G8469">
        <v>70.02</v>
      </c>
      <c r="H8469" t="s">
        <v>11</v>
      </c>
      <c r="I8469" s="22">
        <f t="shared" si="265"/>
        <v>1.3515662248041732E-2</v>
      </c>
      <c r="J8469" s="22" t="str">
        <f t="shared" si="266"/>
        <v/>
      </c>
    </row>
    <row r="8470" spans="1:10">
      <c r="A8470" s="1">
        <v>41337</v>
      </c>
      <c r="B8470">
        <v>71.52</v>
      </c>
      <c r="C8470">
        <v>73.260000000000005</v>
      </c>
      <c r="D8470">
        <v>71.510000000000005</v>
      </c>
      <c r="E8470">
        <v>73.260000000000005</v>
      </c>
      <c r="F8470">
        <v>10567200</v>
      </c>
      <c r="G8470">
        <v>71.5</v>
      </c>
      <c r="H8470" t="s">
        <v>11</v>
      </c>
      <c r="I8470" s="22">
        <f t="shared" si="265"/>
        <v>2.0916534173442511E-2</v>
      </c>
      <c r="J8470" s="22" t="str">
        <f t="shared" si="266"/>
        <v/>
      </c>
    </row>
    <row r="8471" spans="1:10">
      <c r="A8471" s="1">
        <v>41338</v>
      </c>
      <c r="B8471">
        <v>73.47</v>
      </c>
      <c r="C8471">
        <v>74.040000000000006</v>
      </c>
      <c r="D8471">
        <v>72.989999999999995</v>
      </c>
      <c r="E8471">
        <v>73.72</v>
      </c>
      <c r="F8471">
        <v>9142000</v>
      </c>
      <c r="G8471">
        <v>71.95</v>
      </c>
      <c r="H8471" t="s">
        <v>11</v>
      </c>
      <c r="I8471" s="22">
        <f t="shared" si="265"/>
        <v>6.2739836334148504E-3</v>
      </c>
      <c r="J8471" s="22" t="str">
        <f t="shared" si="266"/>
        <v/>
      </c>
    </row>
    <row r="8472" spans="1:10">
      <c r="A8472" s="1">
        <v>41339</v>
      </c>
      <c r="B8472">
        <v>73.75</v>
      </c>
      <c r="C8472">
        <v>74.13</v>
      </c>
      <c r="D8472">
        <v>73.25</v>
      </c>
      <c r="E8472">
        <v>73.38</v>
      </c>
      <c r="F8472">
        <v>7149600</v>
      </c>
      <c r="G8472">
        <v>71.62</v>
      </c>
      <c r="H8472" t="s">
        <v>11</v>
      </c>
      <c r="I8472" s="22">
        <f t="shared" si="265"/>
        <v>-4.5970687630901581E-3</v>
      </c>
      <c r="J8472" s="22" t="str">
        <f t="shared" si="266"/>
        <v>lost money</v>
      </c>
    </row>
    <row r="8473" spans="1:10">
      <c r="A8473" s="1">
        <v>41340</v>
      </c>
      <c r="B8473">
        <v>73.489999999999995</v>
      </c>
      <c r="C8473">
        <v>73.61</v>
      </c>
      <c r="D8473">
        <v>73.2</v>
      </c>
      <c r="E8473">
        <v>73.319999999999993</v>
      </c>
      <c r="F8473">
        <v>6680000</v>
      </c>
      <c r="G8473">
        <v>71.56</v>
      </c>
      <c r="H8473" t="s">
        <v>11</v>
      </c>
      <c r="I8473" s="22">
        <f t="shared" si="265"/>
        <v>-8.3810592976828614E-4</v>
      </c>
      <c r="J8473" s="22" t="str">
        <f t="shared" si="266"/>
        <v>lost money</v>
      </c>
    </row>
    <row r="8474" spans="1:10">
      <c r="A8474" s="1">
        <v>41341</v>
      </c>
      <c r="B8474">
        <v>73.3</v>
      </c>
      <c r="C8474">
        <v>73.39</v>
      </c>
      <c r="D8474">
        <v>72.84</v>
      </c>
      <c r="E8474">
        <v>73.03</v>
      </c>
      <c r="F8474">
        <v>5744600</v>
      </c>
      <c r="G8474">
        <v>71.739999999999995</v>
      </c>
      <c r="H8474" t="s">
        <v>11</v>
      </c>
      <c r="I8474" s="22">
        <f t="shared" si="265"/>
        <v>2.5122134636180612E-3</v>
      </c>
      <c r="J8474" s="22" t="str">
        <f t="shared" si="266"/>
        <v>lost money</v>
      </c>
    </row>
    <row r="8475" spans="1:10">
      <c r="A8475" s="1">
        <v>41344</v>
      </c>
      <c r="B8475">
        <v>73.09</v>
      </c>
      <c r="C8475">
        <v>73.239999999999995</v>
      </c>
      <c r="D8475">
        <v>72.81</v>
      </c>
      <c r="E8475">
        <v>72.98</v>
      </c>
      <c r="F8475">
        <v>5148700</v>
      </c>
      <c r="G8475">
        <v>71.69</v>
      </c>
      <c r="H8475" t="s">
        <v>11</v>
      </c>
      <c r="I8475" s="22">
        <f t="shared" si="265"/>
        <v>-6.9720423935555836E-4</v>
      </c>
      <c r="J8475" s="22" t="str">
        <f t="shared" si="266"/>
        <v>lost money</v>
      </c>
    </row>
    <row r="8476" spans="1:10">
      <c r="A8476" s="1">
        <v>41345</v>
      </c>
      <c r="B8476">
        <v>72.95</v>
      </c>
      <c r="C8476">
        <v>73.900000000000006</v>
      </c>
      <c r="D8476">
        <v>72.84</v>
      </c>
      <c r="E8476">
        <v>73.599999999999994</v>
      </c>
      <c r="F8476">
        <v>8153400</v>
      </c>
      <c r="G8476">
        <v>72.3</v>
      </c>
      <c r="H8476" t="s">
        <v>11</v>
      </c>
      <c r="I8476" s="22">
        <f t="shared" si="265"/>
        <v>8.472861299938161E-3</v>
      </c>
      <c r="J8476" s="22" t="str">
        <f t="shared" si="266"/>
        <v/>
      </c>
    </row>
    <row r="8477" spans="1:10">
      <c r="A8477" s="1">
        <v>41346</v>
      </c>
      <c r="B8477">
        <v>73.89</v>
      </c>
      <c r="C8477">
        <v>74.2</v>
      </c>
      <c r="D8477">
        <v>73.540000000000006</v>
      </c>
      <c r="E8477">
        <v>73.650000000000006</v>
      </c>
      <c r="F8477">
        <v>5326100</v>
      </c>
      <c r="G8477">
        <v>72.349999999999994</v>
      </c>
      <c r="H8477" t="s">
        <v>11</v>
      </c>
      <c r="I8477" s="22">
        <f t="shared" si="265"/>
        <v>6.9132391277386255E-4</v>
      </c>
      <c r="J8477" s="22" t="str">
        <f t="shared" si="266"/>
        <v>lost money</v>
      </c>
    </row>
    <row r="8478" spans="1:10">
      <c r="A8478" s="1">
        <v>41347</v>
      </c>
      <c r="B8478">
        <v>73.87</v>
      </c>
      <c r="C8478">
        <v>74</v>
      </c>
      <c r="D8478">
        <v>73.13</v>
      </c>
      <c r="E8478">
        <v>73.22</v>
      </c>
      <c r="F8478">
        <v>6353200</v>
      </c>
      <c r="G8478">
        <v>71.930000000000007</v>
      </c>
      <c r="H8478" t="s">
        <v>11</v>
      </c>
      <c r="I8478" s="22">
        <f t="shared" si="265"/>
        <v>-5.8220291982278407E-3</v>
      </c>
      <c r="J8478" s="22" t="str">
        <f t="shared" si="266"/>
        <v>lost money</v>
      </c>
    </row>
    <row r="8479" spans="1:10">
      <c r="A8479" s="1">
        <v>41348</v>
      </c>
      <c r="B8479">
        <v>73.010000000000005</v>
      </c>
      <c r="C8479">
        <v>73.5</v>
      </c>
      <c r="D8479">
        <v>72.430000000000007</v>
      </c>
      <c r="E8479">
        <v>72.5</v>
      </c>
      <c r="F8479">
        <v>17195100</v>
      </c>
      <c r="G8479">
        <v>71.22</v>
      </c>
      <c r="H8479" t="s">
        <v>11</v>
      </c>
      <c r="I8479" s="22">
        <f t="shared" si="265"/>
        <v>-9.9197460296332543E-3</v>
      </c>
      <c r="J8479" s="22" t="str">
        <f t="shared" si="266"/>
        <v>lost money</v>
      </c>
    </row>
    <row r="8480" spans="1:10">
      <c r="A8480" s="1">
        <v>41351</v>
      </c>
      <c r="B8480">
        <v>72.290000000000006</v>
      </c>
      <c r="C8480">
        <v>72.73</v>
      </c>
      <c r="D8480">
        <v>72.010000000000005</v>
      </c>
      <c r="E8480">
        <v>72.25</v>
      </c>
      <c r="F8480">
        <v>5771000</v>
      </c>
      <c r="G8480">
        <v>70.97</v>
      </c>
      <c r="H8480" t="s">
        <v>11</v>
      </c>
      <c r="I8480" s="22">
        <f t="shared" si="265"/>
        <v>-3.5164253127401048E-3</v>
      </c>
      <c r="J8480" s="22" t="str">
        <f t="shared" si="266"/>
        <v>lost money</v>
      </c>
    </row>
    <row r="8481" spans="1:10">
      <c r="A8481" s="1">
        <v>41352</v>
      </c>
      <c r="B8481">
        <v>72.42</v>
      </c>
      <c r="C8481">
        <v>72.87</v>
      </c>
      <c r="D8481">
        <v>72.19</v>
      </c>
      <c r="E8481">
        <v>72.45</v>
      </c>
      <c r="F8481">
        <v>5752800</v>
      </c>
      <c r="G8481">
        <v>71.17</v>
      </c>
      <c r="H8481" t="s">
        <v>11</v>
      </c>
      <c r="I8481" s="22">
        <f t="shared" si="265"/>
        <v>2.8141287742882732E-3</v>
      </c>
      <c r="J8481" s="22" t="str">
        <f t="shared" si="266"/>
        <v/>
      </c>
    </row>
    <row r="8482" spans="1:10">
      <c r="A8482" s="1">
        <v>41353</v>
      </c>
      <c r="B8482">
        <v>72.81</v>
      </c>
      <c r="C8482">
        <v>73.38</v>
      </c>
      <c r="D8482">
        <v>72.739999999999995</v>
      </c>
      <c r="E8482">
        <v>72.989999999999995</v>
      </c>
      <c r="F8482">
        <v>6320300</v>
      </c>
      <c r="G8482">
        <v>71.7</v>
      </c>
      <c r="H8482" t="s">
        <v>11</v>
      </c>
      <c r="I8482" s="22">
        <f t="shared" si="265"/>
        <v>7.4193662943948472E-3</v>
      </c>
      <c r="J8482" s="22" t="str">
        <f t="shared" si="266"/>
        <v/>
      </c>
    </row>
    <row r="8483" spans="1:10">
      <c r="A8483" s="1">
        <v>41354</v>
      </c>
      <c r="B8483">
        <v>72.87</v>
      </c>
      <c r="C8483">
        <v>73.47</v>
      </c>
      <c r="D8483">
        <v>72.849999999999994</v>
      </c>
      <c r="E8483">
        <v>73.13</v>
      </c>
      <c r="F8483">
        <v>5506700</v>
      </c>
      <c r="G8483">
        <v>71.84</v>
      </c>
      <c r="H8483" t="s">
        <v>11</v>
      </c>
      <c r="I8483" s="22">
        <f t="shared" si="265"/>
        <v>1.9506763883694826E-3</v>
      </c>
      <c r="J8483" s="22" t="str">
        <f t="shared" si="266"/>
        <v/>
      </c>
    </row>
    <row r="8484" spans="1:10">
      <c r="A8484" s="1">
        <v>41355</v>
      </c>
      <c r="B8484">
        <v>73.349999999999994</v>
      </c>
      <c r="C8484">
        <v>74.290000000000006</v>
      </c>
      <c r="D8484">
        <v>73.290000000000006</v>
      </c>
      <c r="E8484">
        <v>74.28</v>
      </c>
      <c r="F8484">
        <v>7323800</v>
      </c>
      <c r="G8484">
        <v>72.97</v>
      </c>
      <c r="H8484" t="s">
        <v>11</v>
      </c>
      <c r="I8484" s="22">
        <f t="shared" si="265"/>
        <v>1.5606973783584518E-2</v>
      </c>
      <c r="J8484" s="22" t="str">
        <f t="shared" si="266"/>
        <v/>
      </c>
    </row>
    <row r="8485" spans="1:10">
      <c r="A8485" s="1">
        <v>41358</v>
      </c>
      <c r="B8485">
        <v>74.14</v>
      </c>
      <c r="C8485">
        <v>75.11</v>
      </c>
      <c r="D8485">
        <v>74.12</v>
      </c>
      <c r="E8485">
        <v>74.849999999999994</v>
      </c>
      <c r="F8485">
        <v>10438700</v>
      </c>
      <c r="G8485">
        <v>73.53</v>
      </c>
      <c r="H8485" t="s">
        <v>11</v>
      </c>
      <c r="I8485" s="22">
        <f t="shared" si="265"/>
        <v>7.645088430602142E-3</v>
      </c>
      <c r="J8485" s="22" t="str">
        <f t="shared" si="266"/>
        <v/>
      </c>
    </row>
    <row r="8486" spans="1:10">
      <c r="A8486" s="1">
        <v>41359</v>
      </c>
      <c r="B8486">
        <v>74.930000000000007</v>
      </c>
      <c r="C8486">
        <v>75.09</v>
      </c>
      <c r="D8486">
        <v>74.430000000000007</v>
      </c>
      <c r="E8486">
        <v>74.77</v>
      </c>
      <c r="F8486">
        <v>6642400</v>
      </c>
      <c r="G8486">
        <v>73.45</v>
      </c>
      <c r="H8486" t="s">
        <v>11</v>
      </c>
      <c r="I8486" s="22">
        <f t="shared" si="265"/>
        <v>-1.0885835882445793E-3</v>
      </c>
      <c r="J8486" s="22" t="str">
        <f t="shared" si="266"/>
        <v>lost money</v>
      </c>
    </row>
    <row r="8487" spans="1:10">
      <c r="A8487" s="1">
        <v>41360</v>
      </c>
      <c r="B8487">
        <v>74.31</v>
      </c>
      <c r="C8487">
        <v>74.959999999999994</v>
      </c>
      <c r="D8487">
        <v>74.239999999999995</v>
      </c>
      <c r="E8487">
        <v>74.78</v>
      </c>
      <c r="F8487">
        <v>5970300</v>
      </c>
      <c r="G8487">
        <v>73.459999999999994</v>
      </c>
      <c r="H8487" t="s">
        <v>11</v>
      </c>
      <c r="I8487" s="22">
        <f t="shared" si="265"/>
        <v>1.3613777163474976E-4</v>
      </c>
      <c r="J8487" s="22" t="str">
        <f t="shared" si="266"/>
        <v/>
      </c>
    </row>
    <row r="8488" spans="1:10">
      <c r="A8488" s="1">
        <v>41361</v>
      </c>
      <c r="B8488">
        <v>74.84</v>
      </c>
      <c r="C8488">
        <v>74.97</v>
      </c>
      <c r="D8488">
        <v>74.38</v>
      </c>
      <c r="E8488">
        <v>74.83</v>
      </c>
      <c r="F8488">
        <v>7368300</v>
      </c>
      <c r="G8488">
        <v>73.510000000000005</v>
      </c>
      <c r="H8488" t="s">
        <v>11</v>
      </c>
      <c r="I8488" s="22">
        <f t="shared" si="265"/>
        <v>6.8041099447527069E-4</v>
      </c>
      <c r="J8488" s="22" t="str">
        <f t="shared" si="266"/>
        <v>lost money</v>
      </c>
    </row>
    <row r="8489" spans="1:10">
      <c r="A8489" s="1">
        <v>41365</v>
      </c>
      <c r="B8489">
        <v>75</v>
      </c>
      <c r="C8489">
        <v>75.930000000000007</v>
      </c>
      <c r="D8489">
        <v>74.900000000000006</v>
      </c>
      <c r="E8489">
        <v>75.430000000000007</v>
      </c>
      <c r="F8489">
        <v>8415400</v>
      </c>
      <c r="G8489">
        <v>74.099999999999994</v>
      </c>
      <c r="H8489" t="s">
        <v>11</v>
      </c>
      <c r="I8489" s="22">
        <f t="shared" si="265"/>
        <v>7.9940809160448465E-3</v>
      </c>
      <c r="J8489" s="22" t="str">
        <f t="shared" si="266"/>
        <v/>
      </c>
    </row>
    <row r="8490" spans="1:10">
      <c r="A8490" s="1">
        <v>41366</v>
      </c>
      <c r="B8490">
        <v>75.55</v>
      </c>
      <c r="C8490">
        <v>76.05</v>
      </c>
      <c r="D8490">
        <v>75.42</v>
      </c>
      <c r="E8490">
        <v>76.02</v>
      </c>
      <c r="F8490">
        <v>6642800</v>
      </c>
      <c r="G8490">
        <v>74.680000000000007</v>
      </c>
      <c r="H8490" t="s">
        <v>11</v>
      </c>
      <c r="I8490" s="22">
        <f t="shared" si="265"/>
        <v>7.7967863714808886E-3</v>
      </c>
      <c r="J8490" s="22" t="str">
        <f t="shared" si="266"/>
        <v/>
      </c>
    </row>
    <row r="8491" spans="1:10">
      <c r="A8491" s="1">
        <v>41367</v>
      </c>
      <c r="B8491">
        <v>76.31</v>
      </c>
      <c r="C8491">
        <v>76.680000000000007</v>
      </c>
      <c r="D8491">
        <v>75.72</v>
      </c>
      <c r="E8491">
        <v>76</v>
      </c>
      <c r="F8491">
        <v>7453900</v>
      </c>
      <c r="G8491">
        <v>74.66</v>
      </c>
      <c r="H8491" t="s">
        <v>11</v>
      </c>
      <c r="I8491" s="22">
        <f t="shared" si="265"/>
        <v>-2.6784518708419916E-4</v>
      </c>
      <c r="J8491" s="22" t="str">
        <f t="shared" si="266"/>
        <v>lost money</v>
      </c>
    </row>
    <row r="8492" spans="1:10">
      <c r="A8492" s="1">
        <v>41368</v>
      </c>
      <c r="B8492">
        <v>75.959999999999994</v>
      </c>
      <c r="C8492">
        <v>76.58</v>
      </c>
      <c r="D8492">
        <v>75.959999999999994</v>
      </c>
      <c r="E8492">
        <v>76.2</v>
      </c>
      <c r="F8492">
        <v>7508200</v>
      </c>
      <c r="G8492">
        <v>74.849999999999994</v>
      </c>
      <c r="H8492" t="s">
        <v>11</v>
      </c>
      <c r="I8492" s="22">
        <f t="shared" si="265"/>
        <v>2.5416373791996298E-3</v>
      </c>
      <c r="J8492" s="22" t="str">
        <f t="shared" si="266"/>
        <v/>
      </c>
    </row>
    <row r="8493" spans="1:10">
      <c r="A8493" s="1">
        <v>41369</v>
      </c>
      <c r="B8493">
        <v>75.55</v>
      </c>
      <c r="C8493">
        <v>76.41</v>
      </c>
      <c r="D8493">
        <v>75.430000000000007</v>
      </c>
      <c r="E8493">
        <v>76.39</v>
      </c>
      <c r="F8493">
        <v>5880300</v>
      </c>
      <c r="G8493">
        <v>75.040000000000006</v>
      </c>
      <c r="H8493" t="s">
        <v>11</v>
      </c>
      <c r="I8493" s="22">
        <f t="shared" si="265"/>
        <v>2.5351938323320139E-3</v>
      </c>
      <c r="J8493" s="22" t="str">
        <f t="shared" si="266"/>
        <v/>
      </c>
    </row>
    <row r="8494" spans="1:10">
      <c r="A8494" s="1">
        <v>41372</v>
      </c>
      <c r="B8494">
        <v>76.099999999999994</v>
      </c>
      <c r="C8494">
        <v>77.45</v>
      </c>
      <c r="D8494">
        <v>75.83</v>
      </c>
      <c r="E8494">
        <v>77.290000000000006</v>
      </c>
      <c r="F8494">
        <v>8075100</v>
      </c>
      <c r="G8494">
        <v>75.92</v>
      </c>
      <c r="H8494" t="s">
        <v>11</v>
      </c>
      <c r="I8494" s="22">
        <f t="shared" si="265"/>
        <v>1.165884960370321E-2</v>
      </c>
      <c r="J8494" s="22" t="str">
        <f t="shared" si="266"/>
        <v/>
      </c>
    </row>
    <row r="8495" spans="1:10">
      <c r="A8495" s="1">
        <v>41373</v>
      </c>
      <c r="B8495">
        <v>77.239999999999995</v>
      </c>
      <c r="C8495">
        <v>78.459999999999994</v>
      </c>
      <c r="D8495">
        <v>77.02</v>
      </c>
      <c r="E8495">
        <v>78.12</v>
      </c>
      <c r="F8495">
        <v>8669900</v>
      </c>
      <c r="G8495">
        <v>76.739999999999995</v>
      </c>
      <c r="H8495" t="s">
        <v>11</v>
      </c>
      <c r="I8495" s="22">
        <f t="shared" si="265"/>
        <v>1.0742930517133712E-2</v>
      </c>
      <c r="J8495" s="22" t="str">
        <f t="shared" si="266"/>
        <v/>
      </c>
    </row>
    <row r="8496" spans="1:10">
      <c r="A8496" s="1">
        <v>41374</v>
      </c>
      <c r="B8496">
        <v>78.28</v>
      </c>
      <c r="C8496">
        <v>78.38</v>
      </c>
      <c r="D8496">
        <v>77.37</v>
      </c>
      <c r="E8496">
        <v>77.37</v>
      </c>
      <c r="F8496">
        <v>8599000</v>
      </c>
      <c r="G8496">
        <v>76</v>
      </c>
      <c r="H8496" t="s">
        <v>11</v>
      </c>
      <c r="I8496" s="22">
        <f t="shared" si="265"/>
        <v>-9.6897445324751769E-3</v>
      </c>
      <c r="J8496" s="22" t="str">
        <f t="shared" si="266"/>
        <v>lost money</v>
      </c>
    </row>
    <row r="8497" spans="1:10">
      <c r="A8497" s="1">
        <v>41375</v>
      </c>
      <c r="B8497">
        <v>77.36</v>
      </c>
      <c r="C8497">
        <v>78.37</v>
      </c>
      <c r="D8497">
        <v>77.27</v>
      </c>
      <c r="E8497">
        <v>77.790000000000006</v>
      </c>
      <c r="F8497">
        <v>7129100</v>
      </c>
      <c r="G8497">
        <v>76.41</v>
      </c>
      <c r="H8497" t="s">
        <v>11</v>
      </c>
      <c r="I8497" s="22">
        <f t="shared" si="265"/>
        <v>5.380237373144219E-3</v>
      </c>
      <c r="J8497" s="22" t="str">
        <f t="shared" si="266"/>
        <v/>
      </c>
    </row>
    <row r="8498" spans="1:10">
      <c r="A8498" s="1">
        <v>41376</v>
      </c>
      <c r="B8498">
        <v>77.63</v>
      </c>
      <c r="C8498">
        <v>78.849999999999994</v>
      </c>
      <c r="D8498">
        <v>77.58</v>
      </c>
      <c r="E8498">
        <v>78.56</v>
      </c>
      <c r="F8498">
        <v>6336800</v>
      </c>
      <c r="G8498">
        <v>77.17</v>
      </c>
      <c r="H8498" t="s">
        <v>11</v>
      </c>
      <c r="I8498" s="22">
        <f t="shared" si="265"/>
        <v>9.89720281003632E-3</v>
      </c>
      <c r="J8498" s="22" t="str">
        <f t="shared" si="266"/>
        <v/>
      </c>
    </row>
    <row r="8499" spans="1:10">
      <c r="A8499" s="1">
        <v>41379</v>
      </c>
      <c r="B8499">
        <v>78.44</v>
      </c>
      <c r="C8499">
        <v>79.28</v>
      </c>
      <c r="D8499">
        <v>78.430000000000007</v>
      </c>
      <c r="E8499">
        <v>78.47</v>
      </c>
      <c r="F8499">
        <v>8545500</v>
      </c>
      <c r="G8499">
        <v>77.08</v>
      </c>
      <c r="H8499" t="s">
        <v>11</v>
      </c>
      <c r="I8499" s="22">
        <f t="shared" si="265"/>
        <v>-1.1669369233461002E-3</v>
      </c>
      <c r="J8499" s="22" t="str">
        <f t="shared" si="266"/>
        <v/>
      </c>
    </row>
    <row r="8500" spans="1:10">
      <c r="A8500" s="1">
        <v>41380</v>
      </c>
      <c r="B8500">
        <v>78.23</v>
      </c>
      <c r="C8500">
        <v>78.86</v>
      </c>
      <c r="D8500">
        <v>78.03</v>
      </c>
      <c r="E8500">
        <v>78.680000000000007</v>
      </c>
      <c r="F8500">
        <v>6854400</v>
      </c>
      <c r="G8500">
        <v>77.290000000000006</v>
      </c>
      <c r="H8500" t="s">
        <v>11</v>
      </c>
      <c r="I8500" s="22">
        <f t="shared" si="265"/>
        <v>2.7207375726141575E-3</v>
      </c>
      <c r="J8500" s="22" t="str">
        <f t="shared" si="266"/>
        <v/>
      </c>
    </row>
    <row r="8501" spans="1:10">
      <c r="A8501" s="1">
        <v>41381</v>
      </c>
      <c r="B8501">
        <v>78.53</v>
      </c>
      <c r="C8501">
        <v>79.069999999999993</v>
      </c>
      <c r="D8501">
        <v>78.11</v>
      </c>
      <c r="E8501">
        <v>78.510000000000005</v>
      </c>
      <c r="F8501">
        <v>7248600</v>
      </c>
      <c r="G8501">
        <v>77.12</v>
      </c>
      <c r="H8501" t="s">
        <v>11</v>
      </c>
      <c r="I8501" s="22">
        <f t="shared" si="265"/>
        <v>-2.201930816489471E-3</v>
      </c>
      <c r="J8501" s="22" t="str">
        <f t="shared" si="266"/>
        <v>lost money</v>
      </c>
    </row>
    <row r="8502" spans="1:10">
      <c r="A8502" s="1">
        <v>41382</v>
      </c>
      <c r="B8502">
        <v>78.760000000000005</v>
      </c>
      <c r="C8502">
        <v>79.05</v>
      </c>
      <c r="D8502">
        <v>76.61</v>
      </c>
      <c r="E8502">
        <v>77.16</v>
      </c>
      <c r="F8502">
        <v>14218900</v>
      </c>
      <c r="G8502">
        <v>75.8</v>
      </c>
      <c r="H8502" t="s">
        <v>11</v>
      </c>
      <c r="I8502" s="22">
        <f t="shared" si="265"/>
        <v>-1.7264357653964252E-2</v>
      </c>
      <c r="J8502" s="22" t="str">
        <f t="shared" si="266"/>
        <v>lost money</v>
      </c>
    </row>
    <row r="8503" spans="1:10">
      <c r="A8503" s="1">
        <v>41383</v>
      </c>
      <c r="B8503">
        <v>77.5</v>
      </c>
      <c r="C8503">
        <v>78.44</v>
      </c>
      <c r="D8503">
        <v>77.400000000000006</v>
      </c>
      <c r="E8503">
        <v>78.290000000000006</v>
      </c>
      <c r="F8503">
        <v>7840500</v>
      </c>
      <c r="G8503">
        <v>76.91</v>
      </c>
      <c r="H8503" t="s">
        <v>11</v>
      </c>
      <c r="I8503" s="22">
        <f t="shared" si="265"/>
        <v>1.4537614420636391E-2</v>
      </c>
      <c r="J8503" s="22" t="str">
        <f t="shared" si="266"/>
        <v/>
      </c>
    </row>
    <row r="8504" spans="1:10">
      <c r="A8504" s="1">
        <v>41386</v>
      </c>
      <c r="B8504">
        <v>78.290000000000006</v>
      </c>
      <c r="C8504">
        <v>78.44</v>
      </c>
      <c r="D8504">
        <v>77.5</v>
      </c>
      <c r="E8504">
        <v>77.97</v>
      </c>
      <c r="F8504">
        <v>5154900</v>
      </c>
      <c r="G8504">
        <v>76.59</v>
      </c>
      <c r="H8504" t="s">
        <v>11</v>
      </c>
      <c r="I8504" s="22">
        <f t="shared" si="265"/>
        <v>-4.1693871474601657E-3</v>
      </c>
      <c r="J8504" s="22" t="str">
        <f t="shared" si="266"/>
        <v>lost money</v>
      </c>
    </row>
    <row r="8505" spans="1:10">
      <c r="A8505" s="1">
        <v>41387</v>
      </c>
      <c r="B8505">
        <v>78.11</v>
      </c>
      <c r="C8505">
        <v>79.22</v>
      </c>
      <c r="D8505">
        <v>78.05</v>
      </c>
      <c r="E8505">
        <v>79.09</v>
      </c>
      <c r="F8505">
        <v>6653600</v>
      </c>
      <c r="G8505">
        <v>77.69</v>
      </c>
      <c r="H8505" t="s">
        <v>11</v>
      </c>
      <c r="I8505" s="22">
        <f t="shared" si="265"/>
        <v>1.4260029040827123E-2</v>
      </c>
      <c r="J8505" s="22" t="str">
        <f t="shared" si="266"/>
        <v/>
      </c>
    </row>
    <row r="8506" spans="1:10">
      <c r="A8506" s="1">
        <v>41388</v>
      </c>
      <c r="B8506">
        <v>79.23</v>
      </c>
      <c r="C8506">
        <v>79.5</v>
      </c>
      <c r="D8506">
        <v>77.92</v>
      </c>
      <c r="E8506">
        <v>78.03</v>
      </c>
      <c r="F8506">
        <v>8083600</v>
      </c>
      <c r="G8506">
        <v>76.650000000000006</v>
      </c>
      <c r="H8506" t="s">
        <v>11</v>
      </c>
      <c r="I8506" s="22">
        <f t="shared" si="265"/>
        <v>-1.3476943644506174E-2</v>
      </c>
      <c r="J8506" s="22" t="str">
        <f t="shared" si="266"/>
        <v>lost money</v>
      </c>
    </row>
    <row r="8507" spans="1:10">
      <c r="A8507" s="1">
        <v>41389</v>
      </c>
      <c r="B8507">
        <v>78.180000000000007</v>
      </c>
      <c r="C8507">
        <v>78.83</v>
      </c>
      <c r="D8507">
        <v>77.88</v>
      </c>
      <c r="E8507">
        <v>78.650000000000006</v>
      </c>
      <c r="F8507">
        <v>5729100</v>
      </c>
      <c r="G8507">
        <v>77.260000000000005</v>
      </c>
      <c r="H8507" t="s">
        <v>11</v>
      </c>
      <c r="I8507" s="22">
        <f t="shared" si="265"/>
        <v>7.9267519203122128E-3</v>
      </c>
      <c r="J8507" s="22" t="str">
        <f t="shared" si="266"/>
        <v/>
      </c>
    </row>
    <row r="8508" spans="1:10">
      <c r="A8508" s="1">
        <v>41390</v>
      </c>
      <c r="B8508">
        <v>78.58</v>
      </c>
      <c r="C8508">
        <v>79.150000000000006</v>
      </c>
      <c r="D8508">
        <v>78.569999999999993</v>
      </c>
      <c r="E8508">
        <v>79.040000000000006</v>
      </c>
      <c r="F8508">
        <v>5923600</v>
      </c>
      <c r="G8508">
        <v>77.64</v>
      </c>
      <c r="H8508" t="s">
        <v>11</v>
      </c>
      <c r="I8508" s="22">
        <f t="shared" si="265"/>
        <v>4.9064010626742567E-3</v>
      </c>
      <c r="J8508" s="22" t="str">
        <f t="shared" si="266"/>
        <v/>
      </c>
    </row>
    <row r="8509" spans="1:10">
      <c r="A8509" s="1">
        <v>41393</v>
      </c>
      <c r="B8509">
        <v>79.08</v>
      </c>
      <c r="C8509">
        <v>79.25</v>
      </c>
      <c r="D8509">
        <v>78.150000000000006</v>
      </c>
      <c r="E8509">
        <v>78.39</v>
      </c>
      <c r="F8509">
        <v>6156800</v>
      </c>
      <c r="G8509">
        <v>77</v>
      </c>
      <c r="H8509" t="s">
        <v>11</v>
      </c>
      <c r="I8509" s="22">
        <f t="shared" si="265"/>
        <v>-8.277336447125706E-3</v>
      </c>
      <c r="J8509" s="22" t="str">
        <f t="shared" si="266"/>
        <v>lost money</v>
      </c>
    </row>
    <row r="8510" spans="1:10">
      <c r="A8510" s="1">
        <v>41394</v>
      </c>
      <c r="B8510">
        <v>78.28</v>
      </c>
      <c r="C8510">
        <v>78.3</v>
      </c>
      <c r="D8510">
        <v>77.37</v>
      </c>
      <c r="E8510">
        <v>77.72</v>
      </c>
      <c r="F8510">
        <v>7965800</v>
      </c>
      <c r="G8510">
        <v>76.349999999999994</v>
      </c>
      <c r="H8510" t="s">
        <v>11</v>
      </c>
      <c r="I8510" s="22">
        <f t="shared" si="265"/>
        <v>-8.4773901890424393E-3</v>
      </c>
      <c r="J8510" s="22" t="str">
        <f t="shared" si="266"/>
        <v>lost money</v>
      </c>
    </row>
    <row r="8511" spans="1:10">
      <c r="A8511" s="1">
        <v>41395</v>
      </c>
      <c r="B8511">
        <v>77.849999999999994</v>
      </c>
      <c r="C8511">
        <v>78.66</v>
      </c>
      <c r="D8511">
        <v>77.69</v>
      </c>
      <c r="E8511">
        <v>78.06</v>
      </c>
      <c r="F8511">
        <v>6260300</v>
      </c>
      <c r="G8511">
        <v>76.680000000000007</v>
      </c>
      <c r="H8511" t="s">
        <v>11</v>
      </c>
      <c r="I8511" s="22">
        <f t="shared" si="265"/>
        <v>4.3128865128025185E-3</v>
      </c>
      <c r="J8511" s="22" t="str">
        <f t="shared" si="266"/>
        <v/>
      </c>
    </row>
    <row r="8512" spans="1:10">
      <c r="A8512" s="1">
        <v>41396</v>
      </c>
      <c r="B8512">
        <v>77.91</v>
      </c>
      <c r="C8512">
        <v>78.489999999999995</v>
      </c>
      <c r="D8512">
        <v>77.8</v>
      </c>
      <c r="E8512">
        <v>78.459999999999994</v>
      </c>
      <c r="F8512">
        <v>4519600</v>
      </c>
      <c r="G8512">
        <v>77.069999999999993</v>
      </c>
      <c r="H8512" t="s">
        <v>11</v>
      </c>
      <c r="I8512" s="22">
        <f t="shared" si="265"/>
        <v>5.0731816124580612E-3</v>
      </c>
      <c r="J8512" s="22" t="str">
        <f t="shared" si="266"/>
        <v/>
      </c>
    </row>
    <row r="8513" spans="1:10">
      <c r="A8513" s="1">
        <v>41397</v>
      </c>
      <c r="B8513">
        <v>78.92</v>
      </c>
      <c r="C8513">
        <v>79.34</v>
      </c>
      <c r="D8513">
        <v>78.900000000000006</v>
      </c>
      <c r="E8513">
        <v>79.25</v>
      </c>
      <c r="F8513">
        <v>5604100</v>
      </c>
      <c r="G8513">
        <v>77.849999999999994</v>
      </c>
      <c r="H8513" t="s">
        <v>11</v>
      </c>
      <c r="I8513" s="22">
        <f t="shared" si="265"/>
        <v>1.0069798490105553E-2</v>
      </c>
      <c r="J8513" s="22" t="str">
        <f t="shared" si="266"/>
        <v/>
      </c>
    </row>
    <row r="8514" spans="1:10">
      <c r="A8514" s="1">
        <v>41400</v>
      </c>
      <c r="B8514">
        <v>79.099999999999994</v>
      </c>
      <c r="C8514">
        <v>79.16</v>
      </c>
      <c r="D8514">
        <v>78.77</v>
      </c>
      <c r="E8514">
        <v>78.83</v>
      </c>
      <c r="F8514">
        <v>4805700</v>
      </c>
      <c r="G8514">
        <v>77.44</v>
      </c>
      <c r="H8514" t="s">
        <v>11</v>
      </c>
      <c r="I8514" s="22">
        <f t="shared" si="265"/>
        <v>-5.2804553116857257E-3</v>
      </c>
      <c r="J8514" s="22" t="str">
        <f t="shared" si="266"/>
        <v>lost money</v>
      </c>
    </row>
    <row r="8515" spans="1:10">
      <c r="A8515" s="1">
        <v>41401</v>
      </c>
      <c r="B8515">
        <v>79.099999999999994</v>
      </c>
      <c r="C8515">
        <v>79.14</v>
      </c>
      <c r="D8515">
        <v>78.77</v>
      </c>
      <c r="E8515">
        <v>78.83</v>
      </c>
      <c r="F8515">
        <v>6571100</v>
      </c>
      <c r="G8515">
        <v>77.44</v>
      </c>
      <c r="H8515" t="s">
        <v>11</v>
      </c>
      <c r="I8515" s="22">
        <f t="shared" ref="I8515:I8578" si="267">IF(A8515=$A$2,"",LN(G8515/G8514))</f>
        <v>0</v>
      </c>
      <c r="J8515" s="22" t="str">
        <f t="shared" ref="J8515:J8578" si="268">IF(B8515&gt;E8515,"lost money","")</f>
        <v>lost money</v>
      </c>
    </row>
    <row r="8516" spans="1:10">
      <c r="A8516" s="1">
        <v>41402</v>
      </c>
      <c r="B8516">
        <v>78.56</v>
      </c>
      <c r="C8516">
        <v>78.66</v>
      </c>
      <c r="D8516">
        <v>77.78</v>
      </c>
      <c r="E8516">
        <v>78.25</v>
      </c>
      <c r="F8516">
        <v>8008500</v>
      </c>
      <c r="G8516">
        <v>77.33</v>
      </c>
      <c r="H8516" t="s">
        <v>11</v>
      </c>
      <c r="I8516" s="22">
        <f t="shared" si="267"/>
        <v>-1.4214643473775366E-3</v>
      </c>
      <c r="J8516" s="22" t="str">
        <f t="shared" si="268"/>
        <v>lost money</v>
      </c>
    </row>
    <row r="8517" spans="1:10">
      <c r="A8517" s="1">
        <v>41403</v>
      </c>
      <c r="B8517">
        <v>78.31</v>
      </c>
      <c r="C8517">
        <v>78.959999999999994</v>
      </c>
      <c r="D8517">
        <v>77.900000000000006</v>
      </c>
      <c r="E8517">
        <v>78.400000000000006</v>
      </c>
      <c r="F8517">
        <v>6516800</v>
      </c>
      <c r="G8517">
        <v>77.48</v>
      </c>
      <c r="H8517" t="s">
        <v>11</v>
      </c>
      <c r="I8517" s="22">
        <f t="shared" si="267"/>
        <v>1.9378599178510605E-3</v>
      </c>
      <c r="J8517" s="22" t="str">
        <f t="shared" si="268"/>
        <v/>
      </c>
    </row>
    <row r="8518" spans="1:10">
      <c r="A8518" s="1">
        <v>41404</v>
      </c>
      <c r="B8518">
        <v>78.47</v>
      </c>
      <c r="C8518">
        <v>78.91</v>
      </c>
      <c r="D8518">
        <v>78.28</v>
      </c>
      <c r="E8518">
        <v>78.89</v>
      </c>
      <c r="F8518">
        <v>5831200</v>
      </c>
      <c r="G8518">
        <v>77.959999999999994</v>
      </c>
      <c r="H8518" t="s">
        <v>11</v>
      </c>
      <c r="I8518" s="22">
        <f t="shared" si="267"/>
        <v>6.1760361005648232E-3</v>
      </c>
      <c r="J8518" s="22" t="str">
        <f t="shared" si="268"/>
        <v/>
      </c>
    </row>
    <row r="8519" spans="1:10">
      <c r="A8519" s="1">
        <v>41407</v>
      </c>
      <c r="B8519">
        <v>78.8</v>
      </c>
      <c r="C8519">
        <v>78.94</v>
      </c>
      <c r="D8519">
        <v>77.92</v>
      </c>
      <c r="E8519">
        <v>78.5</v>
      </c>
      <c r="F8519">
        <v>7713900</v>
      </c>
      <c r="G8519">
        <v>77.569999999999993</v>
      </c>
      <c r="H8519" t="s">
        <v>11</v>
      </c>
      <c r="I8519" s="22">
        <f t="shared" si="267"/>
        <v>-5.0151201365798165E-3</v>
      </c>
      <c r="J8519" s="22" t="str">
        <f t="shared" si="268"/>
        <v>lost money</v>
      </c>
    </row>
    <row r="8520" spans="1:10">
      <c r="A8520" s="1">
        <v>41408</v>
      </c>
      <c r="B8520">
        <v>77.98</v>
      </c>
      <c r="C8520">
        <v>78.86</v>
      </c>
      <c r="D8520">
        <v>77.67</v>
      </c>
      <c r="E8520">
        <v>78.78</v>
      </c>
      <c r="F8520">
        <v>10013700</v>
      </c>
      <c r="G8520">
        <v>77.849999999999994</v>
      </c>
      <c r="H8520" t="s">
        <v>11</v>
      </c>
      <c r="I8520" s="22">
        <f t="shared" si="267"/>
        <v>3.6031437772271191E-3</v>
      </c>
      <c r="J8520" s="22" t="str">
        <f t="shared" si="268"/>
        <v/>
      </c>
    </row>
    <row r="8521" spans="1:10">
      <c r="A8521" s="1">
        <v>41409</v>
      </c>
      <c r="B8521">
        <v>78.8</v>
      </c>
      <c r="C8521">
        <v>79.959999999999994</v>
      </c>
      <c r="D8521">
        <v>78.650000000000006</v>
      </c>
      <c r="E8521">
        <v>79.86</v>
      </c>
      <c r="F8521">
        <v>8001100</v>
      </c>
      <c r="G8521">
        <v>78.92</v>
      </c>
      <c r="H8521" t="s">
        <v>11</v>
      </c>
      <c r="I8521" s="22">
        <f t="shared" si="267"/>
        <v>1.365078287440737E-2</v>
      </c>
      <c r="J8521" s="22" t="str">
        <f t="shared" si="268"/>
        <v/>
      </c>
    </row>
    <row r="8522" spans="1:10">
      <c r="A8522" s="1">
        <v>41410</v>
      </c>
      <c r="B8522">
        <v>78.099999999999994</v>
      </c>
      <c r="C8522">
        <v>78.86</v>
      </c>
      <c r="D8522">
        <v>77.34</v>
      </c>
      <c r="E8522">
        <v>78.5</v>
      </c>
      <c r="F8522">
        <v>12128600</v>
      </c>
      <c r="G8522">
        <v>77.569999999999993</v>
      </c>
      <c r="H8522" t="s">
        <v>11</v>
      </c>
      <c r="I8522" s="22">
        <f t="shared" si="267"/>
        <v>-1.7253926651634506E-2</v>
      </c>
      <c r="J8522" s="22" t="str">
        <f t="shared" si="268"/>
        <v/>
      </c>
    </row>
    <row r="8523" spans="1:10">
      <c r="A8523" s="1">
        <v>41411</v>
      </c>
      <c r="B8523">
        <v>78.3</v>
      </c>
      <c r="C8523">
        <v>78.59</v>
      </c>
      <c r="D8523">
        <v>77.400000000000006</v>
      </c>
      <c r="E8523">
        <v>77.87</v>
      </c>
      <c r="F8523">
        <v>10669300</v>
      </c>
      <c r="G8523">
        <v>76.95</v>
      </c>
      <c r="H8523" t="s">
        <v>11</v>
      </c>
      <c r="I8523" s="22">
        <f t="shared" si="267"/>
        <v>-8.0248942178918637E-3</v>
      </c>
      <c r="J8523" s="22" t="str">
        <f t="shared" si="268"/>
        <v>lost money</v>
      </c>
    </row>
    <row r="8524" spans="1:10">
      <c r="A8524" s="1">
        <v>41414</v>
      </c>
      <c r="B8524">
        <v>77.88</v>
      </c>
      <c r="C8524">
        <v>77.900000000000006</v>
      </c>
      <c r="D8524">
        <v>77.36</v>
      </c>
      <c r="E8524">
        <v>77.400000000000006</v>
      </c>
      <c r="F8524">
        <v>5582600</v>
      </c>
      <c r="G8524">
        <v>76.489999999999995</v>
      </c>
      <c r="H8524" t="s">
        <v>11</v>
      </c>
      <c r="I8524" s="22">
        <f t="shared" si="267"/>
        <v>-5.9958469511136574E-3</v>
      </c>
      <c r="J8524" s="22" t="str">
        <f t="shared" si="268"/>
        <v>lost money</v>
      </c>
    </row>
    <row r="8525" spans="1:10">
      <c r="A8525" s="1">
        <v>41415</v>
      </c>
      <c r="B8525">
        <v>77.62</v>
      </c>
      <c r="C8525">
        <v>78.180000000000007</v>
      </c>
      <c r="D8525">
        <v>77.25</v>
      </c>
      <c r="E8525">
        <v>77.39</v>
      </c>
      <c r="F8525">
        <v>7484300</v>
      </c>
      <c r="G8525">
        <v>76.48</v>
      </c>
      <c r="H8525" t="s">
        <v>11</v>
      </c>
      <c r="I8525" s="22">
        <f t="shared" si="267"/>
        <v>-1.3074459062872233E-4</v>
      </c>
      <c r="J8525" s="22" t="str">
        <f t="shared" si="268"/>
        <v>lost money</v>
      </c>
    </row>
    <row r="8526" spans="1:10">
      <c r="A8526" s="1">
        <v>41416</v>
      </c>
      <c r="B8526">
        <v>77.19</v>
      </c>
      <c r="C8526">
        <v>77.8</v>
      </c>
      <c r="D8526">
        <v>76.75</v>
      </c>
      <c r="E8526">
        <v>77.03</v>
      </c>
      <c r="F8526">
        <v>9031300</v>
      </c>
      <c r="G8526">
        <v>76.12</v>
      </c>
      <c r="H8526" t="s">
        <v>11</v>
      </c>
      <c r="I8526" s="22">
        <f t="shared" si="267"/>
        <v>-4.7182263151970541E-3</v>
      </c>
      <c r="J8526" s="22" t="str">
        <f t="shared" si="268"/>
        <v>lost money</v>
      </c>
    </row>
    <row r="8527" spans="1:10">
      <c r="A8527" s="1">
        <v>41417</v>
      </c>
      <c r="B8527">
        <v>76.83</v>
      </c>
      <c r="C8527">
        <v>76.94</v>
      </c>
      <c r="D8527">
        <v>76.25</v>
      </c>
      <c r="E8527">
        <v>76.33</v>
      </c>
      <c r="F8527">
        <v>8048200</v>
      </c>
      <c r="G8527">
        <v>75.430000000000007</v>
      </c>
      <c r="H8527" t="s">
        <v>11</v>
      </c>
      <c r="I8527" s="22">
        <f t="shared" si="267"/>
        <v>-9.1059685624092137E-3</v>
      </c>
      <c r="J8527" s="22" t="str">
        <f t="shared" si="268"/>
        <v>lost money</v>
      </c>
    </row>
    <row r="8528" spans="1:10">
      <c r="A8528" s="1">
        <v>41418</v>
      </c>
      <c r="B8528">
        <v>76.319999999999993</v>
      </c>
      <c r="C8528">
        <v>77.41</v>
      </c>
      <c r="D8528">
        <v>76.150000000000006</v>
      </c>
      <c r="E8528">
        <v>77.31</v>
      </c>
      <c r="F8528">
        <v>7589600</v>
      </c>
      <c r="G8528">
        <v>76.400000000000006</v>
      </c>
      <c r="H8528" t="s">
        <v>11</v>
      </c>
      <c r="I8528" s="22">
        <f t="shared" si="267"/>
        <v>1.2777622306935193E-2</v>
      </c>
      <c r="J8528" s="22" t="str">
        <f t="shared" si="268"/>
        <v/>
      </c>
    </row>
    <row r="8529" spans="1:10">
      <c r="A8529" s="1">
        <v>41422</v>
      </c>
      <c r="B8529">
        <v>77.52</v>
      </c>
      <c r="C8529">
        <v>78.040000000000006</v>
      </c>
      <c r="D8529">
        <v>77.06</v>
      </c>
      <c r="E8529">
        <v>77.319999999999993</v>
      </c>
      <c r="F8529">
        <v>6059200</v>
      </c>
      <c r="G8529">
        <v>76.41</v>
      </c>
      <c r="H8529" t="s">
        <v>11</v>
      </c>
      <c r="I8529" s="22">
        <f t="shared" si="267"/>
        <v>1.3088148700050523E-4</v>
      </c>
      <c r="J8529" s="22" t="str">
        <f t="shared" si="268"/>
        <v>lost money</v>
      </c>
    </row>
    <row r="8530" spans="1:10">
      <c r="A8530" s="1">
        <v>41423</v>
      </c>
      <c r="B8530">
        <v>77.05</v>
      </c>
      <c r="C8530">
        <v>77.05</v>
      </c>
      <c r="D8530">
        <v>76.06</v>
      </c>
      <c r="E8530">
        <v>76.23</v>
      </c>
      <c r="F8530">
        <v>5882300</v>
      </c>
      <c r="G8530">
        <v>75.33</v>
      </c>
      <c r="H8530" t="s">
        <v>11</v>
      </c>
      <c r="I8530" s="22">
        <f t="shared" si="267"/>
        <v>-1.4235115821871985E-2</v>
      </c>
      <c r="J8530" s="22" t="str">
        <f t="shared" si="268"/>
        <v>lost money</v>
      </c>
    </row>
    <row r="8531" spans="1:10">
      <c r="A8531" s="1">
        <v>41424</v>
      </c>
      <c r="B8531">
        <v>76.489999999999995</v>
      </c>
      <c r="C8531">
        <v>76.540000000000006</v>
      </c>
      <c r="D8531">
        <v>75.61</v>
      </c>
      <c r="E8531">
        <v>75.63</v>
      </c>
      <c r="F8531">
        <v>6228000</v>
      </c>
      <c r="G8531">
        <v>74.739999999999995</v>
      </c>
      <c r="H8531" t="s">
        <v>11</v>
      </c>
      <c r="I8531" s="22">
        <f t="shared" si="267"/>
        <v>-7.8630377802655568E-3</v>
      </c>
      <c r="J8531" s="22" t="str">
        <f t="shared" si="268"/>
        <v>lost money</v>
      </c>
    </row>
    <row r="8532" spans="1:10">
      <c r="A8532" s="1">
        <v>41425</v>
      </c>
      <c r="B8532">
        <v>75.36</v>
      </c>
      <c r="C8532">
        <v>75.63</v>
      </c>
      <c r="D8532">
        <v>74.819999999999993</v>
      </c>
      <c r="E8532">
        <v>74.84</v>
      </c>
      <c r="F8532">
        <v>9745700</v>
      </c>
      <c r="G8532">
        <v>73.959999999999994</v>
      </c>
      <c r="H8532" t="s">
        <v>11</v>
      </c>
      <c r="I8532" s="22">
        <f t="shared" si="267"/>
        <v>-1.0491017538413808E-2</v>
      </c>
      <c r="J8532" s="22" t="str">
        <f t="shared" si="268"/>
        <v>lost money</v>
      </c>
    </row>
    <row r="8533" spans="1:10">
      <c r="A8533" s="1">
        <v>41428</v>
      </c>
      <c r="B8533">
        <v>75.06</v>
      </c>
      <c r="C8533">
        <v>75.8</v>
      </c>
      <c r="D8533">
        <v>74.64</v>
      </c>
      <c r="E8533">
        <v>75.69</v>
      </c>
      <c r="F8533">
        <v>8440500</v>
      </c>
      <c r="G8533">
        <v>74.8</v>
      </c>
      <c r="H8533" t="s">
        <v>11</v>
      </c>
      <c r="I8533" s="22">
        <f t="shared" si="267"/>
        <v>1.129347846150747E-2</v>
      </c>
      <c r="J8533" s="22" t="str">
        <f t="shared" si="268"/>
        <v/>
      </c>
    </row>
    <row r="8534" spans="1:10">
      <c r="A8534" s="1">
        <v>41429</v>
      </c>
      <c r="B8534">
        <v>75.77</v>
      </c>
      <c r="C8534">
        <v>76.38</v>
      </c>
      <c r="D8534">
        <v>75.47</v>
      </c>
      <c r="E8534">
        <v>75.94</v>
      </c>
      <c r="F8534">
        <v>9344000</v>
      </c>
      <c r="G8534">
        <v>75.040000000000006</v>
      </c>
      <c r="H8534" t="s">
        <v>11</v>
      </c>
      <c r="I8534" s="22">
        <f t="shared" si="267"/>
        <v>3.2034197175378649E-3</v>
      </c>
      <c r="J8534" s="22" t="str">
        <f t="shared" si="268"/>
        <v/>
      </c>
    </row>
    <row r="8535" spans="1:10">
      <c r="A8535" s="1">
        <v>41430</v>
      </c>
      <c r="B8535">
        <v>75.72</v>
      </c>
      <c r="C8535">
        <v>75.95</v>
      </c>
      <c r="D8535">
        <v>75.069999999999993</v>
      </c>
      <c r="E8535">
        <v>75.25</v>
      </c>
      <c r="F8535">
        <v>6778600</v>
      </c>
      <c r="G8535">
        <v>74.36</v>
      </c>
      <c r="H8535" t="s">
        <v>11</v>
      </c>
      <c r="I8535" s="22">
        <f t="shared" si="267"/>
        <v>-9.1031418447261141E-3</v>
      </c>
      <c r="J8535" s="22" t="str">
        <f t="shared" si="268"/>
        <v>lost money</v>
      </c>
    </row>
    <row r="8536" spans="1:10">
      <c r="A8536" s="1">
        <v>41431</v>
      </c>
      <c r="B8536">
        <v>75.27</v>
      </c>
      <c r="C8536">
        <v>75.739999999999995</v>
      </c>
      <c r="D8536">
        <v>74.84</v>
      </c>
      <c r="E8536">
        <v>75.63</v>
      </c>
      <c r="F8536">
        <v>9425100</v>
      </c>
      <c r="G8536">
        <v>74.739999999999995</v>
      </c>
      <c r="H8536" t="s">
        <v>11</v>
      </c>
      <c r="I8536" s="22">
        <f t="shared" si="267"/>
        <v>5.0972612040946054E-3</v>
      </c>
      <c r="J8536" s="22" t="str">
        <f t="shared" si="268"/>
        <v/>
      </c>
    </row>
    <row r="8537" spans="1:10">
      <c r="A8537" s="1">
        <v>41432</v>
      </c>
      <c r="B8537">
        <v>76.38</v>
      </c>
      <c r="C8537">
        <v>76.87</v>
      </c>
      <c r="D8537">
        <v>76.19</v>
      </c>
      <c r="E8537">
        <v>76.33</v>
      </c>
      <c r="F8537">
        <v>8347200</v>
      </c>
      <c r="G8537">
        <v>75.430000000000007</v>
      </c>
      <c r="H8537" t="s">
        <v>11</v>
      </c>
      <c r="I8537" s="22">
        <f t="shared" si="267"/>
        <v>9.1896498082019318E-3</v>
      </c>
      <c r="J8537" s="22" t="str">
        <f t="shared" si="268"/>
        <v>lost money</v>
      </c>
    </row>
    <row r="8538" spans="1:10">
      <c r="A8538" s="1">
        <v>41435</v>
      </c>
      <c r="B8538">
        <v>76.28</v>
      </c>
      <c r="C8538">
        <v>76.650000000000006</v>
      </c>
      <c r="D8538">
        <v>75.66</v>
      </c>
      <c r="E8538">
        <v>75.75</v>
      </c>
      <c r="F8538">
        <v>6731500</v>
      </c>
      <c r="G8538">
        <v>74.86</v>
      </c>
      <c r="H8538" t="s">
        <v>11</v>
      </c>
      <c r="I8538" s="22">
        <f t="shared" si="267"/>
        <v>-7.5853713892567237E-3</v>
      </c>
      <c r="J8538" s="22" t="str">
        <f t="shared" si="268"/>
        <v>lost money</v>
      </c>
    </row>
    <row r="8539" spans="1:10">
      <c r="A8539" s="1">
        <v>41436</v>
      </c>
      <c r="B8539">
        <v>75.42</v>
      </c>
      <c r="C8539">
        <v>75.83</v>
      </c>
      <c r="D8539">
        <v>74.989999999999995</v>
      </c>
      <c r="E8539">
        <v>75.25</v>
      </c>
      <c r="F8539">
        <v>6006400</v>
      </c>
      <c r="G8539">
        <v>74.36</v>
      </c>
      <c r="H8539" t="s">
        <v>11</v>
      </c>
      <c r="I8539" s="22">
        <f t="shared" si="267"/>
        <v>-6.7015396230396028E-3</v>
      </c>
      <c r="J8539" s="22" t="str">
        <f t="shared" si="268"/>
        <v>lost money</v>
      </c>
    </row>
    <row r="8540" spans="1:10">
      <c r="A8540" s="1">
        <v>41437</v>
      </c>
      <c r="B8540">
        <v>75.47</v>
      </c>
      <c r="C8540">
        <v>75.709999999999994</v>
      </c>
      <c r="D8540">
        <v>74.650000000000006</v>
      </c>
      <c r="E8540">
        <v>74.84</v>
      </c>
      <c r="F8540">
        <v>4731100</v>
      </c>
      <c r="G8540">
        <v>73.959999999999994</v>
      </c>
      <c r="H8540" t="s">
        <v>11</v>
      </c>
      <c r="I8540" s="22">
        <f t="shared" si="267"/>
        <v>-5.3937563343192784E-3</v>
      </c>
      <c r="J8540" s="22" t="str">
        <f t="shared" si="268"/>
        <v>lost money</v>
      </c>
    </row>
    <row r="8541" spans="1:10">
      <c r="A8541" s="1">
        <v>41438</v>
      </c>
      <c r="B8541">
        <v>74.78</v>
      </c>
      <c r="C8541">
        <v>75.33</v>
      </c>
      <c r="D8541">
        <v>74.56</v>
      </c>
      <c r="E8541">
        <v>75</v>
      </c>
      <c r="F8541">
        <v>7239500</v>
      </c>
      <c r="G8541">
        <v>74.12</v>
      </c>
      <c r="H8541" t="s">
        <v>11</v>
      </c>
      <c r="I8541" s="22">
        <f t="shared" si="267"/>
        <v>2.1609948982350201E-3</v>
      </c>
      <c r="J8541" s="22" t="str">
        <f t="shared" si="268"/>
        <v/>
      </c>
    </row>
    <row r="8542" spans="1:10">
      <c r="A8542" s="1">
        <v>41439</v>
      </c>
      <c r="B8542">
        <v>74.84</v>
      </c>
      <c r="C8542">
        <v>75.27</v>
      </c>
      <c r="D8542">
        <v>74.8</v>
      </c>
      <c r="E8542">
        <v>74.87</v>
      </c>
      <c r="F8542">
        <v>6351500</v>
      </c>
      <c r="G8542">
        <v>73.989999999999995</v>
      </c>
      <c r="H8542" t="s">
        <v>11</v>
      </c>
      <c r="I8542" s="22">
        <f t="shared" si="267"/>
        <v>-1.7554524796995644E-3</v>
      </c>
      <c r="J8542" s="22" t="str">
        <f t="shared" si="268"/>
        <v/>
      </c>
    </row>
    <row r="8543" spans="1:10">
      <c r="A8543" s="1">
        <v>41442</v>
      </c>
      <c r="B8543">
        <v>75</v>
      </c>
      <c r="C8543">
        <v>75.45</v>
      </c>
      <c r="D8543">
        <v>74.510000000000005</v>
      </c>
      <c r="E8543">
        <v>74.95</v>
      </c>
      <c r="F8543">
        <v>6480600</v>
      </c>
      <c r="G8543">
        <v>74.069999999999993</v>
      </c>
      <c r="H8543" t="s">
        <v>11</v>
      </c>
      <c r="I8543" s="22">
        <f t="shared" si="267"/>
        <v>1.0806430877383201E-3</v>
      </c>
      <c r="J8543" s="22" t="str">
        <f t="shared" si="268"/>
        <v>lost money</v>
      </c>
    </row>
    <row r="8544" spans="1:10">
      <c r="A8544" s="1">
        <v>41443</v>
      </c>
      <c r="B8544">
        <v>75</v>
      </c>
      <c r="C8544">
        <v>75.88</v>
      </c>
      <c r="D8544">
        <v>74.8</v>
      </c>
      <c r="E8544">
        <v>75.73</v>
      </c>
      <c r="F8544">
        <v>6739700</v>
      </c>
      <c r="G8544">
        <v>74.84</v>
      </c>
      <c r="H8544" t="s">
        <v>11</v>
      </c>
      <c r="I8544" s="22">
        <f t="shared" si="267"/>
        <v>1.034190938069122E-2</v>
      </c>
      <c r="J8544" s="22" t="str">
        <f t="shared" si="268"/>
        <v/>
      </c>
    </row>
    <row r="8545" spans="1:10">
      <c r="A8545" s="1">
        <v>41444</v>
      </c>
      <c r="B8545">
        <v>75.739999999999995</v>
      </c>
      <c r="C8545">
        <v>75.959999999999994</v>
      </c>
      <c r="D8545">
        <v>74.34</v>
      </c>
      <c r="E8545">
        <v>74.459999999999994</v>
      </c>
      <c r="F8545">
        <v>8329100</v>
      </c>
      <c r="G8545">
        <v>73.58</v>
      </c>
      <c r="H8545" t="s">
        <v>11</v>
      </c>
      <c r="I8545" s="22">
        <f t="shared" si="267"/>
        <v>-1.6979251729260604E-2</v>
      </c>
      <c r="J8545" s="22" t="str">
        <f t="shared" si="268"/>
        <v>lost money</v>
      </c>
    </row>
    <row r="8546" spans="1:10">
      <c r="A8546" s="1">
        <v>41445</v>
      </c>
      <c r="B8546">
        <v>74.5</v>
      </c>
      <c r="C8546">
        <v>74.66</v>
      </c>
      <c r="D8546">
        <v>73.010000000000005</v>
      </c>
      <c r="E8546">
        <v>73.03</v>
      </c>
      <c r="F8546">
        <v>9069700</v>
      </c>
      <c r="G8546">
        <v>72.17</v>
      </c>
      <c r="H8546" t="s">
        <v>11</v>
      </c>
      <c r="I8546" s="22">
        <f t="shared" si="267"/>
        <v>-1.9348802592446413E-2</v>
      </c>
      <c r="J8546" s="22" t="str">
        <f t="shared" si="268"/>
        <v>lost money</v>
      </c>
    </row>
    <row r="8547" spans="1:10">
      <c r="A8547" s="1">
        <v>41446</v>
      </c>
      <c r="B8547">
        <v>73.52</v>
      </c>
      <c r="C8547">
        <v>74.2</v>
      </c>
      <c r="D8547">
        <v>73.25</v>
      </c>
      <c r="E8547">
        <v>73.510000000000005</v>
      </c>
      <c r="F8547">
        <v>14564500</v>
      </c>
      <c r="G8547">
        <v>72.64</v>
      </c>
      <c r="H8547" t="s">
        <v>11</v>
      </c>
      <c r="I8547" s="22">
        <f t="shared" si="267"/>
        <v>6.4912872088560142E-3</v>
      </c>
      <c r="J8547" s="22" t="str">
        <f t="shared" si="268"/>
        <v>lost money</v>
      </c>
    </row>
    <row r="8548" spans="1:10">
      <c r="A8548" s="1">
        <v>41449</v>
      </c>
      <c r="B8548">
        <v>73.05</v>
      </c>
      <c r="C8548">
        <v>74.790000000000006</v>
      </c>
      <c r="D8548">
        <v>72.900000000000006</v>
      </c>
      <c r="E8548">
        <v>74.2</v>
      </c>
      <c r="F8548">
        <v>9697300</v>
      </c>
      <c r="G8548">
        <v>73.33</v>
      </c>
      <c r="H8548" t="s">
        <v>11</v>
      </c>
      <c r="I8548" s="22">
        <f t="shared" si="267"/>
        <v>9.4540678126703286E-3</v>
      </c>
      <c r="J8548" s="22" t="str">
        <f t="shared" si="268"/>
        <v/>
      </c>
    </row>
    <row r="8549" spans="1:10">
      <c r="A8549" s="1">
        <v>41450</v>
      </c>
      <c r="B8549">
        <v>74.27</v>
      </c>
      <c r="C8549">
        <v>74.75</v>
      </c>
      <c r="D8549">
        <v>73.84</v>
      </c>
      <c r="E8549">
        <v>74.37</v>
      </c>
      <c r="F8549">
        <v>7217800</v>
      </c>
      <c r="G8549">
        <v>73.489999999999995</v>
      </c>
      <c r="H8549" t="s">
        <v>11</v>
      </c>
      <c r="I8549" s="22">
        <f t="shared" si="267"/>
        <v>2.1795404350717748E-3</v>
      </c>
      <c r="J8549" s="22" t="str">
        <f t="shared" si="268"/>
        <v/>
      </c>
    </row>
    <row r="8550" spans="1:10">
      <c r="A8550" s="1">
        <v>41451</v>
      </c>
      <c r="B8550">
        <v>74.62</v>
      </c>
      <c r="C8550">
        <v>75.180000000000007</v>
      </c>
      <c r="D8550">
        <v>74.540000000000006</v>
      </c>
      <c r="E8550">
        <v>75.010000000000005</v>
      </c>
      <c r="F8550">
        <v>5478400</v>
      </c>
      <c r="G8550">
        <v>74.13</v>
      </c>
      <c r="H8550" t="s">
        <v>11</v>
      </c>
      <c r="I8550" s="22">
        <f t="shared" si="267"/>
        <v>8.670966127848451E-3</v>
      </c>
      <c r="J8550" s="22" t="str">
        <f t="shared" si="268"/>
        <v/>
      </c>
    </row>
    <row r="8551" spans="1:10">
      <c r="A8551" s="1">
        <v>41452</v>
      </c>
      <c r="B8551">
        <v>75.48</v>
      </c>
      <c r="C8551">
        <v>76.11</v>
      </c>
      <c r="D8551">
        <v>75.239999999999995</v>
      </c>
      <c r="E8551">
        <v>75.260000000000005</v>
      </c>
      <c r="F8551">
        <v>7087800</v>
      </c>
      <c r="G8551">
        <v>74.37</v>
      </c>
      <c r="H8551" t="s">
        <v>11</v>
      </c>
      <c r="I8551" s="22">
        <f t="shared" si="267"/>
        <v>3.2323260465805517E-3</v>
      </c>
      <c r="J8551" s="22" t="str">
        <f t="shared" si="268"/>
        <v>lost money</v>
      </c>
    </row>
    <row r="8552" spans="1:10">
      <c r="A8552" s="1">
        <v>41453</v>
      </c>
      <c r="B8552">
        <v>75.11</v>
      </c>
      <c r="C8552">
        <v>75.66</v>
      </c>
      <c r="D8552">
        <v>74.45</v>
      </c>
      <c r="E8552">
        <v>74.489999999999995</v>
      </c>
      <c r="F8552">
        <v>14548300</v>
      </c>
      <c r="G8552">
        <v>73.61</v>
      </c>
      <c r="H8552" t="s">
        <v>11</v>
      </c>
      <c r="I8552" s="22">
        <f t="shared" si="267"/>
        <v>-1.02717486445943E-2</v>
      </c>
      <c r="J8552" s="22" t="str">
        <f t="shared" si="268"/>
        <v>lost money</v>
      </c>
    </row>
    <row r="8553" spans="1:10">
      <c r="A8553" s="1">
        <v>41456</v>
      </c>
      <c r="B8553">
        <v>74.989999999999995</v>
      </c>
      <c r="C8553">
        <v>75.28</v>
      </c>
      <c r="D8553">
        <v>74.099999999999994</v>
      </c>
      <c r="E8553">
        <v>74.59</v>
      </c>
      <c r="F8553">
        <v>6697700</v>
      </c>
      <c r="G8553">
        <v>73.709999999999994</v>
      </c>
      <c r="H8553" t="s">
        <v>11</v>
      </c>
      <c r="I8553" s="22">
        <f t="shared" si="267"/>
        <v>1.3575891305828867E-3</v>
      </c>
      <c r="J8553" s="22" t="str">
        <f t="shared" si="268"/>
        <v>lost money</v>
      </c>
    </row>
    <row r="8554" spans="1:10">
      <c r="A8554" s="1">
        <v>41457</v>
      </c>
      <c r="B8554">
        <v>74.31</v>
      </c>
      <c r="C8554">
        <v>75.680000000000007</v>
      </c>
      <c r="D8554">
        <v>74.209999999999994</v>
      </c>
      <c r="E8554">
        <v>74.709999999999994</v>
      </c>
      <c r="F8554">
        <v>6726400</v>
      </c>
      <c r="G8554">
        <v>73.83</v>
      </c>
      <c r="H8554" t="s">
        <v>11</v>
      </c>
      <c r="I8554" s="22">
        <f t="shared" si="267"/>
        <v>1.6266778698768168E-3</v>
      </c>
      <c r="J8554" s="22" t="str">
        <f t="shared" si="268"/>
        <v/>
      </c>
    </row>
    <row r="8555" spans="1:10">
      <c r="A8555" s="1">
        <v>41458</v>
      </c>
      <c r="B8555">
        <v>74.41</v>
      </c>
      <c r="C8555">
        <v>75.12</v>
      </c>
      <c r="D8555">
        <v>74.09</v>
      </c>
      <c r="E8555">
        <v>74.760000000000005</v>
      </c>
      <c r="F8555">
        <v>2316400</v>
      </c>
      <c r="G8555">
        <v>73.88</v>
      </c>
      <c r="H8555" t="s">
        <v>11</v>
      </c>
      <c r="I8555" s="22">
        <f t="shared" si="267"/>
        <v>6.7700225996497176E-4</v>
      </c>
      <c r="J8555" s="22" t="str">
        <f t="shared" si="268"/>
        <v/>
      </c>
    </row>
    <row r="8556" spans="1:10">
      <c r="A8556" s="1">
        <v>41460</v>
      </c>
      <c r="B8556">
        <v>75.150000000000006</v>
      </c>
      <c r="C8556">
        <v>75.260000000000005</v>
      </c>
      <c r="D8556">
        <v>74.41</v>
      </c>
      <c r="E8556">
        <v>75.209999999999994</v>
      </c>
      <c r="F8556">
        <v>5443900</v>
      </c>
      <c r="G8556">
        <v>74.319999999999993</v>
      </c>
      <c r="H8556" t="s">
        <v>11</v>
      </c>
      <c r="I8556" s="22">
        <f t="shared" si="267"/>
        <v>5.9379391745438903E-3</v>
      </c>
      <c r="J8556" s="22" t="str">
        <f t="shared" si="268"/>
        <v/>
      </c>
    </row>
    <row r="8557" spans="1:10">
      <c r="A8557" s="1">
        <v>41463</v>
      </c>
      <c r="B8557">
        <v>75.680000000000007</v>
      </c>
      <c r="C8557">
        <v>76.77</v>
      </c>
      <c r="D8557">
        <v>75.680000000000007</v>
      </c>
      <c r="E8557">
        <v>76.709999999999994</v>
      </c>
      <c r="F8557">
        <v>6713400</v>
      </c>
      <c r="G8557">
        <v>75.81</v>
      </c>
      <c r="H8557" t="s">
        <v>11</v>
      </c>
      <c r="I8557" s="22">
        <f t="shared" si="267"/>
        <v>1.9850115562629663E-2</v>
      </c>
      <c r="J8557" s="22" t="str">
        <f t="shared" si="268"/>
        <v/>
      </c>
    </row>
    <row r="8558" spans="1:10">
      <c r="A8558" s="1">
        <v>41464</v>
      </c>
      <c r="B8558">
        <v>76.959999999999994</v>
      </c>
      <c r="C8558">
        <v>77.44</v>
      </c>
      <c r="D8558">
        <v>76.739999999999995</v>
      </c>
      <c r="E8558">
        <v>77.03</v>
      </c>
      <c r="F8558">
        <v>5273100</v>
      </c>
      <c r="G8558">
        <v>76.12</v>
      </c>
      <c r="H8558" t="s">
        <v>11</v>
      </c>
      <c r="I8558" s="22">
        <f t="shared" si="267"/>
        <v>4.0808323597363123E-3</v>
      </c>
      <c r="J8558" s="22" t="str">
        <f t="shared" si="268"/>
        <v/>
      </c>
    </row>
    <row r="8559" spans="1:10">
      <c r="A8559" s="1">
        <v>41465</v>
      </c>
      <c r="B8559">
        <v>76.959999999999994</v>
      </c>
      <c r="C8559">
        <v>77.5</v>
      </c>
      <c r="D8559">
        <v>76.45</v>
      </c>
      <c r="E8559">
        <v>76.77</v>
      </c>
      <c r="F8559">
        <v>5144300</v>
      </c>
      <c r="G8559">
        <v>75.87</v>
      </c>
      <c r="H8559" t="s">
        <v>11</v>
      </c>
      <c r="I8559" s="22">
        <f t="shared" si="267"/>
        <v>-3.2896930779653054E-3</v>
      </c>
      <c r="J8559" s="22" t="str">
        <f t="shared" si="268"/>
        <v>lost money</v>
      </c>
    </row>
    <row r="8560" spans="1:10">
      <c r="A8560" s="1">
        <v>41466</v>
      </c>
      <c r="B8560">
        <v>77.45</v>
      </c>
      <c r="C8560">
        <v>77.75</v>
      </c>
      <c r="D8560">
        <v>77.33</v>
      </c>
      <c r="E8560">
        <v>77.63</v>
      </c>
      <c r="F8560">
        <v>4680700</v>
      </c>
      <c r="G8560">
        <v>76.709999999999994</v>
      </c>
      <c r="H8560" t="s">
        <v>11</v>
      </c>
      <c r="I8560" s="22">
        <f t="shared" si="267"/>
        <v>1.1010728621221363E-2</v>
      </c>
      <c r="J8560" s="22" t="str">
        <f t="shared" si="268"/>
        <v/>
      </c>
    </row>
    <row r="8561" spans="1:10">
      <c r="A8561" s="1">
        <v>41467</v>
      </c>
      <c r="B8561">
        <v>77.61</v>
      </c>
      <c r="C8561">
        <v>77.67</v>
      </c>
      <c r="D8561">
        <v>77.33</v>
      </c>
      <c r="E8561">
        <v>77.63</v>
      </c>
      <c r="F8561">
        <v>4457700</v>
      </c>
      <c r="G8561">
        <v>76.709999999999994</v>
      </c>
      <c r="H8561" t="s">
        <v>11</v>
      </c>
      <c r="I8561" s="22">
        <f t="shared" si="267"/>
        <v>0</v>
      </c>
      <c r="J8561" s="22" t="str">
        <f t="shared" si="268"/>
        <v/>
      </c>
    </row>
    <row r="8562" spans="1:10">
      <c r="A8562" s="1">
        <v>41470</v>
      </c>
      <c r="B8562">
        <v>77.3</v>
      </c>
      <c r="C8562">
        <v>77.3</v>
      </c>
      <c r="D8562">
        <v>76.7</v>
      </c>
      <c r="E8562">
        <v>77.03</v>
      </c>
      <c r="F8562">
        <v>4887200</v>
      </c>
      <c r="G8562">
        <v>76.12</v>
      </c>
      <c r="H8562" t="s">
        <v>11</v>
      </c>
      <c r="I8562" s="22">
        <f t="shared" si="267"/>
        <v>-7.7210355432560602E-3</v>
      </c>
      <c r="J8562" s="22" t="str">
        <f t="shared" si="268"/>
        <v>lost money</v>
      </c>
    </row>
    <row r="8563" spans="1:10">
      <c r="A8563" s="1">
        <v>41471</v>
      </c>
      <c r="B8563">
        <v>76.98</v>
      </c>
      <c r="C8563">
        <v>77.45</v>
      </c>
      <c r="D8563">
        <v>76.900000000000006</v>
      </c>
      <c r="E8563">
        <v>77.37</v>
      </c>
      <c r="F8563">
        <v>4707600</v>
      </c>
      <c r="G8563">
        <v>76.459999999999994</v>
      </c>
      <c r="H8563" t="s">
        <v>11</v>
      </c>
      <c r="I8563" s="22">
        <f t="shared" si="267"/>
        <v>4.4566858403179421E-3</v>
      </c>
      <c r="J8563" s="22" t="str">
        <f t="shared" si="268"/>
        <v/>
      </c>
    </row>
    <row r="8564" spans="1:10">
      <c r="A8564" s="1">
        <v>41472</v>
      </c>
      <c r="B8564">
        <v>77.62</v>
      </c>
      <c r="C8564">
        <v>77.790000000000006</v>
      </c>
      <c r="D8564">
        <v>77.09</v>
      </c>
      <c r="E8564">
        <v>77.2</v>
      </c>
      <c r="F8564">
        <v>5351300</v>
      </c>
      <c r="G8564">
        <v>76.290000000000006</v>
      </c>
      <c r="H8564" t="s">
        <v>11</v>
      </c>
      <c r="I8564" s="22">
        <f t="shared" si="267"/>
        <v>-2.2258601661286573E-3</v>
      </c>
      <c r="J8564" s="22" t="str">
        <f t="shared" si="268"/>
        <v>lost money</v>
      </c>
    </row>
    <row r="8565" spans="1:10">
      <c r="A8565" s="1">
        <v>41473</v>
      </c>
      <c r="B8565">
        <v>77.22</v>
      </c>
      <c r="C8565">
        <v>77.55</v>
      </c>
      <c r="D8565">
        <v>77.010000000000005</v>
      </c>
      <c r="E8565">
        <v>77.34</v>
      </c>
      <c r="F8565">
        <v>4149900</v>
      </c>
      <c r="G8565">
        <v>76.430000000000007</v>
      </c>
      <c r="H8565" t="s">
        <v>11</v>
      </c>
      <c r="I8565" s="22">
        <f t="shared" si="267"/>
        <v>1.8334211526548384E-3</v>
      </c>
      <c r="J8565" s="22" t="str">
        <f t="shared" si="268"/>
        <v/>
      </c>
    </row>
    <row r="8566" spans="1:10">
      <c r="A8566" s="1">
        <v>41474</v>
      </c>
      <c r="B8566">
        <v>77.45</v>
      </c>
      <c r="C8566">
        <v>78.17</v>
      </c>
      <c r="D8566">
        <v>77.34</v>
      </c>
      <c r="E8566">
        <v>78.08</v>
      </c>
      <c r="F8566">
        <v>6825900</v>
      </c>
      <c r="G8566">
        <v>77.16</v>
      </c>
      <c r="H8566" t="s">
        <v>11</v>
      </c>
      <c r="I8566" s="22">
        <f t="shared" si="267"/>
        <v>9.5058987827355574E-3</v>
      </c>
      <c r="J8566" s="22" t="str">
        <f t="shared" si="268"/>
        <v/>
      </c>
    </row>
    <row r="8567" spans="1:10">
      <c r="A8567" s="1">
        <v>41477</v>
      </c>
      <c r="B8567">
        <v>77.89</v>
      </c>
      <c r="C8567">
        <v>78.25</v>
      </c>
      <c r="D8567">
        <v>77.73</v>
      </c>
      <c r="E8567">
        <v>77.87</v>
      </c>
      <c r="F8567">
        <v>4158200</v>
      </c>
      <c r="G8567">
        <v>76.95</v>
      </c>
      <c r="H8567" t="s">
        <v>11</v>
      </c>
      <c r="I8567" s="22">
        <f t="shared" si="267"/>
        <v>-2.7253277526400384E-3</v>
      </c>
      <c r="J8567" s="22" t="str">
        <f t="shared" si="268"/>
        <v>lost money</v>
      </c>
    </row>
    <row r="8568" spans="1:10">
      <c r="A8568" s="1">
        <v>41478</v>
      </c>
      <c r="B8568">
        <v>77.959999999999994</v>
      </c>
      <c r="C8568">
        <v>78.63</v>
      </c>
      <c r="D8568">
        <v>77.8</v>
      </c>
      <c r="E8568">
        <v>78.55</v>
      </c>
      <c r="F8568">
        <v>5252900</v>
      </c>
      <c r="G8568">
        <v>77.62</v>
      </c>
      <c r="H8568" t="s">
        <v>11</v>
      </c>
      <c r="I8568" s="22">
        <f t="shared" si="267"/>
        <v>8.6692656558720257E-3</v>
      </c>
      <c r="J8568" s="22" t="str">
        <f t="shared" si="268"/>
        <v/>
      </c>
    </row>
    <row r="8569" spans="1:10">
      <c r="A8569" s="1">
        <v>41479</v>
      </c>
      <c r="B8569">
        <v>78.680000000000007</v>
      </c>
      <c r="C8569">
        <v>78.69</v>
      </c>
      <c r="D8569">
        <v>77.72</v>
      </c>
      <c r="E8569">
        <v>78.23</v>
      </c>
      <c r="F8569">
        <v>4930000</v>
      </c>
      <c r="G8569">
        <v>77.31</v>
      </c>
      <c r="H8569" t="s">
        <v>11</v>
      </c>
      <c r="I8569" s="22">
        <f t="shared" si="267"/>
        <v>-4.0018126083769135E-3</v>
      </c>
      <c r="J8569" s="22" t="str">
        <f t="shared" si="268"/>
        <v>lost money</v>
      </c>
    </row>
    <row r="8570" spans="1:10">
      <c r="A8570" s="1">
        <v>41480</v>
      </c>
      <c r="B8570">
        <v>78.05</v>
      </c>
      <c r="C8570">
        <v>78.459999999999994</v>
      </c>
      <c r="D8570">
        <v>77.63</v>
      </c>
      <c r="E8570">
        <v>78.010000000000005</v>
      </c>
      <c r="F8570">
        <v>5920200</v>
      </c>
      <c r="G8570">
        <v>77.09</v>
      </c>
      <c r="H8570" t="s">
        <v>11</v>
      </c>
      <c r="I8570" s="22">
        <f t="shared" si="267"/>
        <v>-2.8497428612125875E-3</v>
      </c>
      <c r="J8570" s="22" t="str">
        <f t="shared" si="268"/>
        <v>lost money</v>
      </c>
    </row>
    <row r="8571" spans="1:10">
      <c r="A8571" s="1">
        <v>41481</v>
      </c>
      <c r="B8571">
        <v>77.930000000000007</v>
      </c>
      <c r="C8571">
        <v>78.03</v>
      </c>
      <c r="D8571">
        <v>77.099999999999994</v>
      </c>
      <c r="E8571">
        <v>78</v>
      </c>
      <c r="F8571">
        <v>5349100</v>
      </c>
      <c r="G8571">
        <v>77.08</v>
      </c>
      <c r="H8571" t="s">
        <v>11</v>
      </c>
      <c r="I8571" s="22">
        <f t="shared" si="267"/>
        <v>-1.2972692500522805E-4</v>
      </c>
      <c r="J8571" s="22" t="str">
        <f t="shared" si="268"/>
        <v/>
      </c>
    </row>
    <row r="8572" spans="1:10">
      <c r="A8572" s="1">
        <v>41484</v>
      </c>
      <c r="B8572">
        <v>77.83</v>
      </c>
      <c r="C8572">
        <v>78.25</v>
      </c>
      <c r="D8572">
        <v>77.78</v>
      </c>
      <c r="E8572">
        <v>77.989999999999995</v>
      </c>
      <c r="F8572">
        <v>3465000</v>
      </c>
      <c r="G8572">
        <v>77.069999999999993</v>
      </c>
      <c r="H8572" t="s">
        <v>11</v>
      </c>
      <c r="I8572" s="22">
        <f t="shared" si="267"/>
        <v>-1.2974375626382894E-4</v>
      </c>
      <c r="J8572" s="22" t="str">
        <f t="shared" si="268"/>
        <v/>
      </c>
    </row>
    <row r="8573" spans="1:10">
      <c r="A8573" s="1">
        <v>41485</v>
      </c>
      <c r="B8573">
        <v>78.209999999999994</v>
      </c>
      <c r="C8573">
        <v>78.36</v>
      </c>
      <c r="D8573">
        <v>77.69</v>
      </c>
      <c r="E8573">
        <v>77.89</v>
      </c>
      <c r="F8573">
        <v>4533700</v>
      </c>
      <c r="G8573">
        <v>76.97</v>
      </c>
      <c r="H8573" t="s">
        <v>11</v>
      </c>
      <c r="I8573" s="22">
        <f t="shared" si="267"/>
        <v>-1.2983642436757725E-3</v>
      </c>
      <c r="J8573" s="22" t="str">
        <f t="shared" si="268"/>
        <v>lost money</v>
      </c>
    </row>
    <row r="8574" spans="1:10">
      <c r="A8574" s="1">
        <v>41486</v>
      </c>
      <c r="B8574">
        <v>77.92</v>
      </c>
      <c r="C8574">
        <v>78.48</v>
      </c>
      <c r="D8574">
        <v>77.73</v>
      </c>
      <c r="E8574">
        <v>77.94</v>
      </c>
      <c r="F8574">
        <v>6040800</v>
      </c>
      <c r="G8574">
        <v>77.02</v>
      </c>
      <c r="H8574" t="s">
        <v>11</v>
      </c>
      <c r="I8574" s="22">
        <f t="shared" si="267"/>
        <v>6.4939284053663654E-4</v>
      </c>
      <c r="J8574" s="22" t="str">
        <f t="shared" si="268"/>
        <v/>
      </c>
    </row>
    <row r="8575" spans="1:10">
      <c r="A8575" s="1">
        <v>41487</v>
      </c>
      <c r="B8575">
        <v>78.42</v>
      </c>
      <c r="C8575">
        <v>78.67</v>
      </c>
      <c r="D8575">
        <v>78.11</v>
      </c>
      <c r="E8575">
        <v>78.22</v>
      </c>
      <c r="F8575">
        <v>5168700</v>
      </c>
      <c r="G8575">
        <v>77.3</v>
      </c>
      <c r="H8575" t="s">
        <v>11</v>
      </c>
      <c r="I8575" s="22">
        <f t="shared" si="267"/>
        <v>3.6288272066133821E-3</v>
      </c>
      <c r="J8575" s="22" t="str">
        <f t="shared" si="268"/>
        <v>lost money</v>
      </c>
    </row>
    <row r="8576" spans="1:10">
      <c r="A8576" s="1">
        <v>41488</v>
      </c>
      <c r="B8576">
        <v>78.25</v>
      </c>
      <c r="C8576">
        <v>78.75</v>
      </c>
      <c r="D8576">
        <v>78</v>
      </c>
      <c r="E8576">
        <v>78.75</v>
      </c>
      <c r="F8576">
        <v>6123900</v>
      </c>
      <c r="G8576">
        <v>77.819999999999993</v>
      </c>
      <c r="H8576" t="s">
        <v>11</v>
      </c>
      <c r="I8576" s="22">
        <f t="shared" si="267"/>
        <v>6.7045119630312379E-3</v>
      </c>
      <c r="J8576" s="22" t="str">
        <f t="shared" si="268"/>
        <v/>
      </c>
    </row>
    <row r="8577" spans="1:10">
      <c r="A8577" s="1">
        <v>41491</v>
      </c>
      <c r="B8577">
        <v>78.62</v>
      </c>
      <c r="C8577">
        <v>79</v>
      </c>
      <c r="D8577">
        <v>78.430000000000007</v>
      </c>
      <c r="E8577">
        <v>78.77</v>
      </c>
      <c r="F8577">
        <v>3906100</v>
      </c>
      <c r="G8577">
        <v>77.84</v>
      </c>
      <c r="H8577" t="s">
        <v>11</v>
      </c>
      <c r="I8577" s="22">
        <f t="shared" si="267"/>
        <v>2.5697032134228977E-4</v>
      </c>
      <c r="J8577" s="22" t="str">
        <f t="shared" si="268"/>
        <v/>
      </c>
    </row>
    <row r="8578" spans="1:10">
      <c r="A8578" s="1">
        <v>41492</v>
      </c>
      <c r="B8578">
        <v>78.56</v>
      </c>
      <c r="C8578">
        <v>78.569999999999993</v>
      </c>
      <c r="D8578">
        <v>77.56</v>
      </c>
      <c r="E8578">
        <v>77.87</v>
      </c>
      <c r="F8578">
        <v>6700900</v>
      </c>
      <c r="G8578">
        <v>76.95</v>
      </c>
      <c r="H8578" t="s">
        <v>11</v>
      </c>
      <c r="I8578" s="22">
        <f t="shared" si="267"/>
        <v>-1.1499577592861415E-2</v>
      </c>
      <c r="J8578" s="22" t="str">
        <f t="shared" si="268"/>
        <v>lost money</v>
      </c>
    </row>
    <row r="8579" spans="1:10">
      <c r="A8579" s="1">
        <v>41493</v>
      </c>
      <c r="B8579">
        <v>77.16</v>
      </c>
      <c r="C8579">
        <v>77.63</v>
      </c>
      <c r="D8579">
        <v>76.62</v>
      </c>
      <c r="E8579">
        <v>77.37</v>
      </c>
      <c r="F8579">
        <v>5819700</v>
      </c>
      <c r="G8579">
        <v>76.92</v>
      </c>
      <c r="H8579" t="s">
        <v>11</v>
      </c>
      <c r="I8579" s="22">
        <f t="shared" ref="I8579:I8642" si="269">IF(A8579=$A$2,"",LN(G8579/G8578))</f>
        <v>-3.8993956430923899E-4</v>
      </c>
      <c r="J8579" s="22" t="str">
        <f t="shared" ref="J8579:J8642" si="270">IF(B8579&gt;E8579,"lost money","")</f>
        <v/>
      </c>
    </row>
    <row r="8580" spans="1:10">
      <c r="A8580" s="1">
        <v>41494</v>
      </c>
      <c r="B8580">
        <v>77.510000000000005</v>
      </c>
      <c r="C8580">
        <v>77.89</v>
      </c>
      <c r="D8580">
        <v>76.930000000000007</v>
      </c>
      <c r="E8580">
        <v>77.25</v>
      </c>
      <c r="F8580">
        <v>4474700</v>
      </c>
      <c r="G8580">
        <v>76.8</v>
      </c>
      <c r="H8580" t="s">
        <v>11</v>
      </c>
      <c r="I8580" s="22">
        <f t="shared" si="269"/>
        <v>-1.5612805669525758E-3</v>
      </c>
      <c r="J8580" s="22" t="str">
        <f t="shared" si="270"/>
        <v>lost money</v>
      </c>
    </row>
    <row r="8581" spans="1:10">
      <c r="A8581" s="1">
        <v>41495</v>
      </c>
      <c r="B8581">
        <v>77.209999999999994</v>
      </c>
      <c r="C8581">
        <v>77.319999999999993</v>
      </c>
      <c r="D8581">
        <v>76.77</v>
      </c>
      <c r="E8581">
        <v>76.900000000000006</v>
      </c>
      <c r="F8581">
        <v>5764600</v>
      </c>
      <c r="G8581">
        <v>76.45</v>
      </c>
      <c r="H8581" t="s">
        <v>11</v>
      </c>
      <c r="I8581" s="22">
        <f t="shared" si="269"/>
        <v>-4.5677077785551377E-3</v>
      </c>
      <c r="J8581" s="22" t="str">
        <f t="shared" si="270"/>
        <v>lost money</v>
      </c>
    </row>
    <row r="8582" spans="1:10">
      <c r="A8582" s="1">
        <v>41498</v>
      </c>
      <c r="B8582">
        <v>76.56</v>
      </c>
      <c r="C8582">
        <v>77.39</v>
      </c>
      <c r="D8582">
        <v>76.489999999999995</v>
      </c>
      <c r="E8582">
        <v>77.08</v>
      </c>
      <c r="F8582">
        <v>5787000</v>
      </c>
      <c r="G8582">
        <v>76.63</v>
      </c>
      <c r="H8582" t="s">
        <v>11</v>
      </c>
      <c r="I8582" s="22">
        <f t="shared" si="269"/>
        <v>2.3517126072415012E-3</v>
      </c>
      <c r="J8582" s="22" t="str">
        <f t="shared" si="270"/>
        <v/>
      </c>
    </row>
    <row r="8583" spans="1:10">
      <c r="A8583" s="1">
        <v>41499</v>
      </c>
      <c r="B8583">
        <v>77.17</v>
      </c>
      <c r="C8583">
        <v>77.25</v>
      </c>
      <c r="D8583">
        <v>76.22</v>
      </c>
      <c r="E8583">
        <v>76.86</v>
      </c>
      <c r="F8583">
        <v>6381000</v>
      </c>
      <c r="G8583">
        <v>76.42</v>
      </c>
      <c r="H8583" t="s">
        <v>11</v>
      </c>
      <c r="I8583" s="22">
        <f t="shared" si="269"/>
        <v>-2.7442029635590297E-3</v>
      </c>
      <c r="J8583" s="22" t="str">
        <f t="shared" si="270"/>
        <v>lost money</v>
      </c>
    </row>
    <row r="8584" spans="1:10">
      <c r="A8584" s="1">
        <v>41500</v>
      </c>
      <c r="B8584">
        <v>76.81</v>
      </c>
      <c r="C8584">
        <v>77.22</v>
      </c>
      <c r="D8584">
        <v>76.23</v>
      </c>
      <c r="E8584">
        <v>76.400000000000006</v>
      </c>
      <c r="F8584">
        <v>6820100</v>
      </c>
      <c r="G8584">
        <v>75.959999999999994</v>
      </c>
      <c r="H8584" t="s">
        <v>11</v>
      </c>
      <c r="I8584" s="22">
        <f t="shared" si="269"/>
        <v>-6.0375560746688201E-3</v>
      </c>
      <c r="J8584" s="22" t="str">
        <f t="shared" si="270"/>
        <v>lost money</v>
      </c>
    </row>
    <row r="8585" spans="1:10">
      <c r="A8585" s="1">
        <v>41501</v>
      </c>
      <c r="B8585">
        <v>74.459999999999994</v>
      </c>
      <c r="C8585">
        <v>75.08</v>
      </c>
      <c r="D8585">
        <v>74.03</v>
      </c>
      <c r="E8585">
        <v>74.41</v>
      </c>
      <c r="F8585">
        <v>13221500</v>
      </c>
      <c r="G8585">
        <v>73.98</v>
      </c>
      <c r="H8585" t="s">
        <v>11</v>
      </c>
      <c r="I8585" s="22">
        <f t="shared" si="269"/>
        <v>-2.6412099539777075E-2</v>
      </c>
      <c r="J8585" s="22" t="str">
        <f t="shared" si="270"/>
        <v>lost money</v>
      </c>
    </row>
    <row r="8586" spans="1:10">
      <c r="A8586" s="1">
        <v>41502</v>
      </c>
      <c r="B8586">
        <v>74.12</v>
      </c>
      <c r="C8586">
        <v>74.5</v>
      </c>
      <c r="D8586">
        <v>73.7</v>
      </c>
      <c r="E8586">
        <v>74.11</v>
      </c>
      <c r="F8586">
        <v>7254500</v>
      </c>
      <c r="G8586">
        <v>73.680000000000007</v>
      </c>
      <c r="H8586" t="s">
        <v>11</v>
      </c>
      <c r="I8586" s="22">
        <f t="shared" si="269"/>
        <v>-4.0633944572564832E-3</v>
      </c>
      <c r="J8586" s="22" t="str">
        <f t="shared" si="270"/>
        <v>lost money</v>
      </c>
    </row>
    <row r="8587" spans="1:10">
      <c r="A8587" s="1">
        <v>41505</v>
      </c>
      <c r="B8587">
        <v>73.88</v>
      </c>
      <c r="C8587">
        <v>73.930000000000007</v>
      </c>
      <c r="D8587">
        <v>73.209999999999994</v>
      </c>
      <c r="E8587">
        <v>73.58</v>
      </c>
      <c r="F8587">
        <v>5364900</v>
      </c>
      <c r="G8587">
        <v>73.150000000000006</v>
      </c>
      <c r="H8587" t="s">
        <v>11</v>
      </c>
      <c r="I8587" s="22">
        <f t="shared" si="269"/>
        <v>-7.2192644809181486E-3</v>
      </c>
      <c r="J8587" s="22" t="str">
        <f t="shared" si="270"/>
        <v>lost money</v>
      </c>
    </row>
    <row r="8588" spans="1:10">
      <c r="A8588" s="1">
        <v>41506</v>
      </c>
      <c r="B8588">
        <v>73.55</v>
      </c>
      <c r="C8588">
        <v>73.62</v>
      </c>
      <c r="D8588">
        <v>73.2</v>
      </c>
      <c r="E8588">
        <v>73.23</v>
      </c>
      <c r="F8588">
        <v>6663100</v>
      </c>
      <c r="G8588">
        <v>72.81</v>
      </c>
      <c r="H8588" t="s">
        <v>11</v>
      </c>
      <c r="I8588" s="22">
        <f t="shared" si="269"/>
        <v>-4.6588190595136074E-3</v>
      </c>
      <c r="J8588" s="22" t="str">
        <f t="shared" si="270"/>
        <v>lost money</v>
      </c>
    </row>
    <row r="8589" spans="1:10">
      <c r="A8589" s="1">
        <v>41507</v>
      </c>
      <c r="B8589">
        <v>73.16</v>
      </c>
      <c r="C8589">
        <v>74.13</v>
      </c>
      <c r="D8589">
        <v>72.930000000000007</v>
      </c>
      <c r="E8589">
        <v>73.55</v>
      </c>
      <c r="F8589">
        <v>8077900</v>
      </c>
      <c r="G8589">
        <v>73.12</v>
      </c>
      <c r="H8589" t="s">
        <v>11</v>
      </c>
      <c r="I8589" s="22">
        <f t="shared" si="269"/>
        <v>4.2486187392750049E-3</v>
      </c>
      <c r="J8589" s="22" t="str">
        <f t="shared" si="270"/>
        <v/>
      </c>
    </row>
    <row r="8590" spans="1:10">
      <c r="A8590" s="1">
        <v>41508</v>
      </c>
      <c r="B8590">
        <v>73.81</v>
      </c>
      <c r="C8590">
        <v>74.03</v>
      </c>
      <c r="D8590">
        <v>73.239999999999995</v>
      </c>
      <c r="E8590">
        <v>73.459999999999994</v>
      </c>
      <c r="F8590">
        <v>3947400</v>
      </c>
      <c r="G8590">
        <v>73.03</v>
      </c>
      <c r="H8590" t="s">
        <v>11</v>
      </c>
      <c r="I8590" s="22">
        <f t="shared" si="269"/>
        <v>-1.2316115138762138E-3</v>
      </c>
      <c r="J8590" s="22" t="str">
        <f t="shared" si="270"/>
        <v>lost money</v>
      </c>
    </row>
    <row r="8591" spans="1:10">
      <c r="A8591" s="1">
        <v>41509</v>
      </c>
      <c r="B8591">
        <v>73.650000000000006</v>
      </c>
      <c r="C8591">
        <v>73.75</v>
      </c>
      <c r="D8591">
        <v>73.03</v>
      </c>
      <c r="E8591">
        <v>73.44</v>
      </c>
      <c r="F8591">
        <v>5474100</v>
      </c>
      <c r="G8591">
        <v>73.010000000000005</v>
      </c>
      <c r="H8591" t="s">
        <v>11</v>
      </c>
      <c r="I8591" s="22">
        <f t="shared" si="269"/>
        <v>-2.7389756402390776E-4</v>
      </c>
      <c r="J8591" s="22" t="str">
        <f t="shared" si="270"/>
        <v>lost money</v>
      </c>
    </row>
    <row r="8592" spans="1:10">
      <c r="A8592" s="1">
        <v>41512</v>
      </c>
      <c r="B8592">
        <v>73.64</v>
      </c>
      <c r="C8592">
        <v>73.75</v>
      </c>
      <c r="D8592">
        <v>73.03</v>
      </c>
      <c r="E8592">
        <v>73.03</v>
      </c>
      <c r="F8592">
        <v>5348200</v>
      </c>
      <c r="G8592">
        <v>72.61</v>
      </c>
      <c r="H8592" t="s">
        <v>11</v>
      </c>
      <c r="I8592" s="22">
        <f t="shared" si="269"/>
        <v>-5.4937646758390375E-3</v>
      </c>
      <c r="J8592" s="22" t="str">
        <f t="shared" si="270"/>
        <v>lost money</v>
      </c>
    </row>
    <row r="8593" spans="1:10">
      <c r="A8593" s="1">
        <v>41513</v>
      </c>
      <c r="B8593">
        <v>72.680000000000007</v>
      </c>
      <c r="C8593">
        <v>73.11</v>
      </c>
      <c r="D8593">
        <v>72.510000000000005</v>
      </c>
      <c r="E8593">
        <v>72.86</v>
      </c>
      <c r="F8593">
        <v>5787600</v>
      </c>
      <c r="G8593">
        <v>72.44</v>
      </c>
      <c r="H8593" t="s">
        <v>11</v>
      </c>
      <c r="I8593" s="22">
        <f t="shared" si="269"/>
        <v>-2.3440203769428173E-3</v>
      </c>
      <c r="J8593" s="22" t="str">
        <f t="shared" si="270"/>
        <v/>
      </c>
    </row>
    <row r="8594" spans="1:10">
      <c r="A8594" s="1">
        <v>41514</v>
      </c>
      <c r="B8594">
        <v>72.66</v>
      </c>
      <c r="C8594">
        <v>72.86</v>
      </c>
      <c r="D8594">
        <v>72.27</v>
      </c>
      <c r="E8594">
        <v>72.38</v>
      </c>
      <c r="F8594">
        <v>5608600</v>
      </c>
      <c r="G8594">
        <v>71.959999999999994</v>
      </c>
      <c r="H8594" t="s">
        <v>11</v>
      </c>
      <c r="I8594" s="22">
        <f t="shared" si="269"/>
        <v>-6.6482239328803008E-3</v>
      </c>
      <c r="J8594" s="22" t="str">
        <f t="shared" si="270"/>
        <v>lost money</v>
      </c>
    </row>
    <row r="8595" spans="1:10">
      <c r="A8595" s="1">
        <v>41515</v>
      </c>
      <c r="B8595">
        <v>72.349999999999994</v>
      </c>
      <c r="C8595">
        <v>72.88</v>
      </c>
      <c r="D8595">
        <v>72.23</v>
      </c>
      <c r="E8595">
        <v>72.430000000000007</v>
      </c>
      <c r="F8595">
        <v>4088200</v>
      </c>
      <c r="G8595">
        <v>72.010000000000005</v>
      </c>
      <c r="H8595" t="s">
        <v>11</v>
      </c>
      <c r="I8595" s="22">
        <f t="shared" si="269"/>
        <v>6.9458917844330496E-4</v>
      </c>
      <c r="J8595" s="22" t="str">
        <f t="shared" si="270"/>
        <v/>
      </c>
    </row>
    <row r="8596" spans="1:10">
      <c r="A8596" s="1">
        <v>41516</v>
      </c>
      <c r="B8596">
        <v>72.64</v>
      </c>
      <c r="C8596">
        <v>73.069999999999993</v>
      </c>
      <c r="D8596">
        <v>72.58</v>
      </c>
      <c r="E8596">
        <v>72.98</v>
      </c>
      <c r="F8596">
        <v>6066200</v>
      </c>
      <c r="G8596">
        <v>72.56</v>
      </c>
      <c r="H8596" t="s">
        <v>11</v>
      </c>
      <c r="I8596" s="22">
        <f t="shared" si="269"/>
        <v>7.6088075461056733E-3</v>
      </c>
      <c r="J8596" s="22" t="str">
        <f t="shared" si="270"/>
        <v/>
      </c>
    </row>
    <row r="8597" spans="1:10">
      <c r="A8597" s="1">
        <v>41520</v>
      </c>
      <c r="B8597">
        <v>73.48</v>
      </c>
      <c r="C8597">
        <v>73.58</v>
      </c>
      <c r="D8597">
        <v>72.540000000000006</v>
      </c>
      <c r="E8597">
        <v>72.680000000000007</v>
      </c>
      <c r="F8597">
        <v>7157000</v>
      </c>
      <c r="G8597">
        <v>72.260000000000005</v>
      </c>
      <c r="H8597" t="s">
        <v>11</v>
      </c>
      <c r="I8597" s="22">
        <f t="shared" si="269"/>
        <v>-4.1430800873869956E-3</v>
      </c>
      <c r="J8597" s="22" t="str">
        <f t="shared" si="270"/>
        <v>lost money</v>
      </c>
    </row>
    <row r="8598" spans="1:10">
      <c r="A8598" s="1">
        <v>41521</v>
      </c>
      <c r="B8598">
        <v>72.7</v>
      </c>
      <c r="C8598">
        <v>73.12</v>
      </c>
      <c r="D8598">
        <v>72.45</v>
      </c>
      <c r="E8598">
        <v>72.91</v>
      </c>
      <c r="F8598">
        <v>4667500</v>
      </c>
      <c r="G8598">
        <v>72.489999999999995</v>
      </c>
      <c r="H8598" t="s">
        <v>11</v>
      </c>
      <c r="I8598" s="22">
        <f t="shared" si="269"/>
        <v>3.1778955932920756E-3</v>
      </c>
      <c r="J8598" s="22" t="str">
        <f t="shared" si="270"/>
        <v/>
      </c>
    </row>
    <row r="8599" spans="1:10">
      <c r="A8599" s="1">
        <v>41522</v>
      </c>
      <c r="B8599">
        <v>72.84</v>
      </c>
      <c r="C8599">
        <v>73.48</v>
      </c>
      <c r="D8599">
        <v>72.62</v>
      </c>
      <c r="E8599">
        <v>72.67</v>
      </c>
      <c r="F8599">
        <v>4680500</v>
      </c>
      <c r="G8599">
        <v>72.25</v>
      </c>
      <c r="H8599" t="s">
        <v>11</v>
      </c>
      <c r="I8599" s="22">
        <f t="shared" si="269"/>
        <v>-3.3162943202448094E-3</v>
      </c>
      <c r="J8599" s="22" t="str">
        <f t="shared" si="270"/>
        <v>lost money</v>
      </c>
    </row>
    <row r="8600" spans="1:10">
      <c r="A8600" s="1">
        <v>41523</v>
      </c>
      <c r="B8600">
        <v>72.7</v>
      </c>
      <c r="C8600">
        <v>73.16</v>
      </c>
      <c r="D8600">
        <v>72.19</v>
      </c>
      <c r="E8600">
        <v>72.59</v>
      </c>
      <c r="F8600">
        <v>5790200</v>
      </c>
      <c r="G8600">
        <v>72.17</v>
      </c>
      <c r="H8600" t="s">
        <v>11</v>
      </c>
      <c r="I8600" s="22">
        <f t="shared" si="269"/>
        <v>-1.1078799083596518E-3</v>
      </c>
      <c r="J8600" s="22" t="str">
        <f t="shared" si="270"/>
        <v>lost money</v>
      </c>
    </row>
    <row r="8601" spans="1:10">
      <c r="A8601" s="1">
        <v>41526</v>
      </c>
      <c r="B8601">
        <v>72.849999999999994</v>
      </c>
      <c r="C8601">
        <v>73.650000000000006</v>
      </c>
      <c r="D8601">
        <v>72.7</v>
      </c>
      <c r="E8601">
        <v>73.510000000000005</v>
      </c>
      <c r="F8601">
        <v>5523000</v>
      </c>
      <c r="G8601">
        <v>73.08</v>
      </c>
      <c r="H8601" t="s">
        <v>11</v>
      </c>
      <c r="I8601" s="22">
        <f t="shared" si="269"/>
        <v>1.2530284425624035E-2</v>
      </c>
      <c r="J8601" s="22" t="str">
        <f t="shared" si="270"/>
        <v/>
      </c>
    </row>
    <row r="8602" spans="1:10">
      <c r="A8602" s="1">
        <v>41527</v>
      </c>
      <c r="B8602">
        <v>73.66</v>
      </c>
      <c r="C8602">
        <v>74.209999999999994</v>
      </c>
      <c r="D8602">
        <v>73.569999999999993</v>
      </c>
      <c r="E8602">
        <v>73.959999999999994</v>
      </c>
      <c r="F8602">
        <v>6845300</v>
      </c>
      <c r="G8602">
        <v>73.53</v>
      </c>
      <c r="H8602" t="s">
        <v>11</v>
      </c>
      <c r="I8602" s="22">
        <f t="shared" si="269"/>
        <v>6.1387546983250624E-3</v>
      </c>
      <c r="J8602" s="22" t="str">
        <f t="shared" si="270"/>
        <v/>
      </c>
    </row>
    <row r="8603" spans="1:10">
      <c r="A8603" s="1">
        <v>41528</v>
      </c>
      <c r="B8603">
        <v>74</v>
      </c>
      <c r="C8603">
        <v>74.239999999999995</v>
      </c>
      <c r="D8603">
        <v>73.66</v>
      </c>
      <c r="E8603">
        <v>74.05</v>
      </c>
      <c r="F8603">
        <v>5335800</v>
      </c>
      <c r="G8603">
        <v>73.62</v>
      </c>
      <c r="H8603" t="s">
        <v>11</v>
      </c>
      <c r="I8603" s="22">
        <f t="shared" si="269"/>
        <v>1.2232417427442321E-3</v>
      </c>
      <c r="J8603" s="22" t="str">
        <f t="shared" si="270"/>
        <v/>
      </c>
    </row>
    <row r="8604" spans="1:10">
      <c r="A8604" s="1">
        <v>41529</v>
      </c>
      <c r="B8604">
        <v>74.180000000000007</v>
      </c>
      <c r="C8604">
        <v>74.52</v>
      </c>
      <c r="D8604">
        <v>73.77</v>
      </c>
      <c r="E8604">
        <v>73.91</v>
      </c>
      <c r="F8604">
        <v>5261800</v>
      </c>
      <c r="G8604">
        <v>73.48</v>
      </c>
      <c r="H8604" t="s">
        <v>11</v>
      </c>
      <c r="I8604" s="22">
        <f t="shared" si="269"/>
        <v>-1.9034676039501579E-3</v>
      </c>
      <c r="J8604" s="22" t="str">
        <f t="shared" si="270"/>
        <v>lost money</v>
      </c>
    </row>
    <row r="8605" spans="1:10">
      <c r="A8605" s="1">
        <v>41530</v>
      </c>
      <c r="B8605">
        <v>74.13</v>
      </c>
      <c r="C8605">
        <v>74.400000000000006</v>
      </c>
      <c r="D8605">
        <v>73.98</v>
      </c>
      <c r="E8605">
        <v>74.36</v>
      </c>
      <c r="F8605">
        <v>4020400</v>
      </c>
      <c r="G8605">
        <v>73.930000000000007</v>
      </c>
      <c r="H8605" t="s">
        <v>11</v>
      </c>
      <c r="I8605" s="22">
        <f t="shared" si="269"/>
        <v>6.1054392220837167E-3</v>
      </c>
      <c r="J8605" s="22" t="str">
        <f t="shared" si="270"/>
        <v/>
      </c>
    </row>
    <row r="8606" spans="1:10">
      <c r="A8606" s="1">
        <v>41533</v>
      </c>
      <c r="B8606">
        <v>74.900000000000006</v>
      </c>
      <c r="C8606">
        <v>75.19</v>
      </c>
      <c r="D8606">
        <v>74.69</v>
      </c>
      <c r="E8606">
        <v>74.78</v>
      </c>
      <c r="F8606">
        <v>4200600</v>
      </c>
      <c r="G8606">
        <v>74.349999999999994</v>
      </c>
      <c r="H8606" t="s">
        <v>11</v>
      </c>
      <c r="I8606" s="22">
        <f t="shared" si="269"/>
        <v>5.6649733371552709E-3</v>
      </c>
      <c r="J8606" s="22" t="str">
        <f t="shared" si="270"/>
        <v>lost money</v>
      </c>
    </row>
    <row r="8607" spans="1:10">
      <c r="A8607" s="1">
        <v>41534</v>
      </c>
      <c r="B8607">
        <v>74.84</v>
      </c>
      <c r="C8607">
        <v>75.47</v>
      </c>
      <c r="D8607">
        <v>74.790000000000006</v>
      </c>
      <c r="E8607">
        <v>75.150000000000006</v>
      </c>
      <c r="F8607">
        <v>4291800</v>
      </c>
      <c r="G8607">
        <v>74.72</v>
      </c>
      <c r="H8607" t="s">
        <v>11</v>
      </c>
      <c r="I8607" s="22">
        <f t="shared" si="269"/>
        <v>4.9641210144232431E-3</v>
      </c>
      <c r="J8607" s="22" t="str">
        <f t="shared" si="270"/>
        <v/>
      </c>
    </row>
    <row r="8608" spans="1:10">
      <c r="A8608" s="1">
        <v>41535</v>
      </c>
      <c r="B8608">
        <v>75.16</v>
      </c>
      <c r="C8608">
        <v>76.53</v>
      </c>
      <c r="D8608">
        <v>74.900000000000006</v>
      </c>
      <c r="E8608">
        <v>76.42</v>
      </c>
      <c r="F8608">
        <v>6881700</v>
      </c>
      <c r="G8608">
        <v>75.98</v>
      </c>
      <c r="H8608" t="s">
        <v>11</v>
      </c>
      <c r="I8608" s="22">
        <f t="shared" si="269"/>
        <v>1.6722353838892402E-2</v>
      </c>
      <c r="J8608" s="22" t="str">
        <f t="shared" si="270"/>
        <v/>
      </c>
    </row>
    <row r="8609" spans="1:10">
      <c r="A8609" s="1">
        <v>41536</v>
      </c>
      <c r="B8609">
        <v>76.5</v>
      </c>
      <c r="C8609">
        <v>76.53</v>
      </c>
      <c r="D8609">
        <v>75.62</v>
      </c>
      <c r="E8609">
        <v>76.209999999999994</v>
      </c>
      <c r="F8609">
        <v>7109500</v>
      </c>
      <c r="G8609">
        <v>75.77</v>
      </c>
      <c r="H8609" t="s">
        <v>11</v>
      </c>
      <c r="I8609" s="22">
        <f t="shared" si="269"/>
        <v>-2.7677118161975765E-3</v>
      </c>
      <c r="J8609" s="22" t="str">
        <f t="shared" si="270"/>
        <v>lost money</v>
      </c>
    </row>
    <row r="8610" spans="1:10">
      <c r="A8610" s="1">
        <v>41537</v>
      </c>
      <c r="B8610">
        <v>76.319999999999993</v>
      </c>
      <c r="C8610">
        <v>76.45</v>
      </c>
      <c r="D8610">
        <v>75.83</v>
      </c>
      <c r="E8610">
        <v>75.83</v>
      </c>
      <c r="F8610">
        <v>8847600</v>
      </c>
      <c r="G8610">
        <v>75.39</v>
      </c>
      <c r="H8610" t="s">
        <v>11</v>
      </c>
      <c r="I8610" s="22">
        <f t="shared" si="269"/>
        <v>-5.0277957196715019E-3</v>
      </c>
      <c r="J8610" s="22" t="str">
        <f t="shared" si="270"/>
        <v>lost money</v>
      </c>
    </row>
    <row r="8611" spans="1:10">
      <c r="A8611" s="1">
        <v>41540</v>
      </c>
      <c r="B8611">
        <v>75.39</v>
      </c>
      <c r="C8611">
        <v>76.430000000000007</v>
      </c>
      <c r="D8611">
        <v>75.2</v>
      </c>
      <c r="E8611">
        <v>76.42</v>
      </c>
      <c r="F8611">
        <v>5604700</v>
      </c>
      <c r="G8611">
        <v>75.98</v>
      </c>
      <c r="H8611" t="s">
        <v>11</v>
      </c>
      <c r="I8611" s="22">
        <f t="shared" si="269"/>
        <v>7.7955075358691244E-3</v>
      </c>
      <c r="J8611" s="22" t="str">
        <f t="shared" si="270"/>
        <v/>
      </c>
    </row>
    <row r="8612" spans="1:10">
      <c r="A8612" s="1">
        <v>41541</v>
      </c>
      <c r="B8612">
        <v>76.400000000000006</v>
      </c>
      <c r="C8612">
        <v>76.73</v>
      </c>
      <c r="D8612">
        <v>75.69</v>
      </c>
      <c r="E8612">
        <v>75.75</v>
      </c>
      <c r="F8612">
        <v>6874800</v>
      </c>
      <c r="G8612">
        <v>75.31</v>
      </c>
      <c r="H8612" t="s">
        <v>11</v>
      </c>
      <c r="I8612" s="22">
        <f t="shared" si="269"/>
        <v>-8.8572196462192252E-3</v>
      </c>
      <c r="J8612" s="22" t="str">
        <f t="shared" si="270"/>
        <v>lost money</v>
      </c>
    </row>
    <row r="8613" spans="1:10">
      <c r="A8613" s="1">
        <v>41542</v>
      </c>
      <c r="B8613">
        <v>75.91</v>
      </c>
      <c r="C8613">
        <v>75.94</v>
      </c>
      <c r="D8613">
        <v>73.56</v>
      </c>
      <c r="E8613">
        <v>74.650000000000006</v>
      </c>
      <c r="F8613">
        <v>14972300</v>
      </c>
      <c r="G8613">
        <v>74.22</v>
      </c>
      <c r="H8613" t="s">
        <v>11</v>
      </c>
      <c r="I8613" s="22">
        <f t="shared" si="269"/>
        <v>-1.4579272480808824E-2</v>
      </c>
      <c r="J8613" s="22" t="str">
        <f t="shared" si="270"/>
        <v>lost money</v>
      </c>
    </row>
    <row r="8614" spans="1:10">
      <c r="A8614" s="1">
        <v>41543</v>
      </c>
      <c r="B8614">
        <v>74.78</v>
      </c>
      <c r="C8614">
        <v>74.98</v>
      </c>
      <c r="D8614">
        <v>74.22</v>
      </c>
      <c r="E8614">
        <v>74.62</v>
      </c>
      <c r="F8614">
        <v>5078100</v>
      </c>
      <c r="G8614">
        <v>74.19</v>
      </c>
      <c r="H8614" t="s">
        <v>11</v>
      </c>
      <c r="I8614" s="22">
        <f t="shared" si="269"/>
        <v>-4.0428543101701521E-4</v>
      </c>
      <c r="J8614" s="22" t="str">
        <f t="shared" si="270"/>
        <v>lost money</v>
      </c>
    </row>
    <row r="8615" spans="1:10">
      <c r="A8615" s="1">
        <v>41544</v>
      </c>
      <c r="B8615">
        <v>74.38</v>
      </c>
      <c r="C8615">
        <v>74.459999999999994</v>
      </c>
      <c r="D8615">
        <v>74.069999999999993</v>
      </c>
      <c r="E8615">
        <v>74.36</v>
      </c>
      <c r="F8615">
        <v>4214600</v>
      </c>
      <c r="G8615">
        <v>73.930000000000007</v>
      </c>
      <c r="H8615" t="s">
        <v>11</v>
      </c>
      <c r="I8615" s="22">
        <f t="shared" si="269"/>
        <v>-3.5106706324257659E-3</v>
      </c>
      <c r="J8615" s="22" t="str">
        <f t="shared" si="270"/>
        <v>lost money</v>
      </c>
    </row>
    <row r="8616" spans="1:10">
      <c r="A8616" s="1">
        <v>41547</v>
      </c>
      <c r="B8616">
        <v>74.28</v>
      </c>
      <c r="C8616">
        <v>74.599999999999994</v>
      </c>
      <c r="D8616">
        <v>73.739999999999995</v>
      </c>
      <c r="E8616">
        <v>73.959999999999994</v>
      </c>
      <c r="F8616">
        <v>6752500</v>
      </c>
      <c r="G8616">
        <v>73.53</v>
      </c>
      <c r="H8616" t="s">
        <v>11</v>
      </c>
      <c r="I8616" s="22">
        <f t="shared" si="269"/>
        <v>-5.4252133608778761E-3</v>
      </c>
      <c r="J8616" s="22" t="str">
        <f t="shared" si="270"/>
        <v>lost money</v>
      </c>
    </row>
    <row r="8617" spans="1:10">
      <c r="A8617" s="1">
        <v>41548</v>
      </c>
      <c r="B8617">
        <v>73.87</v>
      </c>
      <c r="C8617">
        <v>73.89</v>
      </c>
      <c r="D8617">
        <v>73.319999999999993</v>
      </c>
      <c r="E8617">
        <v>73.59</v>
      </c>
      <c r="F8617">
        <v>5675500</v>
      </c>
      <c r="G8617">
        <v>73.16</v>
      </c>
      <c r="H8617" t="s">
        <v>11</v>
      </c>
      <c r="I8617" s="22">
        <f t="shared" si="269"/>
        <v>-5.0446626854660399E-3</v>
      </c>
      <c r="J8617" s="22" t="str">
        <f t="shared" si="270"/>
        <v>lost money</v>
      </c>
    </row>
    <row r="8618" spans="1:10">
      <c r="A8618" s="1">
        <v>41549</v>
      </c>
      <c r="B8618">
        <v>73.39</v>
      </c>
      <c r="C8618">
        <v>73.72</v>
      </c>
      <c r="D8618">
        <v>73.040000000000006</v>
      </c>
      <c r="E8618">
        <v>73.72</v>
      </c>
      <c r="F8618">
        <v>7376100</v>
      </c>
      <c r="G8618">
        <v>73.290000000000006</v>
      </c>
      <c r="H8618" t="s">
        <v>11</v>
      </c>
      <c r="I8618" s="22">
        <f t="shared" si="269"/>
        <v>1.7753504150939254E-3</v>
      </c>
      <c r="J8618" s="22" t="str">
        <f t="shared" si="270"/>
        <v/>
      </c>
    </row>
    <row r="8619" spans="1:10">
      <c r="A8619" s="1">
        <v>41550</v>
      </c>
      <c r="B8619">
        <v>73.53</v>
      </c>
      <c r="C8619">
        <v>73.53</v>
      </c>
      <c r="D8619">
        <v>72.95</v>
      </c>
      <c r="E8619">
        <v>73.16</v>
      </c>
      <c r="F8619">
        <v>7179600</v>
      </c>
      <c r="G8619">
        <v>72.739999999999995</v>
      </c>
      <c r="H8619" t="s">
        <v>11</v>
      </c>
      <c r="I8619" s="22">
        <f t="shared" si="269"/>
        <v>-7.53273437891595E-3</v>
      </c>
      <c r="J8619" s="22" t="str">
        <f t="shared" si="270"/>
        <v>lost money</v>
      </c>
    </row>
    <row r="8620" spans="1:10">
      <c r="A8620" s="1">
        <v>41551</v>
      </c>
      <c r="B8620">
        <v>73.010000000000005</v>
      </c>
      <c r="C8620">
        <v>73.38</v>
      </c>
      <c r="D8620">
        <v>72.790000000000006</v>
      </c>
      <c r="E8620">
        <v>72.8</v>
      </c>
      <c r="F8620">
        <v>5747700</v>
      </c>
      <c r="G8620">
        <v>72.38</v>
      </c>
      <c r="H8620" t="s">
        <v>11</v>
      </c>
      <c r="I8620" s="22">
        <f t="shared" si="269"/>
        <v>-4.9614214232466328E-3</v>
      </c>
      <c r="J8620" s="22" t="str">
        <f t="shared" si="270"/>
        <v>lost money</v>
      </c>
    </row>
    <row r="8621" spans="1:10">
      <c r="A8621" s="1">
        <v>41554</v>
      </c>
      <c r="B8621">
        <v>72.42</v>
      </c>
      <c r="C8621">
        <v>72.42</v>
      </c>
      <c r="D8621">
        <v>71.510000000000005</v>
      </c>
      <c r="E8621">
        <v>71.87</v>
      </c>
      <c r="F8621">
        <v>6886400</v>
      </c>
      <c r="G8621">
        <v>71.45</v>
      </c>
      <c r="H8621" t="s">
        <v>11</v>
      </c>
      <c r="I8621" s="22">
        <f t="shared" si="269"/>
        <v>-1.2932113759719893E-2</v>
      </c>
      <c r="J8621" s="22" t="str">
        <f t="shared" si="270"/>
        <v>lost money</v>
      </c>
    </row>
    <row r="8622" spans="1:10">
      <c r="A8622" s="1">
        <v>41555</v>
      </c>
      <c r="B8622">
        <v>71.849999999999994</v>
      </c>
      <c r="C8622">
        <v>73.19</v>
      </c>
      <c r="D8622">
        <v>71.8</v>
      </c>
      <c r="E8622">
        <v>72.900000000000006</v>
      </c>
      <c r="F8622">
        <v>9224200</v>
      </c>
      <c r="G8622">
        <v>72.48</v>
      </c>
      <c r="H8622" t="s">
        <v>11</v>
      </c>
      <c r="I8622" s="22">
        <f t="shared" si="269"/>
        <v>1.4312757358847425E-2</v>
      </c>
      <c r="J8622" s="22" t="str">
        <f t="shared" si="270"/>
        <v/>
      </c>
    </row>
    <row r="8623" spans="1:10">
      <c r="A8623" s="1">
        <v>41556</v>
      </c>
      <c r="B8623">
        <v>72.83</v>
      </c>
      <c r="C8623">
        <v>73.34</v>
      </c>
      <c r="D8623">
        <v>72.569999999999993</v>
      </c>
      <c r="E8623">
        <v>73</v>
      </c>
      <c r="F8623">
        <v>6467400</v>
      </c>
      <c r="G8623">
        <v>72.58</v>
      </c>
      <c r="H8623" t="s">
        <v>11</v>
      </c>
      <c r="I8623" s="22">
        <f t="shared" si="269"/>
        <v>1.3787400502001973E-3</v>
      </c>
      <c r="J8623" s="22" t="str">
        <f t="shared" si="270"/>
        <v/>
      </c>
    </row>
    <row r="8624" spans="1:10">
      <c r="A8624" s="1">
        <v>41557</v>
      </c>
      <c r="B8624">
        <v>73.48</v>
      </c>
      <c r="C8624">
        <v>74.87</v>
      </c>
      <c r="D8624">
        <v>73.27</v>
      </c>
      <c r="E8624">
        <v>74.790000000000006</v>
      </c>
      <c r="F8624">
        <v>7680200</v>
      </c>
      <c r="G8624">
        <v>74.36</v>
      </c>
      <c r="H8624" t="s">
        <v>11</v>
      </c>
      <c r="I8624" s="22">
        <f t="shared" si="269"/>
        <v>2.422876106831898E-2</v>
      </c>
      <c r="J8624" s="22" t="str">
        <f t="shared" si="270"/>
        <v/>
      </c>
    </row>
    <row r="8625" spans="1:10">
      <c r="A8625" s="1">
        <v>41558</v>
      </c>
      <c r="B8625">
        <v>74.61</v>
      </c>
      <c r="C8625">
        <v>74.83</v>
      </c>
      <c r="D8625">
        <v>73.83</v>
      </c>
      <c r="E8625">
        <v>74.819999999999993</v>
      </c>
      <c r="F8625">
        <v>6529200</v>
      </c>
      <c r="G8625">
        <v>74.39</v>
      </c>
      <c r="H8625" t="s">
        <v>11</v>
      </c>
      <c r="I8625" s="22">
        <f t="shared" si="269"/>
        <v>4.0336135000673239E-4</v>
      </c>
      <c r="J8625" s="22" t="str">
        <f t="shared" si="270"/>
        <v/>
      </c>
    </row>
    <row r="8626" spans="1:10">
      <c r="A8626" s="1">
        <v>41561</v>
      </c>
      <c r="B8626">
        <v>74.34</v>
      </c>
      <c r="C8626">
        <v>74.709999999999994</v>
      </c>
      <c r="D8626">
        <v>73.75</v>
      </c>
      <c r="E8626">
        <v>74.680000000000007</v>
      </c>
      <c r="F8626">
        <v>5904000</v>
      </c>
      <c r="G8626">
        <v>74.25</v>
      </c>
      <c r="H8626" t="s">
        <v>11</v>
      </c>
      <c r="I8626" s="22">
        <f t="shared" si="269"/>
        <v>-1.8837465204409659E-3</v>
      </c>
      <c r="J8626" s="22" t="str">
        <f t="shared" si="270"/>
        <v/>
      </c>
    </row>
    <row r="8627" spans="1:10">
      <c r="A8627" s="1">
        <v>41562</v>
      </c>
      <c r="B8627">
        <v>74.430000000000007</v>
      </c>
      <c r="C8627">
        <v>75.37</v>
      </c>
      <c r="D8627">
        <v>73.989999999999995</v>
      </c>
      <c r="E8627">
        <v>74.37</v>
      </c>
      <c r="F8627">
        <v>8993300</v>
      </c>
      <c r="G8627">
        <v>73.94</v>
      </c>
      <c r="H8627" t="s">
        <v>11</v>
      </c>
      <c r="I8627" s="22">
        <f t="shared" si="269"/>
        <v>-4.1838241743231341E-3</v>
      </c>
      <c r="J8627" s="22" t="str">
        <f t="shared" si="270"/>
        <v>lost money</v>
      </c>
    </row>
    <row r="8628" spans="1:10">
      <c r="A8628" s="1">
        <v>41563</v>
      </c>
      <c r="B8628">
        <v>74.81</v>
      </c>
      <c r="C8628">
        <v>75.62</v>
      </c>
      <c r="D8628">
        <v>74.569999999999993</v>
      </c>
      <c r="E8628">
        <v>75.599999999999994</v>
      </c>
      <c r="F8628">
        <v>5914500</v>
      </c>
      <c r="G8628">
        <v>75.16</v>
      </c>
      <c r="H8628" t="s">
        <v>11</v>
      </c>
      <c r="I8628" s="22">
        <f t="shared" si="269"/>
        <v>1.6365221036778604E-2</v>
      </c>
      <c r="J8628" s="22" t="str">
        <f t="shared" si="270"/>
        <v/>
      </c>
    </row>
    <row r="8629" spans="1:10">
      <c r="A8629" s="1">
        <v>41564</v>
      </c>
      <c r="B8629">
        <v>75.489999999999995</v>
      </c>
      <c r="C8629">
        <v>76.12</v>
      </c>
      <c r="D8629">
        <v>71.69</v>
      </c>
      <c r="E8629">
        <v>75.78</v>
      </c>
      <c r="F8629">
        <v>6395100</v>
      </c>
      <c r="G8629">
        <v>75.34</v>
      </c>
      <c r="H8629" t="s">
        <v>11</v>
      </c>
      <c r="I8629" s="22">
        <f t="shared" si="269"/>
        <v>2.3920277186305536E-3</v>
      </c>
      <c r="J8629" s="22" t="str">
        <f t="shared" si="270"/>
        <v/>
      </c>
    </row>
    <row r="8630" spans="1:10">
      <c r="A8630" s="1">
        <v>41565</v>
      </c>
      <c r="B8630">
        <v>75.8</v>
      </c>
      <c r="C8630">
        <v>75.930000000000007</v>
      </c>
      <c r="D8630">
        <v>75.48</v>
      </c>
      <c r="E8630">
        <v>75.709999999999994</v>
      </c>
      <c r="F8630">
        <v>6788500</v>
      </c>
      <c r="G8630">
        <v>75.27</v>
      </c>
      <c r="H8630" t="s">
        <v>11</v>
      </c>
      <c r="I8630" s="22">
        <f t="shared" si="269"/>
        <v>-9.2955321745451789E-4</v>
      </c>
      <c r="J8630" s="22" t="str">
        <f t="shared" si="270"/>
        <v>lost money</v>
      </c>
    </row>
    <row r="8631" spans="1:10">
      <c r="A8631" s="1">
        <v>41568</v>
      </c>
      <c r="B8631">
        <v>75.72</v>
      </c>
      <c r="C8631">
        <v>75.819999999999993</v>
      </c>
      <c r="D8631">
        <v>74.819999999999993</v>
      </c>
      <c r="E8631">
        <v>75.150000000000006</v>
      </c>
      <c r="F8631">
        <v>5364100</v>
      </c>
      <c r="G8631">
        <v>74.72</v>
      </c>
      <c r="H8631" t="s">
        <v>11</v>
      </c>
      <c r="I8631" s="22">
        <f t="shared" si="269"/>
        <v>-7.3338551258533584E-3</v>
      </c>
      <c r="J8631" s="22" t="str">
        <f t="shared" si="270"/>
        <v>lost money</v>
      </c>
    </row>
    <row r="8632" spans="1:10">
      <c r="A8632" s="1">
        <v>41569</v>
      </c>
      <c r="B8632">
        <v>75.430000000000007</v>
      </c>
      <c r="C8632">
        <v>76.489999999999995</v>
      </c>
      <c r="D8632">
        <v>75.209999999999994</v>
      </c>
      <c r="E8632">
        <v>76.319999999999993</v>
      </c>
      <c r="F8632">
        <v>6948500</v>
      </c>
      <c r="G8632">
        <v>75.88</v>
      </c>
      <c r="H8632" t="s">
        <v>11</v>
      </c>
      <c r="I8632" s="22">
        <f t="shared" si="269"/>
        <v>1.5405351146226281E-2</v>
      </c>
      <c r="J8632" s="22" t="str">
        <f t="shared" si="270"/>
        <v/>
      </c>
    </row>
    <row r="8633" spans="1:10">
      <c r="A8633" s="1">
        <v>41570</v>
      </c>
      <c r="B8633">
        <v>76.180000000000007</v>
      </c>
      <c r="C8633">
        <v>76.349999999999994</v>
      </c>
      <c r="D8633">
        <v>75.81</v>
      </c>
      <c r="E8633">
        <v>75.900000000000006</v>
      </c>
      <c r="F8633">
        <v>5870100</v>
      </c>
      <c r="G8633">
        <v>75.459999999999994</v>
      </c>
      <c r="H8633" t="s">
        <v>11</v>
      </c>
      <c r="I8633" s="22">
        <f t="shared" si="269"/>
        <v>-5.5504305306490918E-3</v>
      </c>
      <c r="J8633" s="22" t="str">
        <f t="shared" si="270"/>
        <v>lost money</v>
      </c>
    </row>
    <row r="8634" spans="1:10">
      <c r="A8634" s="1">
        <v>41571</v>
      </c>
      <c r="B8634">
        <v>76.03</v>
      </c>
      <c r="C8634">
        <v>76.510000000000005</v>
      </c>
      <c r="D8634">
        <v>75.819999999999993</v>
      </c>
      <c r="E8634">
        <v>76.42</v>
      </c>
      <c r="F8634">
        <v>5864300</v>
      </c>
      <c r="G8634">
        <v>75.98</v>
      </c>
      <c r="H8634" t="s">
        <v>11</v>
      </c>
      <c r="I8634" s="22">
        <f t="shared" si="269"/>
        <v>6.867433223315263E-3</v>
      </c>
      <c r="J8634" s="22" t="str">
        <f t="shared" si="270"/>
        <v/>
      </c>
    </row>
    <row r="8635" spans="1:10">
      <c r="A8635" s="1">
        <v>41572</v>
      </c>
      <c r="B8635">
        <v>76.37</v>
      </c>
      <c r="C8635">
        <v>76.760000000000005</v>
      </c>
      <c r="D8635">
        <v>75.78</v>
      </c>
      <c r="E8635">
        <v>76.08</v>
      </c>
      <c r="F8635">
        <v>6458800</v>
      </c>
      <c r="G8635">
        <v>75.64</v>
      </c>
      <c r="H8635" t="s">
        <v>11</v>
      </c>
      <c r="I8635" s="22">
        <f t="shared" si="269"/>
        <v>-4.4849039692228324E-3</v>
      </c>
      <c r="J8635" s="22" t="str">
        <f t="shared" si="270"/>
        <v>lost money</v>
      </c>
    </row>
    <row r="8636" spans="1:10">
      <c r="A8636" s="1">
        <v>41575</v>
      </c>
      <c r="B8636">
        <v>76.16</v>
      </c>
      <c r="C8636">
        <v>77.209999999999994</v>
      </c>
      <c r="D8636">
        <v>76.05</v>
      </c>
      <c r="E8636">
        <v>77.14</v>
      </c>
      <c r="F8636">
        <v>7032400</v>
      </c>
      <c r="G8636">
        <v>76.69</v>
      </c>
      <c r="H8636" t="s">
        <v>11</v>
      </c>
      <c r="I8636" s="22">
        <f t="shared" si="269"/>
        <v>1.3786077986511172E-2</v>
      </c>
      <c r="J8636" s="22" t="str">
        <f t="shared" si="270"/>
        <v/>
      </c>
    </row>
    <row r="8637" spans="1:10">
      <c r="A8637" s="1">
        <v>41576</v>
      </c>
      <c r="B8637">
        <v>77.25</v>
      </c>
      <c r="C8637">
        <v>77.63</v>
      </c>
      <c r="D8637">
        <v>76.75</v>
      </c>
      <c r="E8637">
        <v>77.06</v>
      </c>
      <c r="F8637">
        <v>7437600</v>
      </c>
      <c r="G8637">
        <v>76.61</v>
      </c>
      <c r="H8637" t="s">
        <v>11</v>
      </c>
      <c r="I8637" s="22">
        <f t="shared" si="269"/>
        <v>-1.0437052480382614E-3</v>
      </c>
      <c r="J8637" s="22" t="str">
        <f t="shared" si="270"/>
        <v>lost money</v>
      </c>
    </row>
    <row r="8638" spans="1:10">
      <c r="A8638" s="1">
        <v>41577</v>
      </c>
      <c r="B8638">
        <v>77.27</v>
      </c>
      <c r="C8638">
        <v>77.53</v>
      </c>
      <c r="D8638">
        <v>76.56</v>
      </c>
      <c r="E8638">
        <v>76.91</v>
      </c>
      <c r="F8638">
        <v>4646000</v>
      </c>
      <c r="G8638">
        <v>76.459999999999994</v>
      </c>
      <c r="H8638" t="s">
        <v>11</v>
      </c>
      <c r="I8638" s="22">
        <f t="shared" si="269"/>
        <v>-1.9598882604629376E-3</v>
      </c>
      <c r="J8638" s="22" t="str">
        <f t="shared" si="270"/>
        <v>lost money</v>
      </c>
    </row>
    <row r="8639" spans="1:10">
      <c r="A8639" s="1">
        <v>41578</v>
      </c>
      <c r="B8639">
        <v>76.88</v>
      </c>
      <c r="C8639">
        <v>77.150000000000006</v>
      </c>
      <c r="D8639">
        <v>76.599999999999994</v>
      </c>
      <c r="E8639">
        <v>76.75</v>
      </c>
      <c r="F8639">
        <v>4612400</v>
      </c>
      <c r="G8639">
        <v>76.31</v>
      </c>
      <c r="H8639" t="s">
        <v>11</v>
      </c>
      <c r="I8639" s="22">
        <f t="shared" si="269"/>
        <v>-1.9637369667248206E-3</v>
      </c>
      <c r="J8639" s="22" t="str">
        <f t="shared" si="270"/>
        <v>lost money</v>
      </c>
    </row>
    <row r="8640" spans="1:10">
      <c r="A8640" s="1">
        <v>41579</v>
      </c>
      <c r="B8640">
        <v>76.97</v>
      </c>
      <c r="C8640">
        <v>77.400000000000006</v>
      </c>
      <c r="D8640">
        <v>76.59</v>
      </c>
      <c r="E8640">
        <v>77.069999999999993</v>
      </c>
      <c r="F8640">
        <v>5116100</v>
      </c>
      <c r="G8640">
        <v>76.62</v>
      </c>
      <c r="H8640" t="s">
        <v>11</v>
      </c>
      <c r="I8640" s="22">
        <f t="shared" si="269"/>
        <v>4.0541479709612213E-3</v>
      </c>
      <c r="J8640" s="22" t="str">
        <f t="shared" si="270"/>
        <v/>
      </c>
    </row>
    <row r="8641" spans="1:10">
      <c r="A8641" s="1">
        <v>41582</v>
      </c>
      <c r="B8641">
        <v>77.22</v>
      </c>
      <c r="C8641">
        <v>77.650000000000006</v>
      </c>
      <c r="D8641">
        <v>77.2</v>
      </c>
      <c r="E8641">
        <v>77.33</v>
      </c>
      <c r="F8641">
        <v>4704100</v>
      </c>
      <c r="G8641">
        <v>76.88</v>
      </c>
      <c r="H8641" t="s">
        <v>11</v>
      </c>
      <c r="I8641" s="22">
        <f t="shared" si="269"/>
        <v>3.3876253895340331E-3</v>
      </c>
      <c r="J8641" s="22" t="str">
        <f t="shared" si="270"/>
        <v/>
      </c>
    </row>
    <row r="8642" spans="1:10">
      <c r="A8642" s="1">
        <v>41583</v>
      </c>
      <c r="B8642">
        <v>76.81</v>
      </c>
      <c r="C8642">
        <v>77.61</v>
      </c>
      <c r="D8642">
        <v>76.72</v>
      </c>
      <c r="E8642">
        <v>77.42</v>
      </c>
      <c r="F8642">
        <v>5085500</v>
      </c>
      <c r="G8642">
        <v>76.97</v>
      </c>
      <c r="H8642" t="s">
        <v>11</v>
      </c>
      <c r="I8642" s="22">
        <f t="shared" si="269"/>
        <v>1.1699708841890093E-3</v>
      </c>
      <c r="J8642" s="22" t="str">
        <f t="shared" si="270"/>
        <v/>
      </c>
    </row>
    <row r="8643" spans="1:10">
      <c r="A8643" s="1">
        <v>41584</v>
      </c>
      <c r="B8643">
        <v>77.64</v>
      </c>
      <c r="C8643">
        <v>78.28</v>
      </c>
      <c r="D8643">
        <v>77.3</v>
      </c>
      <c r="E8643">
        <v>78.16</v>
      </c>
      <c r="F8643">
        <v>4829200</v>
      </c>
      <c r="G8643">
        <v>77.709999999999994</v>
      </c>
      <c r="H8643" t="s">
        <v>11</v>
      </c>
      <c r="I8643" s="22">
        <f t="shared" ref="I8643:I8706" si="271">IF(A8643=$A$2,"",LN(G8643/G8642))</f>
        <v>9.5682136749247436E-3</v>
      </c>
      <c r="J8643" s="22" t="str">
        <f t="shared" ref="J8643:J8706" si="272">IF(B8643&gt;E8643,"lost money","")</f>
        <v/>
      </c>
    </row>
    <row r="8644" spans="1:10">
      <c r="A8644" s="1">
        <v>41585</v>
      </c>
      <c r="B8644">
        <v>78.19</v>
      </c>
      <c r="C8644">
        <v>78.22</v>
      </c>
      <c r="D8644">
        <v>77.239999999999995</v>
      </c>
      <c r="E8644">
        <v>77.510000000000005</v>
      </c>
      <c r="F8644">
        <v>8347600</v>
      </c>
      <c r="G8644">
        <v>77.06</v>
      </c>
      <c r="H8644" t="s">
        <v>11</v>
      </c>
      <c r="I8644" s="22">
        <f t="shared" si="271"/>
        <v>-8.399610023139251E-3</v>
      </c>
      <c r="J8644" s="22" t="str">
        <f t="shared" si="272"/>
        <v>lost money</v>
      </c>
    </row>
    <row r="8645" spans="1:10">
      <c r="A8645" s="1">
        <v>41586</v>
      </c>
      <c r="B8645">
        <v>77.489999999999995</v>
      </c>
      <c r="C8645">
        <v>77.959999999999994</v>
      </c>
      <c r="D8645">
        <v>76.790000000000006</v>
      </c>
      <c r="E8645">
        <v>77.959999999999994</v>
      </c>
      <c r="F8645">
        <v>5793800</v>
      </c>
      <c r="G8645">
        <v>77.510000000000005</v>
      </c>
      <c r="H8645" t="s">
        <v>11</v>
      </c>
      <c r="I8645" s="22">
        <f t="shared" si="271"/>
        <v>5.8226210954085257E-3</v>
      </c>
      <c r="J8645" s="22" t="str">
        <f t="shared" si="272"/>
        <v/>
      </c>
    </row>
    <row r="8646" spans="1:10">
      <c r="A8646" s="1">
        <v>41589</v>
      </c>
      <c r="B8646">
        <v>77.86</v>
      </c>
      <c r="C8646">
        <v>79.069999999999993</v>
      </c>
      <c r="D8646">
        <v>77.790000000000006</v>
      </c>
      <c r="E8646">
        <v>79.010000000000005</v>
      </c>
      <c r="F8646">
        <v>7450500</v>
      </c>
      <c r="G8646">
        <v>78.55</v>
      </c>
      <c r="H8646" t="s">
        <v>11</v>
      </c>
      <c r="I8646" s="22">
        <f t="shared" si="271"/>
        <v>1.3328404408209935E-2</v>
      </c>
      <c r="J8646" s="22" t="str">
        <f t="shared" si="272"/>
        <v/>
      </c>
    </row>
    <row r="8647" spans="1:10">
      <c r="A8647" s="1">
        <v>41590</v>
      </c>
      <c r="B8647">
        <v>78.849999999999994</v>
      </c>
      <c r="C8647">
        <v>78.97</v>
      </c>
      <c r="D8647">
        <v>78.25</v>
      </c>
      <c r="E8647">
        <v>78.709999999999994</v>
      </c>
      <c r="F8647">
        <v>5266100</v>
      </c>
      <c r="G8647">
        <v>78.25</v>
      </c>
      <c r="H8647" t="s">
        <v>11</v>
      </c>
      <c r="I8647" s="22">
        <f t="shared" si="271"/>
        <v>-3.8265352813675341E-3</v>
      </c>
      <c r="J8647" s="22" t="str">
        <f t="shared" si="272"/>
        <v>lost money</v>
      </c>
    </row>
    <row r="8648" spans="1:10">
      <c r="A8648" s="1">
        <v>41591</v>
      </c>
      <c r="B8648">
        <v>78.42</v>
      </c>
      <c r="C8648">
        <v>78.989999999999995</v>
      </c>
      <c r="D8648">
        <v>78.349999999999994</v>
      </c>
      <c r="E8648">
        <v>78.900000000000006</v>
      </c>
      <c r="F8648">
        <v>8286700</v>
      </c>
      <c r="G8648">
        <v>78.44</v>
      </c>
      <c r="H8648" t="s">
        <v>11</v>
      </c>
      <c r="I8648" s="22">
        <f t="shared" si="271"/>
        <v>2.4251719078828876E-3</v>
      </c>
      <c r="J8648" s="22" t="str">
        <f t="shared" si="272"/>
        <v/>
      </c>
    </row>
    <row r="8649" spans="1:10">
      <c r="A8649" s="1">
        <v>41592</v>
      </c>
      <c r="B8649">
        <v>77.75</v>
      </c>
      <c r="C8649">
        <v>79.53</v>
      </c>
      <c r="D8649">
        <v>77.680000000000007</v>
      </c>
      <c r="E8649">
        <v>79.08</v>
      </c>
      <c r="F8649">
        <v>9302100</v>
      </c>
      <c r="G8649">
        <v>78.62</v>
      </c>
      <c r="H8649" t="s">
        <v>11</v>
      </c>
      <c r="I8649" s="22">
        <f t="shared" si="271"/>
        <v>2.292118665568887E-3</v>
      </c>
      <c r="J8649" s="22" t="str">
        <f t="shared" si="272"/>
        <v/>
      </c>
    </row>
    <row r="8650" spans="1:10">
      <c r="A8650" s="1">
        <v>41593</v>
      </c>
      <c r="B8650">
        <v>78.930000000000007</v>
      </c>
      <c r="C8650">
        <v>79.290000000000006</v>
      </c>
      <c r="D8650">
        <v>78.75</v>
      </c>
      <c r="E8650">
        <v>79.22</v>
      </c>
      <c r="F8650">
        <v>5911100</v>
      </c>
      <c r="G8650">
        <v>78.760000000000005</v>
      </c>
      <c r="H8650" t="s">
        <v>11</v>
      </c>
      <c r="I8650" s="22">
        <f t="shared" si="271"/>
        <v>1.7791337772104609E-3</v>
      </c>
      <c r="J8650" s="22" t="str">
        <f t="shared" si="272"/>
        <v/>
      </c>
    </row>
    <row r="8651" spans="1:10">
      <c r="A8651" s="1">
        <v>41596</v>
      </c>
      <c r="B8651">
        <v>79.23</v>
      </c>
      <c r="C8651">
        <v>79.319999999999993</v>
      </c>
      <c r="D8651">
        <v>78.91</v>
      </c>
      <c r="E8651">
        <v>79.22</v>
      </c>
      <c r="F8651">
        <v>5962700</v>
      </c>
      <c r="G8651">
        <v>78.760000000000005</v>
      </c>
      <c r="H8651" t="s">
        <v>11</v>
      </c>
      <c r="I8651" s="22">
        <f t="shared" si="271"/>
        <v>0</v>
      </c>
      <c r="J8651" s="22" t="str">
        <f t="shared" si="272"/>
        <v>lost money</v>
      </c>
    </row>
    <row r="8652" spans="1:10">
      <c r="A8652" s="1">
        <v>41597</v>
      </c>
      <c r="B8652">
        <v>79.3</v>
      </c>
      <c r="C8652">
        <v>79.349999999999994</v>
      </c>
      <c r="D8652">
        <v>78.88</v>
      </c>
      <c r="E8652">
        <v>79.25</v>
      </c>
      <c r="F8652">
        <v>4455000</v>
      </c>
      <c r="G8652">
        <v>78.790000000000006</v>
      </c>
      <c r="H8652" t="s">
        <v>11</v>
      </c>
      <c r="I8652" s="22">
        <f t="shared" si="271"/>
        <v>3.8083148667193679E-4</v>
      </c>
      <c r="J8652" s="22" t="str">
        <f t="shared" si="272"/>
        <v>lost money</v>
      </c>
    </row>
    <row r="8653" spans="1:10">
      <c r="A8653" s="1">
        <v>41598</v>
      </c>
      <c r="B8653">
        <v>79.31</v>
      </c>
      <c r="C8653">
        <v>79.39</v>
      </c>
      <c r="D8653">
        <v>78.489999999999995</v>
      </c>
      <c r="E8653">
        <v>78.900000000000006</v>
      </c>
      <c r="F8653">
        <v>4511300</v>
      </c>
      <c r="G8653">
        <v>78.44</v>
      </c>
      <c r="H8653" t="s">
        <v>11</v>
      </c>
      <c r="I8653" s="22">
        <f t="shared" si="271"/>
        <v>-4.4520839294513075E-3</v>
      </c>
      <c r="J8653" s="22" t="str">
        <f t="shared" si="272"/>
        <v>lost money</v>
      </c>
    </row>
    <row r="8654" spans="1:10">
      <c r="A8654" s="1">
        <v>41599</v>
      </c>
      <c r="B8654">
        <v>78.739999999999995</v>
      </c>
      <c r="C8654">
        <v>79.2</v>
      </c>
      <c r="D8654">
        <v>78.55</v>
      </c>
      <c r="E8654">
        <v>78.86</v>
      </c>
      <c r="F8654">
        <v>3841000</v>
      </c>
      <c r="G8654">
        <v>78.400000000000006</v>
      </c>
      <c r="H8654" t="s">
        <v>11</v>
      </c>
      <c r="I8654" s="22">
        <f t="shared" si="271"/>
        <v>-5.100739717832513E-4</v>
      </c>
      <c r="J8654" s="22" t="str">
        <f t="shared" si="272"/>
        <v/>
      </c>
    </row>
    <row r="8655" spans="1:10">
      <c r="A8655" s="1">
        <v>41600</v>
      </c>
      <c r="B8655">
        <v>78.87</v>
      </c>
      <c r="C8655">
        <v>79.87</v>
      </c>
      <c r="D8655">
        <v>78.75</v>
      </c>
      <c r="E8655">
        <v>79.81</v>
      </c>
      <c r="F8655">
        <v>4812100</v>
      </c>
      <c r="G8655">
        <v>79.349999999999994</v>
      </c>
      <c r="H8655" t="s">
        <v>11</v>
      </c>
      <c r="I8655" s="22">
        <f t="shared" si="271"/>
        <v>1.2044519616055826E-2</v>
      </c>
      <c r="J8655" s="22" t="str">
        <f t="shared" si="272"/>
        <v/>
      </c>
    </row>
    <row r="8656" spans="1:10">
      <c r="A8656" s="1">
        <v>41603</v>
      </c>
      <c r="B8656">
        <v>80.06</v>
      </c>
      <c r="C8656">
        <v>80.569999999999993</v>
      </c>
      <c r="D8656">
        <v>79.91</v>
      </c>
      <c r="E8656">
        <v>80.430000000000007</v>
      </c>
      <c r="F8656">
        <v>5670400</v>
      </c>
      <c r="G8656">
        <v>79.959999999999994</v>
      </c>
      <c r="H8656" t="s">
        <v>11</v>
      </c>
      <c r="I8656" s="22">
        <f t="shared" si="271"/>
        <v>7.6580626597811457E-3</v>
      </c>
      <c r="J8656" s="22" t="str">
        <f t="shared" si="272"/>
        <v/>
      </c>
    </row>
    <row r="8657" spans="1:10">
      <c r="A8657" s="1">
        <v>41604</v>
      </c>
      <c r="B8657">
        <v>80.44</v>
      </c>
      <c r="C8657">
        <v>80.680000000000007</v>
      </c>
      <c r="D8657">
        <v>80.11</v>
      </c>
      <c r="E8657">
        <v>80.680000000000007</v>
      </c>
      <c r="F8657">
        <v>5537800</v>
      </c>
      <c r="G8657">
        <v>80.209999999999994</v>
      </c>
      <c r="H8657" t="s">
        <v>11</v>
      </c>
      <c r="I8657" s="22">
        <f t="shared" si="271"/>
        <v>3.1216857466338957E-3</v>
      </c>
      <c r="J8657" s="22" t="str">
        <f t="shared" si="272"/>
        <v/>
      </c>
    </row>
    <row r="8658" spans="1:10">
      <c r="A8658" s="1">
        <v>41605</v>
      </c>
      <c r="B8658">
        <v>80.55</v>
      </c>
      <c r="C8658">
        <v>81</v>
      </c>
      <c r="D8658">
        <v>80.38</v>
      </c>
      <c r="E8658">
        <v>80.930000000000007</v>
      </c>
      <c r="F8658">
        <v>4813300</v>
      </c>
      <c r="G8658">
        <v>80.459999999999994</v>
      </c>
      <c r="H8658" t="s">
        <v>11</v>
      </c>
      <c r="I8658" s="22">
        <f t="shared" si="271"/>
        <v>3.1119711428089416E-3</v>
      </c>
      <c r="J8658" s="22" t="str">
        <f t="shared" si="272"/>
        <v/>
      </c>
    </row>
    <row r="8659" spans="1:10">
      <c r="A8659" s="1">
        <v>41607</v>
      </c>
      <c r="B8659">
        <v>81.17</v>
      </c>
      <c r="C8659">
        <v>81.349999999999994</v>
      </c>
      <c r="D8659">
        <v>80.819999999999993</v>
      </c>
      <c r="E8659">
        <v>81.010000000000005</v>
      </c>
      <c r="F8659">
        <v>3447200</v>
      </c>
      <c r="G8659">
        <v>80.540000000000006</v>
      </c>
      <c r="H8659" t="s">
        <v>11</v>
      </c>
      <c r="I8659" s="22">
        <f t="shared" si="271"/>
        <v>9.9378890166613911E-4</v>
      </c>
      <c r="J8659" s="22" t="str">
        <f t="shared" si="272"/>
        <v>lost money</v>
      </c>
    </row>
    <row r="8660" spans="1:10">
      <c r="A8660" s="1">
        <v>40911</v>
      </c>
      <c r="B8660">
        <v>85.97</v>
      </c>
      <c r="C8660">
        <v>86.67</v>
      </c>
      <c r="D8660">
        <v>85.9</v>
      </c>
      <c r="E8660">
        <v>86</v>
      </c>
      <c r="F8660">
        <v>20906800</v>
      </c>
      <c r="G8660">
        <v>81.64</v>
      </c>
      <c r="H8660" t="s">
        <v>3</v>
      </c>
      <c r="I8660" s="22" t="str">
        <f t="shared" si="271"/>
        <v/>
      </c>
      <c r="J8660" s="22" t="str">
        <f t="shared" si="272"/>
        <v/>
      </c>
    </row>
    <row r="8661" spans="1:10">
      <c r="A8661" s="1">
        <v>40912</v>
      </c>
      <c r="B8661">
        <v>85.79</v>
      </c>
      <c r="C8661">
        <v>86.15</v>
      </c>
      <c r="D8661">
        <v>85.1</v>
      </c>
      <c r="E8661">
        <v>86.02</v>
      </c>
      <c r="F8661">
        <v>16130900</v>
      </c>
      <c r="G8661">
        <v>81.66</v>
      </c>
      <c r="H8661" t="s">
        <v>3</v>
      </c>
      <c r="I8661" s="22">
        <f t="shared" si="271"/>
        <v>2.4494794978553215E-4</v>
      </c>
      <c r="J8661" s="22" t="str">
        <f t="shared" si="272"/>
        <v/>
      </c>
    </row>
    <row r="8662" spans="1:10">
      <c r="A8662" s="1">
        <v>40913</v>
      </c>
      <c r="B8662">
        <v>85.64</v>
      </c>
      <c r="C8662">
        <v>85.95</v>
      </c>
      <c r="D8662">
        <v>84.92</v>
      </c>
      <c r="E8662">
        <v>85.76</v>
      </c>
      <c r="F8662">
        <v>17452800</v>
      </c>
      <c r="G8662">
        <v>81.42</v>
      </c>
      <c r="H8662" t="s">
        <v>3</v>
      </c>
      <c r="I8662" s="22">
        <f t="shared" si="271"/>
        <v>-2.9433428165969171E-3</v>
      </c>
      <c r="J8662" s="22" t="str">
        <f t="shared" si="272"/>
        <v/>
      </c>
    </row>
    <row r="8663" spans="1:10">
      <c r="A8663" s="1">
        <v>40914</v>
      </c>
      <c r="B8663">
        <v>85.92</v>
      </c>
      <c r="C8663">
        <v>86</v>
      </c>
      <c r="D8663">
        <v>85.11</v>
      </c>
      <c r="E8663">
        <v>85.12</v>
      </c>
      <c r="F8663">
        <v>15942100</v>
      </c>
      <c r="G8663">
        <v>80.81</v>
      </c>
      <c r="H8663" t="s">
        <v>3</v>
      </c>
      <c r="I8663" s="22">
        <f t="shared" si="271"/>
        <v>-7.5202228294764823E-3</v>
      </c>
      <c r="J8663" s="22" t="str">
        <f t="shared" si="272"/>
        <v>lost money</v>
      </c>
    </row>
    <row r="8664" spans="1:10">
      <c r="A8664" s="1">
        <v>40917</v>
      </c>
      <c r="B8664">
        <v>85</v>
      </c>
      <c r="C8664">
        <v>85.64</v>
      </c>
      <c r="D8664">
        <v>84.97</v>
      </c>
      <c r="E8664">
        <v>85.5</v>
      </c>
      <c r="F8664">
        <v>11664200</v>
      </c>
      <c r="G8664">
        <v>81.17</v>
      </c>
      <c r="H8664" t="s">
        <v>3</v>
      </c>
      <c r="I8664" s="22">
        <f t="shared" si="271"/>
        <v>4.4450005277279917E-3</v>
      </c>
      <c r="J8664" s="22" t="str">
        <f t="shared" si="272"/>
        <v/>
      </c>
    </row>
    <row r="8665" spans="1:10">
      <c r="A8665" s="1">
        <v>40918</v>
      </c>
      <c r="B8665">
        <v>86.07</v>
      </c>
      <c r="C8665">
        <v>86.21</v>
      </c>
      <c r="D8665">
        <v>85.38</v>
      </c>
      <c r="E8665">
        <v>85.72</v>
      </c>
      <c r="F8665">
        <v>13080800</v>
      </c>
      <c r="G8665">
        <v>81.38</v>
      </c>
      <c r="H8665" t="s">
        <v>3</v>
      </c>
      <c r="I8665" s="22">
        <f t="shared" si="271"/>
        <v>2.5838218004594665E-3</v>
      </c>
      <c r="J8665" s="22" t="str">
        <f t="shared" si="272"/>
        <v>lost money</v>
      </c>
    </row>
    <row r="8666" spans="1:10">
      <c r="A8666" s="1">
        <v>40919</v>
      </c>
      <c r="B8666">
        <v>85.1</v>
      </c>
      <c r="C8666">
        <v>85.4</v>
      </c>
      <c r="D8666">
        <v>84.47</v>
      </c>
      <c r="E8666">
        <v>85.08</v>
      </c>
      <c r="F8666">
        <v>14831400</v>
      </c>
      <c r="G8666">
        <v>80.77</v>
      </c>
      <c r="H8666" t="s">
        <v>3</v>
      </c>
      <c r="I8666" s="22">
        <f t="shared" si="271"/>
        <v>-7.5239331193389849E-3</v>
      </c>
      <c r="J8666" s="22" t="str">
        <f t="shared" si="272"/>
        <v>lost money</v>
      </c>
    </row>
    <row r="8667" spans="1:10">
      <c r="A8667" s="1">
        <v>40920</v>
      </c>
      <c r="B8667">
        <v>84.39</v>
      </c>
      <c r="C8667">
        <v>84.92</v>
      </c>
      <c r="D8667">
        <v>83.94</v>
      </c>
      <c r="E8667">
        <v>84.74</v>
      </c>
      <c r="F8667">
        <v>17357200</v>
      </c>
      <c r="G8667">
        <v>80.45</v>
      </c>
      <c r="H8667" t="s">
        <v>3</v>
      </c>
      <c r="I8667" s="22">
        <f t="shared" si="271"/>
        <v>-3.9697360158126105E-3</v>
      </c>
      <c r="J8667" s="22" t="str">
        <f t="shared" si="272"/>
        <v/>
      </c>
    </row>
    <row r="8668" spans="1:10">
      <c r="A8668" s="1">
        <v>40921</v>
      </c>
      <c r="B8668">
        <v>84.16</v>
      </c>
      <c r="C8668">
        <v>84.92</v>
      </c>
      <c r="D8668">
        <v>83.82</v>
      </c>
      <c r="E8668">
        <v>84.88</v>
      </c>
      <c r="F8668">
        <v>15551600</v>
      </c>
      <c r="G8668">
        <v>80.58</v>
      </c>
      <c r="H8668" t="s">
        <v>3</v>
      </c>
      <c r="I8668" s="22">
        <f t="shared" si="271"/>
        <v>1.614606324808858E-3</v>
      </c>
      <c r="J8668" s="22" t="str">
        <f t="shared" si="272"/>
        <v/>
      </c>
    </row>
    <row r="8669" spans="1:10">
      <c r="A8669" s="1">
        <v>40925</v>
      </c>
      <c r="B8669">
        <v>85.75</v>
      </c>
      <c r="C8669">
        <v>86.13</v>
      </c>
      <c r="D8669">
        <v>85.4</v>
      </c>
      <c r="E8669">
        <v>85.69</v>
      </c>
      <c r="F8669">
        <v>15627900</v>
      </c>
      <c r="G8669">
        <v>81.349999999999994</v>
      </c>
      <c r="H8669" t="s">
        <v>3</v>
      </c>
      <c r="I8669" s="22">
        <f t="shared" si="271"/>
        <v>9.5103539018456303E-3</v>
      </c>
      <c r="J8669" s="22" t="str">
        <f t="shared" si="272"/>
        <v>lost money</v>
      </c>
    </row>
    <row r="8670" spans="1:10">
      <c r="A8670" s="1">
        <v>40926</v>
      </c>
      <c r="B8670">
        <v>85.3</v>
      </c>
      <c r="C8670">
        <v>86.5</v>
      </c>
      <c r="D8670">
        <v>84.96</v>
      </c>
      <c r="E8670">
        <v>86.45</v>
      </c>
      <c r="F8670">
        <v>16754200</v>
      </c>
      <c r="G8670">
        <v>82.07</v>
      </c>
      <c r="H8670" t="s">
        <v>3</v>
      </c>
      <c r="I8670" s="22">
        <f t="shared" si="271"/>
        <v>8.8117079765733866E-3</v>
      </c>
      <c r="J8670" s="22" t="str">
        <f t="shared" si="272"/>
        <v/>
      </c>
    </row>
    <row r="8671" spans="1:10">
      <c r="A8671" s="1">
        <v>40927</v>
      </c>
      <c r="B8671">
        <v>86.34</v>
      </c>
      <c r="C8671">
        <v>87.24</v>
      </c>
      <c r="D8671">
        <v>85.77</v>
      </c>
      <c r="E8671">
        <v>87.03</v>
      </c>
      <c r="F8671">
        <v>16383500</v>
      </c>
      <c r="G8671">
        <v>82.62</v>
      </c>
      <c r="H8671" t="s">
        <v>3</v>
      </c>
      <c r="I8671" s="22">
        <f t="shared" si="271"/>
        <v>6.6792403269983558E-3</v>
      </c>
      <c r="J8671" s="22" t="str">
        <f t="shared" si="272"/>
        <v/>
      </c>
    </row>
    <row r="8672" spans="1:10">
      <c r="A8672" s="1">
        <v>40928</v>
      </c>
      <c r="B8672">
        <v>87.08</v>
      </c>
      <c r="C8672">
        <v>87.49</v>
      </c>
      <c r="D8672">
        <v>86.72</v>
      </c>
      <c r="E8672">
        <v>87.49</v>
      </c>
      <c r="F8672">
        <v>19220300</v>
      </c>
      <c r="G8672">
        <v>83.06</v>
      </c>
      <c r="H8672" t="s">
        <v>3</v>
      </c>
      <c r="I8672" s="22">
        <f t="shared" si="271"/>
        <v>5.3114562339889254E-3</v>
      </c>
      <c r="J8672" s="22" t="str">
        <f t="shared" si="272"/>
        <v/>
      </c>
    </row>
    <row r="8673" spans="1:10">
      <c r="A8673" s="1">
        <v>40931</v>
      </c>
      <c r="B8673">
        <v>87.5</v>
      </c>
      <c r="C8673">
        <v>87.94</v>
      </c>
      <c r="D8673">
        <v>87.03</v>
      </c>
      <c r="E8673">
        <v>87.47</v>
      </c>
      <c r="F8673">
        <v>15348400</v>
      </c>
      <c r="G8673">
        <v>83.04</v>
      </c>
      <c r="H8673" t="s">
        <v>3</v>
      </c>
      <c r="I8673" s="22">
        <f t="shared" si="271"/>
        <v>-2.4081878502887536E-4</v>
      </c>
      <c r="J8673" s="22" t="str">
        <f t="shared" si="272"/>
        <v>lost money</v>
      </c>
    </row>
    <row r="8674" spans="1:10">
      <c r="A8674" s="1">
        <v>40932</v>
      </c>
      <c r="B8674">
        <v>87.08</v>
      </c>
      <c r="C8674">
        <v>87.22</v>
      </c>
      <c r="D8674">
        <v>86.66</v>
      </c>
      <c r="E8674">
        <v>87.18</v>
      </c>
      <c r="F8674">
        <v>12363800</v>
      </c>
      <c r="G8674">
        <v>82.76</v>
      </c>
      <c r="H8674" t="s">
        <v>3</v>
      </c>
      <c r="I8674" s="22">
        <f t="shared" si="271"/>
        <v>-3.3775665402362015E-3</v>
      </c>
      <c r="J8674" s="22" t="str">
        <f t="shared" si="272"/>
        <v/>
      </c>
    </row>
    <row r="8675" spans="1:10">
      <c r="A8675" s="1">
        <v>40933</v>
      </c>
      <c r="B8675">
        <v>86.77</v>
      </c>
      <c r="C8675">
        <v>87.38</v>
      </c>
      <c r="D8675">
        <v>85.81</v>
      </c>
      <c r="E8675">
        <v>87.22</v>
      </c>
      <c r="F8675">
        <v>18202300</v>
      </c>
      <c r="G8675">
        <v>82.8</v>
      </c>
      <c r="H8675" t="s">
        <v>3</v>
      </c>
      <c r="I8675" s="22">
        <f t="shared" si="271"/>
        <v>4.8320851387164229E-4</v>
      </c>
      <c r="J8675" s="22" t="str">
        <f t="shared" si="272"/>
        <v/>
      </c>
    </row>
    <row r="8676" spans="1:10">
      <c r="A8676" s="1">
        <v>40934</v>
      </c>
      <c r="B8676">
        <v>87.64</v>
      </c>
      <c r="C8676">
        <v>87.71</v>
      </c>
      <c r="D8676">
        <v>86.51</v>
      </c>
      <c r="E8676">
        <v>86.77</v>
      </c>
      <c r="F8676">
        <v>15658200</v>
      </c>
      <c r="G8676">
        <v>82.38</v>
      </c>
      <c r="H8676" t="s">
        <v>3</v>
      </c>
      <c r="I8676" s="22">
        <f t="shared" si="271"/>
        <v>-5.0853723832793712E-3</v>
      </c>
      <c r="J8676" s="22" t="str">
        <f t="shared" si="272"/>
        <v>lost money</v>
      </c>
    </row>
    <row r="8677" spans="1:10">
      <c r="A8677" s="1">
        <v>40935</v>
      </c>
      <c r="B8677">
        <v>86.24</v>
      </c>
      <c r="C8677">
        <v>86.5</v>
      </c>
      <c r="D8677">
        <v>85.77</v>
      </c>
      <c r="E8677">
        <v>85.83</v>
      </c>
      <c r="F8677">
        <v>15976700</v>
      </c>
      <c r="G8677">
        <v>81.48</v>
      </c>
      <c r="H8677" t="s">
        <v>3</v>
      </c>
      <c r="I8677" s="22">
        <f t="shared" si="271"/>
        <v>-1.0985097649329473E-2</v>
      </c>
      <c r="J8677" s="22" t="str">
        <f t="shared" si="272"/>
        <v>lost money</v>
      </c>
    </row>
    <row r="8678" spans="1:10">
      <c r="A8678" s="1">
        <v>40938</v>
      </c>
      <c r="B8678">
        <v>85.27</v>
      </c>
      <c r="C8678">
        <v>85.5</v>
      </c>
      <c r="D8678">
        <v>84.59</v>
      </c>
      <c r="E8678">
        <v>85.49</v>
      </c>
      <c r="F8678">
        <v>17867000</v>
      </c>
      <c r="G8678">
        <v>81.16</v>
      </c>
      <c r="H8678" t="s">
        <v>3</v>
      </c>
      <c r="I8678" s="22">
        <f t="shared" si="271"/>
        <v>-3.9350764009911735E-3</v>
      </c>
      <c r="J8678" s="22" t="str">
        <f t="shared" si="272"/>
        <v/>
      </c>
    </row>
    <row r="8679" spans="1:10">
      <c r="A8679" s="1">
        <v>40939</v>
      </c>
      <c r="B8679">
        <v>84.92</v>
      </c>
      <c r="C8679">
        <v>85.34</v>
      </c>
      <c r="D8679">
        <v>83.46</v>
      </c>
      <c r="E8679">
        <v>83.74</v>
      </c>
      <c r="F8679">
        <v>27225800</v>
      </c>
      <c r="G8679">
        <v>79.5</v>
      </c>
      <c r="H8679" t="s">
        <v>3</v>
      </c>
      <c r="I8679" s="22">
        <f t="shared" si="271"/>
        <v>-2.0665493297327715E-2</v>
      </c>
      <c r="J8679" s="22" t="str">
        <f t="shared" si="272"/>
        <v>lost money</v>
      </c>
    </row>
    <row r="8680" spans="1:10">
      <c r="A8680" s="1">
        <v>40940</v>
      </c>
      <c r="B8680">
        <v>84.23</v>
      </c>
      <c r="C8680">
        <v>84.56</v>
      </c>
      <c r="D8680">
        <v>83.38</v>
      </c>
      <c r="E8680">
        <v>83.97</v>
      </c>
      <c r="F8680">
        <v>22266100</v>
      </c>
      <c r="G8680">
        <v>79.72</v>
      </c>
      <c r="H8680" t="s">
        <v>3</v>
      </c>
      <c r="I8680" s="22">
        <f t="shared" si="271"/>
        <v>2.7634736843077084E-3</v>
      </c>
      <c r="J8680" s="22" t="str">
        <f t="shared" si="272"/>
        <v>lost money</v>
      </c>
    </row>
    <row r="8681" spans="1:10">
      <c r="A8681" s="1">
        <v>40941</v>
      </c>
      <c r="B8681">
        <v>84.28</v>
      </c>
      <c r="C8681">
        <v>84.34</v>
      </c>
      <c r="D8681">
        <v>83.19</v>
      </c>
      <c r="E8681">
        <v>83.53</v>
      </c>
      <c r="F8681">
        <v>18020500</v>
      </c>
      <c r="G8681">
        <v>79.3</v>
      </c>
      <c r="H8681" t="s">
        <v>3</v>
      </c>
      <c r="I8681" s="22">
        <f t="shared" si="271"/>
        <v>-5.2823667037917299E-3</v>
      </c>
      <c r="J8681" s="22" t="str">
        <f t="shared" si="272"/>
        <v>lost money</v>
      </c>
    </row>
    <row r="8682" spans="1:10">
      <c r="A8682" s="1">
        <v>40942</v>
      </c>
      <c r="B8682">
        <v>84.24</v>
      </c>
      <c r="C8682">
        <v>85</v>
      </c>
      <c r="D8682">
        <v>84.05</v>
      </c>
      <c r="E8682">
        <v>84.92</v>
      </c>
      <c r="F8682">
        <v>16145400</v>
      </c>
      <c r="G8682">
        <v>80.62</v>
      </c>
      <c r="H8682" t="s">
        <v>3</v>
      </c>
      <c r="I8682" s="22">
        <f t="shared" si="271"/>
        <v>1.6508629048217625E-2</v>
      </c>
      <c r="J8682" s="22" t="str">
        <f t="shared" si="272"/>
        <v/>
      </c>
    </row>
    <row r="8683" spans="1:10">
      <c r="A8683" s="1">
        <v>40945</v>
      </c>
      <c r="B8683">
        <v>84.87</v>
      </c>
      <c r="C8683">
        <v>85.85</v>
      </c>
      <c r="D8683">
        <v>84.49</v>
      </c>
      <c r="E8683">
        <v>85.75</v>
      </c>
      <c r="F8683">
        <v>15000900</v>
      </c>
      <c r="G8683">
        <v>81.41</v>
      </c>
      <c r="H8683" t="s">
        <v>3</v>
      </c>
      <c r="I8683" s="22">
        <f t="shared" si="271"/>
        <v>9.7513578968664704E-3</v>
      </c>
      <c r="J8683" s="22" t="str">
        <f t="shared" si="272"/>
        <v/>
      </c>
    </row>
    <row r="8684" spans="1:10">
      <c r="A8684" s="1">
        <v>40946</v>
      </c>
      <c r="B8684">
        <v>85.22</v>
      </c>
      <c r="C8684">
        <v>86.44</v>
      </c>
      <c r="D8684">
        <v>84.94</v>
      </c>
      <c r="E8684">
        <v>86.34</v>
      </c>
      <c r="F8684">
        <v>15818400</v>
      </c>
      <c r="G8684">
        <v>81.97</v>
      </c>
      <c r="H8684" t="s">
        <v>3</v>
      </c>
      <c r="I8684" s="22">
        <f t="shared" si="271"/>
        <v>6.8552110790528718E-3</v>
      </c>
      <c r="J8684" s="22" t="str">
        <f t="shared" si="272"/>
        <v/>
      </c>
    </row>
    <row r="8685" spans="1:10">
      <c r="A8685" s="1">
        <v>40947</v>
      </c>
      <c r="B8685">
        <v>85.83</v>
      </c>
      <c r="C8685">
        <v>86.22</v>
      </c>
      <c r="D8685">
        <v>84.73</v>
      </c>
      <c r="E8685">
        <v>85.32</v>
      </c>
      <c r="F8685">
        <v>14762600</v>
      </c>
      <c r="G8685">
        <v>81.44</v>
      </c>
      <c r="H8685" t="s">
        <v>3</v>
      </c>
      <c r="I8685" s="22">
        <f t="shared" si="271"/>
        <v>-6.486773862726657E-3</v>
      </c>
      <c r="J8685" s="22" t="str">
        <f t="shared" si="272"/>
        <v>lost money</v>
      </c>
    </row>
    <row r="8686" spans="1:10">
      <c r="A8686" s="1">
        <v>40948</v>
      </c>
      <c r="B8686">
        <v>85.33</v>
      </c>
      <c r="C8686">
        <v>85.69</v>
      </c>
      <c r="D8686">
        <v>84.67</v>
      </c>
      <c r="E8686">
        <v>84.88</v>
      </c>
      <c r="F8686">
        <v>17073400</v>
      </c>
      <c r="G8686">
        <v>81.02</v>
      </c>
      <c r="H8686" t="s">
        <v>3</v>
      </c>
      <c r="I8686" s="22">
        <f t="shared" si="271"/>
        <v>-5.1705150276681339E-3</v>
      </c>
      <c r="J8686" s="22" t="str">
        <f t="shared" si="272"/>
        <v>lost money</v>
      </c>
    </row>
    <row r="8687" spans="1:10">
      <c r="A8687" s="1">
        <v>40949</v>
      </c>
      <c r="B8687">
        <v>84.02</v>
      </c>
      <c r="C8687">
        <v>84.1</v>
      </c>
      <c r="D8687">
        <v>83.35</v>
      </c>
      <c r="E8687">
        <v>83.8</v>
      </c>
      <c r="F8687">
        <v>15328900</v>
      </c>
      <c r="G8687">
        <v>79.989999999999995</v>
      </c>
      <c r="H8687" t="s">
        <v>3</v>
      </c>
      <c r="I8687" s="22">
        <f t="shared" si="271"/>
        <v>-1.2794410913813978E-2</v>
      </c>
      <c r="J8687" s="22" t="str">
        <f t="shared" si="272"/>
        <v>lost money</v>
      </c>
    </row>
    <row r="8688" spans="1:10">
      <c r="A8688" s="1">
        <v>40952</v>
      </c>
      <c r="B8688">
        <v>84.34</v>
      </c>
      <c r="C8688">
        <v>84.6</v>
      </c>
      <c r="D8688">
        <v>83.89</v>
      </c>
      <c r="E8688">
        <v>84.42</v>
      </c>
      <c r="F8688">
        <v>11473700</v>
      </c>
      <c r="G8688">
        <v>80.58</v>
      </c>
      <c r="H8688" t="s">
        <v>3</v>
      </c>
      <c r="I8688" s="22">
        <f t="shared" si="271"/>
        <v>7.3488529024706411E-3</v>
      </c>
      <c r="J8688" s="22" t="str">
        <f t="shared" si="272"/>
        <v/>
      </c>
    </row>
    <row r="8689" spans="1:10">
      <c r="A8689" s="1">
        <v>40953</v>
      </c>
      <c r="B8689">
        <v>84.42</v>
      </c>
      <c r="C8689">
        <v>84.71</v>
      </c>
      <c r="D8689">
        <v>83.85</v>
      </c>
      <c r="E8689">
        <v>84.67</v>
      </c>
      <c r="F8689">
        <v>12961900</v>
      </c>
      <c r="G8689">
        <v>80.819999999999993</v>
      </c>
      <c r="H8689" t="s">
        <v>3</v>
      </c>
      <c r="I8689" s="22">
        <f t="shared" si="271"/>
        <v>2.9739798871262569E-3</v>
      </c>
      <c r="J8689" s="22" t="str">
        <f t="shared" si="272"/>
        <v/>
      </c>
    </row>
    <row r="8690" spans="1:10">
      <c r="A8690" s="1">
        <v>40954</v>
      </c>
      <c r="B8690">
        <v>84.86</v>
      </c>
      <c r="C8690">
        <v>84.92</v>
      </c>
      <c r="D8690">
        <v>83.91</v>
      </c>
      <c r="E8690">
        <v>84.12</v>
      </c>
      <c r="F8690">
        <v>13911600</v>
      </c>
      <c r="G8690">
        <v>80.3</v>
      </c>
      <c r="H8690" t="s">
        <v>3</v>
      </c>
      <c r="I8690" s="22">
        <f t="shared" si="271"/>
        <v>-6.454838697611538E-3</v>
      </c>
      <c r="J8690" s="22" t="str">
        <f t="shared" si="272"/>
        <v>lost money</v>
      </c>
    </row>
    <row r="8691" spans="1:10">
      <c r="A8691" s="1">
        <v>40955</v>
      </c>
      <c r="B8691">
        <v>84.45</v>
      </c>
      <c r="C8691">
        <v>85.62</v>
      </c>
      <c r="D8691">
        <v>84.08</v>
      </c>
      <c r="E8691">
        <v>85.41</v>
      </c>
      <c r="F8691">
        <v>14769600</v>
      </c>
      <c r="G8691">
        <v>81.53</v>
      </c>
      <c r="H8691" t="s">
        <v>3</v>
      </c>
      <c r="I8691" s="22">
        <f t="shared" si="271"/>
        <v>1.5201429722103412E-2</v>
      </c>
      <c r="J8691" s="22" t="str">
        <f t="shared" si="272"/>
        <v/>
      </c>
    </row>
    <row r="8692" spans="1:10">
      <c r="A8692" s="1">
        <v>40956</v>
      </c>
      <c r="B8692">
        <v>86.07</v>
      </c>
      <c r="C8692">
        <v>86.12</v>
      </c>
      <c r="D8692">
        <v>84.92</v>
      </c>
      <c r="E8692">
        <v>85.62</v>
      </c>
      <c r="F8692">
        <v>16597200</v>
      </c>
      <c r="G8692">
        <v>81.73</v>
      </c>
      <c r="H8692" t="s">
        <v>3</v>
      </c>
      <c r="I8692" s="22">
        <f t="shared" si="271"/>
        <v>2.4500808532188969E-3</v>
      </c>
      <c r="J8692" s="22" t="str">
        <f t="shared" si="272"/>
        <v>lost money</v>
      </c>
    </row>
    <row r="8693" spans="1:10">
      <c r="A8693" s="1">
        <v>40960</v>
      </c>
      <c r="B8693">
        <v>86.04</v>
      </c>
      <c r="C8693">
        <v>86.78</v>
      </c>
      <c r="D8693">
        <v>86.04</v>
      </c>
      <c r="E8693">
        <v>86.57</v>
      </c>
      <c r="F8693">
        <v>15481300</v>
      </c>
      <c r="G8693">
        <v>82.64</v>
      </c>
      <c r="H8693" t="s">
        <v>3</v>
      </c>
      <c r="I8693" s="22">
        <f t="shared" si="271"/>
        <v>1.1072693283344761E-2</v>
      </c>
      <c r="J8693" s="22" t="str">
        <f t="shared" si="272"/>
        <v/>
      </c>
    </row>
    <row r="8694" spans="1:10">
      <c r="A8694" s="1">
        <v>40961</v>
      </c>
      <c r="B8694">
        <v>86.84</v>
      </c>
      <c r="C8694">
        <v>87.25</v>
      </c>
      <c r="D8694">
        <v>86.65</v>
      </c>
      <c r="E8694">
        <v>86.92</v>
      </c>
      <c r="F8694">
        <v>11983200</v>
      </c>
      <c r="G8694">
        <v>82.97</v>
      </c>
      <c r="H8694" t="s">
        <v>3</v>
      </c>
      <c r="I8694" s="22">
        <f t="shared" si="271"/>
        <v>3.9852718648107494E-3</v>
      </c>
      <c r="J8694" s="22" t="str">
        <f t="shared" si="272"/>
        <v/>
      </c>
    </row>
    <row r="8695" spans="1:10">
      <c r="A8695" s="1">
        <v>40962</v>
      </c>
      <c r="B8695">
        <v>86.58</v>
      </c>
      <c r="C8695">
        <v>87.17</v>
      </c>
      <c r="D8695">
        <v>86.47</v>
      </c>
      <c r="E8695">
        <v>87.02</v>
      </c>
      <c r="F8695">
        <v>12404600</v>
      </c>
      <c r="G8695">
        <v>83.06</v>
      </c>
      <c r="H8695" t="s">
        <v>3</v>
      </c>
      <c r="I8695" s="22">
        <f t="shared" si="271"/>
        <v>1.0841415264136564E-3</v>
      </c>
      <c r="J8695" s="22" t="str">
        <f t="shared" si="272"/>
        <v/>
      </c>
    </row>
    <row r="8696" spans="1:10">
      <c r="A8696" s="1">
        <v>40963</v>
      </c>
      <c r="B8696">
        <v>87.37</v>
      </c>
      <c r="C8696">
        <v>87.47</v>
      </c>
      <c r="D8696">
        <v>87.01</v>
      </c>
      <c r="E8696">
        <v>87.34</v>
      </c>
      <c r="F8696">
        <v>10767100</v>
      </c>
      <c r="G8696">
        <v>83.37</v>
      </c>
      <c r="H8696" t="s">
        <v>3</v>
      </c>
      <c r="I8696" s="22">
        <f t="shared" si="271"/>
        <v>3.725294219914614E-3</v>
      </c>
      <c r="J8696" s="22" t="str">
        <f t="shared" si="272"/>
        <v>lost money</v>
      </c>
    </row>
    <row r="8697" spans="1:10">
      <c r="A8697" s="1">
        <v>40966</v>
      </c>
      <c r="B8697">
        <v>87.15</v>
      </c>
      <c r="C8697">
        <v>87.83</v>
      </c>
      <c r="D8697">
        <v>86.78</v>
      </c>
      <c r="E8697">
        <v>87.23</v>
      </c>
      <c r="F8697">
        <v>13323500</v>
      </c>
      <c r="G8697">
        <v>83.27</v>
      </c>
      <c r="H8697" t="s">
        <v>3</v>
      </c>
      <c r="I8697" s="22">
        <f t="shared" si="271"/>
        <v>-1.2001921747942115E-3</v>
      </c>
      <c r="J8697" s="22" t="str">
        <f t="shared" si="272"/>
        <v/>
      </c>
    </row>
    <row r="8698" spans="1:10">
      <c r="A8698" s="1">
        <v>40967</v>
      </c>
      <c r="B8698">
        <v>87.23</v>
      </c>
      <c r="C8698">
        <v>87.44</v>
      </c>
      <c r="D8698">
        <v>86.55</v>
      </c>
      <c r="E8698">
        <v>87.14</v>
      </c>
      <c r="F8698">
        <v>14317600</v>
      </c>
      <c r="G8698">
        <v>83.18</v>
      </c>
      <c r="H8698" t="s">
        <v>3</v>
      </c>
      <c r="I8698" s="22">
        <f t="shared" si="271"/>
        <v>-1.0814059329622265E-3</v>
      </c>
      <c r="J8698" s="22" t="str">
        <f t="shared" si="272"/>
        <v>lost money</v>
      </c>
    </row>
    <row r="8699" spans="1:10">
      <c r="A8699" s="1">
        <v>40968</v>
      </c>
      <c r="B8699">
        <v>87.45</v>
      </c>
      <c r="C8699">
        <v>87.49</v>
      </c>
      <c r="D8699">
        <v>86.21</v>
      </c>
      <c r="E8699">
        <v>86.5</v>
      </c>
      <c r="F8699">
        <v>18293200</v>
      </c>
      <c r="G8699">
        <v>82.57</v>
      </c>
      <c r="H8699" t="s">
        <v>3</v>
      </c>
      <c r="I8699" s="22">
        <f t="shared" si="271"/>
        <v>-7.360515885428567E-3</v>
      </c>
      <c r="J8699" s="22" t="str">
        <f t="shared" si="272"/>
        <v>lost money</v>
      </c>
    </row>
    <row r="8700" spans="1:10">
      <c r="A8700" s="1">
        <v>40969</v>
      </c>
      <c r="B8700">
        <v>86.47</v>
      </c>
      <c r="C8700">
        <v>87.18</v>
      </c>
      <c r="D8700">
        <v>86.41</v>
      </c>
      <c r="E8700">
        <v>86.83</v>
      </c>
      <c r="F8700">
        <v>12638500</v>
      </c>
      <c r="G8700">
        <v>82.88</v>
      </c>
      <c r="H8700" t="s">
        <v>3</v>
      </c>
      <c r="I8700" s="22">
        <f t="shared" si="271"/>
        <v>3.7473600818356857E-3</v>
      </c>
      <c r="J8700" s="22" t="str">
        <f t="shared" si="272"/>
        <v/>
      </c>
    </row>
    <row r="8701" spans="1:10">
      <c r="A8701" s="1">
        <v>40970</v>
      </c>
      <c r="B8701">
        <v>86.66</v>
      </c>
      <c r="C8701">
        <v>86.75</v>
      </c>
      <c r="D8701">
        <v>85.85</v>
      </c>
      <c r="E8701">
        <v>86.33</v>
      </c>
      <c r="F8701">
        <v>11343400</v>
      </c>
      <c r="G8701">
        <v>82.41</v>
      </c>
      <c r="H8701" t="s">
        <v>3</v>
      </c>
      <c r="I8701" s="22">
        <f t="shared" si="271"/>
        <v>-5.6869897358807096E-3</v>
      </c>
      <c r="J8701" s="22" t="str">
        <f t="shared" si="272"/>
        <v>lost money</v>
      </c>
    </row>
    <row r="8702" spans="1:10">
      <c r="A8702" s="1">
        <v>40973</v>
      </c>
      <c r="B8702">
        <v>86.17</v>
      </c>
      <c r="C8702">
        <v>87.09</v>
      </c>
      <c r="D8702">
        <v>85.91</v>
      </c>
      <c r="E8702">
        <v>87.01</v>
      </c>
      <c r="F8702">
        <v>12803100</v>
      </c>
      <c r="G8702">
        <v>83.06</v>
      </c>
      <c r="H8702" t="s">
        <v>3</v>
      </c>
      <c r="I8702" s="22">
        <f t="shared" si="271"/>
        <v>7.8564494273154588E-3</v>
      </c>
      <c r="J8702" s="22" t="str">
        <f t="shared" si="272"/>
        <v/>
      </c>
    </row>
    <row r="8703" spans="1:10">
      <c r="A8703" s="1">
        <v>40974</v>
      </c>
      <c r="B8703">
        <v>86.24</v>
      </c>
      <c r="C8703">
        <v>86.48</v>
      </c>
      <c r="D8703">
        <v>85.42</v>
      </c>
      <c r="E8703">
        <v>85.86</v>
      </c>
      <c r="F8703">
        <v>16507900</v>
      </c>
      <c r="G8703">
        <v>81.96</v>
      </c>
      <c r="H8703" t="s">
        <v>3</v>
      </c>
      <c r="I8703" s="22">
        <f t="shared" si="271"/>
        <v>-1.3331914831908587E-2</v>
      </c>
      <c r="J8703" s="22" t="str">
        <f t="shared" si="272"/>
        <v>lost money</v>
      </c>
    </row>
    <row r="8704" spans="1:10">
      <c r="A8704" s="1">
        <v>40975</v>
      </c>
      <c r="B8704">
        <v>86.01</v>
      </c>
      <c r="C8704">
        <v>86.12</v>
      </c>
      <c r="D8704">
        <v>85.19</v>
      </c>
      <c r="E8704">
        <v>85.83</v>
      </c>
      <c r="F8704">
        <v>14767700</v>
      </c>
      <c r="G8704">
        <v>81.93</v>
      </c>
      <c r="H8704" t="s">
        <v>3</v>
      </c>
      <c r="I8704" s="22">
        <f t="shared" si="271"/>
        <v>-3.6609921697554196E-4</v>
      </c>
      <c r="J8704" s="22" t="str">
        <f t="shared" si="272"/>
        <v>lost money</v>
      </c>
    </row>
    <row r="8705" spans="1:10">
      <c r="A8705" s="1">
        <v>40976</v>
      </c>
      <c r="B8705">
        <v>85</v>
      </c>
      <c r="C8705">
        <v>85.47</v>
      </c>
      <c r="D8705">
        <v>84.63</v>
      </c>
      <c r="E8705">
        <v>84.83</v>
      </c>
      <c r="F8705">
        <v>19032000</v>
      </c>
      <c r="G8705">
        <v>80.97</v>
      </c>
      <c r="H8705" t="s">
        <v>3</v>
      </c>
      <c r="I8705" s="22">
        <f t="shared" si="271"/>
        <v>-1.1786508455700465E-2</v>
      </c>
      <c r="J8705" s="22" t="str">
        <f t="shared" si="272"/>
        <v>lost money</v>
      </c>
    </row>
    <row r="8706" spans="1:10">
      <c r="A8706" s="1">
        <v>40977</v>
      </c>
      <c r="B8706">
        <v>85.06</v>
      </c>
      <c r="C8706">
        <v>85.13</v>
      </c>
      <c r="D8706">
        <v>84.05</v>
      </c>
      <c r="E8706">
        <v>84.3</v>
      </c>
      <c r="F8706">
        <v>17042500</v>
      </c>
      <c r="G8706">
        <v>80.47</v>
      </c>
      <c r="H8706" t="s">
        <v>3</v>
      </c>
      <c r="I8706" s="22">
        <f t="shared" si="271"/>
        <v>-6.1942715399815251E-3</v>
      </c>
      <c r="J8706" s="22" t="str">
        <f t="shared" si="272"/>
        <v>lost money</v>
      </c>
    </row>
    <row r="8707" spans="1:10">
      <c r="A8707" s="1">
        <v>40980</v>
      </c>
      <c r="B8707">
        <v>84.5</v>
      </c>
      <c r="C8707">
        <v>85.75</v>
      </c>
      <c r="D8707">
        <v>84.13</v>
      </c>
      <c r="E8707">
        <v>85.55</v>
      </c>
      <c r="F8707">
        <v>19014000</v>
      </c>
      <c r="G8707">
        <v>81.66</v>
      </c>
      <c r="H8707" t="s">
        <v>3</v>
      </c>
      <c r="I8707" s="22">
        <f t="shared" ref="I8707:I8770" si="273">IF(A8707=$A$2,"",LN(G8707/G8706))</f>
        <v>1.4679841733388103E-2</v>
      </c>
      <c r="J8707" s="22" t="str">
        <f t="shared" ref="J8707:J8770" si="274">IF(B8707&gt;E8707,"lost money","")</f>
        <v/>
      </c>
    </row>
    <row r="8708" spans="1:10">
      <c r="A8708" s="1">
        <v>40981</v>
      </c>
      <c r="B8708">
        <v>85.89</v>
      </c>
      <c r="C8708">
        <v>86.93</v>
      </c>
      <c r="D8708">
        <v>85.61</v>
      </c>
      <c r="E8708">
        <v>86.86</v>
      </c>
      <c r="F8708">
        <v>16853300</v>
      </c>
      <c r="G8708">
        <v>82.91</v>
      </c>
      <c r="H8708" t="s">
        <v>3</v>
      </c>
      <c r="I8708" s="22">
        <f t="shared" si="273"/>
        <v>1.5191396236697609E-2</v>
      </c>
      <c r="J8708" s="22" t="str">
        <f t="shared" si="274"/>
        <v/>
      </c>
    </row>
    <row r="8709" spans="1:10">
      <c r="A8709" s="1">
        <v>40982</v>
      </c>
      <c r="B8709">
        <v>86.59</v>
      </c>
      <c r="C8709">
        <v>86.83</v>
      </c>
      <c r="D8709">
        <v>85.74</v>
      </c>
      <c r="E8709">
        <v>86.02</v>
      </c>
      <c r="F8709">
        <v>16187300</v>
      </c>
      <c r="G8709">
        <v>82.11</v>
      </c>
      <c r="H8709" t="s">
        <v>3</v>
      </c>
      <c r="I8709" s="22">
        <f t="shared" si="273"/>
        <v>-9.6958704074298855E-3</v>
      </c>
      <c r="J8709" s="22" t="str">
        <f t="shared" si="274"/>
        <v>lost money</v>
      </c>
    </row>
    <row r="8710" spans="1:10">
      <c r="A8710" s="1">
        <v>40983</v>
      </c>
      <c r="B8710">
        <v>85.89</v>
      </c>
      <c r="C8710">
        <v>86.2</v>
      </c>
      <c r="D8710">
        <v>85.25</v>
      </c>
      <c r="E8710">
        <v>86.09</v>
      </c>
      <c r="F8710">
        <v>14523600</v>
      </c>
      <c r="G8710">
        <v>82.18</v>
      </c>
      <c r="H8710" t="s">
        <v>3</v>
      </c>
      <c r="I8710" s="22">
        <f t="shared" si="273"/>
        <v>8.5215173456649476E-4</v>
      </c>
      <c r="J8710" s="22" t="str">
        <f t="shared" si="274"/>
        <v/>
      </c>
    </row>
    <row r="8711" spans="1:10">
      <c r="A8711" s="1">
        <v>40984</v>
      </c>
      <c r="B8711">
        <v>86.2</v>
      </c>
      <c r="C8711">
        <v>86.89</v>
      </c>
      <c r="D8711">
        <v>85.92</v>
      </c>
      <c r="E8711">
        <v>86.44</v>
      </c>
      <c r="F8711">
        <v>30991300</v>
      </c>
      <c r="G8711">
        <v>82.51</v>
      </c>
      <c r="H8711" t="s">
        <v>3</v>
      </c>
      <c r="I8711" s="22">
        <f t="shared" si="273"/>
        <v>4.007534660988135E-3</v>
      </c>
      <c r="J8711" s="22" t="str">
        <f t="shared" si="274"/>
        <v/>
      </c>
    </row>
    <row r="8712" spans="1:10">
      <c r="A8712" s="1">
        <v>40987</v>
      </c>
      <c r="B8712">
        <v>86.08</v>
      </c>
      <c r="C8712">
        <v>87.18</v>
      </c>
      <c r="D8712">
        <v>86.03</v>
      </c>
      <c r="E8712">
        <v>86.99</v>
      </c>
      <c r="F8712">
        <v>10770400</v>
      </c>
      <c r="G8712">
        <v>83.04</v>
      </c>
      <c r="H8712" t="s">
        <v>3</v>
      </c>
      <c r="I8712" s="22">
        <f t="shared" si="273"/>
        <v>6.4029213013265781E-3</v>
      </c>
      <c r="J8712" s="22" t="str">
        <f t="shared" si="274"/>
        <v/>
      </c>
    </row>
    <row r="8713" spans="1:10">
      <c r="A8713" s="1">
        <v>40988</v>
      </c>
      <c r="B8713">
        <v>86.46</v>
      </c>
      <c r="C8713">
        <v>87.1</v>
      </c>
      <c r="D8713">
        <v>86.32</v>
      </c>
      <c r="E8713">
        <v>86.6</v>
      </c>
      <c r="F8713">
        <v>13613800</v>
      </c>
      <c r="G8713">
        <v>82.66</v>
      </c>
      <c r="H8713" t="s">
        <v>3</v>
      </c>
      <c r="I8713" s="22">
        <f t="shared" si="273"/>
        <v>-4.5866103339923326E-3</v>
      </c>
      <c r="J8713" s="22" t="str">
        <f t="shared" si="274"/>
        <v/>
      </c>
    </row>
    <row r="8714" spans="1:10">
      <c r="A8714" s="1">
        <v>40989</v>
      </c>
      <c r="B8714">
        <v>86.59</v>
      </c>
      <c r="C8714">
        <v>86.59</v>
      </c>
      <c r="D8714">
        <v>85.77</v>
      </c>
      <c r="E8714">
        <v>86.01</v>
      </c>
      <c r="F8714">
        <v>14212400</v>
      </c>
      <c r="G8714">
        <v>82.1</v>
      </c>
      <c r="H8714" t="s">
        <v>3</v>
      </c>
      <c r="I8714" s="22">
        <f t="shared" si="273"/>
        <v>-6.7977926252038188E-3</v>
      </c>
      <c r="J8714" s="22" t="str">
        <f t="shared" si="274"/>
        <v>lost money</v>
      </c>
    </row>
    <row r="8715" spans="1:10">
      <c r="A8715" s="1">
        <v>40990</v>
      </c>
      <c r="B8715">
        <v>85.48</v>
      </c>
      <c r="C8715">
        <v>85.94</v>
      </c>
      <c r="D8715">
        <v>85.1</v>
      </c>
      <c r="E8715">
        <v>85.33</v>
      </c>
      <c r="F8715">
        <v>13884400</v>
      </c>
      <c r="G8715">
        <v>81.45</v>
      </c>
      <c r="H8715" t="s">
        <v>3</v>
      </c>
      <c r="I8715" s="22">
        <f t="shared" si="273"/>
        <v>-7.9486814103282635E-3</v>
      </c>
      <c r="J8715" s="22" t="str">
        <f t="shared" si="274"/>
        <v>lost money</v>
      </c>
    </row>
    <row r="8716" spans="1:10">
      <c r="A8716" s="1">
        <v>40991</v>
      </c>
      <c r="B8716">
        <v>85.36</v>
      </c>
      <c r="C8716">
        <v>85.98</v>
      </c>
      <c r="D8716">
        <v>85.02</v>
      </c>
      <c r="E8716">
        <v>85.55</v>
      </c>
      <c r="F8716">
        <v>12557700</v>
      </c>
      <c r="G8716">
        <v>81.66</v>
      </c>
      <c r="H8716" t="s">
        <v>3</v>
      </c>
      <c r="I8716" s="22">
        <f t="shared" si="273"/>
        <v>2.5749508433755399E-3</v>
      </c>
      <c r="J8716" s="22" t="str">
        <f t="shared" si="274"/>
        <v/>
      </c>
    </row>
    <row r="8717" spans="1:10">
      <c r="A8717" s="1">
        <v>40994</v>
      </c>
      <c r="B8717">
        <v>86.18</v>
      </c>
      <c r="C8717">
        <v>87.25</v>
      </c>
      <c r="D8717">
        <v>86.07</v>
      </c>
      <c r="E8717">
        <v>87.03</v>
      </c>
      <c r="F8717">
        <v>17336800</v>
      </c>
      <c r="G8717">
        <v>83.07</v>
      </c>
      <c r="H8717" t="s">
        <v>3</v>
      </c>
      <c r="I8717" s="22">
        <f t="shared" si="273"/>
        <v>1.7119339959550364E-2</v>
      </c>
      <c r="J8717" s="22" t="str">
        <f t="shared" si="274"/>
        <v/>
      </c>
    </row>
    <row r="8718" spans="1:10">
      <c r="A8718" s="1">
        <v>40995</v>
      </c>
      <c r="B8718">
        <v>87.14</v>
      </c>
      <c r="C8718">
        <v>87.25</v>
      </c>
      <c r="D8718">
        <v>86.54</v>
      </c>
      <c r="E8718">
        <v>86.62</v>
      </c>
      <c r="F8718">
        <v>12509200</v>
      </c>
      <c r="G8718">
        <v>82.68</v>
      </c>
      <c r="H8718" t="s">
        <v>3</v>
      </c>
      <c r="I8718" s="22">
        <f t="shared" si="273"/>
        <v>-4.7058910374125048E-3</v>
      </c>
      <c r="J8718" s="22" t="str">
        <f t="shared" si="274"/>
        <v>lost money</v>
      </c>
    </row>
    <row r="8719" spans="1:10">
      <c r="A8719" s="1">
        <v>40996</v>
      </c>
      <c r="B8719">
        <v>86.36</v>
      </c>
      <c r="C8719">
        <v>86.48</v>
      </c>
      <c r="D8719">
        <v>85.14</v>
      </c>
      <c r="E8719">
        <v>85.86</v>
      </c>
      <c r="F8719">
        <v>16155300</v>
      </c>
      <c r="G8719">
        <v>81.96</v>
      </c>
      <c r="H8719" t="s">
        <v>3</v>
      </c>
      <c r="I8719" s="22">
        <f t="shared" si="273"/>
        <v>-8.7464114428686349E-3</v>
      </c>
      <c r="J8719" s="22" t="str">
        <f t="shared" si="274"/>
        <v>lost money</v>
      </c>
    </row>
    <row r="8720" spans="1:10">
      <c r="A8720" s="1">
        <v>40997</v>
      </c>
      <c r="B8720">
        <v>85.32</v>
      </c>
      <c r="C8720">
        <v>86.13</v>
      </c>
      <c r="D8720">
        <v>84.91</v>
      </c>
      <c r="E8720">
        <v>86.08</v>
      </c>
      <c r="F8720">
        <v>13199700</v>
      </c>
      <c r="G8720">
        <v>82.17</v>
      </c>
      <c r="H8720" t="s">
        <v>3</v>
      </c>
      <c r="I8720" s="22">
        <f t="shared" si="273"/>
        <v>2.5589485723975531E-3</v>
      </c>
      <c r="J8720" s="22" t="str">
        <f t="shared" si="274"/>
        <v/>
      </c>
    </row>
    <row r="8721" spans="1:10">
      <c r="A8721" s="1">
        <v>40998</v>
      </c>
      <c r="B8721">
        <v>86.48</v>
      </c>
      <c r="C8721">
        <v>86.76</v>
      </c>
      <c r="D8721">
        <v>86.09</v>
      </c>
      <c r="E8721">
        <v>86.73</v>
      </c>
      <c r="F8721">
        <v>12968300</v>
      </c>
      <c r="G8721">
        <v>82.79</v>
      </c>
      <c r="H8721" t="s">
        <v>3</v>
      </c>
      <c r="I8721" s="22">
        <f t="shared" si="273"/>
        <v>7.5170092076181534E-3</v>
      </c>
      <c r="J8721" s="22" t="str">
        <f t="shared" si="274"/>
        <v/>
      </c>
    </row>
    <row r="8722" spans="1:10">
      <c r="A8722" s="1">
        <v>41001</v>
      </c>
      <c r="B8722">
        <v>86.6</v>
      </c>
      <c r="C8722">
        <v>87.67</v>
      </c>
      <c r="D8722">
        <v>86.31</v>
      </c>
      <c r="E8722">
        <v>87.07</v>
      </c>
      <c r="F8722">
        <v>13853300</v>
      </c>
      <c r="G8722">
        <v>83.11</v>
      </c>
      <c r="H8722" t="s">
        <v>3</v>
      </c>
      <c r="I8722" s="22">
        <f t="shared" si="273"/>
        <v>3.8577504142203764E-3</v>
      </c>
      <c r="J8722" s="22" t="str">
        <f t="shared" si="274"/>
        <v/>
      </c>
    </row>
    <row r="8723" spans="1:10">
      <c r="A8723" s="1">
        <v>41002</v>
      </c>
      <c r="B8723">
        <v>86.75</v>
      </c>
      <c r="C8723">
        <v>86.78</v>
      </c>
      <c r="D8723">
        <v>85</v>
      </c>
      <c r="E8723">
        <v>85.83</v>
      </c>
      <c r="F8723">
        <v>17714900</v>
      </c>
      <c r="G8723">
        <v>81.93</v>
      </c>
      <c r="H8723" t="s">
        <v>3</v>
      </c>
      <c r="I8723" s="22">
        <f t="shared" si="273"/>
        <v>-1.4299807411211582E-2</v>
      </c>
      <c r="J8723" s="22" t="str">
        <f t="shared" si="274"/>
        <v>lost money</v>
      </c>
    </row>
    <row r="8724" spans="1:10">
      <c r="A8724" s="1">
        <v>41003</v>
      </c>
      <c r="B8724">
        <v>85.3</v>
      </c>
      <c r="C8724">
        <v>85.36</v>
      </c>
      <c r="D8724">
        <v>84.49</v>
      </c>
      <c r="E8724">
        <v>84.98</v>
      </c>
      <c r="F8724">
        <v>17112800</v>
      </c>
      <c r="G8724">
        <v>81.12</v>
      </c>
      <c r="H8724" t="s">
        <v>3</v>
      </c>
      <c r="I8724" s="22">
        <f t="shared" si="273"/>
        <v>-9.9356843108502971E-3</v>
      </c>
      <c r="J8724" s="22" t="str">
        <f t="shared" si="274"/>
        <v>lost money</v>
      </c>
    </row>
    <row r="8725" spans="1:10">
      <c r="A8725" s="1">
        <v>41004</v>
      </c>
      <c r="B8725">
        <v>84.56</v>
      </c>
      <c r="C8725">
        <v>85.38</v>
      </c>
      <c r="D8725">
        <v>84.35</v>
      </c>
      <c r="E8725">
        <v>84.82</v>
      </c>
      <c r="F8725">
        <v>11954700</v>
      </c>
      <c r="G8725">
        <v>80.959999999999994</v>
      </c>
      <c r="H8725" t="s">
        <v>3</v>
      </c>
      <c r="I8725" s="22">
        <f t="shared" si="273"/>
        <v>-1.9743343037177405E-3</v>
      </c>
      <c r="J8725" s="22" t="str">
        <f t="shared" si="274"/>
        <v/>
      </c>
    </row>
    <row r="8726" spans="1:10">
      <c r="A8726" s="1">
        <v>41008</v>
      </c>
      <c r="B8726">
        <v>83.98</v>
      </c>
      <c r="C8726">
        <v>84.36</v>
      </c>
      <c r="D8726">
        <v>83.68</v>
      </c>
      <c r="E8726">
        <v>83.88</v>
      </c>
      <c r="F8726">
        <v>11027000</v>
      </c>
      <c r="G8726">
        <v>80.069999999999993</v>
      </c>
      <c r="H8726" t="s">
        <v>3</v>
      </c>
      <c r="I8726" s="22">
        <f t="shared" si="273"/>
        <v>-1.1053953454613016E-2</v>
      </c>
      <c r="J8726" s="22" t="str">
        <f t="shared" si="274"/>
        <v>lost money</v>
      </c>
    </row>
    <row r="8727" spans="1:10">
      <c r="A8727" s="1">
        <v>41009</v>
      </c>
      <c r="B8727">
        <v>83.75</v>
      </c>
      <c r="C8727">
        <v>83.75</v>
      </c>
      <c r="D8727">
        <v>81.88</v>
      </c>
      <c r="E8727">
        <v>82.17</v>
      </c>
      <c r="F8727">
        <v>19993700</v>
      </c>
      <c r="G8727">
        <v>78.44</v>
      </c>
      <c r="H8727" t="s">
        <v>3</v>
      </c>
      <c r="I8727" s="22">
        <f t="shared" si="273"/>
        <v>-2.0567250756396874E-2</v>
      </c>
      <c r="J8727" s="22" t="str">
        <f t="shared" si="274"/>
        <v>lost money</v>
      </c>
    </row>
    <row r="8728" spans="1:10">
      <c r="A8728" s="1">
        <v>41010</v>
      </c>
      <c r="B8728">
        <v>83.11</v>
      </c>
      <c r="C8728">
        <v>83.35</v>
      </c>
      <c r="D8728">
        <v>82.15</v>
      </c>
      <c r="E8728">
        <v>82.7</v>
      </c>
      <c r="F8728">
        <v>15856200</v>
      </c>
      <c r="G8728">
        <v>78.94</v>
      </c>
      <c r="H8728" t="s">
        <v>3</v>
      </c>
      <c r="I8728" s="22">
        <f t="shared" si="273"/>
        <v>6.3540689065554306E-3</v>
      </c>
      <c r="J8728" s="22" t="str">
        <f t="shared" si="274"/>
        <v>lost money</v>
      </c>
    </row>
    <row r="8729" spans="1:10">
      <c r="A8729" s="1">
        <v>41011</v>
      </c>
      <c r="B8729">
        <v>82.65</v>
      </c>
      <c r="C8729">
        <v>83.73</v>
      </c>
      <c r="D8729">
        <v>82.36</v>
      </c>
      <c r="E8729">
        <v>83.6</v>
      </c>
      <c r="F8729">
        <v>15266200</v>
      </c>
      <c r="G8729">
        <v>79.8</v>
      </c>
      <c r="H8729" t="s">
        <v>3</v>
      </c>
      <c r="I8729" s="22">
        <f t="shared" si="273"/>
        <v>1.0835434221062054E-2</v>
      </c>
      <c r="J8729" s="22" t="str">
        <f t="shared" si="274"/>
        <v/>
      </c>
    </row>
    <row r="8730" spans="1:10">
      <c r="A8730" s="1">
        <v>41012</v>
      </c>
      <c r="B8730">
        <v>82.97</v>
      </c>
      <c r="C8730">
        <v>83.69</v>
      </c>
      <c r="D8730">
        <v>82.86</v>
      </c>
      <c r="E8730">
        <v>82.95</v>
      </c>
      <c r="F8730">
        <v>13856500</v>
      </c>
      <c r="G8730">
        <v>79.180000000000007</v>
      </c>
      <c r="H8730" t="s">
        <v>3</v>
      </c>
      <c r="I8730" s="22">
        <f t="shared" si="273"/>
        <v>-7.7997627777783712E-3</v>
      </c>
      <c r="J8730" s="22" t="str">
        <f t="shared" si="274"/>
        <v>lost money</v>
      </c>
    </row>
    <row r="8731" spans="1:10">
      <c r="A8731" s="1">
        <v>41015</v>
      </c>
      <c r="B8731">
        <v>83.24</v>
      </c>
      <c r="C8731">
        <v>84.39</v>
      </c>
      <c r="D8731">
        <v>83.13</v>
      </c>
      <c r="E8731">
        <v>84.01</v>
      </c>
      <c r="F8731">
        <v>17526100</v>
      </c>
      <c r="G8731">
        <v>80.19</v>
      </c>
      <c r="H8731" t="s">
        <v>3</v>
      </c>
      <c r="I8731" s="22">
        <f t="shared" si="273"/>
        <v>1.2675077140952614E-2</v>
      </c>
      <c r="J8731" s="22" t="str">
        <f t="shared" si="274"/>
        <v/>
      </c>
    </row>
    <row r="8732" spans="1:10">
      <c r="A8732" s="1">
        <v>41016</v>
      </c>
      <c r="B8732">
        <v>84.65</v>
      </c>
      <c r="C8732">
        <v>85.6</v>
      </c>
      <c r="D8732">
        <v>84.57</v>
      </c>
      <c r="E8732">
        <v>85.45</v>
      </c>
      <c r="F8732">
        <v>14208000</v>
      </c>
      <c r="G8732">
        <v>81.569999999999993</v>
      </c>
      <c r="H8732" t="s">
        <v>3</v>
      </c>
      <c r="I8732" s="22">
        <f t="shared" si="273"/>
        <v>1.7062728493551636E-2</v>
      </c>
      <c r="J8732" s="22" t="str">
        <f t="shared" si="274"/>
        <v/>
      </c>
    </row>
    <row r="8733" spans="1:10">
      <c r="A8733" s="1">
        <v>41017</v>
      </c>
      <c r="B8733">
        <v>85.06</v>
      </c>
      <c r="C8733">
        <v>86.05</v>
      </c>
      <c r="D8733">
        <v>85.02</v>
      </c>
      <c r="E8733">
        <v>85.75</v>
      </c>
      <c r="F8733">
        <v>12997500</v>
      </c>
      <c r="G8733">
        <v>81.849999999999994</v>
      </c>
      <c r="H8733" t="s">
        <v>3</v>
      </c>
      <c r="I8733" s="22">
        <f t="shared" si="273"/>
        <v>3.4267565046548517E-3</v>
      </c>
      <c r="J8733" s="22" t="str">
        <f t="shared" si="274"/>
        <v/>
      </c>
    </row>
    <row r="8734" spans="1:10">
      <c r="A8734" s="1">
        <v>41018</v>
      </c>
      <c r="B8734">
        <v>85.51</v>
      </c>
      <c r="C8734">
        <v>85.92</v>
      </c>
      <c r="D8734">
        <v>84.98</v>
      </c>
      <c r="E8734">
        <v>85.28</v>
      </c>
      <c r="F8734">
        <v>15973800</v>
      </c>
      <c r="G8734">
        <v>81.400000000000006</v>
      </c>
      <c r="H8734" t="s">
        <v>3</v>
      </c>
      <c r="I8734" s="22">
        <f t="shared" si="273"/>
        <v>-5.5130308086491393E-3</v>
      </c>
      <c r="J8734" s="22" t="str">
        <f t="shared" si="274"/>
        <v>lost money</v>
      </c>
    </row>
    <row r="8735" spans="1:10">
      <c r="A8735" s="1">
        <v>41019</v>
      </c>
      <c r="B8735">
        <v>85.55</v>
      </c>
      <c r="C8735">
        <v>85.92</v>
      </c>
      <c r="D8735">
        <v>85.03</v>
      </c>
      <c r="E8735">
        <v>85.3</v>
      </c>
      <c r="F8735">
        <v>17216600</v>
      </c>
      <c r="G8735">
        <v>81.42</v>
      </c>
      <c r="H8735" t="s">
        <v>3</v>
      </c>
      <c r="I8735" s="22">
        <f t="shared" si="273"/>
        <v>2.4567006633805698E-4</v>
      </c>
      <c r="J8735" s="22" t="str">
        <f t="shared" si="274"/>
        <v>lost money</v>
      </c>
    </row>
    <row r="8736" spans="1:10">
      <c r="A8736" s="1">
        <v>41022</v>
      </c>
      <c r="B8736">
        <v>84.53</v>
      </c>
      <c r="C8736">
        <v>85.93</v>
      </c>
      <c r="D8736">
        <v>84.39</v>
      </c>
      <c r="E8736">
        <v>85.69</v>
      </c>
      <c r="F8736">
        <v>15197200</v>
      </c>
      <c r="G8736">
        <v>81.8</v>
      </c>
      <c r="H8736" t="s">
        <v>3</v>
      </c>
      <c r="I8736" s="22">
        <f t="shared" si="273"/>
        <v>4.6563005338684342E-3</v>
      </c>
      <c r="J8736" s="22" t="str">
        <f t="shared" si="274"/>
        <v/>
      </c>
    </row>
    <row r="8737" spans="1:10">
      <c r="A8737" s="1">
        <v>41023</v>
      </c>
      <c r="B8737">
        <v>85.64</v>
      </c>
      <c r="C8737">
        <v>86.39</v>
      </c>
      <c r="D8737">
        <v>85.64</v>
      </c>
      <c r="E8737">
        <v>86.31</v>
      </c>
      <c r="F8737">
        <v>11632500</v>
      </c>
      <c r="G8737">
        <v>82.39</v>
      </c>
      <c r="H8737" t="s">
        <v>3</v>
      </c>
      <c r="I8737" s="22">
        <f t="shared" si="273"/>
        <v>7.1868267187973796E-3</v>
      </c>
      <c r="J8737" s="22" t="str">
        <f t="shared" si="274"/>
        <v/>
      </c>
    </row>
    <row r="8738" spans="1:10">
      <c r="A8738" s="1">
        <v>41024</v>
      </c>
      <c r="B8738">
        <v>86.65</v>
      </c>
      <c r="C8738">
        <v>87.18</v>
      </c>
      <c r="D8738">
        <v>85.72</v>
      </c>
      <c r="E8738">
        <v>86.85</v>
      </c>
      <c r="F8738">
        <v>18476800</v>
      </c>
      <c r="G8738">
        <v>82.9</v>
      </c>
      <c r="H8738" t="s">
        <v>3</v>
      </c>
      <c r="I8738" s="22">
        <f t="shared" si="273"/>
        <v>6.1709918137507298E-3</v>
      </c>
      <c r="J8738" s="22" t="str">
        <f t="shared" si="274"/>
        <v/>
      </c>
    </row>
    <row r="8739" spans="1:10">
      <c r="A8739" s="1">
        <v>41025</v>
      </c>
      <c r="B8739">
        <v>85.28</v>
      </c>
      <c r="C8739">
        <v>86.2</v>
      </c>
      <c r="D8739">
        <v>85.15</v>
      </c>
      <c r="E8739">
        <v>86.07</v>
      </c>
      <c r="F8739">
        <v>17262400</v>
      </c>
      <c r="G8739">
        <v>82.16</v>
      </c>
      <c r="H8739" t="s">
        <v>3</v>
      </c>
      <c r="I8739" s="22">
        <f t="shared" si="273"/>
        <v>-8.966496520946653E-3</v>
      </c>
      <c r="J8739" s="22" t="str">
        <f t="shared" si="274"/>
        <v/>
      </c>
    </row>
    <row r="8740" spans="1:10">
      <c r="A8740" s="1">
        <v>41026</v>
      </c>
      <c r="B8740">
        <v>86.5</v>
      </c>
      <c r="C8740">
        <v>86.69</v>
      </c>
      <c r="D8740">
        <v>85.96</v>
      </c>
      <c r="E8740">
        <v>86.08</v>
      </c>
      <c r="F8740">
        <v>11372900</v>
      </c>
      <c r="G8740">
        <v>82.17</v>
      </c>
      <c r="H8740" t="s">
        <v>3</v>
      </c>
      <c r="I8740" s="22">
        <f t="shared" si="273"/>
        <v>1.2170632279382912E-4</v>
      </c>
      <c r="J8740" s="22" t="str">
        <f t="shared" si="274"/>
        <v>lost money</v>
      </c>
    </row>
    <row r="8741" spans="1:10">
      <c r="A8741" s="1">
        <v>41029</v>
      </c>
      <c r="B8741">
        <v>85.96</v>
      </c>
      <c r="C8741">
        <v>86.8</v>
      </c>
      <c r="D8741">
        <v>85.87</v>
      </c>
      <c r="E8741">
        <v>86.34</v>
      </c>
      <c r="F8741">
        <v>11735400</v>
      </c>
      <c r="G8741">
        <v>82.42</v>
      </c>
      <c r="H8741" t="s">
        <v>3</v>
      </c>
      <c r="I8741" s="22">
        <f t="shared" si="273"/>
        <v>3.0378539675747062E-3</v>
      </c>
      <c r="J8741" s="22" t="str">
        <f t="shared" si="274"/>
        <v/>
      </c>
    </row>
    <row r="8742" spans="1:10">
      <c r="A8742" s="1">
        <v>41030</v>
      </c>
      <c r="B8742">
        <v>86.46</v>
      </c>
      <c r="C8742">
        <v>87.52</v>
      </c>
      <c r="D8742">
        <v>86.13</v>
      </c>
      <c r="E8742">
        <v>87.04</v>
      </c>
      <c r="F8742">
        <v>13816900</v>
      </c>
      <c r="G8742">
        <v>83.08</v>
      </c>
      <c r="H8742" t="s">
        <v>3</v>
      </c>
      <c r="I8742" s="22">
        <f t="shared" si="273"/>
        <v>7.9758730972401479E-3</v>
      </c>
      <c r="J8742" s="22" t="str">
        <f t="shared" si="274"/>
        <v/>
      </c>
    </row>
    <row r="8743" spans="1:10">
      <c r="A8743" s="1">
        <v>41031</v>
      </c>
      <c r="B8743">
        <v>86.56</v>
      </c>
      <c r="C8743">
        <v>86.65</v>
      </c>
      <c r="D8743">
        <v>85.83</v>
      </c>
      <c r="E8743">
        <v>86.2</v>
      </c>
      <c r="F8743">
        <v>11108700</v>
      </c>
      <c r="G8743">
        <v>82.28</v>
      </c>
      <c r="H8743" t="s">
        <v>3</v>
      </c>
      <c r="I8743" s="22">
        <f t="shared" si="273"/>
        <v>-9.6759342231551217E-3</v>
      </c>
      <c r="J8743" s="22" t="str">
        <f t="shared" si="274"/>
        <v>lost money</v>
      </c>
    </row>
    <row r="8744" spans="1:10">
      <c r="A8744" s="1">
        <v>41032</v>
      </c>
      <c r="B8744">
        <v>86.36</v>
      </c>
      <c r="C8744">
        <v>86.39</v>
      </c>
      <c r="D8744">
        <v>85.31</v>
      </c>
      <c r="E8744">
        <v>85.65</v>
      </c>
      <c r="F8744">
        <v>9998600</v>
      </c>
      <c r="G8744">
        <v>81.760000000000005</v>
      </c>
      <c r="H8744" t="s">
        <v>3</v>
      </c>
      <c r="I8744" s="22">
        <f t="shared" si="273"/>
        <v>-6.3399383293621207E-3</v>
      </c>
      <c r="J8744" s="22" t="str">
        <f t="shared" si="274"/>
        <v>lost money</v>
      </c>
    </row>
    <row r="8745" spans="1:10">
      <c r="A8745" s="1">
        <v>41033</v>
      </c>
      <c r="B8745">
        <v>85.11</v>
      </c>
      <c r="C8745">
        <v>85.31</v>
      </c>
      <c r="D8745">
        <v>84.4</v>
      </c>
      <c r="E8745">
        <v>84.57</v>
      </c>
      <c r="F8745">
        <v>15055500</v>
      </c>
      <c r="G8745">
        <v>80.73</v>
      </c>
      <c r="H8745" t="s">
        <v>3</v>
      </c>
      <c r="I8745" s="22">
        <f t="shared" si="273"/>
        <v>-1.2677873048470146E-2</v>
      </c>
      <c r="J8745" s="22" t="str">
        <f t="shared" si="274"/>
        <v>lost money</v>
      </c>
    </row>
    <row r="8746" spans="1:10">
      <c r="A8746" s="1">
        <v>41036</v>
      </c>
      <c r="B8746">
        <v>84.29</v>
      </c>
      <c r="C8746">
        <v>84.79</v>
      </c>
      <c r="D8746">
        <v>84.1</v>
      </c>
      <c r="E8746">
        <v>84.48</v>
      </c>
      <c r="F8746">
        <v>12018100</v>
      </c>
      <c r="G8746">
        <v>80.64</v>
      </c>
      <c r="H8746" t="s">
        <v>3</v>
      </c>
      <c r="I8746" s="22">
        <f t="shared" si="273"/>
        <v>-1.1154490838657205E-3</v>
      </c>
      <c r="J8746" s="22" t="str">
        <f t="shared" si="274"/>
        <v/>
      </c>
    </row>
    <row r="8747" spans="1:10">
      <c r="A8747" s="1">
        <v>41037</v>
      </c>
      <c r="B8747">
        <v>83.75</v>
      </c>
      <c r="C8747">
        <v>84.26</v>
      </c>
      <c r="D8747">
        <v>82.92</v>
      </c>
      <c r="E8747">
        <v>84.02</v>
      </c>
      <c r="F8747">
        <v>19602400</v>
      </c>
      <c r="G8747">
        <v>80.2</v>
      </c>
      <c r="H8747" t="s">
        <v>3</v>
      </c>
      <c r="I8747" s="22">
        <f t="shared" si="273"/>
        <v>-5.4712894505896548E-3</v>
      </c>
      <c r="J8747" s="22" t="str">
        <f t="shared" si="274"/>
        <v/>
      </c>
    </row>
    <row r="8748" spans="1:10">
      <c r="A8748" s="1">
        <v>41038</v>
      </c>
      <c r="B8748">
        <v>83.04</v>
      </c>
      <c r="C8748">
        <v>84.07</v>
      </c>
      <c r="D8748">
        <v>82.88</v>
      </c>
      <c r="E8748">
        <v>83.31</v>
      </c>
      <c r="F8748">
        <v>17424000</v>
      </c>
      <c r="G8748">
        <v>79.52</v>
      </c>
      <c r="H8748" t="s">
        <v>3</v>
      </c>
      <c r="I8748" s="22">
        <f t="shared" si="273"/>
        <v>-8.5149525241503092E-3</v>
      </c>
      <c r="J8748" s="22" t="str">
        <f t="shared" si="274"/>
        <v/>
      </c>
    </row>
    <row r="8749" spans="1:10">
      <c r="A8749" s="1">
        <v>41039</v>
      </c>
      <c r="B8749">
        <v>83.37</v>
      </c>
      <c r="C8749">
        <v>83.59</v>
      </c>
      <c r="D8749">
        <v>82.55</v>
      </c>
      <c r="E8749">
        <v>82.84</v>
      </c>
      <c r="F8749">
        <v>13234600</v>
      </c>
      <c r="G8749">
        <v>79.62</v>
      </c>
      <c r="H8749" t="s">
        <v>3</v>
      </c>
      <c r="I8749" s="22">
        <f t="shared" si="273"/>
        <v>1.256755223852679E-3</v>
      </c>
      <c r="J8749" s="22" t="str">
        <f t="shared" si="274"/>
        <v>lost money</v>
      </c>
    </row>
    <row r="8750" spans="1:10">
      <c r="A8750" s="1">
        <v>41040</v>
      </c>
      <c r="B8750">
        <v>82.69</v>
      </c>
      <c r="C8750">
        <v>83.79</v>
      </c>
      <c r="D8750">
        <v>82.54</v>
      </c>
      <c r="E8750">
        <v>83.1</v>
      </c>
      <c r="F8750">
        <v>12061700</v>
      </c>
      <c r="G8750">
        <v>79.87</v>
      </c>
      <c r="H8750" t="s">
        <v>3</v>
      </c>
      <c r="I8750" s="22">
        <f t="shared" si="273"/>
        <v>3.1349953571263457E-3</v>
      </c>
      <c r="J8750" s="22" t="str">
        <f t="shared" si="274"/>
        <v/>
      </c>
    </row>
    <row r="8751" spans="1:10">
      <c r="A8751" s="1">
        <v>41043</v>
      </c>
      <c r="B8751">
        <v>82.27</v>
      </c>
      <c r="C8751">
        <v>82.46</v>
      </c>
      <c r="D8751">
        <v>81.96</v>
      </c>
      <c r="E8751">
        <v>82.12</v>
      </c>
      <c r="F8751">
        <v>12675900</v>
      </c>
      <c r="G8751">
        <v>78.930000000000007</v>
      </c>
      <c r="H8751" t="s">
        <v>3</v>
      </c>
      <c r="I8751" s="22">
        <f t="shared" si="273"/>
        <v>-1.1838929208986474E-2</v>
      </c>
      <c r="J8751" s="22" t="str">
        <f t="shared" si="274"/>
        <v>lost money</v>
      </c>
    </row>
    <row r="8752" spans="1:10">
      <c r="A8752" s="1">
        <v>41044</v>
      </c>
      <c r="B8752">
        <v>82</v>
      </c>
      <c r="C8752">
        <v>82.73</v>
      </c>
      <c r="D8752">
        <v>81.53</v>
      </c>
      <c r="E8752">
        <v>81.790000000000006</v>
      </c>
      <c r="F8752">
        <v>15757400</v>
      </c>
      <c r="G8752">
        <v>78.61</v>
      </c>
      <c r="H8752" t="s">
        <v>3</v>
      </c>
      <c r="I8752" s="22">
        <f t="shared" si="273"/>
        <v>-4.062465914645999E-3</v>
      </c>
      <c r="J8752" s="22" t="str">
        <f t="shared" si="274"/>
        <v>lost money</v>
      </c>
    </row>
    <row r="8753" spans="1:10">
      <c r="A8753" s="1">
        <v>41045</v>
      </c>
      <c r="B8753">
        <v>81.96</v>
      </c>
      <c r="C8753">
        <v>83.15</v>
      </c>
      <c r="D8753">
        <v>81.790000000000006</v>
      </c>
      <c r="E8753">
        <v>82.17</v>
      </c>
      <c r="F8753">
        <v>15034500</v>
      </c>
      <c r="G8753">
        <v>78.98</v>
      </c>
      <c r="H8753" t="s">
        <v>3</v>
      </c>
      <c r="I8753" s="22">
        <f t="shared" si="273"/>
        <v>4.6957380528382456E-3</v>
      </c>
      <c r="J8753" s="22" t="str">
        <f t="shared" si="274"/>
        <v/>
      </c>
    </row>
    <row r="8754" spans="1:10">
      <c r="A8754" s="1">
        <v>41046</v>
      </c>
      <c r="B8754">
        <v>82.15</v>
      </c>
      <c r="C8754">
        <v>82.61</v>
      </c>
      <c r="D8754">
        <v>81.680000000000007</v>
      </c>
      <c r="E8754">
        <v>81.91</v>
      </c>
      <c r="F8754">
        <v>17698200</v>
      </c>
      <c r="G8754">
        <v>78.73</v>
      </c>
      <c r="H8754" t="s">
        <v>3</v>
      </c>
      <c r="I8754" s="22">
        <f t="shared" si="273"/>
        <v>-3.1703786621275504E-3</v>
      </c>
      <c r="J8754" s="22" t="str">
        <f t="shared" si="274"/>
        <v>lost money</v>
      </c>
    </row>
    <row r="8755" spans="1:10">
      <c r="A8755" s="1">
        <v>41047</v>
      </c>
      <c r="B8755">
        <v>82.37</v>
      </c>
      <c r="C8755">
        <v>82.72</v>
      </c>
      <c r="D8755">
        <v>81.03</v>
      </c>
      <c r="E8755">
        <v>81.47</v>
      </c>
      <c r="F8755">
        <v>21747200</v>
      </c>
      <c r="G8755">
        <v>78.3</v>
      </c>
      <c r="H8755" t="s">
        <v>3</v>
      </c>
      <c r="I8755" s="22">
        <f t="shared" si="273"/>
        <v>-5.4766741996184467E-3</v>
      </c>
      <c r="J8755" s="22" t="str">
        <f t="shared" si="274"/>
        <v>lost money</v>
      </c>
    </row>
    <row r="8756" spans="1:10">
      <c r="A8756" s="1">
        <v>41050</v>
      </c>
      <c r="B8756">
        <v>81.42</v>
      </c>
      <c r="C8756">
        <v>82.13</v>
      </c>
      <c r="D8756">
        <v>81.069999999999993</v>
      </c>
      <c r="E8756">
        <v>82.04</v>
      </c>
      <c r="F8756">
        <v>13730400</v>
      </c>
      <c r="G8756">
        <v>78.849999999999994</v>
      </c>
      <c r="H8756" t="s">
        <v>3</v>
      </c>
      <c r="I8756" s="22">
        <f t="shared" si="273"/>
        <v>6.9997104122899584E-3</v>
      </c>
      <c r="J8756" s="22" t="str">
        <f t="shared" si="274"/>
        <v/>
      </c>
    </row>
    <row r="8757" spans="1:10">
      <c r="A8757" s="1">
        <v>41051</v>
      </c>
      <c r="B8757">
        <v>82.14</v>
      </c>
      <c r="C8757">
        <v>82.84</v>
      </c>
      <c r="D8757">
        <v>81.52</v>
      </c>
      <c r="E8757">
        <v>81.95</v>
      </c>
      <c r="F8757">
        <v>13790000</v>
      </c>
      <c r="G8757">
        <v>78.760000000000005</v>
      </c>
      <c r="H8757" t="s">
        <v>3</v>
      </c>
      <c r="I8757" s="22">
        <f t="shared" si="273"/>
        <v>-1.1420596381224645E-3</v>
      </c>
      <c r="J8757" s="22" t="str">
        <f t="shared" si="274"/>
        <v>lost money</v>
      </c>
    </row>
    <row r="8758" spans="1:10">
      <c r="A8758" s="1">
        <v>41052</v>
      </c>
      <c r="B8758">
        <v>81.790000000000006</v>
      </c>
      <c r="C8758">
        <v>82.08</v>
      </c>
      <c r="D8758">
        <v>79.959999999999994</v>
      </c>
      <c r="E8758">
        <v>82.04</v>
      </c>
      <c r="F8758">
        <v>17582200</v>
      </c>
      <c r="G8758">
        <v>78.849999999999994</v>
      </c>
      <c r="H8758" t="s">
        <v>3</v>
      </c>
      <c r="I8758" s="22">
        <f t="shared" si="273"/>
        <v>1.1420596381223874E-3</v>
      </c>
      <c r="J8758" s="22" t="str">
        <f t="shared" si="274"/>
        <v/>
      </c>
    </row>
    <row r="8759" spans="1:10">
      <c r="A8759" s="1">
        <v>41053</v>
      </c>
      <c r="B8759">
        <v>82.29</v>
      </c>
      <c r="C8759">
        <v>82.78</v>
      </c>
      <c r="D8759">
        <v>81.709999999999994</v>
      </c>
      <c r="E8759">
        <v>82.61</v>
      </c>
      <c r="F8759">
        <v>14113600</v>
      </c>
      <c r="G8759">
        <v>79.400000000000006</v>
      </c>
      <c r="H8759" t="s">
        <v>3</v>
      </c>
      <c r="I8759" s="22">
        <f t="shared" si="273"/>
        <v>6.9510548440428503E-3</v>
      </c>
      <c r="J8759" s="22" t="str">
        <f t="shared" si="274"/>
        <v/>
      </c>
    </row>
    <row r="8760" spans="1:10">
      <c r="A8760" s="1">
        <v>41054</v>
      </c>
      <c r="B8760">
        <v>82.86</v>
      </c>
      <c r="C8760">
        <v>82.96</v>
      </c>
      <c r="D8760">
        <v>81.680000000000007</v>
      </c>
      <c r="E8760">
        <v>82.08</v>
      </c>
      <c r="F8760">
        <v>12756500</v>
      </c>
      <c r="G8760">
        <v>78.89</v>
      </c>
      <c r="H8760" t="s">
        <v>3</v>
      </c>
      <c r="I8760" s="22">
        <f t="shared" si="273"/>
        <v>-6.4438911460918801E-3</v>
      </c>
      <c r="J8760" s="22" t="str">
        <f t="shared" si="274"/>
        <v>lost money</v>
      </c>
    </row>
    <row r="8761" spans="1:10">
      <c r="A8761" s="1">
        <v>41058</v>
      </c>
      <c r="B8761">
        <v>82.64</v>
      </c>
      <c r="C8761">
        <v>82.64</v>
      </c>
      <c r="D8761">
        <v>81.319999999999993</v>
      </c>
      <c r="E8761">
        <v>81.93</v>
      </c>
      <c r="F8761">
        <v>15931100</v>
      </c>
      <c r="G8761">
        <v>78.739999999999995</v>
      </c>
      <c r="H8761" t="s">
        <v>3</v>
      </c>
      <c r="I8761" s="22">
        <f t="shared" si="273"/>
        <v>-1.9031915914068517E-3</v>
      </c>
      <c r="J8761" s="22" t="str">
        <f t="shared" si="274"/>
        <v>lost money</v>
      </c>
    </row>
    <row r="8762" spans="1:10">
      <c r="A8762" s="1">
        <v>41059</v>
      </c>
      <c r="B8762">
        <v>81.08</v>
      </c>
      <c r="C8762">
        <v>81.38</v>
      </c>
      <c r="D8762">
        <v>79.59</v>
      </c>
      <c r="E8762">
        <v>79.790000000000006</v>
      </c>
      <c r="F8762">
        <v>19593100</v>
      </c>
      <c r="G8762">
        <v>76.69</v>
      </c>
      <c r="H8762" t="s">
        <v>3</v>
      </c>
      <c r="I8762" s="22">
        <f t="shared" si="273"/>
        <v>-2.6379963738823592E-2</v>
      </c>
      <c r="J8762" s="22" t="str">
        <f t="shared" si="274"/>
        <v>lost money</v>
      </c>
    </row>
    <row r="8763" spans="1:10">
      <c r="A8763" s="1">
        <v>41060</v>
      </c>
      <c r="B8763">
        <v>79.88</v>
      </c>
      <c r="C8763">
        <v>80.14</v>
      </c>
      <c r="D8763">
        <v>78.41</v>
      </c>
      <c r="E8763">
        <v>78.63</v>
      </c>
      <c r="F8763">
        <v>38954600</v>
      </c>
      <c r="G8763">
        <v>75.569999999999993</v>
      </c>
      <c r="H8763" t="s">
        <v>3</v>
      </c>
      <c r="I8763" s="22">
        <f t="shared" si="273"/>
        <v>-1.4711942744139379E-2</v>
      </c>
      <c r="J8763" s="22" t="str">
        <f t="shared" si="274"/>
        <v>lost money</v>
      </c>
    </row>
    <row r="8764" spans="1:10">
      <c r="A8764" s="1">
        <v>41061</v>
      </c>
      <c r="B8764">
        <v>77.87</v>
      </c>
      <c r="C8764">
        <v>78.56</v>
      </c>
      <c r="D8764">
        <v>77.47</v>
      </c>
      <c r="E8764">
        <v>77.92</v>
      </c>
      <c r="F8764">
        <v>22870900</v>
      </c>
      <c r="G8764">
        <v>74.89</v>
      </c>
      <c r="H8764" t="s">
        <v>3</v>
      </c>
      <c r="I8764" s="22">
        <f t="shared" si="273"/>
        <v>-9.0390087713526929E-3</v>
      </c>
      <c r="J8764" s="22" t="str">
        <f t="shared" si="274"/>
        <v/>
      </c>
    </row>
    <row r="8765" spans="1:10">
      <c r="A8765" s="1">
        <v>41064</v>
      </c>
      <c r="B8765">
        <v>78.09</v>
      </c>
      <c r="C8765">
        <v>78.25</v>
      </c>
      <c r="D8765">
        <v>77.2</v>
      </c>
      <c r="E8765">
        <v>77.83</v>
      </c>
      <c r="F8765">
        <v>17711200</v>
      </c>
      <c r="G8765">
        <v>74.8</v>
      </c>
      <c r="H8765" t="s">
        <v>3</v>
      </c>
      <c r="I8765" s="22">
        <f t="shared" si="273"/>
        <v>-1.2024852808442536E-3</v>
      </c>
      <c r="J8765" s="22" t="str">
        <f t="shared" si="274"/>
        <v>lost money</v>
      </c>
    </row>
    <row r="8766" spans="1:10">
      <c r="A8766" s="1">
        <v>41065</v>
      </c>
      <c r="B8766">
        <v>77.59</v>
      </c>
      <c r="C8766">
        <v>78.290000000000006</v>
      </c>
      <c r="D8766">
        <v>77.13</v>
      </c>
      <c r="E8766">
        <v>77.599999999999994</v>
      </c>
      <c r="F8766">
        <v>17715600</v>
      </c>
      <c r="G8766">
        <v>74.58</v>
      </c>
      <c r="H8766" t="s">
        <v>3</v>
      </c>
      <c r="I8766" s="22">
        <f t="shared" si="273"/>
        <v>-2.9455102297568031E-3</v>
      </c>
      <c r="J8766" s="22" t="str">
        <f t="shared" si="274"/>
        <v/>
      </c>
    </row>
    <row r="8767" spans="1:10">
      <c r="A8767" s="1">
        <v>41066</v>
      </c>
      <c r="B8767">
        <v>78.37</v>
      </c>
      <c r="C8767">
        <v>80.239999999999995</v>
      </c>
      <c r="D8767">
        <v>78.08</v>
      </c>
      <c r="E8767">
        <v>80.180000000000007</v>
      </c>
      <c r="F8767">
        <v>23880900</v>
      </c>
      <c r="G8767">
        <v>77.06</v>
      </c>
      <c r="H8767" t="s">
        <v>3</v>
      </c>
      <c r="I8767" s="22">
        <f t="shared" si="273"/>
        <v>3.2711964447336907E-2</v>
      </c>
      <c r="J8767" s="22" t="str">
        <f t="shared" si="274"/>
        <v/>
      </c>
    </row>
    <row r="8768" spans="1:10">
      <c r="A8768" s="1">
        <v>41067</v>
      </c>
      <c r="B8768">
        <v>80.98</v>
      </c>
      <c r="C8768">
        <v>81.23</v>
      </c>
      <c r="D8768">
        <v>80.349999999999994</v>
      </c>
      <c r="E8768">
        <v>80.69</v>
      </c>
      <c r="F8768">
        <v>18409400</v>
      </c>
      <c r="G8768">
        <v>77.55</v>
      </c>
      <c r="H8768" t="s">
        <v>3</v>
      </c>
      <c r="I8768" s="22">
        <f t="shared" si="273"/>
        <v>6.3385504245362882E-3</v>
      </c>
      <c r="J8768" s="22" t="str">
        <f t="shared" si="274"/>
        <v>lost money</v>
      </c>
    </row>
    <row r="8769" spans="1:10">
      <c r="A8769" s="1">
        <v>41068</v>
      </c>
      <c r="B8769">
        <v>80.08</v>
      </c>
      <c r="C8769">
        <v>80.92</v>
      </c>
      <c r="D8769">
        <v>79.459999999999994</v>
      </c>
      <c r="E8769">
        <v>80.84</v>
      </c>
      <c r="F8769">
        <v>18150000</v>
      </c>
      <c r="G8769">
        <v>77.7</v>
      </c>
      <c r="H8769" t="s">
        <v>3</v>
      </c>
      <c r="I8769" s="22">
        <f t="shared" si="273"/>
        <v>1.9323677510540819E-3</v>
      </c>
      <c r="J8769" s="22" t="str">
        <f t="shared" si="274"/>
        <v/>
      </c>
    </row>
    <row r="8770" spans="1:10">
      <c r="A8770" s="1">
        <v>41071</v>
      </c>
      <c r="B8770">
        <v>81.62</v>
      </c>
      <c r="C8770">
        <v>81.849999999999994</v>
      </c>
      <c r="D8770">
        <v>80.17</v>
      </c>
      <c r="E8770">
        <v>80.27</v>
      </c>
      <c r="F8770">
        <v>18031800</v>
      </c>
      <c r="G8770">
        <v>77.150000000000006</v>
      </c>
      <c r="H8770" t="s">
        <v>3</v>
      </c>
      <c r="I8770" s="22">
        <f t="shared" si="273"/>
        <v>-7.103678564431822E-3</v>
      </c>
      <c r="J8770" s="22" t="str">
        <f t="shared" si="274"/>
        <v>lost money</v>
      </c>
    </row>
    <row r="8771" spans="1:10">
      <c r="A8771" s="1">
        <v>41072</v>
      </c>
      <c r="B8771">
        <v>80.739999999999995</v>
      </c>
      <c r="C8771">
        <v>81.510000000000005</v>
      </c>
      <c r="D8771">
        <v>80.62</v>
      </c>
      <c r="E8771">
        <v>81.260000000000005</v>
      </c>
      <c r="F8771">
        <v>14162100</v>
      </c>
      <c r="G8771">
        <v>78.099999999999994</v>
      </c>
      <c r="H8771" t="s">
        <v>3</v>
      </c>
      <c r="I8771" s="22">
        <f t="shared" ref="I8771:I8834" si="275">IF(A8771=$A$2,"",LN(G8771/G8770))</f>
        <v>1.2238478036470348E-2</v>
      </c>
      <c r="J8771" s="22" t="str">
        <f t="shared" ref="J8771:J8834" si="276">IF(B8771&gt;E8771,"lost money","")</f>
        <v/>
      </c>
    </row>
    <row r="8772" spans="1:10">
      <c r="A8772" s="1">
        <v>41073</v>
      </c>
      <c r="B8772">
        <v>80.94</v>
      </c>
      <c r="C8772">
        <v>81.64</v>
      </c>
      <c r="D8772">
        <v>80.28</v>
      </c>
      <c r="E8772">
        <v>80.63</v>
      </c>
      <c r="F8772">
        <v>18928900</v>
      </c>
      <c r="G8772">
        <v>77.5</v>
      </c>
      <c r="H8772" t="s">
        <v>3</v>
      </c>
      <c r="I8772" s="22">
        <f t="shared" si="275"/>
        <v>-7.712120486338919E-3</v>
      </c>
      <c r="J8772" s="22" t="str">
        <f t="shared" si="276"/>
        <v>lost money</v>
      </c>
    </row>
    <row r="8773" spans="1:10">
      <c r="A8773" s="1">
        <v>41074</v>
      </c>
      <c r="B8773">
        <v>80.86</v>
      </c>
      <c r="C8773">
        <v>82.5</v>
      </c>
      <c r="D8773">
        <v>80.73</v>
      </c>
      <c r="E8773">
        <v>82.13</v>
      </c>
      <c r="F8773">
        <v>16942300</v>
      </c>
      <c r="G8773">
        <v>78.94</v>
      </c>
      <c r="H8773" t="s">
        <v>3</v>
      </c>
      <c r="I8773" s="22">
        <f t="shared" si="275"/>
        <v>1.8410133875399633E-2</v>
      </c>
      <c r="J8773" s="22" t="str">
        <f t="shared" si="276"/>
        <v/>
      </c>
    </row>
    <row r="8774" spans="1:10">
      <c r="A8774" s="1">
        <v>41075</v>
      </c>
      <c r="B8774">
        <v>82.57</v>
      </c>
      <c r="C8774">
        <v>83.45</v>
      </c>
      <c r="D8774">
        <v>82.22</v>
      </c>
      <c r="E8774">
        <v>83.22</v>
      </c>
      <c r="F8774">
        <v>27342800</v>
      </c>
      <c r="G8774">
        <v>79.98</v>
      </c>
      <c r="H8774" t="s">
        <v>3</v>
      </c>
      <c r="I8774" s="22">
        <f t="shared" si="275"/>
        <v>1.3088533183971433E-2</v>
      </c>
      <c r="J8774" s="22" t="str">
        <f t="shared" si="276"/>
        <v/>
      </c>
    </row>
    <row r="8775" spans="1:10">
      <c r="A8775" s="1">
        <v>41078</v>
      </c>
      <c r="B8775">
        <v>82.51</v>
      </c>
      <c r="C8775">
        <v>83.18</v>
      </c>
      <c r="D8775">
        <v>82.35</v>
      </c>
      <c r="E8775">
        <v>83.11</v>
      </c>
      <c r="F8775">
        <v>13885100</v>
      </c>
      <c r="G8775">
        <v>79.88</v>
      </c>
      <c r="H8775" t="s">
        <v>3</v>
      </c>
      <c r="I8775" s="22">
        <f t="shared" si="275"/>
        <v>-1.2510948710579741E-3</v>
      </c>
      <c r="J8775" s="22" t="str">
        <f t="shared" si="276"/>
        <v/>
      </c>
    </row>
    <row r="8776" spans="1:10">
      <c r="A8776" s="1">
        <v>41079</v>
      </c>
      <c r="B8776">
        <v>83.73</v>
      </c>
      <c r="C8776">
        <v>84.63</v>
      </c>
      <c r="D8776">
        <v>83.31</v>
      </c>
      <c r="E8776">
        <v>84.48</v>
      </c>
      <c r="F8776">
        <v>21053300</v>
      </c>
      <c r="G8776">
        <v>81.2</v>
      </c>
      <c r="H8776" t="s">
        <v>3</v>
      </c>
      <c r="I8776" s="22">
        <f t="shared" si="275"/>
        <v>1.6389738620017861E-2</v>
      </c>
      <c r="J8776" s="22" t="str">
        <f t="shared" si="276"/>
        <v/>
      </c>
    </row>
    <row r="8777" spans="1:10">
      <c r="A8777" s="1">
        <v>41080</v>
      </c>
      <c r="B8777">
        <v>84.4</v>
      </c>
      <c r="C8777">
        <v>85.39</v>
      </c>
      <c r="D8777">
        <v>84.06</v>
      </c>
      <c r="E8777">
        <v>84.97</v>
      </c>
      <c r="F8777">
        <v>23274300</v>
      </c>
      <c r="G8777">
        <v>81.67</v>
      </c>
      <c r="H8777" t="s">
        <v>3</v>
      </c>
      <c r="I8777" s="22">
        <f t="shared" si="275"/>
        <v>5.7714902025521268E-3</v>
      </c>
      <c r="J8777" s="22" t="str">
        <f t="shared" si="276"/>
        <v/>
      </c>
    </row>
    <row r="8778" spans="1:10">
      <c r="A8778" s="1">
        <v>41081</v>
      </c>
      <c r="B8778">
        <v>85.04</v>
      </c>
      <c r="C8778">
        <v>85.37</v>
      </c>
      <c r="D8778">
        <v>82.05</v>
      </c>
      <c r="E8778">
        <v>82.11</v>
      </c>
      <c r="F8778">
        <v>33751900</v>
      </c>
      <c r="G8778">
        <v>78.92</v>
      </c>
      <c r="H8778" t="s">
        <v>3</v>
      </c>
      <c r="I8778" s="22">
        <f t="shared" si="275"/>
        <v>-3.4252056215769683E-2</v>
      </c>
      <c r="J8778" s="22" t="str">
        <f t="shared" si="276"/>
        <v>lost money</v>
      </c>
    </row>
    <row r="8779" spans="1:10">
      <c r="A8779" s="1">
        <v>41082</v>
      </c>
      <c r="B8779">
        <v>82.68</v>
      </c>
      <c r="C8779">
        <v>83.22</v>
      </c>
      <c r="D8779">
        <v>82.11</v>
      </c>
      <c r="E8779">
        <v>82.11</v>
      </c>
      <c r="F8779">
        <v>84747800</v>
      </c>
      <c r="G8779">
        <v>78.92</v>
      </c>
      <c r="H8779" t="s">
        <v>3</v>
      </c>
      <c r="I8779" s="22">
        <f t="shared" si="275"/>
        <v>0</v>
      </c>
      <c r="J8779" s="22" t="str">
        <f t="shared" si="276"/>
        <v>lost money</v>
      </c>
    </row>
    <row r="8780" spans="1:10">
      <c r="A8780" s="1">
        <v>41085</v>
      </c>
      <c r="B8780">
        <v>81.22</v>
      </c>
      <c r="C8780">
        <v>81.430000000000007</v>
      </c>
      <c r="D8780">
        <v>79.78</v>
      </c>
      <c r="E8780">
        <v>81.239999999999995</v>
      </c>
      <c r="F8780">
        <v>28761600</v>
      </c>
      <c r="G8780">
        <v>78.08</v>
      </c>
      <c r="H8780" t="s">
        <v>3</v>
      </c>
      <c r="I8780" s="22">
        <f t="shared" si="275"/>
        <v>-1.0700739049577555E-2</v>
      </c>
      <c r="J8780" s="22" t="str">
        <f t="shared" si="276"/>
        <v/>
      </c>
    </row>
    <row r="8781" spans="1:10">
      <c r="A8781" s="1">
        <v>41086</v>
      </c>
      <c r="B8781">
        <v>81.510000000000005</v>
      </c>
      <c r="C8781">
        <v>82.97</v>
      </c>
      <c r="D8781">
        <v>81.209999999999994</v>
      </c>
      <c r="E8781">
        <v>82.4</v>
      </c>
      <c r="F8781">
        <v>22853700</v>
      </c>
      <c r="G8781">
        <v>79.2</v>
      </c>
      <c r="H8781" t="s">
        <v>3</v>
      </c>
      <c r="I8781" s="22">
        <f t="shared" si="275"/>
        <v>1.4242356715543168E-2</v>
      </c>
      <c r="J8781" s="22" t="str">
        <f t="shared" si="276"/>
        <v/>
      </c>
    </row>
    <row r="8782" spans="1:10">
      <c r="A8782" s="1">
        <v>41087</v>
      </c>
      <c r="B8782">
        <v>82.81</v>
      </c>
      <c r="C8782">
        <v>83.66</v>
      </c>
      <c r="D8782">
        <v>82.71</v>
      </c>
      <c r="E8782">
        <v>83.2</v>
      </c>
      <c r="F8782">
        <v>15301400</v>
      </c>
      <c r="G8782">
        <v>79.97</v>
      </c>
      <c r="H8782" t="s">
        <v>3</v>
      </c>
      <c r="I8782" s="22">
        <f t="shared" si="275"/>
        <v>9.6752655234183371E-3</v>
      </c>
      <c r="J8782" s="22" t="str">
        <f t="shared" si="276"/>
        <v/>
      </c>
    </row>
    <row r="8783" spans="1:10">
      <c r="A8783" s="1">
        <v>41088</v>
      </c>
      <c r="B8783">
        <v>82.66</v>
      </c>
      <c r="C8783">
        <v>83.46</v>
      </c>
      <c r="D8783">
        <v>82.02</v>
      </c>
      <c r="E8783">
        <v>83.1</v>
      </c>
      <c r="F8783">
        <v>19140300</v>
      </c>
      <c r="G8783">
        <v>79.87</v>
      </c>
      <c r="H8783" t="s">
        <v>3</v>
      </c>
      <c r="I8783" s="22">
        <f t="shared" si="275"/>
        <v>-1.2512514145008988E-3</v>
      </c>
      <c r="J8783" s="22" t="str">
        <f t="shared" si="276"/>
        <v/>
      </c>
    </row>
    <row r="8784" spans="1:10">
      <c r="A8784" s="1">
        <v>41089</v>
      </c>
      <c r="B8784">
        <v>84.78</v>
      </c>
      <c r="C8784">
        <v>85.7</v>
      </c>
      <c r="D8784">
        <v>84.46</v>
      </c>
      <c r="E8784">
        <v>85.57</v>
      </c>
      <c r="F8784">
        <v>24906300</v>
      </c>
      <c r="G8784">
        <v>82.24</v>
      </c>
      <c r="H8784" t="s">
        <v>3</v>
      </c>
      <c r="I8784" s="22">
        <f t="shared" si="275"/>
        <v>2.9241488777557275E-2</v>
      </c>
      <c r="J8784" s="22" t="str">
        <f t="shared" si="276"/>
        <v/>
      </c>
    </row>
    <row r="8785" spans="1:10">
      <c r="A8785" s="1">
        <v>41092</v>
      </c>
      <c r="B8785">
        <v>85.44</v>
      </c>
      <c r="C8785">
        <v>85.47</v>
      </c>
      <c r="D8785">
        <v>84.54</v>
      </c>
      <c r="E8785">
        <v>85.34</v>
      </c>
      <c r="F8785">
        <v>14447800</v>
      </c>
      <c r="G8785">
        <v>82.02</v>
      </c>
      <c r="H8785" t="s">
        <v>3</v>
      </c>
      <c r="I8785" s="22">
        <f t="shared" si="275"/>
        <v>-2.6786817429417745E-3</v>
      </c>
      <c r="J8785" s="22" t="str">
        <f t="shared" si="276"/>
        <v>lost money</v>
      </c>
    </row>
    <row r="8786" spans="1:10">
      <c r="A8786" s="1">
        <v>41093</v>
      </c>
      <c r="B8786">
        <v>85.69</v>
      </c>
      <c r="C8786">
        <v>86.28</v>
      </c>
      <c r="D8786">
        <v>85.62</v>
      </c>
      <c r="E8786">
        <v>86.28</v>
      </c>
      <c r="F8786">
        <v>9787700</v>
      </c>
      <c r="G8786">
        <v>82.93</v>
      </c>
      <c r="H8786" t="s">
        <v>3</v>
      </c>
      <c r="I8786" s="22">
        <f t="shared" si="275"/>
        <v>1.1033758499199412E-2</v>
      </c>
      <c r="J8786" s="22" t="str">
        <f t="shared" si="276"/>
        <v/>
      </c>
    </row>
    <row r="8787" spans="1:10">
      <c r="A8787" s="1">
        <v>41095</v>
      </c>
      <c r="B8787">
        <v>85.33</v>
      </c>
      <c r="C8787">
        <v>86.04</v>
      </c>
      <c r="D8787">
        <v>85.15</v>
      </c>
      <c r="E8787">
        <v>85.57</v>
      </c>
      <c r="F8787">
        <v>10797100</v>
      </c>
      <c r="G8787">
        <v>82.24</v>
      </c>
      <c r="H8787" t="s">
        <v>3</v>
      </c>
      <c r="I8787" s="22">
        <f t="shared" si="275"/>
        <v>-8.355076756257589E-3</v>
      </c>
      <c r="J8787" s="22" t="str">
        <f t="shared" si="276"/>
        <v/>
      </c>
    </row>
    <row r="8788" spans="1:10">
      <c r="A8788" s="1">
        <v>41096</v>
      </c>
      <c r="B8788">
        <v>84.26</v>
      </c>
      <c r="C8788">
        <v>85.04</v>
      </c>
      <c r="D8788">
        <v>84.2</v>
      </c>
      <c r="E8788">
        <v>84.8</v>
      </c>
      <c r="F8788">
        <v>13259400</v>
      </c>
      <c r="G8788">
        <v>81.5</v>
      </c>
      <c r="H8788" t="s">
        <v>3</v>
      </c>
      <c r="I8788" s="22">
        <f t="shared" si="275"/>
        <v>-9.0387814600379202E-3</v>
      </c>
      <c r="J8788" s="22" t="str">
        <f t="shared" si="276"/>
        <v/>
      </c>
    </row>
    <row r="8789" spans="1:10">
      <c r="A8789" s="1">
        <v>41099</v>
      </c>
      <c r="B8789">
        <v>84.52</v>
      </c>
      <c r="C8789">
        <v>84.55</v>
      </c>
      <c r="D8789">
        <v>83.02</v>
      </c>
      <c r="E8789">
        <v>83.65</v>
      </c>
      <c r="F8789">
        <v>22361600</v>
      </c>
      <c r="G8789">
        <v>80.400000000000006</v>
      </c>
      <c r="H8789" t="s">
        <v>3</v>
      </c>
      <c r="I8789" s="22">
        <f t="shared" si="275"/>
        <v>-1.358884406189626E-2</v>
      </c>
      <c r="J8789" s="22" t="str">
        <f t="shared" si="276"/>
        <v>lost money</v>
      </c>
    </row>
    <row r="8790" spans="1:10">
      <c r="A8790" s="1">
        <v>41100</v>
      </c>
      <c r="B8790">
        <v>84.08</v>
      </c>
      <c r="C8790">
        <v>84.39</v>
      </c>
      <c r="D8790">
        <v>82.83</v>
      </c>
      <c r="E8790">
        <v>83.11</v>
      </c>
      <c r="F8790">
        <v>14106100</v>
      </c>
      <c r="G8790">
        <v>79.88</v>
      </c>
      <c r="H8790" t="s">
        <v>3</v>
      </c>
      <c r="I8790" s="22">
        <f t="shared" si="275"/>
        <v>-6.4886676373063796E-3</v>
      </c>
      <c r="J8790" s="22" t="str">
        <f t="shared" si="276"/>
        <v>lost money</v>
      </c>
    </row>
    <row r="8791" spans="1:10">
      <c r="A8791" s="1">
        <v>41101</v>
      </c>
      <c r="B8791">
        <v>83.48</v>
      </c>
      <c r="C8791">
        <v>84.68</v>
      </c>
      <c r="D8791">
        <v>83.24</v>
      </c>
      <c r="E8791">
        <v>84.38</v>
      </c>
      <c r="F8791">
        <v>18337600</v>
      </c>
      <c r="G8791">
        <v>81.099999999999994</v>
      </c>
      <c r="H8791" t="s">
        <v>3</v>
      </c>
      <c r="I8791" s="22">
        <f t="shared" si="275"/>
        <v>1.5157452573752719E-2</v>
      </c>
      <c r="J8791" s="22" t="str">
        <f t="shared" si="276"/>
        <v/>
      </c>
    </row>
    <row r="8792" spans="1:10">
      <c r="A8792" s="1">
        <v>41102</v>
      </c>
      <c r="B8792">
        <v>83.41</v>
      </c>
      <c r="C8792">
        <v>84.55</v>
      </c>
      <c r="D8792">
        <v>83.32</v>
      </c>
      <c r="E8792">
        <v>84.12</v>
      </c>
      <c r="F8792">
        <v>15566400</v>
      </c>
      <c r="G8792">
        <v>80.849999999999994</v>
      </c>
      <c r="H8792" t="s">
        <v>3</v>
      </c>
      <c r="I8792" s="22">
        <f t="shared" si="275"/>
        <v>-3.0873750982513427E-3</v>
      </c>
      <c r="J8792" s="22" t="str">
        <f t="shared" si="276"/>
        <v/>
      </c>
    </row>
    <row r="8793" spans="1:10">
      <c r="A8793" s="1">
        <v>41103</v>
      </c>
      <c r="B8793">
        <v>84.45</v>
      </c>
      <c r="C8793">
        <v>85.57</v>
      </c>
      <c r="D8793">
        <v>84.26</v>
      </c>
      <c r="E8793">
        <v>85.47</v>
      </c>
      <c r="F8793">
        <v>13642000</v>
      </c>
      <c r="G8793">
        <v>82.15</v>
      </c>
      <c r="H8793" t="s">
        <v>3</v>
      </c>
      <c r="I8793" s="22">
        <f t="shared" si="275"/>
        <v>1.595125846016129E-2</v>
      </c>
      <c r="J8793" s="22" t="str">
        <f t="shared" si="276"/>
        <v/>
      </c>
    </row>
    <row r="8794" spans="1:10">
      <c r="A8794" s="1">
        <v>41106</v>
      </c>
      <c r="B8794">
        <v>84.83</v>
      </c>
      <c r="C8794">
        <v>85.42</v>
      </c>
      <c r="D8794">
        <v>84.66</v>
      </c>
      <c r="E8794">
        <v>85.05</v>
      </c>
      <c r="F8794">
        <v>11269200</v>
      </c>
      <c r="G8794">
        <v>81.739999999999995</v>
      </c>
      <c r="H8794" t="s">
        <v>3</v>
      </c>
      <c r="I8794" s="22">
        <f t="shared" si="275"/>
        <v>-5.0033663471459149E-3</v>
      </c>
      <c r="J8794" s="22" t="str">
        <f t="shared" si="276"/>
        <v/>
      </c>
    </row>
    <row r="8795" spans="1:10">
      <c r="A8795" s="1">
        <v>41107</v>
      </c>
      <c r="B8795">
        <v>85.18</v>
      </c>
      <c r="C8795">
        <v>85.82</v>
      </c>
      <c r="D8795">
        <v>84.1</v>
      </c>
      <c r="E8795">
        <v>85.73</v>
      </c>
      <c r="F8795">
        <v>14059400</v>
      </c>
      <c r="G8795">
        <v>82.4</v>
      </c>
      <c r="H8795" t="s">
        <v>3</v>
      </c>
      <c r="I8795" s="22">
        <f t="shared" si="275"/>
        <v>8.0419587792948492E-3</v>
      </c>
      <c r="J8795" s="22" t="str">
        <f t="shared" si="276"/>
        <v/>
      </c>
    </row>
    <row r="8796" spans="1:10">
      <c r="A8796" s="1">
        <v>41108</v>
      </c>
      <c r="B8796">
        <v>85.34</v>
      </c>
      <c r="C8796">
        <v>86.22</v>
      </c>
      <c r="D8796">
        <v>85.07</v>
      </c>
      <c r="E8796">
        <v>86.21</v>
      </c>
      <c r="F8796">
        <v>14203500</v>
      </c>
      <c r="G8796">
        <v>82.86</v>
      </c>
      <c r="H8796" t="s">
        <v>3</v>
      </c>
      <c r="I8796" s="22">
        <f t="shared" si="275"/>
        <v>5.5669997338296563E-3</v>
      </c>
      <c r="J8796" s="22" t="str">
        <f t="shared" si="276"/>
        <v/>
      </c>
    </row>
    <row r="8797" spans="1:10">
      <c r="A8797" s="1">
        <v>41109</v>
      </c>
      <c r="B8797">
        <v>86.02</v>
      </c>
      <c r="C8797">
        <v>86.38</v>
      </c>
      <c r="D8797">
        <v>85.62</v>
      </c>
      <c r="E8797">
        <v>86.21</v>
      </c>
      <c r="F8797">
        <v>14902300</v>
      </c>
      <c r="G8797">
        <v>82.86</v>
      </c>
      <c r="H8797" t="s">
        <v>3</v>
      </c>
      <c r="I8797" s="22">
        <f t="shared" si="275"/>
        <v>0</v>
      </c>
      <c r="J8797" s="22" t="str">
        <f t="shared" si="276"/>
        <v/>
      </c>
    </row>
    <row r="8798" spans="1:10">
      <c r="A8798" s="1">
        <v>41110</v>
      </c>
      <c r="B8798">
        <v>85.87</v>
      </c>
      <c r="C8798">
        <v>86.15</v>
      </c>
      <c r="D8798">
        <v>85.27</v>
      </c>
      <c r="E8798">
        <v>85.95</v>
      </c>
      <c r="F8798">
        <v>16838300</v>
      </c>
      <c r="G8798">
        <v>82.61</v>
      </c>
      <c r="H8798" t="s">
        <v>3</v>
      </c>
      <c r="I8798" s="22">
        <f t="shared" si="275"/>
        <v>-3.0216980748417901E-3</v>
      </c>
      <c r="J8798" s="22" t="str">
        <f t="shared" si="276"/>
        <v/>
      </c>
    </row>
    <row r="8799" spans="1:10">
      <c r="A8799" s="1">
        <v>41113</v>
      </c>
      <c r="B8799">
        <v>84.8</v>
      </c>
      <c r="C8799">
        <v>85.46</v>
      </c>
      <c r="D8799">
        <v>84.33</v>
      </c>
      <c r="E8799">
        <v>85.21</v>
      </c>
      <c r="F8799">
        <v>13597800</v>
      </c>
      <c r="G8799">
        <v>81.900000000000006</v>
      </c>
      <c r="H8799" t="s">
        <v>3</v>
      </c>
      <c r="I8799" s="22">
        <f t="shared" si="275"/>
        <v>-8.6317477153900982E-3</v>
      </c>
      <c r="J8799" s="22" t="str">
        <f t="shared" si="276"/>
        <v/>
      </c>
    </row>
    <row r="8800" spans="1:10">
      <c r="A8800" s="1">
        <v>41114</v>
      </c>
      <c r="B8800">
        <v>85.21</v>
      </c>
      <c r="C8800">
        <v>85.26</v>
      </c>
      <c r="D8800">
        <v>83.5</v>
      </c>
      <c r="E8800">
        <v>84.58</v>
      </c>
      <c r="F8800">
        <v>13948300</v>
      </c>
      <c r="G8800">
        <v>81.290000000000006</v>
      </c>
      <c r="H8800" t="s">
        <v>3</v>
      </c>
      <c r="I8800" s="22">
        <f t="shared" si="275"/>
        <v>-7.4759831005427628E-3</v>
      </c>
      <c r="J8800" s="22" t="str">
        <f t="shared" si="276"/>
        <v>lost money</v>
      </c>
    </row>
    <row r="8801" spans="1:10">
      <c r="A8801" s="1">
        <v>41115</v>
      </c>
      <c r="B8801">
        <v>85.14</v>
      </c>
      <c r="C8801">
        <v>85.55</v>
      </c>
      <c r="D8801">
        <v>84.66</v>
      </c>
      <c r="E8801">
        <v>85.24</v>
      </c>
      <c r="F8801">
        <v>16566000</v>
      </c>
      <c r="G8801">
        <v>81.93</v>
      </c>
      <c r="H8801" t="s">
        <v>3</v>
      </c>
      <c r="I8801" s="22">
        <f t="shared" si="275"/>
        <v>7.8422163952424247E-3</v>
      </c>
      <c r="J8801" s="22" t="str">
        <f t="shared" si="276"/>
        <v/>
      </c>
    </row>
    <row r="8802" spans="1:10">
      <c r="A8802" s="1">
        <v>41116</v>
      </c>
      <c r="B8802">
        <v>85.56</v>
      </c>
      <c r="C8802">
        <v>86.7</v>
      </c>
      <c r="D8802">
        <v>85.26</v>
      </c>
      <c r="E8802">
        <v>86.52</v>
      </c>
      <c r="F8802">
        <v>19149300</v>
      </c>
      <c r="G8802">
        <v>83.16</v>
      </c>
      <c r="H8802" t="s">
        <v>3</v>
      </c>
      <c r="I8802" s="22">
        <f t="shared" si="275"/>
        <v>1.4901238836088621E-2</v>
      </c>
      <c r="J8802" s="22" t="str">
        <f t="shared" si="276"/>
        <v/>
      </c>
    </row>
    <row r="8803" spans="1:10">
      <c r="A8803" s="1">
        <v>41117</v>
      </c>
      <c r="B8803">
        <v>86.59</v>
      </c>
      <c r="C8803">
        <v>87.85</v>
      </c>
      <c r="D8803">
        <v>85.5</v>
      </c>
      <c r="E8803">
        <v>87.45</v>
      </c>
      <c r="F8803">
        <v>24079300</v>
      </c>
      <c r="G8803">
        <v>84.05</v>
      </c>
      <c r="H8803" t="s">
        <v>3</v>
      </c>
      <c r="I8803" s="22">
        <f t="shared" si="275"/>
        <v>1.0645396864812397E-2</v>
      </c>
      <c r="J8803" s="22" t="str">
        <f t="shared" si="276"/>
        <v/>
      </c>
    </row>
    <row r="8804" spans="1:10">
      <c r="A8804" s="1">
        <v>41120</v>
      </c>
      <c r="B8804">
        <v>87.28</v>
      </c>
      <c r="C8804">
        <v>87.83</v>
      </c>
      <c r="D8804">
        <v>87.08</v>
      </c>
      <c r="E8804">
        <v>87.56</v>
      </c>
      <c r="F8804">
        <v>11183500</v>
      </c>
      <c r="G8804">
        <v>84.16</v>
      </c>
      <c r="H8804" t="s">
        <v>3</v>
      </c>
      <c r="I8804" s="22">
        <f t="shared" si="275"/>
        <v>1.3078891347751548E-3</v>
      </c>
      <c r="J8804" s="22" t="str">
        <f t="shared" si="276"/>
        <v/>
      </c>
    </row>
    <row r="8805" spans="1:10">
      <c r="A8805" s="1">
        <v>41121</v>
      </c>
      <c r="B8805">
        <v>87.37</v>
      </c>
      <c r="C8805">
        <v>87.66</v>
      </c>
      <c r="D8805">
        <v>86.79</v>
      </c>
      <c r="E8805">
        <v>86.85</v>
      </c>
      <c r="F8805">
        <v>12212200</v>
      </c>
      <c r="G8805">
        <v>83.47</v>
      </c>
      <c r="H8805" t="s">
        <v>3</v>
      </c>
      <c r="I8805" s="22">
        <f t="shared" si="275"/>
        <v>-8.2324631267544288E-3</v>
      </c>
      <c r="J8805" s="22" t="str">
        <f t="shared" si="276"/>
        <v>lost money</v>
      </c>
    </row>
    <row r="8806" spans="1:10">
      <c r="A8806" s="1">
        <v>41122</v>
      </c>
      <c r="B8806">
        <v>87.02</v>
      </c>
      <c r="C8806">
        <v>87.45</v>
      </c>
      <c r="D8806">
        <v>86.18</v>
      </c>
      <c r="E8806">
        <v>86.91</v>
      </c>
      <c r="F8806">
        <v>14312300</v>
      </c>
      <c r="G8806">
        <v>83.53</v>
      </c>
      <c r="H8806" t="s">
        <v>3</v>
      </c>
      <c r="I8806" s="22">
        <f t="shared" si="275"/>
        <v>7.1856290516961782E-4</v>
      </c>
      <c r="J8806" s="22" t="str">
        <f t="shared" si="276"/>
        <v>lost money</v>
      </c>
    </row>
    <row r="8807" spans="1:10">
      <c r="A8807" s="1">
        <v>41123</v>
      </c>
      <c r="B8807">
        <v>86.1</v>
      </c>
      <c r="C8807">
        <v>86.75</v>
      </c>
      <c r="D8807">
        <v>85.5</v>
      </c>
      <c r="E8807">
        <v>85.88</v>
      </c>
      <c r="F8807">
        <v>14530100</v>
      </c>
      <c r="G8807">
        <v>82.54</v>
      </c>
      <c r="H8807" t="s">
        <v>3</v>
      </c>
      <c r="I8807" s="22">
        <f t="shared" si="275"/>
        <v>-1.1922824443379134E-2</v>
      </c>
      <c r="J8807" s="22" t="str">
        <f t="shared" si="276"/>
        <v>lost money</v>
      </c>
    </row>
    <row r="8808" spans="1:10">
      <c r="A8808" s="1">
        <v>41124</v>
      </c>
      <c r="B8808">
        <v>87.07</v>
      </c>
      <c r="C8808">
        <v>87.89</v>
      </c>
      <c r="D8808">
        <v>86.8</v>
      </c>
      <c r="E8808">
        <v>87.55</v>
      </c>
      <c r="F8808">
        <v>13982500</v>
      </c>
      <c r="G8808">
        <v>84.15</v>
      </c>
      <c r="H8808" t="s">
        <v>3</v>
      </c>
      <c r="I8808" s="22">
        <f t="shared" si="275"/>
        <v>1.9317896312379321E-2</v>
      </c>
      <c r="J8808" s="22" t="str">
        <f t="shared" si="276"/>
        <v/>
      </c>
    </row>
    <row r="8809" spans="1:10">
      <c r="A8809" s="1">
        <v>41127</v>
      </c>
      <c r="B8809">
        <v>87.55</v>
      </c>
      <c r="C8809">
        <v>87.88</v>
      </c>
      <c r="D8809">
        <v>87.37</v>
      </c>
      <c r="E8809">
        <v>87.45</v>
      </c>
      <c r="F8809">
        <v>9626400</v>
      </c>
      <c r="G8809">
        <v>84.05</v>
      </c>
      <c r="H8809" t="s">
        <v>3</v>
      </c>
      <c r="I8809" s="22">
        <f t="shared" si="275"/>
        <v>-1.1890607821904659E-3</v>
      </c>
      <c r="J8809" s="22" t="str">
        <f t="shared" si="276"/>
        <v>lost money</v>
      </c>
    </row>
    <row r="8810" spans="1:10">
      <c r="A8810" s="1">
        <v>41128</v>
      </c>
      <c r="B8810">
        <v>87.88</v>
      </c>
      <c r="C8810">
        <v>88</v>
      </c>
      <c r="D8810">
        <v>87.68</v>
      </c>
      <c r="E8810">
        <v>87.92</v>
      </c>
      <c r="F8810">
        <v>12399800</v>
      </c>
      <c r="G8810">
        <v>84.5</v>
      </c>
      <c r="H8810" t="s">
        <v>3</v>
      </c>
      <c r="I8810" s="22">
        <f t="shared" si="275"/>
        <v>5.3396745085036073E-3</v>
      </c>
      <c r="J8810" s="22" t="str">
        <f t="shared" si="276"/>
        <v/>
      </c>
    </row>
    <row r="8811" spans="1:10">
      <c r="A8811" s="1">
        <v>41129</v>
      </c>
      <c r="B8811">
        <v>87.75</v>
      </c>
      <c r="C8811">
        <v>88.5</v>
      </c>
      <c r="D8811">
        <v>87.68</v>
      </c>
      <c r="E8811">
        <v>88.28</v>
      </c>
      <c r="F8811">
        <v>12864500</v>
      </c>
      <c r="G8811">
        <v>84.85</v>
      </c>
      <c r="H8811" t="s">
        <v>3</v>
      </c>
      <c r="I8811" s="22">
        <f t="shared" si="275"/>
        <v>4.1334573171070256E-3</v>
      </c>
      <c r="J8811" s="22" t="str">
        <f t="shared" si="276"/>
        <v/>
      </c>
    </row>
    <row r="8812" spans="1:10">
      <c r="A8812" s="1">
        <v>41130</v>
      </c>
      <c r="B8812">
        <v>87.84</v>
      </c>
      <c r="C8812">
        <v>88.48</v>
      </c>
      <c r="D8812">
        <v>87.51</v>
      </c>
      <c r="E8812">
        <v>88.2</v>
      </c>
      <c r="F8812">
        <v>12213700</v>
      </c>
      <c r="G8812">
        <v>85.32</v>
      </c>
      <c r="H8812" t="s">
        <v>3</v>
      </c>
      <c r="I8812" s="22">
        <f t="shared" si="275"/>
        <v>5.5239019229144717E-3</v>
      </c>
      <c r="J8812" s="22" t="str">
        <f t="shared" si="276"/>
        <v/>
      </c>
    </row>
    <row r="8813" spans="1:10">
      <c r="A8813" s="1">
        <v>41131</v>
      </c>
      <c r="B8813">
        <v>87.67</v>
      </c>
      <c r="C8813">
        <v>88.49</v>
      </c>
      <c r="D8813">
        <v>87.15</v>
      </c>
      <c r="E8813">
        <v>88.44</v>
      </c>
      <c r="F8813">
        <v>11149000</v>
      </c>
      <c r="G8813">
        <v>85.55</v>
      </c>
      <c r="H8813" t="s">
        <v>3</v>
      </c>
      <c r="I8813" s="22">
        <f t="shared" si="275"/>
        <v>2.6921067350526629E-3</v>
      </c>
      <c r="J8813" s="22" t="str">
        <f t="shared" si="276"/>
        <v/>
      </c>
    </row>
    <row r="8814" spans="1:10">
      <c r="A8814" s="1">
        <v>41134</v>
      </c>
      <c r="B8814">
        <v>88.1</v>
      </c>
      <c r="C8814">
        <v>88.24</v>
      </c>
      <c r="D8814">
        <v>87.77</v>
      </c>
      <c r="E8814">
        <v>88.14</v>
      </c>
      <c r="F8814">
        <v>8716300</v>
      </c>
      <c r="G8814">
        <v>85.26</v>
      </c>
      <c r="H8814" t="s">
        <v>3</v>
      </c>
      <c r="I8814" s="22">
        <f t="shared" si="275"/>
        <v>-3.3955890011381604E-3</v>
      </c>
      <c r="J8814" s="22" t="str">
        <f t="shared" si="276"/>
        <v/>
      </c>
    </row>
    <row r="8815" spans="1:10">
      <c r="A8815" s="1">
        <v>41135</v>
      </c>
      <c r="B8815">
        <v>88.17</v>
      </c>
      <c r="C8815">
        <v>88.64</v>
      </c>
      <c r="D8815">
        <v>87.9</v>
      </c>
      <c r="E8815">
        <v>88.2</v>
      </c>
      <c r="F8815">
        <v>8675700</v>
      </c>
      <c r="G8815">
        <v>85.32</v>
      </c>
      <c r="H8815" t="s">
        <v>3</v>
      </c>
      <c r="I8815" s="22">
        <f t="shared" si="275"/>
        <v>7.0348226608537374E-4</v>
      </c>
      <c r="J8815" s="22" t="str">
        <f t="shared" si="276"/>
        <v/>
      </c>
    </row>
    <row r="8816" spans="1:10">
      <c r="A8816" s="1">
        <v>41136</v>
      </c>
      <c r="B8816">
        <v>88.19</v>
      </c>
      <c r="C8816">
        <v>88.67</v>
      </c>
      <c r="D8816">
        <v>87.91</v>
      </c>
      <c r="E8816">
        <v>88</v>
      </c>
      <c r="F8816">
        <v>8510100</v>
      </c>
      <c r="G8816">
        <v>85.13</v>
      </c>
      <c r="H8816" t="s">
        <v>3</v>
      </c>
      <c r="I8816" s="22">
        <f t="shared" si="275"/>
        <v>-2.2293937071841182E-3</v>
      </c>
      <c r="J8816" s="22" t="str">
        <f t="shared" si="276"/>
        <v>lost money</v>
      </c>
    </row>
    <row r="8817" spans="1:10">
      <c r="A8817" s="1">
        <v>41137</v>
      </c>
      <c r="B8817">
        <v>88.19</v>
      </c>
      <c r="C8817">
        <v>88.87</v>
      </c>
      <c r="D8817">
        <v>87.96</v>
      </c>
      <c r="E8817">
        <v>88.67</v>
      </c>
      <c r="F8817">
        <v>11311300</v>
      </c>
      <c r="G8817">
        <v>85.78</v>
      </c>
      <c r="H8817" t="s">
        <v>3</v>
      </c>
      <c r="I8817" s="22">
        <f t="shared" si="275"/>
        <v>7.6063791927688919E-3</v>
      </c>
      <c r="J8817" s="22" t="str">
        <f t="shared" si="276"/>
        <v/>
      </c>
    </row>
    <row r="8818" spans="1:10">
      <c r="A8818" s="1">
        <v>41138</v>
      </c>
      <c r="B8818">
        <v>88.89</v>
      </c>
      <c r="C8818">
        <v>88.91</v>
      </c>
      <c r="D8818">
        <v>88.16</v>
      </c>
      <c r="E8818">
        <v>88.4</v>
      </c>
      <c r="F8818">
        <v>11177700</v>
      </c>
      <c r="G8818">
        <v>85.52</v>
      </c>
      <c r="H8818" t="s">
        <v>3</v>
      </c>
      <c r="I8818" s="22">
        <f t="shared" si="275"/>
        <v>-3.0356123719446565E-3</v>
      </c>
      <c r="J8818" s="22" t="str">
        <f t="shared" si="276"/>
        <v>lost money</v>
      </c>
    </row>
    <row r="8819" spans="1:10">
      <c r="A8819" s="1">
        <v>41141</v>
      </c>
      <c r="B8819">
        <v>88.07</v>
      </c>
      <c r="C8819">
        <v>88.22</v>
      </c>
      <c r="D8819">
        <v>87.63</v>
      </c>
      <c r="E8819">
        <v>87.95</v>
      </c>
      <c r="F8819">
        <v>8813700</v>
      </c>
      <c r="G8819">
        <v>85.08</v>
      </c>
      <c r="H8819" t="s">
        <v>3</v>
      </c>
      <c r="I8819" s="22">
        <f t="shared" si="275"/>
        <v>-5.1582763847533132E-3</v>
      </c>
      <c r="J8819" s="22" t="str">
        <f t="shared" si="276"/>
        <v>lost money</v>
      </c>
    </row>
    <row r="8820" spans="1:10">
      <c r="A8820" s="1">
        <v>41142</v>
      </c>
      <c r="B8820">
        <v>88.14</v>
      </c>
      <c r="C8820">
        <v>88.41</v>
      </c>
      <c r="D8820">
        <v>87.26</v>
      </c>
      <c r="E8820">
        <v>87.46</v>
      </c>
      <c r="F8820">
        <v>10767100</v>
      </c>
      <c r="G8820">
        <v>84.61</v>
      </c>
      <c r="H8820" t="s">
        <v>3</v>
      </c>
      <c r="I8820" s="22">
        <f t="shared" si="275"/>
        <v>-5.5395273956268575E-3</v>
      </c>
      <c r="J8820" s="22" t="str">
        <f t="shared" si="276"/>
        <v>lost money</v>
      </c>
    </row>
    <row r="8821" spans="1:10">
      <c r="A8821" s="1">
        <v>41143</v>
      </c>
      <c r="B8821">
        <v>87.2</v>
      </c>
      <c r="C8821">
        <v>87.91</v>
      </c>
      <c r="D8821">
        <v>87.02</v>
      </c>
      <c r="E8821">
        <v>87.73</v>
      </c>
      <c r="F8821">
        <v>10160400</v>
      </c>
      <c r="G8821">
        <v>84.87</v>
      </c>
      <c r="H8821" t="s">
        <v>3</v>
      </c>
      <c r="I8821" s="22">
        <f t="shared" si="275"/>
        <v>3.0682110451759463E-3</v>
      </c>
      <c r="J8821" s="22" t="str">
        <f t="shared" si="276"/>
        <v/>
      </c>
    </row>
    <row r="8822" spans="1:10">
      <c r="A8822" s="1">
        <v>41144</v>
      </c>
      <c r="B8822">
        <v>87.79</v>
      </c>
      <c r="C8822">
        <v>87.79</v>
      </c>
      <c r="D8822">
        <v>86.98</v>
      </c>
      <c r="E8822">
        <v>87.31</v>
      </c>
      <c r="F8822">
        <v>9666300</v>
      </c>
      <c r="G8822">
        <v>84.46</v>
      </c>
      <c r="H8822" t="s">
        <v>3</v>
      </c>
      <c r="I8822" s="22">
        <f t="shared" si="275"/>
        <v>-4.8426244757881261E-3</v>
      </c>
      <c r="J8822" s="22" t="str">
        <f t="shared" si="276"/>
        <v>lost money</v>
      </c>
    </row>
    <row r="8823" spans="1:10">
      <c r="A8823" s="1">
        <v>41145</v>
      </c>
      <c r="B8823">
        <v>87.16</v>
      </c>
      <c r="C8823">
        <v>88.3</v>
      </c>
      <c r="D8823">
        <v>86.93</v>
      </c>
      <c r="E8823">
        <v>88.05</v>
      </c>
      <c r="F8823">
        <v>9762300</v>
      </c>
      <c r="G8823">
        <v>85.18</v>
      </c>
      <c r="H8823" t="s">
        <v>3</v>
      </c>
      <c r="I8823" s="22">
        <f t="shared" si="275"/>
        <v>8.4886149892700272E-3</v>
      </c>
      <c r="J8823" s="22" t="str">
        <f t="shared" si="276"/>
        <v/>
      </c>
    </row>
    <row r="8824" spans="1:10">
      <c r="A8824" s="1">
        <v>41148</v>
      </c>
      <c r="B8824">
        <v>88.07</v>
      </c>
      <c r="C8824">
        <v>88.2</v>
      </c>
      <c r="D8824">
        <v>87.61</v>
      </c>
      <c r="E8824">
        <v>87.74</v>
      </c>
      <c r="F8824">
        <v>8252100</v>
      </c>
      <c r="G8824">
        <v>84.88</v>
      </c>
      <c r="H8824" t="s">
        <v>3</v>
      </c>
      <c r="I8824" s="22">
        <f t="shared" si="275"/>
        <v>-3.5281701893398513E-3</v>
      </c>
      <c r="J8824" s="22" t="str">
        <f t="shared" si="276"/>
        <v>lost money</v>
      </c>
    </row>
    <row r="8825" spans="1:10">
      <c r="A8825" s="1">
        <v>41149</v>
      </c>
      <c r="B8825">
        <v>87.57</v>
      </c>
      <c r="C8825">
        <v>88.4</v>
      </c>
      <c r="D8825">
        <v>87.42</v>
      </c>
      <c r="E8825">
        <v>88.1</v>
      </c>
      <c r="F8825">
        <v>9646800</v>
      </c>
      <c r="G8825">
        <v>85.23</v>
      </c>
      <c r="H8825" t="s">
        <v>3</v>
      </c>
      <c r="I8825" s="22">
        <f t="shared" si="275"/>
        <v>4.1149902284785562E-3</v>
      </c>
      <c r="J8825" s="22" t="str">
        <f t="shared" si="276"/>
        <v/>
      </c>
    </row>
    <row r="8826" spans="1:10">
      <c r="A8826" s="1">
        <v>41150</v>
      </c>
      <c r="B8826">
        <v>88.07</v>
      </c>
      <c r="C8826">
        <v>88.19</v>
      </c>
      <c r="D8826">
        <v>87.74</v>
      </c>
      <c r="E8826">
        <v>87.9</v>
      </c>
      <c r="F8826">
        <v>8377300</v>
      </c>
      <c r="G8826">
        <v>85.03</v>
      </c>
      <c r="H8826" t="s">
        <v>3</v>
      </c>
      <c r="I8826" s="22">
        <f t="shared" si="275"/>
        <v>-2.3493491365051233E-3</v>
      </c>
      <c r="J8826" s="22" t="str">
        <f t="shared" si="276"/>
        <v>lost money</v>
      </c>
    </row>
    <row r="8827" spans="1:10">
      <c r="A8827" s="1">
        <v>41151</v>
      </c>
      <c r="B8827">
        <v>87.38</v>
      </c>
      <c r="C8827">
        <v>87.73</v>
      </c>
      <c r="D8827">
        <v>87.02</v>
      </c>
      <c r="E8827">
        <v>87.2</v>
      </c>
      <c r="F8827">
        <v>8915800</v>
      </c>
      <c r="G8827">
        <v>84.35</v>
      </c>
      <c r="H8827" t="s">
        <v>3</v>
      </c>
      <c r="I8827" s="22">
        <f t="shared" si="275"/>
        <v>-8.0293264057239282E-3</v>
      </c>
      <c r="J8827" s="22" t="str">
        <f t="shared" si="276"/>
        <v>lost money</v>
      </c>
    </row>
    <row r="8828" spans="1:10">
      <c r="A8828" s="1">
        <v>41152</v>
      </c>
      <c r="B8828">
        <v>87.61</v>
      </c>
      <c r="C8828">
        <v>87.85</v>
      </c>
      <c r="D8828">
        <v>87.14</v>
      </c>
      <c r="E8828">
        <v>87.3</v>
      </c>
      <c r="F8828">
        <v>14178800</v>
      </c>
      <c r="G8828">
        <v>84.45</v>
      </c>
      <c r="H8828" t="s">
        <v>3</v>
      </c>
      <c r="I8828" s="22">
        <f t="shared" si="275"/>
        <v>1.1848342618317686E-3</v>
      </c>
      <c r="J8828" s="22" t="str">
        <f t="shared" si="276"/>
        <v>lost money</v>
      </c>
    </row>
    <row r="8829" spans="1:10">
      <c r="A8829" s="1">
        <v>41156</v>
      </c>
      <c r="B8829">
        <v>87.33</v>
      </c>
      <c r="C8829">
        <v>87.46</v>
      </c>
      <c r="D8829">
        <v>86.52</v>
      </c>
      <c r="E8829">
        <v>87.12</v>
      </c>
      <c r="F8829">
        <v>10602900</v>
      </c>
      <c r="G8829">
        <v>84.28</v>
      </c>
      <c r="H8829" t="s">
        <v>3</v>
      </c>
      <c r="I8829" s="22">
        <f t="shared" si="275"/>
        <v>-2.0150543178208071E-3</v>
      </c>
      <c r="J8829" s="22" t="str">
        <f t="shared" si="276"/>
        <v>lost money</v>
      </c>
    </row>
    <row r="8830" spans="1:10">
      <c r="A8830" s="1">
        <v>41157</v>
      </c>
      <c r="B8830">
        <v>87.52</v>
      </c>
      <c r="C8830">
        <v>87.65</v>
      </c>
      <c r="D8830">
        <v>87.06</v>
      </c>
      <c r="E8830">
        <v>87.33</v>
      </c>
      <c r="F8830">
        <v>10113100</v>
      </c>
      <c r="G8830">
        <v>84.48</v>
      </c>
      <c r="H8830" t="s">
        <v>3</v>
      </c>
      <c r="I8830" s="22">
        <f t="shared" si="275"/>
        <v>2.3702310219631847E-3</v>
      </c>
      <c r="J8830" s="22" t="str">
        <f t="shared" si="276"/>
        <v>lost money</v>
      </c>
    </row>
    <row r="8831" spans="1:10">
      <c r="A8831" s="1">
        <v>41158</v>
      </c>
      <c r="B8831">
        <v>87.89</v>
      </c>
      <c r="C8831">
        <v>89.25</v>
      </c>
      <c r="D8831">
        <v>87.85</v>
      </c>
      <c r="E8831">
        <v>88.99</v>
      </c>
      <c r="F8831">
        <v>15713500</v>
      </c>
      <c r="G8831">
        <v>86.09</v>
      </c>
      <c r="H8831" t="s">
        <v>3</v>
      </c>
      <c r="I8831" s="22">
        <f t="shared" si="275"/>
        <v>1.8878440711911908E-2</v>
      </c>
      <c r="J8831" s="22" t="str">
        <f t="shared" si="276"/>
        <v/>
      </c>
    </row>
    <row r="8832" spans="1:10">
      <c r="A8832" s="1">
        <v>41159</v>
      </c>
      <c r="B8832">
        <v>89.27</v>
      </c>
      <c r="C8832">
        <v>90</v>
      </c>
      <c r="D8832">
        <v>89.27</v>
      </c>
      <c r="E8832">
        <v>89.92</v>
      </c>
      <c r="F8832">
        <v>15623900</v>
      </c>
      <c r="G8832">
        <v>86.99</v>
      </c>
      <c r="H8832" t="s">
        <v>3</v>
      </c>
      <c r="I8832" s="22">
        <f t="shared" si="275"/>
        <v>1.0399908849586057E-2</v>
      </c>
      <c r="J8832" s="22" t="str">
        <f t="shared" si="276"/>
        <v/>
      </c>
    </row>
    <row r="8833" spans="1:10">
      <c r="A8833" s="1">
        <v>41162</v>
      </c>
      <c r="B8833">
        <v>89.82</v>
      </c>
      <c r="C8833">
        <v>90</v>
      </c>
      <c r="D8833">
        <v>89.4</v>
      </c>
      <c r="E8833">
        <v>89.48</v>
      </c>
      <c r="F8833">
        <v>10750700</v>
      </c>
      <c r="G8833">
        <v>86.56</v>
      </c>
      <c r="H8833" t="s">
        <v>3</v>
      </c>
      <c r="I8833" s="22">
        <f t="shared" si="275"/>
        <v>-4.9553544212779157E-3</v>
      </c>
      <c r="J8833" s="22" t="str">
        <f t="shared" si="276"/>
        <v>lost money</v>
      </c>
    </row>
    <row r="8834" spans="1:10">
      <c r="A8834" s="1">
        <v>41163</v>
      </c>
      <c r="B8834">
        <v>89.75</v>
      </c>
      <c r="C8834">
        <v>89.95</v>
      </c>
      <c r="D8834">
        <v>89.55</v>
      </c>
      <c r="E8834">
        <v>89.62</v>
      </c>
      <c r="F8834">
        <v>9349400</v>
      </c>
      <c r="G8834">
        <v>86.7</v>
      </c>
      <c r="H8834" t="s">
        <v>3</v>
      </c>
      <c r="I8834" s="22">
        <f t="shared" si="275"/>
        <v>1.6160686883247141E-3</v>
      </c>
      <c r="J8834" s="22" t="str">
        <f t="shared" si="276"/>
        <v>lost money</v>
      </c>
    </row>
    <row r="8835" spans="1:10">
      <c r="A8835" s="1">
        <v>41164</v>
      </c>
      <c r="B8835">
        <v>89.63</v>
      </c>
      <c r="C8835">
        <v>89.9</v>
      </c>
      <c r="D8835">
        <v>89.41</v>
      </c>
      <c r="E8835">
        <v>89.55</v>
      </c>
      <c r="F8835">
        <v>9982900</v>
      </c>
      <c r="G8835">
        <v>86.63</v>
      </c>
      <c r="H8835" t="s">
        <v>3</v>
      </c>
      <c r="I8835" s="22">
        <f t="shared" ref="I8835:I8898" si="277">IF(A8835=$A$2,"",LN(G8835/G8834))</f>
        <v>-8.077078844472901E-4</v>
      </c>
      <c r="J8835" s="22" t="str">
        <f t="shared" ref="J8835:J8898" si="278">IF(B8835&gt;E8835,"lost money","")</f>
        <v>lost money</v>
      </c>
    </row>
    <row r="8836" spans="1:10">
      <c r="A8836" s="1">
        <v>41165</v>
      </c>
      <c r="B8836">
        <v>89.71</v>
      </c>
      <c r="C8836">
        <v>91.56</v>
      </c>
      <c r="D8836">
        <v>89.43</v>
      </c>
      <c r="E8836">
        <v>91.23</v>
      </c>
      <c r="F8836">
        <v>19870900</v>
      </c>
      <c r="G8836">
        <v>88.25</v>
      </c>
      <c r="H8836" t="s">
        <v>3</v>
      </c>
      <c r="I8836" s="22">
        <f t="shared" si="277"/>
        <v>1.8527519911357173E-2</v>
      </c>
      <c r="J8836" s="22" t="str">
        <f t="shared" si="278"/>
        <v/>
      </c>
    </row>
    <row r="8837" spans="1:10">
      <c r="A8837" s="1">
        <v>41166</v>
      </c>
      <c r="B8837">
        <v>91.5</v>
      </c>
      <c r="C8837">
        <v>92.4</v>
      </c>
      <c r="D8837">
        <v>91.25</v>
      </c>
      <c r="E8837">
        <v>92.3</v>
      </c>
      <c r="F8837">
        <v>21388800</v>
      </c>
      <c r="G8837">
        <v>89.29</v>
      </c>
      <c r="H8837" t="s">
        <v>3</v>
      </c>
      <c r="I8837" s="22">
        <f t="shared" si="277"/>
        <v>1.1715803715719035E-2</v>
      </c>
      <c r="J8837" s="22" t="str">
        <f t="shared" si="278"/>
        <v/>
      </c>
    </row>
    <row r="8838" spans="1:10">
      <c r="A8838" s="1">
        <v>41169</v>
      </c>
      <c r="B8838">
        <v>91.92</v>
      </c>
      <c r="C8838">
        <v>92.5</v>
      </c>
      <c r="D8838">
        <v>91.55</v>
      </c>
      <c r="E8838">
        <v>91.91</v>
      </c>
      <c r="F8838">
        <v>11893700</v>
      </c>
      <c r="G8838">
        <v>88.91</v>
      </c>
      <c r="H8838" t="s">
        <v>3</v>
      </c>
      <c r="I8838" s="22">
        <f t="shared" si="277"/>
        <v>-4.2648773960775451E-3</v>
      </c>
      <c r="J8838" s="22" t="str">
        <f t="shared" si="278"/>
        <v>lost money</v>
      </c>
    </row>
    <row r="8839" spans="1:10">
      <c r="A8839" s="1">
        <v>41170</v>
      </c>
      <c r="B8839">
        <v>91.43</v>
      </c>
      <c r="C8839">
        <v>92.22</v>
      </c>
      <c r="D8839">
        <v>91.4</v>
      </c>
      <c r="E8839">
        <v>91.65</v>
      </c>
      <c r="F8839">
        <v>10950100</v>
      </c>
      <c r="G8839">
        <v>88.66</v>
      </c>
      <c r="H8839" t="s">
        <v>3</v>
      </c>
      <c r="I8839" s="22">
        <f t="shared" si="277"/>
        <v>-2.8157928161401599E-3</v>
      </c>
      <c r="J8839" s="22" t="str">
        <f t="shared" si="278"/>
        <v/>
      </c>
    </row>
    <row r="8840" spans="1:10">
      <c r="A8840" s="1">
        <v>41171</v>
      </c>
      <c r="B8840">
        <v>91.48</v>
      </c>
      <c r="C8840">
        <v>91.75</v>
      </c>
      <c r="D8840">
        <v>90.57</v>
      </c>
      <c r="E8840">
        <v>90.57</v>
      </c>
      <c r="F8840">
        <v>16302100</v>
      </c>
      <c r="G8840">
        <v>87.61</v>
      </c>
      <c r="H8840" t="s">
        <v>3</v>
      </c>
      <c r="I8840" s="22">
        <f t="shared" si="277"/>
        <v>-1.191368263863497E-2</v>
      </c>
      <c r="J8840" s="22" t="str">
        <f t="shared" si="278"/>
        <v>lost money</v>
      </c>
    </row>
    <row r="8841" spans="1:10">
      <c r="A8841" s="1">
        <v>41172</v>
      </c>
      <c r="B8841">
        <v>90.14</v>
      </c>
      <c r="C8841">
        <v>91.69</v>
      </c>
      <c r="D8841">
        <v>90.09</v>
      </c>
      <c r="E8841">
        <v>91.52</v>
      </c>
      <c r="F8841">
        <v>12238400</v>
      </c>
      <c r="G8841">
        <v>88.53</v>
      </c>
      <c r="H8841" t="s">
        <v>3</v>
      </c>
      <c r="I8841" s="22">
        <f t="shared" si="277"/>
        <v>1.0446330944685341E-2</v>
      </c>
      <c r="J8841" s="22" t="str">
        <f t="shared" si="278"/>
        <v/>
      </c>
    </row>
    <row r="8842" spans="1:10">
      <c r="A8842" s="1">
        <v>41173</v>
      </c>
      <c r="B8842">
        <v>92.03</v>
      </c>
      <c r="C8842">
        <v>92.23</v>
      </c>
      <c r="D8842">
        <v>91.64</v>
      </c>
      <c r="E8842">
        <v>91.92</v>
      </c>
      <c r="F8842">
        <v>19599100</v>
      </c>
      <c r="G8842">
        <v>88.92</v>
      </c>
      <c r="H8842" t="s">
        <v>3</v>
      </c>
      <c r="I8842" s="22">
        <f t="shared" si="277"/>
        <v>4.3956114730381293E-3</v>
      </c>
      <c r="J8842" s="22" t="str">
        <f t="shared" si="278"/>
        <v>lost money</v>
      </c>
    </row>
    <row r="8843" spans="1:10">
      <c r="A8843" s="1">
        <v>41176</v>
      </c>
      <c r="B8843">
        <v>91.31</v>
      </c>
      <c r="C8843">
        <v>92.21</v>
      </c>
      <c r="D8843">
        <v>91.3</v>
      </c>
      <c r="E8843">
        <v>91.88</v>
      </c>
      <c r="F8843">
        <v>11023700</v>
      </c>
      <c r="G8843">
        <v>88.88</v>
      </c>
      <c r="H8843" t="s">
        <v>3</v>
      </c>
      <c r="I8843" s="22">
        <f t="shared" si="277"/>
        <v>-4.4994376462138982E-4</v>
      </c>
      <c r="J8843" s="22" t="str">
        <f t="shared" si="278"/>
        <v/>
      </c>
    </row>
    <row r="8844" spans="1:10">
      <c r="A8844" s="1">
        <v>41177</v>
      </c>
      <c r="B8844">
        <v>92.11</v>
      </c>
      <c r="C8844">
        <v>92.57</v>
      </c>
      <c r="D8844">
        <v>91.54</v>
      </c>
      <c r="E8844">
        <v>91.74</v>
      </c>
      <c r="F8844">
        <v>14035800</v>
      </c>
      <c r="G8844">
        <v>88.75</v>
      </c>
      <c r="H8844" t="s">
        <v>3</v>
      </c>
      <c r="I8844" s="22">
        <f t="shared" si="277"/>
        <v>-1.4637169758493591E-3</v>
      </c>
      <c r="J8844" s="22" t="str">
        <f t="shared" si="278"/>
        <v>lost money</v>
      </c>
    </row>
    <row r="8845" spans="1:10">
      <c r="A8845" s="1">
        <v>41178</v>
      </c>
      <c r="B8845">
        <v>91.72</v>
      </c>
      <c r="C8845">
        <v>92.04</v>
      </c>
      <c r="D8845">
        <v>91.1</v>
      </c>
      <c r="E8845">
        <v>91.23</v>
      </c>
      <c r="F8845">
        <v>11616500</v>
      </c>
      <c r="G8845">
        <v>88.25</v>
      </c>
      <c r="H8845" t="s">
        <v>3</v>
      </c>
      <c r="I8845" s="22">
        <f t="shared" si="277"/>
        <v>-5.6497325421190209E-3</v>
      </c>
      <c r="J8845" s="22" t="str">
        <f t="shared" si="278"/>
        <v>lost money</v>
      </c>
    </row>
    <row r="8846" spans="1:10">
      <c r="A8846" s="1">
        <v>41179</v>
      </c>
      <c r="B8846">
        <v>91.83</v>
      </c>
      <c r="C8846">
        <v>92.25</v>
      </c>
      <c r="D8846">
        <v>91.19</v>
      </c>
      <c r="E8846">
        <v>91.8</v>
      </c>
      <c r="F8846">
        <v>10632700</v>
      </c>
      <c r="G8846">
        <v>88.8</v>
      </c>
      <c r="H8846" t="s">
        <v>3</v>
      </c>
      <c r="I8846" s="22">
        <f t="shared" si="277"/>
        <v>6.2129541847181866E-3</v>
      </c>
      <c r="J8846" s="22" t="str">
        <f t="shared" si="278"/>
        <v>lost money</v>
      </c>
    </row>
    <row r="8847" spans="1:10">
      <c r="A8847" s="1">
        <v>41180</v>
      </c>
      <c r="B8847">
        <v>91.48</v>
      </c>
      <c r="C8847">
        <v>91.65</v>
      </c>
      <c r="D8847">
        <v>90.93</v>
      </c>
      <c r="E8847">
        <v>91.45</v>
      </c>
      <c r="F8847">
        <v>12507600</v>
      </c>
      <c r="G8847">
        <v>88.47</v>
      </c>
      <c r="H8847" t="s">
        <v>3</v>
      </c>
      <c r="I8847" s="22">
        <f t="shared" si="277"/>
        <v>-3.7231385028298029E-3</v>
      </c>
      <c r="J8847" s="22" t="str">
        <f t="shared" si="278"/>
        <v>lost money</v>
      </c>
    </row>
    <row r="8848" spans="1:10">
      <c r="A8848" s="1">
        <v>41183</v>
      </c>
      <c r="B8848">
        <v>91.79</v>
      </c>
      <c r="C8848">
        <v>92.5</v>
      </c>
      <c r="D8848">
        <v>91.6</v>
      </c>
      <c r="E8848">
        <v>91.8</v>
      </c>
      <c r="F8848">
        <v>10343500</v>
      </c>
      <c r="G8848">
        <v>88.8</v>
      </c>
      <c r="H8848" t="s">
        <v>3</v>
      </c>
      <c r="I8848" s="22">
        <f t="shared" si="277"/>
        <v>3.7231385028297405E-3</v>
      </c>
      <c r="J8848" s="22" t="str">
        <f t="shared" si="278"/>
        <v/>
      </c>
    </row>
    <row r="8849" spans="1:10">
      <c r="A8849" s="1">
        <v>41184</v>
      </c>
      <c r="B8849">
        <v>92.12</v>
      </c>
      <c r="C8849">
        <v>92.18</v>
      </c>
      <c r="D8849">
        <v>91.28</v>
      </c>
      <c r="E8849">
        <v>91.72</v>
      </c>
      <c r="F8849">
        <v>9507800</v>
      </c>
      <c r="G8849">
        <v>88.73</v>
      </c>
      <c r="H8849" t="s">
        <v>3</v>
      </c>
      <c r="I8849" s="22">
        <f t="shared" si="277"/>
        <v>-7.8859915087794064E-4</v>
      </c>
      <c r="J8849" s="22" t="str">
        <f t="shared" si="278"/>
        <v>lost money</v>
      </c>
    </row>
    <row r="8850" spans="1:10">
      <c r="A8850" s="1">
        <v>41185</v>
      </c>
      <c r="B8850">
        <v>91.65</v>
      </c>
      <c r="C8850">
        <v>91.81</v>
      </c>
      <c r="D8850">
        <v>91.17</v>
      </c>
      <c r="E8850">
        <v>91.7</v>
      </c>
      <c r="F8850">
        <v>10328100</v>
      </c>
      <c r="G8850">
        <v>88.71</v>
      </c>
      <c r="H8850" t="s">
        <v>3</v>
      </c>
      <c r="I8850" s="22">
        <f t="shared" si="277"/>
        <v>-2.2542831475092287E-4</v>
      </c>
      <c r="J8850" s="22" t="str">
        <f t="shared" si="278"/>
        <v/>
      </c>
    </row>
    <row r="8851" spans="1:10">
      <c r="A8851" s="1">
        <v>41186</v>
      </c>
      <c r="B8851">
        <v>92.08</v>
      </c>
      <c r="C8851">
        <v>92.54</v>
      </c>
      <c r="D8851">
        <v>91.91</v>
      </c>
      <c r="E8851">
        <v>92.22</v>
      </c>
      <c r="F8851">
        <v>11507100</v>
      </c>
      <c r="G8851">
        <v>89.21</v>
      </c>
      <c r="H8851" t="s">
        <v>3</v>
      </c>
      <c r="I8851" s="22">
        <f t="shared" si="277"/>
        <v>5.6205183931965358E-3</v>
      </c>
      <c r="J8851" s="22" t="str">
        <f t="shared" si="278"/>
        <v/>
      </c>
    </row>
    <row r="8852" spans="1:10">
      <c r="A8852" s="1">
        <v>41187</v>
      </c>
      <c r="B8852">
        <v>92.59</v>
      </c>
      <c r="C8852">
        <v>93</v>
      </c>
      <c r="D8852">
        <v>92.23</v>
      </c>
      <c r="E8852">
        <v>92.55</v>
      </c>
      <c r="F8852">
        <v>9890100</v>
      </c>
      <c r="G8852">
        <v>89.53</v>
      </c>
      <c r="H8852" t="s">
        <v>3</v>
      </c>
      <c r="I8852" s="22">
        <f t="shared" si="277"/>
        <v>3.5806237203727183E-3</v>
      </c>
      <c r="J8852" s="22" t="str">
        <f t="shared" si="278"/>
        <v>lost money</v>
      </c>
    </row>
    <row r="8853" spans="1:10">
      <c r="A8853" s="1">
        <v>41190</v>
      </c>
      <c r="B8853">
        <v>92.15</v>
      </c>
      <c r="C8853">
        <v>92.87</v>
      </c>
      <c r="D8853">
        <v>92.04</v>
      </c>
      <c r="E8853">
        <v>92.68</v>
      </c>
      <c r="F8853">
        <v>8765200</v>
      </c>
      <c r="G8853">
        <v>89.66</v>
      </c>
      <c r="H8853" t="s">
        <v>3</v>
      </c>
      <c r="I8853" s="22">
        <f t="shared" si="277"/>
        <v>1.4509740812288356E-3</v>
      </c>
      <c r="J8853" s="22" t="str">
        <f t="shared" si="278"/>
        <v/>
      </c>
    </row>
    <row r="8854" spans="1:10">
      <c r="A8854" s="1">
        <v>41191</v>
      </c>
      <c r="B8854">
        <v>92.83</v>
      </c>
      <c r="C8854">
        <v>93.36</v>
      </c>
      <c r="D8854">
        <v>92.11</v>
      </c>
      <c r="E8854">
        <v>92.13</v>
      </c>
      <c r="F8854">
        <v>13799200</v>
      </c>
      <c r="G8854">
        <v>89.12</v>
      </c>
      <c r="H8854" t="s">
        <v>3</v>
      </c>
      <c r="I8854" s="22">
        <f t="shared" si="277"/>
        <v>-6.0409625483194241E-3</v>
      </c>
      <c r="J8854" s="22" t="str">
        <f t="shared" si="278"/>
        <v>lost money</v>
      </c>
    </row>
    <row r="8855" spans="1:10">
      <c r="A8855" s="1">
        <v>41192</v>
      </c>
      <c r="B8855">
        <v>91.8</v>
      </c>
      <c r="C8855">
        <v>92.02</v>
      </c>
      <c r="D8855">
        <v>90.67</v>
      </c>
      <c r="E8855">
        <v>91.03</v>
      </c>
      <c r="F8855">
        <v>15332500</v>
      </c>
      <c r="G8855">
        <v>88.06</v>
      </c>
      <c r="H8855" t="s">
        <v>3</v>
      </c>
      <c r="I8855" s="22">
        <f t="shared" si="277"/>
        <v>-1.1965375851366101E-2</v>
      </c>
      <c r="J8855" s="22" t="str">
        <f t="shared" si="278"/>
        <v>lost money</v>
      </c>
    </row>
    <row r="8856" spans="1:10">
      <c r="A8856" s="1">
        <v>41193</v>
      </c>
      <c r="B8856">
        <v>91.57</v>
      </c>
      <c r="C8856">
        <v>91.88</v>
      </c>
      <c r="D8856">
        <v>91.17</v>
      </c>
      <c r="E8856">
        <v>91.17</v>
      </c>
      <c r="F8856">
        <v>9789900</v>
      </c>
      <c r="G8856">
        <v>88.2</v>
      </c>
      <c r="H8856" t="s">
        <v>3</v>
      </c>
      <c r="I8856" s="22">
        <f t="shared" si="277"/>
        <v>1.5885626851379615E-3</v>
      </c>
      <c r="J8856" s="22" t="str">
        <f t="shared" si="278"/>
        <v>lost money</v>
      </c>
    </row>
    <row r="8857" spans="1:10">
      <c r="A8857" s="1">
        <v>41194</v>
      </c>
      <c r="B8857">
        <v>91.51</v>
      </c>
      <c r="C8857">
        <v>91.72</v>
      </c>
      <c r="D8857">
        <v>90.51</v>
      </c>
      <c r="E8857">
        <v>91.03</v>
      </c>
      <c r="F8857">
        <v>9943700</v>
      </c>
      <c r="G8857">
        <v>88.06</v>
      </c>
      <c r="H8857" t="s">
        <v>3</v>
      </c>
      <c r="I8857" s="22">
        <f t="shared" si="277"/>
        <v>-1.5885626851378416E-3</v>
      </c>
      <c r="J8857" s="22" t="str">
        <f t="shared" si="278"/>
        <v>lost money</v>
      </c>
    </row>
    <row r="8858" spans="1:10">
      <c r="A8858" s="1">
        <v>41197</v>
      </c>
      <c r="B8858">
        <v>91.35</v>
      </c>
      <c r="C8858">
        <v>91.69</v>
      </c>
      <c r="D8858">
        <v>90.54</v>
      </c>
      <c r="E8858">
        <v>91.51</v>
      </c>
      <c r="F8858">
        <v>10651100</v>
      </c>
      <c r="G8858">
        <v>88.52</v>
      </c>
      <c r="H8858" t="s">
        <v>3</v>
      </c>
      <c r="I8858" s="22">
        <f t="shared" si="277"/>
        <v>5.210114855241102E-3</v>
      </c>
      <c r="J8858" s="22" t="str">
        <f t="shared" si="278"/>
        <v/>
      </c>
    </row>
    <row r="8859" spans="1:10">
      <c r="A8859" s="1">
        <v>41198</v>
      </c>
      <c r="B8859">
        <v>91.89</v>
      </c>
      <c r="C8859">
        <v>92.48</v>
      </c>
      <c r="D8859">
        <v>91.8</v>
      </c>
      <c r="E8859">
        <v>92.38</v>
      </c>
      <c r="F8859">
        <v>9069300</v>
      </c>
      <c r="G8859">
        <v>89.37</v>
      </c>
      <c r="H8859" t="s">
        <v>3</v>
      </c>
      <c r="I8859" s="22">
        <f t="shared" si="277"/>
        <v>9.5565402104518873E-3</v>
      </c>
      <c r="J8859" s="22" t="str">
        <f t="shared" si="278"/>
        <v/>
      </c>
    </row>
    <row r="8860" spans="1:10">
      <c r="A8860" s="1">
        <v>41199</v>
      </c>
      <c r="B8860">
        <v>92.62</v>
      </c>
      <c r="C8860">
        <v>93.54</v>
      </c>
      <c r="D8860">
        <v>92.61</v>
      </c>
      <c r="E8860">
        <v>93.39</v>
      </c>
      <c r="F8860">
        <v>10759100</v>
      </c>
      <c r="G8860">
        <v>90.34</v>
      </c>
      <c r="H8860" t="s">
        <v>3</v>
      </c>
      <c r="I8860" s="22">
        <f t="shared" si="277"/>
        <v>1.0795274833157582E-2</v>
      </c>
      <c r="J8860" s="22" t="str">
        <f t="shared" si="278"/>
        <v/>
      </c>
    </row>
    <row r="8861" spans="1:10">
      <c r="A8861" s="1">
        <v>41200</v>
      </c>
      <c r="B8861">
        <v>92.97</v>
      </c>
      <c r="C8861">
        <v>93.57</v>
      </c>
      <c r="D8861">
        <v>92.97</v>
      </c>
      <c r="E8861">
        <v>93.48</v>
      </c>
      <c r="F8861">
        <v>11815500</v>
      </c>
      <c r="G8861">
        <v>90.43</v>
      </c>
      <c r="H8861" t="s">
        <v>3</v>
      </c>
      <c r="I8861" s="22">
        <f t="shared" si="277"/>
        <v>9.9574052593081296E-4</v>
      </c>
      <c r="J8861" s="22" t="str">
        <f t="shared" si="278"/>
        <v/>
      </c>
    </row>
    <row r="8862" spans="1:10">
      <c r="A8862" s="1">
        <v>41201</v>
      </c>
      <c r="B8862">
        <v>93.57</v>
      </c>
      <c r="C8862">
        <v>93.67</v>
      </c>
      <c r="D8862">
        <v>91.75</v>
      </c>
      <c r="E8862">
        <v>92.15</v>
      </c>
      <c r="F8862">
        <v>15928100</v>
      </c>
      <c r="G8862">
        <v>89.14</v>
      </c>
      <c r="H8862" t="s">
        <v>3</v>
      </c>
      <c r="I8862" s="22">
        <f t="shared" si="277"/>
        <v>-1.4367903233979067E-2</v>
      </c>
      <c r="J8862" s="22" t="str">
        <f t="shared" si="278"/>
        <v>lost money</v>
      </c>
    </row>
    <row r="8863" spans="1:10">
      <c r="A8863" s="1">
        <v>41204</v>
      </c>
      <c r="B8863">
        <v>91.67</v>
      </c>
      <c r="C8863">
        <v>92.26</v>
      </c>
      <c r="D8863">
        <v>91.08</v>
      </c>
      <c r="E8863">
        <v>92.19</v>
      </c>
      <c r="F8863">
        <v>11445400</v>
      </c>
      <c r="G8863">
        <v>89.18</v>
      </c>
      <c r="H8863" t="s">
        <v>3</v>
      </c>
      <c r="I8863" s="22">
        <f t="shared" si="277"/>
        <v>4.4863168092097342E-4</v>
      </c>
      <c r="J8863" s="22" t="str">
        <f t="shared" si="278"/>
        <v/>
      </c>
    </row>
    <row r="8864" spans="1:10">
      <c r="A8864" s="1">
        <v>41205</v>
      </c>
      <c r="B8864">
        <v>91.13</v>
      </c>
      <c r="C8864">
        <v>91.38</v>
      </c>
      <c r="D8864">
        <v>90.01</v>
      </c>
      <c r="E8864">
        <v>90.18</v>
      </c>
      <c r="F8864">
        <v>14085500</v>
      </c>
      <c r="G8864">
        <v>87.24</v>
      </c>
      <c r="H8864" t="s">
        <v>3</v>
      </c>
      <c r="I8864" s="22">
        <f t="shared" si="277"/>
        <v>-2.1993857865902397E-2</v>
      </c>
      <c r="J8864" s="22" t="str">
        <f t="shared" si="278"/>
        <v>lost money</v>
      </c>
    </row>
    <row r="8865" spans="1:10">
      <c r="A8865" s="1">
        <v>41206</v>
      </c>
      <c r="B8865">
        <v>90.46</v>
      </c>
      <c r="C8865">
        <v>90.62</v>
      </c>
      <c r="D8865">
        <v>89.77</v>
      </c>
      <c r="E8865">
        <v>89.88</v>
      </c>
      <c r="F8865">
        <v>11332500</v>
      </c>
      <c r="G8865">
        <v>86.95</v>
      </c>
      <c r="H8865" t="s">
        <v>3</v>
      </c>
      <c r="I8865" s="22">
        <f t="shared" si="277"/>
        <v>-3.3297005331361356E-3</v>
      </c>
      <c r="J8865" s="22" t="str">
        <f t="shared" si="278"/>
        <v>lost money</v>
      </c>
    </row>
    <row r="8866" spans="1:10">
      <c r="A8866" s="1">
        <v>41207</v>
      </c>
      <c r="B8866">
        <v>90.63</v>
      </c>
      <c r="C8866">
        <v>90.8</v>
      </c>
      <c r="D8866">
        <v>89.68</v>
      </c>
      <c r="E8866">
        <v>90.43</v>
      </c>
      <c r="F8866">
        <v>10387200</v>
      </c>
      <c r="G8866">
        <v>87.48</v>
      </c>
      <c r="H8866" t="s">
        <v>3</v>
      </c>
      <c r="I8866" s="22">
        <f t="shared" si="277"/>
        <v>6.0769550082751603E-3</v>
      </c>
      <c r="J8866" s="22" t="str">
        <f t="shared" si="278"/>
        <v>lost money</v>
      </c>
    </row>
    <row r="8867" spans="1:10">
      <c r="A8867" s="1">
        <v>41208</v>
      </c>
      <c r="B8867">
        <v>90.56</v>
      </c>
      <c r="C8867">
        <v>91.07</v>
      </c>
      <c r="D8867">
        <v>90.01</v>
      </c>
      <c r="E8867">
        <v>90.62</v>
      </c>
      <c r="F8867">
        <v>11583000</v>
      </c>
      <c r="G8867">
        <v>87.66</v>
      </c>
      <c r="H8867" t="s">
        <v>3</v>
      </c>
      <c r="I8867" s="22">
        <f t="shared" si="277"/>
        <v>2.0554991820959595E-3</v>
      </c>
      <c r="J8867" s="22" t="str">
        <f t="shared" si="278"/>
        <v/>
      </c>
    </row>
    <row r="8868" spans="1:10">
      <c r="A8868" s="1">
        <v>41213</v>
      </c>
      <c r="B8868">
        <v>91.03</v>
      </c>
      <c r="C8868">
        <v>91.41</v>
      </c>
      <c r="D8868">
        <v>90.11</v>
      </c>
      <c r="E8868">
        <v>91.17</v>
      </c>
      <c r="F8868">
        <v>14848500</v>
      </c>
      <c r="G8868">
        <v>88.2</v>
      </c>
      <c r="H8868" t="s">
        <v>3</v>
      </c>
      <c r="I8868" s="22">
        <f t="shared" si="277"/>
        <v>6.1412680220826492E-3</v>
      </c>
      <c r="J8868" s="22" t="str">
        <f t="shared" si="278"/>
        <v/>
      </c>
    </row>
    <row r="8869" spans="1:10">
      <c r="A8869" s="1">
        <v>41214</v>
      </c>
      <c r="B8869">
        <v>90.25</v>
      </c>
      <c r="C8869">
        <v>91.67</v>
      </c>
      <c r="D8869">
        <v>90.2</v>
      </c>
      <c r="E8869">
        <v>91.6</v>
      </c>
      <c r="F8869">
        <v>15771900</v>
      </c>
      <c r="G8869">
        <v>88.61</v>
      </c>
      <c r="H8869" t="s">
        <v>3</v>
      </c>
      <c r="I8869" s="22">
        <f t="shared" si="277"/>
        <v>4.6377550464653406E-3</v>
      </c>
      <c r="J8869" s="22" t="str">
        <f t="shared" si="278"/>
        <v/>
      </c>
    </row>
    <row r="8870" spans="1:10">
      <c r="A8870" s="1">
        <v>41215</v>
      </c>
      <c r="B8870">
        <v>91.76</v>
      </c>
      <c r="C8870">
        <v>91.94</v>
      </c>
      <c r="D8870">
        <v>90.06</v>
      </c>
      <c r="E8870">
        <v>90.27</v>
      </c>
      <c r="F8870">
        <v>12742400</v>
      </c>
      <c r="G8870">
        <v>87.32</v>
      </c>
      <c r="H8870" t="s">
        <v>3</v>
      </c>
      <c r="I8870" s="22">
        <f t="shared" si="277"/>
        <v>-1.4665186377467986E-2</v>
      </c>
      <c r="J8870" s="22" t="str">
        <f t="shared" si="278"/>
        <v>lost money</v>
      </c>
    </row>
    <row r="8871" spans="1:10">
      <c r="A8871" s="1">
        <v>41218</v>
      </c>
      <c r="B8871">
        <v>90.04</v>
      </c>
      <c r="C8871">
        <v>90.81</v>
      </c>
      <c r="D8871">
        <v>89.7</v>
      </c>
      <c r="E8871">
        <v>90.63</v>
      </c>
      <c r="F8871">
        <v>11222600</v>
      </c>
      <c r="G8871">
        <v>87.67</v>
      </c>
      <c r="H8871" t="s">
        <v>3</v>
      </c>
      <c r="I8871" s="22">
        <f t="shared" si="277"/>
        <v>4.0002339187512146E-3</v>
      </c>
      <c r="J8871" s="22" t="str">
        <f t="shared" si="278"/>
        <v/>
      </c>
    </row>
    <row r="8872" spans="1:10">
      <c r="A8872" s="1">
        <v>41219</v>
      </c>
      <c r="B8872">
        <v>90.86</v>
      </c>
      <c r="C8872">
        <v>92.05</v>
      </c>
      <c r="D8872">
        <v>90.73</v>
      </c>
      <c r="E8872">
        <v>91.61</v>
      </c>
      <c r="F8872">
        <v>12026500</v>
      </c>
      <c r="G8872">
        <v>88.62</v>
      </c>
      <c r="H8872" t="s">
        <v>3</v>
      </c>
      <c r="I8872" s="22">
        <f t="shared" si="277"/>
        <v>1.077780017084919E-2</v>
      </c>
      <c r="J8872" s="22" t="str">
        <f t="shared" si="278"/>
        <v/>
      </c>
    </row>
    <row r="8873" spans="1:10">
      <c r="A8873" s="1">
        <v>41220</v>
      </c>
      <c r="B8873">
        <v>90.24</v>
      </c>
      <c r="C8873">
        <v>90.24</v>
      </c>
      <c r="D8873">
        <v>87.7</v>
      </c>
      <c r="E8873">
        <v>88.18</v>
      </c>
      <c r="F8873">
        <v>19423500</v>
      </c>
      <c r="G8873">
        <v>85.84</v>
      </c>
      <c r="H8873" t="s">
        <v>3</v>
      </c>
      <c r="I8873" s="22">
        <f t="shared" si="277"/>
        <v>-3.187246744890046E-2</v>
      </c>
      <c r="J8873" s="22" t="str">
        <f t="shared" si="278"/>
        <v>lost money</v>
      </c>
    </row>
    <row r="8874" spans="1:10">
      <c r="A8874" s="1">
        <v>41221</v>
      </c>
      <c r="B8874">
        <v>88.27</v>
      </c>
      <c r="C8874">
        <v>88.43</v>
      </c>
      <c r="D8874">
        <v>87.03</v>
      </c>
      <c r="E8874">
        <v>87.07</v>
      </c>
      <c r="F8874">
        <v>13743000</v>
      </c>
      <c r="G8874">
        <v>84.76</v>
      </c>
      <c r="H8874" t="s">
        <v>3</v>
      </c>
      <c r="I8874" s="22">
        <f t="shared" si="277"/>
        <v>-1.2661364922344725E-2</v>
      </c>
      <c r="J8874" s="22" t="str">
        <f t="shared" si="278"/>
        <v>lost money</v>
      </c>
    </row>
    <row r="8875" spans="1:10">
      <c r="A8875" s="1">
        <v>41222</v>
      </c>
      <c r="B8875">
        <v>86.61</v>
      </c>
      <c r="C8875">
        <v>87.95</v>
      </c>
      <c r="D8875">
        <v>86.61</v>
      </c>
      <c r="E8875">
        <v>87.21</v>
      </c>
      <c r="F8875">
        <v>13407000</v>
      </c>
      <c r="G8875">
        <v>84.89</v>
      </c>
      <c r="H8875" t="s">
        <v>3</v>
      </c>
      <c r="I8875" s="22">
        <f t="shared" si="277"/>
        <v>1.5325673497779888E-3</v>
      </c>
      <c r="J8875" s="22" t="str">
        <f t="shared" si="278"/>
        <v/>
      </c>
    </row>
    <row r="8876" spans="1:10">
      <c r="A8876" s="1">
        <v>41225</v>
      </c>
      <c r="B8876">
        <v>87.27</v>
      </c>
      <c r="C8876">
        <v>87.69</v>
      </c>
      <c r="D8876">
        <v>86.95</v>
      </c>
      <c r="E8876">
        <v>87.32</v>
      </c>
      <c r="F8876">
        <v>9004300</v>
      </c>
      <c r="G8876">
        <v>85</v>
      </c>
      <c r="H8876" t="s">
        <v>3</v>
      </c>
      <c r="I8876" s="22">
        <f t="shared" si="277"/>
        <v>1.2949557404399892E-3</v>
      </c>
      <c r="J8876" s="22" t="str">
        <f t="shared" si="278"/>
        <v/>
      </c>
    </row>
    <row r="8877" spans="1:10">
      <c r="A8877" s="1">
        <v>41226</v>
      </c>
      <c r="B8877">
        <v>86.75</v>
      </c>
      <c r="C8877">
        <v>87.99</v>
      </c>
      <c r="D8877">
        <v>86.44</v>
      </c>
      <c r="E8877">
        <v>86.47</v>
      </c>
      <c r="F8877">
        <v>12260300</v>
      </c>
      <c r="G8877">
        <v>84.17</v>
      </c>
      <c r="H8877" t="s">
        <v>3</v>
      </c>
      <c r="I8877" s="22">
        <f t="shared" si="277"/>
        <v>-9.8126932668316808E-3</v>
      </c>
      <c r="J8877" s="22" t="str">
        <f t="shared" si="278"/>
        <v>lost money</v>
      </c>
    </row>
    <row r="8878" spans="1:10">
      <c r="A8878" s="1">
        <v>41227</v>
      </c>
      <c r="B8878">
        <v>86.75</v>
      </c>
      <c r="C8878">
        <v>87.11</v>
      </c>
      <c r="D8878">
        <v>85.88</v>
      </c>
      <c r="E8878">
        <v>86.07</v>
      </c>
      <c r="F8878">
        <v>14524100</v>
      </c>
      <c r="G8878">
        <v>83.78</v>
      </c>
      <c r="H8878" t="s">
        <v>3</v>
      </c>
      <c r="I8878" s="22">
        <f t="shared" si="277"/>
        <v>-4.6442477045958944E-3</v>
      </c>
      <c r="J8878" s="22" t="str">
        <f t="shared" si="278"/>
        <v>lost money</v>
      </c>
    </row>
    <row r="8879" spans="1:10">
      <c r="A8879" s="1">
        <v>41228</v>
      </c>
      <c r="B8879">
        <v>86.09</v>
      </c>
      <c r="C8879">
        <v>86.56</v>
      </c>
      <c r="D8879">
        <v>85.37</v>
      </c>
      <c r="E8879">
        <v>86.14</v>
      </c>
      <c r="F8879">
        <v>13783600</v>
      </c>
      <c r="G8879">
        <v>83.85</v>
      </c>
      <c r="H8879" t="s">
        <v>3</v>
      </c>
      <c r="I8879" s="22">
        <f t="shared" si="277"/>
        <v>8.3517275032887002E-4</v>
      </c>
      <c r="J8879" s="22" t="str">
        <f t="shared" si="278"/>
        <v/>
      </c>
    </row>
    <row r="8880" spans="1:10">
      <c r="A8880" s="1">
        <v>41229</v>
      </c>
      <c r="B8880">
        <v>86.14</v>
      </c>
      <c r="C8880">
        <v>86.71</v>
      </c>
      <c r="D8880">
        <v>85.06</v>
      </c>
      <c r="E8880">
        <v>86.45</v>
      </c>
      <c r="F8880">
        <v>17405200</v>
      </c>
      <c r="G8880">
        <v>84.15</v>
      </c>
      <c r="H8880" t="s">
        <v>3</v>
      </c>
      <c r="I8880" s="22">
        <f t="shared" si="277"/>
        <v>3.5714323675974007E-3</v>
      </c>
      <c r="J8880" s="22" t="str">
        <f t="shared" si="278"/>
        <v/>
      </c>
    </row>
    <row r="8881" spans="1:10">
      <c r="A8881" s="1">
        <v>41232</v>
      </c>
      <c r="B8881">
        <v>87.4</v>
      </c>
      <c r="C8881">
        <v>88.2</v>
      </c>
      <c r="D8881">
        <v>87.09</v>
      </c>
      <c r="E8881">
        <v>87.67</v>
      </c>
      <c r="F8881">
        <v>12911000</v>
      </c>
      <c r="G8881">
        <v>85.34</v>
      </c>
      <c r="H8881" t="s">
        <v>3</v>
      </c>
      <c r="I8881" s="22">
        <f t="shared" si="277"/>
        <v>1.4042357123038765E-2</v>
      </c>
      <c r="J8881" s="22" t="str">
        <f t="shared" si="278"/>
        <v/>
      </c>
    </row>
    <row r="8882" spans="1:10">
      <c r="A8882" s="1">
        <v>41233</v>
      </c>
      <c r="B8882">
        <v>87.51</v>
      </c>
      <c r="C8882">
        <v>87.88</v>
      </c>
      <c r="D8882">
        <v>86.77</v>
      </c>
      <c r="E8882">
        <v>87.5</v>
      </c>
      <c r="F8882">
        <v>10288100</v>
      </c>
      <c r="G8882">
        <v>85.17</v>
      </c>
      <c r="H8882" t="s">
        <v>3</v>
      </c>
      <c r="I8882" s="22">
        <f t="shared" si="277"/>
        <v>-1.9940186068643953E-3</v>
      </c>
      <c r="J8882" s="22" t="str">
        <f t="shared" si="278"/>
        <v>lost money</v>
      </c>
    </row>
    <row r="8883" spans="1:10">
      <c r="A8883" s="1">
        <v>41234</v>
      </c>
      <c r="B8883">
        <v>87.81</v>
      </c>
      <c r="C8883">
        <v>88.02</v>
      </c>
      <c r="D8883">
        <v>87.48</v>
      </c>
      <c r="E8883">
        <v>88.01</v>
      </c>
      <c r="F8883">
        <v>13905300</v>
      </c>
      <c r="G8883">
        <v>85.67</v>
      </c>
      <c r="H8883" t="s">
        <v>3</v>
      </c>
      <c r="I8883" s="22">
        <f t="shared" si="277"/>
        <v>5.8534468229630354E-3</v>
      </c>
      <c r="J8883" s="22" t="str">
        <f t="shared" si="278"/>
        <v/>
      </c>
    </row>
    <row r="8884" spans="1:10">
      <c r="A8884" s="1">
        <v>41236</v>
      </c>
      <c r="B8884">
        <v>88.25</v>
      </c>
      <c r="C8884">
        <v>89.09</v>
      </c>
      <c r="D8884">
        <v>88.01</v>
      </c>
      <c r="E8884">
        <v>89.09</v>
      </c>
      <c r="F8884">
        <v>11931000</v>
      </c>
      <c r="G8884">
        <v>86.72</v>
      </c>
      <c r="H8884" t="s">
        <v>3</v>
      </c>
      <c r="I8884" s="22">
        <f t="shared" si="277"/>
        <v>1.2181831715383361E-2</v>
      </c>
      <c r="J8884" s="22" t="str">
        <f t="shared" si="278"/>
        <v/>
      </c>
    </row>
    <row r="8885" spans="1:10">
      <c r="A8885" s="1">
        <v>41239</v>
      </c>
      <c r="B8885">
        <v>88.32</v>
      </c>
      <c r="C8885">
        <v>88.63</v>
      </c>
      <c r="D8885">
        <v>88.03</v>
      </c>
      <c r="E8885">
        <v>88.62</v>
      </c>
      <c r="F8885">
        <v>16423600</v>
      </c>
      <c r="G8885">
        <v>86.27</v>
      </c>
      <c r="H8885" t="s">
        <v>3</v>
      </c>
      <c r="I8885" s="22">
        <f t="shared" si="277"/>
        <v>-5.2026246028486463E-3</v>
      </c>
      <c r="J8885" s="22" t="str">
        <f t="shared" si="278"/>
        <v/>
      </c>
    </row>
    <row r="8886" spans="1:10">
      <c r="A8886" s="1">
        <v>41240</v>
      </c>
      <c r="B8886">
        <v>88.4</v>
      </c>
      <c r="C8886">
        <v>88.54</v>
      </c>
      <c r="D8886">
        <v>87.24</v>
      </c>
      <c r="E8886">
        <v>87.35</v>
      </c>
      <c r="F8886">
        <v>11841600</v>
      </c>
      <c r="G8886">
        <v>85.03</v>
      </c>
      <c r="H8886" t="s">
        <v>3</v>
      </c>
      <c r="I8886" s="22">
        <f t="shared" si="277"/>
        <v>-1.4477777690786257E-2</v>
      </c>
      <c r="J8886" s="22" t="str">
        <f t="shared" si="278"/>
        <v>lost money</v>
      </c>
    </row>
    <row r="8887" spans="1:10">
      <c r="A8887" s="1">
        <v>41241</v>
      </c>
      <c r="B8887">
        <v>86.53</v>
      </c>
      <c r="C8887">
        <v>88.19</v>
      </c>
      <c r="D8887">
        <v>86.28</v>
      </c>
      <c r="E8887">
        <v>88.1</v>
      </c>
      <c r="F8887">
        <v>15959900</v>
      </c>
      <c r="G8887">
        <v>85.76</v>
      </c>
      <c r="H8887" t="s">
        <v>3</v>
      </c>
      <c r="I8887" s="22">
        <f t="shared" si="277"/>
        <v>8.5485619247908529E-3</v>
      </c>
      <c r="J8887" s="22" t="str">
        <f t="shared" si="278"/>
        <v/>
      </c>
    </row>
    <row r="8888" spans="1:10">
      <c r="A8888" s="1">
        <v>41242</v>
      </c>
      <c r="B8888">
        <v>88.37</v>
      </c>
      <c r="C8888">
        <v>88.69</v>
      </c>
      <c r="D8888">
        <v>87.63</v>
      </c>
      <c r="E8888">
        <v>88.12</v>
      </c>
      <c r="F8888">
        <v>11579100</v>
      </c>
      <c r="G8888">
        <v>85.78</v>
      </c>
      <c r="H8888" t="s">
        <v>3</v>
      </c>
      <c r="I8888" s="22">
        <f t="shared" si="277"/>
        <v>2.3318176624260241E-4</v>
      </c>
      <c r="J8888" s="22" t="str">
        <f t="shared" si="278"/>
        <v>lost money</v>
      </c>
    </row>
    <row r="8889" spans="1:10">
      <c r="A8889" s="1">
        <v>41243</v>
      </c>
      <c r="B8889">
        <v>88.07</v>
      </c>
      <c r="C8889">
        <v>88.4</v>
      </c>
      <c r="D8889">
        <v>87.82</v>
      </c>
      <c r="E8889">
        <v>88.14</v>
      </c>
      <c r="F8889">
        <v>15522100</v>
      </c>
      <c r="G8889">
        <v>85.8</v>
      </c>
      <c r="H8889" t="s">
        <v>3</v>
      </c>
      <c r="I8889" s="22">
        <f t="shared" si="277"/>
        <v>2.3312740518220833E-4</v>
      </c>
      <c r="J8889" s="22" t="str">
        <f t="shared" si="278"/>
        <v/>
      </c>
    </row>
    <row r="8890" spans="1:10">
      <c r="A8890" s="1">
        <v>41246</v>
      </c>
      <c r="B8890">
        <v>88.55</v>
      </c>
      <c r="C8890">
        <v>88.58</v>
      </c>
      <c r="D8890">
        <v>87.47</v>
      </c>
      <c r="E8890">
        <v>87.61</v>
      </c>
      <c r="F8890">
        <v>10937300</v>
      </c>
      <c r="G8890">
        <v>85.28</v>
      </c>
      <c r="H8890" t="s">
        <v>3</v>
      </c>
      <c r="I8890" s="22">
        <f t="shared" si="277"/>
        <v>-6.0790460763821153E-3</v>
      </c>
      <c r="J8890" s="22" t="str">
        <f t="shared" si="278"/>
        <v>lost money</v>
      </c>
    </row>
    <row r="8891" spans="1:10">
      <c r="A8891" s="1">
        <v>41247</v>
      </c>
      <c r="B8891">
        <v>87.38</v>
      </c>
      <c r="C8891">
        <v>87.97</v>
      </c>
      <c r="D8891">
        <v>87.19</v>
      </c>
      <c r="E8891">
        <v>87.19</v>
      </c>
      <c r="F8891">
        <v>11980000</v>
      </c>
      <c r="G8891">
        <v>84.87</v>
      </c>
      <c r="H8891" t="s">
        <v>3</v>
      </c>
      <c r="I8891" s="22">
        <f t="shared" si="277"/>
        <v>-4.8192864359488828E-3</v>
      </c>
      <c r="J8891" s="22" t="str">
        <f t="shared" si="278"/>
        <v>lost money</v>
      </c>
    </row>
    <row r="8892" spans="1:10">
      <c r="A8892" s="1">
        <v>41248</v>
      </c>
      <c r="B8892">
        <v>87.27</v>
      </c>
      <c r="C8892">
        <v>88.27</v>
      </c>
      <c r="D8892">
        <v>87.1</v>
      </c>
      <c r="E8892">
        <v>87.73</v>
      </c>
      <c r="F8892">
        <v>12717800</v>
      </c>
      <c r="G8892">
        <v>85.4</v>
      </c>
      <c r="H8892" t="s">
        <v>3</v>
      </c>
      <c r="I8892" s="22">
        <f t="shared" si="277"/>
        <v>6.2254268129386219E-3</v>
      </c>
      <c r="J8892" s="22" t="str">
        <f t="shared" si="278"/>
        <v/>
      </c>
    </row>
    <row r="8893" spans="1:10">
      <c r="A8893" s="1">
        <v>41249</v>
      </c>
      <c r="B8893">
        <v>87.76</v>
      </c>
      <c r="C8893">
        <v>88.06</v>
      </c>
      <c r="D8893">
        <v>87.24</v>
      </c>
      <c r="E8893">
        <v>88</v>
      </c>
      <c r="F8893">
        <v>12077000</v>
      </c>
      <c r="G8893">
        <v>85.66</v>
      </c>
      <c r="H8893" t="s">
        <v>3</v>
      </c>
      <c r="I8893" s="22">
        <f t="shared" si="277"/>
        <v>3.0398713927005444E-3</v>
      </c>
      <c r="J8893" s="22" t="str">
        <f t="shared" si="278"/>
        <v/>
      </c>
    </row>
    <row r="8894" spans="1:10">
      <c r="A8894" s="1">
        <v>41250</v>
      </c>
      <c r="B8894">
        <v>88.17</v>
      </c>
      <c r="C8894">
        <v>88.64</v>
      </c>
      <c r="D8894">
        <v>87.77</v>
      </c>
      <c r="E8894">
        <v>88.6</v>
      </c>
      <c r="F8894">
        <v>10603100</v>
      </c>
      <c r="G8894">
        <v>86.25</v>
      </c>
      <c r="H8894" t="s">
        <v>3</v>
      </c>
      <c r="I8894" s="22">
        <f t="shared" si="277"/>
        <v>6.8640837242442826E-3</v>
      </c>
      <c r="J8894" s="22" t="str">
        <f t="shared" si="278"/>
        <v/>
      </c>
    </row>
    <row r="8895" spans="1:10">
      <c r="A8895" s="1">
        <v>41253</v>
      </c>
      <c r="B8895">
        <v>88.58</v>
      </c>
      <c r="C8895">
        <v>88.95</v>
      </c>
      <c r="D8895">
        <v>88.24</v>
      </c>
      <c r="E8895">
        <v>88.41</v>
      </c>
      <c r="F8895">
        <v>11549400</v>
      </c>
      <c r="G8895">
        <v>86.06</v>
      </c>
      <c r="H8895" t="s">
        <v>3</v>
      </c>
      <c r="I8895" s="22">
        <f t="shared" si="277"/>
        <v>-2.2053285010155631E-3</v>
      </c>
      <c r="J8895" s="22" t="str">
        <f t="shared" si="278"/>
        <v>lost money</v>
      </c>
    </row>
    <row r="8896" spans="1:10">
      <c r="A8896" s="1">
        <v>41254</v>
      </c>
      <c r="B8896">
        <v>88.61</v>
      </c>
      <c r="C8896">
        <v>89.49</v>
      </c>
      <c r="D8896">
        <v>88.4</v>
      </c>
      <c r="E8896">
        <v>88.99</v>
      </c>
      <c r="F8896">
        <v>12634600</v>
      </c>
      <c r="G8896">
        <v>86.63</v>
      </c>
      <c r="H8896" t="s">
        <v>3</v>
      </c>
      <c r="I8896" s="22">
        <f t="shared" si="277"/>
        <v>6.6014484915951797E-3</v>
      </c>
      <c r="J8896" s="22" t="str">
        <f t="shared" si="278"/>
        <v/>
      </c>
    </row>
    <row r="8897" spans="1:10">
      <c r="A8897" s="1">
        <v>41255</v>
      </c>
      <c r="B8897">
        <v>89.09</v>
      </c>
      <c r="C8897">
        <v>90.37</v>
      </c>
      <c r="D8897">
        <v>88.91</v>
      </c>
      <c r="E8897">
        <v>89.45</v>
      </c>
      <c r="F8897">
        <v>14729500</v>
      </c>
      <c r="G8897">
        <v>87.07</v>
      </c>
      <c r="H8897" t="s">
        <v>3</v>
      </c>
      <c r="I8897" s="22">
        <f t="shared" si="277"/>
        <v>5.06621693847519E-3</v>
      </c>
      <c r="J8897" s="22" t="str">
        <f t="shared" si="278"/>
        <v/>
      </c>
    </row>
    <row r="8898" spans="1:10">
      <c r="A8898" s="1">
        <v>41256</v>
      </c>
      <c r="B8898">
        <v>89.16</v>
      </c>
      <c r="C8898">
        <v>89.45</v>
      </c>
      <c r="D8898">
        <v>88.27</v>
      </c>
      <c r="E8898">
        <v>88.58</v>
      </c>
      <c r="F8898">
        <v>12290300</v>
      </c>
      <c r="G8898">
        <v>86.23</v>
      </c>
      <c r="H8898" t="s">
        <v>3</v>
      </c>
      <c r="I8898" s="22">
        <f t="shared" si="277"/>
        <v>-9.6942478762910549E-3</v>
      </c>
      <c r="J8898" s="22" t="str">
        <f t="shared" si="278"/>
        <v>lost money</v>
      </c>
    </row>
    <row r="8899" spans="1:10">
      <c r="A8899" s="1">
        <v>41257</v>
      </c>
      <c r="B8899">
        <v>88</v>
      </c>
      <c r="C8899">
        <v>88.45</v>
      </c>
      <c r="D8899">
        <v>87.92</v>
      </c>
      <c r="E8899">
        <v>88.08</v>
      </c>
      <c r="F8899">
        <v>13363600</v>
      </c>
      <c r="G8899">
        <v>85.74</v>
      </c>
      <c r="H8899" t="s">
        <v>3</v>
      </c>
      <c r="I8899" s="22">
        <f t="shared" ref="I8899:I8962" si="279">IF(A8899=$A$2,"",LN(G8899/G8898))</f>
        <v>-5.6986837944021434E-3</v>
      </c>
      <c r="J8899" s="22" t="str">
        <f t="shared" ref="J8899:J8962" si="280">IF(B8899&gt;E8899,"lost money","")</f>
        <v/>
      </c>
    </row>
    <row r="8900" spans="1:10">
      <c r="A8900" s="1">
        <v>41260</v>
      </c>
      <c r="B8900">
        <v>88.36</v>
      </c>
      <c r="C8900">
        <v>88.94</v>
      </c>
      <c r="D8900">
        <v>88.1</v>
      </c>
      <c r="E8900">
        <v>88.87</v>
      </c>
      <c r="F8900">
        <v>15672500</v>
      </c>
      <c r="G8900">
        <v>86.51</v>
      </c>
      <c r="H8900" t="s">
        <v>3</v>
      </c>
      <c r="I8900" s="22">
        <f t="shared" si="279"/>
        <v>8.9405530224520094E-3</v>
      </c>
      <c r="J8900" s="22" t="str">
        <f t="shared" si="280"/>
        <v/>
      </c>
    </row>
    <row r="8901" spans="1:10">
      <c r="A8901" s="1">
        <v>41261</v>
      </c>
      <c r="B8901">
        <v>88.75</v>
      </c>
      <c r="C8901">
        <v>89.74</v>
      </c>
      <c r="D8901">
        <v>88.56</v>
      </c>
      <c r="E8901">
        <v>89.56</v>
      </c>
      <c r="F8901">
        <v>15396600</v>
      </c>
      <c r="G8901">
        <v>87.18</v>
      </c>
      <c r="H8901" t="s">
        <v>3</v>
      </c>
      <c r="I8901" s="22">
        <f t="shared" si="279"/>
        <v>7.7149326179636497E-3</v>
      </c>
      <c r="J8901" s="22" t="str">
        <f t="shared" si="280"/>
        <v/>
      </c>
    </row>
    <row r="8902" spans="1:10">
      <c r="A8902" s="1">
        <v>41262</v>
      </c>
      <c r="B8902">
        <v>89.54</v>
      </c>
      <c r="C8902">
        <v>89.61</v>
      </c>
      <c r="D8902">
        <v>88.38</v>
      </c>
      <c r="E8902">
        <v>88.44</v>
      </c>
      <c r="F8902">
        <v>15092500</v>
      </c>
      <c r="G8902">
        <v>86.09</v>
      </c>
      <c r="H8902" t="s">
        <v>3</v>
      </c>
      <c r="I8902" s="22">
        <f t="shared" si="279"/>
        <v>-1.2581686140383349E-2</v>
      </c>
      <c r="J8902" s="22" t="str">
        <f t="shared" si="280"/>
        <v>lost money</v>
      </c>
    </row>
    <row r="8903" spans="1:10">
      <c r="A8903" s="1">
        <v>41263</v>
      </c>
      <c r="B8903">
        <v>88.38</v>
      </c>
      <c r="C8903">
        <v>88.94</v>
      </c>
      <c r="D8903">
        <v>87.98</v>
      </c>
      <c r="E8903">
        <v>88.89</v>
      </c>
      <c r="F8903">
        <v>15789000</v>
      </c>
      <c r="G8903">
        <v>86.53</v>
      </c>
      <c r="H8903" t="s">
        <v>3</v>
      </c>
      <c r="I8903" s="22">
        <f t="shared" si="279"/>
        <v>5.097913948784105E-3</v>
      </c>
      <c r="J8903" s="22" t="str">
        <f t="shared" si="280"/>
        <v/>
      </c>
    </row>
    <row r="8904" spans="1:10">
      <c r="A8904" s="1">
        <v>41264</v>
      </c>
      <c r="B8904">
        <v>87.66</v>
      </c>
      <c r="C8904">
        <v>88.6</v>
      </c>
      <c r="D8904">
        <v>87.01</v>
      </c>
      <c r="E8904">
        <v>87.23</v>
      </c>
      <c r="F8904">
        <v>33057000</v>
      </c>
      <c r="G8904">
        <v>84.91</v>
      </c>
      <c r="H8904" t="s">
        <v>3</v>
      </c>
      <c r="I8904" s="22">
        <f t="shared" si="279"/>
        <v>-1.8899302607375459E-2</v>
      </c>
      <c r="J8904" s="22" t="str">
        <f t="shared" si="280"/>
        <v>lost money</v>
      </c>
    </row>
    <row r="8905" spans="1:10">
      <c r="A8905" s="1">
        <v>41267</v>
      </c>
      <c r="B8905">
        <v>87.13</v>
      </c>
      <c r="C8905">
        <v>87.32</v>
      </c>
      <c r="D8905">
        <v>86.8</v>
      </c>
      <c r="E8905">
        <v>86.92</v>
      </c>
      <c r="F8905">
        <v>6385200</v>
      </c>
      <c r="G8905">
        <v>84.61</v>
      </c>
      <c r="H8905" t="s">
        <v>3</v>
      </c>
      <c r="I8905" s="22">
        <f t="shared" si="279"/>
        <v>-3.5394090748625609E-3</v>
      </c>
      <c r="J8905" s="22" t="str">
        <f t="shared" si="280"/>
        <v>lost money</v>
      </c>
    </row>
    <row r="8906" spans="1:10">
      <c r="A8906" s="1">
        <v>41269</v>
      </c>
      <c r="B8906">
        <v>87.21</v>
      </c>
      <c r="C8906">
        <v>87.68</v>
      </c>
      <c r="D8906">
        <v>86.57</v>
      </c>
      <c r="E8906">
        <v>87.07</v>
      </c>
      <c r="F8906">
        <v>10737800</v>
      </c>
      <c r="G8906">
        <v>84.76</v>
      </c>
      <c r="H8906" t="s">
        <v>3</v>
      </c>
      <c r="I8906" s="22">
        <f t="shared" si="279"/>
        <v>1.7712704636889381E-3</v>
      </c>
      <c r="J8906" s="22" t="str">
        <f t="shared" si="280"/>
        <v>lost money</v>
      </c>
    </row>
    <row r="8907" spans="1:10">
      <c r="A8907" s="1">
        <v>41270</v>
      </c>
      <c r="B8907">
        <v>87.05</v>
      </c>
      <c r="C8907">
        <v>87.24</v>
      </c>
      <c r="D8907">
        <v>85.75</v>
      </c>
      <c r="E8907">
        <v>86.86</v>
      </c>
      <c r="F8907">
        <v>14258500</v>
      </c>
      <c r="G8907">
        <v>84.55</v>
      </c>
      <c r="H8907" t="s">
        <v>3</v>
      </c>
      <c r="I8907" s="22">
        <f t="shared" si="279"/>
        <v>-2.48065805550913E-3</v>
      </c>
      <c r="J8907" s="22" t="str">
        <f t="shared" si="280"/>
        <v>lost money</v>
      </c>
    </row>
    <row r="8908" spans="1:10">
      <c r="A8908" s="1">
        <v>41271</v>
      </c>
      <c r="B8908">
        <v>86.1</v>
      </c>
      <c r="C8908">
        <v>86.29</v>
      </c>
      <c r="D8908">
        <v>85.07</v>
      </c>
      <c r="E8908">
        <v>85.1</v>
      </c>
      <c r="F8908">
        <v>13358700</v>
      </c>
      <c r="G8908">
        <v>82.84</v>
      </c>
      <c r="H8908" t="s">
        <v>3</v>
      </c>
      <c r="I8908" s="22">
        <f t="shared" si="279"/>
        <v>-2.0432038817205855E-2</v>
      </c>
      <c r="J8908" s="22" t="str">
        <f t="shared" si="280"/>
        <v>lost money</v>
      </c>
    </row>
    <row r="8909" spans="1:10">
      <c r="A8909" s="1">
        <v>41274</v>
      </c>
      <c r="B8909">
        <v>85.04</v>
      </c>
      <c r="C8909">
        <v>86.66</v>
      </c>
      <c r="D8909">
        <v>84.7</v>
      </c>
      <c r="E8909">
        <v>86.55</v>
      </c>
      <c r="F8909">
        <v>19810800</v>
      </c>
      <c r="G8909">
        <v>84.25</v>
      </c>
      <c r="H8909" t="s">
        <v>3</v>
      </c>
      <c r="I8909" s="22">
        <f t="shared" si="279"/>
        <v>1.687753270508759E-2</v>
      </c>
      <c r="J8909" s="22" t="str">
        <f t="shared" si="280"/>
        <v/>
      </c>
    </row>
    <row r="8910" spans="1:10">
      <c r="A8910" s="1">
        <v>41276</v>
      </c>
      <c r="B8910">
        <v>87.79</v>
      </c>
      <c r="C8910">
        <v>88.72</v>
      </c>
      <c r="D8910">
        <v>87.24</v>
      </c>
      <c r="E8910">
        <v>88.71</v>
      </c>
      <c r="F8910">
        <v>16143700</v>
      </c>
      <c r="G8910">
        <v>86.35</v>
      </c>
      <c r="H8910" t="s">
        <v>3</v>
      </c>
      <c r="I8910" s="22">
        <f t="shared" si="279"/>
        <v>2.4620235360216521E-2</v>
      </c>
      <c r="J8910" s="22" t="str">
        <f t="shared" si="280"/>
        <v/>
      </c>
    </row>
    <row r="8911" spans="1:10">
      <c r="A8911" s="1">
        <v>41277</v>
      </c>
      <c r="B8911">
        <v>88.46</v>
      </c>
      <c r="C8911">
        <v>88.89</v>
      </c>
      <c r="D8911">
        <v>88.16</v>
      </c>
      <c r="E8911">
        <v>88.55</v>
      </c>
      <c r="F8911">
        <v>13268200</v>
      </c>
      <c r="G8911">
        <v>86.2</v>
      </c>
      <c r="H8911" t="s">
        <v>3</v>
      </c>
      <c r="I8911" s="22">
        <f t="shared" si="279"/>
        <v>-1.7386269230401338E-3</v>
      </c>
      <c r="J8911" s="22" t="str">
        <f t="shared" si="280"/>
        <v/>
      </c>
    </row>
    <row r="8912" spans="1:10">
      <c r="A8912" s="1">
        <v>41278</v>
      </c>
      <c r="B8912">
        <v>88.5</v>
      </c>
      <c r="C8912">
        <v>89.09</v>
      </c>
      <c r="D8912">
        <v>88.37</v>
      </c>
      <c r="E8912">
        <v>88.96</v>
      </c>
      <c r="F8912">
        <v>11427900</v>
      </c>
      <c r="G8912">
        <v>86.6</v>
      </c>
      <c r="H8912" t="s">
        <v>3</v>
      </c>
      <c r="I8912" s="22">
        <f t="shared" si="279"/>
        <v>4.6296378987419756E-3</v>
      </c>
      <c r="J8912" s="22" t="str">
        <f t="shared" si="280"/>
        <v/>
      </c>
    </row>
    <row r="8913" spans="1:10">
      <c r="A8913" s="1">
        <v>41281</v>
      </c>
      <c r="B8913">
        <v>88.31</v>
      </c>
      <c r="C8913">
        <v>88.49</v>
      </c>
      <c r="D8913">
        <v>87.57</v>
      </c>
      <c r="E8913">
        <v>87.93</v>
      </c>
      <c r="F8913">
        <v>11799800</v>
      </c>
      <c r="G8913">
        <v>85.59</v>
      </c>
      <c r="H8913" t="s">
        <v>3</v>
      </c>
      <c r="I8913" s="22">
        <f t="shared" si="279"/>
        <v>-1.173136167487107E-2</v>
      </c>
      <c r="J8913" s="22" t="str">
        <f t="shared" si="280"/>
        <v>lost money</v>
      </c>
    </row>
    <row r="8914" spans="1:10">
      <c r="A8914" s="1">
        <v>41282</v>
      </c>
      <c r="B8914">
        <v>87.82</v>
      </c>
      <c r="C8914">
        <v>88.48</v>
      </c>
      <c r="D8914">
        <v>87.29</v>
      </c>
      <c r="E8914">
        <v>88.48</v>
      </c>
      <c r="F8914">
        <v>14226400</v>
      </c>
      <c r="G8914">
        <v>86.13</v>
      </c>
      <c r="H8914" t="s">
        <v>3</v>
      </c>
      <c r="I8914" s="22">
        <f t="shared" si="279"/>
        <v>6.2893289075639184E-3</v>
      </c>
      <c r="J8914" s="22" t="str">
        <f t="shared" si="280"/>
        <v/>
      </c>
    </row>
    <row r="8915" spans="1:10">
      <c r="A8915" s="1">
        <v>41283</v>
      </c>
      <c r="B8915">
        <v>88.4</v>
      </c>
      <c r="C8915">
        <v>88.54</v>
      </c>
      <c r="D8915">
        <v>87.75</v>
      </c>
      <c r="E8915">
        <v>88.14</v>
      </c>
      <c r="F8915">
        <v>10892200</v>
      </c>
      <c r="G8915">
        <v>85.8</v>
      </c>
      <c r="H8915" t="s">
        <v>3</v>
      </c>
      <c r="I8915" s="22">
        <f t="shared" si="279"/>
        <v>-3.8387763071657129E-3</v>
      </c>
      <c r="J8915" s="22" t="str">
        <f t="shared" si="280"/>
        <v>lost money</v>
      </c>
    </row>
    <row r="8916" spans="1:10">
      <c r="A8916" s="1">
        <v>41284</v>
      </c>
      <c r="B8916">
        <v>88.75</v>
      </c>
      <c r="C8916">
        <v>89.48</v>
      </c>
      <c r="D8916">
        <v>88.37</v>
      </c>
      <c r="E8916">
        <v>89.1</v>
      </c>
      <c r="F8916">
        <v>13099600</v>
      </c>
      <c r="G8916">
        <v>86.73</v>
      </c>
      <c r="H8916" t="s">
        <v>3</v>
      </c>
      <c r="I8916" s="22">
        <f t="shared" si="279"/>
        <v>1.0780838202447868E-2</v>
      </c>
      <c r="J8916" s="22" t="str">
        <f t="shared" si="280"/>
        <v/>
      </c>
    </row>
    <row r="8917" spans="1:10">
      <c r="A8917" s="1">
        <v>41285</v>
      </c>
      <c r="B8917">
        <v>88.97</v>
      </c>
      <c r="C8917">
        <v>89.71</v>
      </c>
      <c r="D8917">
        <v>88.86</v>
      </c>
      <c r="E8917">
        <v>89.61</v>
      </c>
      <c r="F8917">
        <v>11645600</v>
      </c>
      <c r="G8917">
        <v>87.23</v>
      </c>
      <c r="H8917" t="s">
        <v>3</v>
      </c>
      <c r="I8917" s="22">
        <f t="shared" si="279"/>
        <v>5.7484637487627416E-3</v>
      </c>
      <c r="J8917" s="22" t="str">
        <f t="shared" si="280"/>
        <v/>
      </c>
    </row>
    <row r="8918" spans="1:10">
      <c r="A8918" s="1">
        <v>41288</v>
      </c>
      <c r="B8918">
        <v>89.46</v>
      </c>
      <c r="C8918">
        <v>89.75</v>
      </c>
      <c r="D8918">
        <v>89.32</v>
      </c>
      <c r="E8918">
        <v>89.58</v>
      </c>
      <c r="F8918">
        <v>9606700</v>
      </c>
      <c r="G8918">
        <v>87.2</v>
      </c>
      <c r="H8918" t="s">
        <v>3</v>
      </c>
      <c r="I8918" s="22">
        <f t="shared" si="279"/>
        <v>-3.4397753019317542E-4</v>
      </c>
      <c r="J8918" s="22" t="str">
        <f t="shared" si="280"/>
        <v/>
      </c>
    </row>
    <row r="8919" spans="1:10">
      <c r="A8919" s="1">
        <v>41289</v>
      </c>
      <c r="B8919">
        <v>89.18</v>
      </c>
      <c r="C8919">
        <v>89.61</v>
      </c>
      <c r="D8919">
        <v>89</v>
      </c>
      <c r="E8919">
        <v>89.53</v>
      </c>
      <c r="F8919">
        <v>9195400</v>
      </c>
      <c r="G8919">
        <v>87.15</v>
      </c>
      <c r="H8919" t="s">
        <v>3</v>
      </c>
      <c r="I8919" s="22">
        <f t="shared" si="279"/>
        <v>-5.7355894890400078E-4</v>
      </c>
      <c r="J8919" s="22" t="str">
        <f t="shared" si="280"/>
        <v/>
      </c>
    </row>
    <row r="8920" spans="1:10">
      <c r="A8920" s="1">
        <v>41290</v>
      </c>
      <c r="B8920">
        <v>89.16</v>
      </c>
      <c r="C8920">
        <v>89.48</v>
      </c>
      <c r="D8920">
        <v>89.07</v>
      </c>
      <c r="E8920">
        <v>89.47</v>
      </c>
      <c r="F8920">
        <v>9645000</v>
      </c>
      <c r="G8920">
        <v>87.09</v>
      </c>
      <c r="H8920" t="s">
        <v>3</v>
      </c>
      <c r="I8920" s="22">
        <f t="shared" si="279"/>
        <v>-6.8870526138170053E-4</v>
      </c>
      <c r="J8920" s="22" t="str">
        <f t="shared" si="280"/>
        <v/>
      </c>
    </row>
    <row r="8921" spans="1:10">
      <c r="A8921" s="1">
        <v>41291</v>
      </c>
      <c r="B8921">
        <v>89.76</v>
      </c>
      <c r="C8921">
        <v>90.94</v>
      </c>
      <c r="D8921">
        <v>89.6</v>
      </c>
      <c r="E8921">
        <v>90.2</v>
      </c>
      <c r="F8921">
        <v>13400300</v>
      </c>
      <c r="G8921">
        <v>87.8</v>
      </c>
      <c r="H8921" t="s">
        <v>3</v>
      </c>
      <c r="I8921" s="22">
        <f t="shared" si="279"/>
        <v>8.1194339364227142E-3</v>
      </c>
      <c r="J8921" s="22" t="str">
        <f t="shared" si="280"/>
        <v/>
      </c>
    </row>
    <row r="8922" spans="1:10">
      <c r="A8922" s="1">
        <v>41292</v>
      </c>
      <c r="B8922">
        <v>90.09</v>
      </c>
      <c r="C8922">
        <v>90.83</v>
      </c>
      <c r="D8922">
        <v>89.83</v>
      </c>
      <c r="E8922">
        <v>90.8</v>
      </c>
      <c r="F8922">
        <v>17196000</v>
      </c>
      <c r="G8922">
        <v>88.39</v>
      </c>
      <c r="H8922" t="s">
        <v>3</v>
      </c>
      <c r="I8922" s="22">
        <f t="shared" si="279"/>
        <v>6.6973404317855903E-3</v>
      </c>
      <c r="J8922" s="22" t="str">
        <f t="shared" si="280"/>
        <v/>
      </c>
    </row>
    <row r="8923" spans="1:10">
      <c r="A8923" s="1">
        <v>41296</v>
      </c>
      <c r="B8923">
        <v>90.27</v>
      </c>
      <c r="C8923">
        <v>90.94</v>
      </c>
      <c r="D8923">
        <v>90.21</v>
      </c>
      <c r="E8923">
        <v>90.92</v>
      </c>
      <c r="F8923">
        <v>11897500</v>
      </c>
      <c r="G8923">
        <v>88.5</v>
      </c>
      <c r="H8923" t="s">
        <v>3</v>
      </c>
      <c r="I8923" s="22">
        <f t="shared" si="279"/>
        <v>1.2437109410272248E-3</v>
      </c>
      <c r="J8923" s="22" t="str">
        <f t="shared" si="280"/>
        <v/>
      </c>
    </row>
    <row r="8924" spans="1:10">
      <c r="A8924" s="1">
        <v>41297</v>
      </c>
      <c r="B8924">
        <v>90.5</v>
      </c>
      <c r="C8924">
        <v>90.88</v>
      </c>
      <c r="D8924">
        <v>90.42</v>
      </c>
      <c r="E8924">
        <v>90.7</v>
      </c>
      <c r="F8924">
        <v>10906800</v>
      </c>
      <c r="G8924">
        <v>88.29</v>
      </c>
      <c r="H8924" t="s">
        <v>3</v>
      </c>
      <c r="I8924" s="22">
        <f t="shared" si="279"/>
        <v>-2.3757011003926972E-3</v>
      </c>
      <c r="J8924" s="22" t="str">
        <f t="shared" si="280"/>
        <v/>
      </c>
    </row>
    <row r="8925" spans="1:10">
      <c r="A8925" s="1">
        <v>41298</v>
      </c>
      <c r="B8925">
        <v>90.88</v>
      </c>
      <c r="C8925">
        <v>91.72</v>
      </c>
      <c r="D8925">
        <v>90.75</v>
      </c>
      <c r="E8925">
        <v>91.35</v>
      </c>
      <c r="F8925">
        <v>11100000</v>
      </c>
      <c r="G8925">
        <v>88.92</v>
      </c>
      <c r="H8925" t="s">
        <v>3</v>
      </c>
      <c r="I8925" s="22">
        <f t="shared" si="279"/>
        <v>7.1102381825045909E-3</v>
      </c>
      <c r="J8925" s="22" t="str">
        <f t="shared" si="280"/>
        <v/>
      </c>
    </row>
    <row r="8926" spans="1:10">
      <c r="A8926" s="1">
        <v>41299</v>
      </c>
      <c r="B8926">
        <v>91.57</v>
      </c>
      <c r="C8926">
        <v>91.8</v>
      </c>
      <c r="D8926">
        <v>91.13</v>
      </c>
      <c r="E8926">
        <v>91.73</v>
      </c>
      <c r="F8926">
        <v>11090600</v>
      </c>
      <c r="G8926">
        <v>89.29</v>
      </c>
      <c r="H8926" t="s">
        <v>3</v>
      </c>
      <c r="I8926" s="22">
        <f t="shared" si="279"/>
        <v>4.1524104331292933E-3</v>
      </c>
      <c r="J8926" s="22" t="str">
        <f t="shared" si="280"/>
        <v/>
      </c>
    </row>
    <row r="8927" spans="1:10">
      <c r="A8927" s="1">
        <v>41302</v>
      </c>
      <c r="B8927">
        <v>91.67</v>
      </c>
      <c r="C8927">
        <v>91.67</v>
      </c>
      <c r="D8927">
        <v>90.77</v>
      </c>
      <c r="E8927">
        <v>91.11</v>
      </c>
      <c r="F8927">
        <v>11617500</v>
      </c>
      <c r="G8927">
        <v>88.69</v>
      </c>
      <c r="H8927" t="s">
        <v>3</v>
      </c>
      <c r="I8927" s="22">
        <f t="shared" si="279"/>
        <v>-6.7423561407641171E-3</v>
      </c>
      <c r="J8927" s="22" t="str">
        <f t="shared" si="280"/>
        <v>lost money</v>
      </c>
    </row>
    <row r="8928" spans="1:10">
      <c r="A8928" s="1">
        <v>41303</v>
      </c>
      <c r="B8928">
        <v>91.21</v>
      </c>
      <c r="C8928">
        <v>91.93</v>
      </c>
      <c r="D8928">
        <v>91.2</v>
      </c>
      <c r="E8928">
        <v>91.76</v>
      </c>
      <c r="F8928">
        <v>11700600</v>
      </c>
      <c r="G8928">
        <v>89.32</v>
      </c>
      <c r="H8928" t="s">
        <v>3</v>
      </c>
      <c r="I8928" s="22">
        <f t="shared" si="279"/>
        <v>7.0782835835960728E-3</v>
      </c>
      <c r="J8928" s="22" t="str">
        <f t="shared" si="280"/>
        <v/>
      </c>
    </row>
    <row r="8929" spans="1:10">
      <c r="A8929" s="1">
        <v>41304</v>
      </c>
      <c r="B8929">
        <v>91.17</v>
      </c>
      <c r="C8929">
        <v>91.72</v>
      </c>
      <c r="D8929">
        <v>90.38</v>
      </c>
      <c r="E8929">
        <v>90.67</v>
      </c>
      <c r="F8929">
        <v>15645400</v>
      </c>
      <c r="G8929">
        <v>88.26</v>
      </c>
      <c r="H8929" t="s">
        <v>3</v>
      </c>
      <c r="I8929" s="22">
        <f t="shared" si="279"/>
        <v>-1.1938423130555854E-2</v>
      </c>
      <c r="J8929" s="22" t="str">
        <f t="shared" si="280"/>
        <v>lost money</v>
      </c>
    </row>
    <row r="8930" spans="1:10">
      <c r="A8930" s="1">
        <v>41305</v>
      </c>
      <c r="B8930">
        <v>90.69</v>
      </c>
      <c r="C8930">
        <v>91.21</v>
      </c>
      <c r="D8930">
        <v>89.74</v>
      </c>
      <c r="E8930">
        <v>89.97</v>
      </c>
      <c r="F8930">
        <v>15991500</v>
      </c>
      <c r="G8930">
        <v>87.58</v>
      </c>
      <c r="H8930" t="s">
        <v>3</v>
      </c>
      <c r="I8930" s="22">
        <f t="shared" si="279"/>
        <v>-7.7343424681489831E-3</v>
      </c>
      <c r="J8930" s="22" t="str">
        <f t="shared" si="280"/>
        <v>lost money</v>
      </c>
    </row>
    <row r="8931" spans="1:10">
      <c r="A8931" s="1">
        <v>41306</v>
      </c>
      <c r="B8931">
        <v>90.44</v>
      </c>
      <c r="C8931">
        <v>90.5</v>
      </c>
      <c r="D8931">
        <v>89.36</v>
      </c>
      <c r="E8931">
        <v>90.04</v>
      </c>
      <c r="F8931">
        <v>15699200</v>
      </c>
      <c r="G8931">
        <v>87.65</v>
      </c>
      <c r="H8931" t="s">
        <v>3</v>
      </c>
      <c r="I8931" s="22">
        <f t="shared" si="279"/>
        <v>7.9894999399122328E-4</v>
      </c>
      <c r="J8931" s="22" t="str">
        <f t="shared" si="280"/>
        <v>lost money</v>
      </c>
    </row>
    <row r="8932" spans="1:10">
      <c r="A8932" s="1">
        <v>41309</v>
      </c>
      <c r="B8932">
        <v>89.41</v>
      </c>
      <c r="C8932">
        <v>89.62</v>
      </c>
      <c r="D8932">
        <v>88.84</v>
      </c>
      <c r="E8932">
        <v>89.15</v>
      </c>
      <c r="F8932">
        <v>13347300</v>
      </c>
      <c r="G8932">
        <v>86.78</v>
      </c>
      <c r="H8932" t="s">
        <v>3</v>
      </c>
      <c r="I8932" s="22">
        <f t="shared" si="279"/>
        <v>-9.9754309970388755E-3</v>
      </c>
      <c r="J8932" s="22" t="str">
        <f t="shared" si="280"/>
        <v>lost money</v>
      </c>
    </row>
    <row r="8933" spans="1:10">
      <c r="A8933" s="1">
        <v>41310</v>
      </c>
      <c r="B8933">
        <v>89.88</v>
      </c>
      <c r="C8933">
        <v>90.19</v>
      </c>
      <c r="D8933">
        <v>89.42</v>
      </c>
      <c r="E8933">
        <v>89.74</v>
      </c>
      <c r="F8933">
        <v>11679700</v>
      </c>
      <c r="G8933">
        <v>87.36</v>
      </c>
      <c r="H8933" t="s">
        <v>3</v>
      </c>
      <c r="I8933" s="22">
        <f t="shared" si="279"/>
        <v>6.6613316263901858E-3</v>
      </c>
      <c r="J8933" s="22" t="str">
        <f t="shared" si="280"/>
        <v>lost money</v>
      </c>
    </row>
    <row r="8934" spans="1:10">
      <c r="A8934" s="1">
        <v>41311</v>
      </c>
      <c r="B8934">
        <v>89.37</v>
      </c>
      <c r="C8934">
        <v>89.89</v>
      </c>
      <c r="D8934">
        <v>89.16</v>
      </c>
      <c r="E8934">
        <v>89.79</v>
      </c>
      <c r="F8934">
        <v>11768700</v>
      </c>
      <c r="G8934">
        <v>87.4</v>
      </c>
      <c r="H8934" t="s">
        <v>3</v>
      </c>
      <c r="I8934" s="22">
        <f t="shared" si="279"/>
        <v>4.5777066489486299E-4</v>
      </c>
      <c r="J8934" s="22" t="str">
        <f t="shared" si="280"/>
        <v/>
      </c>
    </row>
    <row r="8935" spans="1:10">
      <c r="A8935" s="1">
        <v>41312</v>
      </c>
      <c r="B8935">
        <v>89.21</v>
      </c>
      <c r="C8935">
        <v>89.22</v>
      </c>
      <c r="D8935">
        <v>87.61</v>
      </c>
      <c r="E8935">
        <v>88.25</v>
      </c>
      <c r="F8935">
        <v>13463300</v>
      </c>
      <c r="G8935">
        <v>86.45</v>
      </c>
      <c r="H8935" t="s">
        <v>3</v>
      </c>
      <c r="I8935" s="22">
        <f t="shared" si="279"/>
        <v>-1.0929070532190317E-2</v>
      </c>
      <c r="J8935" s="22" t="str">
        <f t="shared" si="280"/>
        <v>lost money</v>
      </c>
    </row>
    <row r="8936" spans="1:10">
      <c r="A8936" s="1">
        <v>41313</v>
      </c>
      <c r="B8936">
        <v>88.5</v>
      </c>
      <c r="C8936">
        <v>88.8</v>
      </c>
      <c r="D8936">
        <v>88.11</v>
      </c>
      <c r="E8936">
        <v>88.61</v>
      </c>
      <c r="F8936">
        <v>11412300</v>
      </c>
      <c r="G8936">
        <v>86.81</v>
      </c>
      <c r="H8936" t="s">
        <v>3</v>
      </c>
      <c r="I8936" s="22">
        <f t="shared" si="279"/>
        <v>4.1556102744171215E-3</v>
      </c>
      <c r="J8936" s="22" t="str">
        <f t="shared" si="280"/>
        <v/>
      </c>
    </row>
    <row r="8937" spans="1:10">
      <c r="A8937" s="1">
        <v>41316</v>
      </c>
      <c r="B8937">
        <v>88.35</v>
      </c>
      <c r="C8937">
        <v>88.51</v>
      </c>
      <c r="D8937">
        <v>87.97</v>
      </c>
      <c r="E8937">
        <v>88.28</v>
      </c>
      <c r="F8937">
        <v>8764700</v>
      </c>
      <c r="G8937">
        <v>86.48</v>
      </c>
      <c r="H8937" t="s">
        <v>3</v>
      </c>
      <c r="I8937" s="22">
        <f t="shared" si="279"/>
        <v>-3.8086490727638005E-3</v>
      </c>
      <c r="J8937" s="22" t="str">
        <f t="shared" si="280"/>
        <v>lost money</v>
      </c>
    </row>
    <row r="8938" spans="1:10">
      <c r="A8938" s="1">
        <v>41317</v>
      </c>
      <c r="B8938">
        <v>88.25</v>
      </c>
      <c r="C8938">
        <v>88.62</v>
      </c>
      <c r="D8938">
        <v>87.92</v>
      </c>
      <c r="E8938">
        <v>88.46</v>
      </c>
      <c r="F8938">
        <v>9752100</v>
      </c>
      <c r="G8938">
        <v>86.66</v>
      </c>
      <c r="H8938" t="s">
        <v>3</v>
      </c>
      <c r="I8938" s="22">
        <f t="shared" si="279"/>
        <v>2.0792429808105294E-3</v>
      </c>
      <c r="J8938" s="22" t="str">
        <f t="shared" si="280"/>
        <v/>
      </c>
    </row>
    <row r="8939" spans="1:10">
      <c r="A8939" s="1">
        <v>41318</v>
      </c>
      <c r="B8939">
        <v>88.46</v>
      </c>
      <c r="C8939">
        <v>88.77</v>
      </c>
      <c r="D8939">
        <v>88.24</v>
      </c>
      <c r="E8939">
        <v>88.67</v>
      </c>
      <c r="F8939">
        <v>8940300</v>
      </c>
      <c r="G8939">
        <v>86.87</v>
      </c>
      <c r="H8939" t="s">
        <v>3</v>
      </c>
      <c r="I8939" s="22">
        <f t="shared" si="279"/>
        <v>2.4203319600658931E-3</v>
      </c>
      <c r="J8939" s="22" t="str">
        <f t="shared" si="280"/>
        <v/>
      </c>
    </row>
    <row r="8940" spans="1:10">
      <c r="A8940" s="1">
        <v>41319</v>
      </c>
      <c r="B8940">
        <v>88.34</v>
      </c>
      <c r="C8940">
        <v>88.81</v>
      </c>
      <c r="D8940">
        <v>88.06</v>
      </c>
      <c r="E8940">
        <v>88.52</v>
      </c>
      <c r="F8940">
        <v>13238900</v>
      </c>
      <c r="G8940">
        <v>86.72</v>
      </c>
      <c r="H8940" t="s">
        <v>3</v>
      </c>
      <c r="I8940" s="22">
        <f t="shared" si="279"/>
        <v>-1.72821058049309E-3</v>
      </c>
      <c r="J8940" s="22" t="str">
        <f t="shared" si="280"/>
        <v/>
      </c>
    </row>
    <row r="8941" spans="1:10">
      <c r="A8941" s="1">
        <v>41320</v>
      </c>
      <c r="B8941">
        <v>88.57</v>
      </c>
      <c r="C8941">
        <v>88.61</v>
      </c>
      <c r="D8941">
        <v>87.8</v>
      </c>
      <c r="E8941">
        <v>88.36</v>
      </c>
      <c r="F8941">
        <v>15696900</v>
      </c>
      <c r="G8941">
        <v>86.56</v>
      </c>
      <c r="H8941" t="s">
        <v>3</v>
      </c>
      <c r="I8941" s="22">
        <f t="shared" si="279"/>
        <v>-1.8467225931646629E-3</v>
      </c>
      <c r="J8941" s="22" t="str">
        <f t="shared" si="280"/>
        <v>lost money</v>
      </c>
    </row>
    <row r="8942" spans="1:10">
      <c r="A8942" s="1">
        <v>41324</v>
      </c>
      <c r="B8942">
        <v>88.54</v>
      </c>
      <c r="C8942">
        <v>89.41</v>
      </c>
      <c r="D8942">
        <v>88.38</v>
      </c>
      <c r="E8942">
        <v>89.32</v>
      </c>
      <c r="F8942">
        <v>12158900</v>
      </c>
      <c r="G8942">
        <v>87.5</v>
      </c>
      <c r="H8942" t="s">
        <v>3</v>
      </c>
      <c r="I8942" s="22">
        <f t="shared" si="279"/>
        <v>1.0800978265397406E-2</v>
      </c>
      <c r="J8942" s="22" t="str">
        <f t="shared" si="280"/>
        <v/>
      </c>
    </row>
    <row r="8943" spans="1:10">
      <c r="A8943" s="1">
        <v>41325</v>
      </c>
      <c r="B8943">
        <v>89.14</v>
      </c>
      <c r="C8943">
        <v>89.82</v>
      </c>
      <c r="D8943">
        <v>88.9</v>
      </c>
      <c r="E8943">
        <v>88.97</v>
      </c>
      <c r="F8943">
        <v>13936400</v>
      </c>
      <c r="G8943">
        <v>87.16</v>
      </c>
      <c r="H8943" t="s">
        <v>3</v>
      </c>
      <c r="I8943" s="22">
        <f t="shared" si="279"/>
        <v>-3.8932832871496031E-3</v>
      </c>
      <c r="J8943" s="22" t="str">
        <f t="shared" si="280"/>
        <v>lost money</v>
      </c>
    </row>
    <row r="8944" spans="1:10">
      <c r="A8944" s="1">
        <v>41326</v>
      </c>
      <c r="B8944">
        <v>88.79</v>
      </c>
      <c r="C8944">
        <v>89.02</v>
      </c>
      <c r="D8944">
        <v>88.36</v>
      </c>
      <c r="E8944">
        <v>88.59</v>
      </c>
      <c r="F8944">
        <v>10939800</v>
      </c>
      <c r="G8944">
        <v>86.79</v>
      </c>
      <c r="H8944" t="s">
        <v>3</v>
      </c>
      <c r="I8944" s="22">
        <f t="shared" si="279"/>
        <v>-4.2541024202655837E-3</v>
      </c>
      <c r="J8944" s="22" t="str">
        <f t="shared" si="280"/>
        <v>lost money</v>
      </c>
    </row>
    <row r="8945" spans="1:10">
      <c r="A8945" s="1">
        <v>41327</v>
      </c>
      <c r="B8945">
        <v>89.02</v>
      </c>
      <c r="C8945">
        <v>89.28</v>
      </c>
      <c r="D8945">
        <v>88.4</v>
      </c>
      <c r="E8945">
        <v>89.2</v>
      </c>
      <c r="F8945">
        <v>10260200</v>
      </c>
      <c r="G8945">
        <v>87.38</v>
      </c>
      <c r="H8945" t="s">
        <v>3</v>
      </c>
      <c r="I8945" s="22">
        <f t="shared" si="279"/>
        <v>6.7750158671362349E-3</v>
      </c>
      <c r="J8945" s="22" t="str">
        <f t="shared" si="280"/>
        <v/>
      </c>
    </row>
    <row r="8946" spans="1:10">
      <c r="A8946" s="1">
        <v>41330</v>
      </c>
      <c r="B8946">
        <v>89.88</v>
      </c>
      <c r="C8946">
        <v>90.19</v>
      </c>
      <c r="D8946">
        <v>87.7</v>
      </c>
      <c r="E8946">
        <v>87.7</v>
      </c>
      <c r="F8946">
        <v>15302900</v>
      </c>
      <c r="G8946">
        <v>85.92</v>
      </c>
      <c r="H8946" t="s">
        <v>3</v>
      </c>
      <c r="I8946" s="22">
        <f t="shared" si="279"/>
        <v>-1.6849792762735204E-2</v>
      </c>
      <c r="J8946" s="22" t="str">
        <f t="shared" si="280"/>
        <v>lost money</v>
      </c>
    </row>
    <row r="8947" spans="1:10">
      <c r="A8947" s="1">
        <v>41331</v>
      </c>
      <c r="B8947">
        <v>88.5</v>
      </c>
      <c r="C8947">
        <v>88.98</v>
      </c>
      <c r="D8947">
        <v>87.76</v>
      </c>
      <c r="E8947">
        <v>88.51</v>
      </c>
      <c r="F8947">
        <v>15073200</v>
      </c>
      <c r="G8947">
        <v>86.71</v>
      </c>
      <c r="H8947" t="s">
        <v>3</v>
      </c>
      <c r="I8947" s="22">
        <f t="shared" si="279"/>
        <v>9.152586628514427E-3</v>
      </c>
      <c r="J8947" s="22" t="str">
        <f t="shared" si="280"/>
        <v/>
      </c>
    </row>
    <row r="8948" spans="1:10">
      <c r="A8948" s="1">
        <v>41332</v>
      </c>
      <c r="B8948">
        <v>88.5</v>
      </c>
      <c r="C8948">
        <v>89.65</v>
      </c>
      <c r="D8948">
        <v>88.31</v>
      </c>
      <c r="E8948">
        <v>89.53</v>
      </c>
      <c r="F8948">
        <v>11195200</v>
      </c>
      <c r="G8948">
        <v>87.71</v>
      </c>
      <c r="H8948" t="s">
        <v>3</v>
      </c>
      <c r="I8948" s="22">
        <f t="shared" si="279"/>
        <v>1.1466700574221129E-2</v>
      </c>
      <c r="J8948" s="22" t="str">
        <f t="shared" si="280"/>
        <v/>
      </c>
    </row>
    <row r="8949" spans="1:10">
      <c r="A8949" s="1">
        <v>41333</v>
      </c>
      <c r="B8949">
        <v>89.67</v>
      </c>
      <c r="C8949">
        <v>89.81</v>
      </c>
      <c r="D8949">
        <v>89.03</v>
      </c>
      <c r="E8949">
        <v>89.55</v>
      </c>
      <c r="F8949">
        <v>14552000</v>
      </c>
      <c r="G8949">
        <v>87.73</v>
      </c>
      <c r="H8949" t="s">
        <v>3</v>
      </c>
      <c r="I8949" s="22">
        <f t="shared" si="279"/>
        <v>2.2799817700229792E-4</v>
      </c>
      <c r="J8949" s="22" t="str">
        <f t="shared" si="280"/>
        <v>lost money</v>
      </c>
    </row>
    <row r="8950" spans="1:10">
      <c r="A8950" s="1">
        <v>41334</v>
      </c>
      <c r="B8950">
        <v>89.07</v>
      </c>
      <c r="C8950">
        <v>89.68</v>
      </c>
      <c r="D8950">
        <v>88.92</v>
      </c>
      <c r="E8950">
        <v>89.43</v>
      </c>
      <c r="F8950">
        <v>11301600</v>
      </c>
      <c r="G8950">
        <v>87.61</v>
      </c>
      <c r="H8950" t="s">
        <v>3</v>
      </c>
      <c r="I8950" s="22">
        <f t="shared" si="279"/>
        <v>-1.3687694620200636E-3</v>
      </c>
      <c r="J8950" s="22" t="str">
        <f t="shared" si="280"/>
        <v/>
      </c>
    </row>
    <row r="8951" spans="1:10">
      <c r="A8951" s="1">
        <v>41337</v>
      </c>
      <c r="B8951">
        <v>89.13</v>
      </c>
      <c r="C8951">
        <v>89.25</v>
      </c>
      <c r="D8951">
        <v>88.46</v>
      </c>
      <c r="E8951">
        <v>88.95</v>
      </c>
      <c r="F8951">
        <v>10994000</v>
      </c>
      <c r="G8951">
        <v>87.14</v>
      </c>
      <c r="H8951" t="s">
        <v>3</v>
      </c>
      <c r="I8951" s="22">
        <f t="shared" si="279"/>
        <v>-5.3791259889763368E-3</v>
      </c>
      <c r="J8951" s="22" t="str">
        <f t="shared" si="280"/>
        <v>lost money</v>
      </c>
    </row>
    <row r="8952" spans="1:10">
      <c r="A8952" s="1">
        <v>41338</v>
      </c>
      <c r="B8952">
        <v>89.48</v>
      </c>
      <c r="C8952">
        <v>90.15</v>
      </c>
      <c r="D8952">
        <v>89.29</v>
      </c>
      <c r="E8952">
        <v>89.61</v>
      </c>
      <c r="F8952">
        <v>13072600</v>
      </c>
      <c r="G8952">
        <v>87.79</v>
      </c>
      <c r="H8952" t="s">
        <v>3</v>
      </c>
      <c r="I8952" s="22">
        <f t="shared" si="279"/>
        <v>7.4315782488213709E-3</v>
      </c>
      <c r="J8952" s="22" t="str">
        <f t="shared" si="280"/>
        <v/>
      </c>
    </row>
    <row r="8953" spans="1:10">
      <c r="A8953" s="1">
        <v>41339</v>
      </c>
      <c r="B8953">
        <v>89.6</v>
      </c>
      <c r="C8953">
        <v>89.95</v>
      </c>
      <c r="D8953">
        <v>89.05</v>
      </c>
      <c r="E8953">
        <v>89.56</v>
      </c>
      <c r="F8953">
        <v>13234400</v>
      </c>
      <c r="G8953">
        <v>87.74</v>
      </c>
      <c r="H8953" t="s">
        <v>3</v>
      </c>
      <c r="I8953" s="22">
        <f t="shared" si="279"/>
        <v>-5.6970320004954807E-4</v>
      </c>
      <c r="J8953" s="22" t="str">
        <f t="shared" si="280"/>
        <v>lost money</v>
      </c>
    </row>
    <row r="8954" spans="1:10">
      <c r="A8954" s="1">
        <v>41340</v>
      </c>
      <c r="B8954">
        <v>89.63</v>
      </c>
      <c r="C8954">
        <v>89.76</v>
      </c>
      <c r="D8954">
        <v>88.68</v>
      </c>
      <c r="E8954">
        <v>88.71</v>
      </c>
      <c r="F8954">
        <v>12905300</v>
      </c>
      <c r="G8954">
        <v>86.9</v>
      </c>
      <c r="H8954" t="s">
        <v>3</v>
      </c>
      <c r="I8954" s="22">
        <f t="shared" si="279"/>
        <v>-9.6198634667214455E-3</v>
      </c>
      <c r="J8954" s="22" t="str">
        <f t="shared" si="280"/>
        <v>lost money</v>
      </c>
    </row>
    <row r="8955" spans="1:10">
      <c r="A8955" s="1">
        <v>41341</v>
      </c>
      <c r="B8955">
        <v>89.01</v>
      </c>
      <c r="C8955">
        <v>89.23</v>
      </c>
      <c r="D8955">
        <v>88.35</v>
      </c>
      <c r="E8955">
        <v>88.97</v>
      </c>
      <c r="F8955">
        <v>11896300</v>
      </c>
      <c r="G8955">
        <v>87.16</v>
      </c>
      <c r="H8955" t="s">
        <v>3</v>
      </c>
      <c r="I8955" s="22">
        <f t="shared" si="279"/>
        <v>2.9874778050725868E-3</v>
      </c>
      <c r="J8955" s="22" t="str">
        <f t="shared" si="280"/>
        <v>lost money</v>
      </c>
    </row>
    <row r="8956" spans="1:10">
      <c r="A8956" s="1">
        <v>41344</v>
      </c>
      <c r="B8956">
        <v>89.01</v>
      </c>
      <c r="C8956">
        <v>89.55</v>
      </c>
      <c r="D8956">
        <v>88.54</v>
      </c>
      <c r="E8956">
        <v>89.16</v>
      </c>
      <c r="F8956">
        <v>12454800</v>
      </c>
      <c r="G8956">
        <v>87.35</v>
      </c>
      <c r="H8956" t="s">
        <v>3</v>
      </c>
      <c r="I8956" s="22">
        <f t="shared" si="279"/>
        <v>2.1775265036464331E-3</v>
      </c>
      <c r="J8956" s="22" t="str">
        <f t="shared" si="280"/>
        <v/>
      </c>
    </row>
    <row r="8957" spans="1:10">
      <c r="A8957" s="1">
        <v>41345</v>
      </c>
      <c r="B8957">
        <v>89.45</v>
      </c>
      <c r="C8957">
        <v>89.91</v>
      </c>
      <c r="D8957">
        <v>89.01</v>
      </c>
      <c r="E8957">
        <v>89.16</v>
      </c>
      <c r="F8957">
        <v>11470000</v>
      </c>
      <c r="G8957">
        <v>87.35</v>
      </c>
      <c r="H8957" t="s">
        <v>3</v>
      </c>
      <c r="I8957" s="22">
        <f t="shared" si="279"/>
        <v>0</v>
      </c>
      <c r="J8957" s="22" t="str">
        <f t="shared" si="280"/>
        <v>lost money</v>
      </c>
    </row>
    <row r="8958" spans="1:10">
      <c r="A8958" s="1">
        <v>41346</v>
      </c>
      <c r="B8958">
        <v>89.02</v>
      </c>
      <c r="C8958">
        <v>89.5</v>
      </c>
      <c r="D8958">
        <v>88.83</v>
      </c>
      <c r="E8958">
        <v>89.26</v>
      </c>
      <c r="F8958">
        <v>10539900</v>
      </c>
      <c r="G8958">
        <v>87.44</v>
      </c>
      <c r="H8958" t="s">
        <v>3</v>
      </c>
      <c r="I8958" s="22">
        <f t="shared" si="279"/>
        <v>1.0298072882175616E-3</v>
      </c>
      <c r="J8958" s="22" t="str">
        <f t="shared" si="280"/>
        <v/>
      </c>
    </row>
    <row r="8959" spans="1:10">
      <c r="A8959" s="1">
        <v>41347</v>
      </c>
      <c r="B8959">
        <v>89.41</v>
      </c>
      <c r="C8959">
        <v>89.91</v>
      </c>
      <c r="D8959">
        <v>89.41</v>
      </c>
      <c r="E8959">
        <v>89.83</v>
      </c>
      <c r="F8959">
        <v>13775500</v>
      </c>
      <c r="G8959">
        <v>88</v>
      </c>
      <c r="H8959" t="s">
        <v>3</v>
      </c>
      <c r="I8959" s="22">
        <f t="shared" si="279"/>
        <v>6.3839706099233133E-3</v>
      </c>
      <c r="J8959" s="22" t="str">
        <f t="shared" si="280"/>
        <v/>
      </c>
    </row>
    <row r="8960" spans="1:10">
      <c r="A8960" s="1">
        <v>41348</v>
      </c>
      <c r="B8960">
        <v>89.2</v>
      </c>
      <c r="C8960">
        <v>89.61</v>
      </c>
      <c r="D8960">
        <v>88.79</v>
      </c>
      <c r="E8960">
        <v>89.37</v>
      </c>
      <c r="F8960">
        <v>29240100</v>
      </c>
      <c r="G8960">
        <v>87.55</v>
      </c>
      <c r="H8960" t="s">
        <v>3</v>
      </c>
      <c r="I8960" s="22">
        <f t="shared" si="279"/>
        <v>-5.126755746345627E-3</v>
      </c>
      <c r="J8960" s="22" t="str">
        <f t="shared" si="280"/>
        <v/>
      </c>
    </row>
    <row r="8961" spans="1:10">
      <c r="A8961" s="1">
        <v>41351</v>
      </c>
      <c r="B8961">
        <v>88.74</v>
      </c>
      <c r="C8961">
        <v>89.39</v>
      </c>
      <c r="D8961">
        <v>88.55</v>
      </c>
      <c r="E8961">
        <v>88.77</v>
      </c>
      <c r="F8961">
        <v>11553700</v>
      </c>
      <c r="G8961">
        <v>86.96</v>
      </c>
      <c r="H8961" t="s">
        <v>3</v>
      </c>
      <c r="I8961" s="22">
        <f t="shared" si="279"/>
        <v>-6.7618159189068916E-3</v>
      </c>
      <c r="J8961" s="22" t="str">
        <f t="shared" si="280"/>
        <v/>
      </c>
    </row>
    <row r="8962" spans="1:10">
      <c r="A8962" s="1">
        <v>41352</v>
      </c>
      <c r="B8962">
        <v>88.89</v>
      </c>
      <c r="C8962">
        <v>89.09</v>
      </c>
      <c r="D8962">
        <v>88.02</v>
      </c>
      <c r="E8962">
        <v>88.58</v>
      </c>
      <c r="F8962">
        <v>11987900</v>
      </c>
      <c r="G8962">
        <v>86.78</v>
      </c>
      <c r="H8962" t="s">
        <v>3</v>
      </c>
      <c r="I8962" s="22">
        <f t="shared" si="279"/>
        <v>-2.0720624427492253E-3</v>
      </c>
      <c r="J8962" s="22" t="str">
        <f t="shared" si="280"/>
        <v>lost money</v>
      </c>
    </row>
    <row r="8963" spans="1:10">
      <c r="A8963" s="1">
        <v>41353</v>
      </c>
      <c r="B8963">
        <v>88.95</v>
      </c>
      <c r="C8963">
        <v>89.21</v>
      </c>
      <c r="D8963">
        <v>88.3</v>
      </c>
      <c r="E8963">
        <v>88.63</v>
      </c>
      <c r="F8963">
        <v>11319000</v>
      </c>
      <c r="G8963">
        <v>86.83</v>
      </c>
      <c r="H8963" t="s">
        <v>3</v>
      </c>
      <c r="I8963" s="22">
        <f t="shared" ref="I8963:I9026" si="281">IF(A8963=$A$2,"",LN(G8963/G8962))</f>
        <v>5.7600370234911762E-4</v>
      </c>
      <c r="J8963" s="22" t="str">
        <f t="shared" ref="J8963:J9026" si="282">IF(B8963&gt;E8963,"lost money","")</f>
        <v>lost money</v>
      </c>
    </row>
    <row r="8964" spans="1:10">
      <c r="A8964" s="1">
        <v>41354</v>
      </c>
      <c r="B8964">
        <v>88.12</v>
      </c>
      <c r="C8964">
        <v>88.64</v>
      </c>
      <c r="D8964">
        <v>87.9</v>
      </c>
      <c r="E8964">
        <v>88.17</v>
      </c>
      <c r="F8964">
        <v>13447500</v>
      </c>
      <c r="G8964">
        <v>86.38</v>
      </c>
      <c r="H8964" t="s">
        <v>3</v>
      </c>
      <c r="I8964" s="22">
        <f t="shared" si="281"/>
        <v>-5.1960165399988108E-3</v>
      </c>
      <c r="J8964" s="22" t="str">
        <f t="shared" si="282"/>
        <v/>
      </c>
    </row>
    <row r="8965" spans="1:10">
      <c r="A8965" s="1">
        <v>41355</v>
      </c>
      <c r="B8965">
        <v>88.4</v>
      </c>
      <c r="C8965">
        <v>89.29</v>
      </c>
      <c r="D8965">
        <v>88.32</v>
      </c>
      <c r="E8965">
        <v>89.29</v>
      </c>
      <c r="F8965">
        <v>10786600</v>
      </c>
      <c r="G8965">
        <v>87.47</v>
      </c>
      <c r="H8965" t="s">
        <v>3</v>
      </c>
      <c r="I8965" s="22">
        <f t="shared" si="281"/>
        <v>1.253970989920848E-2</v>
      </c>
      <c r="J8965" s="22" t="str">
        <f t="shared" si="282"/>
        <v/>
      </c>
    </row>
    <row r="8966" spans="1:10">
      <c r="A8966" s="1">
        <v>41358</v>
      </c>
      <c r="B8966">
        <v>89.5</v>
      </c>
      <c r="C8966">
        <v>89.9</v>
      </c>
      <c r="D8966">
        <v>88.66</v>
      </c>
      <c r="E8966">
        <v>89.02</v>
      </c>
      <c r="F8966">
        <v>12900800</v>
      </c>
      <c r="G8966">
        <v>87.21</v>
      </c>
      <c r="H8966" t="s">
        <v>3</v>
      </c>
      <c r="I8966" s="22">
        <f t="shared" si="281"/>
        <v>-2.9768741928693338E-3</v>
      </c>
      <c r="J8966" s="22" t="str">
        <f t="shared" si="282"/>
        <v>lost money</v>
      </c>
    </row>
    <row r="8967" spans="1:10">
      <c r="A8967" s="1">
        <v>41359</v>
      </c>
      <c r="B8967">
        <v>89.41</v>
      </c>
      <c r="C8967">
        <v>90.3</v>
      </c>
      <c r="D8967">
        <v>89.36</v>
      </c>
      <c r="E8967">
        <v>90.13</v>
      </c>
      <c r="F8967">
        <v>12329600</v>
      </c>
      <c r="G8967">
        <v>88.3</v>
      </c>
      <c r="H8967" t="s">
        <v>3</v>
      </c>
      <c r="I8967" s="22">
        <f t="shared" si="281"/>
        <v>1.2421104371020047E-2</v>
      </c>
      <c r="J8967" s="22" t="str">
        <f t="shared" si="282"/>
        <v/>
      </c>
    </row>
    <row r="8968" spans="1:10">
      <c r="A8968" s="1">
        <v>41360</v>
      </c>
      <c r="B8968">
        <v>89.56</v>
      </c>
      <c r="C8968">
        <v>90.74</v>
      </c>
      <c r="D8968">
        <v>89.47</v>
      </c>
      <c r="E8968">
        <v>90.58</v>
      </c>
      <c r="F8968">
        <v>12350800</v>
      </c>
      <c r="G8968">
        <v>88.74</v>
      </c>
      <c r="H8968" t="s">
        <v>3</v>
      </c>
      <c r="I8968" s="22">
        <f t="shared" si="281"/>
        <v>4.970638340849147E-3</v>
      </c>
      <c r="J8968" s="22" t="str">
        <f t="shared" si="282"/>
        <v/>
      </c>
    </row>
    <row r="8969" spans="1:10">
      <c r="A8969" s="1">
        <v>41361</v>
      </c>
      <c r="B8969">
        <v>90.64</v>
      </c>
      <c r="C8969">
        <v>90.98</v>
      </c>
      <c r="D8969">
        <v>89.99</v>
      </c>
      <c r="E8969">
        <v>90.11</v>
      </c>
      <c r="F8969">
        <v>17485200</v>
      </c>
      <c r="G8969">
        <v>88.28</v>
      </c>
      <c r="H8969" t="s">
        <v>3</v>
      </c>
      <c r="I8969" s="22">
        <f t="shared" si="281"/>
        <v>-5.1971645622276739E-3</v>
      </c>
      <c r="J8969" s="22" t="str">
        <f t="shared" si="282"/>
        <v>lost money</v>
      </c>
    </row>
    <row r="8970" spans="1:10">
      <c r="A8970" s="1">
        <v>41365</v>
      </c>
      <c r="B8970">
        <v>90.13</v>
      </c>
      <c r="C8970">
        <v>90.99</v>
      </c>
      <c r="D8970">
        <v>89.98</v>
      </c>
      <c r="E8970">
        <v>90.77</v>
      </c>
      <c r="F8970">
        <v>9414200</v>
      </c>
      <c r="G8970">
        <v>88.92</v>
      </c>
      <c r="H8970" t="s">
        <v>3</v>
      </c>
      <c r="I8970" s="22">
        <f t="shared" si="281"/>
        <v>7.2235077074601787E-3</v>
      </c>
      <c r="J8970" s="22" t="str">
        <f t="shared" si="282"/>
        <v/>
      </c>
    </row>
    <row r="8971" spans="1:10">
      <c r="A8971" s="1">
        <v>41366</v>
      </c>
      <c r="B8971">
        <v>90.59</v>
      </c>
      <c r="C8971">
        <v>90.92</v>
      </c>
      <c r="D8971">
        <v>90.28</v>
      </c>
      <c r="E8971">
        <v>90.58</v>
      </c>
      <c r="F8971">
        <v>9991800</v>
      </c>
      <c r="G8971">
        <v>88.74</v>
      </c>
      <c r="H8971" t="s">
        <v>3</v>
      </c>
      <c r="I8971" s="22">
        <f t="shared" si="281"/>
        <v>-2.0263431452324726E-3</v>
      </c>
      <c r="J8971" s="22" t="str">
        <f t="shared" si="282"/>
        <v>lost money</v>
      </c>
    </row>
    <row r="8972" spans="1:10">
      <c r="A8972" s="1">
        <v>41367</v>
      </c>
      <c r="B8972">
        <v>90.65</v>
      </c>
      <c r="C8972">
        <v>90.83</v>
      </c>
      <c r="D8972">
        <v>89.86</v>
      </c>
      <c r="E8972">
        <v>89.93</v>
      </c>
      <c r="F8972">
        <v>12197100</v>
      </c>
      <c r="G8972">
        <v>88.1</v>
      </c>
      <c r="H8972" t="s">
        <v>3</v>
      </c>
      <c r="I8972" s="22">
        <f t="shared" si="281"/>
        <v>-7.2382130086295696E-3</v>
      </c>
      <c r="J8972" s="22" t="str">
        <f t="shared" si="282"/>
        <v>lost money</v>
      </c>
    </row>
    <row r="8973" spans="1:10">
      <c r="A8973" s="1">
        <v>41368</v>
      </c>
      <c r="B8973">
        <v>90.1</v>
      </c>
      <c r="C8973">
        <v>90.33</v>
      </c>
      <c r="D8973">
        <v>89.22</v>
      </c>
      <c r="E8973">
        <v>89.77</v>
      </c>
      <c r="F8973">
        <v>11582000</v>
      </c>
      <c r="G8973">
        <v>87.94</v>
      </c>
      <c r="H8973" t="s">
        <v>3</v>
      </c>
      <c r="I8973" s="22">
        <f t="shared" si="281"/>
        <v>-1.8177691894696744E-3</v>
      </c>
      <c r="J8973" s="22" t="str">
        <f t="shared" si="282"/>
        <v>lost money</v>
      </c>
    </row>
    <row r="8974" spans="1:10">
      <c r="A8974" s="1">
        <v>41369</v>
      </c>
      <c r="B8974">
        <v>88.61</v>
      </c>
      <c r="C8974">
        <v>89.21</v>
      </c>
      <c r="D8974">
        <v>88.4</v>
      </c>
      <c r="E8974">
        <v>89.01</v>
      </c>
      <c r="F8974">
        <v>12771600</v>
      </c>
      <c r="G8974">
        <v>87.2</v>
      </c>
      <c r="H8974" t="s">
        <v>3</v>
      </c>
      <c r="I8974" s="22">
        <f t="shared" si="281"/>
        <v>-8.4504328377300597E-3</v>
      </c>
      <c r="J8974" s="22" t="str">
        <f t="shared" si="282"/>
        <v/>
      </c>
    </row>
    <row r="8975" spans="1:10">
      <c r="A8975" s="1">
        <v>41372</v>
      </c>
      <c r="B8975">
        <v>89.11</v>
      </c>
      <c r="C8975">
        <v>89.11</v>
      </c>
      <c r="D8975">
        <v>88.15</v>
      </c>
      <c r="E8975">
        <v>88.6</v>
      </c>
      <c r="F8975">
        <v>11013900</v>
      </c>
      <c r="G8975">
        <v>86.8</v>
      </c>
      <c r="H8975" t="s">
        <v>3</v>
      </c>
      <c r="I8975" s="22">
        <f t="shared" si="281"/>
        <v>-4.5977092486295425E-3</v>
      </c>
      <c r="J8975" s="22" t="str">
        <f t="shared" si="282"/>
        <v>lost money</v>
      </c>
    </row>
    <row r="8976" spans="1:10">
      <c r="A8976" s="1">
        <v>41373</v>
      </c>
      <c r="B8976">
        <v>88.69</v>
      </c>
      <c r="C8976">
        <v>89.34</v>
      </c>
      <c r="D8976">
        <v>88.59</v>
      </c>
      <c r="E8976">
        <v>88.77</v>
      </c>
      <c r="F8976">
        <v>10753400</v>
      </c>
      <c r="G8976">
        <v>86.96</v>
      </c>
      <c r="H8976" t="s">
        <v>3</v>
      </c>
      <c r="I8976" s="22">
        <f t="shared" si="281"/>
        <v>1.8416211466495539E-3</v>
      </c>
      <c r="J8976" s="22" t="str">
        <f t="shared" si="282"/>
        <v/>
      </c>
    </row>
    <row r="8977" spans="1:10">
      <c r="A8977" s="1">
        <v>41374</v>
      </c>
      <c r="B8977">
        <v>88.45</v>
      </c>
      <c r="C8977">
        <v>89.16</v>
      </c>
      <c r="D8977">
        <v>88.2</v>
      </c>
      <c r="E8977">
        <v>88.68</v>
      </c>
      <c r="F8977">
        <v>14823700</v>
      </c>
      <c r="G8977">
        <v>86.88</v>
      </c>
      <c r="H8977" t="s">
        <v>3</v>
      </c>
      <c r="I8977" s="22">
        <f t="shared" si="281"/>
        <v>-9.2038662732867266E-4</v>
      </c>
      <c r="J8977" s="22" t="str">
        <f t="shared" si="282"/>
        <v/>
      </c>
    </row>
    <row r="8978" spans="1:10">
      <c r="A8978" s="1">
        <v>41375</v>
      </c>
      <c r="B8978">
        <v>88.95</v>
      </c>
      <c r="C8978">
        <v>89.27</v>
      </c>
      <c r="D8978">
        <v>88.23</v>
      </c>
      <c r="E8978">
        <v>89.22</v>
      </c>
      <c r="F8978">
        <v>14979900</v>
      </c>
      <c r="G8978">
        <v>87.4</v>
      </c>
      <c r="H8978" t="s">
        <v>3</v>
      </c>
      <c r="I8978" s="22">
        <f t="shared" si="281"/>
        <v>5.9674264758645913E-3</v>
      </c>
      <c r="J8978" s="22" t="str">
        <f t="shared" si="282"/>
        <v/>
      </c>
    </row>
    <row r="8979" spans="1:10">
      <c r="A8979" s="1">
        <v>41376</v>
      </c>
      <c r="B8979">
        <v>88.88</v>
      </c>
      <c r="C8979">
        <v>89.19</v>
      </c>
      <c r="D8979">
        <v>88.41</v>
      </c>
      <c r="E8979">
        <v>88.99</v>
      </c>
      <c r="F8979">
        <v>11505100</v>
      </c>
      <c r="G8979">
        <v>87.18</v>
      </c>
      <c r="H8979" t="s">
        <v>3</v>
      </c>
      <c r="I8979" s="22">
        <f t="shared" si="281"/>
        <v>-2.5203358512432428E-3</v>
      </c>
      <c r="J8979" s="22" t="str">
        <f t="shared" si="282"/>
        <v/>
      </c>
    </row>
    <row r="8980" spans="1:10">
      <c r="A8980" s="1">
        <v>41379</v>
      </c>
      <c r="B8980">
        <v>88.29</v>
      </c>
      <c r="C8980">
        <v>88.67</v>
      </c>
      <c r="D8980">
        <v>86.27</v>
      </c>
      <c r="E8980">
        <v>86.49</v>
      </c>
      <c r="F8980">
        <v>19626200</v>
      </c>
      <c r="G8980">
        <v>84.73</v>
      </c>
      <c r="H8980" t="s">
        <v>3</v>
      </c>
      <c r="I8980" s="22">
        <f t="shared" si="281"/>
        <v>-2.8505216599873883E-2</v>
      </c>
      <c r="J8980" s="22" t="str">
        <f t="shared" si="282"/>
        <v>lost money</v>
      </c>
    </row>
    <row r="8981" spans="1:10">
      <c r="A8981" s="1">
        <v>41380</v>
      </c>
      <c r="B8981">
        <v>87.19</v>
      </c>
      <c r="C8981">
        <v>87.23</v>
      </c>
      <c r="D8981">
        <v>86.09</v>
      </c>
      <c r="E8981">
        <v>86.61</v>
      </c>
      <c r="F8981">
        <v>14578800</v>
      </c>
      <c r="G8981">
        <v>84.85</v>
      </c>
      <c r="H8981" t="s">
        <v>3</v>
      </c>
      <c r="I8981" s="22">
        <f t="shared" si="281"/>
        <v>1.4152614698625585E-3</v>
      </c>
      <c r="J8981" s="22" t="str">
        <f t="shared" si="282"/>
        <v>lost money</v>
      </c>
    </row>
    <row r="8982" spans="1:10">
      <c r="A8982" s="1">
        <v>41381</v>
      </c>
      <c r="B8982">
        <v>86.21</v>
      </c>
      <c r="C8982">
        <v>86.38</v>
      </c>
      <c r="D8982">
        <v>85.02</v>
      </c>
      <c r="E8982">
        <v>86.08</v>
      </c>
      <c r="F8982">
        <v>17341200</v>
      </c>
      <c r="G8982">
        <v>84.33</v>
      </c>
      <c r="H8982" t="s">
        <v>3</v>
      </c>
      <c r="I8982" s="22">
        <f t="shared" si="281"/>
        <v>-6.1473180936850724E-3</v>
      </c>
      <c r="J8982" s="22" t="str">
        <f t="shared" si="282"/>
        <v>lost money</v>
      </c>
    </row>
    <row r="8983" spans="1:10">
      <c r="A8983" s="1">
        <v>41382</v>
      </c>
      <c r="B8983">
        <v>86.28</v>
      </c>
      <c r="C8983">
        <v>87.08</v>
      </c>
      <c r="D8983">
        <v>85.78</v>
      </c>
      <c r="E8983">
        <v>86.62</v>
      </c>
      <c r="F8983">
        <v>14730400</v>
      </c>
      <c r="G8983">
        <v>84.86</v>
      </c>
      <c r="H8983" t="s">
        <v>3</v>
      </c>
      <c r="I8983" s="22">
        <f t="shared" si="281"/>
        <v>6.2651661876285793E-3</v>
      </c>
      <c r="J8983" s="22" t="str">
        <f t="shared" si="282"/>
        <v/>
      </c>
    </row>
    <row r="8984" spans="1:10">
      <c r="A8984" s="1">
        <v>41383</v>
      </c>
      <c r="B8984">
        <v>87.27</v>
      </c>
      <c r="C8984">
        <v>87.49</v>
      </c>
      <c r="D8984">
        <v>86.43</v>
      </c>
      <c r="E8984">
        <v>87.45</v>
      </c>
      <c r="F8984">
        <v>18393300</v>
      </c>
      <c r="G8984">
        <v>85.67</v>
      </c>
      <c r="H8984" t="s">
        <v>3</v>
      </c>
      <c r="I8984" s="22">
        <f t="shared" si="281"/>
        <v>9.4998662017737982E-3</v>
      </c>
      <c r="J8984" s="22" t="str">
        <f t="shared" si="282"/>
        <v/>
      </c>
    </row>
    <row r="8985" spans="1:10">
      <c r="A8985" s="1">
        <v>41386</v>
      </c>
      <c r="B8985">
        <v>87.61</v>
      </c>
      <c r="C8985">
        <v>88.32</v>
      </c>
      <c r="D8985">
        <v>87.29</v>
      </c>
      <c r="E8985">
        <v>88.09</v>
      </c>
      <c r="F8985">
        <v>11262000</v>
      </c>
      <c r="G8985">
        <v>86.3</v>
      </c>
      <c r="H8985" t="s">
        <v>3</v>
      </c>
      <c r="I8985" s="22">
        <f t="shared" si="281"/>
        <v>7.326892113429683E-3</v>
      </c>
      <c r="J8985" s="22" t="str">
        <f t="shared" si="282"/>
        <v/>
      </c>
    </row>
    <row r="8986" spans="1:10">
      <c r="A8986" s="1">
        <v>41387</v>
      </c>
      <c r="B8986">
        <v>88.39</v>
      </c>
      <c r="C8986">
        <v>89.49</v>
      </c>
      <c r="D8986">
        <v>87.94</v>
      </c>
      <c r="E8986">
        <v>89.3</v>
      </c>
      <c r="F8986">
        <v>15567700</v>
      </c>
      <c r="G8986">
        <v>87.48</v>
      </c>
      <c r="H8986" t="s">
        <v>3</v>
      </c>
      <c r="I8986" s="22">
        <f t="shared" si="281"/>
        <v>1.3580597719184972E-2</v>
      </c>
      <c r="J8986" s="22" t="str">
        <f t="shared" si="282"/>
        <v/>
      </c>
    </row>
    <row r="8987" spans="1:10">
      <c r="A8987" s="1">
        <v>41388</v>
      </c>
      <c r="B8987">
        <v>89.45</v>
      </c>
      <c r="C8987">
        <v>89.89</v>
      </c>
      <c r="D8987">
        <v>89.35</v>
      </c>
      <c r="E8987">
        <v>89.43</v>
      </c>
      <c r="F8987">
        <v>13028800</v>
      </c>
      <c r="G8987">
        <v>87.61</v>
      </c>
      <c r="H8987" t="s">
        <v>3</v>
      </c>
      <c r="I8987" s="22">
        <f t="shared" si="281"/>
        <v>1.4849508697053519E-3</v>
      </c>
      <c r="J8987" s="22" t="str">
        <f t="shared" si="282"/>
        <v>lost money</v>
      </c>
    </row>
    <row r="8988" spans="1:10">
      <c r="A8988" s="1">
        <v>41389</v>
      </c>
      <c r="B8988">
        <v>88.89</v>
      </c>
      <c r="C8988">
        <v>88.9</v>
      </c>
      <c r="D8988">
        <v>87.65</v>
      </c>
      <c r="E8988">
        <v>88.07</v>
      </c>
      <c r="F8988">
        <v>16328700</v>
      </c>
      <c r="G8988">
        <v>86.28</v>
      </c>
      <c r="H8988" t="s">
        <v>3</v>
      </c>
      <c r="I8988" s="22">
        <f t="shared" si="281"/>
        <v>-1.5297325157316797E-2</v>
      </c>
      <c r="J8988" s="22" t="str">
        <f t="shared" si="282"/>
        <v>lost money</v>
      </c>
    </row>
    <row r="8989" spans="1:10">
      <c r="A8989" s="1">
        <v>41390</v>
      </c>
      <c r="B8989">
        <v>87.81</v>
      </c>
      <c r="C8989">
        <v>88.28</v>
      </c>
      <c r="D8989">
        <v>87.6</v>
      </c>
      <c r="E8989">
        <v>88</v>
      </c>
      <c r="F8989">
        <v>10791800</v>
      </c>
      <c r="G8989">
        <v>86.21</v>
      </c>
      <c r="H8989" t="s">
        <v>3</v>
      </c>
      <c r="I8989" s="22">
        <f t="shared" si="281"/>
        <v>-8.1164129912207649E-4</v>
      </c>
      <c r="J8989" s="22" t="str">
        <f t="shared" si="282"/>
        <v/>
      </c>
    </row>
    <row r="8990" spans="1:10">
      <c r="A8990" s="1">
        <v>41393</v>
      </c>
      <c r="B8990">
        <v>88.26</v>
      </c>
      <c r="C8990">
        <v>88.83</v>
      </c>
      <c r="D8990">
        <v>88.01</v>
      </c>
      <c r="E8990">
        <v>88.21</v>
      </c>
      <c r="F8990">
        <v>11093000</v>
      </c>
      <c r="G8990">
        <v>86.41</v>
      </c>
      <c r="H8990" t="s">
        <v>3</v>
      </c>
      <c r="I8990" s="22">
        <f t="shared" si="281"/>
        <v>2.3172296314742206E-3</v>
      </c>
      <c r="J8990" s="22" t="str">
        <f t="shared" si="282"/>
        <v>lost money</v>
      </c>
    </row>
    <row r="8991" spans="1:10">
      <c r="A8991" s="1">
        <v>41394</v>
      </c>
      <c r="B8991">
        <v>88.26</v>
      </c>
      <c r="C8991">
        <v>88.99</v>
      </c>
      <c r="D8991">
        <v>87.76</v>
      </c>
      <c r="E8991">
        <v>88.99</v>
      </c>
      <c r="F8991">
        <v>14572600</v>
      </c>
      <c r="G8991">
        <v>87.18</v>
      </c>
      <c r="H8991" t="s">
        <v>3</v>
      </c>
      <c r="I8991" s="22">
        <f t="shared" si="281"/>
        <v>8.8715369569387168E-3</v>
      </c>
      <c r="J8991" s="22" t="str">
        <f t="shared" si="282"/>
        <v/>
      </c>
    </row>
    <row r="8992" spans="1:10">
      <c r="A8992" s="1">
        <v>41395</v>
      </c>
      <c r="B8992">
        <v>88.52</v>
      </c>
      <c r="C8992">
        <v>88.84</v>
      </c>
      <c r="D8992">
        <v>87.48</v>
      </c>
      <c r="E8992">
        <v>87.51</v>
      </c>
      <c r="F8992">
        <v>11616500</v>
      </c>
      <c r="G8992">
        <v>85.73</v>
      </c>
      <c r="H8992" t="s">
        <v>3</v>
      </c>
      <c r="I8992" s="22">
        <f t="shared" si="281"/>
        <v>-1.6772124119582048E-2</v>
      </c>
      <c r="J8992" s="22" t="str">
        <f t="shared" si="282"/>
        <v>lost money</v>
      </c>
    </row>
    <row r="8993" spans="1:10">
      <c r="A8993" s="1">
        <v>41396</v>
      </c>
      <c r="B8993">
        <v>87.98</v>
      </c>
      <c r="C8993">
        <v>88.84</v>
      </c>
      <c r="D8993">
        <v>87.74</v>
      </c>
      <c r="E8993">
        <v>88.63</v>
      </c>
      <c r="F8993">
        <v>11330100</v>
      </c>
      <c r="G8993">
        <v>86.83</v>
      </c>
      <c r="H8993" t="s">
        <v>3</v>
      </c>
      <c r="I8993" s="22">
        <f t="shared" si="281"/>
        <v>1.2749361381889144E-2</v>
      </c>
      <c r="J8993" s="22" t="str">
        <f t="shared" si="282"/>
        <v/>
      </c>
    </row>
    <row r="8994" spans="1:10">
      <c r="A8994" s="1">
        <v>41397</v>
      </c>
      <c r="B8994">
        <v>89</v>
      </c>
      <c r="C8994">
        <v>90.19</v>
      </c>
      <c r="D8994">
        <v>88.92</v>
      </c>
      <c r="E8994">
        <v>90.02</v>
      </c>
      <c r="F8994">
        <v>13036600</v>
      </c>
      <c r="G8994">
        <v>88.19</v>
      </c>
      <c r="H8994" t="s">
        <v>3</v>
      </c>
      <c r="I8994" s="22">
        <f t="shared" si="281"/>
        <v>1.5541393827535603E-2</v>
      </c>
      <c r="J8994" s="22" t="str">
        <f t="shared" si="282"/>
        <v/>
      </c>
    </row>
    <row r="8995" spans="1:10">
      <c r="A8995" s="1">
        <v>41400</v>
      </c>
      <c r="B8995">
        <v>90.25</v>
      </c>
      <c r="C8995">
        <v>90.88</v>
      </c>
      <c r="D8995">
        <v>89.93</v>
      </c>
      <c r="E8995">
        <v>90.58</v>
      </c>
      <c r="F8995">
        <v>10613400</v>
      </c>
      <c r="G8995">
        <v>88.74</v>
      </c>
      <c r="H8995" t="s">
        <v>3</v>
      </c>
      <c r="I8995" s="22">
        <f t="shared" si="281"/>
        <v>6.2171680506739489E-3</v>
      </c>
      <c r="J8995" s="22" t="str">
        <f t="shared" si="282"/>
        <v/>
      </c>
    </row>
    <row r="8996" spans="1:10">
      <c r="A8996" s="1">
        <v>41401</v>
      </c>
      <c r="B8996">
        <v>90.62</v>
      </c>
      <c r="C8996">
        <v>91.15</v>
      </c>
      <c r="D8996">
        <v>90.14</v>
      </c>
      <c r="E8996">
        <v>91.15</v>
      </c>
      <c r="F8996">
        <v>11088900</v>
      </c>
      <c r="G8996">
        <v>89.29</v>
      </c>
      <c r="H8996" t="s">
        <v>3</v>
      </c>
      <c r="I8996" s="22">
        <f t="shared" si="281"/>
        <v>6.1787535783616636E-3</v>
      </c>
      <c r="J8996" s="22" t="str">
        <f t="shared" si="282"/>
        <v/>
      </c>
    </row>
    <row r="8997" spans="1:10">
      <c r="A8997" s="1">
        <v>41402</v>
      </c>
      <c r="B8997">
        <v>91.05</v>
      </c>
      <c r="C8997">
        <v>91.85</v>
      </c>
      <c r="D8997">
        <v>91.03</v>
      </c>
      <c r="E8997">
        <v>91.7</v>
      </c>
      <c r="F8997">
        <v>13638300</v>
      </c>
      <c r="G8997">
        <v>89.83</v>
      </c>
      <c r="H8997" t="s">
        <v>3</v>
      </c>
      <c r="I8997" s="22">
        <f t="shared" si="281"/>
        <v>6.0294957119901319E-3</v>
      </c>
      <c r="J8997" s="22" t="str">
        <f t="shared" si="282"/>
        <v/>
      </c>
    </row>
    <row r="8998" spans="1:10">
      <c r="A8998" s="1">
        <v>41403</v>
      </c>
      <c r="B8998">
        <v>91.14</v>
      </c>
      <c r="C8998">
        <v>91.56</v>
      </c>
      <c r="D8998">
        <v>90.69</v>
      </c>
      <c r="E8998">
        <v>91.03</v>
      </c>
      <c r="F8998">
        <v>13771900</v>
      </c>
      <c r="G8998">
        <v>89.79</v>
      </c>
      <c r="H8998" t="s">
        <v>3</v>
      </c>
      <c r="I8998" s="22">
        <f t="shared" si="281"/>
        <v>-4.4538470839786815E-4</v>
      </c>
      <c r="J8998" s="22" t="str">
        <f t="shared" si="282"/>
        <v>lost money</v>
      </c>
    </row>
    <row r="8999" spans="1:10">
      <c r="A8999" s="1">
        <v>41404</v>
      </c>
      <c r="B8999">
        <v>90.87</v>
      </c>
      <c r="C8999">
        <v>90.95</v>
      </c>
      <c r="D8999">
        <v>89.79</v>
      </c>
      <c r="E8999">
        <v>90.14</v>
      </c>
      <c r="F8999">
        <v>10975400</v>
      </c>
      <c r="G8999">
        <v>88.92</v>
      </c>
      <c r="H8999" t="s">
        <v>3</v>
      </c>
      <c r="I8999" s="22">
        <f t="shared" si="281"/>
        <v>-9.7365214367214382E-3</v>
      </c>
      <c r="J8999" s="22" t="str">
        <f t="shared" si="282"/>
        <v>lost money</v>
      </c>
    </row>
    <row r="9000" spans="1:10">
      <c r="A9000" s="1">
        <v>41407</v>
      </c>
      <c r="B9000">
        <v>89.8</v>
      </c>
      <c r="C9000">
        <v>90.14</v>
      </c>
      <c r="D9000">
        <v>89.43</v>
      </c>
      <c r="E9000">
        <v>90.1</v>
      </c>
      <c r="F9000">
        <v>9810100</v>
      </c>
      <c r="G9000">
        <v>88.88</v>
      </c>
      <c r="H9000" t="s">
        <v>3</v>
      </c>
      <c r="I9000" s="22">
        <f t="shared" si="281"/>
        <v>-4.4994376462138982E-4</v>
      </c>
      <c r="J9000" s="22" t="str">
        <f t="shared" si="282"/>
        <v/>
      </c>
    </row>
    <row r="9001" spans="1:10">
      <c r="A9001" s="1">
        <v>41408</v>
      </c>
      <c r="B9001">
        <v>90.15</v>
      </c>
      <c r="C9001">
        <v>91.19</v>
      </c>
      <c r="D9001">
        <v>90.02</v>
      </c>
      <c r="E9001">
        <v>91.11</v>
      </c>
      <c r="F9001">
        <v>9890300</v>
      </c>
      <c r="G9001">
        <v>89.87</v>
      </c>
      <c r="H9001" t="s">
        <v>3</v>
      </c>
      <c r="I9001" s="22">
        <f t="shared" si="281"/>
        <v>1.1077036338907624E-2</v>
      </c>
      <c r="J9001" s="22" t="str">
        <f t="shared" si="282"/>
        <v/>
      </c>
    </row>
    <row r="9002" spans="1:10">
      <c r="A9002" s="1">
        <v>41409</v>
      </c>
      <c r="B9002">
        <v>90.64</v>
      </c>
      <c r="C9002">
        <v>91.32</v>
      </c>
      <c r="D9002">
        <v>90.41</v>
      </c>
      <c r="E9002">
        <v>91.24</v>
      </c>
      <c r="F9002">
        <v>10399400</v>
      </c>
      <c r="G9002">
        <v>90</v>
      </c>
      <c r="H9002" t="s">
        <v>3</v>
      </c>
      <c r="I9002" s="22">
        <f t="shared" si="281"/>
        <v>1.4454886599830586E-3</v>
      </c>
      <c r="J9002" s="22" t="str">
        <f t="shared" si="282"/>
        <v/>
      </c>
    </row>
    <row r="9003" spans="1:10">
      <c r="A9003" s="1">
        <v>41410</v>
      </c>
      <c r="B9003">
        <v>90.8</v>
      </c>
      <c r="C9003">
        <v>91.29</v>
      </c>
      <c r="D9003">
        <v>90.5</v>
      </c>
      <c r="E9003">
        <v>90.7</v>
      </c>
      <c r="F9003">
        <v>10469600</v>
      </c>
      <c r="G9003">
        <v>89.47</v>
      </c>
      <c r="H9003" t="s">
        <v>3</v>
      </c>
      <c r="I9003" s="22">
        <f t="shared" si="281"/>
        <v>-5.9062967707605059E-3</v>
      </c>
      <c r="J9003" s="22" t="str">
        <f t="shared" si="282"/>
        <v>lost money</v>
      </c>
    </row>
    <row r="9004" spans="1:10">
      <c r="A9004" s="1">
        <v>41411</v>
      </c>
      <c r="B9004">
        <v>91.07</v>
      </c>
      <c r="C9004">
        <v>91.88</v>
      </c>
      <c r="D9004">
        <v>90.53</v>
      </c>
      <c r="E9004">
        <v>91.76</v>
      </c>
      <c r="F9004">
        <v>12721300</v>
      </c>
      <c r="G9004">
        <v>90.51</v>
      </c>
      <c r="H9004" t="s">
        <v>3</v>
      </c>
      <c r="I9004" s="22">
        <f t="shared" si="281"/>
        <v>1.1556968279574781E-2</v>
      </c>
      <c r="J9004" s="22" t="str">
        <f t="shared" si="282"/>
        <v/>
      </c>
    </row>
    <row r="9005" spans="1:10">
      <c r="A9005" s="1">
        <v>41414</v>
      </c>
      <c r="B9005">
        <v>91.61</v>
      </c>
      <c r="C9005">
        <v>92.69</v>
      </c>
      <c r="D9005">
        <v>91.46</v>
      </c>
      <c r="E9005">
        <v>92.52</v>
      </c>
      <c r="F9005">
        <v>12417700</v>
      </c>
      <c r="G9005">
        <v>91.26</v>
      </c>
      <c r="H9005" t="s">
        <v>3</v>
      </c>
      <c r="I9005" s="22">
        <f t="shared" si="281"/>
        <v>8.2522336601769872E-3</v>
      </c>
      <c r="J9005" s="22" t="str">
        <f t="shared" si="282"/>
        <v/>
      </c>
    </row>
    <row r="9006" spans="1:10">
      <c r="A9006" s="1">
        <v>41415</v>
      </c>
      <c r="B9006">
        <v>92.67</v>
      </c>
      <c r="C9006">
        <v>93.43</v>
      </c>
      <c r="D9006">
        <v>92.38</v>
      </c>
      <c r="E9006">
        <v>92.8</v>
      </c>
      <c r="F9006">
        <v>12519900</v>
      </c>
      <c r="G9006">
        <v>91.54</v>
      </c>
      <c r="H9006" t="s">
        <v>3</v>
      </c>
      <c r="I9006" s="22">
        <f t="shared" si="281"/>
        <v>3.0634597262395062E-3</v>
      </c>
      <c r="J9006" s="22" t="str">
        <f t="shared" si="282"/>
        <v/>
      </c>
    </row>
    <row r="9007" spans="1:10">
      <c r="A9007" s="1">
        <v>41416</v>
      </c>
      <c r="B9007">
        <v>92.83</v>
      </c>
      <c r="C9007">
        <v>93.5</v>
      </c>
      <c r="D9007">
        <v>91.81</v>
      </c>
      <c r="E9007">
        <v>92.19</v>
      </c>
      <c r="F9007">
        <v>19253300</v>
      </c>
      <c r="G9007">
        <v>90.94</v>
      </c>
      <c r="H9007" t="s">
        <v>3</v>
      </c>
      <c r="I9007" s="22">
        <f t="shared" si="281"/>
        <v>-6.5760868286315645E-3</v>
      </c>
      <c r="J9007" s="22" t="str">
        <f t="shared" si="282"/>
        <v>lost money</v>
      </c>
    </row>
    <row r="9008" spans="1:10">
      <c r="A9008" s="1">
        <v>41417</v>
      </c>
      <c r="B9008">
        <v>91.56</v>
      </c>
      <c r="C9008">
        <v>92.36</v>
      </c>
      <c r="D9008">
        <v>91.36</v>
      </c>
      <c r="E9008">
        <v>91.79</v>
      </c>
      <c r="F9008">
        <v>15357300</v>
      </c>
      <c r="G9008">
        <v>90.54</v>
      </c>
      <c r="H9008" t="s">
        <v>3</v>
      </c>
      <c r="I9008" s="22">
        <f t="shared" si="281"/>
        <v>-4.408206389051865E-3</v>
      </c>
      <c r="J9008" s="22" t="str">
        <f t="shared" si="282"/>
        <v/>
      </c>
    </row>
    <row r="9009" spans="1:10">
      <c r="A9009" s="1">
        <v>41418</v>
      </c>
      <c r="B9009">
        <v>91.38</v>
      </c>
      <c r="C9009">
        <v>91.77</v>
      </c>
      <c r="D9009">
        <v>91</v>
      </c>
      <c r="E9009">
        <v>91.53</v>
      </c>
      <c r="F9009">
        <v>12771900</v>
      </c>
      <c r="G9009">
        <v>90.29</v>
      </c>
      <c r="H9009" t="s">
        <v>3</v>
      </c>
      <c r="I9009" s="22">
        <f t="shared" si="281"/>
        <v>-2.7650296884247721E-3</v>
      </c>
      <c r="J9009" s="22" t="str">
        <f t="shared" si="282"/>
        <v/>
      </c>
    </row>
    <row r="9010" spans="1:10">
      <c r="A9010" s="1">
        <v>41422</v>
      </c>
      <c r="B9010">
        <v>92.94</v>
      </c>
      <c r="C9010">
        <v>93.18</v>
      </c>
      <c r="D9010">
        <v>91.76</v>
      </c>
      <c r="E9010">
        <v>92.38</v>
      </c>
      <c r="F9010">
        <v>15197800</v>
      </c>
      <c r="G9010">
        <v>91.13</v>
      </c>
      <c r="H9010" t="s">
        <v>3</v>
      </c>
      <c r="I9010" s="22">
        <f t="shared" si="281"/>
        <v>9.2603461886475395E-3</v>
      </c>
      <c r="J9010" s="22" t="str">
        <f t="shared" si="282"/>
        <v>lost money</v>
      </c>
    </row>
    <row r="9011" spans="1:10">
      <c r="A9011" s="1">
        <v>41423</v>
      </c>
      <c r="B9011">
        <v>91.76</v>
      </c>
      <c r="C9011">
        <v>92.42</v>
      </c>
      <c r="D9011">
        <v>91.59</v>
      </c>
      <c r="E9011">
        <v>92.08</v>
      </c>
      <c r="F9011">
        <v>11563200</v>
      </c>
      <c r="G9011">
        <v>90.83</v>
      </c>
      <c r="H9011" t="s">
        <v>3</v>
      </c>
      <c r="I9011" s="22">
        <f t="shared" si="281"/>
        <v>-3.2974309939132898E-3</v>
      </c>
      <c r="J9011" s="22" t="str">
        <f t="shared" si="282"/>
        <v/>
      </c>
    </row>
    <row r="9012" spans="1:10">
      <c r="A9012" s="1">
        <v>41424</v>
      </c>
      <c r="B9012">
        <v>91.97</v>
      </c>
      <c r="C9012">
        <v>92.68</v>
      </c>
      <c r="D9012">
        <v>91.6</v>
      </c>
      <c r="E9012">
        <v>92.09</v>
      </c>
      <c r="F9012">
        <v>9734700</v>
      </c>
      <c r="G9012">
        <v>90.84</v>
      </c>
      <c r="H9012" t="s">
        <v>3</v>
      </c>
      <c r="I9012" s="22">
        <f t="shared" si="281"/>
        <v>1.1008972323557925E-4</v>
      </c>
      <c r="J9012" s="22" t="str">
        <f t="shared" si="282"/>
        <v/>
      </c>
    </row>
    <row r="9013" spans="1:10">
      <c r="A9013" s="1">
        <v>41425</v>
      </c>
      <c r="B9013">
        <v>91.95</v>
      </c>
      <c r="C9013">
        <v>92.37</v>
      </c>
      <c r="D9013">
        <v>90.46</v>
      </c>
      <c r="E9013">
        <v>90.47</v>
      </c>
      <c r="F9013">
        <v>17917400</v>
      </c>
      <c r="G9013">
        <v>89.24</v>
      </c>
      <c r="H9013" t="s">
        <v>3</v>
      </c>
      <c r="I9013" s="22">
        <f t="shared" si="281"/>
        <v>-1.7770347673026054E-2</v>
      </c>
      <c r="J9013" s="22" t="str">
        <f t="shared" si="282"/>
        <v>lost money</v>
      </c>
    </row>
    <row r="9014" spans="1:10">
      <c r="A9014" s="1">
        <v>41428</v>
      </c>
      <c r="B9014">
        <v>90.53</v>
      </c>
      <c r="C9014">
        <v>91.51</v>
      </c>
      <c r="D9014">
        <v>90.48</v>
      </c>
      <c r="E9014">
        <v>91.46</v>
      </c>
      <c r="F9014">
        <v>14177500</v>
      </c>
      <c r="G9014">
        <v>90.22</v>
      </c>
      <c r="H9014" t="s">
        <v>3</v>
      </c>
      <c r="I9014" s="22">
        <f t="shared" si="281"/>
        <v>1.0921762415918258E-2</v>
      </c>
      <c r="J9014" s="22" t="str">
        <f t="shared" si="282"/>
        <v/>
      </c>
    </row>
    <row r="9015" spans="1:10">
      <c r="A9015" s="1">
        <v>41429</v>
      </c>
      <c r="B9015">
        <v>91.18</v>
      </c>
      <c r="C9015">
        <v>91.49</v>
      </c>
      <c r="D9015">
        <v>90.22</v>
      </c>
      <c r="E9015">
        <v>90.79</v>
      </c>
      <c r="F9015">
        <v>12481300</v>
      </c>
      <c r="G9015">
        <v>89.56</v>
      </c>
      <c r="H9015" t="s">
        <v>3</v>
      </c>
      <c r="I9015" s="22">
        <f t="shared" si="281"/>
        <v>-7.3423402496957061E-3</v>
      </c>
      <c r="J9015" s="22" t="str">
        <f t="shared" si="282"/>
        <v>lost money</v>
      </c>
    </row>
    <row r="9016" spans="1:10">
      <c r="A9016" s="1">
        <v>41430</v>
      </c>
      <c r="B9016">
        <v>90.68</v>
      </c>
      <c r="C9016">
        <v>91.12</v>
      </c>
      <c r="D9016">
        <v>89.61</v>
      </c>
      <c r="E9016">
        <v>89.65</v>
      </c>
      <c r="F9016">
        <v>12888000</v>
      </c>
      <c r="G9016">
        <v>88.43</v>
      </c>
      <c r="H9016" t="s">
        <v>3</v>
      </c>
      <c r="I9016" s="22">
        <f t="shared" si="281"/>
        <v>-1.2697513142910323E-2</v>
      </c>
      <c r="J9016" s="22" t="str">
        <f t="shared" si="282"/>
        <v>lost money</v>
      </c>
    </row>
    <row r="9017" spans="1:10">
      <c r="A9017" s="1">
        <v>41431</v>
      </c>
      <c r="B9017">
        <v>89.45</v>
      </c>
      <c r="C9017">
        <v>90.23</v>
      </c>
      <c r="D9017">
        <v>89</v>
      </c>
      <c r="E9017">
        <v>90.23</v>
      </c>
      <c r="F9017">
        <v>15393300</v>
      </c>
      <c r="G9017">
        <v>89.01</v>
      </c>
      <c r="H9017" t="s">
        <v>3</v>
      </c>
      <c r="I9017" s="22">
        <f t="shared" si="281"/>
        <v>6.5374443831963704E-3</v>
      </c>
      <c r="J9017" s="22" t="str">
        <f t="shared" si="282"/>
        <v/>
      </c>
    </row>
    <row r="9018" spans="1:10">
      <c r="A9018" s="1">
        <v>41432</v>
      </c>
      <c r="B9018">
        <v>90.89</v>
      </c>
      <c r="C9018">
        <v>91.5</v>
      </c>
      <c r="D9018">
        <v>90.49</v>
      </c>
      <c r="E9018">
        <v>91.45</v>
      </c>
      <c r="F9018">
        <v>12504700</v>
      </c>
      <c r="G9018">
        <v>90.21</v>
      </c>
      <c r="H9018" t="s">
        <v>3</v>
      </c>
      <c r="I9018" s="22">
        <f t="shared" si="281"/>
        <v>1.3391562697707143E-2</v>
      </c>
      <c r="J9018" s="22" t="str">
        <f t="shared" si="282"/>
        <v/>
      </c>
    </row>
    <row r="9019" spans="1:10">
      <c r="A9019" s="1">
        <v>41435</v>
      </c>
      <c r="B9019">
        <v>91.93</v>
      </c>
      <c r="C9019">
        <v>91.94</v>
      </c>
      <c r="D9019">
        <v>90.87</v>
      </c>
      <c r="E9019">
        <v>91.12</v>
      </c>
      <c r="F9019">
        <v>10372300</v>
      </c>
      <c r="G9019">
        <v>89.88</v>
      </c>
      <c r="H9019" t="s">
        <v>3</v>
      </c>
      <c r="I9019" s="22">
        <f t="shared" si="281"/>
        <v>-3.6648383514189722E-3</v>
      </c>
      <c r="J9019" s="22" t="str">
        <f t="shared" si="282"/>
        <v>lost money</v>
      </c>
    </row>
    <row r="9020" spans="1:10">
      <c r="A9020" s="1">
        <v>41436</v>
      </c>
      <c r="B9020">
        <v>90.38</v>
      </c>
      <c r="C9020">
        <v>91.04</v>
      </c>
      <c r="D9020">
        <v>90.23</v>
      </c>
      <c r="E9020">
        <v>90.46</v>
      </c>
      <c r="F9020">
        <v>10739400</v>
      </c>
      <c r="G9020">
        <v>89.23</v>
      </c>
      <c r="H9020" t="s">
        <v>3</v>
      </c>
      <c r="I9020" s="22">
        <f t="shared" si="281"/>
        <v>-7.2581414050682585E-3</v>
      </c>
      <c r="J9020" s="22" t="str">
        <f t="shared" si="282"/>
        <v/>
      </c>
    </row>
    <row r="9021" spans="1:10">
      <c r="A9021" s="1">
        <v>41437</v>
      </c>
      <c r="B9021">
        <v>91.13</v>
      </c>
      <c r="C9021">
        <v>91.32</v>
      </c>
      <c r="D9021">
        <v>89.59</v>
      </c>
      <c r="E9021">
        <v>89.74</v>
      </c>
      <c r="F9021">
        <v>10864500</v>
      </c>
      <c r="G9021">
        <v>88.52</v>
      </c>
      <c r="H9021" t="s">
        <v>3</v>
      </c>
      <c r="I9021" s="22">
        <f t="shared" si="281"/>
        <v>-7.98879072921122E-3</v>
      </c>
      <c r="J9021" s="22" t="str">
        <f t="shared" si="282"/>
        <v>lost money</v>
      </c>
    </row>
    <row r="9022" spans="1:10">
      <c r="A9022" s="1">
        <v>41438</v>
      </c>
      <c r="B9022">
        <v>89.63</v>
      </c>
      <c r="C9022">
        <v>91.71</v>
      </c>
      <c r="D9022">
        <v>89.61</v>
      </c>
      <c r="E9022">
        <v>91.33</v>
      </c>
      <c r="F9022">
        <v>13501300</v>
      </c>
      <c r="G9022">
        <v>90.09</v>
      </c>
      <c r="H9022" t="s">
        <v>3</v>
      </c>
      <c r="I9022" s="22">
        <f t="shared" si="281"/>
        <v>1.758065548049988E-2</v>
      </c>
      <c r="J9022" s="22" t="str">
        <f t="shared" si="282"/>
        <v/>
      </c>
    </row>
    <row r="9023" spans="1:10">
      <c r="A9023" s="1">
        <v>41439</v>
      </c>
      <c r="B9023">
        <v>91.16</v>
      </c>
      <c r="C9023">
        <v>91.3</v>
      </c>
      <c r="D9023">
        <v>90.29</v>
      </c>
      <c r="E9023">
        <v>90.58</v>
      </c>
      <c r="F9023">
        <v>12158400</v>
      </c>
      <c r="G9023">
        <v>89.35</v>
      </c>
      <c r="H9023" t="s">
        <v>3</v>
      </c>
      <c r="I9023" s="22">
        <f t="shared" si="281"/>
        <v>-8.2479290579116453E-3</v>
      </c>
      <c r="J9023" s="22" t="str">
        <f t="shared" si="282"/>
        <v>lost money</v>
      </c>
    </row>
    <row r="9024" spans="1:10">
      <c r="A9024" s="1">
        <v>41442</v>
      </c>
      <c r="B9024">
        <v>90.97</v>
      </c>
      <c r="C9024">
        <v>91.77</v>
      </c>
      <c r="D9024">
        <v>90.77</v>
      </c>
      <c r="E9024">
        <v>91.51</v>
      </c>
      <c r="F9024">
        <v>12026400</v>
      </c>
      <c r="G9024">
        <v>90.27</v>
      </c>
      <c r="H9024" t="s">
        <v>3</v>
      </c>
      <c r="I9024" s="22">
        <f t="shared" si="281"/>
        <v>1.0243937704626524E-2</v>
      </c>
      <c r="J9024" s="22" t="str">
        <f t="shared" si="282"/>
        <v/>
      </c>
    </row>
    <row r="9025" spans="1:10">
      <c r="A9025" s="1">
        <v>41443</v>
      </c>
      <c r="B9025">
        <v>91.36</v>
      </c>
      <c r="C9025">
        <v>92.06</v>
      </c>
      <c r="D9025">
        <v>91.26</v>
      </c>
      <c r="E9025">
        <v>91.93</v>
      </c>
      <c r="F9025">
        <v>10678200</v>
      </c>
      <c r="G9025">
        <v>90.68</v>
      </c>
      <c r="H9025" t="s">
        <v>3</v>
      </c>
      <c r="I9025" s="22">
        <f t="shared" si="281"/>
        <v>4.531646329264916E-3</v>
      </c>
      <c r="J9025" s="22" t="str">
        <f t="shared" si="282"/>
        <v/>
      </c>
    </row>
    <row r="9026" spans="1:10">
      <c r="A9026" s="1">
        <v>41444</v>
      </c>
      <c r="B9026">
        <v>91.79</v>
      </c>
      <c r="C9026">
        <v>92.27</v>
      </c>
      <c r="D9026">
        <v>91</v>
      </c>
      <c r="E9026">
        <v>91</v>
      </c>
      <c r="F9026">
        <v>14189500</v>
      </c>
      <c r="G9026">
        <v>89.76</v>
      </c>
      <c r="H9026" t="s">
        <v>3</v>
      </c>
      <c r="I9026" s="22">
        <f t="shared" si="281"/>
        <v>-1.0197383864942088E-2</v>
      </c>
      <c r="J9026" s="22" t="str">
        <f t="shared" si="282"/>
        <v>lost money</v>
      </c>
    </row>
    <row r="9027" spans="1:10">
      <c r="A9027" s="1">
        <v>41445</v>
      </c>
      <c r="B9027">
        <v>90.24</v>
      </c>
      <c r="C9027">
        <v>90.52</v>
      </c>
      <c r="D9027">
        <v>88.79</v>
      </c>
      <c r="E9027">
        <v>89.05</v>
      </c>
      <c r="F9027">
        <v>21077700</v>
      </c>
      <c r="G9027">
        <v>87.84</v>
      </c>
      <c r="H9027" t="s">
        <v>3</v>
      </c>
      <c r="I9027" s="22">
        <f t="shared" ref="I9027:I9090" si="283">IF(A9027=$A$2,"",LN(G9027/G9026))</f>
        <v>-2.1622464013165657E-2</v>
      </c>
      <c r="J9027" s="22" t="str">
        <f t="shared" ref="J9027:J9090" si="284">IF(B9027&gt;E9027,"lost money","")</f>
        <v>lost money</v>
      </c>
    </row>
    <row r="9028" spans="1:10">
      <c r="A9028" s="1">
        <v>41446</v>
      </c>
      <c r="B9028">
        <v>89.76</v>
      </c>
      <c r="C9028">
        <v>90.14</v>
      </c>
      <c r="D9028">
        <v>88.85</v>
      </c>
      <c r="E9028">
        <v>89.48</v>
      </c>
      <c r="F9028">
        <v>25493800</v>
      </c>
      <c r="G9028">
        <v>88.27</v>
      </c>
      <c r="H9028" t="s">
        <v>3</v>
      </c>
      <c r="I9028" s="22">
        <f t="shared" si="283"/>
        <v>4.8833212709209952E-3</v>
      </c>
      <c r="J9028" s="22" t="str">
        <f t="shared" si="284"/>
        <v>lost money</v>
      </c>
    </row>
    <row r="9029" spans="1:10">
      <c r="A9029" s="1">
        <v>41449</v>
      </c>
      <c r="B9029">
        <v>88.95</v>
      </c>
      <c r="C9029">
        <v>89.5</v>
      </c>
      <c r="D9029">
        <v>88.02</v>
      </c>
      <c r="E9029">
        <v>88.48</v>
      </c>
      <c r="F9029">
        <v>17653000</v>
      </c>
      <c r="G9029">
        <v>87.28</v>
      </c>
      <c r="H9029" t="s">
        <v>3</v>
      </c>
      <c r="I9029" s="22">
        <f t="shared" si="283"/>
        <v>-1.1278957507326076E-2</v>
      </c>
      <c r="J9029" s="22" t="str">
        <f t="shared" si="284"/>
        <v>lost money</v>
      </c>
    </row>
    <row r="9030" spans="1:10">
      <c r="A9030" s="1">
        <v>41450</v>
      </c>
      <c r="B9030">
        <v>89.58</v>
      </c>
      <c r="C9030">
        <v>89.62</v>
      </c>
      <c r="D9030">
        <v>88.48</v>
      </c>
      <c r="E9030">
        <v>89.11</v>
      </c>
      <c r="F9030">
        <v>15790100</v>
      </c>
      <c r="G9030">
        <v>87.9</v>
      </c>
      <c r="H9030" t="s">
        <v>3</v>
      </c>
      <c r="I9030" s="22">
        <f t="shared" si="283"/>
        <v>7.0784631663159828E-3</v>
      </c>
      <c r="J9030" s="22" t="str">
        <f t="shared" si="284"/>
        <v>lost money</v>
      </c>
    </row>
    <row r="9031" spans="1:10">
      <c r="A9031" s="1">
        <v>41451</v>
      </c>
      <c r="B9031">
        <v>89.42</v>
      </c>
      <c r="C9031">
        <v>89.97</v>
      </c>
      <c r="D9031">
        <v>88.73</v>
      </c>
      <c r="E9031">
        <v>89.8</v>
      </c>
      <c r="F9031">
        <v>14446000</v>
      </c>
      <c r="G9031">
        <v>88.58</v>
      </c>
      <c r="H9031" t="s">
        <v>3</v>
      </c>
      <c r="I9031" s="22">
        <f t="shared" si="283"/>
        <v>7.7062938039206578E-3</v>
      </c>
      <c r="J9031" s="22" t="str">
        <f t="shared" si="284"/>
        <v/>
      </c>
    </row>
    <row r="9032" spans="1:10">
      <c r="A9032" s="1">
        <v>41452</v>
      </c>
      <c r="B9032">
        <v>90.24</v>
      </c>
      <c r="C9032">
        <v>90.67</v>
      </c>
      <c r="D9032">
        <v>90.03</v>
      </c>
      <c r="E9032">
        <v>90.04</v>
      </c>
      <c r="F9032">
        <v>12348000</v>
      </c>
      <c r="G9032">
        <v>88.82</v>
      </c>
      <c r="H9032" t="s">
        <v>3</v>
      </c>
      <c r="I9032" s="22">
        <f t="shared" si="283"/>
        <v>2.705751368904085E-3</v>
      </c>
      <c r="J9032" s="22" t="str">
        <f t="shared" si="284"/>
        <v>lost money</v>
      </c>
    </row>
    <row r="9033" spans="1:10">
      <c r="A9033" s="1">
        <v>41453</v>
      </c>
      <c r="B9033">
        <v>89.85</v>
      </c>
      <c r="C9033">
        <v>90.75</v>
      </c>
      <c r="D9033">
        <v>89.56</v>
      </c>
      <c r="E9033">
        <v>90.35</v>
      </c>
      <c r="F9033">
        <v>22984200</v>
      </c>
      <c r="G9033">
        <v>89.12</v>
      </c>
      <c r="H9033" t="s">
        <v>3</v>
      </c>
      <c r="I9033" s="22">
        <f t="shared" si="283"/>
        <v>3.3719263150177956E-3</v>
      </c>
      <c r="J9033" s="22" t="str">
        <f t="shared" si="284"/>
        <v/>
      </c>
    </row>
    <row r="9034" spans="1:10">
      <c r="A9034" s="1">
        <v>41456</v>
      </c>
      <c r="B9034">
        <v>90.39</v>
      </c>
      <c r="C9034">
        <v>91.13</v>
      </c>
      <c r="D9034">
        <v>89.96</v>
      </c>
      <c r="E9034">
        <v>90.3</v>
      </c>
      <c r="F9034">
        <v>13182200</v>
      </c>
      <c r="G9034">
        <v>89.07</v>
      </c>
      <c r="H9034" t="s">
        <v>3</v>
      </c>
      <c r="I9034" s="22">
        <f t="shared" si="283"/>
        <v>-5.6119873519585803E-4</v>
      </c>
      <c r="J9034" s="22" t="str">
        <f t="shared" si="284"/>
        <v>lost money</v>
      </c>
    </row>
    <row r="9035" spans="1:10">
      <c r="A9035" s="1">
        <v>41457</v>
      </c>
      <c r="B9035">
        <v>90.37</v>
      </c>
      <c r="C9035">
        <v>91.1</v>
      </c>
      <c r="D9035">
        <v>90.12</v>
      </c>
      <c r="E9035">
        <v>90.64</v>
      </c>
      <c r="F9035">
        <v>12320700</v>
      </c>
      <c r="G9035">
        <v>89.41</v>
      </c>
      <c r="H9035" t="s">
        <v>3</v>
      </c>
      <c r="I9035" s="22">
        <f t="shared" si="283"/>
        <v>3.8099553034485079E-3</v>
      </c>
      <c r="J9035" s="22" t="str">
        <f t="shared" si="284"/>
        <v/>
      </c>
    </row>
    <row r="9036" spans="1:10">
      <c r="A9036" s="1">
        <v>41458</v>
      </c>
      <c r="B9036">
        <v>90.63</v>
      </c>
      <c r="C9036">
        <v>90.87</v>
      </c>
      <c r="D9036">
        <v>90.14</v>
      </c>
      <c r="E9036">
        <v>90.69</v>
      </c>
      <c r="F9036">
        <v>5674000</v>
      </c>
      <c r="G9036">
        <v>89.46</v>
      </c>
      <c r="H9036" t="s">
        <v>3</v>
      </c>
      <c r="I9036" s="22">
        <f t="shared" si="283"/>
        <v>5.590652574753173E-4</v>
      </c>
      <c r="J9036" s="22" t="str">
        <f t="shared" si="284"/>
        <v/>
      </c>
    </row>
    <row r="9037" spans="1:10">
      <c r="A9037" s="1">
        <v>41460</v>
      </c>
      <c r="B9037">
        <v>91.1</v>
      </c>
      <c r="C9037">
        <v>91.61</v>
      </c>
      <c r="D9037">
        <v>90.57</v>
      </c>
      <c r="E9037">
        <v>91.57</v>
      </c>
      <c r="F9037">
        <v>8917900</v>
      </c>
      <c r="G9037">
        <v>90.33</v>
      </c>
      <c r="H9037" t="s">
        <v>3</v>
      </c>
      <c r="I9037" s="22">
        <f t="shared" si="283"/>
        <v>9.6780331570502573E-3</v>
      </c>
      <c r="J9037" s="22" t="str">
        <f t="shared" si="284"/>
        <v/>
      </c>
    </row>
    <row r="9038" spans="1:10">
      <c r="A9038" s="1">
        <v>41463</v>
      </c>
      <c r="B9038">
        <v>91.96</v>
      </c>
      <c r="C9038">
        <v>92.53</v>
      </c>
      <c r="D9038">
        <v>91.9</v>
      </c>
      <c r="E9038">
        <v>92.25</v>
      </c>
      <c r="F9038">
        <v>12086700</v>
      </c>
      <c r="G9038">
        <v>91</v>
      </c>
      <c r="H9038" t="s">
        <v>3</v>
      </c>
      <c r="I9038" s="22">
        <f t="shared" si="283"/>
        <v>7.3898753550980037E-3</v>
      </c>
      <c r="J9038" s="22" t="str">
        <f t="shared" si="284"/>
        <v/>
      </c>
    </row>
    <row r="9039" spans="1:10">
      <c r="A9039" s="1">
        <v>41464</v>
      </c>
      <c r="B9039">
        <v>92.64</v>
      </c>
      <c r="C9039">
        <v>93.44</v>
      </c>
      <c r="D9039">
        <v>92.25</v>
      </c>
      <c r="E9039">
        <v>93.34</v>
      </c>
      <c r="F9039">
        <v>12940000</v>
      </c>
      <c r="G9039">
        <v>92.07</v>
      </c>
      <c r="H9039" t="s">
        <v>3</v>
      </c>
      <c r="I9039" s="22">
        <f t="shared" si="283"/>
        <v>1.1689650782904282E-2</v>
      </c>
      <c r="J9039" s="22" t="str">
        <f t="shared" si="284"/>
        <v/>
      </c>
    </row>
    <row r="9040" spans="1:10">
      <c r="A9040" s="1">
        <v>41465</v>
      </c>
      <c r="B9040">
        <v>93.28</v>
      </c>
      <c r="C9040">
        <v>93.39</v>
      </c>
      <c r="D9040">
        <v>92.38</v>
      </c>
      <c r="E9040">
        <v>92.82</v>
      </c>
      <c r="F9040">
        <v>12430000</v>
      </c>
      <c r="G9040">
        <v>91.56</v>
      </c>
      <c r="H9040" t="s">
        <v>3</v>
      </c>
      <c r="I9040" s="22">
        <f t="shared" si="283"/>
        <v>-5.5546622153884694E-3</v>
      </c>
      <c r="J9040" s="22" t="str">
        <f t="shared" si="284"/>
        <v>lost money</v>
      </c>
    </row>
    <row r="9041" spans="1:10">
      <c r="A9041" s="1">
        <v>41466</v>
      </c>
      <c r="B9041">
        <v>93.8</v>
      </c>
      <c r="C9041">
        <v>93.81</v>
      </c>
      <c r="D9041">
        <v>93.04</v>
      </c>
      <c r="E9041">
        <v>93.27</v>
      </c>
      <c r="F9041">
        <v>16184700</v>
      </c>
      <c r="G9041">
        <v>92</v>
      </c>
      <c r="H9041" t="s">
        <v>3</v>
      </c>
      <c r="I9041" s="22">
        <f t="shared" si="283"/>
        <v>4.7940819646743755E-3</v>
      </c>
      <c r="J9041" s="22" t="str">
        <f t="shared" si="284"/>
        <v>lost money</v>
      </c>
    </row>
    <row r="9042" spans="1:10">
      <c r="A9042" s="1">
        <v>41467</v>
      </c>
      <c r="B9042">
        <v>93.25</v>
      </c>
      <c r="C9042">
        <v>93.45</v>
      </c>
      <c r="D9042">
        <v>92.72</v>
      </c>
      <c r="E9042">
        <v>93.4</v>
      </c>
      <c r="F9042">
        <v>11370300</v>
      </c>
      <c r="G9042">
        <v>92.13</v>
      </c>
      <c r="H9042" t="s">
        <v>3</v>
      </c>
      <c r="I9042" s="22">
        <f t="shared" si="283"/>
        <v>1.41204607180039E-3</v>
      </c>
      <c r="J9042" s="22" t="str">
        <f t="shared" si="284"/>
        <v/>
      </c>
    </row>
    <row r="9043" spans="1:10">
      <c r="A9043" s="1">
        <v>41470</v>
      </c>
      <c r="B9043">
        <v>93.19</v>
      </c>
      <c r="C9043">
        <v>93.5</v>
      </c>
      <c r="D9043">
        <v>93.09</v>
      </c>
      <c r="E9043">
        <v>93.25</v>
      </c>
      <c r="F9043">
        <v>8256200</v>
      </c>
      <c r="G9043">
        <v>91.98</v>
      </c>
      <c r="H9043" t="s">
        <v>3</v>
      </c>
      <c r="I9043" s="22">
        <f t="shared" si="283"/>
        <v>-1.629461009062872E-3</v>
      </c>
      <c r="J9043" s="22" t="str">
        <f t="shared" si="284"/>
        <v/>
      </c>
    </row>
    <row r="9044" spans="1:10">
      <c r="A9044" s="1">
        <v>41471</v>
      </c>
      <c r="B9044">
        <v>93.19</v>
      </c>
      <c r="C9044">
        <v>93.47</v>
      </c>
      <c r="D9044">
        <v>92.77</v>
      </c>
      <c r="E9044">
        <v>93.3</v>
      </c>
      <c r="F9044">
        <v>11413500</v>
      </c>
      <c r="G9044">
        <v>92.03</v>
      </c>
      <c r="H9044" t="s">
        <v>3</v>
      </c>
      <c r="I9044" s="22">
        <f t="shared" si="283"/>
        <v>5.4344873898762151E-4</v>
      </c>
      <c r="J9044" s="22" t="str">
        <f t="shared" si="284"/>
        <v/>
      </c>
    </row>
    <row r="9045" spans="1:10">
      <c r="A9045" s="1">
        <v>41472</v>
      </c>
      <c r="B9045">
        <v>93.56</v>
      </c>
      <c r="C9045">
        <v>93.74</v>
      </c>
      <c r="D9045">
        <v>93.14</v>
      </c>
      <c r="E9045">
        <v>93.46</v>
      </c>
      <c r="F9045">
        <v>9393300</v>
      </c>
      <c r="G9045">
        <v>92.19</v>
      </c>
      <c r="H9045" t="s">
        <v>3</v>
      </c>
      <c r="I9045" s="22">
        <f t="shared" si="283"/>
        <v>1.7370539597374383E-3</v>
      </c>
      <c r="J9045" s="22" t="str">
        <f t="shared" si="284"/>
        <v>lost money</v>
      </c>
    </row>
    <row r="9046" spans="1:10">
      <c r="A9046" s="1">
        <v>41473</v>
      </c>
      <c r="B9046">
        <v>93.8</v>
      </c>
      <c r="C9046">
        <v>94.84</v>
      </c>
      <c r="D9046">
        <v>93.71</v>
      </c>
      <c r="E9046">
        <v>94.38</v>
      </c>
      <c r="F9046">
        <v>10555400</v>
      </c>
      <c r="G9046">
        <v>93.1</v>
      </c>
      <c r="H9046" t="s">
        <v>3</v>
      </c>
      <c r="I9046" s="22">
        <f t="shared" si="283"/>
        <v>9.8225194725184341E-3</v>
      </c>
      <c r="J9046" s="22" t="str">
        <f t="shared" si="284"/>
        <v/>
      </c>
    </row>
    <row r="9047" spans="1:10">
      <c r="A9047" s="1">
        <v>41474</v>
      </c>
      <c r="B9047">
        <v>94.69</v>
      </c>
      <c r="C9047">
        <v>95.25</v>
      </c>
      <c r="D9047">
        <v>94.41</v>
      </c>
      <c r="E9047">
        <v>95.17</v>
      </c>
      <c r="F9047">
        <v>14431700</v>
      </c>
      <c r="G9047">
        <v>93.88</v>
      </c>
      <c r="H9047" t="s">
        <v>3</v>
      </c>
      <c r="I9047" s="22">
        <f t="shared" si="283"/>
        <v>8.34318669980149E-3</v>
      </c>
      <c r="J9047" s="22" t="str">
        <f t="shared" si="284"/>
        <v/>
      </c>
    </row>
    <row r="9048" spans="1:10">
      <c r="A9048" s="1">
        <v>41477</v>
      </c>
      <c r="B9048">
        <v>94.87</v>
      </c>
      <c r="C9048">
        <v>95.2</v>
      </c>
      <c r="D9048">
        <v>94.78</v>
      </c>
      <c r="E9048">
        <v>94.83</v>
      </c>
      <c r="F9048">
        <v>9530400</v>
      </c>
      <c r="G9048">
        <v>93.54</v>
      </c>
      <c r="H9048" t="s">
        <v>3</v>
      </c>
      <c r="I9048" s="22">
        <f t="shared" si="283"/>
        <v>-3.6282186850824798E-3</v>
      </c>
      <c r="J9048" s="22" t="str">
        <f t="shared" si="284"/>
        <v>lost money</v>
      </c>
    </row>
    <row r="9049" spans="1:10">
      <c r="A9049" s="1">
        <v>41478</v>
      </c>
      <c r="B9049">
        <v>94.86</v>
      </c>
      <c r="C9049">
        <v>95.49</v>
      </c>
      <c r="D9049">
        <v>94.84</v>
      </c>
      <c r="E9049">
        <v>95.2</v>
      </c>
      <c r="F9049">
        <v>7377400</v>
      </c>
      <c r="G9049">
        <v>93.91</v>
      </c>
      <c r="H9049" t="s">
        <v>3</v>
      </c>
      <c r="I9049" s="22">
        <f t="shared" si="283"/>
        <v>3.9477245187819893E-3</v>
      </c>
      <c r="J9049" s="22" t="str">
        <f t="shared" si="284"/>
        <v/>
      </c>
    </row>
    <row r="9050" spans="1:10">
      <c r="A9050" s="1">
        <v>41479</v>
      </c>
      <c r="B9050">
        <v>95.31</v>
      </c>
      <c r="C9050">
        <v>95.31</v>
      </c>
      <c r="D9050">
        <v>94.42</v>
      </c>
      <c r="E9050">
        <v>94.99</v>
      </c>
      <c r="F9050">
        <v>8222800</v>
      </c>
      <c r="G9050">
        <v>93.7</v>
      </c>
      <c r="H9050" t="s">
        <v>3</v>
      </c>
      <c r="I9050" s="22">
        <f t="shared" si="283"/>
        <v>-2.2386875721455944E-3</v>
      </c>
      <c r="J9050" s="22" t="str">
        <f t="shared" si="284"/>
        <v>lost money</v>
      </c>
    </row>
    <row r="9051" spans="1:10">
      <c r="A9051" s="1">
        <v>41480</v>
      </c>
      <c r="B9051">
        <v>94.69</v>
      </c>
      <c r="C9051">
        <v>95.31</v>
      </c>
      <c r="D9051">
        <v>94.42</v>
      </c>
      <c r="E9051">
        <v>94.97</v>
      </c>
      <c r="F9051">
        <v>10059800</v>
      </c>
      <c r="G9051">
        <v>93.68</v>
      </c>
      <c r="H9051" t="s">
        <v>3</v>
      </c>
      <c r="I9051" s="22">
        <f t="shared" si="283"/>
        <v>-2.134699549145493E-4</v>
      </c>
      <c r="J9051" s="22" t="str">
        <f t="shared" si="284"/>
        <v/>
      </c>
    </row>
    <row r="9052" spans="1:10">
      <c r="A9052" s="1">
        <v>41481</v>
      </c>
      <c r="B9052">
        <v>94.77</v>
      </c>
      <c r="C9052">
        <v>94.86</v>
      </c>
      <c r="D9052">
        <v>93.84</v>
      </c>
      <c r="E9052">
        <v>94.79</v>
      </c>
      <c r="F9052">
        <v>9721000</v>
      </c>
      <c r="G9052">
        <v>93.5</v>
      </c>
      <c r="H9052" t="s">
        <v>3</v>
      </c>
      <c r="I9052" s="22">
        <f t="shared" si="283"/>
        <v>-1.9232829948207092E-3</v>
      </c>
      <c r="J9052" s="22" t="str">
        <f t="shared" si="284"/>
        <v/>
      </c>
    </row>
    <row r="9053" spans="1:10">
      <c r="A9053" s="1">
        <v>41484</v>
      </c>
      <c r="B9053">
        <v>94.51</v>
      </c>
      <c r="C9053">
        <v>94.52</v>
      </c>
      <c r="D9053">
        <v>93.61</v>
      </c>
      <c r="E9053">
        <v>94.03</v>
      </c>
      <c r="F9053">
        <v>8844700</v>
      </c>
      <c r="G9053">
        <v>92.75</v>
      </c>
      <c r="H9053" t="s">
        <v>3</v>
      </c>
      <c r="I9053" s="22">
        <f t="shared" si="283"/>
        <v>-8.0537348070968268E-3</v>
      </c>
      <c r="J9053" s="22" t="str">
        <f t="shared" si="284"/>
        <v>lost money</v>
      </c>
    </row>
    <row r="9054" spans="1:10">
      <c r="A9054" s="1">
        <v>41485</v>
      </c>
      <c r="B9054">
        <v>94.22</v>
      </c>
      <c r="C9054">
        <v>94.33</v>
      </c>
      <c r="D9054">
        <v>93.46</v>
      </c>
      <c r="E9054">
        <v>93.81</v>
      </c>
      <c r="F9054">
        <v>10470700</v>
      </c>
      <c r="G9054">
        <v>92.54</v>
      </c>
      <c r="H9054" t="s">
        <v>3</v>
      </c>
      <c r="I9054" s="22">
        <f t="shared" si="283"/>
        <v>-2.2667180086909208E-3</v>
      </c>
      <c r="J9054" s="22" t="str">
        <f t="shared" si="284"/>
        <v>lost money</v>
      </c>
    </row>
    <row r="9055" spans="1:10">
      <c r="A9055" s="1">
        <v>41486</v>
      </c>
      <c r="B9055">
        <v>93.93</v>
      </c>
      <c r="C9055">
        <v>94.6</v>
      </c>
      <c r="D9055">
        <v>93.38</v>
      </c>
      <c r="E9055">
        <v>93.75</v>
      </c>
      <c r="F9055">
        <v>14400800</v>
      </c>
      <c r="G9055">
        <v>92.48</v>
      </c>
      <c r="H9055" t="s">
        <v>3</v>
      </c>
      <c r="I9055" s="22">
        <f t="shared" si="283"/>
        <v>-6.4857855478618327E-4</v>
      </c>
      <c r="J9055" s="22" t="str">
        <f t="shared" si="284"/>
        <v>lost money</v>
      </c>
    </row>
    <row r="9056" spans="1:10">
      <c r="A9056" s="1">
        <v>41487</v>
      </c>
      <c r="B9056">
        <v>92.69</v>
      </c>
      <c r="C9056">
        <v>93.1</v>
      </c>
      <c r="D9056">
        <v>91.25</v>
      </c>
      <c r="E9056">
        <v>92.73</v>
      </c>
      <c r="F9056">
        <v>23117700</v>
      </c>
      <c r="G9056">
        <v>91.47</v>
      </c>
      <c r="H9056" t="s">
        <v>3</v>
      </c>
      <c r="I9056" s="22">
        <f t="shared" si="283"/>
        <v>-1.0981355255794341E-2</v>
      </c>
      <c r="J9056" s="22" t="str">
        <f t="shared" si="284"/>
        <v/>
      </c>
    </row>
    <row r="9057" spans="1:10">
      <c r="A9057" s="1">
        <v>41488</v>
      </c>
      <c r="B9057">
        <v>92.46</v>
      </c>
      <c r="C9057">
        <v>92.53</v>
      </c>
      <c r="D9057">
        <v>91.34</v>
      </c>
      <c r="E9057">
        <v>91.95</v>
      </c>
      <c r="F9057">
        <v>14408600</v>
      </c>
      <c r="G9057">
        <v>90.7</v>
      </c>
      <c r="H9057" t="s">
        <v>3</v>
      </c>
      <c r="I9057" s="22">
        <f t="shared" si="283"/>
        <v>-8.4536925471821889E-3</v>
      </c>
      <c r="J9057" s="22" t="str">
        <f t="shared" si="284"/>
        <v>lost money</v>
      </c>
    </row>
    <row r="9058" spans="1:10">
      <c r="A9058" s="1">
        <v>41491</v>
      </c>
      <c r="B9058">
        <v>91.42</v>
      </c>
      <c r="C9058">
        <v>91.76</v>
      </c>
      <c r="D9058">
        <v>91.01</v>
      </c>
      <c r="E9058">
        <v>91.59</v>
      </c>
      <c r="F9058">
        <v>12625900</v>
      </c>
      <c r="G9058">
        <v>90.35</v>
      </c>
      <c r="H9058" t="s">
        <v>3</v>
      </c>
      <c r="I9058" s="22">
        <f t="shared" si="283"/>
        <v>-3.8663400828534617E-3</v>
      </c>
      <c r="J9058" s="22" t="str">
        <f t="shared" si="284"/>
        <v/>
      </c>
    </row>
    <row r="9059" spans="1:10">
      <c r="A9059" s="1">
        <v>41492</v>
      </c>
      <c r="B9059">
        <v>91.33</v>
      </c>
      <c r="C9059">
        <v>91.91</v>
      </c>
      <c r="D9059">
        <v>91.28</v>
      </c>
      <c r="E9059">
        <v>91.47</v>
      </c>
      <c r="F9059">
        <v>11689200</v>
      </c>
      <c r="G9059">
        <v>90.23</v>
      </c>
      <c r="H9059" t="s">
        <v>3</v>
      </c>
      <c r="I9059" s="22">
        <f t="shared" si="283"/>
        <v>-1.3290510318281104E-3</v>
      </c>
      <c r="J9059" s="22" t="str">
        <f t="shared" si="284"/>
        <v/>
      </c>
    </row>
    <row r="9060" spans="1:10">
      <c r="A9060" s="1">
        <v>41493</v>
      </c>
      <c r="B9060">
        <v>91.18</v>
      </c>
      <c r="C9060">
        <v>91.55</v>
      </c>
      <c r="D9060">
        <v>91.13</v>
      </c>
      <c r="E9060">
        <v>91.34</v>
      </c>
      <c r="F9060">
        <v>8163800</v>
      </c>
      <c r="G9060">
        <v>90.1</v>
      </c>
      <c r="H9060" t="s">
        <v>3</v>
      </c>
      <c r="I9060" s="22">
        <f t="shared" si="283"/>
        <v>-1.4418013921171568E-3</v>
      </c>
      <c r="J9060" s="22" t="str">
        <f t="shared" si="284"/>
        <v/>
      </c>
    </row>
    <row r="9061" spans="1:10">
      <c r="A9061" s="1">
        <v>41494</v>
      </c>
      <c r="B9061">
        <v>91.93</v>
      </c>
      <c r="C9061">
        <v>91.97</v>
      </c>
      <c r="D9061">
        <v>91.28</v>
      </c>
      <c r="E9061">
        <v>91.78</v>
      </c>
      <c r="F9061">
        <v>11529500</v>
      </c>
      <c r="G9061">
        <v>90.53</v>
      </c>
      <c r="H9061" t="s">
        <v>3</v>
      </c>
      <c r="I9061" s="22">
        <f t="shared" si="283"/>
        <v>4.7611228730567237E-3</v>
      </c>
      <c r="J9061" s="22" t="str">
        <f t="shared" si="284"/>
        <v>lost money</v>
      </c>
    </row>
    <row r="9062" spans="1:10">
      <c r="A9062" s="1">
        <v>41495</v>
      </c>
      <c r="B9062">
        <v>91.2</v>
      </c>
      <c r="C9062">
        <v>91.36</v>
      </c>
      <c r="D9062">
        <v>90.43</v>
      </c>
      <c r="E9062">
        <v>90.72</v>
      </c>
      <c r="F9062">
        <v>9467800</v>
      </c>
      <c r="G9062">
        <v>90.11</v>
      </c>
      <c r="H9062" t="s">
        <v>3</v>
      </c>
      <c r="I9062" s="22">
        <f t="shared" si="283"/>
        <v>-4.6501412404030941E-3</v>
      </c>
      <c r="J9062" s="22" t="str">
        <f t="shared" si="284"/>
        <v>lost money</v>
      </c>
    </row>
    <row r="9063" spans="1:10">
      <c r="A9063" s="1">
        <v>41498</v>
      </c>
      <c r="B9063">
        <v>90.43</v>
      </c>
      <c r="C9063">
        <v>90.43</v>
      </c>
      <c r="D9063">
        <v>89.69</v>
      </c>
      <c r="E9063">
        <v>89.89</v>
      </c>
      <c r="F9063">
        <v>10133700</v>
      </c>
      <c r="G9063">
        <v>89.28</v>
      </c>
      <c r="H9063" t="s">
        <v>3</v>
      </c>
      <c r="I9063" s="22">
        <f t="shared" si="283"/>
        <v>-9.2536476139451831E-3</v>
      </c>
      <c r="J9063" s="22" t="str">
        <f t="shared" si="284"/>
        <v>lost money</v>
      </c>
    </row>
    <row r="9064" spans="1:10">
      <c r="A9064" s="1">
        <v>41499</v>
      </c>
      <c r="B9064">
        <v>89.85</v>
      </c>
      <c r="C9064">
        <v>89.92</v>
      </c>
      <c r="D9064">
        <v>89.14</v>
      </c>
      <c r="E9064">
        <v>89.4</v>
      </c>
      <c r="F9064">
        <v>10892700</v>
      </c>
      <c r="G9064">
        <v>88.8</v>
      </c>
      <c r="H9064" t="s">
        <v>3</v>
      </c>
      <c r="I9064" s="22">
        <f t="shared" si="283"/>
        <v>-5.3908486348764233E-3</v>
      </c>
      <c r="J9064" s="22" t="str">
        <f t="shared" si="284"/>
        <v>lost money</v>
      </c>
    </row>
    <row r="9065" spans="1:10">
      <c r="A9065" s="1">
        <v>41500</v>
      </c>
      <c r="B9065">
        <v>89.34</v>
      </c>
      <c r="C9065">
        <v>89.48</v>
      </c>
      <c r="D9065">
        <v>88.9</v>
      </c>
      <c r="E9065">
        <v>88.95</v>
      </c>
      <c r="F9065">
        <v>9797300</v>
      </c>
      <c r="G9065">
        <v>88.35</v>
      </c>
      <c r="H9065" t="s">
        <v>3</v>
      </c>
      <c r="I9065" s="22">
        <f t="shared" si="283"/>
        <v>-5.0804512324190637E-3</v>
      </c>
      <c r="J9065" s="22" t="str">
        <f t="shared" si="284"/>
        <v>lost money</v>
      </c>
    </row>
    <row r="9066" spans="1:10">
      <c r="A9066" s="1">
        <v>41501</v>
      </c>
      <c r="B9066">
        <v>88.66</v>
      </c>
      <c r="C9066">
        <v>88.87</v>
      </c>
      <c r="D9066">
        <v>88.06</v>
      </c>
      <c r="E9066">
        <v>88.16</v>
      </c>
      <c r="F9066">
        <v>11273400</v>
      </c>
      <c r="G9066">
        <v>87.56</v>
      </c>
      <c r="H9066" t="s">
        <v>3</v>
      </c>
      <c r="I9066" s="22">
        <f t="shared" si="283"/>
        <v>-8.9819261110430978E-3</v>
      </c>
      <c r="J9066" s="22" t="str">
        <f t="shared" si="284"/>
        <v>lost money</v>
      </c>
    </row>
    <row r="9067" spans="1:10">
      <c r="A9067" s="1">
        <v>41502</v>
      </c>
      <c r="B9067">
        <v>88.01</v>
      </c>
      <c r="C9067">
        <v>88.49</v>
      </c>
      <c r="D9067">
        <v>87.65</v>
      </c>
      <c r="E9067">
        <v>87.91</v>
      </c>
      <c r="F9067">
        <v>11872500</v>
      </c>
      <c r="G9067">
        <v>87.32</v>
      </c>
      <c r="H9067" t="s">
        <v>3</v>
      </c>
      <c r="I9067" s="22">
        <f t="shared" si="283"/>
        <v>-2.7447409729190967E-3</v>
      </c>
      <c r="J9067" s="22" t="str">
        <f t="shared" si="284"/>
        <v>lost money</v>
      </c>
    </row>
    <row r="9068" spans="1:10">
      <c r="A9068" s="1">
        <v>41505</v>
      </c>
      <c r="B9068">
        <v>87.82</v>
      </c>
      <c r="C9068">
        <v>87.87</v>
      </c>
      <c r="D9068">
        <v>86.78</v>
      </c>
      <c r="E9068">
        <v>86.92</v>
      </c>
      <c r="F9068">
        <v>11745600</v>
      </c>
      <c r="G9068">
        <v>86.33</v>
      </c>
      <c r="H9068" t="s">
        <v>3</v>
      </c>
      <c r="I9068" s="22">
        <f t="shared" si="283"/>
        <v>-1.1402369434311759E-2</v>
      </c>
      <c r="J9068" s="22" t="str">
        <f t="shared" si="284"/>
        <v>lost money</v>
      </c>
    </row>
    <row r="9069" spans="1:10">
      <c r="A9069" s="1">
        <v>41506</v>
      </c>
      <c r="B9069">
        <v>87.13</v>
      </c>
      <c r="C9069">
        <v>87.87</v>
      </c>
      <c r="D9069">
        <v>86.83</v>
      </c>
      <c r="E9069">
        <v>86.83</v>
      </c>
      <c r="F9069">
        <v>16498800</v>
      </c>
      <c r="G9069">
        <v>86.24</v>
      </c>
      <c r="H9069" t="s">
        <v>3</v>
      </c>
      <c r="I9069" s="22">
        <f t="shared" si="283"/>
        <v>-1.0430550867442574E-3</v>
      </c>
      <c r="J9069" s="22" t="str">
        <f t="shared" si="284"/>
        <v>lost money</v>
      </c>
    </row>
    <row r="9070" spans="1:10">
      <c r="A9070" s="1">
        <v>41507</v>
      </c>
      <c r="B9070">
        <v>86.95</v>
      </c>
      <c r="C9070">
        <v>87.35</v>
      </c>
      <c r="D9070">
        <v>86.39</v>
      </c>
      <c r="E9070">
        <v>86.42</v>
      </c>
      <c r="F9070">
        <v>12766900</v>
      </c>
      <c r="G9070">
        <v>85.84</v>
      </c>
      <c r="H9070" t="s">
        <v>3</v>
      </c>
      <c r="I9070" s="22">
        <f t="shared" si="283"/>
        <v>-4.6490088382439062E-3</v>
      </c>
      <c r="J9070" s="22" t="str">
        <f t="shared" si="284"/>
        <v>lost money</v>
      </c>
    </row>
    <row r="9071" spans="1:10">
      <c r="A9071" s="1">
        <v>41508</v>
      </c>
      <c r="B9071">
        <v>86.58</v>
      </c>
      <c r="C9071">
        <v>87.42</v>
      </c>
      <c r="D9071">
        <v>86.45</v>
      </c>
      <c r="E9071">
        <v>86.98</v>
      </c>
      <c r="F9071">
        <v>10199900</v>
      </c>
      <c r="G9071">
        <v>86.39</v>
      </c>
      <c r="H9071" t="s">
        <v>3</v>
      </c>
      <c r="I9071" s="22">
        <f t="shared" si="283"/>
        <v>6.3868300483496598E-3</v>
      </c>
      <c r="J9071" s="22" t="str">
        <f t="shared" si="284"/>
        <v/>
      </c>
    </row>
    <row r="9072" spans="1:10">
      <c r="A9072" s="1">
        <v>41509</v>
      </c>
      <c r="B9072">
        <v>87.15</v>
      </c>
      <c r="C9072">
        <v>87.69</v>
      </c>
      <c r="D9072">
        <v>86.76</v>
      </c>
      <c r="E9072">
        <v>87.52</v>
      </c>
      <c r="F9072">
        <v>9206400</v>
      </c>
      <c r="G9072">
        <v>86.93</v>
      </c>
      <c r="H9072" t="s">
        <v>3</v>
      </c>
      <c r="I9072" s="22">
        <f t="shared" si="283"/>
        <v>6.2312687201803206E-3</v>
      </c>
      <c r="J9072" s="22" t="str">
        <f t="shared" si="284"/>
        <v/>
      </c>
    </row>
    <row r="9073" spans="1:10">
      <c r="A9073" s="1">
        <v>41512</v>
      </c>
      <c r="B9073">
        <v>87.5</v>
      </c>
      <c r="C9073">
        <v>87.7</v>
      </c>
      <c r="D9073">
        <v>86.82</v>
      </c>
      <c r="E9073">
        <v>87.09</v>
      </c>
      <c r="F9073">
        <v>10654700</v>
      </c>
      <c r="G9073">
        <v>86.5</v>
      </c>
      <c r="H9073" t="s">
        <v>3</v>
      </c>
      <c r="I9073" s="22">
        <f t="shared" si="283"/>
        <v>-4.9587831531393662E-3</v>
      </c>
      <c r="J9073" s="22" t="str">
        <f t="shared" si="284"/>
        <v>lost money</v>
      </c>
    </row>
    <row r="9074" spans="1:10">
      <c r="A9074" s="1">
        <v>41513</v>
      </c>
      <c r="B9074">
        <v>86.62</v>
      </c>
      <c r="C9074">
        <v>87.49</v>
      </c>
      <c r="D9074">
        <v>86.58</v>
      </c>
      <c r="E9074">
        <v>86.82</v>
      </c>
      <c r="F9074">
        <v>13960200</v>
      </c>
      <c r="G9074">
        <v>86.23</v>
      </c>
      <c r="H9074" t="s">
        <v>3</v>
      </c>
      <c r="I9074" s="22">
        <f t="shared" si="283"/>
        <v>-3.1262689736005302E-3</v>
      </c>
      <c r="J9074" s="22" t="str">
        <f t="shared" si="284"/>
        <v/>
      </c>
    </row>
    <row r="9075" spans="1:10">
      <c r="A9075" s="1">
        <v>41514</v>
      </c>
      <c r="B9075">
        <v>87.28</v>
      </c>
      <c r="C9075">
        <v>88.99</v>
      </c>
      <c r="D9075">
        <v>87.28</v>
      </c>
      <c r="E9075">
        <v>88.84</v>
      </c>
      <c r="F9075">
        <v>17738800</v>
      </c>
      <c r="G9075">
        <v>88.24</v>
      </c>
      <c r="H9075" t="s">
        <v>3</v>
      </c>
      <c r="I9075" s="22">
        <f t="shared" si="283"/>
        <v>2.3042229981013896E-2</v>
      </c>
      <c r="J9075" s="22" t="str">
        <f t="shared" si="284"/>
        <v/>
      </c>
    </row>
    <row r="9076" spans="1:10">
      <c r="A9076" s="1">
        <v>41515</v>
      </c>
      <c r="B9076">
        <v>88.63</v>
      </c>
      <c r="C9076">
        <v>88.63</v>
      </c>
      <c r="D9076">
        <v>87.23</v>
      </c>
      <c r="E9076">
        <v>87.27</v>
      </c>
      <c r="F9076">
        <v>11407800</v>
      </c>
      <c r="G9076">
        <v>86.68</v>
      </c>
      <c r="H9076" t="s">
        <v>3</v>
      </c>
      <c r="I9076" s="22">
        <f t="shared" si="283"/>
        <v>-1.7837198277088576E-2</v>
      </c>
      <c r="J9076" s="22" t="str">
        <f t="shared" si="284"/>
        <v>lost money</v>
      </c>
    </row>
    <row r="9077" spans="1:10">
      <c r="A9077" s="1">
        <v>41516</v>
      </c>
      <c r="B9077">
        <v>87.39</v>
      </c>
      <c r="C9077">
        <v>87.55</v>
      </c>
      <c r="D9077">
        <v>86.79</v>
      </c>
      <c r="E9077">
        <v>87.16</v>
      </c>
      <c r="F9077">
        <v>12480400</v>
      </c>
      <c r="G9077">
        <v>86.57</v>
      </c>
      <c r="H9077" t="s">
        <v>3</v>
      </c>
      <c r="I9077" s="22">
        <f t="shared" si="283"/>
        <v>-1.2698414404760413E-3</v>
      </c>
      <c r="J9077" s="22" t="str">
        <f t="shared" si="284"/>
        <v>lost money</v>
      </c>
    </row>
    <row r="9078" spans="1:10">
      <c r="A9078" s="1">
        <v>41520</v>
      </c>
      <c r="B9078">
        <v>87.7</v>
      </c>
      <c r="C9078">
        <v>88</v>
      </c>
      <c r="D9078">
        <v>86.83</v>
      </c>
      <c r="E9078">
        <v>87.15</v>
      </c>
      <c r="F9078">
        <v>10546700</v>
      </c>
      <c r="G9078">
        <v>86.56</v>
      </c>
      <c r="H9078" t="s">
        <v>3</v>
      </c>
      <c r="I9078" s="22">
        <f t="shared" si="283"/>
        <v>-1.1552012951087416E-4</v>
      </c>
      <c r="J9078" s="22" t="str">
        <f t="shared" si="284"/>
        <v>lost money</v>
      </c>
    </row>
    <row r="9079" spans="1:10">
      <c r="A9079" s="1">
        <v>41521</v>
      </c>
      <c r="B9079">
        <v>87.01</v>
      </c>
      <c r="C9079">
        <v>87.98</v>
      </c>
      <c r="D9079">
        <v>86.9</v>
      </c>
      <c r="E9079">
        <v>87.76</v>
      </c>
      <c r="F9079">
        <v>9822300</v>
      </c>
      <c r="G9079">
        <v>87.17</v>
      </c>
      <c r="H9079" t="s">
        <v>3</v>
      </c>
      <c r="I9079" s="22">
        <f t="shared" si="283"/>
        <v>7.0224199253132438E-3</v>
      </c>
      <c r="J9079" s="22" t="str">
        <f t="shared" si="284"/>
        <v/>
      </c>
    </row>
    <row r="9080" spans="1:10">
      <c r="A9080" s="1">
        <v>41522</v>
      </c>
      <c r="B9080">
        <v>88.06</v>
      </c>
      <c r="C9080">
        <v>88.3</v>
      </c>
      <c r="D9080">
        <v>87.33</v>
      </c>
      <c r="E9080">
        <v>87.35</v>
      </c>
      <c r="F9080">
        <v>11740100</v>
      </c>
      <c r="G9080">
        <v>86.76</v>
      </c>
      <c r="H9080" t="s">
        <v>3</v>
      </c>
      <c r="I9080" s="22">
        <f t="shared" si="283"/>
        <v>-4.7145490648110161E-3</v>
      </c>
      <c r="J9080" s="22" t="str">
        <f t="shared" si="284"/>
        <v>lost money</v>
      </c>
    </row>
    <row r="9081" spans="1:10">
      <c r="A9081" s="1">
        <v>41523</v>
      </c>
      <c r="B9081">
        <v>87.49</v>
      </c>
      <c r="C9081">
        <v>87.73</v>
      </c>
      <c r="D9081">
        <v>86.8</v>
      </c>
      <c r="E9081">
        <v>87.25</v>
      </c>
      <c r="F9081">
        <v>12950600</v>
      </c>
      <c r="G9081">
        <v>86.66</v>
      </c>
      <c r="H9081" t="s">
        <v>3</v>
      </c>
      <c r="I9081" s="22">
        <f t="shared" si="283"/>
        <v>-1.1532696469103874E-3</v>
      </c>
      <c r="J9081" s="22" t="str">
        <f t="shared" si="284"/>
        <v>lost money</v>
      </c>
    </row>
    <row r="9082" spans="1:10">
      <c r="A9082" s="1">
        <v>41526</v>
      </c>
      <c r="B9082">
        <v>87.34</v>
      </c>
      <c r="C9082">
        <v>88.19</v>
      </c>
      <c r="D9082">
        <v>87.31</v>
      </c>
      <c r="E9082">
        <v>88.04</v>
      </c>
      <c r="F9082">
        <v>9297000</v>
      </c>
      <c r="G9082">
        <v>87.45</v>
      </c>
      <c r="H9082" t="s">
        <v>3</v>
      </c>
      <c r="I9082" s="22">
        <f t="shared" si="283"/>
        <v>9.0747851528477381E-3</v>
      </c>
      <c r="J9082" s="22" t="str">
        <f t="shared" si="284"/>
        <v/>
      </c>
    </row>
    <row r="9083" spans="1:10">
      <c r="A9083" s="1">
        <v>41527</v>
      </c>
      <c r="B9083">
        <v>88.4</v>
      </c>
      <c r="C9083">
        <v>88.4</v>
      </c>
      <c r="D9083">
        <v>87.28</v>
      </c>
      <c r="E9083">
        <v>87.82</v>
      </c>
      <c r="F9083">
        <v>11823100</v>
      </c>
      <c r="G9083">
        <v>87.23</v>
      </c>
      <c r="H9083" t="s">
        <v>3</v>
      </c>
      <c r="I9083" s="22">
        <f t="shared" si="283"/>
        <v>-2.5188930194839148E-3</v>
      </c>
      <c r="J9083" s="22" t="str">
        <f t="shared" si="284"/>
        <v>lost money</v>
      </c>
    </row>
    <row r="9084" spans="1:10">
      <c r="A9084" s="1">
        <v>41528</v>
      </c>
      <c r="B9084">
        <v>87.88</v>
      </c>
      <c r="C9084">
        <v>88.85</v>
      </c>
      <c r="D9084">
        <v>87.88</v>
      </c>
      <c r="E9084">
        <v>88.84</v>
      </c>
      <c r="F9084">
        <v>11201200</v>
      </c>
      <c r="G9084">
        <v>88.24</v>
      </c>
      <c r="H9084" t="s">
        <v>3</v>
      </c>
      <c r="I9084" s="22">
        <f t="shared" si="283"/>
        <v>1.1512066500119794E-2</v>
      </c>
      <c r="J9084" s="22" t="str">
        <f t="shared" si="284"/>
        <v/>
      </c>
    </row>
    <row r="9085" spans="1:10">
      <c r="A9085" s="1">
        <v>41529</v>
      </c>
      <c r="B9085">
        <v>88.59</v>
      </c>
      <c r="C9085">
        <v>88.8</v>
      </c>
      <c r="D9085">
        <v>87.86</v>
      </c>
      <c r="E9085">
        <v>87.98</v>
      </c>
      <c r="F9085">
        <v>10917200</v>
      </c>
      <c r="G9085">
        <v>87.39</v>
      </c>
      <c r="H9085" t="s">
        <v>3</v>
      </c>
      <c r="I9085" s="22">
        <f t="shared" si="283"/>
        <v>-9.6795153057940043E-3</v>
      </c>
      <c r="J9085" s="22" t="str">
        <f t="shared" si="284"/>
        <v>lost money</v>
      </c>
    </row>
    <row r="9086" spans="1:10">
      <c r="A9086" s="1">
        <v>41530</v>
      </c>
      <c r="B9086">
        <v>88.15</v>
      </c>
      <c r="C9086">
        <v>88.88</v>
      </c>
      <c r="D9086">
        <v>88.15</v>
      </c>
      <c r="E9086">
        <v>88.4</v>
      </c>
      <c r="F9086">
        <v>8254200</v>
      </c>
      <c r="G9086">
        <v>87.8</v>
      </c>
      <c r="H9086" t="s">
        <v>3</v>
      </c>
      <c r="I9086" s="22">
        <f t="shared" si="283"/>
        <v>4.6806410016179646E-3</v>
      </c>
      <c r="J9086" s="22" t="str">
        <f t="shared" si="284"/>
        <v/>
      </c>
    </row>
    <row r="9087" spans="1:10">
      <c r="A9087" s="1">
        <v>41533</v>
      </c>
      <c r="B9087">
        <v>88.88</v>
      </c>
      <c r="C9087">
        <v>89.18</v>
      </c>
      <c r="D9087">
        <v>88.49</v>
      </c>
      <c r="E9087">
        <v>88.67</v>
      </c>
      <c r="F9087">
        <v>9421300</v>
      </c>
      <c r="G9087">
        <v>88.07</v>
      </c>
      <c r="H9087" t="s">
        <v>3</v>
      </c>
      <c r="I9087" s="22">
        <f t="shared" si="283"/>
        <v>3.0704521762970364E-3</v>
      </c>
      <c r="J9087" s="22" t="str">
        <f t="shared" si="284"/>
        <v>lost money</v>
      </c>
    </row>
    <row r="9088" spans="1:10">
      <c r="A9088" s="1">
        <v>41534</v>
      </c>
      <c r="B9088">
        <v>88.71</v>
      </c>
      <c r="C9088">
        <v>89.35</v>
      </c>
      <c r="D9088">
        <v>88.65</v>
      </c>
      <c r="E9088">
        <v>88.94</v>
      </c>
      <c r="F9088">
        <v>8941200</v>
      </c>
      <c r="G9088">
        <v>88.34</v>
      </c>
      <c r="H9088" t="s">
        <v>3</v>
      </c>
      <c r="I9088" s="22">
        <f t="shared" si="283"/>
        <v>3.061053351012367E-3</v>
      </c>
      <c r="J9088" s="22" t="str">
        <f t="shared" si="284"/>
        <v/>
      </c>
    </row>
    <row r="9089" spans="1:10">
      <c r="A9089" s="1">
        <v>41535</v>
      </c>
      <c r="B9089">
        <v>88.91</v>
      </c>
      <c r="C9089">
        <v>89.87</v>
      </c>
      <c r="D9089">
        <v>88.37</v>
      </c>
      <c r="E9089">
        <v>89.58</v>
      </c>
      <c r="F9089">
        <v>15134700</v>
      </c>
      <c r="G9089">
        <v>88.97</v>
      </c>
      <c r="H9089" t="s">
        <v>3</v>
      </c>
      <c r="I9089" s="22">
        <f t="shared" si="283"/>
        <v>7.1062280882956026E-3</v>
      </c>
      <c r="J9089" s="22" t="str">
        <f t="shared" si="284"/>
        <v/>
      </c>
    </row>
    <row r="9090" spans="1:10">
      <c r="A9090" s="1">
        <v>41536</v>
      </c>
      <c r="B9090">
        <v>89.64</v>
      </c>
      <c r="C9090">
        <v>89.74</v>
      </c>
      <c r="D9090">
        <v>88.98</v>
      </c>
      <c r="E9090">
        <v>89.28</v>
      </c>
      <c r="F9090">
        <v>11757500</v>
      </c>
      <c r="G9090">
        <v>88.68</v>
      </c>
      <c r="H9090" t="s">
        <v>3</v>
      </c>
      <c r="I9090" s="22">
        <f t="shared" si="283"/>
        <v>-3.2648495085651286E-3</v>
      </c>
      <c r="J9090" s="22" t="str">
        <f t="shared" si="284"/>
        <v>lost money</v>
      </c>
    </row>
    <row r="9091" spans="1:10">
      <c r="A9091" s="1">
        <v>41537</v>
      </c>
      <c r="B9091">
        <v>89.53</v>
      </c>
      <c r="C9091">
        <v>89.75</v>
      </c>
      <c r="D9091">
        <v>88.59</v>
      </c>
      <c r="E9091">
        <v>88.66</v>
      </c>
      <c r="F9091">
        <v>20651100</v>
      </c>
      <c r="G9091">
        <v>88.06</v>
      </c>
      <c r="H9091" t="s">
        <v>3</v>
      </c>
      <c r="I9091" s="22">
        <f t="shared" ref="I9091:I9140" si="285">IF(A9091=$A$2,"",LN(G9091/G9090))</f>
        <v>-7.0159844205029704E-3</v>
      </c>
      <c r="J9091" s="22" t="str">
        <f t="shared" ref="J9091:J9140" si="286">IF(B9091&gt;E9091,"lost money","")</f>
        <v>lost money</v>
      </c>
    </row>
    <row r="9092" spans="1:10">
      <c r="A9092" s="1">
        <v>41540</v>
      </c>
      <c r="B9092">
        <v>88.29</v>
      </c>
      <c r="C9092">
        <v>88.91</v>
      </c>
      <c r="D9092">
        <v>87.64</v>
      </c>
      <c r="E9092">
        <v>87.75</v>
      </c>
      <c r="F9092">
        <v>12227700</v>
      </c>
      <c r="G9092">
        <v>87.16</v>
      </c>
      <c r="H9092" t="s">
        <v>3</v>
      </c>
      <c r="I9092" s="22">
        <f t="shared" si="285"/>
        <v>-1.0272890251188762E-2</v>
      </c>
      <c r="J9092" s="22" t="str">
        <f t="shared" si="286"/>
        <v>lost money</v>
      </c>
    </row>
    <row r="9093" spans="1:10">
      <c r="A9093" s="1">
        <v>41541</v>
      </c>
      <c r="B9093">
        <v>87.59</v>
      </c>
      <c r="C9093">
        <v>88.07</v>
      </c>
      <c r="D9093">
        <v>87.28</v>
      </c>
      <c r="E9093">
        <v>87.36</v>
      </c>
      <c r="F9093">
        <v>12129200</v>
      </c>
      <c r="G9093">
        <v>86.77</v>
      </c>
      <c r="H9093" t="s">
        <v>3</v>
      </c>
      <c r="I9093" s="22">
        <f t="shared" si="285"/>
        <v>-4.4845702710207495E-3</v>
      </c>
      <c r="J9093" s="22" t="str">
        <f t="shared" si="286"/>
        <v>lost money</v>
      </c>
    </row>
    <row r="9094" spans="1:10">
      <c r="A9094" s="1">
        <v>41542</v>
      </c>
      <c r="B9094">
        <v>87.59</v>
      </c>
      <c r="C9094">
        <v>87.6</v>
      </c>
      <c r="D9094">
        <v>86.93</v>
      </c>
      <c r="E9094">
        <v>87.14</v>
      </c>
      <c r="F9094">
        <v>13577400</v>
      </c>
      <c r="G9094">
        <v>86.55</v>
      </c>
      <c r="H9094" t="s">
        <v>3</v>
      </c>
      <c r="I9094" s="22">
        <f t="shared" si="285"/>
        <v>-2.5386581831800797E-3</v>
      </c>
      <c r="J9094" s="22" t="str">
        <f t="shared" si="286"/>
        <v>lost money</v>
      </c>
    </row>
    <row r="9095" spans="1:10">
      <c r="A9095" s="1">
        <v>41543</v>
      </c>
      <c r="B9095">
        <v>87.4</v>
      </c>
      <c r="C9095">
        <v>87.45</v>
      </c>
      <c r="D9095">
        <v>86.81</v>
      </c>
      <c r="E9095">
        <v>87.07</v>
      </c>
      <c r="F9095">
        <v>9787100</v>
      </c>
      <c r="G9095">
        <v>86.48</v>
      </c>
      <c r="H9095" t="s">
        <v>3</v>
      </c>
      <c r="I9095" s="22">
        <f t="shared" si="285"/>
        <v>-8.0910829126529628E-4</v>
      </c>
      <c r="J9095" s="22" t="str">
        <f t="shared" si="286"/>
        <v>lost money</v>
      </c>
    </row>
    <row r="9096" spans="1:10">
      <c r="A9096" s="1">
        <v>41544</v>
      </c>
      <c r="B9096">
        <v>86.85</v>
      </c>
      <c r="C9096">
        <v>87.01</v>
      </c>
      <c r="D9096">
        <v>86.61</v>
      </c>
      <c r="E9096">
        <v>86.9</v>
      </c>
      <c r="F9096">
        <v>10867100</v>
      </c>
      <c r="G9096">
        <v>86.31</v>
      </c>
      <c r="H9096" t="s">
        <v>3</v>
      </c>
      <c r="I9096" s="22">
        <f t="shared" si="285"/>
        <v>-1.9677070993866326E-3</v>
      </c>
      <c r="J9096" s="22" t="str">
        <f t="shared" si="286"/>
        <v/>
      </c>
    </row>
    <row r="9097" spans="1:10">
      <c r="A9097" s="1">
        <v>41547</v>
      </c>
      <c r="B9097">
        <v>86.06</v>
      </c>
      <c r="C9097">
        <v>86.7</v>
      </c>
      <c r="D9097">
        <v>85.61</v>
      </c>
      <c r="E9097">
        <v>86.04</v>
      </c>
      <c r="F9097">
        <v>17486100</v>
      </c>
      <c r="G9097">
        <v>85.46</v>
      </c>
      <c r="H9097" t="s">
        <v>3</v>
      </c>
      <c r="I9097" s="22">
        <f t="shared" si="285"/>
        <v>-9.8970360156874805E-3</v>
      </c>
      <c r="J9097" s="22" t="str">
        <f t="shared" si="286"/>
        <v>lost money</v>
      </c>
    </row>
    <row r="9098" spans="1:10">
      <c r="A9098" s="1">
        <v>41548</v>
      </c>
      <c r="B9098">
        <v>85.99</v>
      </c>
      <c r="C9098">
        <v>86.34</v>
      </c>
      <c r="D9098">
        <v>85.78</v>
      </c>
      <c r="E9098">
        <v>86</v>
      </c>
      <c r="F9098">
        <v>11885100</v>
      </c>
      <c r="G9098">
        <v>85.42</v>
      </c>
      <c r="H9098" t="s">
        <v>3</v>
      </c>
      <c r="I9098" s="22">
        <f t="shared" si="285"/>
        <v>-4.6816480255832511E-4</v>
      </c>
      <c r="J9098" s="22" t="str">
        <f t="shared" si="286"/>
        <v/>
      </c>
    </row>
    <row r="9099" spans="1:10">
      <c r="A9099" s="1">
        <v>41549</v>
      </c>
      <c r="B9099">
        <v>85.75</v>
      </c>
      <c r="C9099">
        <v>86.11</v>
      </c>
      <c r="D9099">
        <v>85.28</v>
      </c>
      <c r="E9099">
        <v>86.08</v>
      </c>
      <c r="F9099">
        <v>11841400</v>
      </c>
      <c r="G9099">
        <v>85.5</v>
      </c>
      <c r="H9099" t="s">
        <v>3</v>
      </c>
      <c r="I9099" s="22">
        <f t="shared" si="285"/>
        <v>9.3611052939416336E-4</v>
      </c>
      <c r="J9099" s="22" t="str">
        <f t="shared" si="286"/>
        <v/>
      </c>
    </row>
    <row r="9100" spans="1:10">
      <c r="A9100" s="1">
        <v>41550</v>
      </c>
      <c r="B9100">
        <v>86.04</v>
      </c>
      <c r="C9100">
        <v>86.05</v>
      </c>
      <c r="D9100">
        <v>85.34</v>
      </c>
      <c r="E9100">
        <v>85.5</v>
      </c>
      <c r="F9100">
        <v>13923400</v>
      </c>
      <c r="G9100">
        <v>84.92</v>
      </c>
      <c r="H9100" t="s">
        <v>3</v>
      </c>
      <c r="I9100" s="22">
        <f t="shared" si="285"/>
        <v>-6.8067391076591481E-3</v>
      </c>
      <c r="J9100" s="22" t="str">
        <f t="shared" si="286"/>
        <v>lost money</v>
      </c>
    </row>
    <row r="9101" spans="1:10">
      <c r="A9101" s="1">
        <v>41551</v>
      </c>
      <c r="B9101">
        <v>86.31</v>
      </c>
      <c r="C9101">
        <v>86.42</v>
      </c>
      <c r="D9101">
        <v>85.68</v>
      </c>
      <c r="E9101">
        <v>86.32</v>
      </c>
      <c r="F9101">
        <v>11325500</v>
      </c>
      <c r="G9101">
        <v>85.74</v>
      </c>
      <c r="H9101" t="s">
        <v>3</v>
      </c>
      <c r="I9101" s="22">
        <f t="shared" si="285"/>
        <v>9.609824334775606E-3</v>
      </c>
      <c r="J9101" s="22" t="str">
        <f t="shared" si="286"/>
        <v/>
      </c>
    </row>
    <row r="9102" spans="1:10">
      <c r="A9102" s="1">
        <v>41554</v>
      </c>
      <c r="B9102">
        <v>85.57</v>
      </c>
      <c r="C9102">
        <v>86.29</v>
      </c>
      <c r="D9102">
        <v>85.27</v>
      </c>
      <c r="E9102">
        <v>85.9</v>
      </c>
      <c r="F9102">
        <v>10985800</v>
      </c>
      <c r="G9102">
        <v>85.32</v>
      </c>
      <c r="H9102" t="s">
        <v>3</v>
      </c>
      <c r="I9102" s="22">
        <f t="shared" si="285"/>
        <v>-4.9105675666812239E-3</v>
      </c>
      <c r="J9102" s="22" t="str">
        <f t="shared" si="286"/>
        <v/>
      </c>
    </row>
    <row r="9103" spans="1:10">
      <c r="A9103" s="1">
        <v>41555</v>
      </c>
      <c r="B9103">
        <v>85.86</v>
      </c>
      <c r="C9103">
        <v>85.95</v>
      </c>
      <c r="D9103">
        <v>85.47</v>
      </c>
      <c r="E9103">
        <v>85.51</v>
      </c>
      <c r="F9103">
        <v>15335700</v>
      </c>
      <c r="G9103">
        <v>84.93</v>
      </c>
      <c r="H9103" t="s">
        <v>3</v>
      </c>
      <c r="I9103" s="22">
        <f t="shared" si="285"/>
        <v>-4.5815058112317454E-3</v>
      </c>
      <c r="J9103" s="22" t="str">
        <f t="shared" si="286"/>
        <v>lost money</v>
      </c>
    </row>
    <row r="9104" spans="1:10">
      <c r="A9104" s="1">
        <v>41556</v>
      </c>
      <c r="B9104">
        <v>85.35</v>
      </c>
      <c r="C9104">
        <v>85.59</v>
      </c>
      <c r="D9104">
        <v>84.83</v>
      </c>
      <c r="E9104">
        <v>85.16</v>
      </c>
      <c r="F9104">
        <v>13575100</v>
      </c>
      <c r="G9104">
        <v>84.58</v>
      </c>
      <c r="H9104" t="s">
        <v>3</v>
      </c>
      <c r="I9104" s="22">
        <f t="shared" si="285"/>
        <v>-4.1295557475754764E-3</v>
      </c>
      <c r="J9104" s="22" t="str">
        <f t="shared" si="286"/>
        <v>lost money</v>
      </c>
    </row>
    <row r="9105" spans="1:10">
      <c r="A9105" s="1">
        <v>41557</v>
      </c>
      <c r="B9105">
        <v>85.52</v>
      </c>
      <c r="C9105">
        <v>86.04</v>
      </c>
      <c r="D9105">
        <v>84.79</v>
      </c>
      <c r="E9105">
        <v>86.04</v>
      </c>
      <c r="F9105">
        <v>17532400</v>
      </c>
      <c r="G9105">
        <v>85.46</v>
      </c>
      <c r="H9105" t="s">
        <v>3</v>
      </c>
      <c r="I9105" s="22">
        <f t="shared" si="285"/>
        <v>1.0350598171536277E-2</v>
      </c>
      <c r="J9105" s="22" t="str">
        <f t="shared" si="286"/>
        <v/>
      </c>
    </row>
    <row r="9106" spans="1:10">
      <c r="A9106" s="1">
        <v>41558</v>
      </c>
      <c r="B9106">
        <v>85.9</v>
      </c>
      <c r="C9106">
        <v>86.95</v>
      </c>
      <c r="D9106">
        <v>85.5</v>
      </c>
      <c r="E9106">
        <v>86.95</v>
      </c>
      <c r="F9106">
        <v>12661800</v>
      </c>
      <c r="G9106">
        <v>86.36</v>
      </c>
      <c r="H9106" t="s">
        <v>3</v>
      </c>
      <c r="I9106" s="22">
        <f t="shared" si="285"/>
        <v>1.0476175430727765E-2</v>
      </c>
      <c r="J9106" s="22" t="str">
        <f t="shared" si="286"/>
        <v/>
      </c>
    </row>
    <row r="9107" spans="1:10">
      <c r="A9107" s="1">
        <v>41561</v>
      </c>
      <c r="B9107">
        <v>86.51</v>
      </c>
      <c r="C9107">
        <v>87.74</v>
      </c>
      <c r="D9107">
        <v>86.51</v>
      </c>
      <c r="E9107">
        <v>87.6</v>
      </c>
      <c r="F9107">
        <v>9742100</v>
      </c>
      <c r="G9107">
        <v>87.01</v>
      </c>
      <c r="H9107" t="s">
        <v>3</v>
      </c>
      <c r="I9107" s="22">
        <f t="shared" si="285"/>
        <v>7.4984489313264973E-3</v>
      </c>
      <c r="J9107" s="22" t="str">
        <f t="shared" si="286"/>
        <v/>
      </c>
    </row>
    <row r="9108" spans="1:10">
      <c r="A9108" s="1">
        <v>41562</v>
      </c>
      <c r="B9108">
        <v>87.47</v>
      </c>
      <c r="C9108">
        <v>87.58</v>
      </c>
      <c r="D9108">
        <v>86.64</v>
      </c>
      <c r="E9108">
        <v>86.79</v>
      </c>
      <c r="F9108">
        <v>12018000</v>
      </c>
      <c r="G9108">
        <v>86.2</v>
      </c>
      <c r="H9108" t="s">
        <v>3</v>
      </c>
      <c r="I9108" s="22">
        <f t="shared" si="285"/>
        <v>-9.3528769082856997E-3</v>
      </c>
      <c r="J9108" s="22" t="str">
        <f t="shared" si="286"/>
        <v>lost money</v>
      </c>
    </row>
    <row r="9109" spans="1:10">
      <c r="A9109" s="1">
        <v>41563</v>
      </c>
      <c r="B9109">
        <v>87.48</v>
      </c>
      <c r="C9109">
        <v>87.86</v>
      </c>
      <c r="D9109">
        <v>86.72</v>
      </c>
      <c r="E9109">
        <v>87.31</v>
      </c>
      <c r="F9109">
        <v>11668100</v>
      </c>
      <c r="G9109">
        <v>86.72</v>
      </c>
      <c r="H9109" t="s">
        <v>3</v>
      </c>
      <c r="I9109" s="22">
        <f t="shared" si="285"/>
        <v>6.0143600216885579E-3</v>
      </c>
      <c r="J9109" s="22" t="str">
        <f t="shared" si="286"/>
        <v>lost money</v>
      </c>
    </row>
    <row r="9110" spans="1:10">
      <c r="A9110" s="1">
        <v>41564</v>
      </c>
      <c r="B9110">
        <v>87.13</v>
      </c>
      <c r="C9110">
        <v>87.5</v>
      </c>
      <c r="D9110">
        <v>87.01</v>
      </c>
      <c r="E9110">
        <v>87.48</v>
      </c>
      <c r="F9110">
        <v>10438200</v>
      </c>
      <c r="G9110">
        <v>86.89</v>
      </c>
      <c r="H9110" t="s">
        <v>3</v>
      </c>
      <c r="I9110" s="22">
        <f t="shared" si="285"/>
        <v>1.9584131597785363E-3</v>
      </c>
      <c r="J9110" s="22" t="str">
        <f t="shared" si="286"/>
        <v/>
      </c>
    </row>
    <row r="9111" spans="1:10">
      <c r="A9111" s="1">
        <v>41565</v>
      </c>
      <c r="B9111">
        <v>87.69</v>
      </c>
      <c r="C9111">
        <v>87.74</v>
      </c>
      <c r="D9111">
        <v>87.3</v>
      </c>
      <c r="E9111">
        <v>87.55</v>
      </c>
      <c r="F9111">
        <v>12425100</v>
      </c>
      <c r="G9111">
        <v>86.96</v>
      </c>
      <c r="H9111" t="s">
        <v>3</v>
      </c>
      <c r="I9111" s="22">
        <f t="shared" si="285"/>
        <v>8.0529196183927866E-4</v>
      </c>
      <c r="J9111" s="22" t="str">
        <f t="shared" si="286"/>
        <v>lost money</v>
      </c>
    </row>
    <row r="9112" spans="1:10">
      <c r="A9112" s="1">
        <v>41568</v>
      </c>
      <c r="B9112">
        <v>87.5</v>
      </c>
      <c r="C9112">
        <v>87.65</v>
      </c>
      <c r="D9112">
        <v>86.84</v>
      </c>
      <c r="E9112">
        <v>87.23</v>
      </c>
      <c r="F9112">
        <v>10730900</v>
      </c>
      <c r="G9112">
        <v>86.64</v>
      </c>
      <c r="H9112" t="s">
        <v>3</v>
      </c>
      <c r="I9112" s="22">
        <f t="shared" si="285"/>
        <v>-3.6866401202187405E-3</v>
      </c>
      <c r="J9112" s="22" t="str">
        <f t="shared" si="286"/>
        <v>lost money</v>
      </c>
    </row>
    <row r="9113" spans="1:10">
      <c r="A9113" s="1">
        <v>41569</v>
      </c>
      <c r="B9113">
        <v>87.29</v>
      </c>
      <c r="C9113">
        <v>88.15</v>
      </c>
      <c r="D9113">
        <v>87.13</v>
      </c>
      <c r="E9113">
        <v>87.98</v>
      </c>
      <c r="F9113">
        <v>12710600</v>
      </c>
      <c r="G9113">
        <v>87.39</v>
      </c>
      <c r="H9113" t="s">
        <v>3</v>
      </c>
      <c r="I9113" s="22">
        <f t="shared" si="285"/>
        <v>8.619256946717755E-3</v>
      </c>
      <c r="J9113" s="22" t="str">
        <f t="shared" si="286"/>
        <v/>
      </c>
    </row>
    <row r="9114" spans="1:10">
      <c r="A9114" s="1">
        <v>41570</v>
      </c>
      <c r="B9114">
        <v>87.52</v>
      </c>
      <c r="C9114">
        <v>87.65</v>
      </c>
      <c r="D9114">
        <v>86.95</v>
      </c>
      <c r="E9114">
        <v>87.61</v>
      </c>
      <c r="F9114">
        <v>11449100</v>
      </c>
      <c r="G9114">
        <v>87.02</v>
      </c>
      <c r="H9114" t="s">
        <v>3</v>
      </c>
      <c r="I9114" s="22">
        <f t="shared" si="285"/>
        <v>-4.2428823469188989E-3</v>
      </c>
      <c r="J9114" s="22" t="str">
        <f t="shared" si="286"/>
        <v/>
      </c>
    </row>
    <row r="9115" spans="1:10">
      <c r="A9115" s="1">
        <v>41571</v>
      </c>
      <c r="B9115">
        <v>87.98</v>
      </c>
      <c r="C9115">
        <v>88.73</v>
      </c>
      <c r="D9115">
        <v>87.97</v>
      </c>
      <c r="E9115">
        <v>88.42</v>
      </c>
      <c r="F9115">
        <v>12288900</v>
      </c>
      <c r="G9115">
        <v>87.82</v>
      </c>
      <c r="H9115" t="s">
        <v>3</v>
      </c>
      <c r="I9115" s="22">
        <f t="shared" si="285"/>
        <v>9.1512878410372183E-3</v>
      </c>
      <c r="J9115" s="22" t="str">
        <f t="shared" si="286"/>
        <v/>
      </c>
    </row>
    <row r="9116" spans="1:10">
      <c r="A9116" s="1">
        <v>41572</v>
      </c>
      <c r="B9116">
        <v>88.23</v>
      </c>
      <c r="C9116">
        <v>88.65</v>
      </c>
      <c r="D9116">
        <v>87.82</v>
      </c>
      <c r="E9116">
        <v>87.97</v>
      </c>
      <c r="F9116">
        <v>11382000</v>
      </c>
      <c r="G9116">
        <v>87.38</v>
      </c>
      <c r="H9116" t="s">
        <v>3</v>
      </c>
      <c r="I9116" s="22">
        <f t="shared" si="285"/>
        <v>-5.0228416102815364E-3</v>
      </c>
      <c r="J9116" s="22" t="str">
        <f t="shared" si="286"/>
        <v>lost money</v>
      </c>
    </row>
    <row r="9117" spans="1:10">
      <c r="A9117" s="1">
        <v>41575</v>
      </c>
      <c r="B9117">
        <v>87.83</v>
      </c>
      <c r="C9117">
        <v>88.46</v>
      </c>
      <c r="D9117">
        <v>87.61</v>
      </c>
      <c r="E9117">
        <v>88.23</v>
      </c>
      <c r="F9117">
        <v>9921900</v>
      </c>
      <c r="G9117">
        <v>87.63</v>
      </c>
      <c r="H9117" t="s">
        <v>3</v>
      </c>
      <c r="I9117" s="22">
        <f t="shared" si="285"/>
        <v>2.8569815444694571E-3</v>
      </c>
      <c r="J9117" s="22" t="str">
        <f t="shared" si="286"/>
        <v/>
      </c>
    </row>
    <row r="9118" spans="1:10">
      <c r="A9118" s="1">
        <v>41576</v>
      </c>
      <c r="B9118">
        <v>88.45</v>
      </c>
      <c r="C9118">
        <v>89.03</v>
      </c>
      <c r="D9118">
        <v>88.44</v>
      </c>
      <c r="E9118">
        <v>88.93</v>
      </c>
      <c r="F9118">
        <v>10340000</v>
      </c>
      <c r="G9118">
        <v>88.33</v>
      </c>
      <c r="H9118" t="s">
        <v>3</v>
      </c>
      <c r="I9118" s="22">
        <f t="shared" si="285"/>
        <v>7.9563956892815795E-3</v>
      </c>
      <c r="J9118" s="22" t="str">
        <f t="shared" si="286"/>
        <v/>
      </c>
    </row>
    <row r="9119" spans="1:10">
      <c r="A9119" s="1">
        <v>41577</v>
      </c>
      <c r="B9119">
        <v>88.97</v>
      </c>
      <c r="C9119">
        <v>89.48</v>
      </c>
      <c r="D9119">
        <v>88.69</v>
      </c>
      <c r="E9119">
        <v>88.81</v>
      </c>
      <c r="F9119">
        <v>14305900</v>
      </c>
      <c r="G9119">
        <v>88.21</v>
      </c>
      <c r="H9119" t="s">
        <v>3</v>
      </c>
      <c r="I9119" s="22">
        <f t="shared" si="285"/>
        <v>-1.359465486365359E-3</v>
      </c>
      <c r="J9119" s="22" t="str">
        <f t="shared" si="286"/>
        <v>lost money</v>
      </c>
    </row>
    <row r="9120" spans="1:10">
      <c r="A9120" s="1">
        <v>41578</v>
      </c>
      <c r="B9120">
        <v>89.45</v>
      </c>
      <c r="C9120">
        <v>90.96</v>
      </c>
      <c r="D9120">
        <v>89.2</v>
      </c>
      <c r="E9120">
        <v>89.62</v>
      </c>
      <c r="F9120">
        <v>19185200</v>
      </c>
      <c r="G9120">
        <v>89.01</v>
      </c>
      <c r="H9120" t="s">
        <v>3</v>
      </c>
      <c r="I9120" s="22">
        <f t="shared" si="285"/>
        <v>9.0283877001646664E-3</v>
      </c>
      <c r="J9120" s="22" t="str">
        <f t="shared" si="286"/>
        <v/>
      </c>
    </row>
    <row r="9121" spans="1:10">
      <c r="A9121" s="1">
        <v>41579</v>
      </c>
      <c r="B9121">
        <v>89.74</v>
      </c>
      <c r="C9121">
        <v>90.04</v>
      </c>
      <c r="D9121">
        <v>88.27</v>
      </c>
      <c r="E9121">
        <v>89.82</v>
      </c>
      <c r="F9121">
        <v>19023500</v>
      </c>
      <c r="G9121">
        <v>89.21</v>
      </c>
      <c r="H9121" t="s">
        <v>3</v>
      </c>
      <c r="I9121" s="22">
        <f t="shared" si="285"/>
        <v>2.2444179548519114E-3</v>
      </c>
      <c r="J9121" s="22" t="str">
        <f t="shared" si="286"/>
        <v/>
      </c>
    </row>
    <row r="9122" spans="1:10">
      <c r="A9122" s="1">
        <v>41582</v>
      </c>
      <c r="B9122">
        <v>90</v>
      </c>
      <c r="C9122">
        <v>92.27</v>
      </c>
      <c r="D9122">
        <v>90</v>
      </c>
      <c r="E9122">
        <v>92.1</v>
      </c>
      <c r="F9122">
        <v>20591600</v>
      </c>
      <c r="G9122">
        <v>91.48</v>
      </c>
      <c r="H9122" t="s">
        <v>3</v>
      </c>
      <c r="I9122" s="22">
        <f t="shared" si="285"/>
        <v>2.5127228228888365E-2</v>
      </c>
      <c r="J9122" s="22" t="str">
        <f t="shared" si="286"/>
        <v/>
      </c>
    </row>
    <row r="9123" spans="1:10">
      <c r="A9123" s="1">
        <v>41583</v>
      </c>
      <c r="B9123">
        <v>91.34</v>
      </c>
      <c r="C9123">
        <v>93.25</v>
      </c>
      <c r="D9123">
        <v>91.24</v>
      </c>
      <c r="E9123">
        <v>91.99</v>
      </c>
      <c r="F9123">
        <v>21122500</v>
      </c>
      <c r="G9123">
        <v>91.37</v>
      </c>
      <c r="H9123" t="s">
        <v>3</v>
      </c>
      <c r="I9123" s="22">
        <f t="shared" si="285"/>
        <v>-1.2031721440511523E-3</v>
      </c>
      <c r="J9123" s="22" t="str">
        <f t="shared" si="286"/>
        <v/>
      </c>
    </row>
    <row r="9124" spans="1:10">
      <c r="A9124" s="1">
        <v>41584</v>
      </c>
      <c r="B9124">
        <v>92.42</v>
      </c>
      <c r="C9124">
        <v>93.28</v>
      </c>
      <c r="D9124">
        <v>92.12</v>
      </c>
      <c r="E9124">
        <v>93.22</v>
      </c>
      <c r="F9124">
        <v>13464600</v>
      </c>
      <c r="G9124">
        <v>92.59</v>
      </c>
      <c r="H9124" t="s">
        <v>3</v>
      </c>
      <c r="I9124" s="22">
        <f t="shared" si="285"/>
        <v>1.3263947449426433E-2</v>
      </c>
      <c r="J9124" s="22" t="str">
        <f t="shared" si="286"/>
        <v/>
      </c>
    </row>
    <row r="9125" spans="1:10">
      <c r="A9125" s="1">
        <v>41585</v>
      </c>
      <c r="B9125">
        <v>92.64</v>
      </c>
      <c r="C9125">
        <v>92.98</v>
      </c>
      <c r="D9125">
        <v>91.76</v>
      </c>
      <c r="E9125">
        <v>91.96</v>
      </c>
      <c r="F9125">
        <v>16572100</v>
      </c>
      <c r="G9125">
        <v>91.96</v>
      </c>
      <c r="H9125" t="s">
        <v>3</v>
      </c>
      <c r="I9125" s="22">
        <f t="shared" si="285"/>
        <v>-6.8274445649750496E-3</v>
      </c>
      <c r="J9125" s="22" t="str">
        <f t="shared" si="286"/>
        <v>lost money</v>
      </c>
    </row>
    <row r="9126" spans="1:10">
      <c r="A9126" s="1">
        <v>41586</v>
      </c>
      <c r="B9126">
        <v>91.8</v>
      </c>
      <c r="C9126">
        <v>92.82</v>
      </c>
      <c r="D9126">
        <v>91.48</v>
      </c>
      <c r="E9126">
        <v>92.73</v>
      </c>
      <c r="F9126">
        <v>12330100</v>
      </c>
      <c r="G9126">
        <v>92.73</v>
      </c>
      <c r="H9126" t="s">
        <v>3</v>
      </c>
      <c r="I9126" s="22">
        <f t="shared" si="285"/>
        <v>8.3383449171538487E-3</v>
      </c>
      <c r="J9126" s="22" t="str">
        <f t="shared" si="286"/>
        <v/>
      </c>
    </row>
    <row r="9127" spans="1:10">
      <c r="A9127" s="1">
        <v>41589</v>
      </c>
      <c r="B9127">
        <v>92.85</v>
      </c>
      <c r="C9127">
        <v>93.23</v>
      </c>
      <c r="D9127">
        <v>92.5</v>
      </c>
      <c r="E9127">
        <v>92.96</v>
      </c>
      <c r="F9127">
        <v>7924700</v>
      </c>
      <c r="G9127">
        <v>92.96</v>
      </c>
      <c r="H9127" t="s">
        <v>3</v>
      </c>
      <c r="I9127" s="22">
        <f t="shared" si="285"/>
        <v>2.4772482914662665E-3</v>
      </c>
      <c r="J9127" s="22" t="str">
        <f t="shared" si="286"/>
        <v/>
      </c>
    </row>
    <row r="9128" spans="1:10">
      <c r="A9128" s="1">
        <v>41590</v>
      </c>
      <c r="B9128">
        <v>92.67</v>
      </c>
      <c r="C9128">
        <v>93.32</v>
      </c>
      <c r="D9128">
        <v>92.5</v>
      </c>
      <c r="E9128">
        <v>92.67</v>
      </c>
      <c r="F9128">
        <v>10727300</v>
      </c>
      <c r="G9128">
        <v>92.67</v>
      </c>
      <c r="H9128" t="s">
        <v>3</v>
      </c>
      <c r="I9128" s="22">
        <f t="shared" si="285"/>
        <v>-3.1244975050010284E-3</v>
      </c>
      <c r="J9128" s="22" t="str">
        <f t="shared" si="286"/>
        <v/>
      </c>
    </row>
    <row r="9129" spans="1:10">
      <c r="A9129" s="1">
        <v>41591</v>
      </c>
      <c r="B9129">
        <v>92.22</v>
      </c>
      <c r="C9129">
        <v>92.74</v>
      </c>
      <c r="D9129">
        <v>92.07</v>
      </c>
      <c r="E9129">
        <v>92.59</v>
      </c>
      <c r="F9129">
        <v>9280000</v>
      </c>
      <c r="G9129">
        <v>92.59</v>
      </c>
      <c r="H9129" t="s">
        <v>3</v>
      </c>
      <c r="I9129" s="22">
        <f t="shared" si="285"/>
        <v>-8.6365113864429451E-4</v>
      </c>
      <c r="J9129" s="22" t="str">
        <f t="shared" si="286"/>
        <v/>
      </c>
    </row>
    <row r="9130" spans="1:10">
      <c r="A9130" s="1">
        <v>41592</v>
      </c>
      <c r="B9130">
        <v>92.68</v>
      </c>
      <c r="C9130">
        <v>93.42</v>
      </c>
      <c r="D9130">
        <v>92.68</v>
      </c>
      <c r="E9130">
        <v>93.22</v>
      </c>
      <c r="F9130">
        <v>7909200</v>
      </c>
      <c r="G9130">
        <v>93.22</v>
      </c>
      <c r="H9130" t="s">
        <v>3</v>
      </c>
      <c r="I9130" s="22">
        <f t="shared" si="285"/>
        <v>6.7811464846390616E-3</v>
      </c>
      <c r="J9130" s="22" t="str">
        <f t="shared" si="286"/>
        <v/>
      </c>
    </row>
    <row r="9131" spans="1:10">
      <c r="A9131" s="1">
        <v>41593</v>
      </c>
      <c r="B9131">
        <v>94.15</v>
      </c>
      <c r="C9131">
        <v>95.29</v>
      </c>
      <c r="D9131">
        <v>94.03</v>
      </c>
      <c r="E9131">
        <v>95.27</v>
      </c>
      <c r="F9131">
        <v>18374500</v>
      </c>
      <c r="G9131">
        <v>95.27</v>
      </c>
      <c r="H9131" t="s">
        <v>3</v>
      </c>
      <c r="I9131" s="22">
        <f t="shared" si="285"/>
        <v>2.1752674774093102E-2</v>
      </c>
      <c r="J9131" s="22" t="str">
        <f t="shared" si="286"/>
        <v/>
      </c>
    </row>
    <row r="9132" spans="1:10">
      <c r="A9132" s="1">
        <v>41596</v>
      </c>
      <c r="B9132">
        <v>95.98</v>
      </c>
      <c r="C9132">
        <v>96</v>
      </c>
      <c r="D9132">
        <v>95.06</v>
      </c>
      <c r="E9132">
        <v>95.45</v>
      </c>
      <c r="F9132">
        <v>14243700</v>
      </c>
      <c r="G9132">
        <v>95.45</v>
      </c>
      <c r="H9132" t="s">
        <v>3</v>
      </c>
      <c r="I9132" s="22">
        <f t="shared" si="285"/>
        <v>1.887584453068746E-3</v>
      </c>
      <c r="J9132" s="22" t="str">
        <f t="shared" si="286"/>
        <v>lost money</v>
      </c>
    </row>
    <row r="9133" spans="1:10">
      <c r="A9133" s="1">
        <v>41597</v>
      </c>
      <c r="B9133">
        <v>95.4</v>
      </c>
      <c r="C9133">
        <v>95.79</v>
      </c>
      <c r="D9133">
        <v>95.16</v>
      </c>
      <c r="E9133">
        <v>95.42</v>
      </c>
      <c r="F9133">
        <v>12697300</v>
      </c>
      <c r="G9133">
        <v>95.42</v>
      </c>
      <c r="H9133" t="s">
        <v>3</v>
      </c>
      <c r="I9133" s="22">
        <f t="shared" si="285"/>
        <v>-3.1435008379567669E-4</v>
      </c>
      <c r="J9133" s="22" t="str">
        <f t="shared" si="286"/>
        <v/>
      </c>
    </row>
    <row r="9134" spans="1:10">
      <c r="A9134" s="1">
        <v>41598</v>
      </c>
      <c r="B9134">
        <v>95.75</v>
      </c>
      <c r="C9134">
        <v>95.95</v>
      </c>
      <c r="D9134">
        <v>94.37</v>
      </c>
      <c r="E9134">
        <v>94.68</v>
      </c>
      <c r="F9134">
        <v>10455400</v>
      </c>
      <c r="G9134">
        <v>94.68</v>
      </c>
      <c r="H9134" t="s">
        <v>3</v>
      </c>
      <c r="I9134" s="22">
        <f t="shared" si="285"/>
        <v>-7.785415442177708E-3</v>
      </c>
      <c r="J9134" s="22" t="str">
        <f t="shared" si="286"/>
        <v>lost money</v>
      </c>
    </row>
    <row r="9135" spans="1:10">
      <c r="A9135" s="1">
        <v>41599</v>
      </c>
      <c r="B9135">
        <v>94.85</v>
      </c>
      <c r="C9135">
        <v>95.39</v>
      </c>
      <c r="D9135">
        <v>94.63</v>
      </c>
      <c r="E9135">
        <v>94.69</v>
      </c>
      <c r="F9135">
        <v>9128400</v>
      </c>
      <c r="G9135">
        <v>94.69</v>
      </c>
      <c r="H9135" t="s">
        <v>3</v>
      </c>
      <c r="I9135" s="22">
        <f t="shared" si="285"/>
        <v>1.0561334962536842E-4</v>
      </c>
      <c r="J9135" s="22" t="str">
        <f t="shared" si="286"/>
        <v>lost money</v>
      </c>
    </row>
    <row r="9136" spans="1:10">
      <c r="A9136" s="1">
        <v>41600</v>
      </c>
      <c r="B9136">
        <v>94.96</v>
      </c>
      <c r="C9136">
        <v>95.07</v>
      </c>
      <c r="D9136">
        <v>94.29</v>
      </c>
      <c r="E9136">
        <v>95.01</v>
      </c>
      <c r="F9136">
        <v>8534700</v>
      </c>
      <c r="G9136">
        <v>95.01</v>
      </c>
      <c r="H9136" t="s">
        <v>3</v>
      </c>
      <c r="I9136" s="22">
        <f t="shared" si="285"/>
        <v>3.373751223249395E-3</v>
      </c>
      <c r="J9136" s="22" t="str">
        <f t="shared" si="286"/>
        <v/>
      </c>
    </row>
    <row r="9137" spans="1:10">
      <c r="A9137" s="1">
        <v>41603</v>
      </c>
      <c r="B9137">
        <v>95.21</v>
      </c>
      <c r="C9137">
        <v>95.75</v>
      </c>
      <c r="D9137">
        <v>94.83</v>
      </c>
      <c r="E9137">
        <v>95.09</v>
      </c>
      <c r="F9137">
        <v>10515100</v>
      </c>
      <c r="G9137">
        <v>95.09</v>
      </c>
      <c r="H9137" t="s">
        <v>3</v>
      </c>
      <c r="I9137" s="22">
        <f t="shared" si="285"/>
        <v>8.4166233269472883E-4</v>
      </c>
      <c r="J9137" s="22" t="str">
        <f t="shared" si="286"/>
        <v>lost money</v>
      </c>
    </row>
    <row r="9138" spans="1:10">
      <c r="A9138" s="1">
        <v>41604</v>
      </c>
      <c r="B9138">
        <v>94.75</v>
      </c>
      <c r="C9138">
        <v>94.81</v>
      </c>
      <c r="D9138">
        <v>94.15</v>
      </c>
      <c r="E9138">
        <v>94.27</v>
      </c>
      <c r="F9138">
        <v>11857900</v>
      </c>
      <c r="G9138">
        <v>94.27</v>
      </c>
      <c r="H9138" t="s">
        <v>3</v>
      </c>
      <c r="I9138" s="22">
        <f t="shared" si="285"/>
        <v>-8.6608061432939323E-3</v>
      </c>
      <c r="J9138" s="22" t="str">
        <f t="shared" si="286"/>
        <v>lost money</v>
      </c>
    </row>
    <row r="9139" spans="1:10">
      <c r="A9139" s="1">
        <v>41605</v>
      </c>
      <c r="B9139">
        <v>94.36</v>
      </c>
      <c r="C9139">
        <v>94.42</v>
      </c>
      <c r="D9139">
        <v>93.48</v>
      </c>
      <c r="E9139">
        <v>93.8</v>
      </c>
      <c r="F9139">
        <v>8828100</v>
      </c>
      <c r="G9139">
        <v>93.8</v>
      </c>
      <c r="H9139" t="s">
        <v>3</v>
      </c>
      <c r="I9139" s="22">
        <f t="shared" si="285"/>
        <v>-4.9981493958799516E-3</v>
      </c>
      <c r="J9139" s="22" t="str">
        <f t="shared" si="286"/>
        <v>lost money</v>
      </c>
    </row>
    <row r="9140" spans="1:10">
      <c r="A9140" s="1">
        <v>41607</v>
      </c>
      <c r="B9140">
        <v>93.65</v>
      </c>
      <c r="C9140">
        <v>94.22</v>
      </c>
      <c r="D9140">
        <v>93.3</v>
      </c>
      <c r="E9140">
        <v>93.48</v>
      </c>
      <c r="F9140">
        <v>6770500</v>
      </c>
      <c r="G9140">
        <v>93.48</v>
      </c>
      <c r="H9140" t="s">
        <v>3</v>
      </c>
      <c r="I9140" s="22">
        <f t="shared" si="285"/>
        <v>-3.4173463415216919E-3</v>
      </c>
      <c r="J9140" s="22" t="str">
        <f t="shared" si="286"/>
        <v>lost money</v>
      </c>
    </row>
  </sheetData>
  <sortState xmlns:xlrd2="http://schemas.microsoft.com/office/spreadsheetml/2017/richdata2" ref="N4:N22">
    <sortCondition ref="N4:N22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Business</dc:creator>
  <cp:lastModifiedBy>Tylar Dillon</cp:lastModifiedBy>
  <dcterms:created xsi:type="dcterms:W3CDTF">2014-01-03T18:02:27Z</dcterms:created>
  <dcterms:modified xsi:type="dcterms:W3CDTF">2025-02-03T22:22:49Z</dcterms:modified>
</cp:coreProperties>
</file>