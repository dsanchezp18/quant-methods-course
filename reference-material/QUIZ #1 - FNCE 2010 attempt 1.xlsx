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ydi5021_colorado_edu/Documents/"/>
    </mc:Choice>
  </mc:AlternateContent>
  <xr:revisionPtr revIDLastSave="9" documentId="8_{1BFE01B2-839C-8F41-83F3-76F1C8A696EF}" xr6:coauthVersionLast="47" xr6:coauthVersionMax="47" xr10:uidLastSave="{891EAE9D-9975-FE4C-ACC0-BDF4FE3261FA}"/>
  <bookViews>
    <workbookView xWindow="5320" yWindow="500" windowWidth="14520" windowHeight="15840" activeTab="1" xr2:uid="{00000000-000D-0000-FFFF-FFFF00000000}"/>
  </bookViews>
  <sheets>
    <sheet name="Sheet2" sheetId="2" r:id="rId1"/>
    <sheet name="Sheet1" sheetId="1" r:id="rId2"/>
    <sheet name="Sheet1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H4" i="1"/>
  <c r="H4" i="3"/>
  <c r="H5" i="3"/>
  <c r="K5" i="3"/>
  <c r="H6" i="3"/>
  <c r="H7" i="3"/>
  <c r="M7" i="3"/>
  <c r="M4" i="3" s="1"/>
  <c r="H8" i="3"/>
  <c r="H9" i="3"/>
  <c r="H10" i="3"/>
  <c r="H11" i="3"/>
  <c r="H12" i="3"/>
  <c r="J12" i="3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K29" i="3"/>
  <c r="M3" i="3"/>
  <c r="L29" i="3"/>
  <c r="H30" i="3" l="1"/>
  <c r="K30" i="3"/>
  <c r="L30" i="3"/>
  <c r="H31" i="3" l="1"/>
  <c r="K31" i="3"/>
  <c r="L31" i="3"/>
  <c r="H32" i="3" l="1"/>
  <c r="H33" i="3"/>
  <c r="K33" i="3"/>
  <c r="L32" i="3"/>
  <c r="L33" i="3"/>
  <c r="K3" i="3" l="1" a="1"/>
  <c r="K3" i="3" s="1"/>
  <c r="H34" i="3"/>
  <c r="H35" i="3"/>
  <c r="H36" i="3"/>
  <c r="H37" i="3"/>
  <c r="H38" i="3"/>
  <c r="H39" i="3"/>
  <c r="H40" i="3"/>
  <c r="H41" i="3"/>
  <c r="L41" i="3"/>
  <c r="H42" i="3"/>
  <c r="H43" i="3"/>
  <c r="H44" i="3"/>
  <c r="H45" i="3"/>
  <c r="H46" i="3"/>
  <c r="K46" i="3"/>
  <c r="H47" i="3"/>
  <c r="K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K33" i="1"/>
  <c r="N29" i="1"/>
  <c r="H3" i="1"/>
  <c r="K31" i="1"/>
  <c r="K30" i="1"/>
  <c r="M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K32" i="1"/>
  <c r="K29" i="1"/>
  <c r="J12" i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L33" i="1"/>
  <c r="O5" i="1"/>
  <c r="M4" i="1"/>
  <c r="O29" i="1"/>
  <c r="J2" i="1"/>
  <c r="L31" i="1"/>
  <c r="L29" i="1"/>
  <c r="M3" i="1"/>
  <c r="L30" i="1"/>
  <c r="L32" i="1"/>
  <c r="K4" i="3" l="1"/>
  <c r="L6" i="1"/>
  <c r="K6" i="1"/>
  <c r="J6" i="1"/>
  <c r="K4" i="1" l="1"/>
  <c r="O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<sst xmlns="http://schemas.openxmlformats.org/spreadsheetml/2006/main" count="5128" uniqueCount="55">
  <si>
    <t>Date</t>
  </si>
  <si>
    <t>Ticker</t>
  </si>
  <si>
    <t>High</t>
  </si>
  <si>
    <t>Low</t>
  </si>
  <si>
    <t>Close</t>
  </si>
  <si>
    <t>Adj Close</t>
  </si>
  <si>
    <t>RETURN</t>
  </si>
  <si>
    <t>question 4</t>
  </si>
  <si>
    <t>question 5</t>
  </si>
  <si>
    <t>date</t>
  </si>
  <si>
    <t>question 3</t>
  </si>
  <si>
    <t>Question 2</t>
  </si>
  <si>
    <t>question 6</t>
  </si>
  <si>
    <t>question 8</t>
  </si>
  <si>
    <t>question 9</t>
  </si>
  <si>
    <t>TXO</t>
  </si>
  <si>
    <t>AGI</t>
  </si>
  <si>
    <t>BBB</t>
  </si>
  <si>
    <t>TBR</t>
  </si>
  <si>
    <t>HGR</t>
  </si>
  <si>
    <t>Stock 3</t>
  </si>
  <si>
    <t>Stock 2</t>
  </si>
  <si>
    <t>Stock 1</t>
  </si>
  <si>
    <t>Stock 4</t>
  </si>
  <si>
    <t>Stock 5</t>
  </si>
  <si>
    <t>Stock 6</t>
  </si>
  <si>
    <t>Portfolio Return</t>
  </si>
  <si>
    <r>
      <t xml:space="preserve">                </t>
    </r>
    <r>
      <rPr>
        <b/>
        <sz val="11"/>
        <color theme="1"/>
        <rFont val="Calibri"/>
        <family val="2"/>
        <scheme val="minor"/>
      </rPr>
      <t xml:space="preserve"> MONTHLY RETURN</t>
    </r>
    <r>
      <rPr>
        <sz val="11"/>
        <color theme="1"/>
        <rFont val="Calibri"/>
        <family val="2"/>
        <scheme val="minor"/>
      </rPr>
      <t xml:space="preserve"> </t>
    </r>
  </si>
  <si>
    <t xml:space="preserve">DATA for questions 5&amp;6 </t>
  </si>
  <si>
    <t>BBB std. deviation</t>
  </si>
  <si>
    <t>(close to zero!)</t>
  </si>
  <si>
    <t>question 10</t>
  </si>
  <si>
    <t>standard dev</t>
  </si>
  <si>
    <t>exp return</t>
  </si>
  <si>
    <t>covariance</t>
  </si>
  <si>
    <t>0 implies no relations</t>
  </si>
  <si>
    <t>variance</t>
  </si>
  <si>
    <t>USB</t>
  </si>
  <si>
    <t>greater than 5 to 1 high</t>
  </si>
  <si>
    <t>JPM</t>
  </si>
  <si>
    <t>less than.5 low</t>
  </si>
  <si>
    <t>invested</t>
  </si>
  <si>
    <t>**correlations</t>
  </si>
  <si>
    <t>MORE THAN in a year = inverse</t>
  </si>
  <si>
    <t>Question 10</t>
  </si>
  <si>
    <t>given standard dev</t>
  </si>
  <si>
    <t>given mean</t>
  </si>
  <si>
    <t>exp ret 3</t>
  </si>
  <si>
    <t>third stock investment =</t>
  </si>
  <si>
    <t>exp ret 2</t>
  </si>
  <si>
    <t>second stock investment =</t>
  </si>
  <si>
    <t>exp ret 1</t>
  </si>
  <si>
    <t>first stock investment =</t>
  </si>
  <si>
    <t>total investment =</t>
  </si>
  <si>
    <t>Portfolio return = (x*%+x*%....)/ total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</si>
</sst>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00"/>
    <numFmt numFmtId="165" formatCode="_(&quot;$&quot;* #,##0_);_(&quot;$&quot;* \(#,##0\);_(&quot;$&quot;* &quot;-&quot;??_);_(@_)"/>
    <numFmt numFmtId="166" formatCode="0.0000"/>
    <numFmt numFmtId="167" formatCode="0.0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444444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0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44" fontId="1" fillId="2" borderId="1" xfId="2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164" fontId="1" fillId="2" borderId="2" xfId="0" applyNumberFormat="1" applyFont="1" applyFill="1" applyBorder="1" applyAlignment="1">
      <alignment horizontal="center"/>
    </xf>
    <xf numFmtId="0" fontId="1" fillId="0" borderId="0" xfId="0" applyFont="1"/>
    <xf numFmtId="9" fontId="0" fillId="0" borderId="0" xfId="0" applyNumberFormat="1"/>
    <xf numFmtId="3" fontId="0" fillId="0" borderId="0" xfId="0" applyNumberFormat="1"/>
    <xf numFmtId="2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165" fontId="1" fillId="2" borderId="1" xfId="2" applyNumberFormat="1" applyFont="1" applyFill="1" applyBorder="1" applyAlignment="1">
      <alignment horizontal="center"/>
    </xf>
    <xf numFmtId="165" fontId="0" fillId="2" borderId="1" xfId="2" applyNumberFormat="1" applyFont="1" applyFill="1" applyBorder="1" applyAlignment="1">
      <alignment horizontal="center"/>
    </xf>
    <xf numFmtId="0" fontId="5" fillId="0" borderId="0" xfId="0" applyFont="1"/>
    <xf numFmtId="0" fontId="0" fillId="2" borderId="1" xfId="0" applyFill="1" applyBorder="1" applyAlignment="1">
      <alignment horizontal="center"/>
    </xf>
    <xf numFmtId="10" fontId="0" fillId="0" borderId="0" xfId="0" applyNumberFormat="1"/>
    <xf numFmtId="166" fontId="0" fillId="2" borderId="1" xfId="0" applyNumberFormat="1" applyFill="1" applyBorder="1" applyAlignment="1">
      <alignment horizontal="center"/>
    </xf>
    <xf numFmtId="44" fontId="0" fillId="0" borderId="0" xfId="2" applyFont="1"/>
    <xf numFmtId="10" fontId="0" fillId="0" borderId="0" xfId="1" applyNumberFormat="1" applyFont="1"/>
    <xf numFmtId="44" fontId="0" fillId="0" borderId="0" xfId="2" applyFont="1" applyAlignment="1">
      <alignment horizontal="center"/>
    </xf>
    <xf numFmtId="167" fontId="0" fillId="0" borderId="0" xfId="1" applyNumberFormat="1" applyFont="1"/>
    <xf numFmtId="164" fontId="0" fillId="2" borderId="2" xfId="0" applyNumberForma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CORREL(M11:M28,O11:O28)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Sheet1!$M$11:$M$28</c:f>
              <c:numCache>
                <c:formatCode>0.00%</c:formatCode>
                <c:ptCount val="18"/>
                <c:pt idx="0">
                  <c:v>1.4352742154177469E-2</c:v>
                </c:pt>
                <c:pt idx="1">
                  <c:v>-2.569709000633548E-2</c:v>
                </c:pt>
                <c:pt idx="2">
                  <c:v>-3.3909214073539314E-2</c:v>
                </c:pt>
                <c:pt idx="3">
                  <c:v>9.7422599687483999E-2</c:v>
                </c:pt>
                <c:pt idx="4">
                  <c:v>-5.3593751701333639E-2</c:v>
                </c:pt>
                <c:pt idx="5">
                  <c:v>2.3520273777690403E-2</c:v>
                </c:pt>
                <c:pt idx="6">
                  <c:v>5.3551808508723133E-4</c:v>
                </c:pt>
                <c:pt idx="7">
                  <c:v>5.6712162735877029E-2</c:v>
                </c:pt>
                <c:pt idx="8">
                  <c:v>3.6551899544807004E-2</c:v>
                </c:pt>
                <c:pt idx="9">
                  <c:v>0.12032647957186156</c:v>
                </c:pt>
                <c:pt idx="10">
                  <c:v>-7.4760085199174653E-2</c:v>
                </c:pt>
                <c:pt idx="11">
                  <c:v>-1.2660168335098573E-2</c:v>
                </c:pt>
                <c:pt idx="12">
                  <c:v>3.2223420464006412E-2</c:v>
                </c:pt>
                <c:pt idx="13">
                  <c:v>-4.3960415752900004E-3</c:v>
                </c:pt>
                <c:pt idx="14">
                  <c:v>5.7168648350093221E-2</c:v>
                </c:pt>
                <c:pt idx="15">
                  <c:v>3.0056873528762292E-2</c:v>
                </c:pt>
                <c:pt idx="16">
                  <c:v>2.3280092217120345E-2</c:v>
                </c:pt>
                <c:pt idx="17">
                  <c:v>-3.8878882695081163E-2</c:v>
                </c:pt>
              </c:numCache>
            </c:numRef>
          </c:xVal>
          <c:yVal>
            <c:numRef>
              <c:f>Sheet1!$O$11:$O$28</c:f>
              <c:numCache>
                <c:formatCode>0.00%</c:formatCode>
                <c:ptCount val="18"/>
                <c:pt idx="0">
                  <c:v>-0.11645651314446717</c:v>
                </c:pt>
                <c:pt idx="1">
                  <c:v>8.1952693217763314E-2</c:v>
                </c:pt>
                <c:pt idx="2">
                  <c:v>8.9772218896205111E-2</c:v>
                </c:pt>
                <c:pt idx="3">
                  <c:v>5.1720577031934709E-2</c:v>
                </c:pt>
                <c:pt idx="4">
                  <c:v>1.9580735879086813E-4</c:v>
                </c:pt>
                <c:pt idx="5">
                  <c:v>7.1521949220993447E-2</c:v>
                </c:pt>
                <c:pt idx="6">
                  <c:v>3.3009336702728598E-2</c:v>
                </c:pt>
                <c:pt idx="7">
                  <c:v>3.5100067430831765E-2</c:v>
                </c:pt>
                <c:pt idx="8">
                  <c:v>-1.9959880537446347E-2</c:v>
                </c:pt>
                <c:pt idx="9">
                  <c:v>5.5779077085757335E-2</c:v>
                </c:pt>
                <c:pt idx="10">
                  <c:v>1.7614520614664245E-2</c:v>
                </c:pt>
                <c:pt idx="11">
                  <c:v>-3.7675124192644176E-2</c:v>
                </c:pt>
                <c:pt idx="12">
                  <c:v>2.8114739638764777E-2</c:v>
                </c:pt>
                <c:pt idx="13">
                  <c:v>5.713281587577692E-2</c:v>
                </c:pt>
                <c:pt idx="14">
                  <c:v>1.4651372417397389E-2</c:v>
                </c:pt>
                <c:pt idx="15">
                  <c:v>-8.5531572706092185E-2</c:v>
                </c:pt>
                <c:pt idx="16">
                  <c:v>-5.5388449179925643E-2</c:v>
                </c:pt>
                <c:pt idx="17">
                  <c:v>-3.245713483947379E-3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75-4794-AD4B-D551FEDCD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961919"/>
        <c:axId val="1518010463"/>
      </c:scatterChart>
      <c:valAx>
        <c:axId val="10029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10463"/>
        <c:crosses val="autoZero"/>
        <c:crossBetween val="midCat"/>
      </c:valAx>
      <c:valAx>
        <c:axId val="15180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6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179509</xdr:colOff>
      <xdr:row>35</xdr:row>
      <xdr:rowOff>20515</xdr:rowOff>
    </xdr:from>
    <xdr:to>
      <xdr:col>15</xdr:col>
      <xdr:colOff>751009</xdr:colOff>
      <xdr:row>49</xdr:row>
      <xdr:rowOff>89388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444E9-7333-118A-7037-A151536D0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BA86-A781-4F11-B48C-A1352AA3D9CB}">
  <dimension ref="A1:G7"/>
  <sheetViews>
    <sheetView workbookViewId="0">
      <selection activeCell="P15" sqref="P15"/>
    </sheetView>
  </sheetViews>
  <sheetFormatPr baseColWidth="10" defaultColWidth="8.83203125" defaultRowHeight="15" x14ac:dyDescent="0.2"/>
  <sheetData>
    <row r="1" spans="1:7" x14ac:dyDescent="0.2">
      <c r="A1" s="17"/>
      <c r="B1" s="17" t="s">
        <v>22</v>
      </c>
      <c r="C1" s="17" t="s">
        <v>21</v>
      </c>
      <c r="D1" s="17" t="s">
        <v>20</v>
      </c>
      <c r="E1" s="17" t="s">
        <v>23</v>
      </c>
      <c r="F1" s="17" t="s">
        <v>24</v>
      </c>
      <c r="G1" s="17" t="s">
        <v>25</v>
      </c>
    </row>
    <row r="2" spans="1:7" x14ac:dyDescent="0.2">
      <c r="A2" t="s">
        <v>22</v>
      </c>
      <c r="B2">
        <v>1</v>
      </c>
    </row>
    <row r="3" spans="1:7" x14ac:dyDescent="0.2">
      <c r="A3" t="s">
        <v>21</v>
      </c>
      <c r="B3">
        <v>0.17248654386013781</v>
      </c>
      <c r="C3">
        <v>1</v>
      </c>
    </row>
    <row r="4" spans="1:7" x14ac:dyDescent="0.2">
      <c r="A4" t="s">
        <v>20</v>
      </c>
      <c r="B4">
        <v>0.15948797086799385</v>
      </c>
      <c r="C4">
        <v>8.7870528747281393E-2</v>
      </c>
      <c r="D4">
        <v>1</v>
      </c>
    </row>
    <row r="5" spans="1:7" x14ac:dyDescent="0.2">
      <c r="A5" t="s">
        <v>23</v>
      </c>
      <c r="B5">
        <v>0.1428820704277817</v>
      </c>
      <c r="C5">
        <v>0.87328165162461746</v>
      </c>
      <c r="D5">
        <v>1.5927788264050915E-2</v>
      </c>
      <c r="E5">
        <v>1</v>
      </c>
    </row>
    <row r="6" spans="1:7" x14ac:dyDescent="0.2">
      <c r="A6" t="s">
        <v>24</v>
      </c>
      <c r="B6">
        <v>0.27755547925478508</v>
      </c>
      <c r="C6">
        <v>0.87737468986945211</v>
      </c>
      <c r="D6">
        <v>3.6270181620982299E-2</v>
      </c>
      <c r="E6">
        <v>0.78903089459197662</v>
      </c>
      <c r="F6">
        <v>1</v>
      </c>
    </row>
    <row r="7" spans="1:7" ht="16" thickBot="1" x14ac:dyDescent="0.25">
      <c r="A7" s="16" t="s">
        <v>25</v>
      </c>
      <c r="B7" s="16">
        <v>-0.31206213221454931</v>
      </c>
      <c r="C7" s="16">
        <v>-0.5290043954732393</v>
      </c>
      <c r="D7" s="16">
        <v>-0.40720216300444906</v>
      </c>
      <c r="E7" s="16">
        <v>-0.45923703916512232</v>
      </c>
      <c r="F7" s="16">
        <v>-0.59009440516980638</v>
      </c>
      <c r="G7" s="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522"/>
  <sheetViews>
    <sheetView tabSelected="1" topLeftCell="C1" zoomScale="130" zoomScaleNormal="130" workbookViewId="0">
      <selection activeCell="K3" sqref="K3"/>
    </sheetView>
  </sheetViews>
  <sheetFormatPr baseColWidth="10" defaultColWidth="8.83203125" defaultRowHeight="15" x14ac:dyDescent="0.2"/>
  <cols>
    <col min="1" max="1" width="1.33203125" customWidth="1"/>
    <col min="2" max="2" width="13.1640625" style="5" customWidth="1"/>
    <col min="3" max="3" width="6" style="6" bestFit="1" customWidth="1"/>
    <col min="4" max="5" width="11" style="7" customWidth="1"/>
    <col min="6" max="7" width="11" style="7" bestFit="1" customWidth="1"/>
    <col min="8" max="8" width="13" style="6" customWidth="1"/>
    <col min="9" max="9" width="2.5" customWidth="1"/>
    <col min="10" max="10" width="43.1640625" customWidth="1"/>
    <col min="11" max="11" width="22.6640625" customWidth="1"/>
    <col min="12" max="12" width="13.5" customWidth="1"/>
    <col min="13" max="13" width="14" customWidth="1"/>
    <col min="14" max="14" width="19" customWidth="1"/>
    <col min="15" max="15" width="13.5" customWidth="1"/>
    <col min="16" max="16" width="14.5" customWidth="1"/>
  </cols>
  <sheetData>
    <row r="1" spans="2:16" x14ac:dyDescent="0.2">
      <c r="H1" s="9" t="s">
        <v>11</v>
      </c>
    </row>
    <row r="2" spans="2:16" x14ac:dyDescent="0.2">
      <c r="B2" s="1" t="s">
        <v>0</v>
      </c>
      <c r="C2" s="2" t="s">
        <v>1</v>
      </c>
      <c r="D2" s="3" t="s">
        <v>4</v>
      </c>
      <c r="E2" s="3" t="s">
        <v>5</v>
      </c>
      <c r="F2" s="3" t="s">
        <v>2</v>
      </c>
      <c r="G2" s="3" t="s">
        <v>3</v>
      </c>
      <c r="H2" s="4" t="s">
        <v>6</v>
      </c>
      <c r="J2" s="12" t="str">
        <f ca="1">_xlfn.FORMULATEXT(H3)</f>
        <v>=IF(C3=C2, LN(E3/E2), "")</v>
      </c>
      <c r="K2" s="12"/>
      <c r="L2" s="2"/>
      <c r="M2" s="2"/>
      <c r="N2" s="2"/>
    </row>
    <row r="3" spans="2:16" x14ac:dyDescent="0.2">
      <c r="B3" s="5">
        <v>44198</v>
      </c>
      <c r="C3" s="6" t="s">
        <v>15</v>
      </c>
      <c r="D3" s="7">
        <v>182.91999799999999</v>
      </c>
      <c r="E3" s="7">
        <v>173.980006</v>
      </c>
      <c r="F3" s="7">
        <v>184.070007</v>
      </c>
      <c r="G3" s="7">
        <v>182.479996</v>
      </c>
      <c r="H3" s="8" t="str">
        <f>IF(C3=C2, LN(E3/E2), "")</f>
        <v/>
      </c>
      <c r="J3" s="11" t="s">
        <v>29</v>
      </c>
      <c r="K3" s="23" cm="1">
        <f t="array" ref="K3">_xlfn.STDEV.S(IF(C:C="BBB",H:H))</f>
        <v>1.4447772067634021E-2</v>
      </c>
      <c r="L3" s="9" t="s">
        <v>10</v>
      </c>
      <c r="M3" s="24" t="str">
        <f ca="1">_xlfn.FORMULATEXT(K3)</f>
        <v>=STDEV.S(IF(C:C="BBB",H:H))</v>
      </c>
    </row>
    <row r="4" spans="2:16" x14ac:dyDescent="0.2">
      <c r="B4" s="5">
        <v>44199</v>
      </c>
      <c r="C4" s="6" t="s">
        <v>15</v>
      </c>
      <c r="D4" s="7">
        <v>182.88999899999999</v>
      </c>
      <c r="E4" s="7">
        <v>173.95147299999999</v>
      </c>
      <c r="F4" s="7">
        <v>183.60000600000001</v>
      </c>
      <c r="G4" s="7">
        <v>182.63000500000001</v>
      </c>
      <c r="H4" s="8">
        <f>IF(C4=C3, LN(E4/E3), "")</f>
        <v>-1.6401505345809032E-4</v>
      </c>
      <c r="J4" s="11" t="s">
        <v>26</v>
      </c>
      <c r="K4" s="23">
        <f>J6*J7+K6*K7+L6*L7</f>
        <v>0.11225806451612905</v>
      </c>
      <c r="L4" s="9" t="s">
        <v>7</v>
      </c>
      <c r="M4" s="24" t="str">
        <f ca="1">_xlfn.FORMULATEXT(K4)</f>
        <v>=J6*J7+K6*K7+L6*L7</v>
      </c>
      <c r="O4" s="22">
        <f>SUMPRODUCT(J6:L6,J7:L7)</f>
        <v>0.11225806451612905</v>
      </c>
    </row>
    <row r="5" spans="2:16" x14ac:dyDescent="0.2">
      <c r="B5" s="5">
        <v>44202</v>
      </c>
      <c r="C5" s="6" t="s">
        <v>15</v>
      </c>
      <c r="D5" s="7">
        <v>182.36000100000001</v>
      </c>
      <c r="E5" s="7">
        <v>173.44737799999999</v>
      </c>
      <c r="F5" s="7">
        <v>183.55999800000001</v>
      </c>
      <c r="G5" s="7">
        <v>182.08000200000001</v>
      </c>
      <c r="H5" s="8">
        <f t="shared" ref="H5:H67" si="0">IF(C5=C4, LN(E5/E4), "")</f>
        <v>-2.9021129595016249E-3</v>
      </c>
      <c r="J5" s="10">
        <v>30000</v>
      </c>
      <c r="K5" s="10">
        <v>35000</v>
      </c>
      <c r="L5" s="10">
        <v>12500</v>
      </c>
      <c r="M5" s="10">
        <f>SUM(J5:L5)</f>
        <v>77500</v>
      </c>
      <c r="O5" t="str">
        <f ca="1">_xlfn.FORMULATEXT(O4)</f>
        <v>=SUMPRODUCT(J6:L6,J7:L7)</v>
      </c>
    </row>
    <row r="6" spans="2:16" x14ac:dyDescent="0.2">
      <c r="B6" s="5">
        <v>44203</v>
      </c>
      <c r="C6" s="6" t="s">
        <v>15</v>
      </c>
      <c r="D6" s="7">
        <v>183.479996</v>
      </c>
      <c r="E6" s="7">
        <v>174.51263399999999</v>
      </c>
      <c r="F6" s="7">
        <v>183.78999300000001</v>
      </c>
      <c r="G6" s="7">
        <v>182.949997</v>
      </c>
      <c r="H6" s="8">
        <f t="shared" si="0"/>
        <v>6.1228836146202245E-3</v>
      </c>
      <c r="J6" s="15">
        <f>J5/M5</f>
        <v>0.38709677419354838</v>
      </c>
      <c r="K6" s="15">
        <f>K5/M5</f>
        <v>0.45161290322580644</v>
      </c>
      <c r="L6" s="15">
        <f>L5/M5</f>
        <v>0.16129032258064516</v>
      </c>
      <c r="M6" s="10"/>
    </row>
    <row r="7" spans="2:16" x14ac:dyDescent="0.2">
      <c r="B7" s="5">
        <v>44204</v>
      </c>
      <c r="C7" s="6" t="s">
        <v>15</v>
      </c>
      <c r="D7" s="7">
        <v>183.520004</v>
      </c>
      <c r="E7" s="7">
        <v>174.55068800000001</v>
      </c>
      <c r="F7" s="7">
        <v>183.83000200000001</v>
      </c>
      <c r="G7" s="7">
        <v>182.88999899999999</v>
      </c>
      <c r="H7" s="8">
        <f t="shared" si="0"/>
        <v>2.1803493952183032E-4</v>
      </c>
      <c r="J7" s="18">
        <v>7.0000000000000007E-2</v>
      </c>
      <c r="K7" s="18">
        <v>0.11</v>
      </c>
      <c r="L7" s="18">
        <v>0.22</v>
      </c>
    </row>
    <row r="8" spans="2:16" x14ac:dyDescent="0.2">
      <c r="B8" s="5">
        <v>44205</v>
      </c>
      <c r="C8" s="6" t="s">
        <v>15</v>
      </c>
      <c r="D8" s="7">
        <v>183.63999899999999</v>
      </c>
      <c r="E8" s="7">
        <v>174.664818</v>
      </c>
      <c r="F8" s="7">
        <v>184.13000500000001</v>
      </c>
      <c r="G8" s="7">
        <v>182.800003</v>
      </c>
      <c r="H8" s="8">
        <f t="shared" si="0"/>
        <v>6.5363652015734425E-4</v>
      </c>
    </row>
    <row r="9" spans="2:16" x14ac:dyDescent="0.2">
      <c r="B9" s="5">
        <v>44206</v>
      </c>
      <c r="C9" s="6" t="s">
        <v>15</v>
      </c>
      <c r="D9" s="7">
        <v>184.13999899999999</v>
      </c>
      <c r="E9" s="7">
        <v>175.14038099999999</v>
      </c>
      <c r="F9" s="7">
        <v>184.220001</v>
      </c>
      <c r="G9" s="7">
        <v>183.009995</v>
      </c>
      <c r="H9" s="8">
        <f t="shared" si="0"/>
        <v>2.7190178667910953E-3</v>
      </c>
      <c r="J9" s="9" t="s">
        <v>28</v>
      </c>
      <c r="K9" s="6" t="s">
        <v>27</v>
      </c>
      <c r="L9" s="6"/>
      <c r="M9" s="6"/>
      <c r="N9" s="6"/>
      <c r="O9" s="6"/>
    </row>
    <row r="10" spans="2:16" ht="16" x14ac:dyDescent="0.2">
      <c r="B10" s="5">
        <v>44209</v>
      </c>
      <c r="C10" s="6" t="s">
        <v>15</v>
      </c>
      <c r="D10" s="7">
        <v>181.69000199999999</v>
      </c>
      <c r="E10" s="7">
        <v>172.810125</v>
      </c>
      <c r="F10" s="7">
        <v>184.179993</v>
      </c>
      <c r="G10" s="7">
        <v>181.33999600000001</v>
      </c>
      <c r="H10" s="8">
        <f t="shared" si="0"/>
        <v>-1.3394381090838778E-2</v>
      </c>
      <c r="J10" s="13" t="s">
        <v>9</v>
      </c>
      <c r="K10" s="2" t="s">
        <v>22</v>
      </c>
      <c r="L10" s="2" t="s">
        <v>21</v>
      </c>
      <c r="M10" s="2" t="s">
        <v>20</v>
      </c>
      <c r="N10" s="2" t="s">
        <v>23</v>
      </c>
      <c r="O10" s="2" t="s">
        <v>24</v>
      </c>
      <c r="P10" s="2" t="s">
        <v>25</v>
      </c>
    </row>
    <row r="11" spans="2:16" x14ac:dyDescent="0.2">
      <c r="B11" s="5">
        <v>44210</v>
      </c>
      <c r="C11" s="6" t="s">
        <v>15</v>
      </c>
      <c r="D11" s="7">
        <v>183.66999799999999</v>
      </c>
      <c r="E11" s="7">
        <v>174.69335100000001</v>
      </c>
      <c r="F11" s="7">
        <v>183.770004</v>
      </c>
      <c r="G11" s="7">
        <v>181.949997</v>
      </c>
      <c r="H11" s="8">
        <f t="shared" si="0"/>
        <v>1.0838708481696173E-2</v>
      </c>
      <c r="J11" s="5">
        <v>44229</v>
      </c>
      <c r="K11" s="14">
        <v>4.4200000000000003E-2</v>
      </c>
      <c r="L11" s="14">
        <v>-0.32579999999999998</v>
      </c>
      <c r="M11" s="15">
        <v>1.4352742154177469E-2</v>
      </c>
      <c r="N11" s="14">
        <v>-0.28689999999999999</v>
      </c>
      <c r="O11" s="15">
        <v>-0.11645651314446717</v>
      </c>
      <c r="P11" s="15">
        <v>2.0218082921265146E-2</v>
      </c>
    </row>
    <row r="12" spans="2:16" x14ac:dyDescent="0.2">
      <c r="B12" s="5">
        <v>44211</v>
      </c>
      <c r="C12" s="6" t="s">
        <v>15</v>
      </c>
      <c r="D12" s="7">
        <v>184.66000399999999</v>
      </c>
      <c r="E12" s="7">
        <v>175.63497100000001</v>
      </c>
      <c r="F12" s="7">
        <v>184.94000199999999</v>
      </c>
      <c r="G12" s="7">
        <v>183.71000699999999</v>
      </c>
      <c r="H12" s="8">
        <f t="shared" si="0"/>
        <v>5.3756559685257067E-3</v>
      </c>
      <c r="J12" s="5">
        <f>J11+30</f>
        <v>44259</v>
      </c>
      <c r="K12" s="14">
        <v>6.2E-2</v>
      </c>
      <c r="L12" s="14">
        <v>0.1726</v>
      </c>
      <c r="M12" s="15">
        <v>-2.569709000633548E-2</v>
      </c>
      <c r="N12" s="14">
        <v>0.1235</v>
      </c>
      <c r="O12" s="15">
        <v>8.1952693217763314E-2</v>
      </c>
      <c r="P12" s="15">
        <v>-3.2236138017898978E-2</v>
      </c>
    </row>
    <row r="13" spans="2:16" x14ac:dyDescent="0.2">
      <c r="B13" s="5">
        <v>44212</v>
      </c>
      <c r="C13" s="6" t="s">
        <v>15</v>
      </c>
      <c r="D13" s="7">
        <v>184.41999799999999</v>
      </c>
      <c r="E13" s="7">
        <v>175.40669500000001</v>
      </c>
      <c r="F13" s="7">
        <v>184.66000399999999</v>
      </c>
      <c r="G13" s="7">
        <v>183.83000200000001</v>
      </c>
      <c r="H13" s="8">
        <f t="shared" si="0"/>
        <v>-1.3005637466223423E-3</v>
      </c>
      <c r="J13" s="5">
        <f t="shared" ref="J13:J28" si="1">J12+30</f>
        <v>44289</v>
      </c>
      <c r="K13" s="14">
        <v>-3.3300000000000003E-2</v>
      </c>
      <c r="L13" s="14">
        <v>0.22439999999999999</v>
      </c>
      <c r="M13" s="15">
        <v>-3.3909214073539314E-2</v>
      </c>
      <c r="N13" s="14">
        <v>0.1183</v>
      </c>
      <c r="O13" s="15">
        <v>8.9772218896205111E-2</v>
      </c>
      <c r="P13" s="15">
        <v>-1.1769418157915485E-2</v>
      </c>
    </row>
    <row r="14" spans="2:16" x14ac:dyDescent="0.2">
      <c r="B14" s="5">
        <v>44213</v>
      </c>
      <c r="C14" s="6" t="s">
        <v>15</v>
      </c>
      <c r="D14" s="7">
        <v>183.63999899999999</v>
      </c>
      <c r="E14" s="7">
        <v>174.664818</v>
      </c>
      <c r="F14" s="7">
        <v>184.449997</v>
      </c>
      <c r="G14" s="7">
        <v>183.320007</v>
      </c>
      <c r="H14" s="8">
        <f t="shared" si="0"/>
        <v>-4.238437479551934E-3</v>
      </c>
      <c r="J14" s="5">
        <f t="shared" si="1"/>
        <v>44319</v>
      </c>
      <c r="K14" s="14">
        <v>-7.7999999999999996E-3</v>
      </c>
      <c r="L14" s="14">
        <v>6.3299999999999995E-2</v>
      </c>
      <c r="M14" s="15">
        <v>9.7422599687483999E-2</v>
      </c>
      <c r="N14" s="14">
        <v>0.1229</v>
      </c>
      <c r="O14" s="15">
        <v>5.1720577031934709E-2</v>
      </c>
      <c r="P14" s="15">
        <v>-6.5644104445320803E-2</v>
      </c>
    </row>
    <row r="15" spans="2:16" x14ac:dyDescent="0.2">
      <c r="B15" s="5">
        <v>44217</v>
      </c>
      <c r="C15" s="6" t="s">
        <v>15</v>
      </c>
      <c r="D15" s="7">
        <v>184.179993</v>
      </c>
      <c r="E15" s="7">
        <v>175.17841999999999</v>
      </c>
      <c r="F15" s="7">
        <v>184.770004</v>
      </c>
      <c r="G15" s="7">
        <v>183.050003</v>
      </c>
      <c r="H15" s="8">
        <f t="shared" si="0"/>
        <v>2.9361857723724629E-3</v>
      </c>
      <c r="J15" s="5">
        <f t="shared" si="1"/>
        <v>44349</v>
      </c>
      <c r="K15" s="14">
        <v>-2.64E-2</v>
      </c>
      <c r="L15" s="14">
        <v>-0.1318</v>
      </c>
      <c r="M15" s="15">
        <v>-5.3593751701333639E-2</v>
      </c>
      <c r="N15" s="14">
        <v>-5.3600000000000002E-2</v>
      </c>
      <c r="O15" s="15">
        <v>1.9580735879086813E-4</v>
      </c>
      <c r="P15" s="15">
        <v>7.1383884897928077E-3</v>
      </c>
    </row>
    <row r="16" spans="2:16" x14ac:dyDescent="0.2">
      <c r="B16" s="5">
        <v>44218</v>
      </c>
      <c r="C16" s="6" t="s">
        <v>15</v>
      </c>
      <c r="D16" s="7">
        <v>184.300003</v>
      </c>
      <c r="E16" s="7">
        <v>175.292565</v>
      </c>
      <c r="F16" s="7">
        <v>184.570007</v>
      </c>
      <c r="G16" s="7">
        <v>183.91000399999999</v>
      </c>
      <c r="H16" s="8">
        <f t="shared" si="0"/>
        <v>6.5138062162802912E-4</v>
      </c>
      <c r="J16" s="5">
        <f t="shared" si="1"/>
        <v>44379</v>
      </c>
      <c r="K16" s="14">
        <v>2.93E-2</v>
      </c>
      <c r="L16" s="14">
        <v>0.1341</v>
      </c>
      <c r="M16" s="15">
        <v>2.3520273777690403E-2</v>
      </c>
      <c r="N16" s="14">
        <v>9.4000000000000004E-3</v>
      </c>
      <c r="O16" s="15">
        <v>7.1521949220993447E-2</v>
      </c>
      <c r="P16" s="15">
        <v>-2.4567097455173294E-2</v>
      </c>
    </row>
    <row r="17" spans="2:16" x14ac:dyDescent="0.2">
      <c r="B17" s="5">
        <v>44219</v>
      </c>
      <c r="C17" s="6" t="s">
        <v>15</v>
      </c>
      <c r="D17" s="7">
        <v>182.78999300000001</v>
      </c>
      <c r="E17" s="7">
        <v>173.85635500000001</v>
      </c>
      <c r="F17" s="7">
        <v>183.39999399999999</v>
      </c>
      <c r="G17" s="7">
        <v>181.820007</v>
      </c>
      <c r="H17" s="8">
        <f t="shared" si="0"/>
        <v>-8.2269657346792559E-3</v>
      </c>
      <c r="J17" s="5">
        <f t="shared" si="1"/>
        <v>44409</v>
      </c>
      <c r="K17" s="14">
        <v>2.5100000000000001E-2</v>
      </c>
      <c r="L17" s="14">
        <v>3.6799999999999999E-2</v>
      </c>
      <c r="M17" s="15">
        <v>5.3551808508723133E-4</v>
      </c>
      <c r="N17" s="14">
        <v>0.15590000000000001</v>
      </c>
      <c r="O17" s="15">
        <v>3.3009336702728598E-2</v>
      </c>
      <c r="P17" s="15">
        <v>-2.5762143917732521E-3</v>
      </c>
    </row>
    <row r="18" spans="2:16" x14ac:dyDescent="0.2">
      <c r="B18" s="5">
        <v>44220</v>
      </c>
      <c r="C18" s="6" t="s">
        <v>15</v>
      </c>
      <c r="D18" s="7">
        <v>178.88999899999999</v>
      </c>
      <c r="E18" s="7">
        <v>170.14696900000001</v>
      </c>
      <c r="F18" s="7">
        <v>181.66000399999999</v>
      </c>
      <c r="G18" s="7">
        <v>178.83000200000001</v>
      </c>
      <c r="H18" s="8">
        <f t="shared" si="0"/>
        <v>-2.1566825192328037E-2</v>
      </c>
      <c r="J18" s="5">
        <f>J17+31</f>
        <v>44440</v>
      </c>
      <c r="K18" s="14">
        <v>-3.56E-2</v>
      </c>
      <c r="L18" s="14">
        <v>0.17230000000000001</v>
      </c>
      <c r="M18" s="15">
        <v>5.6712162735877029E-2</v>
      </c>
      <c r="N18" s="14">
        <v>8.6400000000000005E-2</v>
      </c>
      <c r="O18" s="15">
        <v>3.5100067430831765E-2</v>
      </c>
      <c r="P18" s="15">
        <v>-2.0413259954032252E-2</v>
      </c>
    </row>
    <row r="19" spans="2:16" x14ac:dyDescent="0.2">
      <c r="B19" s="5">
        <v>44223</v>
      </c>
      <c r="C19" s="6" t="s">
        <v>15</v>
      </c>
      <c r="D19" s="7">
        <v>178.009995</v>
      </c>
      <c r="E19" s="7">
        <v>169.30997300000001</v>
      </c>
      <c r="F19" s="7">
        <v>179.520004</v>
      </c>
      <c r="G19" s="7">
        <v>177.11999499999999</v>
      </c>
      <c r="H19" s="8">
        <f t="shared" si="0"/>
        <v>-4.9313924251148961E-3</v>
      </c>
      <c r="J19" s="5">
        <f t="shared" si="1"/>
        <v>44470</v>
      </c>
      <c r="K19" s="14">
        <v>1.1900000000000001E-2</v>
      </c>
      <c r="L19" s="14">
        <v>-0.1411</v>
      </c>
      <c r="M19" s="15">
        <v>3.6551899544807004E-2</v>
      </c>
      <c r="N19" s="14">
        <v>-0.12479999999999999</v>
      </c>
      <c r="O19" s="15">
        <v>-1.9959880537446347E-2</v>
      </c>
      <c r="P19" s="15">
        <v>-3.9569185962667073E-3</v>
      </c>
    </row>
    <row r="20" spans="2:16" x14ac:dyDescent="0.2">
      <c r="B20" s="5">
        <v>44224</v>
      </c>
      <c r="C20" s="6" t="s">
        <v>15</v>
      </c>
      <c r="D20" s="7">
        <v>179.070007</v>
      </c>
      <c r="E20" s="7">
        <v>170.31817899999999</v>
      </c>
      <c r="F20" s="7">
        <v>179.300003</v>
      </c>
      <c r="G20" s="7">
        <v>178.11999499999999</v>
      </c>
      <c r="H20" s="8">
        <f t="shared" si="0"/>
        <v>5.937134219466021E-3</v>
      </c>
      <c r="J20" s="5">
        <f>J19+32</f>
        <v>44502</v>
      </c>
      <c r="K20" s="14">
        <v>9.35E-2</v>
      </c>
      <c r="L20" s="14">
        <v>0.1166</v>
      </c>
      <c r="M20" s="15">
        <v>0.12032647957186156</v>
      </c>
      <c r="N20" s="14">
        <v>0.1008</v>
      </c>
      <c r="O20" s="15">
        <v>5.5779077085757335E-2</v>
      </c>
      <c r="P20" s="15">
        <v>-2.3624944911999273E-2</v>
      </c>
    </row>
    <row r="21" spans="2:16" x14ac:dyDescent="0.2">
      <c r="B21" s="5">
        <v>44225</v>
      </c>
      <c r="C21" s="6" t="s">
        <v>15</v>
      </c>
      <c r="D21" s="7">
        <v>177.35000600000001</v>
      </c>
      <c r="E21" s="7">
        <v>168.682241</v>
      </c>
      <c r="F21" s="7">
        <v>178.550003</v>
      </c>
      <c r="G21" s="7">
        <v>176.88000500000001</v>
      </c>
      <c r="H21" s="8">
        <f t="shared" si="0"/>
        <v>-9.6516145876663455E-3</v>
      </c>
      <c r="J21" s="5">
        <f t="shared" si="1"/>
        <v>44532</v>
      </c>
      <c r="K21" s="14">
        <v>-1.54E-2</v>
      </c>
      <c r="L21" s="14">
        <v>-5.0900000000000001E-2</v>
      </c>
      <c r="M21" s="15">
        <v>-7.4760085199174653E-2</v>
      </c>
      <c r="N21" s="14">
        <v>3.2300000000000002E-2</v>
      </c>
      <c r="O21" s="15">
        <v>1.7614520614664245E-2</v>
      </c>
      <c r="P21" s="15">
        <v>4.0226418011678589E-2</v>
      </c>
    </row>
    <row r="22" spans="2:16" x14ac:dyDescent="0.2">
      <c r="B22" s="5">
        <v>44226</v>
      </c>
      <c r="C22" s="6" t="s">
        <v>15</v>
      </c>
      <c r="D22" s="7">
        <v>179.229996</v>
      </c>
      <c r="E22" s="7">
        <v>170.470348</v>
      </c>
      <c r="F22" s="7">
        <v>179.80999800000001</v>
      </c>
      <c r="G22" s="7">
        <v>178.259995</v>
      </c>
      <c r="H22" s="8">
        <f t="shared" si="0"/>
        <v>1.0544655274527262E-2</v>
      </c>
      <c r="J22" s="5">
        <f t="shared" si="1"/>
        <v>44562</v>
      </c>
      <c r="K22" s="14">
        <v>-4.0000000000000002E-4</v>
      </c>
      <c r="L22" s="14">
        <v>6.0999999999999999E-2</v>
      </c>
      <c r="M22" s="15">
        <v>-1.2660168335098573E-2</v>
      </c>
      <c r="N22" s="14">
        <v>0.1129</v>
      </c>
      <c r="O22" s="15">
        <v>-3.7675124192644176E-2</v>
      </c>
      <c r="P22" s="15">
        <v>1.5904095896311973E-2</v>
      </c>
    </row>
    <row r="23" spans="2:16" x14ac:dyDescent="0.2">
      <c r="B23" s="5">
        <v>44227</v>
      </c>
      <c r="C23" s="6" t="s">
        <v>15</v>
      </c>
      <c r="D23" s="7">
        <v>178.179993</v>
      </c>
      <c r="E23" s="7">
        <v>169.47166300000001</v>
      </c>
      <c r="F23" s="7">
        <v>179.28999300000001</v>
      </c>
      <c r="G23" s="7">
        <v>176.91999799999999</v>
      </c>
      <c r="H23" s="8">
        <f t="shared" si="0"/>
        <v>-5.8756366722835709E-3</v>
      </c>
      <c r="J23" s="5">
        <f>J22+30</f>
        <v>44592</v>
      </c>
      <c r="K23" s="14">
        <v>1.2E-2</v>
      </c>
      <c r="L23" s="14">
        <v>5.0000000000000001E-3</v>
      </c>
      <c r="M23" s="15">
        <v>3.2223420464006412E-2</v>
      </c>
      <c r="N23" s="14">
        <v>4.8300000000000003E-2</v>
      </c>
      <c r="O23" s="15">
        <v>2.8114739638764777E-2</v>
      </c>
      <c r="P23" s="15">
        <v>8.0696127005014228E-3</v>
      </c>
    </row>
    <row r="24" spans="2:16" x14ac:dyDescent="0.2">
      <c r="B24" s="5">
        <v>44230</v>
      </c>
      <c r="C24" s="6" t="s">
        <v>15</v>
      </c>
      <c r="D24" s="7">
        <v>174.16999799999999</v>
      </c>
      <c r="E24" s="7">
        <v>165.65765200000001</v>
      </c>
      <c r="F24" s="7">
        <v>178.36999499999999</v>
      </c>
      <c r="G24" s="7">
        <v>173.83000200000001</v>
      </c>
      <c r="H24" s="8">
        <f t="shared" si="0"/>
        <v>-2.2762411442302274E-2</v>
      </c>
      <c r="J24" s="5">
        <f t="shared" si="1"/>
        <v>44622</v>
      </c>
      <c r="K24" s="14">
        <v>3.3500000000000002E-2</v>
      </c>
      <c r="L24" s="14">
        <v>0.12529999999999999</v>
      </c>
      <c r="M24" s="15">
        <v>-4.3960415752900004E-3</v>
      </c>
      <c r="N24" s="14">
        <v>0.13930000000000001</v>
      </c>
      <c r="O24" s="15">
        <v>5.713281587577692E-2</v>
      </c>
      <c r="P24" s="15">
        <v>6.7453884239092494E-3</v>
      </c>
    </row>
    <row r="25" spans="2:16" x14ac:dyDescent="0.2">
      <c r="B25" s="5">
        <v>44231</v>
      </c>
      <c r="C25" s="6" t="s">
        <v>15</v>
      </c>
      <c r="D25" s="7">
        <v>175.38999899999999</v>
      </c>
      <c r="E25" s="7">
        <v>166.818027</v>
      </c>
      <c r="F25" s="7">
        <v>175.83999600000001</v>
      </c>
      <c r="G25" s="7">
        <v>174.11000100000001</v>
      </c>
      <c r="H25" s="8">
        <f t="shared" si="0"/>
        <v>6.9802381633987587E-3</v>
      </c>
      <c r="J25" s="5">
        <f t="shared" si="1"/>
        <v>44652</v>
      </c>
      <c r="K25" s="14">
        <v>-3.5900000000000001E-2</v>
      </c>
      <c r="L25" s="14">
        <v>3.5299999999999998E-2</v>
      </c>
      <c r="M25" s="15">
        <v>5.7168648350093221E-2</v>
      </c>
      <c r="N25" s="14">
        <v>-2.5000000000000001E-3</v>
      </c>
      <c r="O25" s="15">
        <v>1.4651372417397389E-2</v>
      </c>
      <c r="P25" s="15">
        <v>6.7001928503993653E-3</v>
      </c>
    </row>
    <row r="26" spans="2:16" x14ac:dyDescent="0.2">
      <c r="B26" s="5">
        <v>44232</v>
      </c>
      <c r="C26" s="6" t="s">
        <v>15</v>
      </c>
      <c r="D26" s="7">
        <v>175.16999799999999</v>
      </c>
      <c r="E26" s="7">
        <v>166.608778</v>
      </c>
      <c r="F26" s="7">
        <v>175.55999800000001</v>
      </c>
      <c r="G26" s="7">
        <v>173.71000699999999</v>
      </c>
      <c r="H26" s="8">
        <f t="shared" si="0"/>
        <v>-1.2551422041223326E-3</v>
      </c>
      <c r="J26" s="5">
        <f t="shared" si="1"/>
        <v>44682</v>
      </c>
      <c r="K26" s="14">
        <v>-5.33E-2</v>
      </c>
      <c r="L26" s="14">
        <v>-0.1426</v>
      </c>
      <c r="M26" s="15">
        <v>3.0056873528762292E-2</v>
      </c>
      <c r="N26" s="14">
        <v>-0.11509999999999999</v>
      </c>
      <c r="O26" s="15">
        <v>-8.5531572706092185E-2</v>
      </c>
      <c r="P26" s="15">
        <v>5.5998443381972234E-2</v>
      </c>
    </row>
    <row r="27" spans="2:16" x14ac:dyDescent="0.2">
      <c r="B27" s="5">
        <v>44233</v>
      </c>
      <c r="C27" s="6" t="s">
        <v>15</v>
      </c>
      <c r="D27" s="7">
        <v>177.479996</v>
      </c>
      <c r="E27" s="7">
        <v>168.80587700000001</v>
      </c>
      <c r="F27" s="7">
        <v>177.479996</v>
      </c>
      <c r="G27" s="7">
        <v>175.220001</v>
      </c>
      <c r="H27" s="8">
        <f t="shared" si="0"/>
        <v>1.3100980486140746E-2</v>
      </c>
      <c r="J27" s="5">
        <f>J26+31</f>
        <v>44713</v>
      </c>
      <c r="K27" s="14">
        <v>-5.0500000000000003E-2</v>
      </c>
      <c r="L27" s="14">
        <v>-0.1195</v>
      </c>
      <c r="M27" s="15">
        <v>2.3280092217120345E-2</v>
      </c>
      <c r="N27" s="14">
        <v>-2.2499999999999999E-2</v>
      </c>
      <c r="O27" s="15">
        <v>-5.5388449179925643E-2</v>
      </c>
      <c r="P27" s="15">
        <v>-1.1111265329301307E-2</v>
      </c>
    </row>
    <row r="28" spans="2:16" x14ac:dyDescent="0.2">
      <c r="B28" s="5">
        <v>44234</v>
      </c>
      <c r="C28" s="6" t="s">
        <v>15</v>
      </c>
      <c r="D28" s="7">
        <v>179.679993</v>
      </c>
      <c r="E28" s="7">
        <v>170.89835199999999</v>
      </c>
      <c r="F28" s="7">
        <v>179.86999499999999</v>
      </c>
      <c r="G28" s="7">
        <v>177.729996</v>
      </c>
      <c r="H28" s="8">
        <f t="shared" si="0"/>
        <v>1.2319549102437209E-2</v>
      </c>
      <c r="J28" s="5">
        <f t="shared" si="1"/>
        <v>44743</v>
      </c>
      <c r="K28" s="14">
        <v>2.7900000000000001E-2</v>
      </c>
      <c r="L28" s="14">
        <v>3.61E-2</v>
      </c>
      <c r="M28" s="15">
        <v>-3.8878882695081163E-2</v>
      </c>
      <c r="N28" s="14">
        <v>0.03</v>
      </c>
      <c r="O28" s="15">
        <v>-3.245713483947379E-3</v>
      </c>
      <c r="P28" s="15">
        <v>-1.8526466625374442E-2</v>
      </c>
    </row>
    <row r="29" spans="2:16" x14ac:dyDescent="0.2">
      <c r="B29" s="5">
        <v>44237</v>
      </c>
      <c r="C29" s="6" t="s">
        <v>15</v>
      </c>
      <c r="D29" s="7">
        <v>180.009995</v>
      </c>
      <c r="E29" s="7">
        <v>171.21222499999999</v>
      </c>
      <c r="F29" s="7">
        <v>180.070007</v>
      </c>
      <c r="G29" s="7">
        <v>179.21000699999999</v>
      </c>
      <c r="H29" s="8">
        <f t="shared" si="0"/>
        <v>1.8349218595828591E-3</v>
      </c>
      <c r="J29" s="9" t="s">
        <v>8</v>
      </c>
      <c r="K29" s="21">
        <f>_xlfn.STDEV.S(K11:K28)*SQRT(12)</f>
        <v>0.14034397519148806</v>
      </c>
      <c r="L29" s="24" t="str">
        <f ca="1">_xlfn.FORMULATEXT(K29)</f>
        <v>=STDEV.S(K11:K28)*SQRT(12)</v>
      </c>
      <c r="M29" s="24"/>
      <c r="N29" s="22">
        <f>SQRT(_xlfn.VAR.S(K11:K28)*12)</f>
        <v>0.14034397519148809</v>
      </c>
      <c r="O29" s="24" t="str">
        <f ca="1">_xlfn.FORMULATEXT(N29)</f>
        <v>=SQRT(VAR.S(K11:K28)*12)</v>
      </c>
      <c r="P29" s="24"/>
    </row>
    <row r="30" spans="2:16" x14ac:dyDescent="0.2">
      <c r="B30" s="5">
        <v>44238</v>
      </c>
      <c r="C30" s="6" t="s">
        <v>15</v>
      </c>
      <c r="D30" s="7">
        <v>181.979996</v>
      </c>
      <c r="E30" s="7">
        <v>173.08594500000001</v>
      </c>
      <c r="F30" s="7">
        <v>182.44000199999999</v>
      </c>
      <c r="G30" s="7">
        <v>180.03999300000001</v>
      </c>
      <c r="H30" s="8">
        <f t="shared" si="0"/>
        <v>1.0884394176535467E-2</v>
      </c>
      <c r="J30" s="9" t="s">
        <v>12</v>
      </c>
      <c r="K30" s="21">
        <f>CORREL(M11:M28,O11:O28)</f>
        <v>3.6270181620982299E-2</v>
      </c>
      <c r="L30" s="24" t="str">
        <f ca="1">_xlfn.FORMULATEXT(K30)</f>
        <v>=CORREL(M11:M28,O11:O28)</v>
      </c>
      <c r="M30" s="24"/>
      <c r="N30" s="24" t="s">
        <v>30</v>
      </c>
      <c r="O30" s="24"/>
      <c r="P30" s="24"/>
    </row>
    <row r="31" spans="2:16" x14ac:dyDescent="0.2">
      <c r="B31" s="5">
        <v>44239</v>
      </c>
      <c r="C31" s="6" t="s">
        <v>15</v>
      </c>
      <c r="D31" s="7">
        <v>182.070007</v>
      </c>
      <c r="E31" s="7">
        <v>173.17155700000001</v>
      </c>
      <c r="F31" s="7">
        <v>182.83000200000001</v>
      </c>
      <c r="G31" s="7">
        <v>181.71000699999999</v>
      </c>
      <c r="H31" s="8">
        <f t="shared" si="0"/>
        <v>4.9449904334235946E-4</v>
      </c>
      <c r="J31" s="9" t="s">
        <v>13</v>
      </c>
      <c r="K31" s="21">
        <f>_xlfn.NORM.DIST(0,1.5%,6%,TRUE)</f>
        <v>0.4012936743170763</v>
      </c>
      <c r="L31" s="24" t="str">
        <f ca="1">_xlfn.FORMULATEXT(K31)</f>
        <v>=NORM.DIST(0,1.5%,6%,TRUE)</v>
      </c>
      <c r="M31" s="24"/>
      <c r="N31" s="24"/>
      <c r="O31" s="24"/>
      <c r="P31" s="24"/>
    </row>
    <row r="32" spans="2:16" x14ac:dyDescent="0.2">
      <c r="B32" s="5">
        <v>44240</v>
      </c>
      <c r="C32" s="6" t="s">
        <v>15</v>
      </c>
      <c r="D32" s="7">
        <v>183.009995</v>
      </c>
      <c r="E32" s="7">
        <v>174.06560400000001</v>
      </c>
      <c r="F32" s="7">
        <v>183.199997</v>
      </c>
      <c r="G32" s="7">
        <v>180.83000200000001</v>
      </c>
      <c r="H32" s="8">
        <f t="shared" si="0"/>
        <v>5.1495005492571029E-3</v>
      </c>
      <c r="J32" s="9" t="s">
        <v>14</v>
      </c>
      <c r="K32" s="20">
        <f>SQRT((7/12)^2*0.018496+(5/12)^2*0.010201+2*(7/12)*(5/12)*-0.0056)*120000</f>
        <v>8771.1401767387124</v>
      </c>
      <c r="L32" s="24" t="str">
        <f ca="1">_xlfn.FORMULATEXT(K32)</f>
        <v>=SQRT((7/12)^2*0.018496+(5/12)^2*0.010201+2*(7/12)*(5/12)*-0.0056)*120000</v>
      </c>
      <c r="M32" s="24"/>
      <c r="N32" s="24"/>
      <c r="O32" s="24"/>
      <c r="P32" s="24"/>
    </row>
    <row r="33" spans="2:16" x14ac:dyDescent="0.2">
      <c r="B33" s="5">
        <v>44241</v>
      </c>
      <c r="C33" s="6" t="s">
        <v>15</v>
      </c>
      <c r="D33" s="7">
        <v>184.020004</v>
      </c>
      <c r="E33" s="7">
        <v>175.026251</v>
      </c>
      <c r="F33" s="7">
        <v>184.36000100000001</v>
      </c>
      <c r="G33" s="7">
        <v>182.66999799999999</v>
      </c>
      <c r="H33" s="8">
        <f t="shared" si="0"/>
        <v>5.5037057504197526E-3</v>
      </c>
      <c r="J33" s="9" t="s">
        <v>31</v>
      </c>
      <c r="K33" s="20">
        <f>_xlfn.NORM.INV(1-48%,30000*(1.13),30000*20%)</f>
        <v>34200.921500788405</v>
      </c>
      <c r="L33" s="24" t="str">
        <f ca="1">_xlfn.FORMULATEXT(K33)</f>
        <v>=NORM.INV(1-48%,30000*(1.13),30000*20%)</v>
      </c>
      <c r="M33" s="24"/>
      <c r="N33" s="24"/>
      <c r="O33" s="24"/>
      <c r="P33" s="24"/>
    </row>
    <row r="34" spans="2:16" x14ac:dyDescent="0.2">
      <c r="B34" s="5">
        <v>44245</v>
      </c>
      <c r="C34" s="6" t="s">
        <v>15</v>
      </c>
      <c r="D34" s="7">
        <v>184.240005</v>
      </c>
      <c r="E34" s="7">
        <v>175.2355</v>
      </c>
      <c r="F34" s="7">
        <v>184.490005</v>
      </c>
      <c r="G34" s="7">
        <v>183.64999399999999</v>
      </c>
      <c r="H34" s="8">
        <f t="shared" si="0"/>
        <v>1.1948151592114137E-3</v>
      </c>
    </row>
    <row r="35" spans="2:16" x14ac:dyDescent="0.2">
      <c r="B35" s="5">
        <v>44246</v>
      </c>
      <c r="C35" s="6" t="s">
        <v>15</v>
      </c>
      <c r="D35" s="7">
        <v>183.020004</v>
      </c>
      <c r="E35" s="7">
        <v>174.07512399999999</v>
      </c>
      <c r="F35" s="7">
        <v>184.949997</v>
      </c>
      <c r="G35" s="7">
        <v>182.86999499999999</v>
      </c>
      <c r="H35" s="8">
        <f t="shared" si="0"/>
        <v>-6.6438303822859007E-3</v>
      </c>
    </row>
    <row r="36" spans="2:16" x14ac:dyDescent="0.2">
      <c r="B36" s="5">
        <v>44247</v>
      </c>
      <c r="C36" s="6" t="s">
        <v>15</v>
      </c>
      <c r="D36" s="7">
        <v>184.10000600000001</v>
      </c>
      <c r="E36" s="7">
        <v>175.10234299999999</v>
      </c>
      <c r="F36" s="7">
        <v>184.520004</v>
      </c>
      <c r="G36" s="7">
        <v>182.60000600000001</v>
      </c>
      <c r="H36" s="8">
        <f t="shared" si="0"/>
        <v>5.8836669624748161E-3</v>
      </c>
    </row>
    <row r="37" spans="2:16" ht="16" x14ac:dyDescent="0.2">
      <c r="B37" s="5">
        <v>44248</v>
      </c>
      <c r="C37" s="6" t="s">
        <v>15</v>
      </c>
      <c r="D37" s="7">
        <v>183.88999899999999</v>
      </c>
      <c r="E37" s="7">
        <v>174.90260000000001</v>
      </c>
      <c r="F37" s="7">
        <v>184.88999899999999</v>
      </c>
      <c r="G37" s="7">
        <v>183.800003</v>
      </c>
      <c r="H37" s="8">
        <f t="shared" si="0"/>
        <v>-1.1413725758968492E-3</v>
      </c>
      <c r="J37" s="19"/>
    </row>
    <row r="38" spans="2:16" x14ac:dyDescent="0.2">
      <c r="B38" s="5">
        <v>44251</v>
      </c>
      <c r="C38" s="6" t="s">
        <v>15</v>
      </c>
      <c r="D38" s="7">
        <v>184.91000399999999</v>
      </c>
      <c r="E38" s="7">
        <v>175.87275199999999</v>
      </c>
      <c r="F38" s="7">
        <v>186.14999399999999</v>
      </c>
      <c r="G38" s="7">
        <v>184.199997</v>
      </c>
      <c r="H38" s="8">
        <f t="shared" si="0"/>
        <v>5.5314859960347001E-3</v>
      </c>
      <c r="J38" s="7"/>
      <c r="K38" s="6"/>
    </row>
    <row r="39" spans="2:16" x14ac:dyDescent="0.2">
      <c r="B39" s="5">
        <v>44252</v>
      </c>
      <c r="C39" s="6" t="s">
        <v>15</v>
      </c>
      <c r="D39" s="7">
        <v>184.83999600000001</v>
      </c>
      <c r="E39" s="7">
        <v>175.80616699999999</v>
      </c>
      <c r="F39" s="7">
        <v>185.58999600000001</v>
      </c>
      <c r="G39" s="7">
        <v>184.229996</v>
      </c>
      <c r="H39" s="8">
        <f t="shared" si="0"/>
        <v>-3.7866927585522271E-4</v>
      </c>
      <c r="J39" s="7"/>
      <c r="K39" s="6"/>
    </row>
    <row r="40" spans="2:16" x14ac:dyDescent="0.2">
      <c r="B40" s="5">
        <v>44253</v>
      </c>
      <c r="C40" s="6" t="s">
        <v>15</v>
      </c>
      <c r="D40" s="7">
        <v>184.85000600000001</v>
      </c>
      <c r="E40" s="7">
        <v>175.815687</v>
      </c>
      <c r="F40" s="7">
        <v>185.60000600000001</v>
      </c>
      <c r="G40" s="7">
        <v>184.33000200000001</v>
      </c>
      <c r="H40" s="8">
        <f t="shared" si="0"/>
        <v>5.4149080292116806E-5</v>
      </c>
      <c r="J40" s="7"/>
      <c r="K40" s="6"/>
    </row>
    <row r="41" spans="2:16" x14ac:dyDescent="0.2">
      <c r="B41" s="5">
        <v>44254</v>
      </c>
      <c r="C41" s="6" t="s">
        <v>15</v>
      </c>
      <c r="D41" s="7">
        <v>185.820007</v>
      </c>
      <c r="E41" s="7">
        <v>176.738281</v>
      </c>
      <c r="F41" s="7">
        <v>185.86999499999999</v>
      </c>
      <c r="G41" s="7">
        <v>184.36999499999999</v>
      </c>
      <c r="H41" s="8">
        <f t="shared" si="0"/>
        <v>5.2337865391076837E-3</v>
      </c>
      <c r="J41" s="7"/>
      <c r="K41" s="6"/>
    </row>
    <row r="42" spans="2:16" x14ac:dyDescent="0.2">
      <c r="B42" s="5">
        <v>44255</v>
      </c>
      <c r="C42" s="6" t="s">
        <v>15</v>
      </c>
      <c r="D42" s="7">
        <v>186.28999300000001</v>
      </c>
      <c r="E42" s="7">
        <v>177.18529699999999</v>
      </c>
      <c r="F42" s="7">
        <v>187.14999399999999</v>
      </c>
      <c r="G42" s="7">
        <v>185.050003</v>
      </c>
      <c r="H42" s="8">
        <f t="shared" si="0"/>
        <v>2.5260607966621886E-3</v>
      </c>
      <c r="J42" s="7"/>
      <c r="K42" s="6"/>
    </row>
    <row r="43" spans="2:16" x14ac:dyDescent="0.2">
      <c r="B43" s="5">
        <v>44258</v>
      </c>
      <c r="C43" s="6" t="s">
        <v>15</v>
      </c>
      <c r="D43" s="7">
        <v>184.979996</v>
      </c>
      <c r="E43" s="7">
        <v>175.939324</v>
      </c>
      <c r="F43" s="7">
        <v>185.449997</v>
      </c>
      <c r="G43" s="7">
        <v>183.75</v>
      </c>
      <c r="H43" s="8">
        <f t="shared" si="0"/>
        <v>-7.0568750896034286E-3</v>
      </c>
      <c r="J43" s="7"/>
      <c r="K43" s="6"/>
    </row>
    <row r="44" spans="2:16" x14ac:dyDescent="0.2">
      <c r="B44" s="5">
        <v>44259</v>
      </c>
      <c r="C44" s="6" t="s">
        <v>15</v>
      </c>
      <c r="D44" s="7">
        <v>187.58000200000001</v>
      </c>
      <c r="E44" s="7">
        <v>178.41225800000001</v>
      </c>
      <c r="F44" s="7">
        <v>187.979996</v>
      </c>
      <c r="G44" s="7">
        <v>186.75</v>
      </c>
      <c r="H44" s="8">
        <f t="shared" si="0"/>
        <v>1.3957742949555818E-2</v>
      </c>
      <c r="J44" s="7"/>
      <c r="K44" s="6"/>
    </row>
    <row r="45" spans="2:16" x14ac:dyDescent="0.2">
      <c r="B45" s="5">
        <v>44260</v>
      </c>
      <c r="C45" s="6" t="s">
        <v>15</v>
      </c>
      <c r="D45" s="7">
        <v>187.75</v>
      </c>
      <c r="E45" s="7">
        <v>178.573947</v>
      </c>
      <c r="F45" s="7">
        <v>188.070007</v>
      </c>
      <c r="G45" s="7">
        <v>187.449997</v>
      </c>
      <c r="H45" s="8">
        <f t="shared" si="0"/>
        <v>9.0585579381976579E-4</v>
      </c>
    </row>
    <row r="46" spans="2:16" x14ac:dyDescent="0.2">
      <c r="B46" s="5">
        <v>44261</v>
      </c>
      <c r="C46" s="6" t="s">
        <v>15</v>
      </c>
      <c r="D46" s="7">
        <v>188.179993</v>
      </c>
      <c r="E46" s="7">
        <v>178.98292499999999</v>
      </c>
      <c r="F46" s="7">
        <v>188.61000100000001</v>
      </c>
      <c r="G46" s="7">
        <v>187.779999</v>
      </c>
      <c r="H46" s="8">
        <f t="shared" si="0"/>
        <v>2.2876258877014945E-3</v>
      </c>
    </row>
    <row r="47" spans="2:16" x14ac:dyDescent="0.2">
      <c r="B47" s="5">
        <v>44262</v>
      </c>
      <c r="C47" s="6" t="s">
        <v>15</v>
      </c>
      <c r="D47" s="7">
        <v>188.259995</v>
      </c>
      <c r="E47" s="7">
        <v>179.05901700000001</v>
      </c>
      <c r="F47" s="7">
        <v>188.96000699999999</v>
      </c>
      <c r="G47" s="7">
        <v>187.429993</v>
      </c>
      <c r="H47" s="8">
        <f t="shared" si="0"/>
        <v>4.2504518169321102E-4</v>
      </c>
    </row>
    <row r="48" spans="2:16" x14ac:dyDescent="0.2">
      <c r="B48" s="5">
        <v>44265</v>
      </c>
      <c r="C48" s="6" t="s">
        <v>15</v>
      </c>
      <c r="D48" s="7">
        <v>188.16000399999999</v>
      </c>
      <c r="E48" s="7">
        <v>178.96391299999999</v>
      </c>
      <c r="F48" s="7">
        <v>188.229996</v>
      </c>
      <c r="G48" s="7">
        <v>187.08000200000001</v>
      </c>
      <c r="H48" s="8">
        <f t="shared" si="0"/>
        <v>-5.3127324686689115E-4</v>
      </c>
    </row>
    <row r="49" spans="2:8" x14ac:dyDescent="0.2">
      <c r="B49" s="5">
        <v>44266</v>
      </c>
      <c r="C49" s="6" t="s">
        <v>15</v>
      </c>
      <c r="D49" s="7">
        <v>187.229996</v>
      </c>
      <c r="E49" s="7">
        <v>178.07935800000001</v>
      </c>
      <c r="F49" s="7">
        <v>188.71000699999999</v>
      </c>
      <c r="G49" s="7">
        <v>186.800003</v>
      </c>
      <c r="H49" s="8">
        <f t="shared" si="0"/>
        <v>-4.9548997646696197E-3</v>
      </c>
    </row>
    <row r="50" spans="2:8" x14ac:dyDescent="0.2">
      <c r="B50" s="5">
        <v>44267</v>
      </c>
      <c r="C50" s="6" t="s">
        <v>15</v>
      </c>
      <c r="D50" s="7">
        <v>187.279999</v>
      </c>
      <c r="E50" s="7">
        <v>178.12691699999999</v>
      </c>
      <c r="F50" s="7">
        <v>187.35000600000001</v>
      </c>
      <c r="G50" s="7">
        <v>185.89999399999999</v>
      </c>
      <c r="H50" s="8">
        <f t="shared" si="0"/>
        <v>2.670306708244687E-4</v>
      </c>
    </row>
    <row r="51" spans="2:8" x14ac:dyDescent="0.2">
      <c r="B51" s="5">
        <v>44268</v>
      </c>
      <c r="C51" s="6" t="s">
        <v>15</v>
      </c>
      <c r="D51" s="7">
        <v>185.179993</v>
      </c>
      <c r="E51" s="7">
        <v>176.129546</v>
      </c>
      <c r="F51" s="7">
        <v>187.990005</v>
      </c>
      <c r="G51" s="7">
        <v>184.66000399999999</v>
      </c>
      <c r="H51" s="8">
        <f t="shared" si="0"/>
        <v>-1.1276531970899646E-2</v>
      </c>
    </row>
    <row r="52" spans="2:8" x14ac:dyDescent="0.2">
      <c r="B52" s="5">
        <v>44269</v>
      </c>
      <c r="C52" s="6" t="s">
        <v>15</v>
      </c>
      <c r="D52" s="7">
        <v>184.66000399999999</v>
      </c>
      <c r="E52" s="7">
        <v>175.63497100000001</v>
      </c>
      <c r="F52" s="7">
        <v>185.800003</v>
      </c>
      <c r="G52" s="7">
        <v>184.44000199999999</v>
      </c>
      <c r="H52" s="8">
        <f t="shared" si="0"/>
        <v>-2.8119682457368755E-3</v>
      </c>
    </row>
    <row r="53" spans="2:8" x14ac:dyDescent="0.2">
      <c r="B53" s="5">
        <v>44272</v>
      </c>
      <c r="C53" s="6" t="s">
        <v>15</v>
      </c>
      <c r="D53" s="7">
        <v>186.33000200000001</v>
      </c>
      <c r="E53" s="7">
        <v>177.22335000000001</v>
      </c>
      <c r="F53" s="7">
        <v>186.770004</v>
      </c>
      <c r="G53" s="7">
        <v>185.509995</v>
      </c>
      <c r="H53" s="8">
        <f t="shared" si="0"/>
        <v>9.0029886452108535E-3</v>
      </c>
    </row>
    <row r="54" spans="2:8" x14ac:dyDescent="0.2">
      <c r="B54" s="5">
        <v>44273</v>
      </c>
      <c r="C54" s="6" t="s">
        <v>15</v>
      </c>
      <c r="D54" s="7">
        <v>187.66000399999999</v>
      </c>
      <c r="E54" s="7">
        <v>178.48835</v>
      </c>
      <c r="F54" s="7">
        <v>187.91000399999999</v>
      </c>
      <c r="G54" s="7">
        <v>186.509995</v>
      </c>
      <c r="H54" s="8">
        <f t="shared" si="0"/>
        <v>7.112531484484764E-3</v>
      </c>
    </row>
    <row r="55" spans="2:8" x14ac:dyDescent="0.2">
      <c r="B55" s="5">
        <v>44274</v>
      </c>
      <c r="C55" s="6" t="s">
        <v>15</v>
      </c>
      <c r="D55" s="7">
        <v>186.66000399999999</v>
      </c>
      <c r="E55" s="7">
        <v>177.53722300000001</v>
      </c>
      <c r="F55" s="7">
        <v>187.94000199999999</v>
      </c>
      <c r="G55" s="7">
        <v>185.470001</v>
      </c>
      <c r="H55" s="8">
        <f t="shared" si="0"/>
        <v>-5.343039011050244E-3</v>
      </c>
    </row>
    <row r="56" spans="2:8" x14ac:dyDescent="0.2">
      <c r="B56" s="5">
        <v>44275</v>
      </c>
      <c r="C56" s="6" t="s">
        <v>15</v>
      </c>
      <c r="D56" s="7">
        <v>187.75</v>
      </c>
      <c r="E56" s="7">
        <v>178.573947</v>
      </c>
      <c r="F56" s="7">
        <v>187.88999899999999</v>
      </c>
      <c r="G56" s="7">
        <v>185.91999799999999</v>
      </c>
      <c r="H56" s="8">
        <f t="shared" si="0"/>
        <v>5.82249036930837E-3</v>
      </c>
    </row>
    <row r="57" spans="2:8" x14ac:dyDescent="0.2">
      <c r="B57" s="5">
        <v>44276</v>
      </c>
      <c r="C57" s="6" t="s">
        <v>15</v>
      </c>
      <c r="D57" s="7">
        <v>186.199997</v>
      </c>
      <c r="E57" s="7">
        <v>177.881325</v>
      </c>
      <c r="F57" s="7">
        <v>189.020004</v>
      </c>
      <c r="G57" s="7">
        <v>186.029999</v>
      </c>
      <c r="H57" s="8">
        <f t="shared" si="0"/>
        <v>-3.8861698849151525E-3</v>
      </c>
    </row>
    <row r="58" spans="2:8" x14ac:dyDescent="0.2">
      <c r="B58" s="5">
        <v>44279</v>
      </c>
      <c r="C58" s="6" t="s">
        <v>15</v>
      </c>
      <c r="D58" s="7">
        <v>185.429993</v>
      </c>
      <c r="E58" s="7">
        <v>177.14572100000001</v>
      </c>
      <c r="F58" s="7">
        <v>187.070007</v>
      </c>
      <c r="G58" s="7">
        <v>184.61999499999999</v>
      </c>
      <c r="H58" s="8">
        <f t="shared" si="0"/>
        <v>-4.1439381080995031E-3</v>
      </c>
    </row>
    <row r="59" spans="2:8" x14ac:dyDescent="0.2">
      <c r="B59" s="5">
        <v>44280</v>
      </c>
      <c r="C59" s="6" t="s">
        <v>15</v>
      </c>
      <c r="D59" s="7">
        <v>186.30999800000001</v>
      </c>
      <c r="E59" s="7">
        <v>177.986411</v>
      </c>
      <c r="F59" s="7">
        <v>186.94000199999999</v>
      </c>
      <c r="G59" s="7">
        <v>185.270004</v>
      </c>
      <c r="H59" s="8">
        <f t="shared" si="0"/>
        <v>4.7345283326342353E-3</v>
      </c>
    </row>
    <row r="60" spans="2:8" x14ac:dyDescent="0.2">
      <c r="B60" s="5">
        <v>44281</v>
      </c>
      <c r="C60" s="6" t="s">
        <v>15</v>
      </c>
      <c r="D60" s="7">
        <v>184.970001</v>
      </c>
      <c r="E60" s="7">
        <v>176.70627999999999</v>
      </c>
      <c r="F60" s="7">
        <v>187.33999600000001</v>
      </c>
      <c r="G60" s="7">
        <v>184.91999799999999</v>
      </c>
      <c r="H60" s="8">
        <f t="shared" si="0"/>
        <v>-7.2182855230372009E-3</v>
      </c>
    </row>
    <row r="61" spans="2:8" x14ac:dyDescent="0.2">
      <c r="B61" s="5">
        <v>44282</v>
      </c>
      <c r="C61" s="6" t="s">
        <v>15</v>
      </c>
      <c r="D61" s="7">
        <v>184.58000200000001</v>
      </c>
      <c r="E61" s="7">
        <v>176.33370500000001</v>
      </c>
      <c r="F61" s="7">
        <v>185.33999600000001</v>
      </c>
      <c r="G61" s="7">
        <v>183.89999399999999</v>
      </c>
      <c r="H61" s="8">
        <f t="shared" si="0"/>
        <v>-2.1106682197257029E-3</v>
      </c>
    </row>
    <row r="62" spans="2:8" x14ac:dyDescent="0.2">
      <c r="B62" s="5">
        <v>44283</v>
      </c>
      <c r="C62" s="6" t="s">
        <v>15</v>
      </c>
      <c r="D62" s="7">
        <v>185.490005</v>
      </c>
      <c r="E62" s="7">
        <v>177.20305300000001</v>
      </c>
      <c r="F62" s="7">
        <v>186.41999799999999</v>
      </c>
      <c r="G62" s="7">
        <v>185</v>
      </c>
      <c r="H62" s="8">
        <f t="shared" si="0"/>
        <v>4.9180162037588048E-3</v>
      </c>
    </row>
    <row r="63" spans="2:8" x14ac:dyDescent="0.2">
      <c r="B63" s="5">
        <v>44286</v>
      </c>
      <c r="C63" s="6" t="s">
        <v>15</v>
      </c>
      <c r="D63" s="7">
        <v>187.009995</v>
      </c>
      <c r="E63" s="7">
        <v>178.655135</v>
      </c>
      <c r="F63" s="7">
        <v>187.300003</v>
      </c>
      <c r="G63" s="7">
        <v>185.520004</v>
      </c>
      <c r="H63" s="8">
        <f t="shared" si="0"/>
        <v>8.1610602670614662E-3</v>
      </c>
    </row>
    <row r="64" spans="2:8" x14ac:dyDescent="0.2">
      <c r="B64" s="5">
        <v>44287</v>
      </c>
      <c r="C64" s="6" t="s">
        <v>15</v>
      </c>
      <c r="D64" s="7">
        <v>188.25</v>
      </c>
      <c r="E64" s="7">
        <v>179.839742</v>
      </c>
      <c r="F64" s="7">
        <v>188.36000100000001</v>
      </c>
      <c r="G64" s="7">
        <v>187</v>
      </c>
      <c r="H64" s="8">
        <f t="shared" si="0"/>
        <v>6.6088046864951058E-3</v>
      </c>
    </row>
    <row r="65" spans="2:8" x14ac:dyDescent="0.2">
      <c r="B65" s="5">
        <v>44288</v>
      </c>
      <c r="C65" s="6" t="s">
        <v>15</v>
      </c>
      <c r="D65" s="7">
        <v>188.88000500000001</v>
      </c>
      <c r="E65" s="7">
        <v>180.44160099999999</v>
      </c>
      <c r="F65" s="7">
        <v>189.13000500000001</v>
      </c>
      <c r="G65" s="7">
        <v>188.13999899999999</v>
      </c>
      <c r="H65" s="8">
        <f t="shared" si="0"/>
        <v>3.3410531605627984E-3</v>
      </c>
    </row>
    <row r="66" spans="2:8" x14ac:dyDescent="0.2">
      <c r="B66" s="5">
        <v>44289</v>
      </c>
      <c r="C66" s="6" t="s">
        <v>15</v>
      </c>
      <c r="D66" s="7">
        <v>188.63000500000001</v>
      </c>
      <c r="E66" s="7">
        <v>180.20276999999999</v>
      </c>
      <c r="F66" s="7">
        <v>189.220001</v>
      </c>
      <c r="G66" s="7">
        <v>188.050003</v>
      </c>
      <c r="H66" s="8">
        <f t="shared" si="0"/>
        <v>-1.3244683911256558E-3</v>
      </c>
    </row>
    <row r="67" spans="2:8" x14ac:dyDescent="0.2">
      <c r="B67" s="5">
        <v>44290</v>
      </c>
      <c r="C67" s="6" t="s">
        <v>15</v>
      </c>
      <c r="D67" s="7">
        <v>186.39999399999999</v>
      </c>
      <c r="E67" s="7">
        <v>178.07238699999999</v>
      </c>
      <c r="F67" s="7">
        <v>189.699997</v>
      </c>
      <c r="G67" s="7">
        <v>186.10000600000001</v>
      </c>
      <c r="H67" s="8">
        <f t="shared" si="0"/>
        <v>-1.1892580701021614E-2</v>
      </c>
    </row>
    <row r="68" spans="2:8" x14ac:dyDescent="0.2">
      <c r="B68" s="5">
        <v>44293</v>
      </c>
      <c r="C68" s="6" t="s">
        <v>15</v>
      </c>
      <c r="D68" s="7">
        <v>184.33999600000001</v>
      </c>
      <c r="E68" s="7">
        <v>176.104422</v>
      </c>
      <c r="F68" s="7">
        <v>186.259995</v>
      </c>
      <c r="G68" s="7">
        <v>183.96000699999999</v>
      </c>
      <c r="H68" s="8">
        <f t="shared" ref="H68:H131" si="2">IF(C68=C67, LN(E68/E67), "")</f>
        <v>-1.1113010244742223E-2</v>
      </c>
    </row>
    <row r="69" spans="2:8" x14ac:dyDescent="0.2">
      <c r="B69" s="5">
        <v>44294</v>
      </c>
      <c r="C69" s="6" t="s">
        <v>15</v>
      </c>
      <c r="D69" s="7">
        <v>185.10000600000001</v>
      </c>
      <c r="E69" s="7">
        <v>176.830477</v>
      </c>
      <c r="F69" s="7">
        <v>185.39999399999999</v>
      </c>
      <c r="G69" s="7">
        <v>183.58999600000001</v>
      </c>
      <c r="H69" s="8">
        <f t="shared" si="2"/>
        <v>4.1143906498972696E-3</v>
      </c>
    </row>
    <row r="70" spans="2:8" x14ac:dyDescent="0.2">
      <c r="B70" s="5">
        <v>44295</v>
      </c>
      <c r="C70" s="6" t="s">
        <v>15</v>
      </c>
      <c r="D70" s="7">
        <v>187.08999600000001</v>
      </c>
      <c r="E70" s="7">
        <v>178.73156299999999</v>
      </c>
      <c r="F70" s="7">
        <v>187.14999399999999</v>
      </c>
      <c r="G70" s="7">
        <v>185.05999800000001</v>
      </c>
      <c r="H70" s="8">
        <f t="shared" si="2"/>
        <v>1.0693515629132136E-2</v>
      </c>
    </row>
    <row r="71" spans="2:8" x14ac:dyDescent="0.2">
      <c r="B71" s="5">
        <v>44296</v>
      </c>
      <c r="C71" s="6" t="s">
        <v>15</v>
      </c>
      <c r="D71" s="7">
        <v>183.16000399999999</v>
      </c>
      <c r="E71" s="7">
        <v>174.977146</v>
      </c>
      <c r="F71" s="7">
        <v>187.16999799999999</v>
      </c>
      <c r="G71" s="7">
        <v>182.929993</v>
      </c>
      <c r="H71" s="8">
        <f t="shared" si="2"/>
        <v>-2.1229661088835474E-2</v>
      </c>
    </row>
    <row r="72" spans="2:8" x14ac:dyDescent="0.2">
      <c r="B72" s="5">
        <v>44297</v>
      </c>
      <c r="C72" s="6" t="s">
        <v>15</v>
      </c>
      <c r="D72" s="7">
        <v>181.509995</v>
      </c>
      <c r="E72" s="7">
        <v>173.40085300000001</v>
      </c>
      <c r="F72" s="7">
        <v>183.41999799999999</v>
      </c>
      <c r="G72" s="7">
        <v>181.30999800000001</v>
      </c>
      <c r="H72" s="8">
        <f t="shared" si="2"/>
        <v>-9.0493875134592065E-3</v>
      </c>
    </row>
    <row r="73" spans="2:8" x14ac:dyDescent="0.2">
      <c r="B73" s="5">
        <v>44300</v>
      </c>
      <c r="C73" s="6" t="s">
        <v>15</v>
      </c>
      <c r="D73" s="7">
        <v>182.94000199999999</v>
      </c>
      <c r="E73" s="7">
        <v>174.766974</v>
      </c>
      <c r="F73" s="7">
        <v>183.36999499999999</v>
      </c>
      <c r="G73" s="7">
        <v>181.44000199999999</v>
      </c>
      <c r="H73" s="8">
        <f t="shared" si="2"/>
        <v>7.8475258478565482E-3</v>
      </c>
    </row>
    <row r="74" spans="2:8" x14ac:dyDescent="0.2">
      <c r="B74" s="5">
        <v>44301</v>
      </c>
      <c r="C74" s="6" t="s">
        <v>15</v>
      </c>
      <c r="D74" s="7">
        <v>184.199997</v>
      </c>
      <c r="E74" s="7">
        <v>175.97067699999999</v>
      </c>
      <c r="F74" s="7">
        <v>184.33000200000001</v>
      </c>
      <c r="G74" s="7">
        <v>181.509995</v>
      </c>
      <c r="H74" s="8">
        <f t="shared" si="2"/>
        <v>6.8638637589383527E-3</v>
      </c>
    </row>
    <row r="75" spans="2:8" x14ac:dyDescent="0.2">
      <c r="B75" s="5">
        <v>44302</v>
      </c>
      <c r="C75" s="6" t="s">
        <v>15</v>
      </c>
      <c r="D75" s="7">
        <v>186.13000500000001</v>
      </c>
      <c r="E75" s="7">
        <v>177.81446</v>
      </c>
      <c r="F75" s="7">
        <v>186.13999899999999</v>
      </c>
      <c r="G75" s="7">
        <v>184.64999399999999</v>
      </c>
      <c r="H75" s="8">
        <f t="shared" si="2"/>
        <v>1.0423273904039805E-2</v>
      </c>
    </row>
    <row r="76" spans="2:8" x14ac:dyDescent="0.2">
      <c r="B76" s="5">
        <v>44303</v>
      </c>
      <c r="C76" s="6" t="s">
        <v>15</v>
      </c>
      <c r="D76" s="7">
        <v>186.38999899999999</v>
      </c>
      <c r="E76" s="7">
        <v>178.062839</v>
      </c>
      <c r="F76" s="7">
        <v>186.91000399999999</v>
      </c>
      <c r="G76" s="7">
        <v>185.55999800000001</v>
      </c>
      <c r="H76" s="8">
        <f t="shared" si="2"/>
        <v>1.3958689752194893E-3</v>
      </c>
    </row>
    <row r="77" spans="2:8" x14ac:dyDescent="0.2">
      <c r="B77" s="5">
        <v>44307</v>
      </c>
      <c r="C77" s="6" t="s">
        <v>15</v>
      </c>
      <c r="D77" s="7">
        <v>187.03999300000001</v>
      </c>
      <c r="E77" s="7">
        <v>178.68379300000001</v>
      </c>
      <c r="F77" s="7">
        <v>187.10000600000001</v>
      </c>
      <c r="G77" s="7">
        <v>186.21000699999999</v>
      </c>
      <c r="H77" s="8">
        <f t="shared" si="2"/>
        <v>3.481208069831686E-3</v>
      </c>
    </row>
    <row r="78" spans="2:8" x14ac:dyDescent="0.2">
      <c r="B78" s="5">
        <v>44308</v>
      </c>
      <c r="C78" s="6" t="s">
        <v>15</v>
      </c>
      <c r="D78" s="7">
        <v>187.88999899999999</v>
      </c>
      <c r="E78" s="7">
        <v>179.495825</v>
      </c>
      <c r="F78" s="7">
        <v>188.39999399999999</v>
      </c>
      <c r="G78" s="7">
        <v>187.13000500000001</v>
      </c>
      <c r="H78" s="8">
        <f t="shared" si="2"/>
        <v>4.5342244528626631E-3</v>
      </c>
    </row>
    <row r="79" spans="2:8" x14ac:dyDescent="0.2">
      <c r="B79" s="5">
        <v>44309</v>
      </c>
      <c r="C79" s="6" t="s">
        <v>15</v>
      </c>
      <c r="D79" s="7">
        <v>187.449997</v>
      </c>
      <c r="E79" s="7">
        <v>179.07548</v>
      </c>
      <c r="F79" s="7">
        <v>187.91999799999999</v>
      </c>
      <c r="G79" s="7">
        <v>187.300003</v>
      </c>
      <c r="H79" s="8">
        <f t="shared" si="2"/>
        <v>-2.3445556668343416E-3</v>
      </c>
    </row>
    <row r="80" spans="2:8" x14ac:dyDescent="0.2">
      <c r="B80" s="5">
        <v>44310</v>
      </c>
      <c r="C80" s="6" t="s">
        <v>15</v>
      </c>
      <c r="D80" s="7">
        <v>187.83000200000001</v>
      </c>
      <c r="E80" s="7">
        <v>179.43850800000001</v>
      </c>
      <c r="F80" s="7">
        <v>188.38999899999999</v>
      </c>
      <c r="G80" s="7">
        <v>186.929993</v>
      </c>
      <c r="H80" s="8">
        <f t="shared" si="2"/>
        <v>2.0251824822848158E-3</v>
      </c>
    </row>
    <row r="81" spans="2:8" x14ac:dyDescent="0.2">
      <c r="B81" s="5">
        <v>44311</v>
      </c>
      <c r="C81" s="6" t="s">
        <v>15</v>
      </c>
      <c r="D81" s="7">
        <v>186.28999300000001</v>
      </c>
      <c r="E81" s="7">
        <v>177.96729999999999</v>
      </c>
      <c r="F81" s="7">
        <v>187.33000200000001</v>
      </c>
      <c r="G81" s="7">
        <v>185.86999499999999</v>
      </c>
      <c r="H81" s="8">
        <f t="shared" si="2"/>
        <v>-8.2327498698034803E-3</v>
      </c>
    </row>
    <row r="82" spans="2:8" x14ac:dyDescent="0.2">
      <c r="B82" s="5">
        <v>44314</v>
      </c>
      <c r="C82" s="6" t="s">
        <v>15</v>
      </c>
      <c r="D82" s="7">
        <v>186.88000500000001</v>
      </c>
      <c r="E82" s="7">
        <v>178.53095300000001</v>
      </c>
      <c r="F82" s="7">
        <v>187.69000199999999</v>
      </c>
      <c r="G82" s="7">
        <v>184.96000699999999</v>
      </c>
      <c r="H82" s="8">
        <f t="shared" si="2"/>
        <v>3.1621667984883927E-3</v>
      </c>
    </row>
    <row r="83" spans="2:8" x14ac:dyDescent="0.2">
      <c r="B83" s="5">
        <v>44315</v>
      </c>
      <c r="C83" s="6" t="s">
        <v>15</v>
      </c>
      <c r="D83" s="7">
        <v>187.75</v>
      </c>
      <c r="E83" s="7">
        <v>179.36207999999999</v>
      </c>
      <c r="F83" s="7">
        <v>188.03999300000001</v>
      </c>
      <c r="G83" s="7">
        <v>187.08000200000001</v>
      </c>
      <c r="H83" s="8">
        <f t="shared" si="2"/>
        <v>4.6445636961410233E-3</v>
      </c>
    </row>
    <row r="84" spans="2:8" x14ac:dyDescent="0.2">
      <c r="B84" s="5">
        <v>44316</v>
      </c>
      <c r="C84" s="6" t="s">
        <v>15</v>
      </c>
      <c r="D84" s="7">
        <v>188.30999800000001</v>
      </c>
      <c r="E84" s="7">
        <v>179.89705900000001</v>
      </c>
      <c r="F84" s="7">
        <v>188.5</v>
      </c>
      <c r="G84" s="7">
        <v>187.179993</v>
      </c>
      <c r="H84" s="8">
        <f t="shared" si="2"/>
        <v>2.9782368065736763E-3</v>
      </c>
    </row>
    <row r="85" spans="2:8" x14ac:dyDescent="0.2">
      <c r="B85" s="5">
        <v>44317</v>
      </c>
      <c r="C85" s="6" t="s">
        <v>15</v>
      </c>
      <c r="D85" s="7">
        <v>188.33000200000001</v>
      </c>
      <c r="E85" s="7">
        <v>179.91616999999999</v>
      </c>
      <c r="F85" s="7">
        <v>188.83999600000001</v>
      </c>
      <c r="G85" s="7">
        <v>187.729996</v>
      </c>
      <c r="H85" s="8">
        <f t="shared" si="2"/>
        <v>1.0622733394807667E-4</v>
      </c>
    </row>
    <row r="86" spans="2:8" x14ac:dyDescent="0.2">
      <c r="B86" s="5">
        <v>44318</v>
      </c>
      <c r="C86" s="6" t="s">
        <v>15</v>
      </c>
      <c r="D86" s="7">
        <v>188.05999800000001</v>
      </c>
      <c r="E86" s="7">
        <v>179.65822800000001</v>
      </c>
      <c r="F86" s="7">
        <v>189.13999899999999</v>
      </c>
      <c r="G86" s="7">
        <v>187.779999</v>
      </c>
      <c r="H86" s="8">
        <f t="shared" si="2"/>
        <v>-1.4347075079873695E-3</v>
      </c>
    </row>
    <row r="87" spans="2:8" x14ac:dyDescent="0.2">
      <c r="B87" s="5">
        <v>44321</v>
      </c>
      <c r="C87" s="6" t="s">
        <v>15</v>
      </c>
      <c r="D87" s="7">
        <v>188.41999799999999</v>
      </c>
      <c r="E87" s="7">
        <v>180.00214500000001</v>
      </c>
      <c r="F87" s="7">
        <v>188.550003</v>
      </c>
      <c r="G87" s="7">
        <v>186.61999499999999</v>
      </c>
      <c r="H87" s="8">
        <f t="shared" si="2"/>
        <v>1.9124548081506543E-3</v>
      </c>
    </row>
    <row r="88" spans="2:8" x14ac:dyDescent="0.2">
      <c r="B88" s="5">
        <v>44322</v>
      </c>
      <c r="C88" s="6" t="s">
        <v>15</v>
      </c>
      <c r="D88" s="7">
        <v>186.779999</v>
      </c>
      <c r="E88" s="7">
        <v>178.43541400000001</v>
      </c>
      <c r="F88" s="7">
        <v>188.13000500000001</v>
      </c>
      <c r="G88" s="7">
        <v>186.740005</v>
      </c>
      <c r="H88" s="8">
        <f t="shared" si="2"/>
        <v>-8.7420580716535135E-3</v>
      </c>
    </row>
    <row r="89" spans="2:8" x14ac:dyDescent="0.2">
      <c r="B89" s="5">
        <v>44323</v>
      </c>
      <c r="C89" s="6" t="s">
        <v>15</v>
      </c>
      <c r="D89" s="7">
        <v>187.88000500000001</v>
      </c>
      <c r="E89" s="7">
        <v>179.486277</v>
      </c>
      <c r="F89" s="7">
        <v>187.970001</v>
      </c>
      <c r="G89" s="7">
        <v>186.009995</v>
      </c>
      <c r="H89" s="8">
        <f t="shared" si="2"/>
        <v>5.8720443380848456E-3</v>
      </c>
    </row>
    <row r="90" spans="2:8" x14ac:dyDescent="0.2">
      <c r="B90" s="5">
        <v>44324</v>
      </c>
      <c r="C90" s="6" t="s">
        <v>15</v>
      </c>
      <c r="D90" s="7">
        <v>187.679993</v>
      </c>
      <c r="E90" s="7">
        <v>179.29519999999999</v>
      </c>
      <c r="F90" s="7">
        <v>189.050003</v>
      </c>
      <c r="G90" s="7">
        <v>187.08000200000001</v>
      </c>
      <c r="H90" s="8">
        <f t="shared" si="2"/>
        <v>-1.0651442747991241E-3</v>
      </c>
    </row>
    <row r="91" spans="2:8" x14ac:dyDescent="0.2">
      <c r="B91" s="5">
        <v>44325</v>
      </c>
      <c r="C91" s="6" t="s">
        <v>15</v>
      </c>
      <c r="D91" s="7">
        <v>187.96000699999999</v>
      </c>
      <c r="E91" s="7">
        <v>179.562704</v>
      </c>
      <c r="F91" s="7">
        <v>188.03999300000001</v>
      </c>
      <c r="G91" s="7">
        <v>186.83000200000001</v>
      </c>
      <c r="H91" s="8">
        <f t="shared" si="2"/>
        <v>1.4908633560309227E-3</v>
      </c>
    </row>
    <row r="92" spans="2:8" x14ac:dyDescent="0.2">
      <c r="B92" s="5">
        <v>44328</v>
      </c>
      <c r="C92" s="6" t="s">
        <v>15</v>
      </c>
      <c r="D92" s="7">
        <v>189.78999300000001</v>
      </c>
      <c r="E92" s="7">
        <v>181.310934</v>
      </c>
      <c r="F92" s="7">
        <v>189.88000500000001</v>
      </c>
      <c r="G92" s="7">
        <v>188</v>
      </c>
      <c r="H92" s="8">
        <f t="shared" si="2"/>
        <v>9.6889519890692704E-3</v>
      </c>
    </row>
    <row r="93" spans="2:8" x14ac:dyDescent="0.2">
      <c r="B93" s="5">
        <v>44329</v>
      </c>
      <c r="C93" s="6" t="s">
        <v>15</v>
      </c>
      <c r="D93" s="7">
        <v>189.96000699999999</v>
      </c>
      <c r="E93" s="7">
        <v>181.47335200000001</v>
      </c>
      <c r="F93" s="7">
        <v>190.41999799999999</v>
      </c>
      <c r="G93" s="7">
        <v>189.770004</v>
      </c>
      <c r="H93" s="8">
        <f t="shared" si="2"/>
        <v>8.9539716641080542E-4</v>
      </c>
    </row>
    <row r="94" spans="2:8" x14ac:dyDescent="0.2">
      <c r="B94" s="5">
        <v>44330</v>
      </c>
      <c r="C94" s="6" t="s">
        <v>15</v>
      </c>
      <c r="D94" s="7">
        <v>189.05999800000001</v>
      </c>
      <c r="E94" s="7">
        <v>180.613552</v>
      </c>
      <c r="F94" s="7">
        <v>189.88000500000001</v>
      </c>
      <c r="G94" s="7">
        <v>188.78999300000001</v>
      </c>
      <c r="H94" s="8">
        <f t="shared" si="2"/>
        <v>-4.7491450617095088E-3</v>
      </c>
    </row>
    <row r="95" spans="2:8" x14ac:dyDescent="0.2">
      <c r="B95" s="5">
        <v>44331</v>
      </c>
      <c r="C95" s="6" t="s">
        <v>15</v>
      </c>
      <c r="D95" s="7">
        <v>187.39999399999999</v>
      </c>
      <c r="E95" s="7">
        <v>179.02771100000001</v>
      </c>
      <c r="F95" s="7">
        <v>188.720001</v>
      </c>
      <c r="G95" s="7">
        <v>186.479996</v>
      </c>
      <c r="H95" s="8">
        <f t="shared" si="2"/>
        <v>-8.8190730125272294E-3</v>
      </c>
    </row>
    <row r="96" spans="2:8" x14ac:dyDescent="0.2">
      <c r="B96" s="5">
        <v>44332</v>
      </c>
      <c r="C96" s="6" t="s">
        <v>15</v>
      </c>
      <c r="D96" s="7">
        <v>188.050003</v>
      </c>
      <c r="E96" s="7">
        <v>179.64868000000001</v>
      </c>
      <c r="F96" s="7">
        <v>188.13000500000001</v>
      </c>
      <c r="G96" s="7">
        <v>186.720001</v>
      </c>
      <c r="H96" s="8">
        <f t="shared" si="2"/>
        <v>3.4625619973801722E-3</v>
      </c>
    </row>
    <row r="97" spans="2:8" x14ac:dyDescent="0.2">
      <c r="B97" s="5">
        <v>44335</v>
      </c>
      <c r="C97" s="6" t="s">
        <v>15</v>
      </c>
      <c r="D97" s="7">
        <v>188.740005</v>
      </c>
      <c r="E97" s="7">
        <v>180.30785599999999</v>
      </c>
      <c r="F97" s="7">
        <v>188.88999899999999</v>
      </c>
      <c r="G97" s="7">
        <v>187.520004</v>
      </c>
      <c r="H97" s="8">
        <f t="shared" si="2"/>
        <v>3.6625351726226234E-3</v>
      </c>
    </row>
    <row r="98" spans="2:8" x14ac:dyDescent="0.2">
      <c r="B98" s="5">
        <v>44336</v>
      </c>
      <c r="C98" s="6" t="s">
        <v>15</v>
      </c>
      <c r="D98" s="7">
        <v>187.550003</v>
      </c>
      <c r="E98" s="7">
        <v>179.171018</v>
      </c>
      <c r="F98" s="7">
        <v>188.66999799999999</v>
      </c>
      <c r="G98" s="7">
        <v>187.070007</v>
      </c>
      <c r="H98" s="8">
        <f t="shared" si="2"/>
        <v>-6.3249435343601503E-3</v>
      </c>
    </row>
    <row r="99" spans="2:8" x14ac:dyDescent="0.2">
      <c r="B99" s="5">
        <v>44337</v>
      </c>
      <c r="C99" s="6" t="s">
        <v>15</v>
      </c>
      <c r="D99" s="7">
        <v>189.13000500000001</v>
      </c>
      <c r="E99" s="7">
        <v>180.680432</v>
      </c>
      <c r="F99" s="7">
        <v>189.220001</v>
      </c>
      <c r="G99" s="7">
        <v>188.05999800000001</v>
      </c>
      <c r="H99" s="8">
        <f t="shared" si="2"/>
        <v>8.3891442005778194E-3</v>
      </c>
    </row>
    <row r="100" spans="2:8" x14ac:dyDescent="0.2">
      <c r="B100" s="5">
        <v>44338</v>
      </c>
      <c r="C100" s="6" t="s">
        <v>15</v>
      </c>
      <c r="D100" s="7">
        <v>189.58999600000001</v>
      </c>
      <c r="E100" s="7">
        <v>181.11987300000001</v>
      </c>
      <c r="F100" s="7">
        <v>189.979996</v>
      </c>
      <c r="G100" s="7">
        <v>188.86000100000001</v>
      </c>
      <c r="H100" s="8">
        <f t="shared" si="2"/>
        <v>2.4291920709915917E-3</v>
      </c>
    </row>
    <row r="101" spans="2:8" x14ac:dyDescent="0.2">
      <c r="B101" s="5">
        <v>44339</v>
      </c>
      <c r="C101" s="6" t="s">
        <v>15</v>
      </c>
      <c r="D101" s="7">
        <v>190.35000600000001</v>
      </c>
      <c r="E101" s="7">
        <v>181.84592799999999</v>
      </c>
      <c r="F101" s="7">
        <v>190.479996</v>
      </c>
      <c r="G101" s="7">
        <v>189.58999600000001</v>
      </c>
      <c r="H101" s="8">
        <f t="shared" si="2"/>
        <v>4.0006852789130189E-3</v>
      </c>
    </row>
    <row r="102" spans="2:8" x14ac:dyDescent="0.2">
      <c r="B102" s="5">
        <v>44343</v>
      </c>
      <c r="C102" s="6" t="s">
        <v>15</v>
      </c>
      <c r="D102" s="7">
        <v>191.520004</v>
      </c>
      <c r="E102" s="7">
        <v>182.96365499999999</v>
      </c>
      <c r="F102" s="7">
        <v>191.58000200000001</v>
      </c>
      <c r="G102" s="7">
        <v>190.949997</v>
      </c>
      <c r="H102" s="8">
        <f t="shared" si="2"/>
        <v>6.1277474582440454E-3</v>
      </c>
    </row>
    <row r="103" spans="2:8" x14ac:dyDescent="0.2">
      <c r="B103" s="5">
        <v>44344</v>
      </c>
      <c r="C103" s="6" t="s">
        <v>15</v>
      </c>
      <c r="D103" s="7">
        <v>191.38000500000001</v>
      </c>
      <c r="E103" s="7">
        <v>182.82991100000001</v>
      </c>
      <c r="F103" s="7">
        <v>191.820007</v>
      </c>
      <c r="G103" s="7">
        <v>191.05999800000001</v>
      </c>
      <c r="H103" s="8">
        <f t="shared" si="2"/>
        <v>-7.3125400986273398E-4</v>
      </c>
    </row>
    <row r="104" spans="2:8" x14ac:dyDescent="0.2">
      <c r="B104" s="5">
        <v>44345</v>
      </c>
      <c r="C104" s="6" t="s">
        <v>15</v>
      </c>
      <c r="D104" s="7">
        <v>192.36999499999999</v>
      </c>
      <c r="E104" s="7">
        <v>183.77567199999999</v>
      </c>
      <c r="F104" s="7">
        <v>192.39999399999999</v>
      </c>
      <c r="G104" s="7">
        <v>191.33000200000001</v>
      </c>
      <c r="H104" s="8">
        <f t="shared" si="2"/>
        <v>5.1595673495331337E-3</v>
      </c>
    </row>
    <row r="105" spans="2:8" x14ac:dyDescent="0.2">
      <c r="B105" s="5">
        <v>44346</v>
      </c>
      <c r="C105" s="6" t="s">
        <v>15</v>
      </c>
      <c r="D105" s="7">
        <v>192.679993</v>
      </c>
      <c r="E105" s="7">
        <v>184.07182</v>
      </c>
      <c r="F105" s="7">
        <v>192.800003</v>
      </c>
      <c r="G105" s="7">
        <v>192.029999</v>
      </c>
      <c r="H105" s="8">
        <f t="shared" si="2"/>
        <v>1.6101676397116925E-3</v>
      </c>
    </row>
    <row r="106" spans="2:8" x14ac:dyDescent="0.2">
      <c r="B106" s="5">
        <v>44349</v>
      </c>
      <c r="C106" s="6" t="s">
        <v>15</v>
      </c>
      <c r="D106" s="7">
        <v>192.89999399999999</v>
      </c>
      <c r="E106" s="7">
        <v>184.281993</v>
      </c>
      <c r="F106" s="7">
        <v>192.990005</v>
      </c>
      <c r="G106" s="7">
        <v>191.970001</v>
      </c>
      <c r="H106" s="8">
        <f t="shared" si="2"/>
        <v>1.1411475347349338E-3</v>
      </c>
    </row>
    <row r="107" spans="2:8" x14ac:dyDescent="0.2">
      <c r="B107" s="5">
        <v>44350</v>
      </c>
      <c r="C107" s="6" t="s">
        <v>15</v>
      </c>
      <c r="D107" s="7">
        <v>192.800003</v>
      </c>
      <c r="E107" s="7">
        <v>184.18646899999999</v>
      </c>
      <c r="F107" s="7">
        <v>192.89999399999999</v>
      </c>
      <c r="G107" s="7">
        <v>192.25</v>
      </c>
      <c r="H107" s="8">
        <f t="shared" si="2"/>
        <v>-5.1849214785728301E-4</v>
      </c>
    </row>
    <row r="108" spans="2:8" x14ac:dyDescent="0.2">
      <c r="B108" s="5">
        <v>44351</v>
      </c>
      <c r="C108" s="6" t="s">
        <v>15</v>
      </c>
      <c r="D108" s="7">
        <v>193.19000199999999</v>
      </c>
      <c r="E108" s="7">
        <v>184.559045</v>
      </c>
      <c r="F108" s="7">
        <v>193.300003</v>
      </c>
      <c r="G108" s="7">
        <v>192.270004</v>
      </c>
      <c r="H108" s="8">
        <f t="shared" si="2"/>
        <v>2.0207764576936223E-3</v>
      </c>
    </row>
    <row r="109" spans="2:8" x14ac:dyDescent="0.2">
      <c r="B109" s="5">
        <v>44352</v>
      </c>
      <c r="C109" s="6" t="s">
        <v>15</v>
      </c>
      <c r="D109" s="7">
        <v>194.449997</v>
      </c>
      <c r="E109" s="7">
        <v>185.76274799999999</v>
      </c>
      <c r="F109" s="7">
        <v>194.64999399999999</v>
      </c>
      <c r="G109" s="7">
        <v>192.699997</v>
      </c>
      <c r="H109" s="8">
        <f t="shared" si="2"/>
        <v>6.5008717387122252E-3</v>
      </c>
    </row>
    <row r="110" spans="2:8" x14ac:dyDescent="0.2">
      <c r="B110" s="5">
        <v>44353</v>
      </c>
      <c r="C110" s="6" t="s">
        <v>15</v>
      </c>
      <c r="D110" s="7">
        <v>195.38000500000001</v>
      </c>
      <c r="E110" s="7">
        <v>186.651207</v>
      </c>
      <c r="F110" s="7">
        <v>195.429993</v>
      </c>
      <c r="G110" s="7">
        <v>194.779999</v>
      </c>
      <c r="H110" s="8">
        <f t="shared" si="2"/>
        <v>4.7713608666765201E-3</v>
      </c>
    </row>
    <row r="111" spans="2:8" x14ac:dyDescent="0.2">
      <c r="B111" s="5">
        <v>44356</v>
      </c>
      <c r="C111" s="6" t="s">
        <v>15</v>
      </c>
      <c r="D111" s="7">
        <v>195.58000200000001</v>
      </c>
      <c r="E111" s="7">
        <v>186.84226899999999</v>
      </c>
      <c r="F111" s="7">
        <v>196.050003</v>
      </c>
      <c r="G111" s="7">
        <v>195.16999799999999</v>
      </c>
      <c r="H111" s="8">
        <f t="shared" si="2"/>
        <v>1.0231076521730511E-3</v>
      </c>
    </row>
    <row r="112" spans="2:8" x14ac:dyDescent="0.2">
      <c r="B112" s="5">
        <v>44357</v>
      </c>
      <c r="C112" s="6" t="s">
        <v>15</v>
      </c>
      <c r="D112" s="7">
        <v>195.60000600000001</v>
      </c>
      <c r="E112" s="7">
        <v>186.861379</v>
      </c>
      <c r="F112" s="7">
        <v>195.63999899999999</v>
      </c>
      <c r="G112" s="7">
        <v>194.91999799999999</v>
      </c>
      <c r="H112" s="8">
        <f t="shared" si="2"/>
        <v>1.0227355349051795E-4</v>
      </c>
    </row>
    <row r="113" spans="2:8" x14ac:dyDescent="0.2">
      <c r="B113" s="5">
        <v>44358</v>
      </c>
      <c r="C113" s="6" t="s">
        <v>15</v>
      </c>
      <c r="D113" s="7">
        <v>194.91999799999999</v>
      </c>
      <c r="E113" s="7">
        <v>186.21175099999999</v>
      </c>
      <c r="F113" s="7">
        <v>195.11999499999999</v>
      </c>
      <c r="G113" s="7">
        <v>194.479996</v>
      </c>
      <c r="H113" s="8">
        <f t="shared" si="2"/>
        <v>-3.4825807829002215E-3</v>
      </c>
    </row>
    <row r="114" spans="2:8" x14ac:dyDescent="0.2">
      <c r="B114" s="5">
        <v>44359</v>
      </c>
      <c r="C114" s="6" t="s">
        <v>15</v>
      </c>
      <c r="D114" s="7">
        <v>193.53999300000001</v>
      </c>
      <c r="E114" s="7">
        <v>184.89339899999999</v>
      </c>
      <c r="F114" s="7">
        <v>194.800003</v>
      </c>
      <c r="G114" s="7">
        <v>193.11000100000001</v>
      </c>
      <c r="H114" s="8">
        <f t="shared" si="2"/>
        <v>-7.1050350340331027E-3</v>
      </c>
    </row>
    <row r="115" spans="2:8" x14ac:dyDescent="0.2">
      <c r="B115" s="5">
        <v>44360</v>
      </c>
      <c r="C115" s="6" t="s">
        <v>15</v>
      </c>
      <c r="D115" s="7">
        <v>194.13000500000001</v>
      </c>
      <c r="E115" s="7">
        <v>185.457052</v>
      </c>
      <c r="F115" s="7">
        <v>194.320007</v>
      </c>
      <c r="G115" s="7">
        <v>193.300003</v>
      </c>
      <c r="H115" s="8">
        <f t="shared" si="2"/>
        <v>3.0438922576075098E-3</v>
      </c>
    </row>
    <row r="116" spans="2:8" x14ac:dyDescent="0.2">
      <c r="B116" s="5">
        <v>44363</v>
      </c>
      <c r="C116" s="6" t="s">
        <v>15</v>
      </c>
      <c r="D116" s="7">
        <v>194.28999300000001</v>
      </c>
      <c r="E116" s="7">
        <v>185.609892</v>
      </c>
      <c r="F116" s="7">
        <v>194.699997</v>
      </c>
      <c r="G116" s="7">
        <v>193.66000399999999</v>
      </c>
      <c r="H116" s="8">
        <f t="shared" si="2"/>
        <v>8.2378671080651647E-4</v>
      </c>
    </row>
    <row r="117" spans="2:8" x14ac:dyDescent="0.2">
      <c r="B117" s="5">
        <v>44364</v>
      </c>
      <c r="C117" s="6" t="s">
        <v>15</v>
      </c>
      <c r="D117" s="7">
        <v>194.83000200000001</v>
      </c>
      <c r="E117" s="7">
        <v>186.125776</v>
      </c>
      <c r="F117" s="7">
        <v>194.970001</v>
      </c>
      <c r="G117" s="7">
        <v>193.80999800000001</v>
      </c>
      <c r="H117" s="8">
        <f t="shared" si="2"/>
        <v>2.7755438909466902E-3</v>
      </c>
    </row>
    <row r="118" spans="2:8" x14ac:dyDescent="0.2">
      <c r="B118" s="5">
        <v>44365</v>
      </c>
      <c r="C118" s="6" t="s">
        <v>15</v>
      </c>
      <c r="D118" s="7">
        <v>196.259995</v>
      </c>
      <c r="E118" s="7">
        <v>187.491882</v>
      </c>
      <c r="F118" s="7">
        <v>196.36999499999999</v>
      </c>
      <c r="G118" s="7">
        <v>194.39999399999999</v>
      </c>
      <c r="H118" s="8">
        <f t="shared" si="2"/>
        <v>7.3128882365833979E-3</v>
      </c>
    </row>
    <row r="119" spans="2:8" x14ac:dyDescent="0.2">
      <c r="B119" s="5">
        <v>44366</v>
      </c>
      <c r="C119" s="6" t="s">
        <v>15</v>
      </c>
      <c r="D119" s="7">
        <v>196.479996</v>
      </c>
      <c r="E119" s="7">
        <v>187.702054</v>
      </c>
      <c r="F119" s="7">
        <v>196.60000600000001</v>
      </c>
      <c r="G119" s="7">
        <v>195.800003</v>
      </c>
      <c r="H119" s="8">
        <f t="shared" si="2"/>
        <v>1.1203380535619971E-3</v>
      </c>
    </row>
    <row r="120" spans="2:8" x14ac:dyDescent="0.2">
      <c r="B120" s="5">
        <v>44367</v>
      </c>
      <c r="C120" s="6" t="s">
        <v>15</v>
      </c>
      <c r="D120" s="7">
        <v>195.94000199999999</v>
      </c>
      <c r="E120" s="7">
        <v>188.08315099999999</v>
      </c>
      <c r="F120" s="7">
        <v>196.10000600000001</v>
      </c>
      <c r="G120" s="7">
        <v>195.699997</v>
      </c>
      <c r="H120" s="8">
        <f t="shared" si="2"/>
        <v>2.0282710738919532E-3</v>
      </c>
    </row>
    <row r="121" spans="2:8" x14ac:dyDescent="0.2">
      <c r="B121" s="5">
        <v>44370</v>
      </c>
      <c r="C121" s="6" t="s">
        <v>15</v>
      </c>
      <c r="D121" s="7">
        <v>195.88000500000001</v>
      </c>
      <c r="E121" s="7">
        <v>188.02555899999999</v>
      </c>
      <c r="F121" s="7">
        <v>196.050003</v>
      </c>
      <c r="G121" s="7">
        <v>195.520004</v>
      </c>
      <c r="H121" s="8">
        <f t="shared" si="2"/>
        <v>-3.0625188366491393E-4</v>
      </c>
    </row>
    <row r="122" spans="2:8" x14ac:dyDescent="0.2">
      <c r="B122" s="5">
        <v>44371</v>
      </c>
      <c r="C122" s="6" t="s">
        <v>15</v>
      </c>
      <c r="D122" s="7">
        <v>194.699997</v>
      </c>
      <c r="E122" s="7">
        <v>186.89286799999999</v>
      </c>
      <c r="F122" s="7">
        <v>196.5</v>
      </c>
      <c r="G122" s="7">
        <v>194.479996</v>
      </c>
      <c r="H122" s="8">
        <f t="shared" si="2"/>
        <v>-6.0423514270813942E-3</v>
      </c>
    </row>
    <row r="123" spans="2:8" x14ac:dyDescent="0.2">
      <c r="B123" s="5">
        <v>44372</v>
      </c>
      <c r="C123" s="6" t="s">
        <v>15</v>
      </c>
      <c r="D123" s="7">
        <v>195.58000200000001</v>
      </c>
      <c r="E123" s="7">
        <v>187.73758599999999</v>
      </c>
      <c r="F123" s="7">
        <v>195.779999</v>
      </c>
      <c r="G123" s="7">
        <v>194.25</v>
      </c>
      <c r="H123" s="8">
        <f t="shared" si="2"/>
        <v>4.5096143281436263E-3</v>
      </c>
    </row>
    <row r="124" spans="2:8" x14ac:dyDescent="0.2">
      <c r="B124" s="5">
        <v>44373</v>
      </c>
      <c r="C124" s="6" t="s">
        <v>15</v>
      </c>
      <c r="D124" s="7">
        <v>195.44000199999999</v>
      </c>
      <c r="E124" s="7">
        <v>187.60319999999999</v>
      </c>
      <c r="F124" s="7">
        <v>195.63000500000001</v>
      </c>
      <c r="G124" s="7">
        <v>194.13000500000001</v>
      </c>
      <c r="H124" s="8">
        <f t="shared" si="2"/>
        <v>-7.1607462207616177E-4</v>
      </c>
    </row>
    <row r="125" spans="2:8" x14ac:dyDescent="0.2">
      <c r="B125" s="5">
        <v>44374</v>
      </c>
      <c r="C125" s="6" t="s">
        <v>15</v>
      </c>
      <c r="D125" s="7">
        <v>195.820007</v>
      </c>
      <c r="E125" s="7">
        <v>187.96796800000001</v>
      </c>
      <c r="F125" s="7">
        <v>195.88000500000001</v>
      </c>
      <c r="G125" s="7">
        <v>194.88999899999999</v>
      </c>
      <c r="H125" s="8">
        <f t="shared" si="2"/>
        <v>1.9424713384551761E-3</v>
      </c>
    </row>
    <row r="126" spans="2:8" x14ac:dyDescent="0.2">
      <c r="B126" s="5">
        <v>44377</v>
      </c>
      <c r="C126" s="6" t="s">
        <v>15</v>
      </c>
      <c r="D126" s="7">
        <v>195.720001</v>
      </c>
      <c r="E126" s="7">
        <v>187.871972</v>
      </c>
      <c r="F126" s="7">
        <v>196.16999799999999</v>
      </c>
      <c r="G126" s="7">
        <v>195.529999</v>
      </c>
      <c r="H126" s="8">
        <f t="shared" si="2"/>
        <v>-5.1083449027548497E-4</v>
      </c>
    </row>
    <row r="127" spans="2:8" x14ac:dyDescent="0.2">
      <c r="B127" s="5">
        <v>44378</v>
      </c>
      <c r="C127" s="6" t="s">
        <v>15</v>
      </c>
      <c r="D127" s="7">
        <v>197.029999</v>
      </c>
      <c r="E127" s="7">
        <v>189.12944100000001</v>
      </c>
      <c r="F127" s="7">
        <v>197.63000500000001</v>
      </c>
      <c r="G127" s="7">
        <v>196.13000500000001</v>
      </c>
      <c r="H127" s="8">
        <f t="shared" si="2"/>
        <v>6.6709228128951342E-3</v>
      </c>
    </row>
    <row r="128" spans="2:8" x14ac:dyDescent="0.2">
      <c r="B128" s="5">
        <v>44379</v>
      </c>
      <c r="C128" s="6" t="s">
        <v>15</v>
      </c>
      <c r="D128" s="7">
        <v>197.229996</v>
      </c>
      <c r="E128" s="7">
        <v>189.32141799999999</v>
      </c>
      <c r="F128" s="7">
        <v>197.479996</v>
      </c>
      <c r="G128" s="7">
        <v>196.96000699999999</v>
      </c>
      <c r="H128" s="8">
        <f t="shared" si="2"/>
        <v>1.0145413170627982E-3</v>
      </c>
    </row>
    <row r="129" spans="2:8" x14ac:dyDescent="0.2">
      <c r="B129" s="5">
        <v>44380</v>
      </c>
      <c r="C129" s="6" t="s">
        <v>15</v>
      </c>
      <c r="D129" s="7">
        <v>198.199997</v>
      </c>
      <c r="E129" s="7">
        <v>190.25252399999999</v>
      </c>
      <c r="F129" s="7">
        <v>198.28999300000001</v>
      </c>
      <c r="G129" s="7">
        <v>197.63999899999999</v>
      </c>
      <c r="H129" s="8">
        <f t="shared" si="2"/>
        <v>4.9060684339837825E-3</v>
      </c>
    </row>
    <row r="130" spans="2:8" x14ac:dyDescent="0.2">
      <c r="B130" s="5">
        <v>44384</v>
      </c>
      <c r="C130" s="6" t="s">
        <v>15</v>
      </c>
      <c r="D130" s="7">
        <v>197.509995</v>
      </c>
      <c r="E130" s="7">
        <v>189.59018900000001</v>
      </c>
      <c r="F130" s="7">
        <v>197.979996</v>
      </c>
      <c r="G130" s="7">
        <v>197.220001</v>
      </c>
      <c r="H130" s="8">
        <f t="shared" si="2"/>
        <v>-3.4874207065916599E-3</v>
      </c>
    </row>
    <row r="131" spans="2:8" x14ac:dyDescent="0.2">
      <c r="B131" s="5">
        <v>44385</v>
      </c>
      <c r="C131" s="6" t="s">
        <v>15</v>
      </c>
      <c r="D131" s="7">
        <v>196.240005</v>
      </c>
      <c r="E131" s="7">
        <v>188.37112500000001</v>
      </c>
      <c r="F131" s="7">
        <v>197.220001</v>
      </c>
      <c r="G131" s="7">
        <v>195.759995</v>
      </c>
      <c r="H131" s="8">
        <f t="shared" si="2"/>
        <v>-6.4507566365969065E-3</v>
      </c>
    </row>
    <row r="132" spans="2:8" x14ac:dyDescent="0.2">
      <c r="B132" s="5">
        <v>44386</v>
      </c>
      <c r="C132" s="6" t="s">
        <v>15</v>
      </c>
      <c r="D132" s="7">
        <v>197.11999499999999</v>
      </c>
      <c r="E132" s="7">
        <v>189.21582799999999</v>
      </c>
      <c r="F132" s="7">
        <v>197.300003</v>
      </c>
      <c r="G132" s="7">
        <v>196.30999800000001</v>
      </c>
      <c r="H132" s="8">
        <f t="shared" ref="H132:H195" si="3">IF(C132=C131, LN(E132/E131), "")</f>
        <v>4.4742245590945143E-3</v>
      </c>
    </row>
    <row r="133" spans="2:8" x14ac:dyDescent="0.2">
      <c r="B133" s="5">
        <v>44387</v>
      </c>
      <c r="C133" s="6" t="s">
        <v>15</v>
      </c>
      <c r="D133" s="7">
        <v>196.33999600000001</v>
      </c>
      <c r="E133" s="7">
        <v>188.467106</v>
      </c>
      <c r="F133" s="7">
        <v>196.86000100000001</v>
      </c>
      <c r="G133" s="7">
        <v>195.05999800000001</v>
      </c>
      <c r="H133" s="8">
        <f t="shared" si="3"/>
        <v>-3.9648229422744961E-3</v>
      </c>
    </row>
    <row r="134" spans="2:8" x14ac:dyDescent="0.2">
      <c r="B134" s="5">
        <v>44388</v>
      </c>
      <c r="C134" s="6" t="s">
        <v>15</v>
      </c>
      <c r="D134" s="7">
        <v>196.61000100000001</v>
      </c>
      <c r="E134" s="7">
        <v>188.72628399999999</v>
      </c>
      <c r="F134" s="7">
        <v>196.75</v>
      </c>
      <c r="G134" s="7">
        <v>195.779999</v>
      </c>
      <c r="H134" s="8">
        <f t="shared" si="3"/>
        <v>1.3742448709886828E-3</v>
      </c>
    </row>
    <row r="135" spans="2:8" x14ac:dyDescent="0.2">
      <c r="B135" s="5">
        <v>44391</v>
      </c>
      <c r="C135" s="6" t="s">
        <v>15</v>
      </c>
      <c r="D135" s="7">
        <v>197.60000600000001</v>
      </c>
      <c r="E135" s="7">
        <v>189.676592</v>
      </c>
      <c r="F135" s="7">
        <v>197.86000100000001</v>
      </c>
      <c r="G135" s="7">
        <v>197.44000199999999</v>
      </c>
      <c r="H135" s="8">
        <f t="shared" si="3"/>
        <v>5.022741940567667E-3</v>
      </c>
    </row>
    <row r="136" spans="2:8" x14ac:dyDescent="0.2">
      <c r="B136" s="5">
        <v>44392</v>
      </c>
      <c r="C136" s="6" t="s">
        <v>15</v>
      </c>
      <c r="D136" s="7">
        <v>197.229996</v>
      </c>
      <c r="E136" s="7">
        <v>189.32141799999999</v>
      </c>
      <c r="F136" s="7">
        <v>198.10000600000001</v>
      </c>
      <c r="G136" s="7">
        <v>196.36000100000001</v>
      </c>
      <c r="H136" s="8">
        <f t="shared" si="3"/>
        <v>-1.8742795191717754E-3</v>
      </c>
    </row>
    <row r="137" spans="2:8" x14ac:dyDescent="0.2">
      <c r="B137" s="5">
        <v>44393</v>
      </c>
      <c r="C137" s="6" t="s">
        <v>15</v>
      </c>
      <c r="D137" s="7">
        <v>197.96000699999999</v>
      </c>
      <c r="E137" s="7">
        <v>190.02215699999999</v>
      </c>
      <c r="F137" s="7">
        <v>198.259995</v>
      </c>
      <c r="G137" s="7">
        <v>197.41999799999999</v>
      </c>
      <c r="H137" s="8">
        <f t="shared" si="3"/>
        <v>3.6944861767876139E-3</v>
      </c>
    </row>
    <row r="138" spans="2:8" x14ac:dyDescent="0.2">
      <c r="B138" s="5">
        <v>44394</v>
      </c>
      <c r="C138" s="6" t="s">
        <v>15</v>
      </c>
      <c r="D138" s="7">
        <v>195.71000699999999</v>
      </c>
      <c r="E138" s="7">
        <v>187.86237800000001</v>
      </c>
      <c r="F138" s="7">
        <v>198.10000600000001</v>
      </c>
      <c r="G138" s="7">
        <v>195.429993</v>
      </c>
      <c r="H138" s="8">
        <f t="shared" si="3"/>
        <v>-1.1431018302003718E-2</v>
      </c>
    </row>
    <row r="139" spans="2:8" x14ac:dyDescent="0.2">
      <c r="B139" s="5">
        <v>44395</v>
      </c>
      <c r="C139" s="6" t="s">
        <v>15</v>
      </c>
      <c r="D139" s="7">
        <v>197.71000699999999</v>
      </c>
      <c r="E139" s="7">
        <v>189.78218100000001</v>
      </c>
      <c r="F139" s="7">
        <v>197.91000399999999</v>
      </c>
      <c r="G139" s="7">
        <v>196.240005</v>
      </c>
      <c r="H139" s="8">
        <f t="shared" si="3"/>
        <v>1.0167335884902767E-2</v>
      </c>
    </row>
    <row r="140" spans="2:8" x14ac:dyDescent="0.2">
      <c r="B140" s="5">
        <v>44398</v>
      </c>
      <c r="C140" s="6" t="s">
        <v>15</v>
      </c>
      <c r="D140" s="7">
        <v>197.33999600000001</v>
      </c>
      <c r="E140" s="7">
        <v>189.427008</v>
      </c>
      <c r="F140" s="7">
        <v>197.5</v>
      </c>
      <c r="G140" s="7">
        <v>196.429993</v>
      </c>
      <c r="H140" s="8">
        <f t="shared" si="3"/>
        <v>-1.8732304709961729E-3</v>
      </c>
    </row>
    <row r="141" spans="2:8" x14ac:dyDescent="0.2">
      <c r="B141" s="5">
        <v>44399</v>
      </c>
      <c r="C141" s="6" t="s">
        <v>15</v>
      </c>
      <c r="D141" s="7">
        <v>198.199997</v>
      </c>
      <c r="E141" s="7">
        <v>190.25252399999999</v>
      </c>
      <c r="F141" s="7">
        <v>198.55999800000001</v>
      </c>
      <c r="G141" s="7">
        <v>197.86999499999999</v>
      </c>
      <c r="H141" s="8">
        <f t="shared" si="3"/>
        <v>4.3484951452933051E-3</v>
      </c>
    </row>
    <row r="142" spans="2:8" x14ac:dyDescent="0.2">
      <c r="B142" s="5">
        <v>44400</v>
      </c>
      <c r="C142" s="6" t="s">
        <v>15</v>
      </c>
      <c r="D142" s="7">
        <v>198.63999899999999</v>
      </c>
      <c r="E142" s="7">
        <v>190.67488299999999</v>
      </c>
      <c r="F142" s="7">
        <v>198.85000600000001</v>
      </c>
      <c r="G142" s="7">
        <v>198.10000600000001</v>
      </c>
      <c r="H142" s="8">
        <f t="shared" si="3"/>
        <v>2.2175310325056427E-3</v>
      </c>
    </row>
    <row r="143" spans="2:8" x14ac:dyDescent="0.2">
      <c r="B143" s="5">
        <v>44401</v>
      </c>
      <c r="C143" s="6" t="s">
        <v>15</v>
      </c>
      <c r="D143" s="7">
        <v>198.64999399999999</v>
      </c>
      <c r="E143" s="7">
        <v>190.68447699999999</v>
      </c>
      <c r="F143" s="7">
        <v>199.05999800000001</v>
      </c>
      <c r="G143" s="7">
        <v>198.449997</v>
      </c>
      <c r="H143" s="8">
        <f t="shared" si="3"/>
        <v>5.0314747759269102E-5</v>
      </c>
    </row>
    <row r="144" spans="2:8" x14ac:dyDescent="0.2">
      <c r="B144" s="5">
        <v>44402</v>
      </c>
      <c r="C144" s="6" t="s">
        <v>15</v>
      </c>
      <c r="D144" s="7">
        <v>197.720001</v>
      </c>
      <c r="E144" s="7">
        <v>189.791775</v>
      </c>
      <c r="F144" s="7">
        <v>198.259995</v>
      </c>
      <c r="G144" s="7">
        <v>197.33000200000001</v>
      </c>
      <c r="H144" s="8">
        <f t="shared" si="3"/>
        <v>-4.6925590410608212E-3</v>
      </c>
    </row>
    <row r="145" spans="2:8" x14ac:dyDescent="0.2">
      <c r="B145" s="5">
        <v>44405</v>
      </c>
      <c r="C145" s="6" t="s">
        <v>15</v>
      </c>
      <c r="D145" s="7">
        <v>197.800003</v>
      </c>
      <c r="E145" s="7">
        <v>189.86856900000001</v>
      </c>
      <c r="F145" s="7">
        <v>198.08999600000001</v>
      </c>
      <c r="G145" s="7">
        <v>196.61999499999999</v>
      </c>
      <c r="H145" s="8">
        <f t="shared" si="3"/>
        <v>4.045405439937764E-4</v>
      </c>
    </row>
    <row r="146" spans="2:8" x14ac:dyDescent="0.2">
      <c r="B146" s="5">
        <v>44406</v>
      </c>
      <c r="C146" s="6" t="s">
        <v>15</v>
      </c>
      <c r="D146" s="7">
        <v>196.949997</v>
      </c>
      <c r="E146" s="7">
        <v>189.05264700000001</v>
      </c>
      <c r="F146" s="7">
        <v>198.449997</v>
      </c>
      <c r="G146" s="7">
        <v>196.91999799999999</v>
      </c>
      <c r="H146" s="8">
        <f t="shared" si="3"/>
        <v>-4.3065588654587214E-3</v>
      </c>
    </row>
    <row r="147" spans="2:8" x14ac:dyDescent="0.2">
      <c r="B147" s="5">
        <v>44407</v>
      </c>
      <c r="C147" s="6" t="s">
        <v>15</v>
      </c>
      <c r="D147" s="7">
        <v>196.979996</v>
      </c>
      <c r="E147" s="7">
        <v>189.08144300000001</v>
      </c>
      <c r="F147" s="7">
        <v>197.91000399999999</v>
      </c>
      <c r="G147" s="7">
        <v>196.16000399999999</v>
      </c>
      <c r="H147" s="8">
        <f t="shared" si="3"/>
        <v>1.5230576040185456E-4</v>
      </c>
    </row>
    <row r="148" spans="2:8" x14ac:dyDescent="0.2">
      <c r="B148" s="5">
        <v>44408</v>
      </c>
      <c r="C148" s="6" t="s">
        <v>15</v>
      </c>
      <c r="D148" s="7">
        <v>193.08999600000001</v>
      </c>
      <c r="E148" s="7">
        <v>185.34742499999999</v>
      </c>
      <c r="F148" s="7">
        <v>195.779999</v>
      </c>
      <c r="G148" s="7">
        <v>192.970001</v>
      </c>
      <c r="H148" s="8">
        <f t="shared" si="3"/>
        <v>-1.9945800721520936E-2</v>
      </c>
    </row>
    <row r="149" spans="2:8" x14ac:dyDescent="0.2">
      <c r="B149" s="5">
        <v>44409</v>
      </c>
      <c r="C149" s="6" t="s">
        <v>15</v>
      </c>
      <c r="D149" s="7">
        <v>192.5</v>
      </c>
      <c r="E149" s="7">
        <v>184.78108700000001</v>
      </c>
      <c r="F149" s="7">
        <v>193.759995</v>
      </c>
      <c r="G149" s="7">
        <v>191.570007</v>
      </c>
      <c r="H149" s="8">
        <f t="shared" si="3"/>
        <v>-3.0602259681021572E-3</v>
      </c>
    </row>
    <row r="150" spans="2:8" x14ac:dyDescent="0.2">
      <c r="B150" s="5">
        <v>44412</v>
      </c>
      <c r="C150" s="6" t="s">
        <v>15</v>
      </c>
      <c r="D150" s="7">
        <v>193.88999899999999</v>
      </c>
      <c r="E150" s="7">
        <v>186.11535000000001</v>
      </c>
      <c r="F150" s="7">
        <v>194.300003</v>
      </c>
      <c r="G150" s="7">
        <v>192.050003</v>
      </c>
      <c r="H150" s="8">
        <f t="shared" si="3"/>
        <v>7.1948318863975002E-3</v>
      </c>
    </row>
    <row r="151" spans="2:8" x14ac:dyDescent="0.2">
      <c r="B151" s="5">
        <v>44413</v>
      </c>
      <c r="C151" s="6" t="s">
        <v>15</v>
      </c>
      <c r="D151" s="7">
        <v>192.009995</v>
      </c>
      <c r="E151" s="7">
        <v>184.31073000000001</v>
      </c>
      <c r="F151" s="7">
        <v>193.60000600000001</v>
      </c>
      <c r="G151" s="7">
        <v>191.30999800000001</v>
      </c>
      <c r="H151" s="8">
        <f t="shared" si="3"/>
        <v>-9.7435595089358888E-3</v>
      </c>
    </row>
    <row r="152" spans="2:8" x14ac:dyDescent="0.2">
      <c r="B152" s="5">
        <v>44414</v>
      </c>
      <c r="C152" s="6" t="s">
        <v>15</v>
      </c>
      <c r="D152" s="7">
        <v>192.070007</v>
      </c>
      <c r="E152" s="7">
        <v>184.368336</v>
      </c>
      <c r="F152" s="7">
        <v>192.88999899999999</v>
      </c>
      <c r="G152" s="7">
        <v>191.08000200000001</v>
      </c>
      <c r="H152" s="8">
        <f t="shared" si="3"/>
        <v>3.1249943802773381E-4</v>
      </c>
    </row>
    <row r="153" spans="2:8" x14ac:dyDescent="0.2">
      <c r="B153" s="5">
        <v>44415</v>
      </c>
      <c r="C153" s="6" t="s">
        <v>15</v>
      </c>
      <c r="D153" s="7">
        <v>191.029999</v>
      </c>
      <c r="E153" s="7">
        <v>183.37003000000001</v>
      </c>
      <c r="F153" s="7">
        <v>193.13000500000001</v>
      </c>
      <c r="G153" s="7">
        <v>190.550003</v>
      </c>
      <c r="H153" s="8">
        <f t="shared" si="3"/>
        <v>-5.4294495473676393E-3</v>
      </c>
    </row>
    <row r="154" spans="2:8" x14ac:dyDescent="0.2">
      <c r="B154" s="5">
        <v>44416</v>
      </c>
      <c r="C154" s="6" t="s">
        <v>15</v>
      </c>
      <c r="D154" s="7">
        <v>193.240005</v>
      </c>
      <c r="E154" s="7">
        <v>185.49141900000001</v>
      </c>
      <c r="F154" s="7">
        <v>193.36999499999999</v>
      </c>
      <c r="G154" s="7">
        <v>190.949997</v>
      </c>
      <c r="H154" s="8">
        <f t="shared" si="3"/>
        <v>1.1502489052709942E-2</v>
      </c>
    </row>
    <row r="155" spans="2:8" x14ac:dyDescent="0.2">
      <c r="B155" s="5">
        <v>44419</v>
      </c>
      <c r="C155" s="6" t="s">
        <v>15</v>
      </c>
      <c r="D155" s="7">
        <v>193.800003</v>
      </c>
      <c r="E155" s="7">
        <v>186.02896200000001</v>
      </c>
      <c r="F155" s="7">
        <v>194.66000399999999</v>
      </c>
      <c r="G155" s="7">
        <v>193.71000699999999</v>
      </c>
      <c r="H155" s="8">
        <f t="shared" si="3"/>
        <v>2.8937490517145096E-3</v>
      </c>
    </row>
    <row r="156" spans="2:8" x14ac:dyDescent="0.2">
      <c r="B156" s="5">
        <v>44420</v>
      </c>
      <c r="C156" s="6" t="s">
        <v>15</v>
      </c>
      <c r="D156" s="7">
        <v>193.529999</v>
      </c>
      <c r="E156" s="7">
        <v>185.76978500000001</v>
      </c>
      <c r="F156" s="7">
        <v>194.14999399999999</v>
      </c>
      <c r="G156" s="7">
        <v>192.94000199999999</v>
      </c>
      <c r="H156" s="8">
        <f t="shared" si="3"/>
        <v>-1.3941792115881764E-3</v>
      </c>
    </row>
    <row r="157" spans="2:8" x14ac:dyDescent="0.2">
      <c r="B157" s="5">
        <v>44421</v>
      </c>
      <c r="C157" s="6" t="s">
        <v>15</v>
      </c>
      <c r="D157" s="7">
        <v>194.83999600000001</v>
      </c>
      <c r="E157" s="7">
        <v>187.027253</v>
      </c>
      <c r="F157" s="7">
        <v>195.05999800000001</v>
      </c>
      <c r="G157" s="7">
        <v>193.96000699999999</v>
      </c>
      <c r="H157" s="8">
        <f t="shared" si="3"/>
        <v>6.7461521462162666E-3</v>
      </c>
    </row>
    <row r="158" spans="2:8" x14ac:dyDescent="0.2">
      <c r="B158" s="5">
        <v>44422</v>
      </c>
      <c r="C158" s="6" t="s">
        <v>15</v>
      </c>
      <c r="D158" s="7">
        <v>195.759995</v>
      </c>
      <c r="E158" s="7">
        <v>187.91036099999999</v>
      </c>
      <c r="F158" s="7">
        <v>195.759995</v>
      </c>
      <c r="G158" s="7">
        <v>194.979996</v>
      </c>
      <c r="H158" s="8">
        <f t="shared" si="3"/>
        <v>4.7107017279178244E-3</v>
      </c>
    </row>
    <row r="159" spans="2:8" x14ac:dyDescent="0.2">
      <c r="B159" s="5">
        <v>44423</v>
      </c>
      <c r="C159" s="6" t="s">
        <v>15</v>
      </c>
      <c r="D159" s="7">
        <v>195.720001</v>
      </c>
      <c r="E159" s="7">
        <v>187.871972</v>
      </c>
      <c r="F159" s="7">
        <v>196.64999399999999</v>
      </c>
      <c r="G159" s="7">
        <v>194.30999800000001</v>
      </c>
      <c r="H159" s="8">
        <f t="shared" si="3"/>
        <v>-2.043150875512027E-4</v>
      </c>
    </row>
    <row r="160" spans="2:8" x14ac:dyDescent="0.2">
      <c r="B160" s="5">
        <v>44426</v>
      </c>
      <c r="C160" s="6" t="s">
        <v>15</v>
      </c>
      <c r="D160" s="7">
        <v>197.36000100000001</v>
      </c>
      <c r="E160" s="7">
        <v>189.44621000000001</v>
      </c>
      <c r="F160" s="7">
        <v>197.449997</v>
      </c>
      <c r="G160" s="7">
        <v>196.69000199999999</v>
      </c>
      <c r="H160" s="8">
        <f t="shared" si="3"/>
        <v>8.3444011419424348E-3</v>
      </c>
    </row>
    <row r="161" spans="2:8" x14ac:dyDescent="0.2">
      <c r="B161" s="5">
        <v>44427</v>
      </c>
      <c r="C161" s="6" t="s">
        <v>15</v>
      </c>
      <c r="D161" s="7">
        <v>198.38999899999999</v>
      </c>
      <c r="E161" s="7">
        <v>190.43490800000001</v>
      </c>
      <c r="F161" s="7">
        <v>198.53999300000001</v>
      </c>
      <c r="G161" s="7">
        <v>197.44000199999999</v>
      </c>
      <c r="H161" s="8">
        <f t="shared" si="3"/>
        <v>5.2053139025498634E-3</v>
      </c>
    </row>
    <row r="162" spans="2:8" x14ac:dyDescent="0.2">
      <c r="B162" s="5">
        <v>44428</v>
      </c>
      <c r="C162" s="6" t="s">
        <v>15</v>
      </c>
      <c r="D162" s="7">
        <v>198.91999799999999</v>
      </c>
      <c r="E162" s="7">
        <v>190.94365400000001</v>
      </c>
      <c r="F162" s="7">
        <v>199.16000399999999</v>
      </c>
      <c r="G162" s="7">
        <v>198.08000200000001</v>
      </c>
      <c r="H162" s="8">
        <f t="shared" si="3"/>
        <v>2.6679333998096315E-3</v>
      </c>
    </row>
    <row r="163" spans="2:8" x14ac:dyDescent="0.2">
      <c r="B163" s="5">
        <v>44429</v>
      </c>
      <c r="C163" s="6" t="s">
        <v>15</v>
      </c>
      <c r="D163" s="7">
        <v>199.5</v>
      </c>
      <c r="E163" s="7">
        <v>191.50039899999999</v>
      </c>
      <c r="F163" s="7">
        <v>199.759995</v>
      </c>
      <c r="G163" s="7">
        <v>198.929993</v>
      </c>
      <c r="H163" s="8">
        <f t="shared" si="3"/>
        <v>2.9115128810204695E-3</v>
      </c>
    </row>
    <row r="164" spans="2:8" x14ac:dyDescent="0.2">
      <c r="B164" s="5">
        <v>44430</v>
      </c>
      <c r="C164" s="6" t="s">
        <v>15</v>
      </c>
      <c r="D164" s="7">
        <v>199.19000199999999</v>
      </c>
      <c r="E164" s="7">
        <v>191.202832</v>
      </c>
      <c r="F164" s="7">
        <v>199.69000199999999</v>
      </c>
      <c r="G164" s="7">
        <v>198.740005</v>
      </c>
      <c r="H164" s="8">
        <f t="shared" si="3"/>
        <v>-1.5550799463541246E-3</v>
      </c>
    </row>
    <row r="165" spans="2:8" x14ac:dyDescent="0.2">
      <c r="B165" s="5">
        <v>44433</v>
      </c>
      <c r="C165" s="6" t="s">
        <v>15</v>
      </c>
      <c r="D165" s="7">
        <v>200.199997</v>
      </c>
      <c r="E165" s="7">
        <v>192.172327</v>
      </c>
      <c r="F165" s="7">
        <v>200.58999600000001</v>
      </c>
      <c r="G165" s="7">
        <v>199.14999399999999</v>
      </c>
      <c r="H165" s="8">
        <f t="shared" si="3"/>
        <v>5.0576937180260512E-3</v>
      </c>
    </row>
    <row r="166" spans="2:8" x14ac:dyDescent="0.2">
      <c r="B166" s="5">
        <v>44434</v>
      </c>
      <c r="C166" s="6" t="s">
        <v>15</v>
      </c>
      <c r="D166" s="7">
        <v>200.33000200000001</v>
      </c>
      <c r="E166" s="7">
        <v>192.29711900000001</v>
      </c>
      <c r="F166" s="7">
        <v>200.820007</v>
      </c>
      <c r="G166" s="7">
        <v>200.279999</v>
      </c>
      <c r="H166" s="8">
        <f t="shared" si="3"/>
        <v>6.4916474211809954E-4</v>
      </c>
    </row>
    <row r="167" spans="2:8" x14ac:dyDescent="0.2">
      <c r="B167" s="5">
        <v>44435</v>
      </c>
      <c r="C167" s="6" t="s">
        <v>15</v>
      </c>
      <c r="D167" s="7">
        <v>200.25</v>
      </c>
      <c r="E167" s="7">
        <v>192.220325</v>
      </c>
      <c r="F167" s="7">
        <v>200.570007</v>
      </c>
      <c r="G167" s="7">
        <v>199.94000199999999</v>
      </c>
      <c r="H167" s="8">
        <f t="shared" si="3"/>
        <v>-3.9943051853333377E-4</v>
      </c>
    </row>
    <row r="168" spans="2:8" x14ac:dyDescent="0.2">
      <c r="B168" s="5">
        <v>44436</v>
      </c>
      <c r="C168" s="6" t="s">
        <v>15</v>
      </c>
      <c r="D168" s="7">
        <v>200.13999899999999</v>
      </c>
      <c r="E168" s="7">
        <v>192.11473599999999</v>
      </c>
      <c r="F168" s="7">
        <v>200.270004</v>
      </c>
      <c r="G168" s="7">
        <v>199.38999899999999</v>
      </c>
      <c r="H168" s="8">
        <f t="shared" si="3"/>
        <v>-5.494632854041423E-4</v>
      </c>
    </row>
    <row r="169" spans="2:8" x14ac:dyDescent="0.2">
      <c r="B169" s="5">
        <v>44437</v>
      </c>
      <c r="C169" s="6" t="s">
        <v>15</v>
      </c>
      <c r="D169" s="7">
        <v>200.71000699999999</v>
      </c>
      <c r="E169" s="7">
        <v>192.66188700000001</v>
      </c>
      <c r="F169" s="7">
        <v>200.729996</v>
      </c>
      <c r="G169" s="7">
        <v>199.820007</v>
      </c>
      <c r="H169" s="8">
        <f t="shared" si="3"/>
        <v>2.8439948587713937E-3</v>
      </c>
    </row>
    <row r="170" spans="2:8" x14ac:dyDescent="0.2">
      <c r="B170" s="5">
        <v>44441</v>
      </c>
      <c r="C170" s="6" t="s">
        <v>15</v>
      </c>
      <c r="D170" s="7">
        <v>200.61000100000001</v>
      </c>
      <c r="E170" s="7">
        <v>192.56589099999999</v>
      </c>
      <c r="F170" s="7">
        <v>201</v>
      </c>
      <c r="G170" s="7">
        <v>199.86000100000001</v>
      </c>
      <c r="H170" s="8">
        <f t="shared" si="3"/>
        <v>-4.9838566930674258E-4</v>
      </c>
    </row>
    <row r="171" spans="2:8" x14ac:dyDescent="0.2">
      <c r="B171" s="5">
        <v>44442</v>
      </c>
      <c r="C171" s="6" t="s">
        <v>15</v>
      </c>
      <c r="D171" s="7">
        <v>200.5</v>
      </c>
      <c r="E171" s="7">
        <v>192.46030099999999</v>
      </c>
      <c r="F171" s="7">
        <v>201.41000399999999</v>
      </c>
      <c r="G171" s="7">
        <v>200.220001</v>
      </c>
      <c r="H171" s="8">
        <f t="shared" si="3"/>
        <v>-5.4848218038677256E-4</v>
      </c>
    </row>
    <row r="172" spans="2:8" x14ac:dyDescent="0.2">
      <c r="B172" s="5">
        <v>44443</v>
      </c>
      <c r="C172" s="6" t="s">
        <v>15</v>
      </c>
      <c r="D172" s="7">
        <v>200.21000699999999</v>
      </c>
      <c r="E172" s="7">
        <v>192.18193600000001</v>
      </c>
      <c r="F172" s="7">
        <v>201.58000200000001</v>
      </c>
      <c r="G172" s="7">
        <v>199.66000399999999</v>
      </c>
      <c r="H172" s="8">
        <f t="shared" si="3"/>
        <v>-1.4473972009314126E-3</v>
      </c>
    </row>
    <row r="173" spans="2:8" x14ac:dyDescent="0.2">
      <c r="B173" s="5">
        <v>44444</v>
      </c>
      <c r="C173" s="6" t="s">
        <v>15</v>
      </c>
      <c r="D173" s="7">
        <v>201.11000100000001</v>
      </c>
      <c r="E173" s="7">
        <v>193.04584199999999</v>
      </c>
      <c r="F173" s="7">
        <v>201.19000199999999</v>
      </c>
      <c r="G173" s="7">
        <v>199.41000399999999</v>
      </c>
      <c r="H173" s="8">
        <f t="shared" si="3"/>
        <v>4.4851773293079098E-3</v>
      </c>
    </row>
    <row r="174" spans="2:8" x14ac:dyDescent="0.2">
      <c r="B174" s="5">
        <v>44447</v>
      </c>
      <c r="C174" s="6" t="s">
        <v>15</v>
      </c>
      <c r="D174" s="7">
        <v>200.58999600000001</v>
      </c>
      <c r="E174" s="7">
        <v>192.54668899999999</v>
      </c>
      <c r="F174" s="7">
        <v>201.21000699999999</v>
      </c>
      <c r="G174" s="7">
        <v>200</v>
      </c>
      <c r="H174" s="8">
        <f t="shared" si="3"/>
        <v>-2.5890194373055266E-3</v>
      </c>
    </row>
    <row r="175" spans="2:8" x14ac:dyDescent="0.2">
      <c r="B175" s="5">
        <v>44448</v>
      </c>
      <c r="C175" s="6" t="s">
        <v>15</v>
      </c>
      <c r="D175" s="7">
        <v>199.320007</v>
      </c>
      <c r="E175" s="7">
        <v>191.32762399999999</v>
      </c>
      <c r="F175" s="7">
        <v>200.550003</v>
      </c>
      <c r="G175" s="7">
        <v>198.91000399999999</v>
      </c>
      <c r="H175" s="8">
        <f t="shared" si="3"/>
        <v>-6.3513970944563646E-3</v>
      </c>
    </row>
    <row r="176" spans="2:8" x14ac:dyDescent="0.2">
      <c r="B176" s="5">
        <v>44449</v>
      </c>
      <c r="C176" s="6" t="s">
        <v>15</v>
      </c>
      <c r="D176" s="7">
        <v>200.070007</v>
      </c>
      <c r="E176" s="7">
        <v>192.04755</v>
      </c>
      <c r="F176" s="7">
        <v>200.199997</v>
      </c>
      <c r="G176" s="7">
        <v>198.770004</v>
      </c>
      <c r="H176" s="8">
        <f t="shared" si="3"/>
        <v>3.7557301310456918E-3</v>
      </c>
    </row>
    <row r="177" spans="2:8" x14ac:dyDescent="0.2">
      <c r="B177" s="5">
        <v>44450</v>
      </c>
      <c r="C177" s="6" t="s">
        <v>15</v>
      </c>
      <c r="D177" s="7">
        <v>200.300003</v>
      </c>
      <c r="E177" s="7">
        <v>192.26832300000001</v>
      </c>
      <c r="F177" s="7">
        <v>200.33000200000001</v>
      </c>
      <c r="G177" s="7">
        <v>199.11999499999999</v>
      </c>
      <c r="H177" s="8">
        <f t="shared" si="3"/>
        <v>1.1489144206390937E-3</v>
      </c>
    </row>
    <row r="178" spans="2:8" x14ac:dyDescent="0.2">
      <c r="B178" s="5">
        <v>44451</v>
      </c>
      <c r="C178" s="6" t="s">
        <v>15</v>
      </c>
      <c r="D178" s="7">
        <v>199.13000500000001</v>
      </c>
      <c r="E178" s="7">
        <v>191.14524</v>
      </c>
      <c r="F178" s="7">
        <v>200.11999499999999</v>
      </c>
      <c r="G178" s="7">
        <v>198.55999800000001</v>
      </c>
      <c r="H178" s="8">
        <f t="shared" si="3"/>
        <v>-5.8583541138049902E-3</v>
      </c>
    </row>
    <row r="179" spans="2:8" x14ac:dyDescent="0.2">
      <c r="B179" s="5">
        <v>44454</v>
      </c>
      <c r="C179" s="6" t="s">
        <v>15</v>
      </c>
      <c r="D179" s="7">
        <v>198.979996</v>
      </c>
      <c r="E179" s="7">
        <v>191.00124600000001</v>
      </c>
      <c r="F179" s="7">
        <v>199.320007</v>
      </c>
      <c r="G179" s="7">
        <v>198.38000500000001</v>
      </c>
      <c r="H179" s="8">
        <f t="shared" si="3"/>
        <v>-7.536063373079487E-4</v>
      </c>
    </row>
    <row r="180" spans="2:8" x14ac:dyDescent="0.2">
      <c r="B180" s="5">
        <v>44455</v>
      </c>
      <c r="C180" s="6" t="s">
        <v>15</v>
      </c>
      <c r="D180" s="7">
        <v>200.479996</v>
      </c>
      <c r="E180" s="7">
        <v>192.44109900000001</v>
      </c>
      <c r="F180" s="7">
        <v>200.83999600000001</v>
      </c>
      <c r="G180" s="7">
        <v>198.5</v>
      </c>
      <c r="H180" s="8">
        <f t="shared" si="3"/>
        <v>7.5101761003059306E-3</v>
      </c>
    </row>
    <row r="181" spans="2:8" x14ac:dyDescent="0.2">
      <c r="B181" s="5">
        <v>44456</v>
      </c>
      <c r="C181" s="6" t="s">
        <v>15</v>
      </c>
      <c r="D181" s="7">
        <v>200.75</v>
      </c>
      <c r="E181" s="7">
        <v>192.700276</v>
      </c>
      <c r="F181" s="7">
        <v>201.679993</v>
      </c>
      <c r="G181" s="7">
        <v>199.75</v>
      </c>
      <c r="H181" s="8">
        <f t="shared" si="3"/>
        <v>1.3458800115808331E-3</v>
      </c>
    </row>
    <row r="182" spans="2:8" x14ac:dyDescent="0.2">
      <c r="B182" s="5">
        <v>44457</v>
      </c>
      <c r="C182" s="6" t="s">
        <v>15</v>
      </c>
      <c r="D182" s="7">
        <v>201.820007</v>
      </c>
      <c r="E182" s="7">
        <v>193.72737799999999</v>
      </c>
      <c r="F182" s="7">
        <v>201.85000600000001</v>
      </c>
      <c r="G182" s="7">
        <v>201.10000600000001</v>
      </c>
      <c r="H182" s="8">
        <f t="shared" si="3"/>
        <v>5.3158950095026046E-3</v>
      </c>
    </row>
    <row r="183" spans="2:8" x14ac:dyDescent="0.2">
      <c r="B183" s="5">
        <v>44458</v>
      </c>
      <c r="C183" s="6" t="s">
        <v>15</v>
      </c>
      <c r="D183" s="7">
        <v>200.699997</v>
      </c>
      <c r="E183" s="7">
        <v>193.55281500000001</v>
      </c>
      <c r="F183" s="7">
        <v>201.89999399999999</v>
      </c>
      <c r="G183" s="7">
        <v>200.28999300000001</v>
      </c>
      <c r="H183" s="8">
        <f t="shared" si="3"/>
        <v>-9.0148174359026259E-4</v>
      </c>
    </row>
    <row r="184" spans="2:8" x14ac:dyDescent="0.2">
      <c r="B184" s="5">
        <v>44461</v>
      </c>
      <c r="C184" s="6" t="s">
        <v>15</v>
      </c>
      <c r="D184" s="7">
        <v>199.14999399999999</v>
      </c>
      <c r="E184" s="7">
        <v>192.058009</v>
      </c>
      <c r="F184" s="7">
        <v>200.38000500000001</v>
      </c>
      <c r="G184" s="7">
        <v>198.729996</v>
      </c>
      <c r="H184" s="8">
        <f t="shared" si="3"/>
        <v>-7.7529643593854192E-3</v>
      </c>
    </row>
    <row r="185" spans="2:8" x14ac:dyDescent="0.2">
      <c r="B185" s="5">
        <v>44462</v>
      </c>
      <c r="C185" s="6" t="s">
        <v>15</v>
      </c>
      <c r="D185" s="7">
        <v>198.009995</v>
      </c>
      <c r="E185" s="7">
        <v>190.958607</v>
      </c>
      <c r="F185" s="7">
        <v>199.259995</v>
      </c>
      <c r="G185" s="7">
        <v>197.949997</v>
      </c>
      <c r="H185" s="8">
        <f t="shared" si="3"/>
        <v>-5.7407693214140314E-3</v>
      </c>
    </row>
    <row r="186" spans="2:8" x14ac:dyDescent="0.2">
      <c r="B186" s="5">
        <v>44463</v>
      </c>
      <c r="C186" s="6" t="s">
        <v>15</v>
      </c>
      <c r="D186" s="7">
        <v>199.55999800000001</v>
      </c>
      <c r="E186" s="7">
        <v>192.45341199999999</v>
      </c>
      <c r="F186" s="7">
        <v>199.69000199999999</v>
      </c>
      <c r="G186" s="7">
        <v>197.520004</v>
      </c>
      <c r="H186" s="8">
        <f t="shared" si="3"/>
        <v>7.7974215703653718E-3</v>
      </c>
    </row>
    <row r="187" spans="2:8" x14ac:dyDescent="0.2">
      <c r="B187" s="5">
        <v>44464</v>
      </c>
      <c r="C187" s="6" t="s">
        <v>15</v>
      </c>
      <c r="D187" s="7">
        <v>196.33999600000001</v>
      </c>
      <c r="E187" s="7">
        <v>189.34807900000001</v>
      </c>
      <c r="F187" s="7">
        <v>199.050003</v>
      </c>
      <c r="G187" s="7">
        <v>196.270004</v>
      </c>
      <c r="H187" s="8">
        <f t="shared" si="3"/>
        <v>-1.6267099790279359E-2</v>
      </c>
    </row>
    <row r="188" spans="2:8" x14ac:dyDescent="0.2">
      <c r="B188" s="5">
        <v>44465</v>
      </c>
      <c r="C188" s="6" t="s">
        <v>15</v>
      </c>
      <c r="D188" s="7">
        <v>197.89999399999999</v>
      </c>
      <c r="E188" s="7">
        <v>190.85252299999999</v>
      </c>
      <c r="F188" s="7">
        <v>198.38999899999999</v>
      </c>
      <c r="G188" s="7">
        <v>196.41999799999999</v>
      </c>
      <c r="H188" s="8">
        <f t="shared" si="3"/>
        <v>7.9139898473418926E-3</v>
      </c>
    </row>
    <row r="189" spans="2:8" x14ac:dyDescent="0.2">
      <c r="B189" s="5">
        <v>44468</v>
      </c>
      <c r="C189" s="6" t="s">
        <v>15</v>
      </c>
      <c r="D189" s="7">
        <v>197.53999300000001</v>
      </c>
      <c r="E189" s="7">
        <v>190.50534300000001</v>
      </c>
      <c r="F189" s="7">
        <v>197.88999899999999</v>
      </c>
      <c r="G189" s="7">
        <v>196.050003</v>
      </c>
      <c r="H189" s="8">
        <f t="shared" si="3"/>
        <v>-1.8207574924547225E-3</v>
      </c>
    </row>
    <row r="190" spans="2:8" x14ac:dyDescent="0.2">
      <c r="B190" s="5">
        <v>44469</v>
      </c>
      <c r="C190" s="6" t="s">
        <v>15</v>
      </c>
      <c r="D190" s="7">
        <v>197.020004</v>
      </c>
      <c r="E190" s="7">
        <v>190.003871</v>
      </c>
      <c r="F190" s="7">
        <v>198.300003</v>
      </c>
      <c r="G190" s="7">
        <v>196.61000100000001</v>
      </c>
      <c r="H190" s="8">
        <f t="shared" si="3"/>
        <v>-2.6357957803775471E-3</v>
      </c>
    </row>
    <row r="191" spans="2:8" x14ac:dyDescent="0.2">
      <c r="B191" s="5">
        <v>44470</v>
      </c>
      <c r="C191" s="6" t="s">
        <v>15</v>
      </c>
      <c r="D191" s="7">
        <v>194.35000600000001</v>
      </c>
      <c r="E191" s="7">
        <v>187.428955</v>
      </c>
      <c r="F191" s="7">
        <v>196.770004</v>
      </c>
      <c r="G191" s="7">
        <v>193.91000399999999</v>
      </c>
      <c r="H191" s="8">
        <f t="shared" si="3"/>
        <v>-1.364457869662653E-2</v>
      </c>
    </row>
    <row r="192" spans="2:8" x14ac:dyDescent="0.2">
      <c r="B192" s="5">
        <v>44471</v>
      </c>
      <c r="C192" s="6" t="s">
        <v>15</v>
      </c>
      <c r="D192" s="7">
        <v>194.38000500000001</v>
      </c>
      <c r="E192" s="7">
        <v>187.457886</v>
      </c>
      <c r="F192" s="7">
        <v>195.05999800000001</v>
      </c>
      <c r="G192" s="7">
        <v>192.35000600000001</v>
      </c>
      <c r="H192" s="8">
        <f t="shared" si="3"/>
        <v>1.5434524178166404E-4</v>
      </c>
    </row>
    <row r="193" spans="2:8" x14ac:dyDescent="0.2">
      <c r="B193" s="5">
        <v>44472</v>
      </c>
      <c r="C193" s="6" t="s">
        <v>15</v>
      </c>
      <c r="D193" s="7">
        <v>196.520004</v>
      </c>
      <c r="E193" s="7">
        <v>189.52167700000001</v>
      </c>
      <c r="F193" s="7">
        <v>196.94000199999999</v>
      </c>
      <c r="G193" s="7">
        <v>195.08000200000001</v>
      </c>
      <c r="H193" s="8">
        <f t="shared" si="3"/>
        <v>1.0949196299394812E-2</v>
      </c>
    </row>
    <row r="194" spans="2:8" x14ac:dyDescent="0.2">
      <c r="B194" s="5">
        <v>44475</v>
      </c>
      <c r="C194" s="6" t="s">
        <v>15</v>
      </c>
      <c r="D194" s="7">
        <v>196.28999300000001</v>
      </c>
      <c r="E194" s="7">
        <v>189.299857</v>
      </c>
      <c r="F194" s="7">
        <v>197.60000600000001</v>
      </c>
      <c r="G194" s="7">
        <v>195.58000200000001</v>
      </c>
      <c r="H194" s="8">
        <f t="shared" si="3"/>
        <v>-1.1711056813997445E-3</v>
      </c>
    </row>
    <row r="195" spans="2:8" x14ac:dyDescent="0.2">
      <c r="B195" s="5">
        <v>44476</v>
      </c>
      <c r="C195" s="6" t="s">
        <v>15</v>
      </c>
      <c r="D195" s="7">
        <v>193.259995</v>
      </c>
      <c r="E195" s="7">
        <v>186.37775999999999</v>
      </c>
      <c r="F195" s="7">
        <v>195.720001</v>
      </c>
      <c r="G195" s="7">
        <v>193.220001</v>
      </c>
      <c r="H195" s="8">
        <f t="shared" si="3"/>
        <v>-1.5556720971934983E-2</v>
      </c>
    </row>
    <row r="196" spans="2:8" x14ac:dyDescent="0.2">
      <c r="B196" s="5">
        <v>44477</v>
      </c>
      <c r="C196" s="6" t="s">
        <v>15</v>
      </c>
      <c r="D196" s="7">
        <v>196.63999899999999</v>
      </c>
      <c r="E196" s="7">
        <v>189.63739899999999</v>
      </c>
      <c r="F196" s="7">
        <v>196.91999799999999</v>
      </c>
      <c r="G196" s="7">
        <v>192.36000100000001</v>
      </c>
      <c r="H196" s="8">
        <f t="shared" ref="H196:H259" si="4">IF(C196=C195, LN(E196/E195), "")</f>
        <v>1.7338240650615375E-2</v>
      </c>
    </row>
    <row r="197" spans="2:8" x14ac:dyDescent="0.2">
      <c r="B197" s="5">
        <v>44478</v>
      </c>
      <c r="C197" s="6" t="s">
        <v>15</v>
      </c>
      <c r="D197" s="7">
        <v>192.740005</v>
      </c>
      <c r="E197" s="7">
        <v>185.87628900000001</v>
      </c>
      <c r="F197" s="7">
        <v>196.60000600000001</v>
      </c>
      <c r="G197" s="7">
        <v>192.58000200000001</v>
      </c>
      <c r="H197" s="8">
        <f t="shared" si="4"/>
        <v>-2.0032482954723461E-2</v>
      </c>
    </row>
    <row r="198" spans="2:8" x14ac:dyDescent="0.2">
      <c r="B198" s="5">
        <v>44479</v>
      </c>
      <c r="C198" s="6" t="s">
        <v>15</v>
      </c>
      <c r="D198" s="7">
        <v>190.53999300000001</v>
      </c>
      <c r="E198" s="7">
        <v>183.75462200000001</v>
      </c>
      <c r="F198" s="7">
        <v>193.64999399999999</v>
      </c>
      <c r="G198" s="7">
        <v>190.490005</v>
      </c>
      <c r="H198" s="8">
        <f t="shared" si="4"/>
        <v>-1.1480048006170376E-2</v>
      </c>
    </row>
    <row r="199" spans="2:8" x14ac:dyDescent="0.2">
      <c r="B199" s="5">
        <v>44482</v>
      </c>
      <c r="C199" s="6" t="s">
        <v>15</v>
      </c>
      <c r="D199" s="7">
        <v>187.41000399999999</v>
      </c>
      <c r="E199" s="7">
        <v>180.73609500000001</v>
      </c>
      <c r="F199" s="7">
        <v>191.14999399999999</v>
      </c>
      <c r="G199" s="7">
        <v>187.300003</v>
      </c>
      <c r="H199" s="8">
        <f t="shared" si="4"/>
        <v>-1.6563362899022192E-2</v>
      </c>
    </row>
    <row r="200" spans="2:8" x14ac:dyDescent="0.2">
      <c r="B200" s="5">
        <v>44483</v>
      </c>
      <c r="C200" s="6" t="s">
        <v>15</v>
      </c>
      <c r="D200" s="7">
        <v>187.699997</v>
      </c>
      <c r="E200" s="7">
        <v>181.015761</v>
      </c>
      <c r="F200" s="7">
        <v>189.820007</v>
      </c>
      <c r="G200" s="7">
        <v>187.03999300000001</v>
      </c>
      <c r="H200" s="8">
        <f t="shared" si="4"/>
        <v>1.5461762038092638E-3</v>
      </c>
    </row>
    <row r="201" spans="2:8" x14ac:dyDescent="0.2">
      <c r="B201" s="5">
        <v>44484</v>
      </c>
      <c r="C201" s="6" t="s">
        <v>15</v>
      </c>
      <c r="D201" s="7">
        <v>186.429993</v>
      </c>
      <c r="E201" s="7">
        <v>179.79098400000001</v>
      </c>
      <c r="F201" s="7">
        <v>187.69000199999999</v>
      </c>
      <c r="G201" s="7">
        <v>181.91999799999999</v>
      </c>
      <c r="H201" s="8">
        <f t="shared" si="4"/>
        <v>-6.7891286477593706E-3</v>
      </c>
    </row>
    <row r="202" spans="2:8" x14ac:dyDescent="0.2">
      <c r="B202" s="5">
        <v>44485</v>
      </c>
      <c r="C202" s="6" t="s">
        <v>15</v>
      </c>
      <c r="D202" s="7">
        <v>186.270004</v>
      </c>
      <c r="E202" s="7">
        <v>179.63669300000001</v>
      </c>
      <c r="F202" s="7">
        <v>187.58000200000001</v>
      </c>
      <c r="G202" s="7">
        <v>182.88999899999999</v>
      </c>
      <c r="H202" s="8">
        <f t="shared" si="4"/>
        <v>-8.5853716533437611E-4</v>
      </c>
    </row>
    <row r="203" spans="2:8" x14ac:dyDescent="0.2">
      <c r="B203" s="5">
        <v>44486</v>
      </c>
      <c r="C203" s="6" t="s">
        <v>15</v>
      </c>
      <c r="D203" s="7">
        <v>188.470001</v>
      </c>
      <c r="E203" s="7">
        <v>181.75834499999999</v>
      </c>
      <c r="F203" s="7">
        <v>189.75</v>
      </c>
      <c r="G203" s="7">
        <v>187.61999499999999</v>
      </c>
      <c r="H203" s="8">
        <f t="shared" si="4"/>
        <v>1.1741591067813459E-2</v>
      </c>
    </row>
    <row r="204" spans="2:8" x14ac:dyDescent="0.2">
      <c r="B204" s="5">
        <v>44489</v>
      </c>
      <c r="C204" s="6" t="s">
        <v>15</v>
      </c>
      <c r="D204" s="7">
        <v>190.300003</v>
      </c>
      <c r="E204" s="7">
        <v>183.523178</v>
      </c>
      <c r="F204" s="7">
        <v>190.449997</v>
      </c>
      <c r="G204" s="7">
        <v>188.070007</v>
      </c>
      <c r="H204" s="8">
        <f t="shared" si="4"/>
        <v>9.6629400672127858E-3</v>
      </c>
    </row>
    <row r="205" spans="2:8" x14ac:dyDescent="0.2">
      <c r="B205" s="5">
        <v>44490</v>
      </c>
      <c r="C205" s="6" t="s">
        <v>15</v>
      </c>
      <c r="D205" s="7">
        <v>194.070007</v>
      </c>
      <c r="E205" s="7">
        <v>187.158928</v>
      </c>
      <c r="F205" s="7">
        <v>194.199997</v>
      </c>
      <c r="G205" s="7">
        <v>191.479996</v>
      </c>
      <c r="H205" s="8">
        <f t="shared" si="4"/>
        <v>1.9617168117201392E-2</v>
      </c>
    </row>
    <row r="206" spans="2:8" x14ac:dyDescent="0.2">
      <c r="B206" s="5">
        <v>44491</v>
      </c>
      <c r="C206" s="6" t="s">
        <v>15</v>
      </c>
      <c r="D206" s="7">
        <v>192.69000199999999</v>
      </c>
      <c r="E206" s="7">
        <v>185.82806600000001</v>
      </c>
      <c r="F206" s="7">
        <v>194.91000399999999</v>
      </c>
      <c r="G206" s="7">
        <v>192.61000100000001</v>
      </c>
      <c r="H206" s="8">
        <f t="shared" si="4"/>
        <v>-7.1362683921785556E-3</v>
      </c>
    </row>
    <row r="207" spans="2:8" x14ac:dyDescent="0.2">
      <c r="B207" s="5">
        <v>44492</v>
      </c>
      <c r="C207" s="6" t="s">
        <v>15</v>
      </c>
      <c r="D207" s="7">
        <v>194.929993</v>
      </c>
      <c r="E207" s="7">
        <v>187.98828800000001</v>
      </c>
      <c r="F207" s="7">
        <v>196.199997</v>
      </c>
      <c r="G207" s="7">
        <v>194.259995</v>
      </c>
      <c r="H207" s="8">
        <f t="shared" si="4"/>
        <v>1.1557793147180395E-2</v>
      </c>
    </row>
    <row r="208" spans="2:8" x14ac:dyDescent="0.2">
      <c r="B208" s="5">
        <v>44493</v>
      </c>
      <c r="C208" s="6" t="s">
        <v>15</v>
      </c>
      <c r="D208" s="7">
        <v>196.429993</v>
      </c>
      <c r="E208" s="7">
        <v>189.43487099999999</v>
      </c>
      <c r="F208" s="7">
        <v>196.490005</v>
      </c>
      <c r="G208" s="7">
        <v>194.490005</v>
      </c>
      <c r="H208" s="8">
        <f t="shared" si="4"/>
        <v>7.6656137766302149E-3</v>
      </c>
    </row>
    <row r="209" spans="2:8" x14ac:dyDescent="0.2">
      <c r="B209" s="5">
        <v>44496</v>
      </c>
      <c r="C209" s="6" t="s">
        <v>15</v>
      </c>
      <c r="D209" s="7">
        <v>196.16000399999999</v>
      </c>
      <c r="E209" s="7">
        <v>189.174496</v>
      </c>
      <c r="F209" s="7">
        <v>196.449997</v>
      </c>
      <c r="G209" s="7">
        <v>195.029999</v>
      </c>
      <c r="H209" s="8">
        <f t="shared" si="4"/>
        <v>-1.3754284164246642E-3</v>
      </c>
    </row>
    <row r="210" spans="2:8" x14ac:dyDescent="0.2">
      <c r="B210" s="5">
        <v>44497</v>
      </c>
      <c r="C210" s="6" t="s">
        <v>15</v>
      </c>
      <c r="D210" s="7">
        <v>198.41000399999999</v>
      </c>
      <c r="E210" s="7">
        <v>191.344371</v>
      </c>
      <c r="F210" s="7">
        <v>198.41999799999999</v>
      </c>
      <c r="G210" s="7">
        <v>196.729996</v>
      </c>
      <c r="H210" s="8">
        <f t="shared" si="4"/>
        <v>1.1404945763647891E-2</v>
      </c>
    </row>
    <row r="211" spans="2:8" x14ac:dyDescent="0.2">
      <c r="B211" s="5">
        <v>44498</v>
      </c>
      <c r="C211" s="6" t="s">
        <v>15</v>
      </c>
      <c r="D211" s="7">
        <v>198.11000100000001</v>
      </c>
      <c r="E211" s="7">
        <v>191.05505199999999</v>
      </c>
      <c r="F211" s="7">
        <v>199.11999499999999</v>
      </c>
      <c r="G211" s="7">
        <v>196.800003</v>
      </c>
      <c r="H211" s="8">
        <f t="shared" si="4"/>
        <v>-1.5131772581394062E-3</v>
      </c>
    </row>
    <row r="212" spans="2:8" x14ac:dyDescent="0.2">
      <c r="B212" s="5">
        <v>44499</v>
      </c>
      <c r="C212" s="6" t="s">
        <v>15</v>
      </c>
      <c r="D212" s="7">
        <v>199.38000500000001</v>
      </c>
      <c r="E212" s="7">
        <v>192.27982900000001</v>
      </c>
      <c r="F212" s="7">
        <v>199.949997</v>
      </c>
      <c r="G212" s="7">
        <v>197.39999399999999</v>
      </c>
      <c r="H212" s="8">
        <f t="shared" si="4"/>
        <v>6.3901368145713299E-3</v>
      </c>
    </row>
    <row r="213" spans="2:8" x14ac:dyDescent="0.2">
      <c r="B213" s="5">
        <v>44500</v>
      </c>
      <c r="C213" s="6" t="s">
        <v>15</v>
      </c>
      <c r="D213" s="7">
        <v>201.66000399999999</v>
      </c>
      <c r="E213" s="7">
        <v>194.478634</v>
      </c>
      <c r="F213" s="7">
        <v>201.820007</v>
      </c>
      <c r="G213" s="7">
        <v>200.770004</v>
      </c>
      <c r="H213" s="8">
        <f t="shared" si="4"/>
        <v>1.1370552427404883E-2</v>
      </c>
    </row>
    <row r="214" spans="2:8" x14ac:dyDescent="0.2">
      <c r="B214" s="5">
        <v>44503</v>
      </c>
      <c r="C214" s="6" t="s">
        <v>15</v>
      </c>
      <c r="D214" s="7">
        <v>201.770004</v>
      </c>
      <c r="E214" s="7">
        <v>194.58471800000001</v>
      </c>
      <c r="F214" s="7">
        <v>202.449997</v>
      </c>
      <c r="G214" s="7">
        <v>201.30999800000001</v>
      </c>
      <c r="H214" s="8">
        <f t="shared" si="4"/>
        <v>5.4533022492955796E-4</v>
      </c>
    </row>
    <row r="215" spans="2:8" x14ac:dyDescent="0.2">
      <c r="B215" s="5">
        <v>44504</v>
      </c>
      <c r="C215" s="6" t="s">
        <v>15</v>
      </c>
      <c r="D215" s="7">
        <v>201.070007</v>
      </c>
      <c r="E215" s="7">
        <v>193.909649</v>
      </c>
      <c r="F215" s="7">
        <v>201.60000600000001</v>
      </c>
      <c r="G215" s="7">
        <v>200.05999800000001</v>
      </c>
      <c r="H215" s="8">
        <f t="shared" si="4"/>
        <v>-3.4753125748431817E-3</v>
      </c>
    </row>
    <row r="216" spans="2:8" x14ac:dyDescent="0.2">
      <c r="B216" s="5">
        <v>44505</v>
      </c>
      <c r="C216" s="6" t="s">
        <v>15</v>
      </c>
      <c r="D216" s="7">
        <v>202.33999600000001</v>
      </c>
      <c r="E216" s="7">
        <v>195.134412</v>
      </c>
      <c r="F216" s="7">
        <v>202.58999600000001</v>
      </c>
      <c r="G216" s="7">
        <v>201.449997</v>
      </c>
      <c r="H216" s="8">
        <f t="shared" si="4"/>
        <v>6.296289643814088E-3</v>
      </c>
    </row>
    <row r="217" spans="2:8" x14ac:dyDescent="0.2">
      <c r="B217" s="5">
        <v>44506</v>
      </c>
      <c r="C217" s="6" t="s">
        <v>15</v>
      </c>
      <c r="D217" s="7">
        <v>203.14999399999999</v>
      </c>
      <c r="E217" s="7">
        <v>195.91556399999999</v>
      </c>
      <c r="F217" s="7">
        <v>203.259995</v>
      </c>
      <c r="G217" s="7">
        <v>201.63999899999999</v>
      </c>
      <c r="H217" s="8">
        <f t="shared" si="4"/>
        <v>3.9951570743234676E-3</v>
      </c>
    </row>
    <row r="218" spans="2:8" x14ac:dyDescent="0.2">
      <c r="B218" s="5">
        <v>44507</v>
      </c>
      <c r="C218" s="6" t="s">
        <v>15</v>
      </c>
      <c r="D218" s="7">
        <v>203.33999600000001</v>
      </c>
      <c r="E218" s="7">
        <v>196.09880000000001</v>
      </c>
      <c r="F218" s="7">
        <v>203.60000600000001</v>
      </c>
      <c r="G218" s="7">
        <v>202.61000100000001</v>
      </c>
      <c r="H218" s="8">
        <f t="shared" si="4"/>
        <v>9.3484336377370103E-4</v>
      </c>
    </row>
    <row r="219" spans="2:8" x14ac:dyDescent="0.2">
      <c r="B219" s="5">
        <v>44510</v>
      </c>
      <c r="C219" s="6" t="s">
        <v>15</v>
      </c>
      <c r="D219" s="7">
        <v>203.979996</v>
      </c>
      <c r="E219" s="7">
        <v>196.71600900000001</v>
      </c>
      <c r="F219" s="7">
        <v>204.03999300000001</v>
      </c>
      <c r="G219" s="7">
        <v>203.13000500000001</v>
      </c>
      <c r="H219" s="8">
        <f t="shared" si="4"/>
        <v>3.1424961268503608E-3</v>
      </c>
    </row>
    <row r="220" spans="2:8" x14ac:dyDescent="0.2">
      <c r="B220" s="5">
        <v>44511</v>
      </c>
      <c r="C220" s="6" t="s">
        <v>15</v>
      </c>
      <c r="D220" s="7">
        <v>204.179993</v>
      </c>
      <c r="E220" s="7">
        <v>196.908883</v>
      </c>
      <c r="F220" s="7">
        <v>204.30999800000001</v>
      </c>
      <c r="G220" s="7">
        <v>203.64999399999999</v>
      </c>
      <c r="H220" s="8">
        <f t="shared" si="4"/>
        <v>9.7998891511149135E-4</v>
      </c>
    </row>
    <row r="221" spans="2:8" x14ac:dyDescent="0.2">
      <c r="B221" s="5">
        <v>44512</v>
      </c>
      <c r="C221" s="6" t="s">
        <v>15</v>
      </c>
      <c r="D221" s="7">
        <v>203.96000699999999</v>
      </c>
      <c r="E221" s="7">
        <v>196.696731</v>
      </c>
      <c r="F221" s="7">
        <v>204.240005</v>
      </c>
      <c r="G221" s="7">
        <v>203.30999800000001</v>
      </c>
      <c r="H221" s="8">
        <f t="shared" si="4"/>
        <v>-1.0779928588345556E-3</v>
      </c>
    </row>
    <row r="222" spans="2:8" x14ac:dyDescent="0.2">
      <c r="B222" s="5">
        <v>44513</v>
      </c>
      <c r="C222" s="6" t="s">
        <v>15</v>
      </c>
      <c r="D222" s="7">
        <v>204.19000199999999</v>
      </c>
      <c r="E222" s="7">
        <v>196.91853699999999</v>
      </c>
      <c r="F222" s="7">
        <v>204.83000200000001</v>
      </c>
      <c r="G222" s="7">
        <v>203.21000699999999</v>
      </c>
      <c r="H222" s="8">
        <f t="shared" si="4"/>
        <v>1.1270194096112134E-3</v>
      </c>
    </row>
    <row r="223" spans="2:8" x14ac:dyDescent="0.2">
      <c r="B223" s="5">
        <v>44514</v>
      </c>
      <c r="C223" s="6" t="s">
        <v>15</v>
      </c>
      <c r="D223" s="7">
        <v>204.240005</v>
      </c>
      <c r="E223" s="7">
        <v>196.966759</v>
      </c>
      <c r="F223" s="7">
        <v>204.490005</v>
      </c>
      <c r="G223" s="7">
        <v>203.720001</v>
      </c>
      <c r="H223" s="8">
        <f t="shared" si="4"/>
        <v>2.4485301040998451E-4</v>
      </c>
    </row>
    <row r="224" spans="2:8" x14ac:dyDescent="0.2">
      <c r="B224" s="5">
        <v>44517</v>
      </c>
      <c r="C224" s="6" t="s">
        <v>15</v>
      </c>
      <c r="D224" s="7">
        <v>204.36999499999999</v>
      </c>
      <c r="E224" s="7">
        <v>197.09211999999999</v>
      </c>
      <c r="F224" s="7">
        <v>204.58000200000001</v>
      </c>
      <c r="G224" s="7">
        <v>203.64999399999999</v>
      </c>
      <c r="H224" s="8">
        <f t="shared" si="4"/>
        <v>6.3625519387957132E-4</v>
      </c>
    </row>
    <row r="225" spans="2:8" x14ac:dyDescent="0.2">
      <c r="B225" s="5">
        <v>44518</v>
      </c>
      <c r="C225" s="6" t="s">
        <v>15</v>
      </c>
      <c r="D225" s="7">
        <v>205.550003</v>
      </c>
      <c r="E225" s="7">
        <v>198.23010600000001</v>
      </c>
      <c r="F225" s="7">
        <v>205.91999799999999</v>
      </c>
      <c r="G225" s="7">
        <v>204.44000199999999</v>
      </c>
      <c r="H225" s="8">
        <f t="shared" si="4"/>
        <v>5.7572737806266712E-3</v>
      </c>
    </row>
    <row r="226" spans="2:8" x14ac:dyDescent="0.2">
      <c r="B226" s="5">
        <v>44519</v>
      </c>
      <c r="C226" s="6" t="s">
        <v>15</v>
      </c>
      <c r="D226" s="7">
        <v>205.220001</v>
      </c>
      <c r="E226" s="7">
        <v>197.911856</v>
      </c>
      <c r="F226" s="7">
        <v>205.550003</v>
      </c>
      <c r="G226" s="7">
        <v>204.300003</v>
      </c>
      <c r="H226" s="8">
        <f t="shared" si="4"/>
        <v>-1.6067475753411733E-3</v>
      </c>
    </row>
    <row r="227" spans="2:8" x14ac:dyDescent="0.2">
      <c r="B227" s="5">
        <v>44520</v>
      </c>
      <c r="C227" s="6" t="s">
        <v>15</v>
      </c>
      <c r="D227" s="7">
        <v>205.58000200000001</v>
      </c>
      <c r="E227" s="7">
        <v>198.25903600000001</v>
      </c>
      <c r="F227" s="7">
        <v>205.71000699999999</v>
      </c>
      <c r="G227" s="7">
        <v>204.179993</v>
      </c>
      <c r="H227" s="8">
        <f t="shared" si="4"/>
        <v>1.7526784318856851E-3</v>
      </c>
    </row>
    <row r="228" spans="2:8" x14ac:dyDescent="0.2">
      <c r="B228" s="5">
        <v>44521</v>
      </c>
      <c r="C228" s="6" t="s">
        <v>15</v>
      </c>
      <c r="D228" s="7">
        <v>206.679993</v>
      </c>
      <c r="E228" s="7">
        <v>199.31985499999999</v>
      </c>
      <c r="F228" s="7">
        <v>207.83999600000001</v>
      </c>
      <c r="G228" s="7">
        <v>205.979996</v>
      </c>
      <c r="H228" s="8">
        <f t="shared" si="4"/>
        <v>5.3364076486267465E-3</v>
      </c>
    </row>
    <row r="229" spans="2:8" x14ac:dyDescent="0.2">
      <c r="B229" s="5">
        <v>44524</v>
      </c>
      <c r="C229" s="6" t="s">
        <v>15</v>
      </c>
      <c r="D229" s="7">
        <v>207.259995</v>
      </c>
      <c r="E229" s="7">
        <v>199.87920199999999</v>
      </c>
      <c r="F229" s="7">
        <v>207.38999899999999</v>
      </c>
      <c r="G229" s="7">
        <v>206.91000399999999</v>
      </c>
      <c r="H229" s="8">
        <f t="shared" si="4"/>
        <v>2.8023481330677778E-3</v>
      </c>
    </row>
    <row r="230" spans="2:8" x14ac:dyDescent="0.2">
      <c r="B230" s="5">
        <v>44525</v>
      </c>
      <c r="C230" s="6" t="s">
        <v>15</v>
      </c>
      <c r="D230" s="7">
        <v>207.11000100000001</v>
      </c>
      <c r="E230" s="7">
        <v>199.73455000000001</v>
      </c>
      <c r="F230" s="7">
        <v>207.78999300000001</v>
      </c>
      <c r="G230" s="7">
        <v>206.800003</v>
      </c>
      <c r="H230" s="8">
        <f t="shared" si="4"/>
        <v>-7.2395910097641531E-4</v>
      </c>
    </row>
    <row r="231" spans="2:8" x14ac:dyDescent="0.2">
      <c r="B231" s="5">
        <v>44526</v>
      </c>
      <c r="C231" s="6" t="s">
        <v>15</v>
      </c>
      <c r="D231" s="7">
        <v>207.63999899999999</v>
      </c>
      <c r="E231" s="7">
        <v>200.24567500000001</v>
      </c>
      <c r="F231" s="7">
        <v>207.759995</v>
      </c>
      <c r="G231" s="7">
        <v>207.029999</v>
      </c>
      <c r="H231" s="8">
        <f t="shared" si="4"/>
        <v>2.5557527411105181E-3</v>
      </c>
    </row>
    <row r="232" spans="2:8" x14ac:dyDescent="0.2">
      <c r="B232" s="5">
        <v>44528</v>
      </c>
      <c r="C232" s="6" t="s">
        <v>15</v>
      </c>
      <c r="D232" s="7">
        <v>207.199997</v>
      </c>
      <c r="E232" s="7">
        <v>199.82134199999999</v>
      </c>
      <c r="F232" s="7">
        <v>207.86999499999999</v>
      </c>
      <c r="G232" s="7">
        <v>206.91000399999999</v>
      </c>
      <c r="H232" s="8">
        <f t="shared" si="4"/>
        <v>-2.121310385971568E-3</v>
      </c>
    </row>
    <row r="233" spans="2:8" x14ac:dyDescent="0.2">
      <c r="B233" s="5">
        <v>44531</v>
      </c>
      <c r="C233" s="6" t="s">
        <v>15</v>
      </c>
      <c r="D233" s="7">
        <v>205.759995</v>
      </c>
      <c r="E233" s="7">
        <v>198.43261899999999</v>
      </c>
      <c r="F233" s="7">
        <v>206.53999300000001</v>
      </c>
      <c r="G233" s="7">
        <v>205.38000500000001</v>
      </c>
      <c r="H233" s="8">
        <f t="shared" si="4"/>
        <v>-6.9740857076187818E-3</v>
      </c>
    </row>
    <row r="234" spans="2:8" x14ac:dyDescent="0.2">
      <c r="B234" s="5">
        <v>44532</v>
      </c>
      <c r="C234" s="6" t="s">
        <v>15</v>
      </c>
      <c r="D234" s="7">
        <v>207.08999600000001</v>
      </c>
      <c r="E234" s="7">
        <v>199.71525800000001</v>
      </c>
      <c r="F234" s="7">
        <v>207.33999600000001</v>
      </c>
      <c r="G234" s="7">
        <v>205.779999</v>
      </c>
      <c r="H234" s="8">
        <f t="shared" si="4"/>
        <v>6.4430504908554809E-3</v>
      </c>
    </row>
    <row r="235" spans="2:8" x14ac:dyDescent="0.2">
      <c r="B235" s="5">
        <v>44533</v>
      </c>
      <c r="C235" s="6" t="s">
        <v>15</v>
      </c>
      <c r="D235" s="7">
        <v>207.88999899999999</v>
      </c>
      <c r="E235" s="7">
        <v>200.486772</v>
      </c>
      <c r="F235" s="7">
        <v>208.14999399999999</v>
      </c>
      <c r="G235" s="7">
        <v>207.10000600000001</v>
      </c>
      <c r="H235" s="8">
        <f t="shared" si="4"/>
        <v>3.8556273978328976E-3</v>
      </c>
    </row>
    <row r="236" spans="2:8" x14ac:dyDescent="0.2">
      <c r="B236" s="5">
        <v>44534</v>
      </c>
      <c r="C236" s="6" t="s">
        <v>15</v>
      </c>
      <c r="D236" s="7">
        <v>207.66000399999999</v>
      </c>
      <c r="E236" s="7">
        <v>200.26496700000001</v>
      </c>
      <c r="F236" s="7">
        <v>208.270004</v>
      </c>
      <c r="G236" s="7">
        <v>206.699997</v>
      </c>
      <c r="H236" s="8">
        <f t="shared" si="4"/>
        <v>-1.1069447793394015E-3</v>
      </c>
    </row>
    <row r="237" spans="2:8" x14ac:dyDescent="0.2">
      <c r="B237" s="5">
        <v>44535</v>
      </c>
      <c r="C237" s="6" t="s">
        <v>15</v>
      </c>
      <c r="D237" s="7">
        <v>208</v>
      </c>
      <c r="E237" s="7">
        <v>200.59285499999999</v>
      </c>
      <c r="F237" s="7">
        <v>208.470001</v>
      </c>
      <c r="G237" s="7">
        <v>207.550003</v>
      </c>
      <c r="H237" s="8">
        <f t="shared" si="4"/>
        <v>1.6359320194404199E-3</v>
      </c>
    </row>
    <row r="238" spans="2:8" x14ac:dyDescent="0.2">
      <c r="B238" s="5">
        <v>44538</v>
      </c>
      <c r="C238" s="6" t="s">
        <v>15</v>
      </c>
      <c r="D238" s="7">
        <v>206.61000100000001</v>
      </c>
      <c r="E238" s="7">
        <v>199.25235599999999</v>
      </c>
      <c r="F238" s="7">
        <v>208.11999499999999</v>
      </c>
      <c r="G238" s="7">
        <v>205.929993</v>
      </c>
      <c r="H238" s="8">
        <f t="shared" si="4"/>
        <v>-6.7051148062333282E-3</v>
      </c>
    </row>
    <row r="239" spans="2:8" x14ac:dyDescent="0.2">
      <c r="B239" s="5">
        <v>44539</v>
      </c>
      <c r="C239" s="6" t="s">
        <v>15</v>
      </c>
      <c r="D239" s="7">
        <v>206.470001</v>
      </c>
      <c r="E239" s="7">
        <v>199.11734200000001</v>
      </c>
      <c r="F239" s="7">
        <v>206.60000600000001</v>
      </c>
      <c r="G239" s="7">
        <v>203.91000399999999</v>
      </c>
      <c r="H239" s="8">
        <f t="shared" si="4"/>
        <v>-6.7783270588725767E-4</v>
      </c>
    </row>
    <row r="240" spans="2:8" x14ac:dyDescent="0.2">
      <c r="B240" s="5">
        <v>44540</v>
      </c>
      <c r="C240" s="6" t="s">
        <v>15</v>
      </c>
      <c r="D240" s="7">
        <v>203.16000399999999</v>
      </c>
      <c r="E240" s="7">
        <v>195.925218</v>
      </c>
      <c r="F240" s="7">
        <v>205.979996</v>
      </c>
      <c r="G240" s="7">
        <v>202.929993</v>
      </c>
      <c r="H240" s="8">
        <f t="shared" si="4"/>
        <v>-1.6161263626835839E-2</v>
      </c>
    </row>
    <row r="241" spans="2:8" x14ac:dyDescent="0.2">
      <c r="B241" s="5">
        <v>44541</v>
      </c>
      <c r="C241" s="6" t="s">
        <v>15</v>
      </c>
      <c r="D241" s="7">
        <v>204.19000199999999</v>
      </c>
      <c r="E241" s="7">
        <v>196.91853699999999</v>
      </c>
      <c r="F241" s="7">
        <v>206.19000199999999</v>
      </c>
      <c r="G241" s="7">
        <v>203.71000699999999</v>
      </c>
      <c r="H241" s="8">
        <f t="shared" si="4"/>
        <v>5.0570798404677786E-3</v>
      </c>
    </row>
    <row r="242" spans="2:8" x14ac:dyDescent="0.2">
      <c r="B242" s="5">
        <v>44542</v>
      </c>
      <c r="C242" s="6" t="s">
        <v>15</v>
      </c>
      <c r="D242" s="7">
        <v>200.88999899999999</v>
      </c>
      <c r="E242" s="7">
        <v>193.736051</v>
      </c>
      <c r="F242" s="7">
        <v>203.820007</v>
      </c>
      <c r="G242" s="7">
        <v>200.85000600000001</v>
      </c>
      <c r="H242" s="8">
        <f t="shared" si="4"/>
        <v>-1.6293454646448071E-2</v>
      </c>
    </row>
    <row r="243" spans="2:8" x14ac:dyDescent="0.2">
      <c r="B243" s="5">
        <v>44545</v>
      </c>
      <c r="C243" s="6" t="s">
        <v>15</v>
      </c>
      <c r="D243" s="7">
        <v>199.509995</v>
      </c>
      <c r="E243" s="7">
        <v>192.40519</v>
      </c>
      <c r="F243" s="7">
        <v>202.529999</v>
      </c>
      <c r="G243" s="7">
        <v>198.779999</v>
      </c>
      <c r="H243" s="8">
        <f t="shared" si="4"/>
        <v>-6.8931578832328927E-3</v>
      </c>
    </row>
    <row r="244" spans="2:8" x14ac:dyDescent="0.2">
      <c r="B244" s="5">
        <v>44546</v>
      </c>
      <c r="C244" s="6" t="s">
        <v>15</v>
      </c>
      <c r="D244" s="7">
        <v>197.91000399999999</v>
      </c>
      <c r="E244" s="7">
        <v>190.862177</v>
      </c>
      <c r="F244" s="7">
        <v>202.39999399999999</v>
      </c>
      <c r="G244" s="7">
        <v>197.86000100000001</v>
      </c>
      <c r="H244" s="8">
        <f t="shared" si="4"/>
        <v>-8.0519317293309845E-3</v>
      </c>
    </row>
    <row r="245" spans="2:8" x14ac:dyDescent="0.2">
      <c r="B245" s="5">
        <v>44547</v>
      </c>
      <c r="C245" s="6" t="s">
        <v>15</v>
      </c>
      <c r="D245" s="7">
        <v>201.78999300000001</v>
      </c>
      <c r="E245" s="7">
        <v>194.603995</v>
      </c>
      <c r="F245" s="7">
        <v>202.33999600000001</v>
      </c>
      <c r="G245" s="7">
        <v>198.28999300000001</v>
      </c>
      <c r="H245" s="8">
        <f t="shared" si="4"/>
        <v>1.9415117641604737E-2</v>
      </c>
    </row>
    <row r="246" spans="2:8" x14ac:dyDescent="0.2">
      <c r="B246" s="5">
        <v>44548</v>
      </c>
      <c r="C246" s="6" t="s">
        <v>15</v>
      </c>
      <c r="D246" s="7">
        <v>206.779999</v>
      </c>
      <c r="E246" s="7">
        <v>199.41630000000001</v>
      </c>
      <c r="F246" s="7">
        <v>212.970001</v>
      </c>
      <c r="G246" s="7">
        <v>203.91999799999999</v>
      </c>
      <c r="H246" s="8">
        <f t="shared" si="4"/>
        <v>2.442790059045066E-2</v>
      </c>
    </row>
    <row r="247" spans="2:8" x14ac:dyDescent="0.2">
      <c r="B247" s="5">
        <v>44549</v>
      </c>
      <c r="C247" s="6" t="s">
        <v>15</v>
      </c>
      <c r="D247" s="7">
        <v>206.520004</v>
      </c>
      <c r="E247" s="7">
        <v>200.26479499999999</v>
      </c>
      <c r="F247" s="7">
        <v>207.33000200000001</v>
      </c>
      <c r="G247" s="7">
        <v>205.61000100000001</v>
      </c>
      <c r="H247" s="8">
        <f t="shared" si="4"/>
        <v>4.245866443486554E-3</v>
      </c>
    </row>
    <row r="248" spans="2:8" x14ac:dyDescent="0.2">
      <c r="B248" s="5">
        <v>44552</v>
      </c>
      <c r="C248" s="6" t="s">
        <v>15</v>
      </c>
      <c r="D248" s="7">
        <v>207.470001</v>
      </c>
      <c r="E248" s="7">
        <v>201.18601799999999</v>
      </c>
      <c r="F248" s="7">
        <v>207.470001</v>
      </c>
      <c r="G248" s="7">
        <v>206.46000699999999</v>
      </c>
      <c r="H248" s="8">
        <f t="shared" si="4"/>
        <v>4.5894769031094287E-3</v>
      </c>
    </row>
    <row r="249" spans="2:8" x14ac:dyDescent="0.2">
      <c r="B249" s="5">
        <v>44553</v>
      </c>
      <c r="C249" s="6" t="s">
        <v>15</v>
      </c>
      <c r="D249" s="7">
        <v>207.75</v>
      </c>
      <c r="E249" s="7">
        <v>201.457536</v>
      </c>
      <c r="F249" s="7">
        <v>208.229996</v>
      </c>
      <c r="G249" s="7">
        <v>207.39999399999999</v>
      </c>
      <c r="H249" s="8">
        <f t="shared" si="4"/>
        <v>1.3486769548832365E-3</v>
      </c>
    </row>
    <row r="250" spans="2:8" x14ac:dyDescent="0.2">
      <c r="B250" s="5">
        <v>44554</v>
      </c>
      <c r="C250" s="6" t="s">
        <v>15</v>
      </c>
      <c r="D250" s="7">
        <v>207.770004</v>
      </c>
      <c r="E250" s="7">
        <v>201.476934</v>
      </c>
      <c r="F250" s="7">
        <v>208.33999600000001</v>
      </c>
      <c r="G250" s="7">
        <v>207.720001</v>
      </c>
      <c r="H250" s="8">
        <f t="shared" si="4"/>
        <v>9.6283646395241979E-5</v>
      </c>
    </row>
    <row r="251" spans="2:8" x14ac:dyDescent="0.2">
      <c r="B251" s="5">
        <v>44556</v>
      </c>
      <c r="C251" s="6" t="s">
        <v>15</v>
      </c>
      <c r="D251" s="7">
        <v>208.44000199999999</v>
      </c>
      <c r="E251" s="7">
        <v>202.12663900000001</v>
      </c>
      <c r="F251" s="7">
        <v>208.85000600000001</v>
      </c>
      <c r="G251" s="7">
        <v>208.25</v>
      </c>
      <c r="H251" s="8">
        <f t="shared" si="4"/>
        <v>3.2195233375720512E-3</v>
      </c>
    </row>
    <row r="252" spans="2:8" x14ac:dyDescent="0.2">
      <c r="B252" s="5">
        <v>44559</v>
      </c>
      <c r="C252" s="6" t="s">
        <v>15</v>
      </c>
      <c r="D252" s="7">
        <v>208.720001</v>
      </c>
      <c r="E252" s="7">
        <v>202.398157</v>
      </c>
      <c r="F252" s="7">
        <v>208.970001</v>
      </c>
      <c r="G252" s="7">
        <v>208.13999899999999</v>
      </c>
      <c r="H252" s="8">
        <f t="shared" si="4"/>
        <v>1.3424049326957749E-3</v>
      </c>
    </row>
    <row r="253" spans="2:8" x14ac:dyDescent="0.2">
      <c r="B253" s="5">
        <v>44560</v>
      </c>
      <c r="C253" s="6" t="s">
        <v>15</v>
      </c>
      <c r="D253" s="7">
        <v>207.60000600000001</v>
      </c>
      <c r="E253" s="7">
        <v>201.312085</v>
      </c>
      <c r="F253" s="7">
        <v>208.36999499999999</v>
      </c>
      <c r="G253" s="7">
        <v>207.509995</v>
      </c>
      <c r="H253" s="8">
        <f t="shared" si="4"/>
        <v>-5.3804660229277157E-3</v>
      </c>
    </row>
    <row r="254" spans="2:8" x14ac:dyDescent="0.2">
      <c r="B254" s="5">
        <v>44561</v>
      </c>
      <c r="C254" s="6" t="s">
        <v>15</v>
      </c>
      <c r="D254" s="7">
        <v>205.53999300000001</v>
      </c>
      <c r="E254" s="7">
        <v>199.31446700000001</v>
      </c>
      <c r="F254" s="7">
        <v>208.19000199999999</v>
      </c>
      <c r="G254" s="7">
        <v>205.38999899999999</v>
      </c>
      <c r="H254" s="8">
        <f t="shared" si="4"/>
        <v>-9.9725519716934736E-3</v>
      </c>
    </row>
    <row r="255" spans="2:8" x14ac:dyDescent="0.2">
      <c r="B255" s="5">
        <v>44563</v>
      </c>
      <c r="C255" s="6" t="s">
        <v>15</v>
      </c>
      <c r="D255" s="7">
        <v>205.429993</v>
      </c>
      <c r="E255" s="7">
        <v>199.207798</v>
      </c>
      <c r="F255" s="7">
        <v>206.88000500000001</v>
      </c>
      <c r="G255" s="7">
        <v>204.179993</v>
      </c>
      <c r="H255" s="8">
        <f t="shared" si="4"/>
        <v>-5.3532267537096485E-4</v>
      </c>
    </row>
    <row r="256" spans="2:8" x14ac:dyDescent="0.2">
      <c r="B256" s="5">
        <v>44566</v>
      </c>
      <c r="C256" s="6" t="s">
        <v>15</v>
      </c>
      <c r="D256" s="7">
        <v>201.720001</v>
      </c>
      <c r="E256" s="7">
        <v>195.61017699999999</v>
      </c>
      <c r="F256" s="7">
        <v>204.36999499999999</v>
      </c>
      <c r="G256" s="7">
        <v>201.35000600000001</v>
      </c>
      <c r="H256" s="8">
        <f t="shared" si="4"/>
        <v>-1.8224705071062386E-2</v>
      </c>
    </row>
    <row r="257" spans="2:8" x14ac:dyDescent="0.2">
      <c r="B257" s="5">
        <v>44567</v>
      </c>
      <c r="C257" s="6" t="s">
        <v>15</v>
      </c>
      <c r="D257" s="7">
        <v>199.820007</v>
      </c>
      <c r="E257" s="7">
        <v>193.767732</v>
      </c>
      <c r="F257" s="7">
        <v>202.720001</v>
      </c>
      <c r="G257" s="7">
        <v>198.86000100000001</v>
      </c>
      <c r="H257" s="8">
        <f t="shared" si="4"/>
        <v>-9.4636018538166115E-3</v>
      </c>
    </row>
    <row r="258" spans="2:8" x14ac:dyDescent="0.2">
      <c r="B258" s="5">
        <v>44568</v>
      </c>
      <c r="C258" s="6" t="s">
        <v>15</v>
      </c>
      <c r="D258" s="7">
        <v>202.30999800000001</v>
      </c>
      <c r="E258" s="7">
        <v>196.18230399999999</v>
      </c>
      <c r="F258" s="7">
        <v>202.720001</v>
      </c>
      <c r="G258" s="7">
        <v>200.88000500000001</v>
      </c>
      <c r="H258" s="8">
        <f t="shared" si="4"/>
        <v>1.2384165337893053E-2</v>
      </c>
    </row>
    <row r="259" spans="2:8" x14ac:dyDescent="0.2">
      <c r="B259" s="5">
        <v>44569</v>
      </c>
      <c r="C259" s="6" t="s">
        <v>15</v>
      </c>
      <c r="D259" s="7">
        <v>205.89999399999999</v>
      </c>
      <c r="E259" s="7">
        <v>199.66356400000001</v>
      </c>
      <c r="F259" s="7">
        <v>206.16000399999999</v>
      </c>
      <c r="G259" s="7">
        <v>203.990005</v>
      </c>
      <c r="H259" s="8">
        <f t="shared" si="4"/>
        <v>1.7589420710901429E-2</v>
      </c>
    </row>
    <row r="260" spans="2:8" x14ac:dyDescent="0.2">
      <c r="B260" s="5">
        <v>44570</v>
      </c>
      <c r="C260" s="6" t="s">
        <v>15</v>
      </c>
      <c r="D260" s="7">
        <v>204.25</v>
      </c>
      <c r="E260" s="7">
        <v>198.063546</v>
      </c>
      <c r="F260" s="7">
        <v>206.41999799999999</v>
      </c>
      <c r="G260" s="7">
        <v>203.509995</v>
      </c>
      <c r="H260" s="8">
        <f t="shared" ref="H260:H323" si="5">IF(C260=C259, LN(E260/E259), "")</f>
        <v>-8.0458514961073112E-3</v>
      </c>
    </row>
    <row r="261" spans="2:8" x14ac:dyDescent="0.2">
      <c r="B261" s="5">
        <v>44573</v>
      </c>
      <c r="C261" s="6" t="s">
        <v>15</v>
      </c>
      <c r="D261" s="7">
        <v>202.64999399999999</v>
      </c>
      <c r="E261" s="7">
        <v>196.512002</v>
      </c>
      <c r="F261" s="7">
        <v>204.60000600000001</v>
      </c>
      <c r="G261" s="7">
        <v>201.91999799999999</v>
      </c>
      <c r="H261" s="8">
        <f t="shared" si="5"/>
        <v>-7.864410273959694E-3</v>
      </c>
    </row>
    <row r="262" spans="2:8" x14ac:dyDescent="0.2">
      <c r="B262" s="5">
        <v>44574</v>
      </c>
      <c r="C262" s="6" t="s">
        <v>15</v>
      </c>
      <c r="D262" s="7">
        <v>202.08000200000001</v>
      </c>
      <c r="E262" s="7">
        <v>195.95927399999999</v>
      </c>
      <c r="F262" s="7">
        <v>205.479996</v>
      </c>
      <c r="G262" s="7">
        <v>200.509995</v>
      </c>
      <c r="H262" s="8">
        <f t="shared" si="5"/>
        <v>-2.8166563986950538E-3</v>
      </c>
    </row>
    <row r="263" spans="2:8" x14ac:dyDescent="0.2">
      <c r="B263" s="5">
        <v>44575</v>
      </c>
      <c r="C263" s="6" t="s">
        <v>15</v>
      </c>
      <c r="D263" s="7">
        <v>200.86000100000001</v>
      </c>
      <c r="E263" s="7">
        <v>194.77622500000001</v>
      </c>
      <c r="F263" s="7">
        <v>201.10000600000001</v>
      </c>
      <c r="G263" s="7">
        <v>198.570007</v>
      </c>
      <c r="H263" s="8">
        <f t="shared" si="5"/>
        <v>-6.055516420468727E-3</v>
      </c>
    </row>
    <row r="264" spans="2:8" x14ac:dyDescent="0.2">
      <c r="B264" s="5">
        <v>44576</v>
      </c>
      <c r="C264" s="6" t="s">
        <v>15</v>
      </c>
      <c r="D264" s="7">
        <v>199.020004</v>
      </c>
      <c r="E264" s="7">
        <v>192.99196000000001</v>
      </c>
      <c r="F264" s="7">
        <v>202.009995</v>
      </c>
      <c r="G264" s="7">
        <v>198.88000500000001</v>
      </c>
      <c r="H264" s="8">
        <f t="shared" si="5"/>
        <v>-9.2028054992427111E-3</v>
      </c>
    </row>
    <row r="265" spans="2:8" x14ac:dyDescent="0.2">
      <c r="B265" s="5">
        <v>44577</v>
      </c>
      <c r="C265" s="6" t="s">
        <v>15</v>
      </c>
      <c r="D265" s="7">
        <v>201.63000500000001</v>
      </c>
      <c r="E265" s="7">
        <v>195.522907</v>
      </c>
      <c r="F265" s="7">
        <v>201.820007</v>
      </c>
      <c r="G265" s="7">
        <v>198.550003</v>
      </c>
      <c r="H265" s="8">
        <f t="shared" si="5"/>
        <v>1.3029013910814463E-2</v>
      </c>
    </row>
    <row r="266" spans="2:8" x14ac:dyDescent="0.2">
      <c r="B266" s="5">
        <v>44581</v>
      </c>
      <c r="C266" s="6" t="s">
        <v>15</v>
      </c>
      <c r="D266" s="7">
        <v>202.05999800000001</v>
      </c>
      <c r="E266" s="7">
        <v>195.939876</v>
      </c>
      <c r="F266" s="7">
        <v>202.720001</v>
      </c>
      <c r="G266" s="7">
        <v>200.16999799999999</v>
      </c>
      <c r="H266" s="8">
        <f t="shared" si="5"/>
        <v>2.1303131526140824E-3</v>
      </c>
    </row>
    <row r="267" spans="2:8" x14ac:dyDescent="0.2">
      <c r="B267" s="5">
        <v>44582</v>
      </c>
      <c r="C267" s="6" t="s">
        <v>15</v>
      </c>
      <c r="D267" s="7">
        <v>203.08000200000001</v>
      </c>
      <c r="E267" s="7">
        <v>196.92898500000001</v>
      </c>
      <c r="F267" s="7">
        <v>203.66000399999999</v>
      </c>
      <c r="G267" s="7">
        <v>200.94000199999999</v>
      </c>
      <c r="H267" s="8">
        <f t="shared" si="5"/>
        <v>5.0353244456407993E-3</v>
      </c>
    </row>
    <row r="268" spans="2:8" x14ac:dyDescent="0.2">
      <c r="B268" s="5">
        <v>44583</v>
      </c>
      <c r="C268" s="6" t="s">
        <v>15</v>
      </c>
      <c r="D268" s="7">
        <v>206.10000600000001</v>
      </c>
      <c r="E268" s="7">
        <v>199.857518</v>
      </c>
      <c r="F268" s="7">
        <v>206.259995</v>
      </c>
      <c r="G268" s="7">
        <v>202.33000200000001</v>
      </c>
      <c r="H268" s="8">
        <f t="shared" si="5"/>
        <v>1.4761521148298561E-2</v>
      </c>
    </row>
    <row r="269" spans="2:8" x14ac:dyDescent="0.2">
      <c r="B269" s="5">
        <v>44584</v>
      </c>
      <c r="C269" s="6" t="s">
        <v>15</v>
      </c>
      <c r="D269" s="7">
        <v>204.970001</v>
      </c>
      <c r="E269" s="7">
        <v>198.76173900000001</v>
      </c>
      <c r="F269" s="7">
        <v>206.10000600000001</v>
      </c>
      <c r="G269" s="7">
        <v>204.80999800000001</v>
      </c>
      <c r="H269" s="8">
        <f t="shared" si="5"/>
        <v>-5.4978867222790521E-3</v>
      </c>
    </row>
    <row r="270" spans="2:8" x14ac:dyDescent="0.2">
      <c r="B270" s="5">
        <v>44587</v>
      </c>
      <c r="C270" s="6" t="s">
        <v>15</v>
      </c>
      <c r="D270" s="7">
        <v>205.449997</v>
      </c>
      <c r="E270" s="7">
        <v>199.22719699999999</v>
      </c>
      <c r="F270" s="7">
        <v>205.55999800000001</v>
      </c>
      <c r="G270" s="7">
        <v>203.85000600000001</v>
      </c>
      <c r="H270" s="8">
        <f t="shared" si="5"/>
        <v>2.3390510143036897E-3</v>
      </c>
    </row>
    <row r="271" spans="2:8" x14ac:dyDescent="0.2">
      <c r="B271" s="5">
        <v>44588</v>
      </c>
      <c r="C271" s="6" t="s">
        <v>15</v>
      </c>
      <c r="D271" s="7">
        <v>202.740005</v>
      </c>
      <c r="E271" s="7">
        <v>196.599287</v>
      </c>
      <c r="F271" s="7">
        <v>204.11999499999999</v>
      </c>
      <c r="G271" s="7">
        <v>201.740005</v>
      </c>
      <c r="H271" s="8">
        <f t="shared" si="5"/>
        <v>-1.3278285902082973E-2</v>
      </c>
    </row>
    <row r="272" spans="2:8" x14ac:dyDescent="0.2">
      <c r="B272" s="5">
        <v>44589</v>
      </c>
      <c r="C272" s="6" t="s">
        <v>15</v>
      </c>
      <c r="D272" s="7">
        <v>200.13999899999999</v>
      </c>
      <c r="E272" s="7">
        <v>194.07803200000001</v>
      </c>
      <c r="F272" s="7">
        <v>204.28999300000001</v>
      </c>
      <c r="G272" s="7">
        <v>199.91000399999999</v>
      </c>
      <c r="H272" s="8">
        <f t="shared" si="5"/>
        <v>-1.2907276057451119E-2</v>
      </c>
    </row>
    <row r="273" spans="2:8" x14ac:dyDescent="0.2">
      <c r="B273" s="5">
        <v>44590</v>
      </c>
      <c r="C273" s="6" t="s">
        <v>15</v>
      </c>
      <c r="D273" s="7">
        <v>201.990005</v>
      </c>
      <c r="E273" s="7">
        <v>195.872004</v>
      </c>
      <c r="F273" s="7">
        <v>202.300003</v>
      </c>
      <c r="G273" s="7">
        <v>198.679993</v>
      </c>
      <c r="H273" s="8">
        <f t="shared" si="5"/>
        <v>9.2011000942229526E-3</v>
      </c>
    </row>
    <row r="274" spans="2:8" x14ac:dyDescent="0.2">
      <c r="B274" s="5">
        <v>44591</v>
      </c>
      <c r="C274" s="6" t="s">
        <v>15</v>
      </c>
      <c r="D274" s="7">
        <v>199.449997</v>
      </c>
      <c r="E274" s="7">
        <v>193.408928</v>
      </c>
      <c r="F274" s="7">
        <v>202.16999799999999</v>
      </c>
      <c r="G274" s="7">
        <v>199.13000500000001</v>
      </c>
      <c r="H274" s="8">
        <f t="shared" si="5"/>
        <v>-1.2654659744527702E-2</v>
      </c>
    </row>
    <row r="275" spans="2:8" x14ac:dyDescent="0.2">
      <c r="B275" s="5">
        <v>44594</v>
      </c>
      <c r="C275" s="6" t="s">
        <v>15</v>
      </c>
      <c r="D275" s="7">
        <v>201.91999799999999</v>
      </c>
      <c r="E275" s="7">
        <v>195.80411699999999</v>
      </c>
      <c r="F275" s="7">
        <v>202.029999</v>
      </c>
      <c r="G275" s="7">
        <v>197.86000100000001</v>
      </c>
      <c r="H275" s="8">
        <f t="shared" si="5"/>
        <v>1.2308011087435759E-2</v>
      </c>
    </row>
    <row r="276" spans="2:8" x14ac:dyDescent="0.2">
      <c r="B276" s="5">
        <v>44595</v>
      </c>
      <c r="C276" s="6" t="s">
        <v>15</v>
      </c>
      <c r="D276" s="7">
        <v>204.83999600000001</v>
      </c>
      <c r="E276" s="7">
        <v>198.635672</v>
      </c>
      <c r="F276" s="7">
        <v>204.85000600000001</v>
      </c>
      <c r="G276" s="7">
        <v>202.550003</v>
      </c>
      <c r="H276" s="8">
        <f t="shared" si="5"/>
        <v>1.4357596369994438E-2</v>
      </c>
    </row>
    <row r="277" spans="2:8" x14ac:dyDescent="0.2">
      <c r="B277" s="5">
        <v>44596</v>
      </c>
      <c r="C277" s="6" t="s">
        <v>15</v>
      </c>
      <c r="D277" s="7">
        <v>204.05999800000001</v>
      </c>
      <c r="E277" s="7">
        <v>197.87929800000001</v>
      </c>
      <c r="F277" s="7">
        <v>205.38000500000001</v>
      </c>
      <c r="G277" s="7">
        <v>203.509995</v>
      </c>
      <c r="H277" s="8">
        <f t="shared" si="5"/>
        <v>-3.8151140544550564E-3</v>
      </c>
    </row>
    <row r="278" spans="2:8" x14ac:dyDescent="0.2">
      <c r="B278" s="5">
        <v>44597</v>
      </c>
      <c r="C278" s="6" t="s">
        <v>15</v>
      </c>
      <c r="D278" s="7">
        <v>206.11999499999999</v>
      </c>
      <c r="E278" s="7">
        <v>199.876901</v>
      </c>
      <c r="F278" s="7">
        <v>206.300003</v>
      </c>
      <c r="G278" s="7">
        <v>204.770004</v>
      </c>
      <c r="H278" s="8">
        <f t="shared" si="5"/>
        <v>1.0044443304623606E-2</v>
      </c>
    </row>
    <row r="279" spans="2:8" x14ac:dyDescent="0.2">
      <c r="B279" s="5">
        <v>44598</v>
      </c>
      <c r="C279" s="6" t="s">
        <v>15</v>
      </c>
      <c r="D279" s="7">
        <v>205.550003</v>
      </c>
      <c r="E279" s="7">
        <v>199.324174</v>
      </c>
      <c r="F279" s="7">
        <v>207.240005</v>
      </c>
      <c r="G279" s="7">
        <v>204.91999799999999</v>
      </c>
      <c r="H279" s="8">
        <f t="shared" si="5"/>
        <v>-2.7691676592096269E-3</v>
      </c>
    </row>
    <row r="280" spans="2:8" x14ac:dyDescent="0.2">
      <c r="B280" s="5">
        <v>44601</v>
      </c>
      <c r="C280" s="6" t="s">
        <v>15</v>
      </c>
      <c r="D280" s="7">
        <v>204.63000500000001</v>
      </c>
      <c r="E280" s="7">
        <v>198.432041</v>
      </c>
      <c r="F280" s="7">
        <v>205.63999899999999</v>
      </c>
      <c r="G280" s="7">
        <v>204.13999899999999</v>
      </c>
      <c r="H280" s="8">
        <f t="shared" si="5"/>
        <v>-4.4858356066740561E-3</v>
      </c>
    </row>
    <row r="281" spans="2:8" x14ac:dyDescent="0.2">
      <c r="B281" s="5">
        <v>44602</v>
      </c>
      <c r="C281" s="6" t="s">
        <v>15</v>
      </c>
      <c r="D281" s="7">
        <v>206.80999800000001</v>
      </c>
      <c r="E281" s="7">
        <v>200.54600500000001</v>
      </c>
      <c r="F281" s="7">
        <v>207.11999499999999</v>
      </c>
      <c r="G281" s="7">
        <v>204.679993</v>
      </c>
      <c r="H281" s="8">
        <f t="shared" si="5"/>
        <v>1.0596993010909045E-2</v>
      </c>
    </row>
    <row r="282" spans="2:8" x14ac:dyDescent="0.2">
      <c r="B282" s="5">
        <v>44603</v>
      </c>
      <c r="C282" s="6" t="s">
        <v>15</v>
      </c>
      <c r="D282" s="7">
        <v>206.929993</v>
      </c>
      <c r="E282" s="7">
        <v>200.66236499999999</v>
      </c>
      <c r="F282" s="7">
        <v>207.449997</v>
      </c>
      <c r="G282" s="7">
        <v>205.83000200000001</v>
      </c>
      <c r="H282" s="8">
        <f t="shared" si="5"/>
        <v>5.8004773560671181E-4</v>
      </c>
    </row>
    <row r="283" spans="2:8" x14ac:dyDescent="0.2">
      <c r="B283" s="5">
        <v>44604</v>
      </c>
      <c r="C283" s="6" t="s">
        <v>15</v>
      </c>
      <c r="D283" s="7">
        <v>208.91999799999999</v>
      </c>
      <c r="E283" s="7">
        <v>202.592096</v>
      </c>
      <c r="F283" s="7">
        <v>208.990005</v>
      </c>
      <c r="G283" s="7">
        <v>206.970001</v>
      </c>
      <c r="H283" s="8">
        <f t="shared" si="5"/>
        <v>9.5708586865321504E-3</v>
      </c>
    </row>
    <row r="284" spans="2:8" x14ac:dyDescent="0.2">
      <c r="B284" s="5">
        <v>44605</v>
      </c>
      <c r="C284" s="6" t="s">
        <v>15</v>
      </c>
      <c r="D284" s="7">
        <v>209.779999</v>
      </c>
      <c r="E284" s="7">
        <v>203.42604900000001</v>
      </c>
      <c r="F284" s="7">
        <v>209.83999600000001</v>
      </c>
      <c r="G284" s="7">
        <v>208.759995</v>
      </c>
      <c r="H284" s="8">
        <f t="shared" si="5"/>
        <v>4.1079650406868479E-3</v>
      </c>
    </row>
    <row r="285" spans="2:8" x14ac:dyDescent="0.2">
      <c r="B285" s="5">
        <v>44609</v>
      </c>
      <c r="C285" s="6" t="s">
        <v>15</v>
      </c>
      <c r="D285" s="7">
        <v>210.11000100000001</v>
      </c>
      <c r="E285" s="7">
        <v>203.74605500000001</v>
      </c>
      <c r="F285" s="7">
        <v>210.320007</v>
      </c>
      <c r="G285" s="7">
        <v>209.10000600000001</v>
      </c>
      <c r="H285" s="8">
        <f t="shared" si="5"/>
        <v>1.5718467092560309E-3</v>
      </c>
    </row>
    <row r="286" spans="2:8" x14ac:dyDescent="0.2">
      <c r="B286" s="5">
        <v>44610</v>
      </c>
      <c r="C286" s="6" t="s">
        <v>15</v>
      </c>
      <c r="D286" s="7">
        <v>210.13000500000001</v>
      </c>
      <c r="E286" s="7">
        <v>203.76545400000001</v>
      </c>
      <c r="F286" s="7">
        <v>210.220001</v>
      </c>
      <c r="G286" s="7">
        <v>209.33999600000001</v>
      </c>
      <c r="H286" s="8">
        <f t="shared" si="5"/>
        <v>9.520712709312953E-5</v>
      </c>
    </row>
    <row r="287" spans="2:8" x14ac:dyDescent="0.2">
      <c r="B287" s="5">
        <v>44611</v>
      </c>
      <c r="C287" s="6" t="s">
        <v>15</v>
      </c>
      <c r="D287" s="7">
        <v>209.979996</v>
      </c>
      <c r="E287" s="7">
        <v>203.61998800000001</v>
      </c>
      <c r="F287" s="7">
        <v>210.41999799999999</v>
      </c>
      <c r="G287" s="7">
        <v>209.240005</v>
      </c>
      <c r="H287" s="8">
        <f t="shared" si="5"/>
        <v>-7.141443516890712E-4</v>
      </c>
    </row>
    <row r="288" spans="2:8" x14ac:dyDescent="0.2">
      <c r="B288" s="5">
        <v>44612</v>
      </c>
      <c r="C288" s="6" t="s">
        <v>15</v>
      </c>
      <c r="D288" s="7">
        <v>211.240005</v>
      </c>
      <c r="E288" s="7">
        <v>204.84183400000001</v>
      </c>
      <c r="F288" s="7">
        <v>211.33000200000001</v>
      </c>
      <c r="G288" s="7">
        <v>208.729996</v>
      </c>
      <c r="H288" s="8">
        <f t="shared" si="5"/>
        <v>5.9826871379557349E-3</v>
      </c>
    </row>
    <row r="289" spans="2:8" x14ac:dyDescent="0.2">
      <c r="B289" s="5">
        <v>44615</v>
      </c>
      <c r="C289" s="6" t="s">
        <v>15</v>
      </c>
      <c r="D289" s="7">
        <v>211.21000699999999</v>
      </c>
      <c r="E289" s="7">
        <v>204.81274400000001</v>
      </c>
      <c r="F289" s="7">
        <v>211.21000699999999</v>
      </c>
      <c r="G289" s="7">
        <v>210.479996</v>
      </c>
      <c r="H289" s="8">
        <f t="shared" si="5"/>
        <v>-1.4202209183609301E-4</v>
      </c>
    </row>
    <row r="290" spans="2:8" x14ac:dyDescent="0.2">
      <c r="B290" s="5">
        <v>44616</v>
      </c>
      <c r="C290" s="6" t="s">
        <v>15</v>
      </c>
      <c r="D290" s="7">
        <v>211.80999800000001</v>
      </c>
      <c r="E290" s="7">
        <v>205.39456100000001</v>
      </c>
      <c r="F290" s="7">
        <v>212.050003</v>
      </c>
      <c r="G290" s="7">
        <v>210.759995</v>
      </c>
      <c r="H290" s="8">
        <f t="shared" si="5"/>
        <v>2.8366993130464809E-3</v>
      </c>
    </row>
    <row r="291" spans="2:8" x14ac:dyDescent="0.2">
      <c r="B291" s="5">
        <v>44617</v>
      </c>
      <c r="C291" s="6" t="s">
        <v>15</v>
      </c>
      <c r="D291" s="7">
        <v>211.63000500000001</v>
      </c>
      <c r="E291" s="7">
        <v>205.220021</v>
      </c>
      <c r="F291" s="7">
        <v>212.240005</v>
      </c>
      <c r="G291" s="7">
        <v>211.220001</v>
      </c>
      <c r="H291" s="8">
        <f t="shared" si="5"/>
        <v>-8.5014034164151899E-4</v>
      </c>
    </row>
    <row r="292" spans="2:8" x14ac:dyDescent="0.2">
      <c r="B292" s="5">
        <v>44618</v>
      </c>
      <c r="C292" s="6" t="s">
        <v>15</v>
      </c>
      <c r="D292" s="7">
        <v>211.38000500000001</v>
      </c>
      <c r="E292" s="7">
        <v>204.97759300000001</v>
      </c>
      <c r="F292" s="7">
        <v>211.71000699999999</v>
      </c>
      <c r="G292" s="7">
        <v>210.64999399999999</v>
      </c>
      <c r="H292" s="8">
        <f t="shared" si="5"/>
        <v>-1.1820060378285697E-3</v>
      </c>
    </row>
    <row r="293" spans="2:8" x14ac:dyDescent="0.2">
      <c r="B293" s="5">
        <v>44619</v>
      </c>
      <c r="C293" s="6" t="s">
        <v>15</v>
      </c>
      <c r="D293" s="7">
        <v>210.66000399999999</v>
      </c>
      <c r="E293" s="7">
        <v>204.27939900000001</v>
      </c>
      <c r="F293" s="7">
        <v>211.58000200000001</v>
      </c>
      <c r="G293" s="7">
        <v>210.60000600000001</v>
      </c>
      <c r="H293" s="8">
        <f t="shared" si="5"/>
        <v>-3.4120109906582859E-3</v>
      </c>
    </row>
    <row r="294" spans="2:8" x14ac:dyDescent="0.2">
      <c r="B294" s="5">
        <v>44622</v>
      </c>
      <c r="C294" s="6" t="s">
        <v>15</v>
      </c>
      <c r="D294" s="7">
        <v>211.990005</v>
      </c>
      <c r="E294" s="7">
        <v>205.56911700000001</v>
      </c>
      <c r="F294" s="7">
        <v>212.05999800000001</v>
      </c>
      <c r="G294" s="7">
        <v>210.720001</v>
      </c>
      <c r="H294" s="8">
        <f t="shared" si="5"/>
        <v>6.2936534197391746E-3</v>
      </c>
    </row>
    <row r="295" spans="2:8" x14ac:dyDescent="0.2">
      <c r="B295" s="5">
        <v>44623</v>
      </c>
      <c r="C295" s="6" t="s">
        <v>15</v>
      </c>
      <c r="D295" s="7">
        <v>211.11999499999999</v>
      </c>
      <c r="E295" s="7">
        <v>204.725458</v>
      </c>
      <c r="F295" s="7">
        <v>212.050003</v>
      </c>
      <c r="G295" s="7">
        <v>210.08000200000001</v>
      </c>
      <c r="H295" s="8">
        <f t="shared" si="5"/>
        <v>-4.1124608533755361E-3</v>
      </c>
    </row>
    <row r="296" spans="2:8" x14ac:dyDescent="0.2">
      <c r="B296" s="5">
        <v>44624</v>
      </c>
      <c r="C296" s="6" t="s">
        <v>15</v>
      </c>
      <c r="D296" s="7">
        <v>210.229996</v>
      </c>
      <c r="E296" s="7">
        <v>203.862416</v>
      </c>
      <c r="F296" s="7">
        <v>210.490005</v>
      </c>
      <c r="G296" s="7">
        <v>209.05999800000001</v>
      </c>
      <c r="H296" s="8">
        <f t="shared" si="5"/>
        <v>-4.2245173606217058E-3</v>
      </c>
    </row>
    <row r="297" spans="2:8" x14ac:dyDescent="0.2">
      <c r="B297" s="5">
        <v>44625</v>
      </c>
      <c r="C297" s="6" t="s">
        <v>15</v>
      </c>
      <c r="D297" s="7">
        <v>210.46000699999999</v>
      </c>
      <c r="E297" s="7">
        <v>204.08546000000001</v>
      </c>
      <c r="F297" s="7">
        <v>210.800003</v>
      </c>
      <c r="G297" s="7">
        <v>209.85000600000001</v>
      </c>
      <c r="H297" s="8">
        <f t="shared" si="5"/>
        <v>1.0934927491814093E-3</v>
      </c>
    </row>
    <row r="298" spans="2:8" x14ac:dyDescent="0.2">
      <c r="B298" s="5">
        <v>44626</v>
      </c>
      <c r="C298" s="6" t="s">
        <v>15</v>
      </c>
      <c r="D298" s="7">
        <v>207.5</v>
      </c>
      <c r="E298" s="7">
        <v>201.21510799999999</v>
      </c>
      <c r="F298" s="7">
        <v>209.94000199999999</v>
      </c>
      <c r="G298" s="7">
        <v>207.10000600000001</v>
      </c>
      <c r="H298" s="8">
        <f t="shared" si="5"/>
        <v>-1.4164302819969967E-2</v>
      </c>
    </row>
    <row r="299" spans="2:8" x14ac:dyDescent="0.2">
      <c r="B299" s="5">
        <v>44629</v>
      </c>
      <c r="C299" s="6" t="s">
        <v>15</v>
      </c>
      <c r="D299" s="7">
        <v>208.36000100000001</v>
      </c>
      <c r="E299" s="7">
        <v>202.04906</v>
      </c>
      <c r="F299" s="7">
        <v>208.78999300000001</v>
      </c>
      <c r="G299" s="7">
        <v>207.550003</v>
      </c>
      <c r="H299" s="8">
        <f t="shared" si="5"/>
        <v>4.1360143301446776E-3</v>
      </c>
    </row>
    <row r="300" spans="2:8" x14ac:dyDescent="0.2">
      <c r="B300" s="5">
        <v>44630</v>
      </c>
      <c r="C300" s="6" t="s">
        <v>15</v>
      </c>
      <c r="D300" s="7">
        <v>204.979996</v>
      </c>
      <c r="E300" s="7">
        <v>198.77143100000001</v>
      </c>
      <c r="F300" s="7">
        <v>206.80999800000001</v>
      </c>
      <c r="G300" s="7">
        <v>204.929993</v>
      </c>
      <c r="H300" s="8">
        <f t="shared" si="5"/>
        <v>-1.635496254773923E-2</v>
      </c>
    </row>
    <row r="301" spans="2:8" x14ac:dyDescent="0.2">
      <c r="B301" s="5">
        <v>44631</v>
      </c>
      <c r="C301" s="6" t="s">
        <v>15</v>
      </c>
      <c r="D301" s="7">
        <v>204.5</v>
      </c>
      <c r="E301" s="7">
        <v>198.30597399999999</v>
      </c>
      <c r="F301" s="7">
        <v>205.5</v>
      </c>
      <c r="G301" s="7">
        <v>204.39999399999999</v>
      </c>
      <c r="H301" s="8">
        <f t="shared" si="5"/>
        <v>-2.344415508559653E-3</v>
      </c>
    </row>
    <row r="302" spans="2:8" x14ac:dyDescent="0.2">
      <c r="B302" s="5">
        <v>44632</v>
      </c>
      <c r="C302" s="6" t="s">
        <v>15</v>
      </c>
      <c r="D302" s="7">
        <v>207.10000600000001</v>
      </c>
      <c r="E302" s="7">
        <v>200.82722899999999</v>
      </c>
      <c r="F302" s="7">
        <v>207.179993</v>
      </c>
      <c r="G302" s="7">
        <v>205.199997</v>
      </c>
      <c r="H302" s="8">
        <f t="shared" si="5"/>
        <v>1.2633820070437431E-2</v>
      </c>
    </row>
    <row r="303" spans="2:8" x14ac:dyDescent="0.2">
      <c r="B303" s="5">
        <v>44633</v>
      </c>
      <c r="C303" s="6" t="s">
        <v>15</v>
      </c>
      <c r="D303" s="7">
        <v>205.83000200000001</v>
      </c>
      <c r="E303" s="7">
        <v>199.59569200000001</v>
      </c>
      <c r="F303" s="7">
        <v>207.929993</v>
      </c>
      <c r="G303" s="7">
        <v>204.58000200000001</v>
      </c>
      <c r="H303" s="8">
        <f t="shared" si="5"/>
        <v>-6.1512007359042697E-3</v>
      </c>
    </row>
    <row r="304" spans="2:8" x14ac:dyDescent="0.2">
      <c r="B304" s="5">
        <v>44636</v>
      </c>
      <c r="C304" s="6" t="s">
        <v>15</v>
      </c>
      <c r="D304" s="7">
        <v>208.58000200000001</v>
      </c>
      <c r="E304" s="7">
        <v>202.26239799999999</v>
      </c>
      <c r="F304" s="7">
        <v>208.69000199999999</v>
      </c>
      <c r="G304" s="7">
        <v>205.86000100000001</v>
      </c>
      <c r="H304" s="8">
        <f t="shared" si="5"/>
        <v>1.3272073952527221E-2</v>
      </c>
    </row>
    <row r="305" spans="2:8" x14ac:dyDescent="0.2">
      <c r="B305" s="5">
        <v>44637</v>
      </c>
      <c r="C305" s="6" t="s">
        <v>15</v>
      </c>
      <c r="D305" s="7">
        <v>207.96000699999999</v>
      </c>
      <c r="E305" s="7">
        <v>201.661182</v>
      </c>
      <c r="F305" s="7">
        <v>208.41999799999999</v>
      </c>
      <c r="G305" s="7">
        <v>206.979996</v>
      </c>
      <c r="H305" s="8">
        <f t="shared" si="5"/>
        <v>-2.976882131958155E-3</v>
      </c>
    </row>
    <row r="306" spans="2:8" x14ac:dyDescent="0.2">
      <c r="B306" s="5">
        <v>44638</v>
      </c>
      <c r="C306" s="6" t="s">
        <v>15</v>
      </c>
      <c r="D306" s="7">
        <v>210.46000699999999</v>
      </c>
      <c r="E306" s="7">
        <v>204.08546000000001</v>
      </c>
      <c r="F306" s="7">
        <v>211.270004</v>
      </c>
      <c r="G306" s="7">
        <v>206.61999499999999</v>
      </c>
      <c r="H306" s="8">
        <f t="shared" si="5"/>
        <v>1.1949855391021958E-2</v>
      </c>
    </row>
    <row r="307" spans="2:8" x14ac:dyDescent="0.2">
      <c r="B307" s="5">
        <v>44639</v>
      </c>
      <c r="C307" s="6" t="s">
        <v>15</v>
      </c>
      <c r="D307" s="7">
        <v>209.5</v>
      </c>
      <c r="E307" s="7">
        <v>203.15453099999999</v>
      </c>
      <c r="F307" s="7">
        <v>210.470001</v>
      </c>
      <c r="G307" s="7">
        <v>209.029999</v>
      </c>
      <c r="H307" s="8">
        <f t="shared" si="5"/>
        <v>-4.5719017882249685E-3</v>
      </c>
    </row>
    <row r="308" spans="2:8" x14ac:dyDescent="0.2">
      <c r="B308" s="5">
        <v>44640</v>
      </c>
      <c r="C308" s="6" t="s">
        <v>15</v>
      </c>
      <c r="D308" s="7">
        <v>210.41000399999999</v>
      </c>
      <c r="E308" s="7">
        <v>204.94774100000001</v>
      </c>
      <c r="F308" s="7">
        <v>211.020004</v>
      </c>
      <c r="G308" s="7">
        <v>209.490005</v>
      </c>
      <c r="H308" s="8">
        <f t="shared" si="5"/>
        <v>8.7880987875877739E-3</v>
      </c>
    </row>
    <row r="309" spans="2:8" x14ac:dyDescent="0.2">
      <c r="B309" s="5">
        <v>44643</v>
      </c>
      <c r="C309" s="6" t="s">
        <v>15</v>
      </c>
      <c r="D309" s="7">
        <v>210</v>
      </c>
      <c r="E309" s="7">
        <v>204.548382</v>
      </c>
      <c r="F309" s="7">
        <v>211.11000100000001</v>
      </c>
      <c r="G309" s="7">
        <v>210</v>
      </c>
      <c r="H309" s="8">
        <f t="shared" si="5"/>
        <v>-1.9504903913853575E-3</v>
      </c>
    </row>
    <row r="310" spans="2:8" x14ac:dyDescent="0.2">
      <c r="B310" s="5">
        <v>44644</v>
      </c>
      <c r="C310" s="6" t="s">
        <v>15</v>
      </c>
      <c r="D310" s="7">
        <v>208.820007</v>
      </c>
      <c r="E310" s="7">
        <v>203.399022</v>
      </c>
      <c r="F310" s="7">
        <v>210.39999399999999</v>
      </c>
      <c r="G310" s="7">
        <v>208.740005</v>
      </c>
      <c r="H310" s="8">
        <f t="shared" si="5"/>
        <v>-5.6348589543667909E-3</v>
      </c>
    </row>
    <row r="311" spans="2:8" x14ac:dyDescent="0.2">
      <c r="B311" s="5">
        <v>44645</v>
      </c>
      <c r="C311" s="6" t="s">
        <v>15</v>
      </c>
      <c r="D311" s="7">
        <v>205.759995</v>
      </c>
      <c r="E311" s="7">
        <v>200.41844699999999</v>
      </c>
      <c r="F311" s="7">
        <v>209.35000600000001</v>
      </c>
      <c r="G311" s="7">
        <v>205.71000699999999</v>
      </c>
      <c r="H311" s="8">
        <f t="shared" si="5"/>
        <v>-1.4762259470823562E-2</v>
      </c>
    </row>
    <row r="312" spans="2:8" x14ac:dyDescent="0.2">
      <c r="B312" s="5">
        <v>44646</v>
      </c>
      <c r="C312" s="6" t="s">
        <v>15</v>
      </c>
      <c r="D312" s="7">
        <v>205.270004</v>
      </c>
      <c r="E312" s="7">
        <v>199.94117700000001</v>
      </c>
      <c r="F312" s="7">
        <v>206.36999499999999</v>
      </c>
      <c r="G312" s="7">
        <v>204.11999499999999</v>
      </c>
      <c r="H312" s="8">
        <f t="shared" si="5"/>
        <v>-2.3842075847516973E-3</v>
      </c>
    </row>
    <row r="313" spans="2:8" x14ac:dyDescent="0.2">
      <c r="B313" s="5">
        <v>44647</v>
      </c>
      <c r="C313" s="6" t="s">
        <v>15</v>
      </c>
      <c r="D313" s="7">
        <v>205.740005</v>
      </c>
      <c r="E313" s="7">
        <v>200.398977</v>
      </c>
      <c r="F313" s="7">
        <v>205.949997</v>
      </c>
      <c r="G313" s="7">
        <v>204.89999399999999</v>
      </c>
      <c r="H313" s="8">
        <f t="shared" si="5"/>
        <v>2.2870561195236245E-3</v>
      </c>
    </row>
    <row r="314" spans="2:8" x14ac:dyDescent="0.2">
      <c r="B314" s="5">
        <v>44650</v>
      </c>
      <c r="C314" s="6" t="s">
        <v>15</v>
      </c>
      <c r="D314" s="7">
        <v>208.25</v>
      </c>
      <c r="E314" s="7">
        <v>202.84381200000001</v>
      </c>
      <c r="F314" s="7">
        <v>208.61000100000001</v>
      </c>
      <c r="G314" s="7">
        <v>206.96000699999999</v>
      </c>
      <c r="H314" s="8">
        <f t="shared" si="5"/>
        <v>1.2126019480416641E-2</v>
      </c>
    </row>
    <row r="315" spans="2:8" x14ac:dyDescent="0.2">
      <c r="B315" s="5">
        <v>44651</v>
      </c>
      <c r="C315" s="6" t="s">
        <v>15</v>
      </c>
      <c r="D315" s="7">
        <v>206.429993</v>
      </c>
      <c r="E315" s="7">
        <v>201.07105200000001</v>
      </c>
      <c r="F315" s="7">
        <v>208.10000600000001</v>
      </c>
      <c r="G315" s="7">
        <v>206.36000100000001</v>
      </c>
      <c r="H315" s="8">
        <f t="shared" si="5"/>
        <v>-8.7779457550556609E-3</v>
      </c>
    </row>
    <row r="316" spans="2:8" x14ac:dyDescent="0.2">
      <c r="B316" s="5">
        <v>44652</v>
      </c>
      <c r="C316" s="6" t="s">
        <v>15</v>
      </c>
      <c r="D316" s="7">
        <v>205.699997</v>
      </c>
      <c r="E316" s="7">
        <v>200.360007</v>
      </c>
      <c r="F316" s="7">
        <v>206.41999799999999</v>
      </c>
      <c r="G316" s="7">
        <v>204.509995</v>
      </c>
      <c r="H316" s="8">
        <f t="shared" si="5"/>
        <v>-3.5425547060934765E-3</v>
      </c>
    </row>
    <row r="317" spans="2:8" x14ac:dyDescent="0.2">
      <c r="B317" s="5">
        <v>44653</v>
      </c>
      <c r="C317" s="6" t="s">
        <v>15</v>
      </c>
      <c r="D317" s="7">
        <v>206.44000199999999</v>
      </c>
      <c r="E317" s="7">
        <v>201.08080200000001</v>
      </c>
      <c r="F317" s="7">
        <v>206.979996</v>
      </c>
      <c r="G317" s="7">
        <v>205.39999399999999</v>
      </c>
      <c r="H317" s="8">
        <f t="shared" si="5"/>
        <v>3.5910438521955263E-3</v>
      </c>
    </row>
    <row r="318" spans="2:8" x14ac:dyDescent="0.2">
      <c r="B318" s="5">
        <v>44657</v>
      </c>
      <c r="C318" s="6" t="s">
        <v>15</v>
      </c>
      <c r="D318" s="7">
        <v>207.83000200000001</v>
      </c>
      <c r="E318" s="7">
        <v>202.43471700000001</v>
      </c>
      <c r="F318" s="7">
        <v>208.449997</v>
      </c>
      <c r="G318" s="7">
        <v>205.21000699999999</v>
      </c>
      <c r="H318" s="8">
        <f t="shared" si="5"/>
        <v>6.71062210540916E-3</v>
      </c>
    </row>
    <row r="319" spans="2:8" x14ac:dyDescent="0.2">
      <c r="B319" s="5">
        <v>44658</v>
      </c>
      <c r="C319" s="6" t="s">
        <v>15</v>
      </c>
      <c r="D319" s="7">
        <v>207.279999</v>
      </c>
      <c r="E319" s="7">
        <v>201.89899199999999</v>
      </c>
      <c r="F319" s="7">
        <v>208.759995</v>
      </c>
      <c r="G319" s="7">
        <v>207.240005</v>
      </c>
      <c r="H319" s="8">
        <f t="shared" si="5"/>
        <v>-2.6499166483840487E-3</v>
      </c>
    </row>
    <row r="320" spans="2:8" x14ac:dyDescent="0.2">
      <c r="B320" s="5">
        <v>44659</v>
      </c>
      <c r="C320" s="6" t="s">
        <v>15</v>
      </c>
      <c r="D320" s="7">
        <v>207.979996</v>
      </c>
      <c r="E320" s="7">
        <v>202.580817</v>
      </c>
      <c r="F320" s="7">
        <v>208.509995</v>
      </c>
      <c r="G320" s="7">
        <v>207.08000200000001</v>
      </c>
      <c r="H320" s="8">
        <f t="shared" si="5"/>
        <v>3.3713704893966511E-3</v>
      </c>
    </row>
    <row r="321" spans="2:8" x14ac:dyDescent="0.2">
      <c r="B321" s="5">
        <v>44660</v>
      </c>
      <c r="C321" s="6" t="s">
        <v>15</v>
      </c>
      <c r="D321" s="7">
        <v>208.89999399999999</v>
      </c>
      <c r="E321" s="7">
        <v>203.47693200000001</v>
      </c>
      <c r="F321" s="7">
        <v>209.179993</v>
      </c>
      <c r="G321" s="7">
        <v>207.19000199999999</v>
      </c>
      <c r="H321" s="8">
        <f t="shared" si="5"/>
        <v>4.4137389668403981E-3</v>
      </c>
    </row>
    <row r="322" spans="2:8" x14ac:dyDescent="0.2">
      <c r="B322" s="5">
        <v>44661</v>
      </c>
      <c r="C322" s="6" t="s">
        <v>15</v>
      </c>
      <c r="D322" s="7">
        <v>210.03999300000001</v>
      </c>
      <c r="E322" s="7">
        <v>204.58733699999999</v>
      </c>
      <c r="F322" s="7">
        <v>210.08999600000001</v>
      </c>
      <c r="G322" s="7">
        <v>208.96000699999999</v>
      </c>
      <c r="H322" s="8">
        <f t="shared" si="5"/>
        <v>5.4423179145807569E-3</v>
      </c>
    </row>
    <row r="323" spans="2:8" x14ac:dyDescent="0.2">
      <c r="B323" s="5">
        <v>44664</v>
      </c>
      <c r="C323" s="6" t="s">
        <v>15</v>
      </c>
      <c r="D323" s="7">
        <v>209.08999600000001</v>
      </c>
      <c r="E323" s="7">
        <v>203.662002</v>
      </c>
      <c r="F323" s="7">
        <v>210.63000500000001</v>
      </c>
      <c r="G323" s="7">
        <v>209.029999</v>
      </c>
      <c r="H323" s="8">
        <f t="shared" si="5"/>
        <v>-4.5331933023578528E-3</v>
      </c>
    </row>
    <row r="324" spans="2:8" x14ac:dyDescent="0.2">
      <c r="B324" s="5">
        <v>44665</v>
      </c>
      <c r="C324" s="6" t="s">
        <v>15</v>
      </c>
      <c r="D324" s="7">
        <v>209.490005</v>
      </c>
      <c r="E324" s="7">
        <v>204.051627</v>
      </c>
      <c r="F324" s="7">
        <v>209.71000699999999</v>
      </c>
      <c r="G324" s="7">
        <v>208.10000600000001</v>
      </c>
      <c r="H324" s="8">
        <f t="shared" ref="H324:H387" si="6">IF(C324=C323, LN(E324/E323), "")</f>
        <v>1.9112685517148806E-3</v>
      </c>
    </row>
    <row r="325" spans="2:8" x14ac:dyDescent="0.2">
      <c r="B325" s="5">
        <v>44666</v>
      </c>
      <c r="C325" s="6" t="s">
        <v>15</v>
      </c>
      <c r="D325" s="7">
        <v>210.429993</v>
      </c>
      <c r="E325" s="7">
        <v>204.96721199999999</v>
      </c>
      <c r="F325" s="7">
        <v>211.03999300000001</v>
      </c>
      <c r="G325" s="7">
        <v>209.949997</v>
      </c>
      <c r="H325" s="8">
        <f t="shared" si="6"/>
        <v>4.4769895270694382E-3</v>
      </c>
    </row>
    <row r="326" spans="2:8" x14ac:dyDescent="0.2">
      <c r="B326" s="5">
        <v>44667</v>
      </c>
      <c r="C326" s="6" t="s">
        <v>15</v>
      </c>
      <c r="D326" s="7">
        <v>210.36999499999999</v>
      </c>
      <c r="E326" s="7">
        <v>204.908772</v>
      </c>
      <c r="F326" s="7">
        <v>210.979996</v>
      </c>
      <c r="G326" s="7">
        <v>209.78999300000001</v>
      </c>
      <c r="H326" s="8">
        <f t="shared" si="6"/>
        <v>-2.8515942713053997E-4</v>
      </c>
    </row>
    <row r="327" spans="2:8" x14ac:dyDescent="0.2">
      <c r="B327" s="5">
        <v>44668</v>
      </c>
      <c r="C327" s="6" t="s">
        <v>15</v>
      </c>
      <c r="D327" s="7">
        <v>207.949997</v>
      </c>
      <c r="E327" s="7">
        <v>202.55159699999999</v>
      </c>
      <c r="F327" s="7">
        <v>209.229996</v>
      </c>
      <c r="G327" s="7">
        <v>207.009995</v>
      </c>
      <c r="H327" s="8">
        <f t="shared" si="6"/>
        <v>-1.1570211365276266E-2</v>
      </c>
    </row>
    <row r="328" spans="2:8" x14ac:dyDescent="0.2">
      <c r="B328" s="5">
        <v>44671</v>
      </c>
      <c r="C328" s="6" t="s">
        <v>15</v>
      </c>
      <c r="D328" s="7">
        <v>209.85000600000001</v>
      </c>
      <c r="E328" s="7">
        <v>204.40228200000001</v>
      </c>
      <c r="F328" s="7">
        <v>210.25</v>
      </c>
      <c r="G328" s="7">
        <v>208.96000699999999</v>
      </c>
      <c r="H328" s="8">
        <f t="shared" si="6"/>
        <v>9.0953685602029998E-3</v>
      </c>
    </row>
    <row r="329" spans="2:8" x14ac:dyDescent="0.2">
      <c r="B329" s="5">
        <v>44672</v>
      </c>
      <c r="C329" s="6" t="s">
        <v>15</v>
      </c>
      <c r="D329" s="7">
        <v>209.60000600000001</v>
      </c>
      <c r="E329" s="7">
        <v>204.158772</v>
      </c>
      <c r="F329" s="7">
        <v>210.86000100000001</v>
      </c>
      <c r="G329" s="7">
        <v>209.240005</v>
      </c>
      <c r="H329" s="8">
        <f t="shared" si="6"/>
        <v>-1.1920374027364334E-3</v>
      </c>
    </row>
    <row r="330" spans="2:8" x14ac:dyDescent="0.2">
      <c r="B330" s="5">
        <v>44673</v>
      </c>
      <c r="C330" s="6" t="s">
        <v>15</v>
      </c>
      <c r="D330" s="7">
        <v>210.63000500000001</v>
      </c>
      <c r="E330" s="7">
        <v>205.16203100000001</v>
      </c>
      <c r="F330" s="7">
        <v>210.85000600000001</v>
      </c>
      <c r="G330" s="7">
        <v>208.89999399999999</v>
      </c>
      <c r="H330" s="8">
        <f t="shared" si="6"/>
        <v>4.902076814577311E-3</v>
      </c>
    </row>
    <row r="331" spans="2:8" x14ac:dyDescent="0.2">
      <c r="B331" s="5">
        <v>44674</v>
      </c>
      <c r="C331" s="6" t="s">
        <v>15</v>
      </c>
      <c r="D331" s="7">
        <v>211.16000399999999</v>
      </c>
      <c r="E331" s="7">
        <v>205.678271</v>
      </c>
      <c r="F331" s="7">
        <v>211.94000199999999</v>
      </c>
      <c r="G331" s="7">
        <v>210.009995</v>
      </c>
      <c r="H331" s="8">
        <f t="shared" si="6"/>
        <v>2.5130945975157712E-3</v>
      </c>
    </row>
    <row r="332" spans="2:8" x14ac:dyDescent="0.2">
      <c r="B332" s="5">
        <v>44675</v>
      </c>
      <c r="C332" s="6" t="s">
        <v>15</v>
      </c>
      <c r="D332" s="7">
        <v>211.64999399999999</v>
      </c>
      <c r="E332" s="7">
        <v>206.155541</v>
      </c>
      <c r="F332" s="7">
        <v>211.970001</v>
      </c>
      <c r="G332" s="7">
        <v>211.11000100000001</v>
      </c>
      <c r="H332" s="8">
        <f t="shared" si="6"/>
        <v>2.3177806180815592E-3</v>
      </c>
    </row>
    <row r="333" spans="2:8" x14ac:dyDescent="0.2">
      <c r="B333" s="5">
        <v>44678</v>
      </c>
      <c r="C333" s="6" t="s">
        <v>15</v>
      </c>
      <c r="D333" s="7">
        <v>210.770004</v>
      </c>
      <c r="E333" s="7">
        <v>205.298396</v>
      </c>
      <c r="F333" s="7">
        <v>212.479996</v>
      </c>
      <c r="G333" s="7">
        <v>210.53999300000001</v>
      </c>
      <c r="H333" s="8">
        <f t="shared" si="6"/>
        <v>-4.1664262405101769E-3</v>
      </c>
    </row>
    <row r="334" spans="2:8" x14ac:dyDescent="0.2">
      <c r="B334" s="5">
        <v>44679</v>
      </c>
      <c r="C334" s="6" t="s">
        <v>15</v>
      </c>
      <c r="D334" s="7">
        <v>211.44000199999999</v>
      </c>
      <c r="E334" s="7">
        <v>205.95100099999999</v>
      </c>
      <c r="F334" s="7">
        <v>211.5</v>
      </c>
      <c r="G334" s="7">
        <v>209.33000200000001</v>
      </c>
      <c r="H334" s="8">
        <f t="shared" si="6"/>
        <v>3.1737702355707047E-3</v>
      </c>
    </row>
    <row r="335" spans="2:8" x14ac:dyDescent="0.2">
      <c r="B335" s="5">
        <v>44680</v>
      </c>
      <c r="C335" s="6" t="s">
        <v>15</v>
      </c>
      <c r="D335" s="7">
        <v>210.570007</v>
      </c>
      <c r="E335" s="7">
        <v>205.10359099999999</v>
      </c>
      <c r="F335" s="7">
        <v>211.28999300000001</v>
      </c>
      <c r="G335" s="7">
        <v>209.60000600000001</v>
      </c>
      <c r="H335" s="8">
        <f t="shared" si="6"/>
        <v>-4.1231078158028706E-3</v>
      </c>
    </row>
    <row r="336" spans="2:8" x14ac:dyDescent="0.2">
      <c r="B336" s="5">
        <v>44681</v>
      </c>
      <c r="C336" s="6" t="s">
        <v>15</v>
      </c>
      <c r="D336" s="7">
        <v>208.46000699999999</v>
      </c>
      <c r="E336" s="7">
        <v>203.04836700000001</v>
      </c>
      <c r="F336" s="7">
        <v>210.35000600000001</v>
      </c>
      <c r="G336" s="7">
        <v>207.61999499999999</v>
      </c>
      <c r="H336" s="8">
        <f t="shared" si="6"/>
        <v>-1.0070961711618531E-2</v>
      </c>
    </row>
    <row r="337" spans="2:8" x14ac:dyDescent="0.2">
      <c r="B337" s="5">
        <v>44682</v>
      </c>
      <c r="C337" s="6" t="s">
        <v>15</v>
      </c>
      <c r="D337" s="7">
        <v>210.720001</v>
      </c>
      <c r="E337" s="7">
        <v>205.24969100000001</v>
      </c>
      <c r="F337" s="7">
        <v>210.770004</v>
      </c>
      <c r="G337" s="7">
        <v>209.279999</v>
      </c>
      <c r="H337" s="8">
        <f t="shared" si="6"/>
        <v>1.0783031104416911E-2</v>
      </c>
    </row>
    <row r="338" spans="2:8" x14ac:dyDescent="0.2">
      <c r="B338" s="5">
        <v>44685</v>
      </c>
      <c r="C338" s="6" t="s">
        <v>15</v>
      </c>
      <c r="D338" s="7">
        <v>211.320007</v>
      </c>
      <c r="E338" s="7">
        <v>205.83412100000001</v>
      </c>
      <c r="F338" s="7">
        <v>212.020004</v>
      </c>
      <c r="G338" s="7">
        <v>211.10000600000001</v>
      </c>
      <c r="H338" s="8">
        <f t="shared" si="6"/>
        <v>2.8433636970647486E-3</v>
      </c>
    </row>
    <row r="339" spans="2:8" x14ac:dyDescent="0.2">
      <c r="B339" s="5">
        <v>44686</v>
      </c>
      <c r="C339" s="6" t="s">
        <v>15</v>
      </c>
      <c r="D339" s="7">
        <v>208.89999399999999</v>
      </c>
      <c r="E339" s="7">
        <v>203.47693200000001</v>
      </c>
      <c r="F339" s="7">
        <v>211.46000699999999</v>
      </c>
      <c r="G339" s="7">
        <v>208.729996</v>
      </c>
      <c r="H339" s="8">
        <f t="shared" si="6"/>
        <v>-1.1517964355362056E-2</v>
      </c>
    </row>
    <row r="340" spans="2:8" x14ac:dyDescent="0.2">
      <c r="B340" s="5">
        <v>44687</v>
      </c>
      <c r="C340" s="6" t="s">
        <v>15</v>
      </c>
      <c r="D340" s="7">
        <v>208.03999300000001</v>
      </c>
      <c r="E340" s="7">
        <v>202.63925699999999</v>
      </c>
      <c r="F340" s="7">
        <v>209.929993</v>
      </c>
      <c r="G340" s="7">
        <v>206.759995</v>
      </c>
      <c r="H340" s="8">
        <f t="shared" si="6"/>
        <v>-4.1253031061572873E-3</v>
      </c>
    </row>
    <row r="341" spans="2:8" x14ac:dyDescent="0.2">
      <c r="B341" s="5">
        <v>44688</v>
      </c>
      <c r="C341" s="6" t="s">
        <v>15</v>
      </c>
      <c r="D341" s="7">
        <v>208.86999499999999</v>
      </c>
      <c r="E341" s="7">
        <v>203.447712</v>
      </c>
      <c r="F341" s="7">
        <v>209.38000500000001</v>
      </c>
      <c r="G341" s="7">
        <v>207.520004</v>
      </c>
      <c r="H341" s="8">
        <f t="shared" si="6"/>
        <v>3.9816892922432045E-3</v>
      </c>
    </row>
    <row r="342" spans="2:8" x14ac:dyDescent="0.2">
      <c r="B342" s="5">
        <v>44689</v>
      </c>
      <c r="C342" s="6" t="s">
        <v>15</v>
      </c>
      <c r="D342" s="7">
        <v>211.61999499999999</v>
      </c>
      <c r="E342" s="7">
        <v>206.12632099999999</v>
      </c>
      <c r="F342" s="7">
        <v>211.86000100000001</v>
      </c>
      <c r="G342" s="7">
        <v>210.779999</v>
      </c>
      <c r="H342" s="8">
        <f t="shared" si="6"/>
        <v>1.3080161213719996E-2</v>
      </c>
    </row>
    <row r="343" spans="2:8" x14ac:dyDescent="0.2">
      <c r="B343" s="5">
        <v>44692</v>
      </c>
      <c r="C343" s="6" t="s">
        <v>15</v>
      </c>
      <c r="D343" s="7">
        <v>210.61000100000001</v>
      </c>
      <c r="E343" s="7">
        <v>205.14254700000001</v>
      </c>
      <c r="F343" s="7">
        <v>211.88999899999999</v>
      </c>
      <c r="G343" s="7">
        <v>210.520004</v>
      </c>
      <c r="H343" s="8">
        <f t="shared" si="6"/>
        <v>-4.7841008785189801E-3</v>
      </c>
    </row>
    <row r="344" spans="2:8" x14ac:dyDescent="0.2">
      <c r="B344" s="5">
        <v>44693</v>
      </c>
      <c r="C344" s="6" t="s">
        <v>15</v>
      </c>
      <c r="D344" s="7">
        <v>209.979996</v>
      </c>
      <c r="E344" s="7">
        <v>204.528897</v>
      </c>
      <c r="F344" s="7">
        <v>210.63000500000001</v>
      </c>
      <c r="G344" s="7">
        <v>208.61999499999999</v>
      </c>
      <c r="H344" s="8">
        <f t="shared" si="6"/>
        <v>-2.9958175896441508E-3</v>
      </c>
    </row>
    <row r="345" spans="2:8" x14ac:dyDescent="0.2">
      <c r="B345" s="5">
        <v>44694</v>
      </c>
      <c r="C345" s="6" t="s">
        <v>15</v>
      </c>
      <c r="D345" s="7">
        <v>210.020004</v>
      </c>
      <c r="E345" s="7">
        <v>204.56786700000001</v>
      </c>
      <c r="F345" s="7">
        <v>211.220001</v>
      </c>
      <c r="G345" s="7">
        <v>209.740005</v>
      </c>
      <c r="H345" s="8">
        <f t="shared" si="6"/>
        <v>1.9051727389307016E-4</v>
      </c>
    </row>
    <row r="346" spans="2:8" x14ac:dyDescent="0.2">
      <c r="B346" s="5">
        <v>44695</v>
      </c>
      <c r="C346" s="6" t="s">
        <v>15</v>
      </c>
      <c r="D346" s="7">
        <v>212.21000699999999</v>
      </c>
      <c r="E346" s="7">
        <v>206.70101600000001</v>
      </c>
      <c r="F346" s="7">
        <v>212.320007</v>
      </c>
      <c r="G346" s="7">
        <v>210.91000399999999</v>
      </c>
      <c r="H346" s="8">
        <f t="shared" si="6"/>
        <v>1.0373593614356309E-2</v>
      </c>
    </row>
    <row r="347" spans="2:8" x14ac:dyDescent="0.2">
      <c r="B347" s="5">
        <v>44696</v>
      </c>
      <c r="C347" s="6" t="s">
        <v>15</v>
      </c>
      <c r="D347" s="7">
        <v>212.44000199999999</v>
      </c>
      <c r="E347" s="7">
        <v>206.92504099999999</v>
      </c>
      <c r="F347" s="7">
        <v>212.61000100000001</v>
      </c>
      <c r="G347" s="7">
        <v>211.86000100000001</v>
      </c>
      <c r="H347" s="8">
        <f t="shared" si="6"/>
        <v>1.0832248989837839E-3</v>
      </c>
    </row>
    <row r="348" spans="2:8" x14ac:dyDescent="0.2">
      <c r="B348" s="5">
        <v>44699</v>
      </c>
      <c r="C348" s="6" t="s">
        <v>15</v>
      </c>
      <c r="D348" s="7">
        <v>213.10000600000001</v>
      </c>
      <c r="E348" s="7">
        <v>207.56791100000001</v>
      </c>
      <c r="F348" s="7">
        <v>213.39999399999999</v>
      </c>
      <c r="G348" s="7">
        <v>212.16000399999999</v>
      </c>
      <c r="H348" s="8">
        <f t="shared" si="6"/>
        <v>3.1019611425540747E-3</v>
      </c>
    </row>
    <row r="349" spans="2:8" x14ac:dyDescent="0.2">
      <c r="B349" s="5">
        <v>44700</v>
      </c>
      <c r="C349" s="6" t="s">
        <v>15</v>
      </c>
      <c r="D349" s="7">
        <v>213.029999</v>
      </c>
      <c r="E349" s="7">
        <v>207.49972099999999</v>
      </c>
      <c r="F349" s="7">
        <v>213.570007</v>
      </c>
      <c r="G349" s="7">
        <v>212.69000199999999</v>
      </c>
      <c r="H349" s="8">
        <f t="shared" si="6"/>
        <v>-3.2857296188058284E-4</v>
      </c>
    </row>
    <row r="350" spans="2:8" x14ac:dyDescent="0.2">
      <c r="B350" s="5">
        <v>44701</v>
      </c>
      <c r="C350" s="6" t="s">
        <v>15</v>
      </c>
      <c r="D350" s="7">
        <v>212.88000500000001</v>
      </c>
      <c r="E350" s="7">
        <v>207.353621</v>
      </c>
      <c r="F350" s="7">
        <v>213.779999</v>
      </c>
      <c r="G350" s="7">
        <v>212.5</v>
      </c>
      <c r="H350" s="8">
        <f t="shared" si="6"/>
        <v>-7.0434532519699389E-4</v>
      </c>
    </row>
    <row r="351" spans="2:8" x14ac:dyDescent="0.2">
      <c r="B351" s="5">
        <v>44702</v>
      </c>
      <c r="C351" s="6" t="s">
        <v>15</v>
      </c>
      <c r="D351" s="7">
        <v>213.5</v>
      </c>
      <c r="E351" s="7">
        <v>207.95752100000001</v>
      </c>
      <c r="F351" s="7">
        <v>213.75</v>
      </c>
      <c r="G351" s="7">
        <v>212.509995</v>
      </c>
      <c r="H351" s="8">
        <f t="shared" si="6"/>
        <v>2.9081831164794354E-3</v>
      </c>
    </row>
    <row r="352" spans="2:8" x14ac:dyDescent="0.2">
      <c r="B352" s="5">
        <v>44703</v>
      </c>
      <c r="C352" s="6" t="s">
        <v>15</v>
      </c>
      <c r="D352" s="7">
        <v>212.990005</v>
      </c>
      <c r="E352" s="7">
        <v>207.46076600000001</v>
      </c>
      <c r="F352" s="7">
        <v>213.53999300000001</v>
      </c>
      <c r="G352" s="7">
        <v>212.91000399999999</v>
      </c>
      <c r="H352" s="8">
        <f t="shared" si="6"/>
        <v>-2.3915906079231401E-3</v>
      </c>
    </row>
    <row r="353" spans="2:8" x14ac:dyDescent="0.2">
      <c r="B353" s="5">
        <v>44707</v>
      </c>
      <c r="C353" s="6" t="s">
        <v>15</v>
      </c>
      <c r="D353" s="7">
        <v>210.699997</v>
      </c>
      <c r="E353" s="7">
        <v>205.23020700000001</v>
      </c>
      <c r="F353" s="7">
        <v>212.91000399999999</v>
      </c>
      <c r="G353" s="7">
        <v>210.199997</v>
      </c>
      <c r="H353" s="8">
        <f t="shared" si="6"/>
        <v>-1.0809932209917248E-2</v>
      </c>
    </row>
    <row r="354" spans="2:8" x14ac:dyDescent="0.2">
      <c r="B354" s="5">
        <v>44708</v>
      </c>
      <c r="C354" s="6" t="s">
        <v>15</v>
      </c>
      <c r="D354" s="7">
        <v>212.699997</v>
      </c>
      <c r="E354" s="7">
        <v>207.17828600000001</v>
      </c>
      <c r="F354" s="7">
        <v>212.979996</v>
      </c>
      <c r="G354" s="7">
        <v>210.759995</v>
      </c>
      <c r="H354" s="8">
        <f t="shared" si="6"/>
        <v>9.4473975314325123E-3</v>
      </c>
    </row>
    <row r="355" spans="2:8" x14ac:dyDescent="0.2">
      <c r="B355" s="5">
        <v>44709</v>
      </c>
      <c r="C355" s="6" t="s">
        <v>15</v>
      </c>
      <c r="D355" s="7">
        <v>212.46000699999999</v>
      </c>
      <c r="E355" s="7">
        <v>206.944526</v>
      </c>
      <c r="F355" s="7">
        <v>212.58999600000001</v>
      </c>
      <c r="G355" s="7">
        <v>211.63000500000001</v>
      </c>
      <c r="H355" s="8">
        <f t="shared" si="6"/>
        <v>-1.1289405850330369E-3</v>
      </c>
    </row>
    <row r="356" spans="2:8" x14ac:dyDescent="0.2">
      <c r="B356" s="5">
        <v>44710</v>
      </c>
      <c r="C356" s="6" t="s">
        <v>15</v>
      </c>
      <c r="D356" s="7">
        <v>211.13999899999999</v>
      </c>
      <c r="E356" s="7">
        <v>205.65878599999999</v>
      </c>
      <c r="F356" s="7">
        <v>212.429993</v>
      </c>
      <c r="G356" s="7">
        <v>210.820007</v>
      </c>
      <c r="H356" s="8">
        <f t="shared" si="6"/>
        <v>-6.2323501743660938E-3</v>
      </c>
    </row>
    <row r="357" spans="2:8" x14ac:dyDescent="0.2">
      <c r="B357" s="5">
        <v>44713</v>
      </c>
      <c r="C357" s="6" t="s">
        <v>15</v>
      </c>
      <c r="D357" s="7">
        <v>211.570007</v>
      </c>
      <c r="E357" s="7">
        <v>206.077631</v>
      </c>
      <c r="F357" s="7">
        <v>212.33999600000001</v>
      </c>
      <c r="G357" s="7">
        <v>210.61999499999999</v>
      </c>
      <c r="H357" s="8">
        <f t="shared" si="6"/>
        <v>2.0345304771891555E-3</v>
      </c>
    </row>
    <row r="358" spans="2:8" x14ac:dyDescent="0.2">
      <c r="B358" s="5">
        <v>44714</v>
      </c>
      <c r="C358" s="6" t="s">
        <v>15</v>
      </c>
      <c r="D358" s="7">
        <v>211.36000100000001</v>
      </c>
      <c r="E358" s="7">
        <v>205.873076</v>
      </c>
      <c r="F358" s="7">
        <v>212.19000199999999</v>
      </c>
      <c r="G358" s="7">
        <v>210.270004</v>
      </c>
      <c r="H358" s="8">
        <f t="shared" si="6"/>
        <v>-9.9310433668938066E-4</v>
      </c>
    </row>
    <row r="359" spans="2:8" x14ac:dyDescent="0.2">
      <c r="B359" s="5">
        <v>44715</v>
      </c>
      <c r="C359" s="6" t="s">
        <v>15</v>
      </c>
      <c r="D359" s="7">
        <v>211.91999799999999</v>
      </c>
      <c r="E359" s="7">
        <v>206.41853599999999</v>
      </c>
      <c r="F359" s="7">
        <v>212.66999799999999</v>
      </c>
      <c r="G359" s="7">
        <v>211.33000200000001</v>
      </c>
      <c r="H359" s="8">
        <f t="shared" si="6"/>
        <v>2.6459927991115528E-3</v>
      </c>
    </row>
    <row r="360" spans="2:8" x14ac:dyDescent="0.2">
      <c r="B360" s="5">
        <v>44716</v>
      </c>
      <c r="C360" s="6" t="s">
        <v>15</v>
      </c>
      <c r="D360" s="7">
        <v>210.13000500000001</v>
      </c>
      <c r="E360" s="7">
        <v>204.67501200000001</v>
      </c>
      <c r="F360" s="7">
        <v>211.86000100000001</v>
      </c>
      <c r="G360" s="7">
        <v>209.75</v>
      </c>
      <c r="H360" s="8">
        <f t="shared" si="6"/>
        <v>-8.4824218845777136E-3</v>
      </c>
    </row>
    <row r="361" spans="2:8" x14ac:dyDescent="0.2">
      <c r="B361" s="5">
        <v>44717</v>
      </c>
      <c r="C361" s="6" t="s">
        <v>15</v>
      </c>
      <c r="D361" s="7">
        <v>209.770004</v>
      </c>
      <c r="E361" s="7">
        <v>204.32435699999999</v>
      </c>
      <c r="F361" s="7">
        <v>210.58000200000001</v>
      </c>
      <c r="G361" s="7">
        <v>208.979996</v>
      </c>
      <c r="H361" s="8">
        <f t="shared" si="6"/>
        <v>-1.7146974420684834E-3</v>
      </c>
    </row>
    <row r="362" spans="2:8" x14ac:dyDescent="0.2">
      <c r="B362" s="5">
        <v>44720</v>
      </c>
      <c r="C362" s="6" t="s">
        <v>15</v>
      </c>
      <c r="D362" s="7">
        <v>208.479996</v>
      </c>
      <c r="E362" s="7">
        <v>203.067837</v>
      </c>
      <c r="F362" s="7">
        <v>209.820007</v>
      </c>
      <c r="G362" s="7">
        <v>208.38999899999999</v>
      </c>
      <c r="H362" s="8">
        <f t="shared" si="6"/>
        <v>-6.1686208175609067E-3</v>
      </c>
    </row>
    <row r="363" spans="2:8" x14ac:dyDescent="0.2">
      <c r="B363" s="5">
        <v>44721</v>
      </c>
      <c r="C363" s="6" t="s">
        <v>15</v>
      </c>
      <c r="D363" s="7">
        <v>208.449997</v>
      </c>
      <c r="E363" s="7">
        <v>203.03861699999999</v>
      </c>
      <c r="F363" s="7">
        <v>209.10000600000001</v>
      </c>
      <c r="G363" s="7">
        <v>207.69000199999999</v>
      </c>
      <c r="H363" s="8">
        <f t="shared" si="6"/>
        <v>-1.4390315525709317E-4</v>
      </c>
    </row>
    <row r="364" spans="2:8" x14ac:dyDescent="0.2">
      <c r="B364" s="5">
        <v>44722</v>
      </c>
      <c r="C364" s="6" t="s">
        <v>15</v>
      </c>
      <c r="D364" s="7">
        <v>210.96000699999999</v>
      </c>
      <c r="E364" s="7">
        <v>205.48346599999999</v>
      </c>
      <c r="F364" s="7">
        <v>211.41000399999999</v>
      </c>
      <c r="G364" s="7">
        <v>209.300003</v>
      </c>
      <c r="H364" s="8">
        <f t="shared" si="6"/>
        <v>1.1969380801334563E-2</v>
      </c>
    </row>
    <row r="365" spans="2:8" x14ac:dyDescent="0.2">
      <c r="B365" s="5">
        <v>44723</v>
      </c>
      <c r="C365" s="6" t="s">
        <v>15</v>
      </c>
      <c r="D365" s="7">
        <v>211.63000500000001</v>
      </c>
      <c r="E365" s="7">
        <v>206.13607099999999</v>
      </c>
      <c r="F365" s="7">
        <v>212.08999600000001</v>
      </c>
      <c r="G365" s="7">
        <v>211.199997</v>
      </c>
      <c r="H365" s="8">
        <f t="shared" si="6"/>
        <v>3.1709162862826913E-3</v>
      </c>
    </row>
    <row r="366" spans="2:8" x14ac:dyDescent="0.2">
      <c r="B366" s="5">
        <v>44724</v>
      </c>
      <c r="C366" s="6" t="s">
        <v>15</v>
      </c>
      <c r="D366" s="7">
        <v>210.009995</v>
      </c>
      <c r="E366" s="7">
        <v>204.55811700000001</v>
      </c>
      <c r="F366" s="7">
        <v>211.479996</v>
      </c>
      <c r="G366" s="7">
        <v>209.679993</v>
      </c>
      <c r="H366" s="8">
        <f t="shared" si="6"/>
        <v>-7.6843637474029699E-3</v>
      </c>
    </row>
    <row r="367" spans="2:8" x14ac:dyDescent="0.2">
      <c r="B367" s="5">
        <v>44727</v>
      </c>
      <c r="C367" s="6" t="s">
        <v>15</v>
      </c>
      <c r="D367" s="7">
        <v>209.10000600000001</v>
      </c>
      <c r="E367" s="7">
        <v>203.671752</v>
      </c>
      <c r="F367" s="7">
        <v>209.449997</v>
      </c>
      <c r="G367" s="7">
        <v>207.78999300000001</v>
      </c>
      <c r="H367" s="8">
        <f t="shared" si="6"/>
        <v>-4.3424867221678355E-3</v>
      </c>
    </row>
    <row r="368" spans="2:8" x14ac:dyDescent="0.2">
      <c r="B368" s="5">
        <v>44728</v>
      </c>
      <c r="C368" s="6" t="s">
        <v>15</v>
      </c>
      <c r="D368" s="7">
        <v>210.25</v>
      </c>
      <c r="E368" s="7">
        <v>204.79189199999999</v>
      </c>
      <c r="F368" s="7">
        <v>210.35000600000001</v>
      </c>
      <c r="G368" s="7">
        <v>208.720001</v>
      </c>
      <c r="H368" s="8">
        <f t="shared" si="6"/>
        <v>5.4846634426993918E-3</v>
      </c>
    </row>
    <row r="369" spans="2:8" x14ac:dyDescent="0.2">
      <c r="B369" s="5">
        <v>44729</v>
      </c>
      <c r="C369" s="6" t="s">
        <v>15</v>
      </c>
      <c r="D369" s="7">
        <v>210.58999600000001</v>
      </c>
      <c r="E369" s="7">
        <v>205.123062</v>
      </c>
      <c r="F369" s="7">
        <v>211.320007</v>
      </c>
      <c r="G369" s="7">
        <v>209.36000100000001</v>
      </c>
      <c r="H369" s="8">
        <f t="shared" si="6"/>
        <v>1.6157989300957685E-3</v>
      </c>
    </row>
    <row r="370" spans="2:8" x14ac:dyDescent="0.2">
      <c r="B370" s="5">
        <v>44730</v>
      </c>
      <c r="C370" s="6" t="s">
        <v>15</v>
      </c>
      <c r="D370" s="7">
        <v>212.779999</v>
      </c>
      <c r="E370" s="7">
        <v>207.25621100000001</v>
      </c>
      <c r="F370" s="7">
        <v>213.33999600000001</v>
      </c>
      <c r="G370" s="7">
        <v>210.63000500000001</v>
      </c>
      <c r="H370" s="8">
        <f t="shared" si="6"/>
        <v>1.0345660735265721E-2</v>
      </c>
    </row>
    <row r="371" spans="2:8" x14ac:dyDescent="0.2">
      <c r="B371" s="5">
        <v>44731</v>
      </c>
      <c r="C371" s="6" t="s">
        <v>15</v>
      </c>
      <c r="D371" s="7">
        <v>210.80999800000001</v>
      </c>
      <c r="E371" s="7">
        <v>206.336164</v>
      </c>
      <c r="F371" s="7">
        <v>211.550003</v>
      </c>
      <c r="G371" s="7">
        <v>210.36000100000001</v>
      </c>
      <c r="H371" s="8">
        <f t="shared" si="6"/>
        <v>-4.4490593794286664E-3</v>
      </c>
    </row>
    <row r="372" spans="2:8" x14ac:dyDescent="0.2">
      <c r="B372" s="5">
        <v>44734</v>
      </c>
      <c r="C372" s="6" t="s">
        <v>15</v>
      </c>
      <c r="D372" s="7">
        <v>211.88999899999999</v>
      </c>
      <c r="E372" s="7">
        <v>207.393246</v>
      </c>
      <c r="F372" s="7">
        <v>212.58999600000001</v>
      </c>
      <c r="G372" s="7">
        <v>211.63999899999999</v>
      </c>
      <c r="H372" s="8">
        <f t="shared" si="6"/>
        <v>5.1100273497253993E-3</v>
      </c>
    </row>
    <row r="373" spans="2:8" x14ac:dyDescent="0.2">
      <c r="B373" s="5">
        <v>44735</v>
      </c>
      <c r="C373" s="6" t="s">
        <v>15</v>
      </c>
      <c r="D373" s="7">
        <v>212.050003</v>
      </c>
      <c r="E373" s="7">
        <v>207.54985400000001</v>
      </c>
      <c r="F373" s="7">
        <v>212.44000199999999</v>
      </c>
      <c r="G373" s="7">
        <v>211.570007</v>
      </c>
      <c r="H373" s="8">
        <f t="shared" si="6"/>
        <v>7.5484088028494238E-4</v>
      </c>
    </row>
    <row r="374" spans="2:8" x14ac:dyDescent="0.2">
      <c r="B374" s="5">
        <v>44736</v>
      </c>
      <c r="C374" s="6" t="s">
        <v>15</v>
      </c>
      <c r="D374" s="7">
        <v>210.509995</v>
      </c>
      <c r="E374" s="7">
        <v>206.04252700000001</v>
      </c>
      <c r="F374" s="7">
        <v>212.16999799999999</v>
      </c>
      <c r="G374" s="7">
        <v>210.470001</v>
      </c>
      <c r="H374" s="8">
        <f t="shared" si="6"/>
        <v>-7.2889818228587177E-3</v>
      </c>
    </row>
    <row r="375" spans="2:8" x14ac:dyDescent="0.2">
      <c r="B375" s="5">
        <v>44737</v>
      </c>
      <c r="C375" s="6" t="s">
        <v>15</v>
      </c>
      <c r="D375" s="7">
        <v>209.86000100000001</v>
      </c>
      <c r="E375" s="7">
        <v>205.406328</v>
      </c>
      <c r="F375" s="7">
        <v>211.25</v>
      </c>
      <c r="G375" s="7">
        <v>209.770004</v>
      </c>
      <c r="H375" s="8">
        <f t="shared" si="6"/>
        <v>-3.0924840319303312E-3</v>
      </c>
    </row>
    <row r="376" spans="2:8" x14ac:dyDescent="0.2">
      <c r="B376" s="5">
        <v>44738</v>
      </c>
      <c r="C376" s="6" t="s">
        <v>15</v>
      </c>
      <c r="D376" s="7">
        <v>209.820007</v>
      </c>
      <c r="E376" s="7">
        <v>205.36718300000001</v>
      </c>
      <c r="F376" s="7">
        <v>210.58000200000001</v>
      </c>
      <c r="G376" s="7">
        <v>209.16000399999999</v>
      </c>
      <c r="H376" s="8">
        <f t="shared" si="6"/>
        <v>-1.9059164756362248E-4</v>
      </c>
    </row>
    <row r="377" spans="2:8" x14ac:dyDescent="0.2">
      <c r="B377" s="5">
        <v>44741</v>
      </c>
      <c r="C377" s="6" t="s">
        <v>15</v>
      </c>
      <c r="D377" s="7">
        <v>205.41999799999999</v>
      </c>
      <c r="E377" s="7">
        <v>201.060551</v>
      </c>
      <c r="F377" s="7">
        <v>209.83000200000001</v>
      </c>
      <c r="G377" s="7">
        <v>205.33000200000001</v>
      </c>
      <c r="H377" s="8">
        <f t="shared" si="6"/>
        <v>-2.1193402102495758E-2</v>
      </c>
    </row>
    <row r="378" spans="2:8" x14ac:dyDescent="0.2">
      <c r="B378" s="5">
        <v>44742</v>
      </c>
      <c r="C378" s="6" t="s">
        <v>15</v>
      </c>
      <c r="D378" s="7">
        <v>205.85000600000001</v>
      </c>
      <c r="E378" s="7">
        <v>201.48143400000001</v>
      </c>
      <c r="F378" s="7">
        <v>207.320007</v>
      </c>
      <c r="G378" s="7">
        <v>205.279999</v>
      </c>
      <c r="H378" s="8">
        <f t="shared" si="6"/>
        <v>2.0911267348679846E-3</v>
      </c>
    </row>
    <row r="379" spans="2:8" x14ac:dyDescent="0.2">
      <c r="B379" s="5">
        <v>44743</v>
      </c>
      <c r="C379" s="6" t="s">
        <v>15</v>
      </c>
      <c r="D379" s="7">
        <v>207.5</v>
      </c>
      <c r="E379" s="7">
        <v>203.09641099999999</v>
      </c>
      <c r="F379" s="7">
        <v>208.029999</v>
      </c>
      <c r="G379" s="7">
        <v>206.55999800000001</v>
      </c>
      <c r="H379" s="8">
        <f t="shared" si="6"/>
        <v>7.9835591483551887E-3</v>
      </c>
    </row>
    <row r="380" spans="2:8" x14ac:dyDescent="0.2">
      <c r="B380" s="5">
        <v>44744</v>
      </c>
      <c r="C380" s="6" t="s">
        <v>15</v>
      </c>
      <c r="D380" s="7">
        <v>207.320007</v>
      </c>
      <c r="E380" s="7">
        <v>202.92023800000001</v>
      </c>
      <c r="F380" s="7">
        <v>208.270004</v>
      </c>
      <c r="G380" s="7">
        <v>206.80999800000001</v>
      </c>
      <c r="H380" s="8">
        <f t="shared" si="6"/>
        <v>-8.6781175841025248E-4</v>
      </c>
    </row>
    <row r="381" spans="2:8" x14ac:dyDescent="0.2">
      <c r="B381" s="5">
        <v>44748</v>
      </c>
      <c r="C381" s="6" t="s">
        <v>15</v>
      </c>
      <c r="D381" s="7">
        <v>206.720001</v>
      </c>
      <c r="E381" s="7">
        <v>202.332966</v>
      </c>
      <c r="F381" s="7">
        <v>207.64999399999999</v>
      </c>
      <c r="G381" s="7">
        <v>205.529999</v>
      </c>
      <c r="H381" s="8">
        <f t="shared" si="6"/>
        <v>-2.898298670067865E-3</v>
      </c>
    </row>
    <row r="382" spans="2:8" x14ac:dyDescent="0.2">
      <c r="B382" s="5">
        <v>44749</v>
      </c>
      <c r="C382" s="6" t="s">
        <v>15</v>
      </c>
      <c r="D382" s="7">
        <v>208.009995</v>
      </c>
      <c r="E382" s="7">
        <v>203.595583</v>
      </c>
      <c r="F382" s="7">
        <v>208.16999799999999</v>
      </c>
      <c r="G382" s="7">
        <v>204.11000100000001</v>
      </c>
      <c r="H382" s="8">
        <f t="shared" si="6"/>
        <v>6.2209030382770775E-3</v>
      </c>
    </row>
    <row r="383" spans="2:8" x14ac:dyDescent="0.2">
      <c r="B383" s="5">
        <v>44750</v>
      </c>
      <c r="C383" s="6" t="s">
        <v>15</v>
      </c>
      <c r="D383" s="7">
        <v>204.529999</v>
      </c>
      <c r="E383" s="7">
        <v>200.18943999999999</v>
      </c>
      <c r="F383" s="7">
        <v>206.759995</v>
      </c>
      <c r="G383" s="7">
        <v>204.25</v>
      </c>
      <c r="H383" s="8">
        <f t="shared" si="6"/>
        <v>-1.687147170483334E-2</v>
      </c>
    </row>
    <row r="384" spans="2:8" x14ac:dyDescent="0.2">
      <c r="B384" s="5">
        <v>44751</v>
      </c>
      <c r="C384" s="6" t="s">
        <v>15</v>
      </c>
      <c r="D384" s="7">
        <v>204.89999399999999</v>
      </c>
      <c r="E384" s="7">
        <v>200.55158299999999</v>
      </c>
      <c r="F384" s="7">
        <v>207.35000600000001</v>
      </c>
      <c r="G384" s="7">
        <v>204.770004</v>
      </c>
      <c r="H384" s="8">
        <f t="shared" si="6"/>
        <v>1.8073672411653425E-3</v>
      </c>
    </row>
    <row r="385" spans="2:8" x14ac:dyDescent="0.2">
      <c r="B385" s="5">
        <v>44752</v>
      </c>
      <c r="C385" s="6" t="s">
        <v>15</v>
      </c>
      <c r="D385" s="7">
        <v>207.479996</v>
      </c>
      <c r="E385" s="7">
        <v>203.076831</v>
      </c>
      <c r="F385" s="7">
        <v>207.979996</v>
      </c>
      <c r="G385" s="7">
        <v>204.949997</v>
      </c>
      <c r="H385" s="8">
        <f t="shared" si="6"/>
        <v>1.2512899791278356E-2</v>
      </c>
    </row>
    <row r="386" spans="2:8" x14ac:dyDescent="0.2">
      <c r="B386" s="5">
        <v>44755</v>
      </c>
      <c r="C386" s="6" t="s">
        <v>15</v>
      </c>
      <c r="D386" s="7">
        <v>209.759995</v>
      </c>
      <c r="E386" s="7">
        <v>205.30844400000001</v>
      </c>
      <c r="F386" s="7">
        <v>209.89999399999999</v>
      </c>
      <c r="G386" s="7">
        <v>208.94000199999999</v>
      </c>
      <c r="H386" s="8">
        <f t="shared" si="6"/>
        <v>1.0929067963019248E-2</v>
      </c>
    </row>
    <row r="387" spans="2:8" x14ac:dyDescent="0.2">
      <c r="B387" s="5">
        <v>44756</v>
      </c>
      <c r="C387" s="6" t="s">
        <v>15</v>
      </c>
      <c r="D387" s="7">
        <v>210.679993</v>
      </c>
      <c r="E387" s="7">
        <v>206.20891800000001</v>
      </c>
      <c r="F387" s="7">
        <v>211.050003</v>
      </c>
      <c r="G387" s="7">
        <v>209.64999399999999</v>
      </c>
      <c r="H387" s="8">
        <f t="shared" si="6"/>
        <v>4.3763666875370104E-3</v>
      </c>
    </row>
    <row r="388" spans="2:8" x14ac:dyDescent="0.2">
      <c r="B388" s="5">
        <v>44757</v>
      </c>
      <c r="C388" s="6" t="s">
        <v>15</v>
      </c>
      <c r="D388" s="7">
        <v>210.61000100000001</v>
      </c>
      <c r="E388" s="7">
        <v>206.140411</v>
      </c>
      <c r="F388" s="7">
        <v>211.279999</v>
      </c>
      <c r="G388" s="7">
        <v>210.03999300000001</v>
      </c>
      <c r="H388" s="8">
        <f t="shared" ref="H388:H451" si="7">IF(C388=C387, LN(E388/E387), "")</f>
        <v>-3.3227652290088579E-4</v>
      </c>
    </row>
    <row r="389" spans="2:8" x14ac:dyDescent="0.2">
      <c r="B389" s="5">
        <v>44758</v>
      </c>
      <c r="C389" s="6" t="s">
        <v>15</v>
      </c>
      <c r="D389" s="7">
        <v>212.300003</v>
      </c>
      <c r="E389" s="7">
        <v>207.79454799999999</v>
      </c>
      <c r="F389" s="7">
        <v>212.300003</v>
      </c>
      <c r="G389" s="7">
        <v>211.58000200000001</v>
      </c>
      <c r="H389" s="8">
        <f t="shared" si="7"/>
        <v>7.9922981575288633E-3</v>
      </c>
    </row>
    <row r="390" spans="2:8" x14ac:dyDescent="0.2">
      <c r="B390" s="5">
        <v>44759</v>
      </c>
      <c r="C390" s="6" t="s">
        <v>15</v>
      </c>
      <c r="D390" s="7">
        <v>212.470001</v>
      </c>
      <c r="E390" s="7">
        <v>207.960939</v>
      </c>
      <c r="F390" s="7">
        <v>212.550003</v>
      </c>
      <c r="G390" s="7">
        <v>211.800003</v>
      </c>
      <c r="H390" s="8">
        <f t="shared" si="7"/>
        <v>8.0042724190748779E-4</v>
      </c>
    </row>
    <row r="391" spans="2:8" x14ac:dyDescent="0.2">
      <c r="B391" s="5">
        <v>44762</v>
      </c>
      <c r="C391" s="6" t="s">
        <v>15</v>
      </c>
      <c r="D391" s="7">
        <v>212.58999600000001</v>
      </c>
      <c r="E391" s="7">
        <v>208.07838699999999</v>
      </c>
      <c r="F391" s="7">
        <v>213.179993</v>
      </c>
      <c r="G391" s="7">
        <v>212.21000699999999</v>
      </c>
      <c r="H391" s="8">
        <f t="shared" si="7"/>
        <v>5.6460048740657859E-4</v>
      </c>
    </row>
    <row r="392" spans="2:8" x14ac:dyDescent="0.2">
      <c r="B392" s="5">
        <v>44763</v>
      </c>
      <c r="C392" s="6" t="s">
        <v>15</v>
      </c>
      <c r="D392" s="7">
        <v>211.759995</v>
      </c>
      <c r="E392" s="7">
        <v>207.26599999999999</v>
      </c>
      <c r="F392" s="7">
        <v>212.740005</v>
      </c>
      <c r="G392" s="7">
        <v>211.38999899999999</v>
      </c>
      <c r="H392" s="8">
        <f t="shared" si="7"/>
        <v>-3.9118768010767977E-3</v>
      </c>
    </row>
    <row r="393" spans="2:8" x14ac:dyDescent="0.2">
      <c r="B393" s="5">
        <v>44764</v>
      </c>
      <c r="C393" s="6" t="s">
        <v>15</v>
      </c>
      <c r="D393" s="7">
        <v>211.36999499999999</v>
      </c>
      <c r="E393" s="7">
        <v>206.884277</v>
      </c>
      <c r="F393" s="7">
        <v>211.770004</v>
      </c>
      <c r="G393" s="7">
        <v>210.88999899999999</v>
      </c>
      <c r="H393" s="8">
        <f t="shared" si="7"/>
        <v>-1.8434038526339114E-3</v>
      </c>
    </row>
    <row r="394" spans="2:8" x14ac:dyDescent="0.2">
      <c r="B394" s="5">
        <v>44765</v>
      </c>
      <c r="C394" s="6" t="s">
        <v>15</v>
      </c>
      <c r="D394" s="7">
        <v>210.179993</v>
      </c>
      <c r="E394" s="7">
        <v>205.71952899999999</v>
      </c>
      <c r="F394" s="7">
        <v>211.64999399999999</v>
      </c>
      <c r="G394" s="7">
        <v>209.75</v>
      </c>
      <c r="H394" s="8">
        <f t="shared" si="7"/>
        <v>-5.6458572460602163E-3</v>
      </c>
    </row>
    <row r="395" spans="2:8" x14ac:dyDescent="0.2">
      <c r="B395" s="5">
        <v>44766</v>
      </c>
      <c r="C395" s="6" t="s">
        <v>15</v>
      </c>
      <c r="D395" s="7">
        <v>208</v>
      </c>
      <c r="E395" s="7">
        <v>203.58580000000001</v>
      </c>
      <c r="F395" s="7">
        <v>210.36999499999999</v>
      </c>
      <c r="G395" s="7">
        <v>207.60000600000001</v>
      </c>
      <c r="H395" s="8">
        <f t="shared" si="7"/>
        <v>-1.0426193737508192E-2</v>
      </c>
    </row>
    <row r="396" spans="2:8" x14ac:dyDescent="0.2">
      <c r="B396" s="5">
        <v>44769</v>
      </c>
      <c r="C396" s="6" t="s">
        <v>15</v>
      </c>
      <c r="D396" s="7">
        <v>206.78999300000001</v>
      </c>
      <c r="E396" s="7">
        <v>202.40147200000001</v>
      </c>
      <c r="F396" s="7">
        <v>207.550003</v>
      </c>
      <c r="G396" s="7">
        <v>206.259995</v>
      </c>
      <c r="H396" s="8">
        <f t="shared" si="7"/>
        <v>-5.8343275327135966E-3</v>
      </c>
    </row>
    <row r="397" spans="2:8" x14ac:dyDescent="0.2">
      <c r="B397" s="5">
        <v>44770</v>
      </c>
      <c r="C397" s="6" t="s">
        <v>15</v>
      </c>
      <c r="D397" s="7">
        <v>209.33000200000001</v>
      </c>
      <c r="E397" s="7">
        <v>204.88757699999999</v>
      </c>
      <c r="F397" s="7">
        <v>209.5</v>
      </c>
      <c r="G397" s="7">
        <v>206.800003</v>
      </c>
      <c r="H397" s="8">
        <f t="shared" si="7"/>
        <v>1.2208213717267317E-2</v>
      </c>
    </row>
    <row r="398" spans="2:8" x14ac:dyDescent="0.2">
      <c r="B398" s="5">
        <v>44771</v>
      </c>
      <c r="C398" s="6" t="s">
        <v>15</v>
      </c>
      <c r="D398" s="7">
        <v>210.770004</v>
      </c>
      <c r="E398" s="7">
        <v>206.29701900000001</v>
      </c>
      <c r="F398" s="7">
        <v>211.03999300000001</v>
      </c>
      <c r="G398" s="7">
        <v>209.30999800000001</v>
      </c>
      <c r="H398" s="8">
        <f t="shared" si="7"/>
        <v>6.8555463110578051E-3</v>
      </c>
    </row>
    <row r="399" spans="2:8" x14ac:dyDescent="0.2">
      <c r="B399" s="5">
        <v>44772</v>
      </c>
      <c r="C399" s="6" t="s">
        <v>15</v>
      </c>
      <c r="D399" s="7">
        <v>210.820007</v>
      </c>
      <c r="E399" s="7">
        <v>206.34596099999999</v>
      </c>
      <c r="F399" s="7">
        <v>211.020004</v>
      </c>
      <c r="G399" s="7">
        <v>209.41999799999999</v>
      </c>
      <c r="H399" s="8">
        <f t="shared" si="7"/>
        <v>2.3721232446251571E-4</v>
      </c>
    </row>
    <row r="400" spans="2:8" x14ac:dyDescent="0.2">
      <c r="B400" s="5">
        <v>44773</v>
      </c>
      <c r="C400" s="6" t="s">
        <v>15</v>
      </c>
      <c r="D400" s="7">
        <v>210.5</v>
      </c>
      <c r="E400" s="7">
        <v>206.03274500000001</v>
      </c>
      <c r="F400" s="7">
        <v>211.449997</v>
      </c>
      <c r="G400" s="7">
        <v>210.16000399999999</v>
      </c>
      <c r="H400" s="8">
        <f t="shared" si="7"/>
        <v>-1.5190699988797394E-3</v>
      </c>
    </row>
    <row r="401" spans="2:8" x14ac:dyDescent="0.2">
      <c r="B401" s="5">
        <v>44776</v>
      </c>
      <c r="C401" s="6" t="s">
        <v>15</v>
      </c>
      <c r="D401" s="7">
        <v>209.78999300000001</v>
      </c>
      <c r="E401" s="7">
        <v>205.337806</v>
      </c>
      <c r="F401" s="7">
        <v>210.529999</v>
      </c>
      <c r="G401" s="7">
        <v>208.64999399999999</v>
      </c>
      <c r="H401" s="8">
        <f t="shared" si="7"/>
        <v>-3.3786553723369338E-3</v>
      </c>
    </row>
    <row r="402" spans="2:8" x14ac:dyDescent="0.2">
      <c r="B402" s="5">
        <v>44777</v>
      </c>
      <c r="C402" s="6" t="s">
        <v>15</v>
      </c>
      <c r="D402" s="7">
        <v>209.38000500000001</v>
      </c>
      <c r="E402" s="7">
        <v>204.93651800000001</v>
      </c>
      <c r="F402" s="7">
        <v>210.25</v>
      </c>
      <c r="G402" s="7">
        <v>208.800003</v>
      </c>
      <c r="H402" s="8">
        <f t="shared" si="7"/>
        <v>-1.9561942071093493E-3</v>
      </c>
    </row>
    <row r="403" spans="2:8" x14ac:dyDescent="0.2">
      <c r="B403" s="5">
        <v>44778</v>
      </c>
      <c r="C403" s="6" t="s">
        <v>15</v>
      </c>
      <c r="D403" s="7">
        <v>210.070007</v>
      </c>
      <c r="E403" s="7">
        <v>205.61187799999999</v>
      </c>
      <c r="F403" s="7">
        <v>211.30999800000001</v>
      </c>
      <c r="G403" s="7">
        <v>209.729996</v>
      </c>
      <c r="H403" s="8">
        <f t="shared" si="7"/>
        <v>3.2900413971927861E-3</v>
      </c>
    </row>
    <row r="404" spans="2:8" x14ac:dyDescent="0.2">
      <c r="B404" s="5">
        <v>44779</v>
      </c>
      <c r="C404" s="6" t="s">
        <v>15</v>
      </c>
      <c r="D404" s="7">
        <v>208.35000600000001</v>
      </c>
      <c r="E404" s="7">
        <v>203.92837800000001</v>
      </c>
      <c r="F404" s="7">
        <v>210.41999799999999</v>
      </c>
      <c r="G404" s="7">
        <v>207.64999399999999</v>
      </c>
      <c r="H404" s="8">
        <f t="shared" si="7"/>
        <v>-8.2214603227728725E-3</v>
      </c>
    </row>
    <row r="405" spans="2:8" x14ac:dyDescent="0.2">
      <c r="B405" s="5">
        <v>44780</v>
      </c>
      <c r="C405" s="6" t="s">
        <v>15</v>
      </c>
      <c r="D405" s="7">
        <v>207.949997</v>
      </c>
      <c r="E405" s="7">
        <v>203.536858</v>
      </c>
      <c r="F405" s="7">
        <v>208.33999600000001</v>
      </c>
      <c r="G405" s="7">
        <v>206.86999499999999</v>
      </c>
      <c r="H405" s="8">
        <f t="shared" si="7"/>
        <v>-1.9217350875667734E-3</v>
      </c>
    </row>
    <row r="406" spans="2:8" x14ac:dyDescent="0.2">
      <c r="B406" s="5">
        <v>44783</v>
      </c>
      <c r="C406" s="6" t="s">
        <v>15</v>
      </c>
      <c r="D406" s="7">
        <v>210.570007</v>
      </c>
      <c r="E406" s="7">
        <v>206.10126700000001</v>
      </c>
      <c r="F406" s="7">
        <v>210.66999799999999</v>
      </c>
      <c r="G406" s="7">
        <v>209.279999</v>
      </c>
      <c r="H406" s="8">
        <f t="shared" si="7"/>
        <v>1.2520526503278673E-2</v>
      </c>
    </row>
    <row r="407" spans="2:8" x14ac:dyDescent="0.2">
      <c r="B407" s="5">
        <v>44784</v>
      </c>
      <c r="C407" s="6" t="s">
        <v>15</v>
      </c>
      <c r="D407" s="7">
        <v>208.66000399999999</v>
      </c>
      <c r="E407" s="7">
        <v>204.231797</v>
      </c>
      <c r="F407" s="7">
        <v>209.470001</v>
      </c>
      <c r="G407" s="7">
        <v>207.759995</v>
      </c>
      <c r="H407" s="8">
        <f t="shared" si="7"/>
        <v>-9.112026785176839E-3</v>
      </c>
    </row>
    <row r="408" spans="2:8" x14ac:dyDescent="0.2">
      <c r="B408" s="5">
        <v>44785</v>
      </c>
      <c r="C408" s="6" t="s">
        <v>15</v>
      </c>
      <c r="D408" s="7">
        <v>208.91999799999999</v>
      </c>
      <c r="E408" s="7">
        <v>204.48627400000001</v>
      </c>
      <c r="F408" s="7">
        <v>209.13999899999999</v>
      </c>
      <c r="G408" s="7">
        <v>205.36000100000001</v>
      </c>
      <c r="H408" s="8">
        <f t="shared" si="7"/>
        <v>1.245244832266888E-3</v>
      </c>
    </row>
    <row r="409" spans="2:8" x14ac:dyDescent="0.2">
      <c r="B409" s="5">
        <v>44786</v>
      </c>
      <c r="C409" s="6" t="s">
        <v>15</v>
      </c>
      <c r="D409" s="7">
        <v>208.66000399999999</v>
      </c>
      <c r="E409" s="7">
        <v>204.231797</v>
      </c>
      <c r="F409" s="7">
        <v>209.550003</v>
      </c>
      <c r="G409" s="7">
        <v>208.009995</v>
      </c>
      <c r="H409" s="8">
        <f t="shared" si="7"/>
        <v>-1.245244832266837E-3</v>
      </c>
    </row>
    <row r="410" spans="2:8" x14ac:dyDescent="0.2">
      <c r="B410" s="5">
        <v>44787</v>
      </c>
      <c r="C410" s="6" t="s">
        <v>15</v>
      </c>
      <c r="D410" s="7">
        <v>209.41999799999999</v>
      </c>
      <c r="E410" s="7">
        <v>204.975663</v>
      </c>
      <c r="F410" s="7">
        <v>209.509995</v>
      </c>
      <c r="G410" s="7">
        <v>208.259995</v>
      </c>
      <c r="H410" s="8">
        <f t="shared" si="7"/>
        <v>3.6356464242540713E-3</v>
      </c>
    </row>
    <row r="411" spans="2:8" x14ac:dyDescent="0.2">
      <c r="B411" s="5">
        <v>44790</v>
      </c>
      <c r="C411" s="6" t="s">
        <v>15</v>
      </c>
      <c r="D411" s="7">
        <v>210.58999600000001</v>
      </c>
      <c r="E411" s="7">
        <v>206.12083100000001</v>
      </c>
      <c r="F411" s="7">
        <v>210.58999600000001</v>
      </c>
      <c r="G411" s="7">
        <v>208.16000399999999</v>
      </c>
      <c r="H411" s="8">
        <f t="shared" si="7"/>
        <v>5.5713000661476988E-3</v>
      </c>
    </row>
    <row r="412" spans="2:8" x14ac:dyDescent="0.2">
      <c r="B412" s="5">
        <v>44791</v>
      </c>
      <c r="C412" s="6" t="s">
        <v>15</v>
      </c>
      <c r="D412" s="7">
        <v>209.979996</v>
      </c>
      <c r="E412" s="7">
        <v>205.523776</v>
      </c>
      <c r="F412" s="7">
        <v>210.679993</v>
      </c>
      <c r="G412" s="7">
        <v>209.699997</v>
      </c>
      <c r="H412" s="8">
        <f t="shared" si="7"/>
        <v>-2.9008295433610594E-3</v>
      </c>
    </row>
    <row r="413" spans="2:8" x14ac:dyDescent="0.2">
      <c r="B413" s="5">
        <v>44792</v>
      </c>
      <c r="C413" s="6" t="s">
        <v>15</v>
      </c>
      <c r="D413" s="7">
        <v>208.320007</v>
      </c>
      <c r="E413" s="7">
        <v>203.89901599999999</v>
      </c>
      <c r="F413" s="7">
        <v>210.009995</v>
      </c>
      <c r="G413" s="7">
        <v>207.35000600000001</v>
      </c>
      <c r="H413" s="8">
        <f t="shared" si="7"/>
        <v>-7.9368738668764028E-3</v>
      </c>
    </row>
    <row r="414" spans="2:8" x14ac:dyDescent="0.2">
      <c r="B414" s="5">
        <v>44793</v>
      </c>
      <c r="C414" s="6" t="s">
        <v>15</v>
      </c>
      <c r="D414" s="7">
        <v>203.970001</v>
      </c>
      <c r="E414" s="7">
        <v>199.64132599999999</v>
      </c>
      <c r="F414" s="7">
        <v>208.28999300000001</v>
      </c>
      <c r="G414" s="7">
        <v>203.89999399999999</v>
      </c>
      <c r="H414" s="8">
        <f t="shared" si="7"/>
        <v>-2.1102465138847427E-2</v>
      </c>
    </row>
    <row r="415" spans="2:8" x14ac:dyDescent="0.2">
      <c r="B415" s="5">
        <v>44794</v>
      </c>
      <c r="C415" s="6" t="s">
        <v>15</v>
      </c>
      <c r="D415" s="7">
        <v>197.83000200000001</v>
      </c>
      <c r="E415" s="7">
        <v>193.631631</v>
      </c>
      <c r="F415" s="7">
        <v>203.94000199999999</v>
      </c>
      <c r="G415" s="7">
        <v>197.520004</v>
      </c>
      <c r="H415" s="8">
        <f t="shared" si="7"/>
        <v>-3.0564841773523175E-2</v>
      </c>
    </row>
    <row r="416" spans="2:8" x14ac:dyDescent="0.2">
      <c r="B416" s="5">
        <v>44797</v>
      </c>
      <c r="C416" s="6" t="s">
        <v>15</v>
      </c>
      <c r="D416" s="7">
        <v>189.5</v>
      </c>
      <c r="E416" s="7">
        <v>185.478409</v>
      </c>
      <c r="F416" s="7">
        <v>197.479996</v>
      </c>
      <c r="G416" s="7">
        <v>182.39999399999999</v>
      </c>
      <c r="H416" s="8">
        <f t="shared" si="7"/>
        <v>-4.3019063019107663E-2</v>
      </c>
    </row>
    <row r="417" spans="2:8" x14ac:dyDescent="0.2">
      <c r="B417" s="5">
        <v>44798</v>
      </c>
      <c r="C417" s="6" t="s">
        <v>15</v>
      </c>
      <c r="D417" s="7">
        <v>187.270004</v>
      </c>
      <c r="E417" s="7">
        <v>183.295739</v>
      </c>
      <c r="F417" s="7">
        <v>195.449997</v>
      </c>
      <c r="G417" s="7">
        <v>186.91999799999999</v>
      </c>
      <c r="H417" s="8">
        <f t="shared" si="7"/>
        <v>-1.1837573211509399E-2</v>
      </c>
    </row>
    <row r="418" spans="2:8" x14ac:dyDescent="0.2">
      <c r="B418" s="5">
        <v>44799</v>
      </c>
      <c r="C418" s="6" t="s">
        <v>15</v>
      </c>
      <c r="D418" s="7">
        <v>194.46000699999999</v>
      </c>
      <c r="E418" s="7">
        <v>190.33315400000001</v>
      </c>
      <c r="F418" s="7">
        <v>194.78999300000001</v>
      </c>
      <c r="G418" s="7">
        <v>188.36999499999999</v>
      </c>
      <c r="H418" s="8">
        <f t="shared" si="7"/>
        <v>3.7675070250071184E-2</v>
      </c>
    </row>
    <row r="419" spans="2:8" x14ac:dyDescent="0.2">
      <c r="B419" s="5">
        <v>44800</v>
      </c>
      <c r="C419" s="6" t="s">
        <v>15</v>
      </c>
      <c r="D419" s="7">
        <v>199.270004</v>
      </c>
      <c r="E419" s="7">
        <v>195.04107300000001</v>
      </c>
      <c r="F419" s="7">
        <v>199.41999799999999</v>
      </c>
      <c r="G419" s="7">
        <v>195.21000699999999</v>
      </c>
      <c r="H419" s="8">
        <f t="shared" si="7"/>
        <v>2.4434188372629825E-2</v>
      </c>
    </row>
    <row r="420" spans="2:8" x14ac:dyDescent="0.2">
      <c r="B420" s="5">
        <v>44801</v>
      </c>
      <c r="C420" s="6" t="s">
        <v>15</v>
      </c>
      <c r="D420" s="7">
        <v>199.279999</v>
      </c>
      <c r="E420" s="7">
        <v>195.05085600000001</v>
      </c>
      <c r="F420" s="7">
        <v>199.83999600000001</v>
      </c>
      <c r="G420" s="7">
        <v>197.91999799999999</v>
      </c>
      <c r="H420" s="8">
        <f t="shared" si="7"/>
        <v>5.0157407907002786E-5</v>
      </c>
    </row>
    <row r="421" spans="2:8" x14ac:dyDescent="0.2">
      <c r="B421" s="5">
        <v>44804</v>
      </c>
      <c r="C421" s="6" t="s">
        <v>15</v>
      </c>
      <c r="D421" s="7">
        <v>197.66999799999999</v>
      </c>
      <c r="E421" s="7">
        <v>193.47502299999999</v>
      </c>
      <c r="F421" s="7">
        <v>199.13000500000001</v>
      </c>
      <c r="G421" s="7">
        <v>197.009995</v>
      </c>
      <c r="H421" s="8">
        <f t="shared" si="7"/>
        <v>-8.1119005264148111E-3</v>
      </c>
    </row>
    <row r="422" spans="2:8" x14ac:dyDescent="0.2">
      <c r="B422" s="5">
        <v>44805</v>
      </c>
      <c r="C422" s="6" t="s">
        <v>15</v>
      </c>
      <c r="D422" s="7">
        <v>191.770004</v>
      </c>
      <c r="E422" s="7">
        <v>187.70023900000001</v>
      </c>
      <c r="F422" s="7">
        <v>194.770004</v>
      </c>
      <c r="G422" s="7">
        <v>190.729996</v>
      </c>
      <c r="H422" s="8">
        <f t="shared" si="7"/>
        <v>-3.0302207134800307E-2</v>
      </c>
    </row>
    <row r="423" spans="2:8" x14ac:dyDescent="0.2">
      <c r="B423" s="5">
        <v>44806</v>
      </c>
      <c r="C423" s="6" t="s">
        <v>15</v>
      </c>
      <c r="D423" s="7">
        <v>195.41000399999999</v>
      </c>
      <c r="E423" s="7">
        <v>191.26299</v>
      </c>
      <c r="F423" s="7">
        <v>195.46000699999999</v>
      </c>
      <c r="G423" s="7">
        <v>192.41999799999999</v>
      </c>
      <c r="H423" s="8">
        <f t="shared" si="7"/>
        <v>1.8803175068583824E-2</v>
      </c>
    </row>
    <row r="424" spans="2:8" x14ac:dyDescent="0.2">
      <c r="B424" s="5">
        <v>44807</v>
      </c>
      <c r="C424" s="6" t="s">
        <v>15</v>
      </c>
      <c r="D424" s="7">
        <v>195.550003</v>
      </c>
      <c r="E424" s="7">
        <v>191.40001799999999</v>
      </c>
      <c r="F424" s="7">
        <v>198.050003</v>
      </c>
      <c r="G424" s="7">
        <v>194.96000699999999</v>
      </c>
      <c r="H424" s="8">
        <f t="shared" si="7"/>
        <v>7.1618109402908864E-4</v>
      </c>
    </row>
    <row r="425" spans="2:8" x14ac:dyDescent="0.2">
      <c r="B425" s="5">
        <v>44808</v>
      </c>
      <c r="C425" s="6" t="s">
        <v>15</v>
      </c>
      <c r="D425" s="7">
        <v>192.58999600000001</v>
      </c>
      <c r="E425" s="7">
        <v>188.50282899999999</v>
      </c>
      <c r="F425" s="7">
        <v>193.86000100000001</v>
      </c>
      <c r="G425" s="7">
        <v>191.61000100000001</v>
      </c>
      <c r="H425" s="8">
        <f t="shared" si="7"/>
        <v>-1.5252558329729731E-2</v>
      </c>
    </row>
    <row r="426" spans="2:8" x14ac:dyDescent="0.2">
      <c r="B426" s="5">
        <v>44812</v>
      </c>
      <c r="C426" s="6" t="s">
        <v>15</v>
      </c>
      <c r="D426" s="7">
        <v>197.429993</v>
      </c>
      <c r="E426" s="7">
        <v>193.24011100000001</v>
      </c>
      <c r="F426" s="7">
        <v>197.61000100000001</v>
      </c>
      <c r="G426" s="7">
        <v>195.16999799999999</v>
      </c>
      <c r="H426" s="8">
        <f t="shared" si="7"/>
        <v>2.4820499368269067E-2</v>
      </c>
    </row>
    <row r="427" spans="2:8" x14ac:dyDescent="0.2">
      <c r="B427" s="5">
        <v>44813</v>
      </c>
      <c r="C427" s="6" t="s">
        <v>15</v>
      </c>
      <c r="D427" s="7">
        <v>194.78999300000001</v>
      </c>
      <c r="E427" s="7">
        <v>190.656138</v>
      </c>
      <c r="F427" s="7">
        <v>199.470001</v>
      </c>
      <c r="G427" s="7">
        <v>194.35000600000001</v>
      </c>
      <c r="H427" s="8">
        <f t="shared" si="7"/>
        <v>-1.3462033194003842E-2</v>
      </c>
    </row>
    <row r="428" spans="2:8" x14ac:dyDescent="0.2">
      <c r="B428" s="5">
        <v>44814</v>
      </c>
      <c r="C428" s="6" t="s">
        <v>15</v>
      </c>
      <c r="D428" s="7">
        <v>195.85000600000001</v>
      </c>
      <c r="E428" s="7">
        <v>191.69365500000001</v>
      </c>
      <c r="F428" s="7">
        <v>197.220001</v>
      </c>
      <c r="G428" s="7">
        <v>194.25</v>
      </c>
      <c r="H428" s="8">
        <f t="shared" si="7"/>
        <v>5.4270700050070477E-3</v>
      </c>
    </row>
    <row r="429" spans="2:8" x14ac:dyDescent="0.2">
      <c r="B429" s="5">
        <v>44815</v>
      </c>
      <c r="C429" s="6" t="s">
        <v>15</v>
      </c>
      <c r="D429" s="7">
        <v>196.740005</v>
      </c>
      <c r="E429" s="7">
        <v>192.56476699999999</v>
      </c>
      <c r="F429" s="7">
        <v>196.820007</v>
      </c>
      <c r="G429" s="7">
        <v>194.529999</v>
      </c>
      <c r="H429" s="8">
        <f t="shared" si="7"/>
        <v>4.5339981763473621E-3</v>
      </c>
    </row>
    <row r="430" spans="2:8" x14ac:dyDescent="0.2">
      <c r="B430" s="5">
        <v>44818</v>
      </c>
      <c r="C430" s="6" t="s">
        <v>15</v>
      </c>
      <c r="D430" s="7">
        <v>196.009995</v>
      </c>
      <c r="E430" s="7">
        <v>191.85024799999999</v>
      </c>
      <c r="F430" s="7">
        <v>197.009995</v>
      </c>
      <c r="G430" s="7">
        <v>195.429993</v>
      </c>
      <c r="H430" s="8">
        <f t="shared" si="7"/>
        <v>-3.717439719930252E-3</v>
      </c>
    </row>
    <row r="431" spans="2:8" x14ac:dyDescent="0.2">
      <c r="B431" s="5">
        <v>44819</v>
      </c>
      <c r="C431" s="6" t="s">
        <v>15</v>
      </c>
      <c r="D431" s="7">
        <v>198.449997</v>
      </c>
      <c r="E431" s="7">
        <v>194.23846800000001</v>
      </c>
      <c r="F431" s="7">
        <v>198.990005</v>
      </c>
      <c r="G431" s="7">
        <v>195.96000699999999</v>
      </c>
      <c r="H431" s="8">
        <f t="shared" si="7"/>
        <v>1.2371511321416055E-2</v>
      </c>
    </row>
    <row r="432" spans="2:8" x14ac:dyDescent="0.2">
      <c r="B432" s="5">
        <v>44820</v>
      </c>
      <c r="C432" s="6" t="s">
        <v>15</v>
      </c>
      <c r="D432" s="7">
        <v>200.179993</v>
      </c>
      <c r="E432" s="7">
        <v>195.93174999999999</v>
      </c>
      <c r="F432" s="7">
        <v>200.41000399999999</v>
      </c>
      <c r="G432" s="7">
        <v>198.41000399999999</v>
      </c>
      <c r="H432" s="8">
        <f t="shared" si="7"/>
        <v>8.679763614018567E-3</v>
      </c>
    </row>
    <row r="433" spans="2:8" x14ac:dyDescent="0.2">
      <c r="B433" s="5">
        <v>44821</v>
      </c>
      <c r="C433" s="6" t="s">
        <v>15</v>
      </c>
      <c r="D433" s="7">
        <v>199.729996</v>
      </c>
      <c r="E433" s="7">
        <v>195.49130299999999</v>
      </c>
      <c r="F433" s="7">
        <v>202.88999899999999</v>
      </c>
      <c r="G433" s="7">
        <v>199.279999</v>
      </c>
      <c r="H433" s="8">
        <f t="shared" si="7"/>
        <v>-2.2504918017427489E-3</v>
      </c>
    </row>
    <row r="434" spans="2:8" x14ac:dyDescent="0.2">
      <c r="B434" s="5">
        <v>44822</v>
      </c>
      <c r="C434" s="6" t="s">
        <v>15</v>
      </c>
      <c r="D434" s="7">
        <v>195.449997</v>
      </c>
      <c r="E434" s="7">
        <v>192.296684</v>
      </c>
      <c r="F434" s="7">
        <v>198.679993</v>
      </c>
      <c r="G434" s="7">
        <v>194.96000699999999</v>
      </c>
      <c r="H434" s="8">
        <f t="shared" si="7"/>
        <v>-1.6476483946087202E-2</v>
      </c>
    </row>
    <row r="435" spans="2:8" x14ac:dyDescent="0.2">
      <c r="B435" s="5">
        <v>44825</v>
      </c>
      <c r="C435" s="6" t="s">
        <v>15</v>
      </c>
      <c r="D435" s="7">
        <v>196.46000699999999</v>
      </c>
      <c r="E435" s="7">
        <v>193.29039800000001</v>
      </c>
      <c r="F435" s="7">
        <v>197.679993</v>
      </c>
      <c r="G435" s="7">
        <v>195.21000699999999</v>
      </c>
      <c r="H435" s="8">
        <f t="shared" si="7"/>
        <v>5.154302342448124E-3</v>
      </c>
    </row>
    <row r="436" spans="2:8" x14ac:dyDescent="0.2">
      <c r="B436" s="5">
        <v>44826</v>
      </c>
      <c r="C436" s="6" t="s">
        <v>15</v>
      </c>
      <c r="D436" s="7">
        <v>193.89999399999999</v>
      </c>
      <c r="E436" s="7">
        <v>190.77168800000001</v>
      </c>
      <c r="F436" s="7">
        <v>194.46000699999999</v>
      </c>
      <c r="G436" s="7">
        <v>192.55999800000001</v>
      </c>
      <c r="H436" s="8">
        <f t="shared" si="7"/>
        <v>-1.3116348639051359E-2</v>
      </c>
    </row>
    <row r="437" spans="2:8" x14ac:dyDescent="0.2">
      <c r="B437" s="5">
        <v>44827</v>
      </c>
      <c r="C437" s="6" t="s">
        <v>15</v>
      </c>
      <c r="D437" s="7">
        <v>193.60000600000001</v>
      </c>
      <c r="E437" s="7">
        <v>190.47654</v>
      </c>
      <c r="F437" s="7">
        <v>194.66999799999999</v>
      </c>
      <c r="G437" s="7">
        <v>192.91000399999999</v>
      </c>
      <c r="H437" s="8">
        <f t="shared" si="7"/>
        <v>-1.5483248827766578E-3</v>
      </c>
    </row>
    <row r="438" spans="2:8" x14ac:dyDescent="0.2">
      <c r="B438" s="5">
        <v>44828</v>
      </c>
      <c r="C438" s="6" t="s">
        <v>15</v>
      </c>
      <c r="D438" s="7">
        <v>192.89999399999999</v>
      </c>
      <c r="E438" s="7">
        <v>189.78782100000001</v>
      </c>
      <c r="F438" s="7">
        <v>193.449997</v>
      </c>
      <c r="G438" s="7">
        <v>190.55999800000001</v>
      </c>
      <c r="H438" s="8">
        <f t="shared" si="7"/>
        <v>-3.6223208047024996E-3</v>
      </c>
    </row>
    <row r="439" spans="2:8" x14ac:dyDescent="0.2">
      <c r="B439" s="5">
        <v>44829</v>
      </c>
      <c r="C439" s="6" t="s">
        <v>15</v>
      </c>
      <c r="D439" s="7">
        <v>192.86999499999999</v>
      </c>
      <c r="E439" s="7">
        <v>189.758307</v>
      </c>
      <c r="F439" s="7">
        <v>195</v>
      </c>
      <c r="G439" s="7">
        <v>191.80999800000001</v>
      </c>
      <c r="H439" s="8">
        <f t="shared" si="7"/>
        <v>-1.5552259861011905E-4</v>
      </c>
    </row>
    <row r="440" spans="2:8" x14ac:dyDescent="0.2">
      <c r="B440" s="5">
        <v>44832</v>
      </c>
      <c r="C440" s="6" t="s">
        <v>15</v>
      </c>
      <c r="D440" s="7">
        <v>188.009995</v>
      </c>
      <c r="E440" s="7">
        <v>184.97671500000001</v>
      </c>
      <c r="F440" s="7">
        <v>191.91000399999999</v>
      </c>
      <c r="G440" s="7">
        <v>187.63999899999999</v>
      </c>
      <c r="H440" s="8">
        <f t="shared" si="7"/>
        <v>-2.55212416817952E-2</v>
      </c>
    </row>
    <row r="441" spans="2:8" x14ac:dyDescent="0.2">
      <c r="B441" s="5">
        <v>44833</v>
      </c>
      <c r="C441" s="6" t="s">
        <v>15</v>
      </c>
      <c r="D441" s="7">
        <v>188.11999499999999</v>
      </c>
      <c r="E441" s="7">
        <v>185.08494099999999</v>
      </c>
      <c r="F441" s="7">
        <v>189.740005</v>
      </c>
      <c r="G441" s="7">
        <v>186.929993</v>
      </c>
      <c r="H441" s="8">
        <f t="shared" si="7"/>
        <v>5.8490795428689057E-4</v>
      </c>
    </row>
    <row r="442" spans="2:8" x14ac:dyDescent="0.2">
      <c r="B442" s="5">
        <v>44834</v>
      </c>
      <c r="C442" s="6" t="s">
        <v>15</v>
      </c>
      <c r="D442" s="7">
        <v>191.63000500000001</v>
      </c>
      <c r="E442" s="7">
        <v>188.53832199999999</v>
      </c>
      <c r="F442" s="7">
        <v>191.83000200000001</v>
      </c>
      <c r="G442" s="7">
        <v>189.44000199999999</v>
      </c>
      <c r="H442" s="8">
        <f t="shared" si="7"/>
        <v>1.8486425714122776E-2</v>
      </c>
    </row>
    <row r="443" spans="2:8" x14ac:dyDescent="0.2">
      <c r="B443" s="5">
        <v>44835</v>
      </c>
      <c r="C443" s="6" t="s">
        <v>15</v>
      </c>
      <c r="D443" s="7">
        <v>192.13000500000001</v>
      </c>
      <c r="E443" s="7">
        <v>189.03025500000001</v>
      </c>
      <c r="F443" s="7">
        <v>192.490005</v>
      </c>
      <c r="G443" s="7">
        <v>189.820007</v>
      </c>
      <c r="H443" s="8">
        <f t="shared" si="7"/>
        <v>2.6057956531645729E-3</v>
      </c>
    </row>
    <row r="444" spans="2:8" x14ac:dyDescent="0.2">
      <c r="B444" s="5">
        <v>44836</v>
      </c>
      <c r="C444" s="6" t="s">
        <v>15</v>
      </c>
      <c r="D444" s="7">
        <v>195</v>
      </c>
      <c r="E444" s="7">
        <v>191.85394700000001</v>
      </c>
      <c r="F444" s="7">
        <v>195.029999</v>
      </c>
      <c r="G444" s="7">
        <v>189.11999499999999</v>
      </c>
      <c r="H444" s="8">
        <f t="shared" si="7"/>
        <v>1.4827308232553033E-2</v>
      </c>
    </row>
    <row r="445" spans="2:8" x14ac:dyDescent="0.2">
      <c r="B445" s="5">
        <v>44839</v>
      </c>
      <c r="C445" s="6" t="s">
        <v>15</v>
      </c>
      <c r="D445" s="7">
        <v>198.470001</v>
      </c>
      <c r="E445" s="7">
        <v>195.26796400000001</v>
      </c>
      <c r="F445" s="7">
        <v>198.740005</v>
      </c>
      <c r="G445" s="7">
        <v>196.33000200000001</v>
      </c>
      <c r="H445" s="8">
        <f t="shared" si="7"/>
        <v>1.7638399763282266E-2</v>
      </c>
    </row>
    <row r="446" spans="2:8" x14ac:dyDescent="0.2">
      <c r="B446" s="5">
        <v>44840</v>
      </c>
      <c r="C446" s="6" t="s">
        <v>15</v>
      </c>
      <c r="D446" s="7">
        <v>197.78999300000001</v>
      </c>
      <c r="E446" s="7">
        <v>194.598927</v>
      </c>
      <c r="F446" s="7">
        <v>198.979996</v>
      </c>
      <c r="G446" s="7">
        <v>197</v>
      </c>
      <c r="H446" s="8">
        <f t="shared" si="7"/>
        <v>-3.432133747134082E-3</v>
      </c>
    </row>
    <row r="447" spans="2:8" x14ac:dyDescent="0.2">
      <c r="B447" s="5">
        <v>44841</v>
      </c>
      <c r="C447" s="6" t="s">
        <v>15</v>
      </c>
      <c r="D447" s="7">
        <v>199.41000399999999</v>
      </c>
      <c r="E447" s="7">
        <v>196.192801</v>
      </c>
      <c r="F447" s="7">
        <v>199.83000200000001</v>
      </c>
      <c r="G447" s="7">
        <v>197.479996</v>
      </c>
      <c r="H447" s="8">
        <f t="shared" si="7"/>
        <v>8.1571984451340729E-3</v>
      </c>
    </row>
    <row r="448" spans="2:8" x14ac:dyDescent="0.2">
      <c r="B448" s="5">
        <v>44842</v>
      </c>
      <c r="C448" s="6" t="s">
        <v>15</v>
      </c>
      <c r="D448" s="7">
        <v>201.21000699999999</v>
      </c>
      <c r="E448" s="7">
        <v>197.963764</v>
      </c>
      <c r="F448" s="7">
        <v>201.550003</v>
      </c>
      <c r="G448" s="7">
        <v>198.58999600000001</v>
      </c>
      <c r="H448" s="8">
        <f t="shared" si="7"/>
        <v>8.9861495379103748E-3</v>
      </c>
    </row>
    <row r="449" spans="2:8" x14ac:dyDescent="0.2">
      <c r="B449" s="5">
        <v>44843</v>
      </c>
      <c r="C449" s="6" t="s">
        <v>15</v>
      </c>
      <c r="D449" s="7">
        <v>201.33000200000001</v>
      </c>
      <c r="E449" s="7">
        <v>198.08182300000001</v>
      </c>
      <c r="F449" s="7">
        <v>201.89999399999999</v>
      </c>
      <c r="G449" s="7">
        <v>200.58000200000001</v>
      </c>
      <c r="H449" s="8">
        <f t="shared" si="7"/>
        <v>5.9618896092848066E-4</v>
      </c>
    </row>
    <row r="450" spans="2:8" x14ac:dyDescent="0.2">
      <c r="B450" s="5">
        <v>44846</v>
      </c>
      <c r="C450" s="6" t="s">
        <v>15</v>
      </c>
      <c r="D450" s="7">
        <v>201.520004</v>
      </c>
      <c r="E450" s="7">
        <v>198.26875999999999</v>
      </c>
      <c r="F450" s="7">
        <v>201.759995</v>
      </c>
      <c r="G450" s="7">
        <v>200.91000399999999</v>
      </c>
      <c r="H450" s="8">
        <f t="shared" si="7"/>
        <v>9.4329122690521767E-4</v>
      </c>
    </row>
    <row r="451" spans="2:8" x14ac:dyDescent="0.2">
      <c r="B451" s="5">
        <v>44847</v>
      </c>
      <c r="C451" s="6" t="s">
        <v>15</v>
      </c>
      <c r="D451" s="7">
        <v>200.25</v>
      </c>
      <c r="E451" s="7">
        <v>197.01924500000001</v>
      </c>
      <c r="F451" s="7">
        <v>202.16000399999999</v>
      </c>
      <c r="G451" s="7">
        <v>200.050003</v>
      </c>
      <c r="H451" s="8">
        <f t="shared" si="7"/>
        <v>-6.3220697110403399E-3</v>
      </c>
    </row>
    <row r="452" spans="2:8" x14ac:dyDescent="0.2">
      <c r="B452" s="5">
        <v>44848</v>
      </c>
      <c r="C452" s="6" t="s">
        <v>15</v>
      </c>
      <c r="D452" s="7">
        <v>199.28999300000001</v>
      </c>
      <c r="E452" s="7">
        <v>196.074727</v>
      </c>
      <c r="F452" s="7">
        <v>200.86999499999999</v>
      </c>
      <c r="G452" s="7">
        <v>198.94000199999999</v>
      </c>
      <c r="H452" s="8">
        <f t="shared" ref="H452:H515" si="8">IF(C452=C451, LN(E452/E451), "")</f>
        <v>-4.8055675485313273E-3</v>
      </c>
    </row>
    <row r="453" spans="2:8" x14ac:dyDescent="0.2">
      <c r="B453" s="5">
        <v>44849</v>
      </c>
      <c r="C453" s="6" t="s">
        <v>15</v>
      </c>
      <c r="D453" s="7">
        <v>202.35000600000001</v>
      </c>
      <c r="E453" s="7">
        <v>199.08537100000001</v>
      </c>
      <c r="F453" s="7">
        <v>202.36000100000001</v>
      </c>
      <c r="G453" s="7">
        <v>199.63999899999999</v>
      </c>
      <c r="H453" s="8">
        <f t="shared" si="8"/>
        <v>1.523788595690659E-2</v>
      </c>
    </row>
    <row r="454" spans="2:8" x14ac:dyDescent="0.2">
      <c r="B454" s="5">
        <v>44850</v>
      </c>
      <c r="C454" s="6" t="s">
        <v>15</v>
      </c>
      <c r="D454" s="7">
        <v>203.270004</v>
      </c>
      <c r="E454" s="7">
        <v>199.99052599999999</v>
      </c>
      <c r="F454" s="7">
        <v>203.28999300000001</v>
      </c>
      <c r="G454" s="7">
        <v>201.91999799999999</v>
      </c>
      <c r="H454" s="8">
        <f t="shared" si="8"/>
        <v>4.5362626957408192E-3</v>
      </c>
    </row>
    <row r="455" spans="2:8" x14ac:dyDescent="0.2">
      <c r="B455" s="5">
        <v>44853</v>
      </c>
      <c r="C455" s="6" t="s">
        <v>15</v>
      </c>
      <c r="D455" s="7">
        <v>203.36999499999999</v>
      </c>
      <c r="E455" s="7">
        <v>200.08890400000001</v>
      </c>
      <c r="F455" s="7">
        <v>203.36999499999999</v>
      </c>
      <c r="G455" s="7">
        <v>202.13000500000001</v>
      </c>
      <c r="H455" s="8">
        <f t="shared" si="8"/>
        <v>4.9179235224778228E-4</v>
      </c>
    </row>
    <row r="456" spans="2:8" x14ac:dyDescent="0.2">
      <c r="B456" s="5">
        <v>44854</v>
      </c>
      <c r="C456" s="6" t="s">
        <v>15</v>
      </c>
      <c r="D456" s="7">
        <v>203.11000100000001</v>
      </c>
      <c r="E456" s="7">
        <v>199.83310399999999</v>
      </c>
      <c r="F456" s="7">
        <v>203.83999600000001</v>
      </c>
      <c r="G456" s="7">
        <v>202.550003</v>
      </c>
      <c r="H456" s="8">
        <f t="shared" si="8"/>
        <v>-1.2792496025090928E-3</v>
      </c>
    </row>
    <row r="457" spans="2:8" x14ac:dyDescent="0.2">
      <c r="B457" s="5">
        <v>44855</v>
      </c>
      <c r="C457" s="6" t="s">
        <v>15</v>
      </c>
      <c r="D457" s="7">
        <v>201.85000600000001</v>
      </c>
      <c r="E457" s="7">
        <v>198.59343799999999</v>
      </c>
      <c r="F457" s="7">
        <v>203.78999300000001</v>
      </c>
      <c r="G457" s="7">
        <v>201.64999399999999</v>
      </c>
      <c r="H457" s="8">
        <f t="shared" si="8"/>
        <v>-6.2228283996078639E-3</v>
      </c>
    </row>
    <row r="458" spans="2:8" x14ac:dyDescent="0.2">
      <c r="B458" s="5">
        <v>44856</v>
      </c>
      <c r="C458" s="6" t="s">
        <v>15</v>
      </c>
      <c r="D458" s="7">
        <v>205.259995</v>
      </c>
      <c r="E458" s="7">
        <v>201.94841099999999</v>
      </c>
      <c r="F458" s="7">
        <v>205.509995</v>
      </c>
      <c r="G458" s="7">
        <v>201.85000600000001</v>
      </c>
      <c r="H458" s="8">
        <f t="shared" si="8"/>
        <v>1.6752563918064452E-2</v>
      </c>
    </row>
    <row r="459" spans="2:8" x14ac:dyDescent="0.2">
      <c r="B459" s="5">
        <v>44857</v>
      </c>
      <c r="C459" s="6" t="s">
        <v>15</v>
      </c>
      <c r="D459" s="7">
        <v>207.509995</v>
      </c>
      <c r="E459" s="7">
        <v>204.16211000000001</v>
      </c>
      <c r="F459" s="7">
        <v>207.949997</v>
      </c>
      <c r="G459" s="7">
        <v>206.300003</v>
      </c>
      <c r="H459" s="8">
        <f t="shared" si="8"/>
        <v>1.090206144012899E-2</v>
      </c>
    </row>
    <row r="460" spans="2:8" x14ac:dyDescent="0.2">
      <c r="B460" s="5">
        <v>44860</v>
      </c>
      <c r="C460" s="6" t="s">
        <v>15</v>
      </c>
      <c r="D460" s="7">
        <v>207</v>
      </c>
      <c r="E460" s="7">
        <v>203.66034300000001</v>
      </c>
      <c r="F460" s="7">
        <v>207.36999499999999</v>
      </c>
      <c r="G460" s="7">
        <v>206.55999800000001</v>
      </c>
      <c r="H460" s="8">
        <f t="shared" si="8"/>
        <v>-2.460714212750906E-3</v>
      </c>
    </row>
    <row r="461" spans="2:8" x14ac:dyDescent="0.2">
      <c r="B461" s="5">
        <v>44861</v>
      </c>
      <c r="C461" s="6" t="s">
        <v>15</v>
      </c>
      <c r="D461" s="7">
        <v>206.60000600000001</v>
      </c>
      <c r="E461" s="7">
        <v>203.26680300000001</v>
      </c>
      <c r="F461" s="7">
        <v>207</v>
      </c>
      <c r="G461" s="7">
        <v>205.78999300000001</v>
      </c>
      <c r="H461" s="8">
        <f t="shared" si="8"/>
        <v>-1.9342043240875113E-3</v>
      </c>
    </row>
    <row r="462" spans="2:8" x14ac:dyDescent="0.2">
      <c r="B462" s="5">
        <v>44862</v>
      </c>
      <c r="C462" s="6" t="s">
        <v>15</v>
      </c>
      <c r="D462" s="7">
        <v>208.949997</v>
      </c>
      <c r="E462" s="7">
        <v>205.57888</v>
      </c>
      <c r="F462" s="7">
        <v>208.979996</v>
      </c>
      <c r="G462" s="7">
        <v>206.21000699999999</v>
      </c>
      <c r="H462" s="8">
        <f t="shared" si="8"/>
        <v>1.131038797162868E-2</v>
      </c>
    </row>
    <row r="463" spans="2:8" x14ac:dyDescent="0.2">
      <c r="B463" s="5">
        <v>44863</v>
      </c>
      <c r="C463" s="6" t="s">
        <v>15</v>
      </c>
      <c r="D463" s="7">
        <v>208.83000200000001</v>
      </c>
      <c r="E463" s="7">
        <v>205.46082100000001</v>
      </c>
      <c r="F463" s="7">
        <v>209.270004</v>
      </c>
      <c r="G463" s="7">
        <v>208.21000699999999</v>
      </c>
      <c r="H463" s="8">
        <f t="shared" si="8"/>
        <v>-5.744408774102308E-4</v>
      </c>
    </row>
    <row r="464" spans="2:8" x14ac:dyDescent="0.2">
      <c r="B464" s="5">
        <v>44864</v>
      </c>
      <c r="C464" s="6" t="s">
        <v>15</v>
      </c>
      <c r="D464" s="7">
        <v>207.929993</v>
      </c>
      <c r="E464" s="7">
        <v>204.575332</v>
      </c>
      <c r="F464" s="7">
        <v>209.44000199999999</v>
      </c>
      <c r="G464" s="7">
        <v>207.740005</v>
      </c>
      <c r="H464" s="8">
        <f t="shared" si="8"/>
        <v>-4.3190844029228296E-3</v>
      </c>
    </row>
    <row r="465" spans="2:8" x14ac:dyDescent="0.2">
      <c r="B465" s="5">
        <v>44867</v>
      </c>
      <c r="C465" s="6" t="s">
        <v>15</v>
      </c>
      <c r="D465" s="7">
        <v>210.38999899999999</v>
      </c>
      <c r="E465" s="7">
        <v>206.99565000000001</v>
      </c>
      <c r="F465" s="7">
        <v>210.61999499999999</v>
      </c>
      <c r="G465" s="7">
        <v>208.16999799999999</v>
      </c>
      <c r="H465" s="8">
        <f t="shared" si="8"/>
        <v>1.1761499262983829E-2</v>
      </c>
    </row>
    <row r="466" spans="2:8" x14ac:dyDescent="0.2">
      <c r="B466" s="5">
        <v>44868</v>
      </c>
      <c r="C466" s="6" t="s">
        <v>15</v>
      </c>
      <c r="D466" s="7">
        <v>211</v>
      </c>
      <c r="E466" s="7">
        <v>207.595809</v>
      </c>
      <c r="F466" s="7">
        <v>211.66000399999999</v>
      </c>
      <c r="G466" s="7">
        <v>209.699997</v>
      </c>
      <c r="H466" s="8">
        <f t="shared" si="8"/>
        <v>2.8951846748763942E-3</v>
      </c>
    </row>
    <row r="467" spans="2:8" x14ac:dyDescent="0.2">
      <c r="B467" s="5">
        <v>44869</v>
      </c>
      <c r="C467" s="6" t="s">
        <v>15</v>
      </c>
      <c r="D467" s="7">
        <v>210.36000100000001</v>
      </c>
      <c r="E467" s="7">
        <v>206.96613500000001</v>
      </c>
      <c r="F467" s="7">
        <v>211.5</v>
      </c>
      <c r="G467" s="7">
        <v>209.720001</v>
      </c>
      <c r="H467" s="8">
        <f t="shared" si="8"/>
        <v>-3.0377823789132586E-3</v>
      </c>
    </row>
    <row r="468" spans="2:8" x14ac:dyDescent="0.2">
      <c r="B468" s="5">
        <v>44870</v>
      </c>
      <c r="C468" s="6" t="s">
        <v>15</v>
      </c>
      <c r="D468" s="7">
        <v>210.14999399999999</v>
      </c>
      <c r="E468" s="7">
        <v>206.75951699999999</v>
      </c>
      <c r="F468" s="7">
        <v>210.979996</v>
      </c>
      <c r="G468" s="7">
        <v>209.08999600000001</v>
      </c>
      <c r="H468" s="8">
        <f t="shared" si="8"/>
        <v>-9.9881656444865971E-4</v>
      </c>
    </row>
    <row r="469" spans="2:8" x14ac:dyDescent="0.2">
      <c r="B469" s="5">
        <v>44871</v>
      </c>
      <c r="C469" s="6" t="s">
        <v>15</v>
      </c>
      <c r="D469" s="7">
        <v>210.03999300000001</v>
      </c>
      <c r="E469" s="7">
        <v>206.65129099999999</v>
      </c>
      <c r="F469" s="7">
        <v>210.320007</v>
      </c>
      <c r="G469" s="7">
        <v>208.46000699999999</v>
      </c>
      <c r="H469" s="8">
        <f t="shared" si="8"/>
        <v>-5.2357606708890918E-4</v>
      </c>
    </row>
    <row r="470" spans="2:8" x14ac:dyDescent="0.2">
      <c r="B470" s="5">
        <v>44874</v>
      </c>
      <c r="C470" s="6" t="s">
        <v>15</v>
      </c>
      <c r="D470" s="7">
        <v>208.08000200000001</v>
      </c>
      <c r="E470" s="7">
        <v>204.72292100000001</v>
      </c>
      <c r="F470" s="7">
        <v>209.490005</v>
      </c>
      <c r="G470" s="7">
        <v>206.949997</v>
      </c>
      <c r="H470" s="8">
        <f t="shared" si="8"/>
        <v>-9.3753281976357902E-3</v>
      </c>
    </row>
    <row r="471" spans="2:8" x14ac:dyDescent="0.2">
      <c r="B471" s="5">
        <v>44875</v>
      </c>
      <c r="C471" s="6" t="s">
        <v>15</v>
      </c>
      <c r="D471" s="7">
        <v>208.55999800000001</v>
      </c>
      <c r="E471" s="7">
        <v>205.19517300000001</v>
      </c>
      <c r="F471" s="7">
        <v>208.60000600000001</v>
      </c>
      <c r="G471" s="7">
        <v>207.19000199999999</v>
      </c>
      <c r="H471" s="8">
        <f t="shared" si="8"/>
        <v>2.3041296095246745E-3</v>
      </c>
    </row>
    <row r="472" spans="2:8" x14ac:dyDescent="0.2">
      <c r="B472" s="5">
        <v>44876</v>
      </c>
      <c r="C472" s="6" t="s">
        <v>15</v>
      </c>
      <c r="D472" s="7">
        <v>207.740005</v>
      </c>
      <c r="E472" s="7">
        <v>204.38840999999999</v>
      </c>
      <c r="F472" s="7">
        <v>208.94000199999999</v>
      </c>
      <c r="G472" s="7">
        <v>207.66000399999999</v>
      </c>
      <c r="H472" s="8">
        <f t="shared" si="8"/>
        <v>-3.9394354502543423E-3</v>
      </c>
    </row>
    <row r="473" spans="2:8" x14ac:dyDescent="0.2">
      <c r="B473" s="5">
        <v>44877</v>
      </c>
      <c r="C473" s="6" t="s">
        <v>15</v>
      </c>
      <c r="D473" s="7">
        <v>204.83999600000001</v>
      </c>
      <c r="E473" s="7">
        <v>201.53518800000001</v>
      </c>
      <c r="F473" s="7">
        <v>207.05999800000001</v>
      </c>
      <c r="G473" s="7">
        <v>204.820007</v>
      </c>
      <c r="H473" s="8">
        <f t="shared" si="8"/>
        <v>-1.4058157764268686E-2</v>
      </c>
    </row>
    <row r="474" spans="2:8" x14ac:dyDescent="0.2">
      <c r="B474" s="5">
        <v>44878</v>
      </c>
      <c r="C474" s="6" t="s">
        <v>15</v>
      </c>
      <c r="D474" s="7">
        <v>202.53999300000001</v>
      </c>
      <c r="E474" s="7">
        <v>199.27229299999999</v>
      </c>
      <c r="F474" s="7">
        <v>204.66999799999999</v>
      </c>
      <c r="G474" s="7">
        <v>202.44000199999999</v>
      </c>
      <c r="H474" s="8">
        <f t="shared" si="8"/>
        <v>-1.1291800434759584E-2</v>
      </c>
    </row>
    <row r="475" spans="2:8" x14ac:dyDescent="0.2">
      <c r="B475" s="5">
        <v>44881</v>
      </c>
      <c r="C475" s="6" t="s">
        <v>15</v>
      </c>
      <c r="D475" s="7">
        <v>205.61999499999999</v>
      </c>
      <c r="E475" s="7">
        <v>202.302603</v>
      </c>
      <c r="F475" s="7">
        <v>205.69000199999999</v>
      </c>
      <c r="G475" s="7">
        <v>202.179993</v>
      </c>
      <c r="H475" s="8">
        <f t="shared" si="8"/>
        <v>1.5092415141245081E-2</v>
      </c>
    </row>
    <row r="476" spans="2:8" x14ac:dyDescent="0.2">
      <c r="B476" s="5">
        <v>44882</v>
      </c>
      <c r="C476" s="6" t="s">
        <v>15</v>
      </c>
      <c r="D476" s="7">
        <v>205.470001</v>
      </c>
      <c r="E476" s="7">
        <v>202.15502900000001</v>
      </c>
      <c r="F476" s="7">
        <v>207.03999300000001</v>
      </c>
      <c r="G476" s="7">
        <v>204.88000500000001</v>
      </c>
      <c r="H476" s="8">
        <f t="shared" si="8"/>
        <v>-7.2973777658273762E-4</v>
      </c>
    </row>
    <row r="477" spans="2:8" x14ac:dyDescent="0.2">
      <c r="B477" s="5">
        <v>44883</v>
      </c>
      <c r="C477" s="6" t="s">
        <v>15</v>
      </c>
      <c r="D477" s="7">
        <v>208.729996</v>
      </c>
      <c r="E477" s="7">
        <v>205.36242799999999</v>
      </c>
      <c r="F477" s="7">
        <v>208.89999399999999</v>
      </c>
      <c r="G477" s="7">
        <v>205.990005</v>
      </c>
      <c r="H477" s="8">
        <f t="shared" si="8"/>
        <v>1.5741486289342056E-2</v>
      </c>
    </row>
    <row r="478" spans="2:8" x14ac:dyDescent="0.2">
      <c r="B478" s="5">
        <v>44884</v>
      </c>
      <c r="C478" s="6" t="s">
        <v>15</v>
      </c>
      <c r="D478" s="7">
        <v>208.550003</v>
      </c>
      <c r="E478" s="7">
        <v>205.185339</v>
      </c>
      <c r="F478" s="7">
        <v>209.050003</v>
      </c>
      <c r="G478" s="7">
        <v>208.199997</v>
      </c>
      <c r="H478" s="8">
        <f t="shared" si="8"/>
        <v>-8.6269625713553295E-4</v>
      </c>
    </row>
    <row r="479" spans="2:8" x14ac:dyDescent="0.2">
      <c r="B479" s="5">
        <v>44885</v>
      </c>
      <c r="C479" s="6" t="s">
        <v>15</v>
      </c>
      <c r="D479" s="7">
        <v>209.30999800000001</v>
      </c>
      <c r="E479" s="7">
        <v>205.93307200000001</v>
      </c>
      <c r="F479" s="7">
        <v>210.11999499999999</v>
      </c>
      <c r="G479" s="7">
        <v>208.86000100000001</v>
      </c>
      <c r="H479" s="8">
        <f t="shared" si="8"/>
        <v>3.6375594207577865E-3</v>
      </c>
    </row>
    <row r="480" spans="2:8" x14ac:dyDescent="0.2">
      <c r="B480" s="5">
        <v>44888</v>
      </c>
      <c r="C480" s="6" t="s">
        <v>15</v>
      </c>
      <c r="D480" s="7">
        <v>209.070007</v>
      </c>
      <c r="E480" s="7">
        <v>205.69695400000001</v>
      </c>
      <c r="F480" s="7">
        <v>209.979996</v>
      </c>
      <c r="G480" s="7">
        <v>208.520004</v>
      </c>
      <c r="H480" s="8">
        <f t="shared" si="8"/>
        <v>-1.1472342199699936E-3</v>
      </c>
    </row>
    <row r="481" spans="2:8" x14ac:dyDescent="0.2">
      <c r="B481" s="5">
        <v>44889</v>
      </c>
      <c r="C481" s="6" t="s">
        <v>15</v>
      </c>
      <c r="D481" s="7">
        <v>209.35000600000001</v>
      </c>
      <c r="E481" s="7">
        <v>205.97243499999999</v>
      </c>
      <c r="F481" s="7">
        <v>209.83000200000001</v>
      </c>
      <c r="G481" s="7">
        <v>207.41000399999999</v>
      </c>
      <c r="H481" s="8">
        <f t="shared" si="8"/>
        <v>1.3383605800251124E-3</v>
      </c>
    </row>
    <row r="482" spans="2:8" x14ac:dyDescent="0.2">
      <c r="B482" s="5">
        <v>44890</v>
      </c>
      <c r="C482" s="6" t="s">
        <v>15</v>
      </c>
      <c r="D482" s="7">
        <v>209.320007</v>
      </c>
      <c r="E482" s="7">
        <v>205.94292100000001</v>
      </c>
      <c r="F482" s="7">
        <v>209.740005</v>
      </c>
      <c r="G482" s="7">
        <v>209.009995</v>
      </c>
      <c r="H482" s="8">
        <f t="shared" si="8"/>
        <v>-1.4330128566741263E-4</v>
      </c>
    </row>
    <row r="483" spans="2:8" x14ac:dyDescent="0.2">
      <c r="B483" s="5">
        <v>44892</v>
      </c>
      <c r="C483" s="6" t="s">
        <v>15</v>
      </c>
      <c r="D483" s="7">
        <v>209.55999800000001</v>
      </c>
      <c r="E483" s="7">
        <v>206.17903899999999</v>
      </c>
      <c r="F483" s="7">
        <v>209.800003</v>
      </c>
      <c r="G483" s="7">
        <v>208.86000100000001</v>
      </c>
      <c r="H483" s="8">
        <f t="shared" si="8"/>
        <v>1.1458648106756647E-3</v>
      </c>
    </row>
    <row r="484" spans="2:8" x14ac:dyDescent="0.2">
      <c r="B484" s="5">
        <v>44895</v>
      </c>
      <c r="C484" s="6" t="s">
        <v>15</v>
      </c>
      <c r="D484" s="7">
        <v>208.69000199999999</v>
      </c>
      <c r="E484" s="7">
        <v>205.32308</v>
      </c>
      <c r="F484" s="7">
        <v>209.88999899999999</v>
      </c>
      <c r="G484" s="7">
        <v>208.55999800000001</v>
      </c>
      <c r="H484" s="8">
        <f t="shared" si="8"/>
        <v>-4.1601741278517483E-3</v>
      </c>
    </row>
    <row r="485" spans="2:8" x14ac:dyDescent="0.2">
      <c r="B485" s="5">
        <v>44896</v>
      </c>
      <c r="C485" s="6" t="s">
        <v>15</v>
      </c>
      <c r="D485" s="7">
        <v>210.679993</v>
      </c>
      <c r="E485" s="7">
        <v>207.28096500000001</v>
      </c>
      <c r="F485" s="7">
        <v>210.820007</v>
      </c>
      <c r="G485" s="7">
        <v>209.11000100000001</v>
      </c>
      <c r="H485" s="8">
        <f t="shared" si="8"/>
        <v>9.4904532277415177E-3</v>
      </c>
    </row>
    <row r="486" spans="2:8" x14ac:dyDescent="0.2">
      <c r="B486" s="5">
        <v>44897</v>
      </c>
      <c r="C486" s="6" t="s">
        <v>15</v>
      </c>
      <c r="D486" s="7">
        <v>208.529999</v>
      </c>
      <c r="E486" s="7">
        <v>205.16565800000001</v>
      </c>
      <c r="F486" s="7">
        <v>211</v>
      </c>
      <c r="G486" s="7">
        <v>208.229996</v>
      </c>
      <c r="H486" s="8">
        <f t="shared" si="8"/>
        <v>-1.0257451165294843E-2</v>
      </c>
    </row>
    <row r="487" spans="2:8" x14ac:dyDescent="0.2">
      <c r="B487" s="5">
        <v>44898</v>
      </c>
      <c r="C487" s="6" t="s">
        <v>15</v>
      </c>
      <c r="D487" s="7">
        <v>205.61000100000001</v>
      </c>
      <c r="E487" s="7">
        <v>202.29276999999999</v>
      </c>
      <c r="F487" s="7">
        <v>209.14999399999999</v>
      </c>
      <c r="G487" s="7">
        <v>204.75</v>
      </c>
      <c r="H487" s="8">
        <f t="shared" si="8"/>
        <v>-1.4101736082561401E-2</v>
      </c>
    </row>
    <row r="488" spans="2:8" x14ac:dyDescent="0.2">
      <c r="B488" s="5">
        <v>44899</v>
      </c>
      <c r="C488" s="6" t="s">
        <v>15</v>
      </c>
      <c r="D488" s="7">
        <v>209.61999499999999</v>
      </c>
      <c r="E488" s="7">
        <v>206.238069</v>
      </c>
      <c r="F488" s="7">
        <v>209.970001</v>
      </c>
      <c r="G488" s="7">
        <v>205.61000100000001</v>
      </c>
      <c r="H488" s="8">
        <f t="shared" si="8"/>
        <v>1.9315171735281658E-2</v>
      </c>
    </row>
    <row r="489" spans="2:8" x14ac:dyDescent="0.2">
      <c r="B489" s="5">
        <v>44902</v>
      </c>
      <c r="C489" s="6" t="s">
        <v>15</v>
      </c>
      <c r="D489" s="7">
        <v>208.35000600000001</v>
      </c>
      <c r="E489" s="7">
        <v>204.98856900000001</v>
      </c>
      <c r="F489" s="7">
        <v>209.729996</v>
      </c>
      <c r="G489" s="7">
        <v>207.199997</v>
      </c>
      <c r="H489" s="8">
        <f t="shared" si="8"/>
        <v>-6.0769596607475902E-3</v>
      </c>
    </row>
    <row r="490" spans="2:8" x14ac:dyDescent="0.2">
      <c r="B490" s="5">
        <v>44903</v>
      </c>
      <c r="C490" s="6" t="s">
        <v>15</v>
      </c>
      <c r="D490" s="7">
        <v>206.949997</v>
      </c>
      <c r="E490" s="7">
        <v>203.61114699999999</v>
      </c>
      <c r="F490" s="7">
        <v>208.28999300000001</v>
      </c>
      <c r="G490" s="7">
        <v>205.779999</v>
      </c>
      <c r="H490" s="8">
        <f t="shared" si="8"/>
        <v>-6.7421839215886957E-3</v>
      </c>
    </row>
    <row r="491" spans="2:8" x14ac:dyDescent="0.2">
      <c r="B491" s="5">
        <v>44904</v>
      </c>
      <c r="C491" s="6" t="s">
        <v>15</v>
      </c>
      <c r="D491" s="7">
        <v>205.33999600000001</v>
      </c>
      <c r="E491" s="7">
        <v>202.02712199999999</v>
      </c>
      <c r="F491" s="7">
        <v>208.679993</v>
      </c>
      <c r="G491" s="7">
        <v>204.179993</v>
      </c>
      <c r="H491" s="8">
        <f t="shared" si="8"/>
        <v>-7.8100769716221699E-3</v>
      </c>
    </row>
    <row r="492" spans="2:8" x14ac:dyDescent="0.2">
      <c r="B492" s="5">
        <v>44905</v>
      </c>
      <c r="C492" s="6" t="s">
        <v>15</v>
      </c>
      <c r="D492" s="7">
        <v>205.86999499999999</v>
      </c>
      <c r="E492" s="7">
        <v>202.54857000000001</v>
      </c>
      <c r="F492" s="7">
        <v>207.429993</v>
      </c>
      <c r="G492" s="7">
        <v>205.13999899999999</v>
      </c>
      <c r="H492" s="8">
        <f t="shared" si="8"/>
        <v>2.5777539237023029E-3</v>
      </c>
    </row>
    <row r="493" spans="2:8" x14ac:dyDescent="0.2">
      <c r="B493" s="5">
        <v>44906</v>
      </c>
      <c r="C493" s="6" t="s">
        <v>15</v>
      </c>
      <c r="D493" s="7">
        <v>201.88000500000001</v>
      </c>
      <c r="E493" s="7">
        <v>198.622952</v>
      </c>
      <c r="F493" s="7">
        <v>204.13999899999999</v>
      </c>
      <c r="G493" s="7">
        <v>201.509995</v>
      </c>
      <c r="H493" s="8">
        <f t="shared" si="8"/>
        <v>-1.9571395722217035E-2</v>
      </c>
    </row>
    <row r="494" spans="2:8" x14ac:dyDescent="0.2">
      <c r="B494" s="5">
        <v>44909</v>
      </c>
      <c r="C494" s="6" t="s">
        <v>15</v>
      </c>
      <c r="D494" s="7">
        <v>202.89999399999999</v>
      </c>
      <c r="E494" s="7">
        <v>199.626485</v>
      </c>
      <c r="F494" s="7">
        <v>203.050003</v>
      </c>
      <c r="G494" s="7">
        <v>199.949997</v>
      </c>
      <c r="H494" s="8">
        <f t="shared" si="8"/>
        <v>5.0397315391633194E-3</v>
      </c>
    </row>
    <row r="495" spans="2:8" x14ac:dyDescent="0.2">
      <c r="B495" s="5">
        <v>44910</v>
      </c>
      <c r="C495" s="6" t="s">
        <v>15</v>
      </c>
      <c r="D495" s="7">
        <v>205.029999</v>
      </c>
      <c r="E495" s="7">
        <v>201.72212500000001</v>
      </c>
      <c r="F495" s="7">
        <v>206.11000100000001</v>
      </c>
      <c r="G495" s="7">
        <v>202.86999499999999</v>
      </c>
      <c r="H495" s="8">
        <f t="shared" si="8"/>
        <v>1.0443086101627499E-2</v>
      </c>
    </row>
    <row r="496" spans="2:8" x14ac:dyDescent="0.2">
      <c r="B496" s="5">
        <v>44911</v>
      </c>
      <c r="C496" s="6" t="s">
        <v>15</v>
      </c>
      <c r="D496" s="7">
        <v>208.029999</v>
      </c>
      <c r="E496" s="7">
        <v>204.67372499999999</v>
      </c>
      <c r="F496" s="7">
        <v>208.38999899999999</v>
      </c>
      <c r="G496" s="7">
        <v>204.800003</v>
      </c>
      <c r="H496" s="8">
        <f t="shared" si="8"/>
        <v>1.45259942978923E-2</v>
      </c>
    </row>
    <row r="497" spans="2:8" x14ac:dyDescent="0.2">
      <c r="B497" s="5">
        <v>44912</v>
      </c>
      <c r="C497" s="6" t="s">
        <v>15</v>
      </c>
      <c r="D497" s="7">
        <v>204.86000100000001</v>
      </c>
      <c r="E497" s="7">
        <v>201.55486999999999</v>
      </c>
      <c r="F497" s="7">
        <v>208.479996</v>
      </c>
      <c r="G497" s="7">
        <v>204.83999600000001</v>
      </c>
      <c r="H497" s="8">
        <f t="shared" si="8"/>
        <v>-1.5355473845019924E-2</v>
      </c>
    </row>
    <row r="498" spans="2:8" x14ac:dyDescent="0.2">
      <c r="B498" s="5">
        <v>44913</v>
      </c>
      <c r="C498" s="6" t="s">
        <v>15</v>
      </c>
      <c r="D498" s="7">
        <v>200.020004</v>
      </c>
      <c r="E498" s="7">
        <v>197.96416600000001</v>
      </c>
      <c r="F498" s="7">
        <v>202.929993</v>
      </c>
      <c r="G498" s="7">
        <v>199.83000200000001</v>
      </c>
      <c r="H498" s="8">
        <f t="shared" si="8"/>
        <v>-1.7975617492299301E-2</v>
      </c>
    </row>
    <row r="499" spans="2:8" x14ac:dyDescent="0.2">
      <c r="B499" s="5">
        <v>44916</v>
      </c>
      <c r="C499" s="6" t="s">
        <v>15</v>
      </c>
      <c r="D499" s="7">
        <v>201.66999799999999</v>
      </c>
      <c r="E499" s="7">
        <v>199.59720100000001</v>
      </c>
      <c r="F499" s="7">
        <v>201.88000500000001</v>
      </c>
      <c r="G499" s="7">
        <v>200.08999600000001</v>
      </c>
      <c r="H499" s="8">
        <f t="shared" si="8"/>
        <v>8.2153062152120898E-3</v>
      </c>
    </row>
    <row r="500" spans="2:8" x14ac:dyDescent="0.2">
      <c r="B500" s="5">
        <v>44917</v>
      </c>
      <c r="C500" s="6" t="s">
        <v>15</v>
      </c>
      <c r="D500" s="7">
        <v>203.5</v>
      </c>
      <c r="E500" s="7">
        <v>201.40839299999999</v>
      </c>
      <c r="F500" s="7">
        <v>203.85000600000001</v>
      </c>
      <c r="G500" s="7">
        <v>201.550003</v>
      </c>
      <c r="H500" s="8">
        <f t="shared" si="8"/>
        <v>9.03331197019803E-3</v>
      </c>
    </row>
    <row r="501" spans="2:8" x14ac:dyDescent="0.2">
      <c r="B501" s="5">
        <v>44918</v>
      </c>
      <c r="C501" s="6" t="s">
        <v>15</v>
      </c>
      <c r="D501" s="7">
        <v>206.020004</v>
      </c>
      <c r="E501" s="7">
        <v>203.90249700000001</v>
      </c>
      <c r="F501" s="7">
        <v>206.070007</v>
      </c>
      <c r="G501" s="7">
        <v>204.58000200000001</v>
      </c>
      <c r="H501" s="8">
        <f t="shared" si="8"/>
        <v>1.2307271001397021E-2</v>
      </c>
    </row>
    <row r="502" spans="2:8" x14ac:dyDescent="0.2">
      <c r="B502" s="5">
        <v>44919</v>
      </c>
      <c r="C502" s="6" t="s">
        <v>15</v>
      </c>
      <c r="D502" s="7">
        <v>205.679993</v>
      </c>
      <c r="E502" s="7">
        <v>203.56598</v>
      </c>
      <c r="F502" s="7">
        <v>206.33000200000001</v>
      </c>
      <c r="G502" s="7">
        <v>205.41999799999999</v>
      </c>
      <c r="H502" s="8">
        <f t="shared" si="8"/>
        <v>-1.6517453275725006E-3</v>
      </c>
    </row>
    <row r="503" spans="2:8" x14ac:dyDescent="0.2">
      <c r="B503" s="5">
        <v>44923</v>
      </c>
      <c r="C503" s="6" t="s">
        <v>15</v>
      </c>
      <c r="D503" s="7">
        <v>205.21000699999999</v>
      </c>
      <c r="E503" s="7">
        <v>203.10082399999999</v>
      </c>
      <c r="F503" s="7">
        <v>205.259995</v>
      </c>
      <c r="G503" s="7">
        <v>203.94000199999999</v>
      </c>
      <c r="H503" s="8">
        <f t="shared" si="8"/>
        <v>-2.2876526841395027E-3</v>
      </c>
    </row>
    <row r="504" spans="2:8" x14ac:dyDescent="0.2">
      <c r="B504" s="5">
        <v>44924</v>
      </c>
      <c r="C504" s="6" t="s">
        <v>15</v>
      </c>
      <c r="D504" s="7">
        <v>207.39999399999999</v>
      </c>
      <c r="E504" s="7">
        <v>205.26830200000001</v>
      </c>
      <c r="F504" s="7">
        <v>207.78999300000001</v>
      </c>
      <c r="G504" s="7">
        <v>206.470001</v>
      </c>
      <c r="H504" s="8">
        <f t="shared" si="8"/>
        <v>1.0615387970085474E-2</v>
      </c>
    </row>
    <row r="505" spans="2:8" x14ac:dyDescent="0.2">
      <c r="B505" s="5">
        <v>44925</v>
      </c>
      <c r="C505" s="6" t="s">
        <v>15</v>
      </c>
      <c r="D505" s="7">
        <v>205.929993</v>
      </c>
      <c r="E505" s="7">
        <v>203.81341</v>
      </c>
      <c r="F505" s="7">
        <v>207.21000699999999</v>
      </c>
      <c r="G505" s="7">
        <v>205.759995</v>
      </c>
      <c r="H505" s="8">
        <f t="shared" si="8"/>
        <v>-7.1129952352747029E-3</v>
      </c>
    </row>
    <row r="506" spans="2:8" x14ac:dyDescent="0.2">
      <c r="B506" s="5">
        <v>44926</v>
      </c>
      <c r="C506" s="6" t="s">
        <v>15</v>
      </c>
      <c r="D506" s="7">
        <v>203.86999499999999</v>
      </c>
      <c r="E506" s="7">
        <v>201.774586</v>
      </c>
      <c r="F506" s="7">
        <v>205.88999899999999</v>
      </c>
      <c r="G506" s="7">
        <v>203.86999499999999</v>
      </c>
      <c r="H506" s="8">
        <f t="shared" si="8"/>
        <v>-1.0053755009670906E-2</v>
      </c>
    </row>
    <row r="507" spans="2:8" x14ac:dyDescent="0.2">
      <c r="B507" s="5">
        <v>44198</v>
      </c>
      <c r="C507" s="6" t="s">
        <v>16</v>
      </c>
      <c r="D507" s="7">
        <v>19.23</v>
      </c>
      <c r="E507" s="7">
        <v>19.23</v>
      </c>
      <c r="F507" s="7">
        <v>19.469999000000001</v>
      </c>
      <c r="G507" s="7">
        <v>19.219999000000001</v>
      </c>
      <c r="H507" s="8" t="str">
        <f t="shared" si="8"/>
        <v/>
      </c>
    </row>
    <row r="508" spans="2:8" x14ac:dyDescent="0.2">
      <c r="B508" s="5">
        <v>44199</v>
      </c>
      <c r="C508" s="6" t="s">
        <v>16</v>
      </c>
      <c r="D508" s="7">
        <v>19.420000000000002</v>
      </c>
      <c r="E508" s="7">
        <v>19.420000000000002</v>
      </c>
      <c r="F508" s="7">
        <v>19.48</v>
      </c>
      <c r="G508" s="7">
        <v>19.32</v>
      </c>
      <c r="H508" s="8">
        <f t="shared" si="8"/>
        <v>9.8319032624904924E-3</v>
      </c>
    </row>
    <row r="509" spans="2:8" x14ac:dyDescent="0.2">
      <c r="B509" s="5">
        <v>44202</v>
      </c>
      <c r="C509" s="6" t="s">
        <v>16</v>
      </c>
      <c r="D509" s="7">
        <v>19.420000000000002</v>
      </c>
      <c r="E509" s="7">
        <v>19.420000000000002</v>
      </c>
      <c r="F509" s="7">
        <v>19.59</v>
      </c>
      <c r="G509" s="7">
        <v>19.25</v>
      </c>
      <c r="H509" s="8">
        <f t="shared" si="8"/>
        <v>0</v>
      </c>
    </row>
    <row r="510" spans="2:8" x14ac:dyDescent="0.2">
      <c r="B510" s="5">
        <v>44203</v>
      </c>
      <c r="C510" s="6" t="s">
        <v>16</v>
      </c>
      <c r="D510" s="7">
        <v>19.129999000000002</v>
      </c>
      <c r="E510" s="7">
        <v>19.129999000000002</v>
      </c>
      <c r="F510" s="7">
        <v>19.149999999999999</v>
      </c>
      <c r="G510" s="7">
        <v>18.899999999999999</v>
      </c>
      <c r="H510" s="8">
        <f t="shared" si="8"/>
        <v>-1.5045731684934024E-2</v>
      </c>
    </row>
    <row r="511" spans="2:8" x14ac:dyDescent="0.2">
      <c r="B511" s="5">
        <v>44204</v>
      </c>
      <c r="C511" s="6" t="s">
        <v>16</v>
      </c>
      <c r="D511" s="7">
        <v>18.829999999999998</v>
      </c>
      <c r="E511" s="7">
        <v>18.829999999999998</v>
      </c>
      <c r="F511" s="7">
        <v>18.870000999999998</v>
      </c>
      <c r="G511" s="7">
        <v>18.610001</v>
      </c>
      <c r="H511" s="8">
        <f t="shared" si="8"/>
        <v>-1.5806388509184002E-2</v>
      </c>
    </row>
    <row r="512" spans="2:8" x14ac:dyDescent="0.2">
      <c r="B512" s="5">
        <v>44205</v>
      </c>
      <c r="C512" s="6" t="s">
        <v>16</v>
      </c>
      <c r="D512" s="7">
        <v>18.84</v>
      </c>
      <c r="E512" s="7">
        <v>18.84</v>
      </c>
      <c r="F512" s="7">
        <v>18.989999999999998</v>
      </c>
      <c r="G512" s="7">
        <v>18.68</v>
      </c>
      <c r="H512" s="8">
        <f t="shared" si="8"/>
        <v>5.309264791560056E-4</v>
      </c>
    </row>
    <row r="513" spans="2:8" x14ac:dyDescent="0.2">
      <c r="B513" s="5">
        <v>44206</v>
      </c>
      <c r="C513" s="6" t="s">
        <v>16</v>
      </c>
      <c r="D513" s="7">
        <v>19.379999000000002</v>
      </c>
      <c r="E513" s="7">
        <v>19.379999000000002</v>
      </c>
      <c r="F513" s="7">
        <v>19.489999999999998</v>
      </c>
      <c r="G513" s="7">
        <v>19.25</v>
      </c>
      <c r="H513" s="8">
        <f t="shared" si="8"/>
        <v>2.8259285714814786E-2</v>
      </c>
    </row>
    <row r="514" spans="2:8" x14ac:dyDescent="0.2">
      <c r="B514" s="5">
        <v>44209</v>
      </c>
      <c r="C514" s="6" t="s">
        <v>16</v>
      </c>
      <c r="D514" s="7">
        <v>19.68</v>
      </c>
      <c r="E514" s="7">
        <v>19.68</v>
      </c>
      <c r="F514" s="7">
        <v>19.700001</v>
      </c>
      <c r="G514" s="7">
        <v>19.290001</v>
      </c>
      <c r="H514" s="8">
        <f t="shared" si="8"/>
        <v>1.5361336761075555E-2</v>
      </c>
    </row>
    <row r="515" spans="2:8" x14ac:dyDescent="0.2">
      <c r="B515" s="5">
        <v>44210</v>
      </c>
      <c r="C515" s="6" t="s">
        <v>16</v>
      </c>
      <c r="D515" s="7">
        <v>19.420000000000002</v>
      </c>
      <c r="E515" s="7">
        <v>19.420000000000002</v>
      </c>
      <c r="F515" s="7">
        <v>19.84</v>
      </c>
      <c r="G515" s="7">
        <v>19.389999</v>
      </c>
      <c r="H515" s="8">
        <f t="shared" si="8"/>
        <v>-1.3299428760928374E-2</v>
      </c>
    </row>
    <row r="516" spans="2:8" x14ac:dyDescent="0.2">
      <c r="B516" s="5">
        <v>44211</v>
      </c>
      <c r="C516" s="6" t="s">
        <v>16</v>
      </c>
      <c r="D516" s="7">
        <v>19.399999999999999</v>
      </c>
      <c r="E516" s="7">
        <v>19.399999999999999</v>
      </c>
      <c r="F516" s="7">
        <v>19.459999</v>
      </c>
      <c r="G516" s="7">
        <v>19.239999999999998</v>
      </c>
      <c r="H516" s="8">
        <f t="shared" ref="H516:H579" si="9">IF(C516=C515, LN(E516/E515), "")</f>
        <v>-1.0303967938965219E-3</v>
      </c>
    </row>
    <row r="517" spans="2:8" x14ac:dyDescent="0.2">
      <c r="B517" s="5">
        <v>44212</v>
      </c>
      <c r="C517" s="6" t="s">
        <v>16</v>
      </c>
      <c r="D517" s="7">
        <v>19.350000000000001</v>
      </c>
      <c r="E517" s="7">
        <v>19.350000000000001</v>
      </c>
      <c r="F517" s="7">
        <v>19.440000999999999</v>
      </c>
      <c r="G517" s="7">
        <v>19.290001</v>
      </c>
      <c r="H517" s="8">
        <f t="shared" si="9"/>
        <v>-2.580646593491514E-3</v>
      </c>
    </row>
    <row r="518" spans="2:8" x14ac:dyDescent="0.2">
      <c r="B518" s="5">
        <v>44213</v>
      </c>
      <c r="C518" s="6" t="s">
        <v>16</v>
      </c>
      <c r="D518" s="7">
        <v>19.510000000000002</v>
      </c>
      <c r="E518" s="7">
        <v>19.510000000000002</v>
      </c>
      <c r="F518" s="7">
        <v>19.66</v>
      </c>
      <c r="G518" s="7">
        <v>19.48</v>
      </c>
      <c r="H518" s="8">
        <f t="shared" si="9"/>
        <v>8.2347351592291038E-3</v>
      </c>
    </row>
    <row r="519" spans="2:8" x14ac:dyDescent="0.2">
      <c r="B519" s="5">
        <v>44217</v>
      </c>
      <c r="C519" s="6" t="s">
        <v>16</v>
      </c>
      <c r="D519" s="7">
        <v>19.170000000000002</v>
      </c>
      <c r="E519" s="7">
        <v>19.170000000000002</v>
      </c>
      <c r="F519" s="7">
        <v>19.200001</v>
      </c>
      <c r="G519" s="7">
        <v>19.02</v>
      </c>
      <c r="H519" s="8">
        <f t="shared" si="9"/>
        <v>-1.7580597577466665E-2</v>
      </c>
    </row>
    <row r="520" spans="2:8" x14ac:dyDescent="0.2">
      <c r="B520" s="5">
        <v>44218</v>
      </c>
      <c r="C520" s="6" t="s">
        <v>16</v>
      </c>
      <c r="D520" s="7">
        <v>19.030000999999999</v>
      </c>
      <c r="E520" s="7">
        <v>19.030000999999999</v>
      </c>
      <c r="F520" s="7">
        <v>19.18</v>
      </c>
      <c r="G520" s="7">
        <v>19.02</v>
      </c>
      <c r="H520" s="8">
        <f t="shared" si="9"/>
        <v>-7.3298232008891101E-3</v>
      </c>
    </row>
    <row r="521" spans="2:8" x14ac:dyDescent="0.2">
      <c r="B521" s="5">
        <v>44219</v>
      </c>
      <c r="C521" s="6" t="s">
        <v>16</v>
      </c>
      <c r="D521" s="7">
        <v>19.260000000000002</v>
      </c>
      <c r="E521" s="7">
        <v>19.260000000000002</v>
      </c>
      <c r="F521" s="7">
        <v>19.549999</v>
      </c>
      <c r="G521" s="7">
        <v>19.23</v>
      </c>
      <c r="H521" s="8">
        <f t="shared" si="9"/>
        <v>1.201367251331552E-2</v>
      </c>
    </row>
    <row r="522" spans="2:8" x14ac:dyDescent="0.2">
      <c r="B522" s="5">
        <v>44220</v>
      </c>
      <c r="C522" s="6" t="s">
        <v>16</v>
      </c>
      <c r="D522" s="7">
        <v>19.16</v>
      </c>
      <c r="E522" s="7">
        <v>19.16</v>
      </c>
      <c r="F522" s="7">
        <v>19.459999</v>
      </c>
      <c r="G522" s="7">
        <v>18.989999999999998</v>
      </c>
      <c r="H522" s="8">
        <f t="shared" si="9"/>
        <v>-5.2056338272650493E-3</v>
      </c>
    </row>
    <row r="523" spans="2:8" x14ac:dyDescent="0.2">
      <c r="B523" s="5">
        <v>44223</v>
      </c>
      <c r="C523" s="6" t="s">
        <v>16</v>
      </c>
      <c r="D523" s="7">
        <v>18.889999</v>
      </c>
      <c r="E523" s="7">
        <v>18.889999</v>
      </c>
      <c r="F523" s="7">
        <v>19.149999999999999</v>
      </c>
      <c r="G523" s="7">
        <v>18.829999999999998</v>
      </c>
      <c r="H523" s="8">
        <f t="shared" si="9"/>
        <v>-1.4192143967360253E-2</v>
      </c>
    </row>
    <row r="524" spans="2:8" x14ac:dyDescent="0.2">
      <c r="B524" s="5">
        <v>44224</v>
      </c>
      <c r="C524" s="6" t="s">
        <v>16</v>
      </c>
      <c r="D524" s="7">
        <v>18.850000000000001</v>
      </c>
      <c r="E524" s="7">
        <v>18.850000000000001</v>
      </c>
      <c r="F524" s="7">
        <v>18.989999999999998</v>
      </c>
      <c r="G524" s="7">
        <v>18.739999999999998</v>
      </c>
      <c r="H524" s="8">
        <f t="shared" si="9"/>
        <v>-2.1197146813344832E-3</v>
      </c>
    </row>
    <row r="525" spans="2:8" x14ac:dyDescent="0.2">
      <c r="B525" s="5">
        <v>44225</v>
      </c>
      <c r="C525" s="6" t="s">
        <v>16</v>
      </c>
      <c r="D525" s="7">
        <v>19.02</v>
      </c>
      <c r="E525" s="7">
        <v>19.02</v>
      </c>
      <c r="F525" s="7">
        <v>19.18</v>
      </c>
      <c r="G525" s="7">
        <v>18.760000000000002</v>
      </c>
      <c r="H525" s="8">
        <f t="shared" si="9"/>
        <v>8.978143223224308E-3</v>
      </c>
    </row>
    <row r="526" spans="2:8" x14ac:dyDescent="0.2">
      <c r="B526" s="5">
        <v>44226</v>
      </c>
      <c r="C526" s="6" t="s">
        <v>16</v>
      </c>
      <c r="D526" s="7">
        <v>18.489999999999998</v>
      </c>
      <c r="E526" s="7">
        <v>18.489999999999998</v>
      </c>
      <c r="F526" s="7">
        <v>18.540001</v>
      </c>
      <c r="G526" s="7">
        <v>18.389999</v>
      </c>
      <c r="H526" s="8">
        <f t="shared" si="9"/>
        <v>-2.826101171821082E-2</v>
      </c>
    </row>
    <row r="527" spans="2:8" x14ac:dyDescent="0.2">
      <c r="B527" s="5">
        <v>44227</v>
      </c>
      <c r="C527" s="6" t="s">
        <v>16</v>
      </c>
      <c r="D527" s="7">
        <v>18.450001</v>
      </c>
      <c r="E527" s="7">
        <v>18.450001</v>
      </c>
      <c r="F527" s="7">
        <v>18.670000000000002</v>
      </c>
      <c r="G527" s="7">
        <v>18.389999</v>
      </c>
      <c r="H527" s="8">
        <f t="shared" si="9"/>
        <v>-2.1656207119566959E-3</v>
      </c>
    </row>
    <row r="528" spans="2:8" x14ac:dyDescent="0.2">
      <c r="B528" s="5">
        <v>44230</v>
      </c>
      <c r="C528" s="6" t="s">
        <v>16</v>
      </c>
      <c r="D528" s="7">
        <v>18.610001</v>
      </c>
      <c r="E528" s="7">
        <v>18.610001</v>
      </c>
      <c r="F528" s="7">
        <v>18.899999999999999</v>
      </c>
      <c r="G528" s="7">
        <v>18.579999999999998</v>
      </c>
      <c r="H528" s="8">
        <f t="shared" si="9"/>
        <v>8.6346997016324752E-3</v>
      </c>
    </row>
    <row r="529" spans="2:8" x14ac:dyDescent="0.2">
      <c r="B529" s="5">
        <v>44231</v>
      </c>
      <c r="C529" s="6" t="s">
        <v>16</v>
      </c>
      <c r="D529" s="7">
        <v>18.75</v>
      </c>
      <c r="E529" s="7">
        <v>18.75</v>
      </c>
      <c r="F529" s="7">
        <v>18.790001</v>
      </c>
      <c r="G529" s="7">
        <v>18.579999999999998</v>
      </c>
      <c r="H529" s="8">
        <f t="shared" si="9"/>
        <v>7.4946280277106312E-3</v>
      </c>
    </row>
    <row r="530" spans="2:8" x14ac:dyDescent="0.2">
      <c r="B530" s="5">
        <v>44232</v>
      </c>
      <c r="C530" s="6" t="s">
        <v>16</v>
      </c>
      <c r="D530" s="7">
        <v>19.07</v>
      </c>
      <c r="E530" s="7">
        <v>19.07</v>
      </c>
      <c r="F530" s="7">
        <v>19.209999</v>
      </c>
      <c r="G530" s="7">
        <v>19</v>
      </c>
      <c r="H530" s="8">
        <f t="shared" si="9"/>
        <v>1.6922667195907994E-2</v>
      </c>
    </row>
    <row r="531" spans="2:8" x14ac:dyDescent="0.2">
      <c r="B531" s="5">
        <v>44233</v>
      </c>
      <c r="C531" s="6" t="s">
        <v>16</v>
      </c>
      <c r="D531" s="7">
        <v>19.170000000000002</v>
      </c>
      <c r="E531" s="7">
        <v>19.170000000000002</v>
      </c>
      <c r="F531" s="7">
        <v>19.290001</v>
      </c>
      <c r="G531" s="7">
        <v>19.100000000000001</v>
      </c>
      <c r="H531" s="8">
        <f t="shared" si="9"/>
        <v>5.2301374452255241E-3</v>
      </c>
    </row>
    <row r="532" spans="2:8" x14ac:dyDescent="0.2">
      <c r="B532" s="5">
        <v>44234</v>
      </c>
      <c r="C532" s="6" t="s">
        <v>16</v>
      </c>
      <c r="D532" s="7">
        <v>19.27</v>
      </c>
      <c r="E532" s="7">
        <v>19.27</v>
      </c>
      <c r="F532" s="7">
        <v>19.280000999999999</v>
      </c>
      <c r="G532" s="7">
        <v>19.07</v>
      </c>
      <c r="H532" s="8">
        <f t="shared" si="9"/>
        <v>5.2029253687216753E-3</v>
      </c>
    </row>
    <row r="533" spans="2:8" x14ac:dyDescent="0.2">
      <c r="B533" s="5">
        <v>44237</v>
      </c>
      <c r="C533" s="6" t="s">
        <v>16</v>
      </c>
      <c r="D533" s="7">
        <v>19.290001</v>
      </c>
      <c r="E533" s="7">
        <v>19.290001</v>
      </c>
      <c r="F533" s="7">
        <v>19.510000000000002</v>
      </c>
      <c r="G533" s="7">
        <v>19.280000999999999</v>
      </c>
      <c r="H533" s="8">
        <f t="shared" si="9"/>
        <v>1.0373963316930711E-3</v>
      </c>
    </row>
    <row r="534" spans="2:8" x14ac:dyDescent="0.2">
      <c r="B534" s="5">
        <v>44238</v>
      </c>
      <c r="C534" s="6" t="s">
        <v>16</v>
      </c>
      <c r="D534" s="7">
        <v>19.450001</v>
      </c>
      <c r="E534" s="7">
        <v>19.450001</v>
      </c>
      <c r="F534" s="7">
        <v>19.540001</v>
      </c>
      <c r="G534" s="7">
        <v>19.25</v>
      </c>
      <c r="H534" s="8">
        <f t="shared" si="9"/>
        <v>8.2602427203675808E-3</v>
      </c>
    </row>
    <row r="535" spans="2:8" x14ac:dyDescent="0.2">
      <c r="B535" s="5">
        <v>44239</v>
      </c>
      <c r="C535" s="6" t="s">
        <v>16</v>
      </c>
      <c r="D535" s="7">
        <v>19.43</v>
      </c>
      <c r="E535" s="7">
        <v>19.43</v>
      </c>
      <c r="F535" s="7">
        <v>19.629999000000002</v>
      </c>
      <c r="G535" s="7">
        <v>19.420000000000002</v>
      </c>
      <c r="H535" s="8">
        <f t="shared" si="9"/>
        <v>-1.0288580889870318E-3</v>
      </c>
    </row>
    <row r="536" spans="2:8" x14ac:dyDescent="0.2">
      <c r="B536" s="5">
        <v>44240</v>
      </c>
      <c r="C536" s="6" t="s">
        <v>16</v>
      </c>
      <c r="D536" s="7">
        <v>19.739999999999998</v>
      </c>
      <c r="E536" s="7">
        <v>19.739999999999998</v>
      </c>
      <c r="F536" s="7">
        <v>19.760000000000002</v>
      </c>
      <c r="G536" s="7">
        <v>19.469999000000001</v>
      </c>
      <c r="H536" s="8">
        <f t="shared" si="9"/>
        <v>1.5828770615986722E-2</v>
      </c>
    </row>
    <row r="537" spans="2:8" x14ac:dyDescent="0.2">
      <c r="B537" s="5">
        <v>44241</v>
      </c>
      <c r="C537" s="6" t="s">
        <v>16</v>
      </c>
      <c r="D537" s="7">
        <v>20.65</v>
      </c>
      <c r="E537" s="7">
        <v>20.65</v>
      </c>
      <c r="F537" s="7">
        <v>20.65</v>
      </c>
      <c r="G537" s="7">
        <v>20.34</v>
      </c>
      <c r="H537" s="8">
        <f t="shared" si="9"/>
        <v>4.5068285401706251E-2</v>
      </c>
    </row>
    <row r="538" spans="2:8" x14ac:dyDescent="0.2">
      <c r="B538" s="5">
        <v>44245</v>
      </c>
      <c r="C538" s="6" t="s">
        <v>16</v>
      </c>
      <c r="D538" s="7">
        <v>21.129999000000002</v>
      </c>
      <c r="E538" s="7">
        <v>21.129999000000002</v>
      </c>
      <c r="F538" s="7">
        <v>21.129999000000002</v>
      </c>
      <c r="G538" s="7">
        <v>20.780000999999999</v>
      </c>
      <c r="H538" s="8">
        <f t="shared" si="9"/>
        <v>2.2978464894846028E-2</v>
      </c>
    </row>
    <row r="539" spans="2:8" x14ac:dyDescent="0.2">
      <c r="B539" s="5">
        <v>44246</v>
      </c>
      <c r="C539" s="6" t="s">
        <v>16</v>
      </c>
      <c r="D539" s="7">
        <v>20.629999000000002</v>
      </c>
      <c r="E539" s="7">
        <v>20.629999000000002</v>
      </c>
      <c r="F539" s="7">
        <v>21.049999</v>
      </c>
      <c r="G539" s="7">
        <v>20.559999000000001</v>
      </c>
      <c r="H539" s="8">
        <f t="shared" si="9"/>
        <v>-2.3947505691825719E-2</v>
      </c>
    </row>
    <row r="540" spans="2:8" x14ac:dyDescent="0.2">
      <c r="B540" s="5">
        <v>44247</v>
      </c>
      <c r="C540" s="6" t="s">
        <v>16</v>
      </c>
      <c r="D540" s="7">
        <v>21</v>
      </c>
      <c r="E540" s="7">
        <v>21</v>
      </c>
      <c r="F540" s="7">
        <v>21.08</v>
      </c>
      <c r="G540" s="7">
        <v>20.790001</v>
      </c>
      <c r="H540" s="8">
        <f t="shared" si="9"/>
        <v>1.7776159113361049E-2</v>
      </c>
    </row>
    <row r="541" spans="2:8" x14ac:dyDescent="0.2">
      <c r="B541" s="5">
        <v>44248</v>
      </c>
      <c r="C541" s="6" t="s">
        <v>16</v>
      </c>
      <c r="D541" s="7">
        <v>20.969999000000001</v>
      </c>
      <c r="E541" s="7">
        <v>20.969999000000001</v>
      </c>
      <c r="F541" s="7">
        <v>21.139999</v>
      </c>
      <c r="G541" s="7">
        <v>20.84</v>
      </c>
      <c r="H541" s="8">
        <f t="shared" si="9"/>
        <v>-1.429640496767585E-3</v>
      </c>
    </row>
    <row r="542" spans="2:8" x14ac:dyDescent="0.2">
      <c r="B542" s="5">
        <v>44251</v>
      </c>
      <c r="C542" s="6" t="s">
        <v>16</v>
      </c>
      <c r="D542" s="7">
        <v>21.18</v>
      </c>
      <c r="E542" s="7">
        <v>21.18</v>
      </c>
      <c r="F542" s="7">
        <v>21.299999</v>
      </c>
      <c r="G542" s="7">
        <v>21.15</v>
      </c>
      <c r="H542" s="8">
        <f t="shared" si="9"/>
        <v>9.9645429466050529E-3</v>
      </c>
    </row>
    <row r="543" spans="2:8" x14ac:dyDescent="0.2">
      <c r="B543" s="5">
        <v>44252</v>
      </c>
      <c r="C543" s="6" t="s">
        <v>16</v>
      </c>
      <c r="D543" s="7">
        <v>21.02</v>
      </c>
      <c r="E543" s="7">
        <v>21.02</v>
      </c>
      <c r="F543" s="7">
        <v>21.17</v>
      </c>
      <c r="G543" s="7">
        <v>20.93</v>
      </c>
      <c r="H543" s="8">
        <f t="shared" si="9"/>
        <v>-7.5829747244553934E-3</v>
      </c>
    </row>
    <row r="544" spans="2:8" x14ac:dyDescent="0.2">
      <c r="B544" s="5">
        <v>44253</v>
      </c>
      <c r="C544" s="6" t="s">
        <v>16</v>
      </c>
      <c r="D544" s="7">
        <v>20.420000000000002</v>
      </c>
      <c r="E544" s="7">
        <v>20.420000000000002</v>
      </c>
      <c r="F544" s="7">
        <v>20.780000999999999</v>
      </c>
      <c r="G544" s="7">
        <v>20.290001</v>
      </c>
      <c r="H544" s="8">
        <f t="shared" si="9"/>
        <v>-2.8959552712285522E-2</v>
      </c>
    </row>
    <row r="545" spans="2:8" x14ac:dyDescent="0.2">
      <c r="B545" s="5">
        <v>44254</v>
      </c>
      <c r="C545" s="6" t="s">
        <v>16</v>
      </c>
      <c r="D545" s="7">
        <v>20.459999</v>
      </c>
      <c r="E545" s="7">
        <v>20.459999</v>
      </c>
      <c r="F545" s="7">
        <v>20.620000999999998</v>
      </c>
      <c r="G545" s="7">
        <v>20.370000999999998</v>
      </c>
      <c r="H545" s="8">
        <f t="shared" si="9"/>
        <v>1.9568989111043438E-3</v>
      </c>
    </row>
    <row r="546" spans="2:8" x14ac:dyDescent="0.2">
      <c r="B546" s="5">
        <v>44255</v>
      </c>
      <c r="C546" s="6" t="s">
        <v>16</v>
      </c>
      <c r="D546" s="7">
        <v>20.350000000000001</v>
      </c>
      <c r="E546" s="7">
        <v>20.350000000000001</v>
      </c>
      <c r="F546" s="7">
        <v>20.540001</v>
      </c>
      <c r="G546" s="7">
        <v>20.280000999999999</v>
      </c>
      <c r="H546" s="8">
        <f t="shared" si="9"/>
        <v>-5.390799759019853E-3</v>
      </c>
    </row>
    <row r="547" spans="2:8" x14ac:dyDescent="0.2">
      <c r="B547" s="5">
        <v>44258</v>
      </c>
      <c r="C547" s="6" t="s">
        <v>16</v>
      </c>
      <c r="D547" s="7">
        <v>20.620000999999998</v>
      </c>
      <c r="E547" s="7">
        <v>20.620000999999998</v>
      </c>
      <c r="F547" s="7">
        <v>20.83</v>
      </c>
      <c r="G547" s="7">
        <v>20.58</v>
      </c>
      <c r="H547" s="8">
        <f t="shared" si="9"/>
        <v>1.3180615196813681E-2</v>
      </c>
    </row>
    <row r="548" spans="2:8" x14ac:dyDescent="0.2">
      <c r="B548" s="5">
        <v>44259</v>
      </c>
      <c r="C548" s="6" t="s">
        <v>16</v>
      </c>
      <c r="D548" s="7">
        <v>20.370000999999998</v>
      </c>
      <c r="E548" s="7">
        <v>20.370000999999998</v>
      </c>
      <c r="F548" s="7">
        <v>20.469999000000001</v>
      </c>
      <c r="G548" s="7">
        <v>20.219999000000001</v>
      </c>
      <c r="H548" s="8">
        <f t="shared" si="9"/>
        <v>-1.2198247754902962E-2</v>
      </c>
    </row>
    <row r="549" spans="2:8" x14ac:dyDescent="0.2">
      <c r="B549" s="5">
        <v>44260</v>
      </c>
      <c r="C549" s="6" t="s">
        <v>16</v>
      </c>
      <c r="D549" s="7">
        <v>20.360001</v>
      </c>
      <c r="E549" s="7">
        <v>20.360001</v>
      </c>
      <c r="F549" s="7">
        <v>20.5</v>
      </c>
      <c r="G549" s="7">
        <v>20.34</v>
      </c>
      <c r="H549" s="8">
        <f t="shared" si="9"/>
        <v>-4.9103853228045188E-4</v>
      </c>
    </row>
    <row r="550" spans="2:8" x14ac:dyDescent="0.2">
      <c r="B550" s="5">
        <v>44261</v>
      </c>
      <c r="C550" s="6" t="s">
        <v>16</v>
      </c>
      <c r="D550" s="7">
        <v>20.66</v>
      </c>
      <c r="E550" s="7">
        <v>20.66</v>
      </c>
      <c r="F550" s="7">
        <v>20.809999000000001</v>
      </c>
      <c r="G550" s="7">
        <v>20.5</v>
      </c>
      <c r="H550" s="8">
        <f t="shared" si="9"/>
        <v>1.4627222893258199E-2</v>
      </c>
    </row>
    <row r="551" spans="2:8" x14ac:dyDescent="0.2">
      <c r="B551" s="5">
        <v>44262</v>
      </c>
      <c r="C551" s="6" t="s">
        <v>16</v>
      </c>
      <c r="D551" s="7">
        <v>20.079999999999998</v>
      </c>
      <c r="E551" s="7">
        <v>20.079999999999998</v>
      </c>
      <c r="F551" s="7">
        <v>20.23</v>
      </c>
      <c r="G551" s="7">
        <v>19.959999</v>
      </c>
      <c r="H551" s="8">
        <f t="shared" si="9"/>
        <v>-2.8475168867964126E-2</v>
      </c>
    </row>
    <row r="552" spans="2:8" x14ac:dyDescent="0.2">
      <c r="B552" s="5">
        <v>44265</v>
      </c>
      <c r="C552" s="6" t="s">
        <v>16</v>
      </c>
      <c r="D552" s="7">
        <v>20.010000000000002</v>
      </c>
      <c r="E552" s="7">
        <v>20.010000000000002</v>
      </c>
      <c r="F552" s="7">
        <v>20.170000000000002</v>
      </c>
      <c r="G552" s="7">
        <v>20</v>
      </c>
      <c r="H552" s="8">
        <f t="shared" si="9"/>
        <v>-3.4921462278862904E-3</v>
      </c>
    </row>
    <row r="553" spans="2:8" x14ac:dyDescent="0.2">
      <c r="B553" s="5">
        <v>44266</v>
      </c>
      <c r="C553" s="6" t="s">
        <v>16</v>
      </c>
      <c r="D553" s="7">
        <v>20.040001</v>
      </c>
      <c r="E553" s="7">
        <v>20.040001</v>
      </c>
      <c r="F553" s="7">
        <v>20.379999000000002</v>
      </c>
      <c r="G553" s="7">
        <v>19.870000999999998</v>
      </c>
      <c r="H553" s="8">
        <f t="shared" si="9"/>
        <v>1.4981775212202046E-3</v>
      </c>
    </row>
    <row r="554" spans="2:8" x14ac:dyDescent="0.2">
      <c r="B554" s="5">
        <v>44267</v>
      </c>
      <c r="C554" s="6" t="s">
        <v>16</v>
      </c>
      <c r="D554" s="7">
        <v>20.469999000000001</v>
      </c>
      <c r="E554" s="7">
        <v>20.469999000000001</v>
      </c>
      <c r="F554" s="7">
        <v>20.610001</v>
      </c>
      <c r="G554" s="7">
        <v>20.190000999999999</v>
      </c>
      <c r="H554" s="8">
        <f t="shared" si="9"/>
        <v>2.1230024704356133E-2</v>
      </c>
    </row>
    <row r="555" spans="2:8" x14ac:dyDescent="0.2">
      <c r="B555" s="5">
        <v>44268</v>
      </c>
      <c r="C555" s="6" t="s">
        <v>16</v>
      </c>
      <c r="D555" s="7">
        <v>20.360001</v>
      </c>
      <c r="E555" s="7">
        <v>20.360001</v>
      </c>
      <c r="F555" s="7">
        <v>20.530000999999999</v>
      </c>
      <c r="G555" s="7">
        <v>20.34</v>
      </c>
      <c r="H555" s="8">
        <f t="shared" si="9"/>
        <v>-5.3881100229841552E-3</v>
      </c>
    </row>
    <row r="556" spans="2:8" x14ac:dyDescent="0.2">
      <c r="B556" s="5">
        <v>44269</v>
      </c>
      <c r="C556" s="6" t="s">
        <v>16</v>
      </c>
      <c r="D556" s="7">
        <v>20.620000999999998</v>
      </c>
      <c r="E556" s="7">
        <v>20.620000999999998</v>
      </c>
      <c r="F556" s="7">
        <v>20.92</v>
      </c>
      <c r="G556" s="7">
        <v>20.49</v>
      </c>
      <c r="H556" s="8">
        <f t="shared" si="9"/>
        <v>1.2689286287183535E-2</v>
      </c>
    </row>
    <row r="557" spans="2:8" x14ac:dyDescent="0.2">
      <c r="B557" s="5">
        <v>44272</v>
      </c>
      <c r="C557" s="6" t="s">
        <v>16</v>
      </c>
      <c r="D557" s="7">
        <v>20.329999999999998</v>
      </c>
      <c r="E557" s="7">
        <v>20.329999999999998</v>
      </c>
      <c r="F557" s="7">
        <v>20.620000999999998</v>
      </c>
      <c r="G557" s="7">
        <v>20.309999000000001</v>
      </c>
      <c r="H557" s="8">
        <f t="shared" si="9"/>
        <v>-1.416389944516263E-2</v>
      </c>
    </row>
    <row r="558" spans="2:8" x14ac:dyDescent="0.2">
      <c r="B558" s="5">
        <v>44273</v>
      </c>
      <c r="C558" s="6" t="s">
        <v>16</v>
      </c>
      <c r="D558" s="7">
        <v>20.010000000000002</v>
      </c>
      <c r="E558" s="7">
        <v>20.010000000000002</v>
      </c>
      <c r="F558" s="7">
        <v>20.110001</v>
      </c>
      <c r="G558" s="7">
        <v>19.950001</v>
      </c>
      <c r="H558" s="8">
        <f t="shared" si="9"/>
        <v>-1.5865479044613089E-2</v>
      </c>
    </row>
    <row r="559" spans="2:8" x14ac:dyDescent="0.2">
      <c r="B559" s="5">
        <v>44274</v>
      </c>
      <c r="C559" s="6" t="s">
        <v>16</v>
      </c>
      <c r="D559" s="7">
        <v>19.790001</v>
      </c>
      <c r="E559" s="7">
        <v>19.790001</v>
      </c>
      <c r="F559" s="7">
        <v>20.100000000000001</v>
      </c>
      <c r="G559" s="7">
        <v>19.719999000000001</v>
      </c>
      <c r="H559" s="8">
        <f t="shared" si="9"/>
        <v>-1.1055338450597987E-2</v>
      </c>
    </row>
    <row r="560" spans="2:8" x14ac:dyDescent="0.2">
      <c r="B560" s="5">
        <v>44275</v>
      </c>
      <c r="C560" s="6" t="s">
        <v>16</v>
      </c>
      <c r="D560" s="7">
        <v>19.52</v>
      </c>
      <c r="E560" s="7">
        <v>19.52</v>
      </c>
      <c r="F560" s="7">
        <v>19.66</v>
      </c>
      <c r="G560" s="7">
        <v>19.489999999999998</v>
      </c>
      <c r="H560" s="8">
        <f t="shared" si="9"/>
        <v>-1.3737229160097673E-2</v>
      </c>
    </row>
    <row r="561" spans="2:8" x14ac:dyDescent="0.2">
      <c r="B561" s="5">
        <v>44276</v>
      </c>
      <c r="C561" s="6" t="s">
        <v>16</v>
      </c>
      <c r="D561" s="7">
        <v>19.52</v>
      </c>
      <c r="E561" s="7">
        <v>19.52</v>
      </c>
      <c r="F561" s="7">
        <v>19.68</v>
      </c>
      <c r="G561" s="7">
        <v>19.489999999999998</v>
      </c>
      <c r="H561" s="8">
        <f t="shared" si="9"/>
        <v>0</v>
      </c>
    </row>
    <row r="562" spans="2:8" x14ac:dyDescent="0.2">
      <c r="B562" s="5">
        <v>44279</v>
      </c>
      <c r="C562" s="6" t="s">
        <v>16</v>
      </c>
      <c r="D562" s="7">
        <v>19.209999</v>
      </c>
      <c r="E562" s="7">
        <v>19.209999</v>
      </c>
      <c r="F562" s="7">
        <v>19.420000000000002</v>
      </c>
      <c r="G562" s="7">
        <v>19.16</v>
      </c>
      <c r="H562" s="8">
        <f t="shared" si="9"/>
        <v>-1.6008656260703184E-2</v>
      </c>
    </row>
    <row r="563" spans="2:8" x14ac:dyDescent="0.2">
      <c r="B563" s="5">
        <v>44280</v>
      </c>
      <c r="C563" s="6" t="s">
        <v>16</v>
      </c>
      <c r="D563" s="7">
        <v>19.219999000000001</v>
      </c>
      <c r="E563" s="7">
        <v>19.219999000000001</v>
      </c>
      <c r="F563" s="7">
        <v>19.399999999999999</v>
      </c>
      <c r="G563" s="7">
        <v>19.18</v>
      </c>
      <c r="H563" s="8">
        <f t="shared" si="9"/>
        <v>5.2042678876561277E-4</v>
      </c>
    </row>
    <row r="564" spans="2:8" x14ac:dyDescent="0.2">
      <c r="B564" s="5">
        <v>44281</v>
      </c>
      <c r="C564" s="6" t="s">
        <v>16</v>
      </c>
      <c r="D564" s="7">
        <v>19.02</v>
      </c>
      <c r="E564" s="7">
        <v>19.02</v>
      </c>
      <c r="F564" s="7">
        <v>19.260000000000002</v>
      </c>
      <c r="G564" s="7">
        <v>18.93</v>
      </c>
      <c r="H564" s="8">
        <f t="shared" si="9"/>
        <v>-1.0460294395764576E-2</v>
      </c>
    </row>
    <row r="565" spans="2:8" x14ac:dyDescent="0.2">
      <c r="B565" s="5">
        <v>44282</v>
      </c>
      <c r="C565" s="6" t="s">
        <v>16</v>
      </c>
      <c r="D565" s="7">
        <v>19</v>
      </c>
      <c r="E565" s="7">
        <v>19</v>
      </c>
      <c r="F565" s="7">
        <v>19.02</v>
      </c>
      <c r="G565" s="7">
        <v>18.870000999999998</v>
      </c>
      <c r="H565" s="8">
        <f t="shared" si="9"/>
        <v>-1.0520779508037803E-3</v>
      </c>
    </row>
    <row r="566" spans="2:8" x14ac:dyDescent="0.2">
      <c r="B566" s="5">
        <v>44283</v>
      </c>
      <c r="C566" s="6" t="s">
        <v>16</v>
      </c>
      <c r="D566" s="7">
        <v>19.059999000000001</v>
      </c>
      <c r="E566" s="7">
        <v>19.059999000000001</v>
      </c>
      <c r="F566" s="7">
        <v>19.129999000000002</v>
      </c>
      <c r="G566" s="7">
        <v>18.969999000000001</v>
      </c>
      <c r="H566" s="8">
        <f t="shared" si="9"/>
        <v>3.1528665937170458E-3</v>
      </c>
    </row>
    <row r="567" spans="2:8" x14ac:dyDescent="0.2">
      <c r="B567" s="5">
        <v>44286</v>
      </c>
      <c r="C567" s="6" t="s">
        <v>16</v>
      </c>
      <c r="D567" s="7">
        <v>19.040001</v>
      </c>
      <c r="E567" s="7">
        <v>19.040001</v>
      </c>
      <c r="F567" s="7">
        <v>19.129999000000002</v>
      </c>
      <c r="G567" s="7">
        <v>18.98</v>
      </c>
      <c r="H567" s="8">
        <f t="shared" si="9"/>
        <v>-1.0497638759312778E-3</v>
      </c>
    </row>
    <row r="568" spans="2:8" x14ac:dyDescent="0.2">
      <c r="B568" s="5">
        <v>44287</v>
      </c>
      <c r="C568" s="6" t="s">
        <v>16</v>
      </c>
      <c r="D568" s="7">
        <v>19.059999000000001</v>
      </c>
      <c r="E568" s="7">
        <v>19.059999000000001</v>
      </c>
      <c r="F568" s="7">
        <v>19.079999999999998</v>
      </c>
      <c r="G568" s="7">
        <v>18.93</v>
      </c>
      <c r="H568" s="8">
        <f t="shared" si="9"/>
        <v>1.0497638759313492E-3</v>
      </c>
    </row>
    <row r="569" spans="2:8" x14ac:dyDescent="0.2">
      <c r="B569" s="5">
        <v>44288</v>
      </c>
      <c r="C569" s="6" t="s">
        <v>16</v>
      </c>
      <c r="D569" s="7">
        <v>19.190000999999999</v>
      </c>
      <c r="E569" s="7">
        <v>19.190000999999999</v>
      </c>
      <c r="F569" s="7">
        <v>19.32</v>
      </c>
      <c r="G569" s="7">
        <v>19.18</v>
      </c>
      <c r="H569" s="8">
        <f t="shared" si="9"/>
        <v>6.797516369923649E-3</v>
      </c>
    </row>
    <row r="570" spans="2:8" x14ac:dyDescent="0.2">
      <c r="B570" s="5">
        <v>44289</v>
      </c>
      <c r="C570" s="6" t="s">
        <v>16</v>
      </c>
      <c r="D570" s="7">
        <v>19.059999000000001</v>
      </c>
      <c r="E570" s="7">
        <v>19.059999000000001</v>
      </c>
      <c r="F570" s="7">
        <v>19.139999</v>
      </c>
      <c r="G570" s="7">
        <v>19.010000000000002</v>
      </c>
      <c r="H570" s="8">
        <f t="shared" si="9"/>
        <v>-6.7975163699237826E-3</v>
      </c>
    </row>
    <row r="571" spans="2:8" x14ac:dyDescent="0.2">
      <c r="B571" s="5">
        <v>44290</v>
      </c>
      <c r="C571" s="6" t="s">
        <v>16</v>
      </c>
      <c r="D571" s="7">
        <v>19.16</v>
      </c>
      <c r="E571" s="7">
        <v>19.16</v>
      </c>
      <c r="F571" s="7">
        <v>19.43</v>
      </c>
      <c r="G571" s="7">
        <v>19.079999999999998</v>
      </c>
      <c r="H571" s="8">
        <f t="shared" si="9"/>
        <v>5.2329267825568532E-3</v>
      </c>
    </row>
    <row r="572" spans="2:8" x14ac:dyDescent="0.2">
      <c r="B572" s="5">
        <v>44293</v>
      </c>
      <c r="C572" s="6" t="s">
        <v>16</v>
      </c>
      <c r="D572" s="7">
        <v>19.129999000000002</v>
      </c>
      <c r="E572" s="7">
        <v>19.129999000000002</v>
      </c>
      <c r="F572" s="7">
        <v>19.25</v>
      </c>
      <c r="G572" s="7">
        <v>19.059999000000001</v>
      </c>
      <c r="H572" s="8">
        <f t="shared" si="9"/>
        <v>-1.5670413644696222E-3</v>
      </c>
    </row>
    <row r="573" spans="2:8" x14ac:dyDescent="0.2">
      <c r="B573" s="5">
        <v>44294</v>
      </c>
      <c r="C573" s="6" t="s">
        <v>16</v>
      </c>
      <c r="D573" s="7">
        <v>19.23</v>
      </c>
      <c r="E573" s="7">
        <v>19.23</v>
      </c>
      <c r="F573" s="7">
        <v>19.34</v>
      </c>
      <c r="G573" s="7">
        <v>19.209999</v>
      </c>
      <c r="H573" s="8">
        <f t="shared" si="9"/>
        <v>5.2138284224435812E-3</v>
      </c>
    </row>
    <row r="574" spans="2:8" x14ac:dyDescent="0.2">
      <c r="B574" s="5">
        <v>44295</v>
      </c>
      <c r="C574" s="6" t="s">
        <v>16</v>
      </c>
      <c r="D574" s="7">
        <v>19.110001</v>
      </c>
      <c r="E574" s="7">
        <v>19.110001</v>
      </c>
      <c r="F574" s="7">
        <v>19.18</v>
      </c>
      <c r="G574" s="7">
        <v>18.950001</v>
      </c>
      <c r="H574" s="8">
        <f t="shared" si="9"/>
        <v>-6.2597490198842741E-3</v>
      </c>
    </row>
    <row r="575" spans="2:8" x14ac:dyDescent="0.2">
      <c r="B575" s="5">
        <v>44296</v>
      </c>
      <c r="C575" s="6" t="s">
        <v>16</v>
      </c>
      <c r="D575" s="7">
        <v>19.27</v>
      </c>
      <c r="E575" s="7">
        <v>19.27</v>
      </c>
      <c r="F575" s="7">
        <v>19.450001</v>
      </c>
      <c r="G575" s="7">
        <v>19.260000000000002</v>
      </c>
      <c r="H575" s="8">
        <f t="shared" si="9"/>
        <v>8.3376718454709186E-3</v>
      </c>
    </row>
    <row r="576" spans="2:8" x14ac:dyDescent="0.2">
      <c r="B576" s="5">
        <v>44297</v>
      </c>
      <c r="C576" s="6" t="s">
        <v>16</v>
      </c>
      <c r="D576" s="7">
        <v>19.190000999999999</v>
      </c>
      <c r="E576" s="7">
        <v>19.190000999999999</v>
      </c>
      <c r="F576" s="7">
        <v>19.290001</v>
      </c>
      <c r="G576" s="7">
        <v>19.170000000000002</v>
      </c>
      <c r="H576" s="8">
        <f t="shared" si="9"/>
        <v>-4.160120296193631E-3</v>
      </c>
    </row>
    <row r="577" spans="2:8" x14ac:dyDescent="0.2">
      <c r="B577" s="5">
        <v>44300</v>
      </c>
      <c r="C577" s="6" t="s">
        <v>16</v>
      </c>
      <c r="D577" s="7">
        <v>19.209999</v>
      </c>
      <c r="E577" s="7">
        <v>19.209999</v>
      </c>
      <c r="F577" s="7">
        <v>19.32</v>
      </c>
      <c r="G577" s="7">
        <v>19.190000999999999</v>
      </c>
      <c r="H577" s="8">
        <f t="shared" si="9"/>
        <v>1.0415625941619132E-3</v>
      </c>
    </row>
    <row r="578" spans="2:8" x14ac:dyDescent="0.2">
      <c r="B578" s="5">
        <v>44301</v>
      </c>
      <c r="C578" s="6" t="s">
        <v>16</v>
      </c>
      <c r="D578" s="7">
        <v>18.879999000000002</v>
      </c>
      <c r="E578" s="7">
        <v>18.879999000000002</v>
      </c>
      <c r="F578" s="7">
        <v>18.889999</v>
      </c>
      <c r="G578" s="7">
        <v>18.670000000000002</v>
      </c>
      <c r="H578" s="8">
        <f t="shared" si="9"/>
        <v>-1.7327816972991555E-2</v>
      </c>
    </row>
    <row r="579" spans="2:8" x14ac:dyDescent="0.2">
      <c r="B579" s="5">
        <v>44302</v>
      </c>
      <c r="C579" s="6" t="s">
        <v>16</v>
      </c>
      <c r="D579" s="7">
        <v>18.879999000000002</v>
      </c>
      <c r="E579" s="7">
        <v>18.879999000000002</v>
      </c>
      <c r="F579" s="7">
        <v>18.93</v>
      </c>
      <c r="G579" s="7">
        <v>18.799999</v>
      </c>
      <c r="H579" s="8">
        <f t="shared" si="9"/>
        <v>0</v>
      </c>
    </row>
    <row r="580" spans="2:8" x14ac:dyDescent="0.2">
      <c r="B580" s="5">
        <v>44303</v>
      </c>
      <c r="C580" s="6" t="s">
        <v>16</v>
      </c>
      <c r="D580" s="7">
        <v>18.879999000000002</v>
      </c>
      <c r="E580" s="7">
        <v>18.879999000000002</v>
      </c>
      <c r="F580" s="7">
        <v>18.91</v>
      </c>
      <c r="G580" s="7">
        <v>18.809999000000001</v>
      </c>
      <c r="H580" s="8">
        <f t="shared" ref="H580:H643" si="10">IF(C580=C579, LN(E580/E579), "")</f>
        <v>0</v>
      </c>
    </row>
    <row r="581" spans="2:8" x14ac:dyDescent="0.2">
      <c r="B581" s="5">
        <v>44307</v>
      </c>
      <c r="C581" s="6" t="s">
        <v>16</v>
      </c>
      <c r="D581" s="7">
        <v>18.670000000000002</v>
      </c>
      <c r="E581" s="7">
        <v>18.670000000000002</v>
      </c>
      <c r="F581" s="7">
        <v>18.690000999999999</v>
      </c>
      <c r="G581" s="7">
        <v>18.600000000000001</v>
      </c>
      <c r="H581" s="8">
        <f t="shared" si="10"/>
        <v>-1.1185150197620326E-2</v>
      </c>
    </row>
    <row r="582" spans="2:8" x14ac:dyDescent="0.2">
      <c r="B582" s="5">
        <v>44308</v>
      </c>
      <c r="C582" s="6" t="s">
        <v>16</v>
      </c>
      <c r="D582" s="7">
        <v>18.709999</v>
      </c>
      <c r="E582" s="7">
        <v>18.709999</v>
      </c>
      <c r="F582" s="7">
        <v>18.719999000000001</v>
      </c>
      <c r="G582" s="7">
        <v>18.57</v>
      </c>
      <c r="H582" s="8">
        <f t="shared" si="10"/>
        <v>2.1401292850111637E-3</v>
      </c>
    </row>
    <row r="583" spans="2:8" x14ac:dyDescent="0.2">
      <c r="B583" s="5">
        <v>44309</v>
      </c>
      <c r="C583" s="6" t="s">
        <v>16</v>
      </c>
      <c r="D583" s="7">
        <v>18.690000999999999</v>
      </c>
      <c r="E583" s="7">
        <v>18.690000999999999</v>
      </c>
      <c r="F583" s="7">
        <v>18.75</v>
      </c>
      <c r="G583" s="7">
        <v>18.66</v>
      </c>
      <c r="H583" s="8">
        <f t="shared" si="10"/>
        <v>-1.0694118666246218E-3</v>
      </c>
    </row>
    <row r="584" spans="2:8" x14ac:dyDescent="0.2">
      <c r="B584" s="5">
        <v>44310</v>
      </c>
      <c r="C584" s="6" t="s">
        <v>16</v>
      </c>
      <c r="D584" s="7">
        <v>18.920000000000002</v>
      </c>
      <c r="E584" s="7">
        <v>18.920000000000002</v>
      </c>
      <c r="F584" s="7">
        <v>19.139999</v>
      </c>
      <c r="G584" s="7">
        <v>18.57</v>
      </c>
      <c r="H584" s="8">
        <f t="shared" si="10"/>
        <v>1.2230888651714476E-2</v>
      </c>
    </row>
    <row r="585" spans="2:8" x14ac:dyDescent="0.2">
      <c r="B585" s="5">
        <v>44311</v>
      </c>
      <c r="C585" s="6" t="s">
        <v>16</v>
      </c>
      <c r="D585" s="7">
        <v>18.940000999999999</v>
      </c>
      <c r="E585" s="7">
        <v>18.940000999999999</v>
      </c>
      <c r="F585" s="7">
        <v>19.030000999999999</v>
      </c>
      <c r="G585" s="7">
        <v>18.870000999999998</v>
      </c>
      <c r="H585" s="8">
        <f t="shared" si="10"/>
        <v>1.0565769325089408E-3</v>
      </c>
    </row>
    <row r="586" spans="2:8" x14ac:dyDescent="0.2">
      <c r="B586" s="5">
        <v>44314</v>
      </c>
      <c r="C586" s="6" t="s">
        <v>16</v>
      </c>
      <c r="D586" s="7">
        <v>18.850000000000001</v>
      </c>
      <c r="E586" s="7">
        <v>18.850000000000001</v>
      </c>
      <c r="F586" s="7">
        <v>18.870000999999998</v>
      </c>
      <c r="G586" s="7">
        <v>18.739999999999998</v>
      </c>
      <c r="H586" s="8">
        <f t="shared" si="10"/>
        <v>-4.7632266622213348E-3</v>
      </c>
    </row>
    <row r="587" spans="2:8" x14ac:dyDescent="0.2">
      <c r="B587" s="5">
        <v>44315</v>
      </c>
      <c r="C587" s="6" t="s">
        <v>16</v>
      </c>
      <c r="D587" s="7">
        <v>18.760000000000002</v>
      </c>
      <c r="E587" s="7">
        <v>18.760000000000002</v>
      </c>
      <c r="F587" s="7">
        <v>18.799999</v>
      </c>
      <c r="G587" s="7">
        <v>18.68</v>
      </c>
      <c r="H587" s="8">
        <f t="shared" si="10"/>
        <v>-4.7859703159411297E-3</v>
      </c>
    </row>
    <row r="588" spans="2:8" x14ac:dyDescent="0.2">
      <c r="B588" s="5">
        <v>44316</v>
      </c>
      <c r="C588" s="6" t="s">
        <v>16</v>
      </c>
      <c r="D588" s="7">
        <v>18.459999</v>
      </c>
      <c r="E588" s="7">
        <v>18.459999</v>
      </c>
      <c r="F588" s="7">
        <v>18.530000999999999</v>
      </c>
      <c r="G588" s="7">
        <v>18.32</v>
      </c>
      <c r="H588" s="8">
        <f t="shared" si="10"/>
        <v>-1.6120768674555037E-2</v>
      </c>
    </row>
    <row r="589" spans="2:8" x14ac:dyDescent="0.2">
      <c r="B589" s="5">
        <v>44317</v>
      </c>
      <c r="C589" s="6" t="s">
        <v>16</v>
      </c>
      <c r="D589" s="7">
        <v>18.350000000000001</v>
      </c>
      <c r="E589" s="7">
        <v>18.350000000000001</v>
      </c>
      <c r="F589" s="7">
        <v>18.389999</v>
      </c>
      <c r="G589" s="7">
        <v>18.16</v>
      </c>
      <c r="H589" s="8">
        <f t="shared" si="10"/>
        <v>-5.976600402944318E-3</v>
      </c>
    </row>
    <row r="590" spans="2:8" x14ac:dyDescent="0.2">
      <c r="B590" s="5">
        <v>44318</v>
      </c>
      <c r="C590" s="6" t="s">
        <v>16</v>
      </c>
      <c r="D590" s="7">
        <v>18.690000999999999</v>
      </c>
      <c r="E590" s="7">
        <v>18.690000999999999</v>
      </c>
      <c r="F590" s="7">
        <v>18.920000000000002</v>
      </c>
      <c r="G590" s="7">
        <v>18.34</v>
      </c>
      <c r="H590" s="8">
        <f t="shared" si="10"/>
        <v>1.8359100471438562E-2</v>
      </c>
    </row>
    <row r="591" spans="2:8" x14ac:dyDescent="0.2">
      <c r="B591" s="5">
        <v>44321</v>
      </c>
      <c r="C591" s="6" t="s">
        <v>16</v>
      </c>
      <c r="D591" s="7">
        <v>18.84</v>
      </c>
      <c r="E591" s="7">
        <v>18.84</v>
      </c>
      <c r="F591" s="7">
        <v>18.899999999999999</v>
      </c>
      <c r="G591" s="7">
        <v>18.780000999999999</v>
      </c>
      <c r="H591" s="8">
        <f t="shared" si="10"/>
        <v>7.9935941761991019E-3</v>
      </c>
    </row>
    <row r="592" spans="2:8" x14ac:dyDescent="0.2">
      <c r="B592" s="5">
        <v>44322</v>
      </c>
      <c r="C592" s="6" t="s">
        <v>16</v>
      </c>
      <c r="D592" s="7">
        <v>18.799999</v>
      </c>
      <c r="E592" s="7">
        <v>18.799999</v>
      </c>
      <c r="F592" s="7">
        <v>18.899999999999999</v>
      </c>
      <c r="G592" s="7">
        <v>18.77</v>
      </c>
      <c r="H592" s="8">
        <f t="shared" si="10"/>
        <v>-2.1254525038043189E-3</v>
      </c>
    </row>
    <row r="593" spans="2:8" x14ac:dyDescent="0.2">
      <c r="B593" s="5">
        <v>44323</v>
      </c>
      <c r="C593" s="6" t="s">
        <v>16</v>
      </c>
      <c r="D593" s="7">
        <v>18.57</v>
      </c>
      <c r="E593" s="7">
        <v>18.57</v>
      </c>
      <c r="F593" s="7">
        <v>18.760000000000002</v>
      </c>
      <c r="G593" s="7">
        <v>18.540001</v>
      </c>
      <c r="H593" s="8">
        <f t="shared" si="10"/>
        <v>-1.2309441279798336E-2</v>
      </c>
    </row>
    <row r="594" spans="2:8" x14ac:dyDescent="0.2">
      <c r="B594" s="5">
        <v>44324</v>
      </c>
      <c r="C594" s="6" t="s">
        <v>16</v>
      </c>
      <c r="D594" s="7">
        <v>18.440000999999999</v>
      </c>
      <c r="E594" s="7">
        <v>18.440000999999999</v>
      </c>
      <c r="F594" s="7">
        <v>18.530000999999999</v>
      </c>
      <c r="G594" s="7">
        <v>18.379999000000002</v>
      </c>
      <c r="H594" s="8">
        <f t="shared" si="10"/>
        <v>-7.0251030062332869E-3</v>
      </c>
    </row>
    <row r="595" spans="2:8" x14ac:dyDescent="0.2">
      <c r="B595" s="5">
        <v>44325</v>
      </c>
      <c r="C595" s="6" t="s">
        <v>16</v>
      </c>
      <c r="D595" s="7">
        <v>18.420000000000002</v>
      </c>
      <c r="E595" s="7">
        <v>18.420000000000002</v>
      </c>
      <c r="F595" s="7">
        <v>18.489999999999998</v>
      </c>
      <c r="G595" s="7">
        <v>18.309999000000001</v>
      </c>
      <c r="H595" s="8">
        <f t="shared" si="10"/>
        <v>-1.0852415312202974E-3</v>
      </c>
    </row>
    <row r="596" spans="2:8" x14ac:dyDescent="0.2">
      <c r="B596" s="5">
        <v>44328</v>
      </c>
      <c r="C596" s="6" t="s">
        <v>16</v>
      </c>
      <c r="D596" s="7">
        <v>18.780000999999999</v>
      </c>
      <c r="E596" s="7">
        <v>18.780000999999999</v>
      </c>
      <c r="F596" s="7">
        <v>18.889999</v>
      </c>
      <c r="G596" s="7">
        <v>18.75</v>
      </c>
      <c r="H596" s="8">
        <f t="shared" si="10"/>
        <v>1.93554962010908E-2</v>
      </c>
    </row>
    <row r="597" spans="2:8" x14ac:dyDescent="0.2">
      <c r="B597" s="5">
        <v>44329</v>
      </c>
      <c r="C597" s="6" t="s">
        <v>16</v>
      </c>
      <c r="D597" s="7">
        <v>18.77</v>
      </c>
      <c r="E597" s="7">
        <v>18.77</v>
      </c>
      <c r="F597" s="7">
        <v>18.84</v>
      </c>
      <c r="G597" s="7">
        <v>18.739999999999998</v>
      </c>
      <c r="H597" s="8">
        <f t="shared" si="10"/>
        <v>-5.3267642983428583E-4</v>
      </c>
    </row>
    <row r="598" spans="2:8" x14ac:dyDescent="0.2">
      <c r="B598" s="5">
        <v>44330</v>
      </c>
      <c r="C598" s="6" t="s">
        <v>16</v>
      </c>
      <c r="D598" s="7">
        <v>19</v>
      </c>
      <c r="E598" s="7">
        <v>19</v>
      </c>
      <c r="F598" s="7">
        <v>19.079999999999998</v>
      </c>
      <c r="G598" s="7">
        <v>18.920000000000002</v>
      </c>
      <c r="H598" s="8">
        <f t="shared" si="10"/>
        <v>1.2179128568023091E-2</v>
      </c>
    </row>
    <row r="599" spans="2:8" x14ac:dyDescent="0.2">
      <c r="B599" s="5">
        <v>44331</v>
      </c>
      <c r="C599" s="6" t="s">
        <v>16</v>
      </c>
      <c r="D599" s="7">
        <v>18.739999999999998</v>
      </c>
      <c r="E599" s="7">
        <v>18.739999999999998</v>
      </c>
      <c r="F599" s="7">
        <v>18.860001</v>
      </c>
      <c r="G599" s="7">
        <v>18.68</v>
      </c>
      <c r="H599" s="8">
        <f t="shared" si="10"/>
        <v>-1.3778702356164397E-2</v>
      </c>
    </row>
    <row r="600" spans="2:8" x14ac:dyDescent="0.2">
      <c r="B600" s="5">
        <v>44332</v>
      </c>
      <c r="C600" s="6" t="s">
        <v>16</v>
      </c>
      <c r="D600" s="7">
        <v>18.610001</v>
      </c>
      <c r="E600" s="7">
        <v>18.610001</v>
      </c>
      <c r="F600" s="7">
        <v>18.66</v>
      </c>
      <c r="G600" s="7">
        <v>18.52</v>
      </c>
      <c r="H600" s="8">
        <f t="shared" si="10"/>
        <v>-6.9611524215668005E-3</v>
      </c>
    </row>
    <row r="601" spans="2:8" x14ac:dyDescent="0.2">
      <c r="B601" s="5">
        <v>44335</v>
      </c>
      <c r="C601" s="6" t="s">
        <v>16</v>
      </c>
      <c r="D601" s="7">
        <v>18.629999000000002</v>
      </c>
      <c r="E601" s="7">
        <v>18.629999000000002</v>
      </c>
      <c r="F601" s="7">
        <v>18.790001</v>
      </c>
      <c r="G601" s="7">
        <v>18.579999999999998</v>
      </c>
      <c r="H601" s="8">
        <f t="shared" si="10"/>
        <v>1.074006547921273E-3</v>
      </c>
    </row>
    <row r="602" spans="2:8" x14ac:dyDescent="0.2">
      <c r="B602" s="5">
        <v>44336</v>
      </c>
      <c r="C602" s="6" t="s">
        <v>16</v>
      </c>
      <c r="D602" s="7">
        <v>18.649999999999999</v>
      </c>
      <c r="E602" s="7">
        <v>18.649999999999999</v>
      </c>
      <c r="F602" s="7">
        <v>18.700001</v>
      </c>
      <c r="G602" s="7">
        <v>18.510000000000002</v>
      </c>
      <c r="H602" s="8">
        <f t="shared" si="10"/>
        <v>1.0730151531940925E-3</v>
      </c>
    </row>
    <row r="603" spans="2:8" x14ac:dyDescent="0.2">
      <c r="B603" s="5">
        <v>44337</v>
      </c>
      <c r="C603" s="6" t="s">
        <v>16</v>
      </c>
      <c r="D603" s="7">
        <v>18.639999</v>
      </c>
      <c r="E603" s="7">
        <v>18.639999</v>
      </c>
      <c r="F603" s="7">
        <v>18.709999</v>
      </c>
      <c r="G603" s="7">
        <v>18.52</v>
      </c>
      <c r="H603" s="8">
        <f t="shared" si="10"/>
        <v>-5.3639048044944659E-4</v>
      </c>
    </row>
    <row r="604" spans="2:8" x14ac:dyDescent="0.2">
      <c r="B604" s="5">
        <v>44338</v>
      </c>
      <c r="C604" s="6" t="s">
        <v>16</v>
      </c>
      <c r="D604" s="7">
        <v>18.73</v>
      </c>
      <c r="E604" s="7">
        <v>18.73</v>
      </c>
      <c r="F604" s="7">
        <v>18.879999000000002</v>
      </c>
      <c r="G604" s="7">
        <v>18.709999</v>
      </c>
      <c r="H604" s="8">
        <f t="shared" si="10"/>
        <v>4.8167608466221003E-3</v>
      </c>
    </row>
    <row r="605" spans="2:8" x14ac:dyDescent="0.2">
      <c r="B605" s="5">
        <v>44339</v>
      </c>
      <c r="C605" s="6" t="s">
        <v>16</v>
      </c>
      <c r="D605" s="7">
        <v>18.66</v>
      </c>
      <c r="E605" s="7">
        <v>18.66</v>
      </c>
      <c r="F605" s="7">
        <v>18.719999000000001</v>
      </c>
      <c r="G605" s="7">
        <v>18.620000999999998</v>
      </c>
      <c r="H605" s="8">
        <f t="shared" si="10"/>
        <v>-3.7443210367994113E-3</v>
      </c>
    </row>
    <row r="606" spans="2:8" x14ac:dyDescent="0.2">
      <c r="B606" s="5">
        <v>44343</v>
      </c>
      <c r="C606" s="6" t="s">
        <v>16</v>
      </c>
      <c r="D606" s="7">
        <v>18.360001</v>
      </c>
      <c r="E606" s="7">
        <v>18.360001</v>
      </c>
      <c r="F606" s="7">
        <v>18.420000000000002</v>
      </c>
      <c r="G606" s="7">
        <v>18.290001</v>
      </c>
      <c r="H606" s="8">
        <f t="shared" si="10"/>
        <v>-1.6207755760623936E-2</v>
      </c>
    </row>
    <row r="607" spans="2:8" x14ac:dyDescent="0.2">
      <c r="B607" s="5">
        <v>44344</v>
      </c>
      <c r="C607" s="6" t="s">
        <v>16</v>
      </c>
      <c r="D607" s="7">
        <v>18.280000999999999</v>
      </c>
      <c r="E607" s="7">
        <v>18.280000999999999</v>
      </c>
      <c r="F607" s="7">
        <v>18.360001</v>
      </c>
      <c r="G607" s="7">
        <v>18.25</v>
      </c>
      <c r="H607" s="8">
        <f t="shared" si="10"/>
        <v>-4.3668189279762867E-3</v>
      </c>
    </row>
    <row r="608" spans="2:8" x14ac:dyDescent="0.2">
      <c r="B608" s="5">
        <v>44345</v>
      </c>
      <c r="C608" s="6" t="s">
        <v>16</v>
      </c>
      <c r="D608" s="7">
        <v>18.299999</v>
      </c>
      <c r="E608" s="7">
        <v>18.299999</v>
      </c>
      <c r="F608" s="7">
        <v>18.360001</v>
      </c>
      <c r="G608" s="7">
        <v>18.18</v>
      </c>
      <c r="H608" s="8">
        <f t="shared" si="10"/>
        <v>1.0933844719675436E-3</v>
      </c>
    </row>
    <row r="609" spans="2:8" x14ac:dyDescent="0.2">
      <c r="B609" s="5">
        <v>44346</v>
      </c>
      <c r="C609" s="6" t="s">
        <v>16</v>
      </c>
      <c r="D609" s="7">
        <v>18.079999999999998</v>
      </c>
      <c r="E609" s="7">
        <v>18.079999999999998</v>
      </c>
      <c r="F609" s="7">
        <v>18.290001</v>
      </c>
      <c r="G609" s="7">
        <v>17.91</v>
      </c>
      <c r="H609" s="8">
        <f t="shared" si="10"/>
        <v>-1.2094650238534685E-2</v>
      </c>
    </row>
    <row r="610" spans="2:8" x14ac:dyDescent="0.2">
      <c r="B610" s="5">
        <v>44349</v>
      </c>
      <c r="C610" s="6" t="s">
        <v>16</v>
      </c>
      <c r="D610" s="7">
        <v>18.02</v>
      </c>
      <c r="E610" s="7">
        <v>18.02</v>
      </c>
      <c r="F610" s="7">
        <v>18.139999</v>
      </c>
      <c r="G610" s="7">
        <v>17.98</v>
      </c>
      <c r="H610" s="8">
        <f t="shared" si="10"/>
        <v>-3.3241027838385598E-3</v>
      </c>
    </row>
    <row r="611" spans="2:8" x14ac:dyDescent="0.2">
      <c r="B611" s="5">
        <v>44350</v>
      </c>
      <c r="C611" s="6" t="s">
        <v>16</v>
      </c>
      <c r="D611" s="7">
        <v>18.100000000000001</v>
      </c>
      <c r="E611" s="7">
        <v>18.100000000000001</v>
      </c>
      <c r="F611" s="7">
        <v>18.110001</v>
      </c>
      <c r="G611" s="7">
        <v>18</v>
      </c>
      <c r="H611" s="8">
        <f t="shared" si="10"/>
        <v>4.4296860915882582E-3</v>
      </c>
    </row>
    <row r="612" spans="2:8" x14ac:dyDescent="0.2">
      <c r="B612" s="5">
        <v>44351</v>
      </c>
      <c r="C612" s="6" t="s">
        <v>16</v>
      </c>
      <c r="D612" s="7">
        <v>18.059999000000001</v>
      </c>
      <c r="E612" s="7">
        <v>18.059999000000001</v>
      </c>
      <c r="F612" s="7">
        <v>18.139999</v>
      </c>
      <c r="G612" s="7">
        <v>18.049999</v>
      </c>
      <c r="H612" s="8">
        <f t="shared" si="10"/>
        <v>-2.2124456539278831E-3</v>
      </c>
    </row>
    <row r="613" spans="2:8" x14ac:dyDescent="0.2">
      <c r="B613" s="5">
        <v>44352</v>
      </c>
      <c r="C613" s="6" t="s">
        <v>16</v>
      </c>
      <c r="D613" s="7">
        <v>18.260000000000002</v>
      </c>
      <c r="E613" s="7">
        <v>18.260000000000002</v>
      </c>
      <c r="F613" s="7">
        <v>18.360001</v>
      </c>
      <c r="G613" s="7">
        <v>18.23</v>
      </c>
      <c r="H613" s="8">
        <f t="shared" si="10"/>
        <v>1.1013382548970156E-2</v>
      </c>
    </row>
    <row r="614" spans="2:8" x14ac:dyDescent="0.2">
      <c r="B614" s="5">
        <v>44353</v>
      </c>
      <c r="C614" s="6" t="s">
        <v>16</v>
      </c>
      <c r="D614" s="7">
        <v>18.280000999999999</v>
      </c>
      <c r="E614" s="7">
        <v>18.280000999999999</v>
      </c>
      <c r="F614" s="7">
        <v>18.299999</v>
      </c>
      <c r="G614" s="7">
        <v>18.149999999999999</v>
      </c>
      <c r="H614" s="8">
        <f t="shared" si="10"/>
        <v>1.0947455637751492E-3</v>
      </c>
    </row>
    <row r="615" spans="2:8" x14ac:dyDescent="0.2">
      <c r="B615" s="5">
        <v>44356</v>
      </c>
      <c r="C615" s="6" t="s">
        <v>16</v>
      </c>
      <c r="D615" s="7">
        <v>18.32</v>
      </c>
      <c r="E615" s="7">
        <v>18.32</v>
      </c>
      <c r="F615" s="7">
        <v>18.370000999999998</v>
      </c>
      <c r="G615" s="7">
        <v>18.309999000000001</v>
      </c>
      <c r="H615" s="8">
        <f t="shared" si="10"/>
        <v>2.1857385153866622E-3</v>
      </c>
    </row>
    <row r="616" spans="2:8" x14ac:dyDescent="0.2">
      <c r="B616" s="5">
        <v>44357</v>
      </c>
      <c r="C616" s="6" t="s">
        <v>16</v>
      </c>
      <c r="D616" s="7">
        <v>18.459999</v>
      </c>
      <c r="E616" s="7">
        <v>18.459999</v>
      </c>
      <c r="F616" s="7">
        <v>18.48</v>
      </c>
      <c r="G616" s="7">
        <v>18.399999999999999</v>
      </c>
      <c r="H616" s="8">
        <f t="shared" si="10"/>
        <v>7.6128156575395326E-3</v>
      </c>
    </row>
    <row r="617" spans="2:8" x14ac:dyDescent="0.2">
      <c r="B617" s="5">
        <v>44358</v>
      </c>
      <c r="C617" s="6" t="s">
        <v>16</v>
      </c>
      <c r="D617" s="7">
        <v>18.459999</v>
      </c>
      <c r="E617" s="7">
        <v>18.459999</v>
      </c>
      <c r="F617" s="7">
        <v>18.5</v>
      </c>
      <c r="G617" s="7">
        <v>18.41</v>
      </c>
      <c r="H617" s="8">
        <f t="shared" si="10"/>
        <v>0</v>
      </c>
    </row>
    <row r="618" spans="2:8" x14ac:dyDescent="0.2">
      <c r="B618" s="5">
        <v>44359</v>
      </c>
      <c r="C618" s="6" t="s">
        <v>16</v>
      </c>
      <c r="D618" s="7">
        <v>18.760000000000002</v>
      </c>
      <c r="E618" s="7">
        <v>18.760000000000002</v>
      </c>
      <c r="F618" s="7">
        <v>18.799999</v>
      </c>
      <c r="G618" s="7">
        <v>18.52</v>
      </c>
      <c r="H618" s="8">
        <f t="shared" si="10"/>
        <v>1.6120768674555048E-2</v>
      </c>
    </row>
    <row r="619" spans="2:8" x14ac:dyDescent="0.2">
      <c r="B619" s="5">
        <v>44360</v>
      </c>
      <c r="C619" s="6" t="s">
        <v>16</v>
      </c>
      <c r="D619" s="7">
        <v>18.920000000000002</v>
      </c>
      <c r="E619" s="7">
        <v>18.920000000000002</v>
      </c>
      <c r="F619" s="7">
        <v>18.950001</v>
      </c>
      <c r="G619" s="7">
        <v>18.77</v>
      </c>
      <c r="H619" s="8">
        <f t="shared" si="10"/>
        <v>8.4926200456535966E-3</v>
      </c>
    </row>
    <row r="620" spans="2:8" x14ac:dyDescent="0.2">
      <c r="B620" s="5">
        <v>44363</v>
      </c>
      <c r="C620" s="6" t="s">
        <v>16</v>
      </c>
      <c r="D620" s="7">
        <v>18.850000000000001</v>
      </c>
      <c r="E620" s="7">
        <v>18.850000000000001</v>
      </c>
      <c r="F620" s="7">
        <v>18.950001</v>
      </c>
      <c r="G620" s="7">
        <v>18.809999000000001</v>
      </c>
      <c r="H620" s="8">
        <f t="shared" si="10"/>
        <v>-3.7066497297124348E-3</v>
      </c>
    </row>
    <row r="621" spans="2:8" x14ac:dyDescent="0.2">
      <c r="B621" s="5">
        <v>44364</v>
      </c>
      <c r="C621" s="6" t="s">
        <v>16</v>
      </c>
      <c r="D621" s="7">
        <v>18.940000999999999</v>
      </c>
      <c r="E621" s="7">
        <v>18.940000999999999</v>
      </c>
      <c r="F621" s="7">
        <v>18.959999</v>
      </c>
      <c r="G621" s="7">
        <v>18.84</v>
      </c>
      <c r="H621" s="8">
        <f t="shared" si="10"/>
        <v>4.7632266622214259E-3</v>
      </c>
    </row>
    <row r="622" spans="2:8" x14ac:dyDescent="0.2">
      <c r="B622" s="5">
        <v>44365</v>
      </c>
      <c r="C622" s="6" t="s">
        <v>16</v>
      </c>
      <c r="D622" s="7">
        <v>19.049999</v>
      </c>
      <c r="E622" s="7">
        <v>19.049999</v>
      </c>
      <c r="F622" s="7">
        <v>19.07</v>
      </c>
      <c r="G622" s="7">
        <v>18.940000999999999</v>
      </c>
      <c r="H622" s="8">
        <f t="shared" si="10"/>
        <v>5.7909085230291079E-3</v>
      </c>
    </row>
    <row r="623" spans="2:8" x14ac:dyDescent="0.2">
      <c r="B623" s="5">
        <v>44366</v>
      </c>
      <c r="C623" s="6" t="s">
        <v>16</v>
      </c>
      <c r="D623" s="7">
        <v>19.920000000000002</v>
      </c>
      <c r="E623" s="7">
        <v>19.920000000000002</v>
      </c>
      <c r="F623" s="7">
        <v>20.100000000000001</v>
      </c>
      <c r="G623" s="7">
        <v>19.360001</v>
      </c>
      <c r="H623" s="8">
        <f t="shared" si="10"/>
        <v>4.465720307718192E-2</v>
      </c>
    </row>
    <row r="624" spans="2:8" x14ac:dyDescent="0.2">
      <c r="B624" s="5">
        <v>44367</v>
      </c>
      <c r="C624" s="6" t="s">
        <v>16</v>
      </c>
      <c r="D624" s="7">
        <v>20.030000999999999</v>
      </c>
      <c r="E624" s="7">
        <v>20.030000999999999</v>
      </c>
      <c r="F624" s="7">
        <v>20.149999999999999</v>
      </c>
      <c r="G624" s="7">
        <v>19.940000999999999</v>
      </c>
      <c r="H624" s="8">
        <f t="shared" si="10"/>
        <v>5.5069474463857217E-3</v>
      </c>
    </row>
    <row r="625" spans="2:8" x14ac:dyDescent="0.2">
      <c r="B625" s="5">
        <v>44370</v>
      </c>
      <c r="C625" s="6" t="s">
        <v>16</v>
      </c>
      <c r="D625" s="7">
        <v>20.049999</v>
      </c>
      <c r="E625" s="7">
        <v>20.049999</v>
      </c>
      <c r="F625" s="7">
        <v>20.110001</v>
      </c>
      <c r="G625" s="7">
        <v>19.969999000000001</v>
      </c>
      <c r="H625" s="8">
        <f t="shared" si="10"/>
        <v>9.9790427442733804E-4</v>
      </c>
    </row>
    <row r="626" spans="2:8" x14ac:dyDescent="0.2">
      <c r="B626" s="5">
        <v>44371</v>
      </c>
      <c r="C626" s="6" t="s">
        <v>16</v>
      </c>
      <c r="D626" s="7">
        <v>20.079999999999998</v>
      </c>
      <c r="E626" s="7">
        <v>20.079999999999998</v>
      </c>
      <c r="F626" s="7">
        <v>20.23</v>
      </c>
      <c r="G626" s="7">
        <v>20.049999</v>
      </c>
      <c r="H626" s="8">
        <f t="shared" si="10"/>
        <v>1.4951909462630735E-3</v>
      </c>
    </row>
    <row r="627" spans="2:8" x14ac:dyDescent="0.2">
      <c r="B627" s="5">
        <v>44372</v>
      </c>
      <c r="C627" s="6" t="s">
        <v>16</v>
      </c>
      <c r="D627" s="7">
        <v>20.190000999999999</v>
      </c>
      <c r="E627" s="7">
        <v>20.190000999999999</v>
      </c>
      <c r="F627" s="7">
        <v>20.329999999999998</v>
      </c>
      <c r="G627" s="7">
        <v>20.129999000000002</v>
      </c>
      <c r="H627" s="8">
        <f t="shared" si="10"/>
        <v>5.4631870306866021E-3</v>
      </c>
    </row>
    <row r="628" spans="2:8" x14ac:dyDescent="0.2">
      <c r="B628" s="5">
        <v>44373</v>
      </c>
      <c r="C628" s="6" t="s">
        <v>16</v>
      </c>
      <c r="D628" s="7">
        <v>20.239999999999998</v>
      </c>
      <c r="E628" s="7">
        <v>20.239999999999998</v>
      </c>
      <c r="F628" s="7">
        <v>20.290001</v>
      </c>
      <c r="G628" s="7">
        <v>20.139999</v>
      </c>
      <c r="H628" s="8">
        <f t="shared" si="10"/>
        <v>2.4733625650498795E-3</v>
      </c>
    </row>
    <row r="629" spans="2:8" x14ac:dyDescent="0.2">
      <c r="B629" s="5">
        <v>44374</v>
      </c>
      <c r="C629" s="6" t="s">
        <v>16</v>
      </c>
      <c r="D629" s="7">
        <v>20.170000000000002</v>
      </c>
      <c r="E629" s="7">
        <v>20.170000000000002</v>
      </c>
      <c r="F629" s="7">
        <v>20.309999000000001</v>
      </c>
      <c r="G629" s="7">
        <v>20.149999999999999</v>
      </c>
      <c r="H629" s="8">
        <f t="shared" si="10"/>
        <v>-3.4644924531442036E-3</v>
      </c>
    </row>
    <row r="630" spans="2:8" x14ac:dyDescent="0.2">
      <c r="B630" s="5">
        <v>44377</v>
      </c>
      <c r="C630" s="6" t="s">
        <v>16</v>
      </c>
      <c r="D630" s="7">
        <v>20.25</v>
      </c>
      <c r="E630" s="7">
        <v>20.25</v>
      </c>
      <c r="F630" s="7">
        <v>20.280000999999999</v>
      </c>
      <c r="G630" s="7">
        <v>19.93</v>
      </c>
      <c r="H630" s="8">
        <f t="shared" si="10"/>
        <v>3.9584415864277588E-3</v>
      </c>
    </row>
    <row r="631" spans="2:8" x14ac:dyDescent="0.2">
      <c r="B631" s="5">
        <v>44378</v>
      </c>
      <c r="C631" s="6" t="s">
        <v>16</v>
      </c>
      <c r="D631" s="7">
        <v>20.209999</v>
      </c>
      <c r="E631" s="7">
        <v>20.209999</v>
      </c>
      <c r="F631" s="7">
        <v>20.389999</v>
      </c>
      <c r="G631" s="7">
        <v>20.18</v>
      </c>
      <c r="H631" s="8">
        <f t="shared" si="10"/>
        <v>-1.9773116174749889E-3</v>
      </c>
    </row>
    <row r="632" spans="2:8" x14ac:dyDescent="0.2">
      <c r="B632" s="5">
        <v>44379</v>
      </c>
      <c r="C632" s="6" t="s">
        <v>16</v>
      </c>
      <c r="D632" s="7">
        <v>20.299999</v>
      </c>
      <c r="E632" s="7">
        <v>20.299999</v>
      </c>
      <c r="F632" s="7">
        <v>20.440000999999999</v>
      </c>
      <c r="G632" s="7">
        <v>20.27</v>
      </c>
      <c r="H632" s="8">
        <f t="shared" si="10"/>
        <v>4.4433548515833837E-3</v>
      </c>
    </row>
    <row r="633" spans="2:8" x14ac:dyDescent="0.2">
      <c r="B633" s="5">
        <v>44380</v>
      </c>
      <c r="C633" s="6" t="s">
        <v>16</v>
      </c>
      <c r="D633" s="7">
        <v>20.290001</v>
      </c>
      <c r="E633" s="7">
        <v>20.290001</v>
      </c>
      <c r="F633" s="7">
        <v>20.329999999999998</v>
      </c>
      <c r="G633" s="7">
        <v>20.18</v>
      </c>
      <c r="H633" s="8">
        <f t="shared" si="10"/>
        <v>-4.9263366357228048E-4</v>
      </c>
    </row>
    <row r="634" spans="2:8" x14ac:dyDescent="0.2">
      <c r="B634" s="5">
        <v>44384</v>
      </c>
      <c r="C634" s="6" t="s">
        <v>16</v>
      </c>
      <c r="D634" s="7">
        <v>20.170000000000002</v>
      </c>
      <c r="E634" s="7">
        <v>20.170000000000002</v>
      </c>
      <c r="F634" s="7">
        <v>20.170000000000002</v>
      </c>
      <c r="G634" s="7">
        <v>19.989999999999998</v>
      </c>
      <c r="H634" s="8">
        <f t="shared" si="10"/>
        <v>-5.9318511569639749E-3</v>
      </c>
    </row>
    <row r="635" spans="2:8" x14ac:dyDescent="0.2">
      <c r="B635" s="5">
        <v>44385</v>
      </c>
      <c r="C635" s="6" t="s">
        <v>16</v>
      </c>
      <c r="D635" s="7">
        <v>20.209999</v>
      </c>
      <c r="E635" s="7">
        <v>20.209999</v>
      </c>
      <c r="F635" s="7">
        <v>20.32</v>
      </c>
      <c r="G635" s="7">
        <v>20.07</v>
      </c>
      <c r="H635" s="8">
        <f t="shared" si="10"/>
        <v>1.9811299689526151E-3</v>
      </c>
    </row>
    <row r="636" spans="2:8" x14ac:dyDescent="0.2">
      <c r="B636" s="5">
        <v>44386</v>
      </c>
      <c r="C636" s="6" t="s">
        <v>16</v>
      </c>
      <c r="D636" s="7">
        <v>20.27</v>
      </c>
      <c r="E636" s="7">
        <v>20.27</v>
      </c>
      <c r="F636" s="7">
        <v>20.389999</v>
      </c>
      <c r="G636" s="7">
        <v>20.149999999999999</v>
      </c>
      <c r="H636" s="8">
        <f t="shared" si="10"/>
        <v>2.9644785288353856E-3</v>
      </c>
    </row>
    <row r="637" spans="2:8" x14ac:dyDescent="0.2">
      <c r="B637" s="5">
        <v>44387</v>
      </c>
      <c r="C637" s="6" t="s">
        <v>16</v>
      </c>
      <c r="D637" s="7">
        <v>20.52</v>
      </c>
      <c r="E637" s="7">
        <v>20.52</v>
      </c>
      <c r="F637" s="7">
        <v>20.639999</v>
      </c>
      <c r="G637" s="7">
        <v>20.51</v>
      </c>
      <c r="H637" s="8">
        <f t="shared" si="10"/>
        <v>1.2258059838660219E-2</v>
      </c>
    </row>
    <row r="638" spans="2:8" x14ac:dyDescent="0.2">
      <c r="B638" s="5">
        <v>44388</v>
      </c>
      <c r="C638" s="6" t="s">
        <v>16</v>
      </c>
      <c r="D638" s="7">
        <v>20.57</v>
      </c>
      <c r="E638" s="7">
        <v>20.57</v>
      </c>
      <c r="F638" s="7">
        <v>20.610001</v>
      </c>
      <c r="G638" s="7">
        <v>20.5</v>
      </c>
      <c r="H638" s="8">
        <f t="shared" si="10"/>
        <v>2.4336833622970845E-3</v>
      </c>
    </row>
    <row r="639" spans="2:8" x14ac:dyDescent="0.2">
      <c r="B639" s="5">
        <v>44391</v>
      </c>
      <c r="C639" s="6" t="s">
        <v>16</v>
      </c>
      <c r="D639" s="7">
        <v>20.100000000000001</v>
      </c>
      <c r="E639" s="7">
        <v>20.100000000000001</v>
      </c>
      <c r="F639" s="7">
        <v>20.139999</v>
      </c>
      <c r="G639" s="7">
        <v>20.010000000000002</v>
      </c>
      <c r="H639" s="8">
        <f t="shared" si="10"/>
        <v>-2.3113888599835684E-2</v>
      </c>
    </row>
    <row r="640" spans="2:8" x14ac:dyDescent="0.2">
      <c r="B640" s="5">
        <v>44392</v>
      </c>
      <c r="C640" s="6" t="s">
        <v>16</v>
      </c>
      <c r="D640" s="7">
        <v>19.879999000000002</v>
      </c>
      <c r="E640" s="7">
        <v>19.879999000000002</v>
      </c>
      <c r="F640" s="7">
        <v>20.25</v>
      </c>
      <c r="G640" s="7">
        <v>19.84</v>
      </c>
      <c r="H640" s="8">
        <f t="shared" si="10"/>
        <v>-1.100566413841427E-2</v>
      </c>
    </row>
    <row r="641" spans="2:8" x14ac:dyDescent="0.2">
      <c r="B641" s="5">
        <v>44393</v>
      </c>
      <c r="C641" s="6" t="s">
        <v>16</v>
      </c>
      <c r="D641" s="7">
        <v>19.91</v>
      </c>
      <c r="E641" s="7">
        <v>19.91</v>
      </c>
      <c r="F641" s="7">
        <v>20</v>
      </c>
      <c r="G641" s="7">
        <v>19.84</v>
      </c>
      <c r="H641" s="8">
        <f t="shared" si="10"/>
        <v>1.5079671494890436E-3</v>
      </c>
    </row>
    <row r="642" spans="2:8" x14ac:dyDescent="0.2">
      <c r="B642" s="5">
        <v>44394</v>
      </c>
      <c r="C642" s="6" t="s">
        <v>16</v>
      </c>
      <c r="D642" s="7">
        <v>20.290001</v>
      </c>
      <c r="E642" s="7">
        <v>20.290001</v>
      </c>
      <c r="F642" s="7">
        <v>20.399999999999999</v>
      </c>
      <c r="G642" s="7">
        <v>19.93</v>
      </c>
      <c r="H642" s="8">
        <f t="shared" si="10"/>
        <v>1.8906085046979521E-2</v>
      </c>
    </row>
    <row r="643" spans="2:8" x14ac:dyDescent="0.2">
      <c r="B643" s="5">
        <v>44395</v>
      </c>
      <c r="C643" s="6" t="s">
        <v>16</v>
      </c>
      <c r="D643" s="7">
        <v>20.02</v>
      </c>
      <c r="E643" s="7">
        <v>20.02</v>
      </c>
      <c r="F643" s="7">
        <v>20.079999999999998</v>
      </c>
      <c r="G643" s="7">
        <v>19.91</v>
      </c>
      <c r="H643" s="8">
        <f t="shared" si="10"/>
        <v>-1.3396429236009878E-2</v>
      </c>
    </row>
    <row r="644" spans="2:8" x14ac:dyDescent="0.2">
      <c r="B644" s="5">
        <v>44398</v>
      </c>
      <c r="C644" s="6" t="s">
        <v>16</v>
      </c>
      <c r="D644" s="7">
        <v>20.100000000000001</v>
      </c>
      <c r="E644" s="7">
        <v>20.100000000000001</v>
      </c>
      <c r="F644" s="7">
        <v>20.149999999999999</v>
      </c>
      <c r="G644" s="7">
        <v>20.040001</v>
      </c>
      <c r="H644" s="8">
        <f t="shared" ref="H644:H707" si="11">IF(C644=C643, LN(E644/E643), "")</f>
        <v>3.9880411779556271E-3</v>
      </c>
    </row>
    <row r="645" spans="2:8" x14ac:dyDescent="0.2">
      <c r="B645" s="5">
        <v>44399</v>
      </c>
      <c r="C645" s="6" t="s">
        <v>16</v>
      </c>
      <c r="D645" s="7">
        <v>20.100000000000001</v>
      </c>
      <c r="E645" s="7">
        <v>20.100000000000001</v>
      </c>
      <c r="F645" s="7">
        <v>20.239999999999998</v>
      </c>
      <c r="G645" s="7">
        <v>20.010000000000002</v>
      </c>
      <c r="H645" s="8">
        <f t="shared" si="11"/>
        <v>0</v>
      </c>
    </row>
    <row r="646" spans="2:8" x14ac:dyDescent="0.2">
      <c r="B646" s="5">
        <v>44400</v>
      </c>
      <c r="C646" s="6" t="s">
        <v>16</v>
      </c>
      <c r="D646" s="7">
        <v>20.079999999999998</v>
      </c>
      <c r="E646" s="7">
        <v>20.079999999999998</v>
      </c>
      <c r="F646" s="7">
        <v>20.18</v>
      </c>
      <c r="G646" s="7">
        <v>20.07</v>
      </c>
      <c r="H646" s="8">
        <f t="shared" si="11"/>
        <v>-9.9552024150181611E-4</v>
      </c>
    </row>
    <row r="647" spans="2:8" x14ac:dyDescent="0.2">
      <c r="B647" s="5">
        <v>44401</v>
      </c>
      <c r="C647" s="6" t="s">
        <v>16</v>
      </c>
      <c r="D647" s="7">
        <v>19.579999999999998</v>
      </c>
      <c r="E647" s="7">
        <v>19.579999999999998</v>
      </c>
      <c r="F647" s="7">
        <v>19.989999999999998</v>
      </c>
      <c r="G647" s="7">
        <v>19.5</v>
      </c>
      <c r="H647" s="8">
        <f t="shared" si="11"/>
        <v>-2.52156577211641E-2</v>
      </c>
    </row>
    <row r="648" spans="2:8" x14ac:dyDescent="0.2">
      <c r="B648" s="5">
        <v>44402</v>
      </c>
      <c r="C648" s="6" t="s">
        <v>16</v>
      </c>
      <c r="D648" s="7">
        <v>19.870000999999998</v>
      </c>
      <c r="E648" s="7">
        <v>19.870000999999998</v>
      </c>
      <c r="F648" s="7">
        <v>19.899999999999999</v>
      </c>
      <c r="G648" s="7">
        <v>19.57</v>
      </c>
      <c r="H648" s="8">
        <f t="shared" si="11"/>
        <v>1.4702469788486192E-2</v>
      </c>
    </row>
    <row r="649" spans="2:8" x14ac:dyDescent="0.2">
      <c r="B649" s="5">
        <v>44405</v>
      </c>
      <c r="C649" s="6" t="s">
        <v>16</v>
      </c>
      <c r="D649" s="7">
        <v>19.809999000000001</v>
      </c>
      <c r="E649" s="7">
        <v>19.809999000000001</v>
      </c>
      <c r="F649" s="7">
        <v>19.870000999999998</v>
      </c>
      <c r="G649" s="7">
        <v>19.690000999999999</v>
      </c>
      <c r="H649" s="8">
        <f t="shared" si="11"/>
        <v>-3.0242966599478907E-3</v>
      </c>
    </row>
    <row r="650" spans="2:8" x14ac:dyDescent="0.2">
      <c r="B650" s="5">
        <v>44406</v>
      </c>
      <c r="C650" s="6" t="s">
        <v>16</v>
      </c>
      <c r="D650" s="7">
        <v>19.780000999999999</v>
      </c>
      <c r="E650" s="7">
        <v>19.780000999999999</v>
      </c>
      <c r="F650" s="7">
        <v>19.870000999999998</v>
      </c>
      <c r="G650" s="7">
        <v>19.649999999999999</v>
      </c>
      <c r="H650" s="8">
        <f t="shared" si="11"/>
        <v>-1.5154334802205737E-3</v>
      </c>
    </row>
    <row r="651" spans="2:8" x14ac:dyDescent="0.2">
      <c r="B651" s="5">
        <v>44407</v>
      </c>
      <c r="C651" s="6" t="s">
        <v>16</v>
      </c>
      <c r="D651" s="7">
        <v>19.780000999999999</v>
      </c>
      <c r="E651" s="7">
        <v>19.780000999999999</v>
      </c>
      <c r="F651" s="7">
        <v>19.84</v>
      </c>
      <c r="G651" s="7">
        <v>19.66</v>
      </c>
      <c r="H651" s="8">
        <f t="shared" si="11"/>
        <v>0</v>
      </c>
    </row>
    <row r="652" spans="2:8" x14ac:dyDescent="0.2">
      <c r="B652" s="5">
        <v>44408</v>
      </c>
      <c r="C652" s="6" t="s">
        <v>16</v>
      </c>
      <c r="D652" s="7">
        <v>19.579999999999998</v>
      </c>
      <c r="E652" s="7">
        <v>19.579999999999998</v>
      </c>
      <c r="F652" s="7">
        <v>19.73</v>
      </c>
      <c r="G652" s="7">
        <v>19.52</v>
      </c>
      <c r="H652" s="8">
        <f t="shared" si="11"/>
        <v>-1.0162739648317792E-2</v>
      </c>
    </row>
    <row r="653" spans="2:8" x14ac:dyDescent="0.2">
      <c r="B653" s="5">
        <v>44409</v>
      </c>
      <c r="C653" s="6" t="s">
        <v>16</v>
      </c>
      <c r="D653" s="7">
        <v>19.52</v>
      </c>
      <c r="E653" s="7">
        <v>19.52</v>
      </c>
      <c r="F653" s="7">
        <v>19.719999000000001</v>
      </c>
      <c r="G653" s="7">
        <v>19.43</v>
      </c>
      <c r="H653" s="8">
        <f t="shared" si="11"/>
        <v>-3.0690561174178833E-3</v>
      </c>
    </row>
    <row r="654" spans="2:8" x14ac:dyDescent="0.2">
      <c r="B654" s="5">
        <v>44412</v>
      </c>
      <c r="C654" s="6" t="s">
        <v>16</v>
      </c>
      <c r="D654" s="7">
        <v>19.399999999999999</v>
      </c>
      <c r="E654" s="7">
        <v>19.399999999999999</v>
      </c>
      <c r="F654" s="7">
        <v>19.579999999999998</v>
      </c>
      <c r="G654" s="7">
        <v>19.34</v>
      </c>
      <c r="H654" s="8">
        <f t="shared" si="11"/>
        <v>-6.1665149156640148E-3</v>
      </c>
    </row>
    <row r="655" spans="2:8" x14ac:dyDescent="0.2">
      <c r="B655" s="5">
        <v>44413</v>
      </c>
      <c r="C655" s="6" t="s">
        <v>16</v>
      </c>
      <c r="D655" s="7">
        <v>19.049999</v>
      </c>
      <c r="E655" s="7">
        <v>19.049999</v>
      </c>
      <c r="F655" s="7">
        <v>19.23</v>
      </c>
      <c r="G655" s="7">
        <v>18.98</v>
      </c>
      <c r="H655" s="8">
        <f t="shared" si="11"/>
        <v>-1.8206016990012067E-2</v>
      </c>
    </row>
    <row r="656" spans="2:8" x14ac:dyDescent="0.2">
      <c r="B656" s="5">
        <v>44414</v>
      </c>
      <c r="C656" s="6" t="s">
        <v>16</v>
      </c>
      <c r="D656" s="7">
        <v>19.23</v>
      </c>
      <c r="E656" s="7">
        <v>19.23</v>
      </c>
      <c r="F656" s="7">
        <v>19.32</v>
      </c>
      <c r="G656" s="7">
        <v>19.18</v>
      </c>
      <c r="H656" s="8">
        <f t="shared" si="11"/>
        <v>9.4045105214181912E-3</v>
      </c>
    </row>
    <row r="657" spans="2:8" x14ac:dyDescent="0.2">
      <c r="B657" s="5">
        <v>44415</v>
      </c>
      <c r="C657" s="6" t="s">
        <v>16</v>
      </c>
      <c r="D657" s="7">
        <v>19.170000000000002</v>
      </c>
      <c r="E657" s="7">
        <v>19.170000000000002</v>
      </c>
      <c r="F657" s="7">
        <v>19.239999999999998</v>
      </c>
      <c r="G657" s="7">
        <v>19.110001</v>
      </c>
      <c r="H657" s="8">
        <f t="shared" si="11"/>
        <v>-3.1250025431351662E-3</v>
      </c>
    </row>
    <row r="658" spans="2:8" x14ac:dyDescent="0.2">
      <c r="B658" s="5">
        <v>44416</v>
      </c>
      <c r="C658" s="6" t="s">
        <v>16</v>
      </c>
      <c r="D658" s="7">
        <v>19.190000999999999</v>
      </c>
      <c r="E658" s="7">
        <v>19.190000999999999</v>
      </c>
      <c r="F658" s="7">
        <v>19.239999999999998</v>
      </c>
      <c r="G658" s="7">
        <v>19.100000000000001</v>
      </c>
      <c r="H658" s="8">
        <f t="shared" si="11"/>
        <v>1.0428050725281243E-3</v>
      </c>
    </row>
    <row r="659" spans="2:8" x14ac:dyDescent="0.2">
      <c r="B659" s="5">
        <v>44419</v>
      </c>
      <c r="C659" s="6" t="s">
        <v>16</v>
      </c>
      <c r="D659" s="7">
        <v>19.23</v>
      </c>
      <c r="E659" s="7">
        <v>19.23</v>
      </c>
      <c r="F659" s="7">
        <v>19.299999</v>
      </c>
      <c r="G659" s="7">
        <v>19.139999</v>
      </c>
      <c r="H659" s="8">
        <f t="shared" si="11"/>
        <v>2.0821974706069541E-3</v>
      </c>
    </row>
    <row r="660" spans="2:8" x14ac:dyDescent="0.2">
      <c r="B660" s="5">
        <v>44420</v>
      </c>
      <c r="C660" s="6" t="s">
        <v>16</v>
      </c>
      <c r="D660" s="7">
        <v>19.170000000000002</v>
      </c>
      <c r="E660" s="7">
        <v>19.170000000000002</v>
      </c>
      <c r="F660" s="7">
        <v>19.299999</v>
      </c>
      <c r="G660" s="7">
        <v>19.079999999999998</v>
      </c>
      <c r="H660" s="8">
        <f t="shared" si="11"/>
        <v>-3.1250025431351662E-3</v>
      </c>
    </row>
    <row r="661" spans="2:8" x14ac:dyDescent="0.2">
      <c r="B661" s="5">
        <v>44421</v>
      </c>
      <c r="C661" s="6" t="s">
        <v>16</v>
      </c>
      <c r="D661" s="7">
        <v>19.040001</v>
      </c>
      <c r="E661" s="7">
        <v>19.040001</v>
      </c>
      <c r="F661" s="7">
        <v>19.209999</v>
      </c>
      <c r="G661" s="7">
        <v>18.91</v>
      </c>
      <c r="H661" s="8">
        <f t="shared" si="11"/>
        <v>-6.804475173326878E-3</v>
      </c>
    </row>
    <row r="662" spans="2:8" x14ac:dyDescent="0.2">
      <c r="B662" s="5">
        <v>44422</v>
      </c>
      <c r="C662" s="6" t="s">
        <v>16</v>
      </c>
      <c r="D662" s="7">
        <v>19.100000000000001</v>
      </c>
      <c r="E662" s="7">
        <v>19.100000000000001</v>
      </c>
      <c r="F662" s="7">
        <v>19.18</v>
      </c>
      <c r="G662" s="7">
        <v>19.049999</v>
      </c>
      <c r="H662" s="8">
        <f t="shared" si="11"/>
        <v>3.1462531683579837E-3</v>
      </c>
    </row>
    <row r="663" spans="2:8" x14ac:dyDescent="0.2">
      <c r="B663" s="5">
        <v>44423</v>
      </c>
      <c r="C663" s="6" t="s">
        <v>16</v>
      </c>
      <c r="D663" s="7">
        <v>18.860001</v>
      </c>
      <c r="E663" s="7">
        <v>18.860001</v>
      </c>
      <c r="F663" s="7">
        <v>18.98</v>
      </c>
      <c r="G663" s="7">
        <v>18.739999999999998</v>
      </c>
      <c r="H663" s="8">
        <f t="shared" si="11"/>
        <v>-1.2645004825004844E-2</v>
      </c>
    </row>
    <row r="664" spans="2:8" x14ac:dyDescent="0.2">
      <c r="B664" s="5">
        <v>44426</v>
      </c>
      <c r="C664" s="6" t="s">
        <v>16</v>
      </c>
      <c r="D664" s="7">
        <v>18.870000999999998</v>
      </c>
      <c r="E664" s="7">
        <v>18.870000999999998</v>
      </c>
      <c r="F664" s="7">
        <v>18.899999999999999</v>
      </c>
      <c r="G664" s="7">
        <v>18.780000999999999</v>
      </c>
      <c r="H664" s="8">
        <f t="shared" si="11"/>
        <v>5.3008214704860644E-4</v>
      </c>
    </row>
    <row r="665" spans="2:8" x14ac:dyDescent="0.2">
      <c r="B665" s="5">
        <v>44427</v>
      </c>
      <c r="C665" s="6" t="s">
        <v>16</v>
      </c>
      <c r="D665" s="7">
        <v>18.700001</v>
      </c>
      <c r="E665" s="7">
        <v>18.700001</v>
      </c>
      <c r="F665" s="7">
        <v>18.809999000000001</v>
      </c>
      <c r="G665" s="7">
        <v>18.610001</v>
      </c>
      <c r="H665" s="8">
        <f t="shared" si="11"/>
        <v>-9.0498350381526E-3</v>
      </c>
    </row>
    <row r="666" spans="2:8" x14ac:dyDescent="0.2">
      <c r="B666" s="5">
        <v>44428</v>
      </c>
      <c r="C666" s="6" t="s">
        <v>16</v>
      </c>
      <c r="D666" s="7">
        <v>18.719999000000001</v>
      </c>
      <c r="E666" s="7">
        <v>18.719999000000001</v>
      </c>
      <c r="F666" s="7">
        <v>18.82</v>
      </c>
      <c r="G666" s="7">
        <v>18.639999</v>
      </c>
      <c r="H666" s="8">
        <f t="shared" si="11"/>
        <v>1.0688402941657774E-3</v>
      </c>
    </row>
    <row r="667" spans="2:8" x14ac:dyDescent="0.2">
      <c r="B667" s="5">
        <v>44429</v>
      </c>
      <c r="C667" s="6" t="s">
        <v>16</v>
      </c>
      <c r="D667" s="7">
        <v>18.690000999999999</v>
      </c>
      <c r="E667" s="7">
        <v>18.690000999999999</v>
      </c>
      <c r="F667" s="7">
        <v>18.719999000000001</v>
      </c>
      <c r="G667" s="7">
        <v>18.59</v>
      </c>
      <c r="H667" s="8">
        <f t="shared" si="11"/>
        <v>-1.6037426586233523E-3</v>
      </c>
    </row>
    <row r="668" spans="2:8" x14ac:dyDescent="0.2">
      <c r="B668" s="5">
        <v>44430</v>
      </c>
      <c r="C668" s="6" t="s">
        <v>16</v>
      </c>
      <c r="D668" s="7">
        <v>18.690000999999999</v>
      </c>
      <c r="E668" s="7">
        <v>18.690000999999999</v>
      </c>
      <c r="F668" s="7">
        <v>18.75</v>
      </c>
      <c r="G668" s="7">
        <v>18.540001</v>
      </c>
      <c r="H668" s="8">
        <f t="shared" si="11"/>
        <v>0</v>
      </c>
    </row>
    <row r="669" spans="2:8" x14ac:dyDescent="0.2">
      <c r="B669" s="5">
        <v>44433</v>
      </c>
      <c r="C669" s="6" t="s">
        <v>16</v>
      </c>
      <c r="D669" s="7">
        <v>18.600000000000001</v>
      </c>
      <c r="E669" s="7">
        <v>18.600000000000001</v>
      </c>
      <c r="F669" s="7">
        <v>18.649999999999999</v>
      </c>
      <c r="G669" s="7">
        <v>18.549999</v>
      </c>
      <c r="H669" s="8">
        <f t="shared" si="11"/>
        <v>-4.8270942528622516E-3</v>
      </c>
    </row>
    <row r="670" spans="2:8" x14ac:dyDescent="0.2">
      <c r="B670" s="5">
        <v>44434</v>
      </c>
      <c r="C670" s="6" t="s">
        <v>16</v>
      </c>
      <c r="D670" s="7">
        <v>18.629999000000002</v>
      </c>
      <c r="E670" s="7">
        <v>18.629999000000002</v>
      </c>
      <c r="F670" s="7">
        <v>18.809999000000001</v>
      </c>
      <c r="G670" s="7">
        <v>18.610001</v>
      </c>
      <c r="H670" s="8">
        <f t="shared" si="11"/>
        <v>1.6115502174747292E-3</v>
      </c>
    </row>
    <row r="671" spans="2:8" x14ac:dyDescent="0.2">
      <c r="B671" s="5">
        <v>44435</v>
      </c>
      <c r="C671" s="6" t="s">
        <v>16</v>
      </c>
      <c r="D671" s="7">
        <v>18.66</v>
      </c>
      <c r="E671" s="7">
        <v>18.66</v>
      </c>
      <c r="F671" s="7">
        <v>18.690000999999999</v>
      </c>
      <c r="G671" s="7">
        <v>18.549999</v>
      </c>
      <c r="H671" s="8">
        <f t="shared" si="11"/>
        <v>1.6090644825673176E-3</v>
      </c>
    </row>
    <row r="672" spans="2:8" x14ac:dyDescent="0.2">
      <c r="B672" s="5">
        <v>44436</v>
      </c>
      <c r="C672" s="6" t="s">
        <v>16</v>
      </c>
      <c r="D672" s="7">
        <v>18.739999999999998</v>
      </c>
      <c r="E672" s="7">
        <v>18.739999999999998</v>
      </c>
      <c r="F672" s="7">
        <v>18.870000999999998</v>
      </c>
      <c r="G672" s="7">
        <v>18.739999999999998</v>
      </c>
      <c r="H672" s="8">
        <f t="shared" si="11"/>
        <v>4.278081391078172E-3</v>
      </c>
    </row>
    <row r="673" spans="2:8" x14ac:dyDescent="0.2">
      <c r="B673" s="5">
        <v>44437</v>
      </c>
      <c r="C673" s="6" t="s">
        <v>16</v>
      </c>
      <c r="D673" s="7">
        <v>18.709999</v>
      </c>
      <c r="E673" s="7">
        <v>18.709999</v>
      </c>
      <c r="F673" s="7">
        <v>18.850000000000001</v>
      </c>
      <c r="G673" s="7">
        <v>18.670000000000002</v>
      </c>
      <c r="H673" s="8">
        <f t="shared" si="11"/>
        <v>-1.6021899716336338E-3</v>
      </c>
    </row>
    <row r="674" spans="2:8" x14ac:dyDescent="0.2">
      <c r="B674" s="5">
        <v>44441</v>
      </c>
      <c r="C674" s="6" t="s">
        <v>16</v>
      </c>
      <c r="D674" s="7">
        <v>18.41</v>
      </c>
      <c r="E674" s="7">
        <v>18.41</v>
      </c>
      <c r="F674" s="7">
        <v>18.510000000000002</v>
      </c>
      <c r="G674" s="7">
        <v>18.32</v>
      </c>
      <c r="H674" s="8">
        <f t="shared" si="11"/>
        <v>-1.6164091593656012E-2</v>
      </c>
    </row>
    <row r="675" spans="2:8" x14ac:dyDescent="0.2">
      <c r="B675" s="5">
        <v>44442</v>
      </c>
      <c r="C675" s="6" t="s">
        <v>16</v>
      </c>
      <c r="D675" s="7">
        <v>18.43</v>
      </c>
      <c r="E675" s="7">
        <v>18.43</v>
      </c>
      <c r="F675" s="7">
        <v>18.440000999999999</v>
      </c>
      <c r="G675" s="7">
        <v>18.360001</v>
      </c>
      <c r="H675" s="8">
        <f t="shared" si="11"/>
        <v>1.0857764367454036E-3</v>
      </c>
    </row>
    <row r="676" spans="2:8" x14ac:dyDescent="0.2">
      <c r="B676" s="5">
        <v>44443</v>
      </c>
      <c r="C676" s="6" t="s">
        <v>16</v>
      </c>
      <c r="D676" s="7">
        <v>18.32</v>
      </c>
      <c r="E676" s="7">
        <v>18.32</v>
      </c>
      <c r="F676" s="7">
        <v>18.579999999999998</v>
      </c>
      <c r="G676" s="7">
        <v>18.260000000000002</v>
      </c>
      <c r="H676" s="8">
        <f t="shared" si="11"/>
        <v>-5.9864124357477252E-3</v>
      </c>
    </row>
    <row r="677" spans="2:8" x14ac:dyDescent="0.2">
      <c r="B677" s="5">
        <v>44444</v>
      </c>
      <c r="C677" s="6" t="s">
        <v>16</v>
      </c>
      <c r="D677" s="7">
        <v>18.420000000000002</v>
      </c>
      <c r="E677" s="7">
        <v>18.420000000000002</v>
      </c>
      <c r="F677" s="7">
        <v>18.43</v>
      </c>
      <c r="G677" s="7">
        <v>18.280000999999999</v>
      </c>
      <c r="H677" s="8">
        <f t="shared" si="11"/>
        <v>5.4436715811766734E-3</v>
      </c>
    </row>
    <row r="678" spans="2:8" x14ac:dyDescent="0.2">
      <c r="B678" s="5">
        <v>44447</v>
      </c>
      <c r="C678" s="6" t="s">
        <v>16</v>
      </c>
      <c r="D678" s="7">
        <v>18.260000000000002</v>
      </c>
      <c r="E678" s="7">
        <v>18.260000000000002</v>
      </c>
      <c r="F678" s="7">
        <v>18.370000999999998</v>
      </c>
      <c r="G678" s="7">
        <v>18.149999999999999</v>
      </c>
      <c r="H678" s="8">
        <f t="shared" si="11"/>
        <v>-8.724155660338382E-3</v>
      </c>
    </row>
    <row r="679" spans="2:8" x14ac:dyDescent="0.2">
      <c r="B679" s="5">
        <v>44448</v>
      </c>
      <c r="C679" s="6" t="s">
        <v>16</v>
      </c>
      <c r="D679" s="7">
        <v>18.309999000000001</v>
      </c>
      <c r="E679" s="7">
        <v>18.309999000000001</v>
      </c>
      <c r="F679" s="7">
        <v>18.32</v>
      </c>
      <c r="G679" s="7">
        <v>18.110001</v>
      </c>
      <c r="H679" s="8">
        <f t="shared" si="11"/>
        <v>2.7344289046310312E-3</v>
      </c>
    </row>
    <row r="680" spans="2:8" x14ac:dyDescent="0.2">
      <c r="B680" s="5">
        <v>44449</v>
      </c>
      <c r="C680" s="6" t="s">
        <v>16</v>
      </c>
      <c r="D680" s="7">
        <v>18.239999999999998</v>
      </c>
      <c r="E680" s="7">
        <v>18.239999999999998</v>
      </c>
      <c r="F680" s="7">
        <v>18.290001</v>
      </c>
      <c r="G680" s="7">
        <v>18.120000999999998</v>
      </c>
      <c r="H680" s="8">
        <f t="shared" si="11"/>
        <v>-3.8303194252681462E-3</v>
      </c>
    </row>
    <row r="681" spans="2:8" x14ac:dyDescent="0.2">
      <c r="B681" s="5">
        <v>44450</v>
      </c>
      <c r="C681" s="6" t="s">
        <v>16</v>
      </c>
      <c r="D681" s="7">
        <v>17.959999</v>
      </c>
      <c r="E681" s="7">
        <v>17.959999</v>
      </c>
      <c r="F681" s="7">
        <v>17.969999000000001</v>
      </c>
      <c r="G681" s="7">
        <v>17.82</v>
      </c>
      <c r="H681" s="8">
        <f t="shared" si="11"/>
        <v>-1.5469977451420565E-2</v>
      </c>
    </row>
    <row r="682" spans="2:8" x14ac:dyDescent="0.2">
      <c r="B682" s="5">
        <v>44451</v>
      </c>
      <c r="C682" s="6" t="s">
        <v>16</v>
      </c>
      <c r="D682" s="7">
        <v>17.889999</v>
      </c>
      <c r="E682" s="7">
        <v>17.889999</v>
      </c>
      <c r="F682" s="7">
        <v>17.920000000000002</v>
      </c>
      <c r="G682" s="7">
        <v>17.760000000000002</v>
      </c>
      <c r="H682" s="8">
        <f t="shared" si="11"/>
        <v>-3.9051655712877744E-3</v>
      </c>
    </row>
    <row r="683" spans="2:8" x14ac:dyDescent="0.2">
      <c r="B683" s="5">
        <v>44454</v>
      </c>
      <c r="C683" s="6" t="s">
        <v>16</v>
      </c>
      <c r="D683" s="7">
        <v>17.920000000000002</v>
      </c>
      <c r="E683" s="7">
        <v>17.920000000000002</v>
      </c>
      <c r="F683" s="7">
        <v>17.940000999999999</v>
      </c>
      <c r="G683" s="7">
        <v>17.809999000000001</v>
      </c>
      <c r="H683" s="8">
        <f t="shared" si="11"/>
        <v>1.6755659233075434E-3</v>
      </c>
    </row>
    <row r="684" spans="2:8" x14ac:dyDescent="0.2">
      <c r="B684" s="5">
        <v>44455</v>
      </c>
      <c r="C684" s="6" t="s">
        <v>16</v>
      </c>
      <c r="D684" s="7">
        <v>17.950001</v>
      </c>
      <c r="E684" s="7">
        <v>17.950001</v>
      </c>
      <c r="F684" s="7">
        <v>18.120000999999998</v>
      </c>
      <c r="G684" s="7">
        <v>17.860001</v>
      </c>
      <c r="H684" s="8">
        <f t="shared" si="11"/>
        <v>1.6727630978082765E-3</v>
      </c>
    </row>
    <row r="685" spans="2:8" x14ac:dyDescent="0.2">
      <c r="B685" s="5">
        <v>44456</v>
      </c>
      <c r="C685" s="6" t="s">
        <v>16</v>
      </c>
      <c r="D685" s="7">
        <v>17.77</v>
      </c>
      <c r="E685" s="7">
        <v>17.77</v>
      </c>
      <c r="F685" s="7">
        <v>18.030000999999999</v>
      </c>
      <c r="G685" s="7">
        <v>17.739999999999998</v>
      </c>
      <c r="H685" s="8">
        <f t="shared" si="11"/>
        <v>-1.0078528478032816E-2</v>
      </c>
    </row>
    <row r="686" spans="2:8" x14ac:dyDescent="0.2">
      <c r="B686" s="5">
        <v>44457</v>
      </c>
      <c r="C686" s="6" t="s">
        <v>16</v>
      </c>
      <c r="D686" s="7">
        <v>17.77</v>
      </c>
      <c r="E686" s="7">
        <v>17.77</v>
      </c>
      <c r="F686" s="7">
        <v>17.870000999999998</v>
      </c>
      <c r="G686" s="7">
        <v>17.629999000000002</v>
      </c>
      <c r="H686" s="8">
        <f t="shared" si="11"/>
        <v>0</v>
      </c>
    </row>
    <row r="687" spans="2:8" x14ac:dyDescent="0.2">
      <c r="B687" s="5">
        <v>44458</v>
      </c>
      <c r="C687" s="6" t="s">
        <v>16</v>
      </c>
      <c r="D687" s="7">
        <v>17.190000999999999</v>
      </c>
      <c r="E687" s="7">
        <v>17.190000999999999</v>
      </c>
      <c r="F687" s="7">
        <v>17.639999</v>
      </c>
      <c r="G687" s="7">
        <v>17.079999999999998</v>
      </c>
      <c r="H687" s="8">
        <f t="shared" si="11"/>
        <v>-3.3183764598447248E-2</v>
      </c>
    </row>
    <row r="688" spans="2:8" x14ac:dyDescent="0.2">
      <c r="B688" s="5">
        <v>44461</v>
      </c>
      <c r="C688" s="6" t="s">
        <v>16</v>
      </c>
      <c r="D688" s="7">
        <v>17.079999999999998</v>
      </c>
      <c r="E688" s="7">
        <v>17.079999999999998</v>
      </c>
      <c r="F688" s="7">
        <v>17.149999999999999</v>
      </c>
      <c r="G688" s="7">
        <v>16.899999999999999</v>
      </c>
      <c r="H688" s="8">
        <f t="shared" si="11"/>
        <v>-6.4196892076890475E-3</v>
      </c>
    </row>
    <row r="689" spans="2:8" x14ac:dyDescent="0.2">
      <c r="B689" s="5">
        <v>44462</v>
      </c>
      <c r="C689" s="6" t="s">
        <v>16</v>
      </c>
      <c r="D689" s="7">
        <v>17.07</v>
      </c>
      <c r="E689" s="7">
        <v>17.07</v>
      </c>
      <c r="F689" s="7">
        <v>17.129999000000002</v>
      </c>
      <c r="G689" s="7">
        <v>17</v>
      </c>
      <c r="H689" s="8">
        <f t="shared" si="11"/>
        <v>-5.856515540743943E-4</v>
      </c>
    </row>
    <row r="690" spans="2:8" x14ac:dyDescent="0.2">
      <c r="B690" s="5">
        <v>44463</v>
      </c>
      <c r="C690" s="6" t="s">
        <v>16</v>
      </c>
      <c r="D690" s="7">
        <v>16.989999999999998</v>
      </c>
      <c r="E690" s="7">
        <v>16.989999999999998</v>
      </c>
      <c r="F690" s="7">
        <v>17.079999999999998</v>
      </c>
      <c r="G690" s="7">
        <v>16.82</v>
      </c>
      <c r="H690" s="8">
        <f t="shared" si="11"/>
        <v>-4.6976011225086664E-3</v>
      </c>
    </row>
    <row r="691" spans="2:8" x14ac:dyDescent="0.2">
      <c r="B691" s="5">
        <v>44464</v>
      </c>
      <c r="C691" s="6" t="s">
        <v>16</v>
      </c>
      <c r="D691" s="7">
        <v>16.829999999999998</v>
      </c>
      <c r="E691" s="7">
        <v>16.829999999999998</v>
      </c>
      <c r="F691" s="7">
        <v>16.93</v>
      </c>
      <c r="G691" s="7">
        <v>16.620000999999998</v>
      </c>
      <c r="H691" s="8">
        <f t="shared" si="11"/>
        <v>-9.4619274811260437E-3</v>
      </c>
    </row>
    <row r="692" spans="2:8" x14ac:dyDescent="0.2">
      <c r="B692" s="5">
        <v>44465</v>
      </c>
      <c r="C692" s="6" t="s">
        <v>16</v>
      </c>
      <c r="D692" s="7">
        <v>16.899999999999999</v>
      </c>
      <c r="E692" s="7">
        <v>16.899999999999999</v>
      </c>
      <c r="F692" s="7">
        <v>16.91</v>
      </c>
      <c r="G692" s="7">
        <v>16.75</v>
      </c>
      <c r="H692" s="8">
        <f t="shared" si="11"/>
        <v>4.1506137263132145E-3</v>
      </c>
    </row>
    <row r="693" spans="2:8" x14ac:dyDescent="0.2">
      <c r="B693" s="5">
        <v>44468</v>
      </c>
      <c r="C693" s="6" t="s">
        <v>16</v>
      </c>
      <c r="D693" s="7">
        <v>16.780000999999999</v>
      </c>
      <c r="E693" s="7">
        <v>16.780000999999999</v>
      </c>
      <c r="F693" s="7">
        <v>16.879999000000002</v>
      </c>
      <c r="G693" s="7">
        <v>16.73</v>
      </c>
      <c r="H693" s="8">
        <f t="shared" si="11"/>
        <v>-7.1258612952137873E-3</v>
      </c>
    </row>
    <row r="694" spans="2:8" x14ac:dyDescent="0.2">
      <c r="B694" s="5">
        <v>44469</v>
      </c>
      <c r="C694" s="6" t="s">
        <v>16</v>
      </c>
      <c r="D694" s="7">
        <v>16.350000000000001</v>
      </c>
      <c r="E694" s="7">
        <v>16.350000000000001</v>
      </c>
      <c r="F694" s="7">
        <v>16.690000999999999</v>
      </c>
      <c r="G694" s="7">
        <v>16.18</v>
      </c>
      <c r="H694" s="8">
        <f t="shared" si="11"/>
        <v>-2.5959863290551402E-2</v>
      </c>
    </row>
    <row r="695" spans="2:8" x14ac:dyDescent="0.2">
      <c r="B695" s="5">
        <v>44470</v>
      </c>
      <c r="C695" s="6" t="s">
        <v>16</v>
      </c>
      <c r="D695" s="7">
        <v>16.48</v>
      </c>
      <c r="E695" s="7">
        <v>16.48</v>
      </c>
      <c r="F695" s="7">
        <v>16.73</v>
      </c>
      <c r="G695" s="7">
        <v>16.440000999999999</v>
      </c>
      <c r="H695" s="8">
        <f t="shared" si="11"/>
        <v>7.9196271380632243E-3</v>
      </c>
    </row>
    <row r="696" spans="2:8" x14ac:dyDescent="0.2">
      <c r="B696" s="5">
        <v>44471</v>
      </c>
      <c r="C696" s="6" t="s">
        <v>16</v>
      </c>
      <c r="D696" s="7">
        <v>16.41</v>
      </c>
      <c r="E696" s="7">
        <v>16.41</v>
      </c>
      <c r="F696" s="7">
        <v>16.450001</v>
      </c>
      <c r="G696" s="7">
        <v>16.25</v>
      </c>
      <c r="H696" s="8">
        <f t="shared" si="11"/>
        <v>-4.256619379326137E-3</v>
      </c>
    </row>
    <row r="697" spans="2:8" x14ac:dyDescent="0.2">
      <c r="B697" s="5">
        <v>44472</v>
      </c>
      <c r="C697" s="6" t="s">
        <v>16</v>
      </c>
      <c r="D697" s="7">
        <v>16.120000999999998</v>
      </c>
      <c r="E697" s="7">
        <v>16.120000999999998</v>
      </c>
      <c r="F697" s="7">
        <v>16.290001</v>
      </c>
      <c r="G697" s="7">
        <v>16.040001</v>
      </c>
      <c r="H697" s="8">
        <f t="shared" si="11"/>
        <v>-1.7830105988779817E-2</v>
      </c>
    </row>
    <row r="698" spans="2:8" x14ac:dyDescent="0.2">
      <c r="B698" s="5">
        <v>44475</v>
      </c>
      <c r="C698" s="6" t="s">
        <v>16</v>
      </c>
      <c r="D698" s="7">
        <v>16.600000000000001</v>
      </c>
      <c r="E698" s="7">
        <v>16.600000000000001</v>
      </c>
      <c r="F698" s="7">
        <v>16.649999999999999</v>
      </c>
      <c r="G698" s="7">
        <v>16.309999000000001</v>
      </c>
      <c r="H698" s="8">
        <f t="shared" si="11"/>
        <v>2.934189624927807E-2</v>
      </c>
    </row>
    <row r="699" spans="2:8" x14ac:dyDescent="0.2">
      <c r="B699" s="5">
        <v>44476</v>
      </c>
      <c r="C699" s="6" t="s">
        <v>16</v>
      </c>
      <c r="D699" s="7">
        <v>16.48</v>
      </c>
      <c r="E699" s="7">
        <v>16.48</v>
      </c>
      <c r="F699" s="7">
        <v>16.629999000000002</v>
      </c>
      <c r="G699" s="7">
        <v>16.389999</v>
      </c>
      <c r="H699" s="8">
        <f t="shared" si="11"/>
        <v>-7.2551708811720217E-3</v>
      </c>
    </row>
    <row r="700" spans="2:8" x14ac:dyDescent="0.2">
      <c r="B700" s="5">
        <v>44477</v>
      </c>
      <c r="C700" s="6" t="s">
        <v>16</v>
      </c>
      <c r="D700" s="7">
        <v>16.68</v>
      </c>
      <c r="E700" s="7">
        <v>16.68</v>
      </c>
      <c r="F700" s="7">
        <v>16.739999999999998</v>
      </c>
      <c r="G700" s="7">
        <v>16.350000000000001</v>
      </c>
      <c r="H700" s="8">
        <f t="shared" si="11"/>
        <v>1.2062872449274944E-2</v>
      </c>
    </row>
    <row r="701" spans="2:8" x14ac:dyDescent="0.2">
      <c r="B701" s="5">
        <v>44478</v>
      </c>
      <c r="C701" s="6" t="s">
        <v>16</v>
      </c>
      <c r="D701" s="7">
        <v>16.620000999999998</v>
      </c>
      <c r="E701" s="7">
        <v>16.620000999999998</v>
      </c>
      <c r="F701" s="7">
        <v>16.969999000000001</v>
      </c>
      <c r="G701" s="7">
        <v>16.610001</v>
      </c>
      <c r="H701" s="8">
        <f t="shared" si="11"/>
        <v>-3.6035473348287805E-3</v>
      </c>
    </row>
    <row r="702" spans="2:8" x14ac:dyDescent="0.2">
      <c r="B702" s="5">
        <v>44479</v>
      </c>
      <c r="C702" s="6" t="s">
        <v>16</v>
      </c>
      <c r="D702" s="7">
        <v>16.639999</v>
      </c>
      <c r="E702" s="7">
        <v>16.639999</v>
      </c>
      <c r="F702" s="7">
        <v>16.68</v>
      </c>
      <c r="G702" s="7">
        <v>16.530000999999999</v>
      </c>
      <c r="H702" s="8">
        <f t="shared" si="11"/>
        <v>1.2025257011348618E-3</v>
      </c>
    </row>
    <row r="703" spans="2:8" x14ac:dyDescent="0.2">
      <c r="B703" s="5">
        <v>44482</v>
      </c>
      <c r="C703" s="6" t="s">
        <v>16</v>
      </c>
      <c r="D703" s="7">
        <v>16.73</v>
      </c>
      <c r="E703" s="7">
        <v>16.73</v>
      </c>
      <c r="F703" s="7">
        <v>16.739999999999998</v>
      </c>
      <c r="G703" s="7">
        <v>16.57</v>
      </c>
      <c r="H703" s="8">
        <f t="shared" si="11"/>
        <v>5.3941397018257833E-3</v>
      </c>
    </row>
    <row r="704" spans="2:8" x14ac:dyDescent="0.2">
      <c r="B704" s="5">
        <v>44483</v>
      </c>
      <c r="C704" s="6" t="s">
        <v>16</v>
      </c>
      <c r="D704" s="7">
        <v>16.68</v>
      </c>
      <c r="E704" s="7">
        <v>16.68</v>
      </c>
      <c r="F704" s="7">
        <v>16.77</v>
      </c>
      <c r="G704" s="7">
        <v>16.610001</v>
      </c>
      <c r="H704" s="8">
        <f t="shared" si="11"/>
        <v>-2.9931180681319522E-3</v>
      </c>
    </row>
    <row r="705" spans="2:8" x14ac:dyDescent="0.2">
      <c r="B705" s="5">
        <v>44484</v>
      </c>
      <c r="C705" s="6" t="s">
        <v>16</v>
      </c>
      <c r="D705" s="7">
        <v>16.709999</v>
      </c>
      <c r="E705" s="7">
        <v>16.709999</v>
      </c>
      <c r="F705" s="7">
        <v>17.09</v>
      </c>
      <c r="G705" s="7">
        <v>16.68</v>
      </c>
      <c r="H705" s="8">
        <f t="shared" si="11"/>
        <v>1.7968858322952206E-3</v>
      </c>
    </row>
    <row r="706" spans="2:8" x14ac:dyDescent="0.2">
      <c r="B706" s="5">
        <v>44485</v>
      </c>
      <c r="C706" s="6" t="s">
        <v>16</v>
      </c>
      <c r="D706" s="7">
        <v>16.670000000000002</v>
      </c>
      <c r="E706" s="7">
        <v>16.670000000000002</v>
      </c>
      <c r="F706" s="7">
        <v>16.75</v>
      </c>
      <c r="G706" s="7">
        <v>16.5</v>
      </c>
      <c r="H706" s="8">
        <f t="shared" si="11"/>
        <v>-2.396586000193305E-3</v>
      </c>
    </row>
    <row r="707" spans="2:8" x14ac:dyDescent="0.2">
      <c r="B707" s="5">
        <v>44486</v>
      </c>
      <c r="C707" s="6" t="s">
        <v>16</v>
      </c>
      <c r="D707" s="7">
        <v>16.579999999999998</v>
      </c>
      <c r="E707" s="7">
        <v>16.579999999999998</v>
      </c>
      <c r="F707" s="7">
        <v>16.66</v>
      </c>
      <c r="G707" s="7">
        <v>16.52</v>
      </c>
      <c r="H707" s="8">
        <f t="shared" si="11"/>
        <v>-5.4135470555539142E-3</v>
      </c>
    </row>
    <row r="708" spans="2:8" x14ac:dyDescent="0.2">
      <c r="B708" s="5">
        <v>44489</v>
      </c>
      <c r="C708" s="6" t="s">
        <v>16</v>
      </c>
      <c r="D708" s="7">
        <v>16.73</v>
      </c>
      <c r="E708" s="7">
        <v>16.73</v>
      </c>
      <c r="F708" s="7">
        <v>16.809999000000001</v>
      </c>
      <c r="G708" s="7">
        <v>16.629999000000002</v>
      </c>
      <c r="H708" s="8">
        <f t="shared" ref="H708:H771" si="12">IF(C708=C707, LN(E708/E707), "")</f>
        <v>9.0063652915837785E-3</v>
      </c>
    </row>
    <row r="709" spans="2:8" x14ac:dyDescent="0.2">
      <c r="B709" s="5">
        <v>44490</v>
      </c>
      <c r="C709" s="6" t="s">
        <v>16</v>
      </c>
      <c r="D709" s="7">
        <v>16.809999000000001</v>
      </c>
      <c r="E709" s="7">
        <v>16.809999000000001</v>
      </c>
      <c r="F709" s="7">
        <v>16.91</v>
      </c>
      <c r="G709" s="7">
        <v>16.77</v>
      </c>
      <c r="H709" s="8">
        <f t="shared" si="12"/>
        <v>4.770372933390196E-3</v>
      </c>
    </row>
    <row r="710" spans="2:8" x14ac:dyDescent="0.2">
      <c r="B710" s="5">
        <v>44491</v>
      </c>
      <c r="C710" s="6" t="s">
        <v>16</v>
      </c>
      <c r="D710" s="7">
        <v>16.459999</v>
      </c>
      <c r="E710" s="7">
        <v>16.459999</v>
      </c>
      <c r="F710" s="7">
        <v>16.57</v>
      </c>
      <c r="G710" s="7">
        <v>16.420000000000002</v>
      </c>
      <c r="H710" s="8">
        <f t="shared" si="12"/>
        <v>-2.1040753436542374E-2</v>
      </c>
    </row>
    <row r="711" spans="2:8" x14ac:dyDescent="0.2">
      <c r="B711" s="5">
        <v>44492</v>
      </c>
      <c r="C711" s="6" t="s">
        <v>16</v>
      </c>
      <c r="D711" s="7">
        <v>16.5</v>
      </c>
      <c r="E711" s="7">
        <v>16.5</v>
      </c>
      <c r="F711" s="7">
        <v>16.549999</v>
      </c>
      <c r="G711" s="7">
        <v>16.399999999999999</v>
      </c>
      <c r="H711" s="8">
        <f t="shared" si="12"/>
        <v>2.4272464109543548E-3</v>
      </c>
    </row>
    <row r="712" spans="2:8" x14ac:dyDescent="0.2">
      <c r="B712" s="5">
        <v>44493</v>
      </c>
      <c r="C712" s="6" t="s">
        <v>16</v>
      </c>
      <c r="D712" s="7">
        <v>16.5</v>
      </c>
      <c r="E712" s="7">
        <v>16.5</v>
      </c>
      <c r="F712" s="7">
        <v>16.639999</v>
      </c>
      <c r="G712" s="7">
        <v>16.43</v>
      </c>
      <c r="H712" s="8">
        <f t="shared" si="12"/>
        <v>0</v>
      </c>
    </row>
    <row r="713" spans="2:8" x14ac:dyDescent="0.2">
      <c r="B713" s="5">
        <v>44496</v>
      </c>
      <c r="C713" s="6" t="s">
        <v>16</v>
      </c>
      <c r="D713" s="7">
        <v>16.420000000000002</v>
      </c>
      <c r="E713" s="7">
        <v>16.420000000000002</v>
      </c>
      <c r="F713" s="7">
        <v>16.530000999999999</v>
      </c>
      <c r="G713" s="7">
        <v>16.420000000000002</v>
      </c>
      <c r="H713" s="8">
        <f t="shared" si="12"/>
        <v>-4.8602768822526825E-3</v>
      </c>
    </row>
    <row r="714" spans="2:8" x14ac:dyDescent="0.2">
      <c r="B714" s="5">
        <v>44497</v>
      </c>
      <c r="C714" s="6" t="s">
        <v>16</v>
      </c>
      <c r="D714" s="7">
        <v>16.489999999999998</v>
      </c>
      <c r="E714" s="7">
        <v>16.489999999999998</v>
      </c>
      <c r="F714" s="7">
        <v>16.639999</v>
      </c>
      <c r="G714" s="7">
        <v>16.469999000000001</v>
      </c>
      <c r="H714" s="8">
        <f t="shared" si="12"/>
        <v>4.254032547225256E-3</v>
      </c>
    </row>
    <row r="715" spans="2:8" x14ac:dyDescent="0.2">
      <c r="B715" s="5">
        <v>44498</v>
      </c>
      <c r="C715" s="6" t="s">
        <v>16</v>
      </c>
      <c r="D715" s="7">
        <v>16.379999000000002</v>
      </c>
      <c r="E715" s="7">
        <v>16.379999000000002</v>
      </c>
      <c r="F715" s="7">
        <v>16.610001</v>
      </c>
      <c r="G715" s="7">
        <v>16.329999999999998</v>
      </c>
      <c r="H715" s="8">
        <f t="shared" si="12"/>
        <v>-6.6931191966468906E-3</v>
      </c>
    </row>
    <row r="716" spans="2:8" x14ac:dyDescent="0.2">
      <c r="B716" s="5">
        <v>44499</v>
      </c>
      <c r="C716" s="6" t="s">
        <v>16</v>
      </c>
      <c r="D716" s="7">
        <v>15.82</v>
      </c>
      <c r="E716" s="7">
        <v>15.82</v>
      </c>
      <c r="F716" s="7">
        <v>15.99</v>
      </c>
      <c r="G716" s="7">
        <v>15.68</v>
      </c>
      <c r="H716" s="8">
        <f t="shared" si="12"/>
        <v>-3.4786055035352682E-2</v>
      </c>
    </row>
    <row r="717" spans="2:8" x14ac:dyDescent="0.2">
      <c r="B717" s="5">
        <v>44500</v>
      </c>
      <c r="C717" s="6" t="s">
        <v>16</v>
      </c>
      <c r="D717" s="7">
        <v>15.5</v>
      </c>
      <c r="E717" s="7">
        <v>15.5</v>
      </c>
      <c r="F717" s="7">
        <v>15.5</v>
      </c>
      <c r="G717" s="7">
        <v>15.21</v>
      </c>
      <c r="H717" s="8">
        <f t="shared" si="12"/>
        <v>-2.0434938414306894E-2</v>
      </c>
    </row>
    <row r="718" spans="2:8" x14ac:dyDescent="0.2">
      <c r="B718" s="5">
        <v>44503</v>
      </c>
      <c r="C718" s="6" t="s">
        <v>16</v>
      </c>
      <c r="D718" s="7">
        <v>15.48</v>
      </c>
      <c r="E718" s="7">
        <v>15.48</v>
      </c>
      <c r="F718" s="7">
        <v>15.56</v>
      </c>
      <c r="G718" s="7">
        <v>15.35</v>
      </c>
      <c r="H718" s="8">
        <f t="shared" si="12"/>
        <v>-1.291155763619816E-3</v>
      </c>
    </row>
    <row r="719" spans="2:8" x14ac:dyDescent="0.2">
      <c r="B719" s="5">
        <v>44504</v>
      </c>
      <c r="C719" s="6" t="s">
        <v>16</v>
      </c>
      <c r="D719" s="7">
        <v>15.36</v>
      </c>
      <c r="E719" s="7">
        <v>15.36</v>
      </c>
      <c r="F719" s="7">
        <v>15.43</v>
      </c>
      <c r="G719" s="7">
        <v>15.28</v>
      </c>
      <c r="H719" s="8">
        <f t="shared" si="12"/>
        <v>-7.7821404420549628E-3</v>
      </c>
    </row>
    <row r="720" spans="2:8" x14ac:dyDescent="0.2">
      <c r="B720" s="5">
        <v>44505</v>
      </c>
      <c r="C720" s="6" t="s">
        <v>16</v>
      </c>
      <c r="D720" s="7">
        <v>14.66</v>
      </c>
      <c r="E720" s="7">
        <v>14.66</v>
      </c>
      <c r="F720" s="7">
        <v>14.96</v>
      </c>
      <c r="G720" s="7">
        <v>14.64</v>
      </c>
      <c r="H720" s="8">
        <f t="shared" si="12"/>
        <v>-4.6644031261020638E-2</v>
      </c>
    </row>
    <row r="721" spans="2:8" x14ac:dyDescent="0.2">
      <c r="B721" s="5">
        <v>44506</v>
      </c>
      <c r="C721" s="6" t="s">
        <v>16</v>
      </c>
      <c r="D721" s="7">
        <v>14.82</v>
      </c>
      <c r="E721" s="7">
        <v>14.82</v>
      </c>
      <c r="F721" s="7">
        <v>14.84</v>
      </c>
      <c r="G721" s="7">
        <v>14.68</v>
      </c>
      <c r="H721" s="8">
        <f t="shared" si="12"/>
        <v>1.0854923409435465E-2</v>
      </c>
    </row>
    <row r="722" spans="2:8" x14ac:dyDescent="0.2">
      <c r="B722" s="5">
        <v>44507</v>
      </c>
      <c r="C722" s="6" t="s">
        <v>16</v>
      </c>
      <c r="D722" s="7">
        <v>15.1</v>
      </c>
      <c r="E722" s="7">
        <v>15.1</v>
      </c>
      <c r="F722" s="7">
        <v>15.15</v>
      </c>
      <c r="G722" s="7">
        <v>14.91</v>
      </c>
      <c r="H722" s="8">
        <f t="shared" si="12"/>
        <v>1.8717123952937773E-2</v>
      </c>
    </row>
    <row r="723" spans="2:8" x14ac:dyDescent="0.2">
      <c r="B723" s="5">
        <v>44510</v>
      </c>
      <c r="C723" s="6" t="s">
        <v>16</v>
      </c>
      <c r="D723" s="7">
        <v>14.92</v>
      </c>
      <c r="E723" s="7">
        <v>14.92</v>
      </c>
      <c r="F723" s="7">
        <v>15.07</v>
      </c>
      <c r="G723" s="7">
        <v>14.86</v>
      </c>
      <c r="H723" s="8">
        <f t="shared" si="12"/>
        <v>-1.199214904526387E-2</v>
      </c>
    </row>
    <row r="724" spans="2:8" x14ac:dyDescent="0.2">
      <c r="B724" s="5">
        <v>44511</v>
      </c>
      <c r="C724" s="6" t="s">
        <v>16</v>
      </c>
      <c r="D724" s="7">
        <v>15.11</v>
      </c>
      <c r="E724" s="7">
        <v>15.11</v>
      </c>
      <c r="F724" s="7">
        <v>15.24</v>
      </c>
      <c r="G724" s="7">
        <v>14.87</v>
      </c>
      <c r="H724" s="8">
        <f t="shared" si="12"/>
        <v>1.2654181509033363E-2</v>
      </c>
    </row>
    <row r="725" spans="2:8" x14ac:dyDescent="0.2">
      <c r="B725" s="5">
        <v>44512</v>
      </c>
      <c r="C725" s="6" t="s">
        <v>16</v>
      </c>
      <c r="D725" s="7">
        <v>15.03</v>
      </c>
      <c r="E725" s="7">
        <v>15.03</v>
      </c>
      <c r="F725" s="7">
        <v>15.09</v>
      </c>
      <c r="G725" s="7">
        <v>14.96</v>
      </c>
      <c r="H725" s="8">
        <f t="shared" si="12"/>
        <v>-5.3085725197650315E-3</v>
      </c>
    </row>
    <row r="726" spans="2:8" x14ac:dyDescent="0.2">
      <c r="B726" s="5">
        <v>44513</v>
      </c>
      <c r="C726" s="6" t="s">
        <v>16</v>
      </c>
      <c r="D726" s="7">
        <v>14.97</v>
      </c>
      <c r="E726" s="7">
        <v>14.97</v>
      </c>
      <c r="F726" s="7">
        <v>15.09</v>
      </c>
      <c r="G726" s="7">
        <v>14.93</v>
      </c>
      <c r="H726" s="8">
        <f t="shared" si="12"/>
        <v>-4.0000053333460166E-3</v>
      </c>
    </row>
    <row r="727" spans="2:8" x14ac:dyDescent="0.2">
      <c r="B727" s="5">
        <v>44514</v>
      </c>
      <c r="C727" s="6" t="s">
        <v>16</v>
      </c>
      <c r="D727" s="7">
        <v>15.63</v>
      </c>
      <c r="E727" s="7">
        <v>15.63</v>
      </c>
      <c r="F727" s="7">
        <v>15.72</v>
      </c>
      <c r="G727" s="7">
        <v>14.77</v>
      </c>
      <c r="H727" s="8">
        <f t="shared" si="12"/>
        <v>4.3143946001848295E-2</v>
      </c>
    </row>
    <row r="728" spans="2:8" x14ac:dyDescent="0.2">
      <c r="B728" s="5">
        <v>44517</v>
      </c>
      <c r="C728" s="6" t="s">
        <v>16</v>
      </c>
      <c r="D728" s="7">
        <v>15.5</v>
      </c>
      <c r="E728" s="7">
        <v>15.5</v>
      </c>
      <c r="F728" s="7">
        <v>15.53</v>
      </c>
      <c r="G728" s="7">
        <v>15.38</v>
      </c>
      <c r="H728" s="8">
        <f t="shared" si="12"/>
        <v>-8.3521205081843134E-3</v>
      </c>
    </row>
    <row r="729" spans="2:8" x14ac:dyDescent="0.2">
      <c r="B729" s="5">
        <v>44518</v>
      </c>
      <c r="C729" s="6" t="s">
        <v>16</v>
      </c>
      <c r="D729" s="7">
        <v>15.55</v>
      </c>
      <c r="E729" s="7">
        <v>15.55</v>
      </c>
      <c r="F729" s="7">
        <v>15.59</v>
      </c>
      <c r="G729" s="7">
        <v>15.47</v>
      </c>
      <c r="H729" s="8">
        <f t="shared" si="12"/>
        <v>3.2206147000421572E-3</v>
      </c>
    </row>
    <row r="730" spans="2:8" x14ac:dyDescent="0.2">
      <c r="B730" s="5">
        <v>44519</v>
      </c>
      <c r="C730" s="6" t="s">
        <v>16</v>
      </c>
      <c r="D730" s="7">
        <v>15.48</v>
      </c>
      <c r="E730" s="7">
        <v>15.48</v>
      </c>
      <c r="F730" s="7">
        <v>15.87</v>
      </c>
      <c r="G730" s="7">
        <v>15.24</v>
      </c>
      <c r="H730" s="8">
        <f t="shared" si="12"/>
        <v>-4.511770463662061E-3</v>
      </c>
    </row>
    <row r="731" spans="2:8" x14ac:dyDescent="0.2">
      <c r="B731" s="5">
        <v>44520</v>
      </c>
      <c r="C731" s="6" t="s">
        <v>16</v>
      </c>
      <c r="D731" s="7">
        <v>15.6</v>
      </c>
      <c r="E731" s="7">
        <v>15.6</v>
      </c>
      <c r="F731" s="7">
        <v>15.61</v>
      </c>
      <c r="G731" s="7">
        <v>15.46</v>
      </c>
      <c r="H731" s="8">
        <f t="shared" si="12"/>
        <v>7.7220460939103185E-3</v>
      </c>
    </row>
    <row r="732" spans="2:8" x14ac:dyDescent="0.2">
      <c r="B732" s="5">
        <v>44521</v>
      </c>
      <c r="C732" s="6" t="s">
        <v>16</v>
      </c>
      <c r="D732" s="7">
        <v>15.79</v>
      </c>
      <c r="E732" s="7">
        <v>15.79</v>
      </c>
      <c r="F732" s="7">
        <v>15.93</v>
      </c>
      <c r="G732" s="7">
        <v>15.61</v>
      </c>
      <c r="H732" s="8">
        <f t="shared" si="12"/>
        <v>1.2105914012059318E-2</v>
      </c>
    </row>
    <row r="733" spans="2:8" x14ac:dyDescent="0.2">
      <c r="B733" s="5">
        <v>44524</v>
      </c>
      <c r="C733" s="6" t="s">
        <v>16</v>
      </c>
      <c r="D733" s="7">
        <v>15.78</v>
      </c>
      <c r="E733" s="7">
        <v>15.78</v>
      </c>
      <c r="F733" s="7">
        <v>15.81</v>
      </c>
      <c r="G733" s="7">
        <v>15.65</v>
      </c>
      <c r="H733" s="8">
        <f t="shared" si="12"/>
        <v>-6.3351284982247761E-4</v>
      </c>
    </row>
    <row r="734" spans="2:8" x14ac:dyDescent="0.2">
      <c r="B734" s="5">
        <v>44525</v>
      </c>
      <c r="C734" s="6" t="s">
        <v>16</v>
      </c>
      <c r="D734" s="7">
        <v>15.98</v>
      </c>
      <c r="E734" s="7">
        <v>15.98</v>
      </c>
      <c r="F734" s="7">
        <v>16</v>
      </c>
      <c r="G734" s="7">
        <v>15.82</v>
      </c>
      <c r="H734" s="8">
        <f t="shared" si="12"/>
        <v>1.2594624920400458E-2</v>
      </c>
    </row>
    <row r="735" spans="2:8" x14ac:dyDescent="0.2">
      <c r="B735" s="5">
        <v>44526</v>
      </c>
      <c r="C735" s="6" t="s">
        <v>16</v>
      </c>
      <c r="D735" s="7">
        <v>15.87</v>
      </c>
      <c r="E735" s="7">
        <v>15.87</v>
      </c>
      <c r="F735" s="7">
        <v>15.97</v>
      </c>
      <c r="G735" s="7">
        <v>15.85</v>
      </c>
      <c r="H735" s="8">
        <f t="shared" si="12"/>
        <v>-6.9074057998109433E-3</v>
      </c>
    </row>
    <row r="736" spans="2:8" x14ac:dyDescent="0.2">
      <c r="B736" s="5">
        <v>44528</v>
      </c>
      <c r="C736" s="6" t="s">
        <v>16</v>
      </c>
      <c r="D736" s="7">
        <v>14.83</v>
      </c>
      <c r="E736" s="7">
        <v>14.83</v>
      </c>
      <c r="F736" s="7">
        <v>15.24</v>
      </c>
      <c r="G736" s="7">
        <v>14.8</v>
      </c>
      <c r="H736" s="8">
        <f t="shared" si="12"/>
        <v>-6.7778378388476973E-2</v>
      </c>
    </row>
    <row r="737" spans="2:8" x14ac:dyDescent="0.2">
      <c r="B737" s="5">
        <v>44531</v>
      </c>
      <c r="C737" s="6" t="s">
        <v>16</v>
      </c>
      <c r="D737" s="7">
        <v>15.78</v>
      </c>
      <c r="E737" s="7">
        <v>15.78</v>
      </c>
      <c r="F737" s="7">
        <v>16.09</v>
      </c>
      <c r="G737" s="7">
        <v>15.22</v>
      </c>
      <c r="H737" s="8">
        <f t="shared" si="12"/>
        <v>6.2091159267887427E-2</v>
      </c>
    </row>
    <row r="738" spans="2:8" x14ac:dyDescent="0.2">
      <c r="B738" s="5">
        <v>44532</v>
      </c>
      <c r="C738" s="6" t="s">
        <v>16</v>
      </c>
      <c r="D738" s="7">
        <v>15.75</v>
      </c>
      <c r="E738" s="7">
        <v>15.75</v>
      </c>
      <c r="F738" s="7">
        <v>15.83</v>
      </c>
      <c r="G738" s="7">
        <v>15.52</v>
      </c>
      <c r="H738" s="8">
        <f t="shared" si="12"/>
        <v>-1.9029501460860756E-3</v>
      </c>
    </row>
    <row r="739" spans="2:8" x14ac:dyDescent="0.2">
      <c r="B739" s="5">
        <v>44533</v>
      </c>
      <c r="C739" s="6" t="s">
        <v>16</v>
      </c>
      <c r="D739" s="7">
        <v>15.73</v>
      </c>
      <c r="E739" s="7">
        <v>15.73</v>
      </c>
      <c r="F739" s="7">
        <v>15.89</v>
      </c>
      <c r="G739" s="7">
        <v>15.63</v>
      </c>
      <c r="H739" s="8">
        <f t="shared" si="12"/>
        <v>-1.2706482014555418E-3</v>
      </c>
    </row>
    <row r="740" spans="2:8" x14ac:dyDescent="0.2">
      <c r="B740" s="5">
        <v>44534</v>
      </c>
      <c r="C740" s="6" t="s">
        <v>16</v>
      </c>
      <c r="D740" s="7">
        <v>15.77</v>
      </c>
      <c r="E740" s="7">
        <v>15.77</v>
      </c>
      <c r="F740" s="7">
        <v>15.92</v>
      </c>
      <c r="G740" s="7">
        <v>15.75</v>
      </c>
      <c r="H740" s="8">
        <f t="shared" si="12"/>
        <v>2.5396839047605339E-3</v>
      </c>
    </row>
    <row r="741" spans="2:8" x14ac:dyDescent="0.2">
      <c r="B741" s="5">
        <v>44535</v>
      </c>
      <c r="C741" s="6" t="s">
        <v>16</v>
      </c>
      <c r="D741" s="7">
        <v>15.61</v>
      </c>
      <c r="E741" s="7">
        <v>15.61</v>
      </c>
      <c r="F741" s="7">
        <v>15.71</v>
      </c>
      <c r="G741" s="7">
        <v>15.54</v>
      </c>
      <c r="H741" s="8">
        <f t="shared" si="12"/>
        <v>-1.0197666447606323E-2</v>
      </c>
    </row>
    <row r="742" spans="2:8" x14ac:dyDescent="0.2">
      <c r="B742" s="5">
        <v>44538</v>
      </c>
      <c r="C742" s="6" t="s">
        <v>16</v>
      </c>
      <c r="D742" s="7">
        <v>15.71</v>
      </c>
      <c r="E742" s="7">
        <v>15.71</v>
      </c>
      <c r="F742" s="7">
        <v>15.74</v>
      </c>
      <c r="G742" s="7">
        <v>15.53</v>
      </c>
      <c r="H742" s="8">
        <f t="shared" si="12"/>
        <v>6.3857177401892059E-3</v>
      </c>
    </row>
    <row r="743" spans="2:8" x14ac:dyDescent="0.2">
      <c r="B743" s="5">
        <v>44539</v>
      </c>
      <c r="C743" s="6" t="s">
        <v>16</v>
      </c>
      <c r="D743" s="7">
        <v>16.32</v>
      </c>
      <c r="E743" s="7">
        <v>16.32</v>
      </c>
      <c r="F743" s="7">
        <v>16.48</v>
      </c>
      <c r="G743" s="7">
        <v>16.02</v>
      </c>
      <c r="H743" s="8">
        <f t="shared" si="12"/>
        <v>3.8093897268431084E-2</v>
      </c>
    </row>
    <row r="744" spans="2:8" x14ac:dyDescent="0.2">
      <c r="B744" s="5">
        <v>44540</v>
      </c>
      <c r="C744" s="6" t="s">
        <v>16</v>
      </c>
      <c r="D744" s="7">
        <v>16.370000999999998</v>
      </c>
      <c r="E744" s="7">
        <v>16.370000999999998</v>
      </c>
      <c r="F744" s="7">
        <v>16.48</v>
      </c>
      <c r="G744" s="7">
        <v>16.329999999999998</v>
      </c>
      <c r="H744" s="8">
        <f t="shared" si="12"/>
        <v>3.0591029344356211E-3</v>
      </c>
    </row>
    <row r="745" spans="2:8" x14ac:dyDescent="0.2">
      <c r="B745" s="5">
        <v>44541</v>
      </c>
      <c r="C745" s="6" t="s">
        <v>16</v>
      </c>
      <c r="D745" s="7">
        <v>16.329999999999998</v>
      </c>
      <c r="E745" s="7">
        <v>16.329999999999998</v>
      </c>
      <c r="F745" s="7">
        <v>16.489999999999998</v>
      </c>
      <c r="G745" s="7">
        <v>16.27</v>
      </c>
      <c r="H745" s="8">
        <f t="shared" si="12"/>
        <v>-2.4465454880228531E-3</v>
      </c>
    </row>
    <row r="746" spans="2:8" x14ac:dyDescent="0.2">
      <c r="B746" s="5">
        <v>44542</v>
      </c>
      <c r="C746" s="6" t="s">
        <v>16</v>
      </c>
      <c r="D746" s="7">
        <v>16.299999</v>
      </c>
      <c r="E746" s="7">
        <v>16.299999</v>
      </c>
      <c r="F746" s="7">
        <v>16.43</v>
      </c>
      <c r="G746" s="7">
        <v>16.280000999999999</v>
      </c>
      <c r="H746" s="8">
        <f t="shared" si="12"/>
        <v>-1.8388605193521649E-3</v>
      </c>
    </row>
    <row r="747" spans="2:8" x14ac:dyDescent="0.2">
      <c r="B747" s="5">
        <v>44545</v>
      </c>
      <c r="C747" s="6" t="s">
        <v>16</v>
      </c>
      <c r="D747" s="7">
        <v>15.47</v>
      </c>
      <c r="E747" s="7">
        <v>15.47</v>
      </c>
      <c r="F747" s="7">
        <v>16.190000999999999</v>
      </c>
      <c r="G747" s="7">
        <v>15.44</v>
      </c>
      <c r="H747" s="8">
        <f t="shared" si="12"/>
        <v>-5.226238187804675E-2</v>
      </c>
    </row>
    <row r="748" spans="2:8" x14ac:dyDescent="0.2">
      <c r="B748" s="5">
        <v>44546</v>
      </c>
      <c r="C748" s="6" t="s">
        <v>16</v>
      </c>
      <c r="D748" s="7">
        <v>15.08</v>
      </c>
      <c r="E748" s="7">
        <v>15.08</v>
      </c>
      <c r="F748" s="7">
        <v>15.62</v>
      </c>
      <c r="G748" s="7">
        <v>14.88</v>
      </c>
      <c r="H748" s="8">
        <f t="shared" si="12"/>
        <v>-2.5533302005164762E-2</v>
      </c>
    </row>
    <row r="749" spans="2:8" x14ac:dyDescent="0.2">
      <c r="B749" s="5">
        <v>44547</v>
      </c>
      <c r="C749" s="6" t="s">
        <v>16</v>
      </c>
      <c r="D749" s="7">
        <v>15.1</v>
      </c>
      <c r="E749" s="7">
        <v>15.1</v>
      </c>
      <c r="F749" s="7">
        <v>15.38</v>
      </c>
      <c r="G749" s="7">
        <v>14.96</v>
      </c>
      <c r="H749" s="8">
        <f t="shared" si="12"/>
        <v>1.3253812410687102E-3</v>
      </c>
    </row>
    <row r="750" spans="2:8" x14ac:dyDescent="0.2">
      <c r="B750" s="5">
        <v>44548</v>
      </c>
      <c r="C750" s="6" t="s">
        <v>16</v>
      </c>
      <c r="D750" s="7">
        <v>15.25</v>
      </c>
      <c r="E750" s="7">
        <v>15.25</v>
      </c>
      <c r="F750" s="7">
        <v>15.43</v>
      </c>
      <c r="G750" s="7">
        <v>15.17</v>
      </c>
      <c r="H750" s="8">
        <f t="shared" si="12"/>
        <v>9.8847592325419249E-3</v>
      </c>
    </row>
    <row r="751" spans="2:8" x14ac:dyDescent="0.2">
      <c r="B751" s="5">
        <v>44549</v>
      </c>
      <c r="C751" s="6" t="s">
        <v>16</v>
      </c>
      <c r="D751" s="7">
        <v>15.39</v>
      </c>
      <c r="E751" s="7">
        <v>15.39</v>
      </c>
      <c r="F751" s="7">
        <v>15.43</v>
      </c>
      <c r="G751" s="7">
        <v>15.22</v>
      </c>
      <c r="H751" s="8">
        <f t="shared" si="12"/>
        <v>9.1384447973672459E-3</v>
      </c>
    </row>
    <row r="752" spans="2:8" x14ac:dyDescent="0.2">
      <c r="B752" s="5">
        <v>44552</v>
      </c>
      <c r="C752" s="6" t="s">
        <v>16</v>
      </c>
      <c r="D752" s="7">
        <v>14.99</v>
      </c>
      <c r="E752" s="7">
        <v>14.99</v>
      </c>
      <c r="F752" s="7">
        <v>15.31</v>
      </c>
      <c r="G752" s="7">
        <v>14.87</v>
      </c>
      <c r="H752" s="8">
        <f t="shared" si="12"/>
        <v>-2.633463573628152E-2</v>
      </c>
    </row>
    <row r="753" spans="2:8" x14ac:dyDescent="0.2">
      <c r="B753" s="5">
        <v>44553</v>
      </c>
      <c r="C753" s="6" t="s">
        <v>16</v>
      </c>
      <c r="D753" s="7">
        <v>15.04</v>
      </c>
      <c r="E753" s="7">
        <v>15.04</v>
      </c>
      <c r="F753" s="7">
        <v>15.16</v>
      </c>
      <c r="G753" s="7">
        <v>15</v>
      </c>
      <c r="H753" s="8">
        <f t="shared" si="12"/>
        <v>3.3300064071874295E-3</v>
      </c>
    </row>
    <row r="754" spans="2:8" x14ac:dyDescent="0.2">
      <c r="B754" s="5">
        <v>44554</v>
      </c>
      <c r="C754" s="6" t="s">
        <v>16</v>
      </c>
      <c r="D754" s="7">
        <v>15.09</v>
      </c>
      <c r="E754" s="7">
        <v>15.09</v>
      </c>
      <c r="F754" s="7">
        <v>15.13</v>
      </c>
      <c r="G754" s="7">
        <v>15.02</v>
      </c>
      <c r="H754" s="8">
        <f t="shared" si="12"/>
        <v>3.3189542580637169E-3</v>
      </c>
    </row>
    <row r="755" spans="2:8" x14ac:dyDescent="0.2">
      <c r="B755" s="5">
        <v>44556</v>
      </c>
      <c r="C755" s="6" t="s">
        <v>16</v>
      </c>
      <c r="D755" s="7">
        <v>15.35</v>
      </c>
      <c r="E755" s="7">
        <v>15.35</v>
      </c>
      <c r="F755" s="7">
        <v>15.51</v>
      </c>
      <c r="G755" s="7">
        <v>15.35</v>
      </c>
      <c r="H755" s="8">
        <f t="shared" si="12"/>
        <v>1.7083201253448629E-2</v>
      </c>
    </row>
    <row r="756" spans="2:8" x14ac:dyDescent="0.2">
      <c r="B756" s="5">
        <v>44559</v>
      </c>
      <c r="C756" s="6" t="s">
        <v>16</v>
      </c>
      <c r="D756" s="7">
        <v>15.11</v>
      </c>
      <c r="E756" s="7">
        <v>15.11</v>
      </c>
      <c r="F756" s="7">
        <v>15.41</v>
      </c>
      <c r="G756" s="7">
        <v>15.05</v>
      </c>
      <c r="H756" s="8">
        <f t="shared" si="12"/>
        <v>-1.5758697748557923E-2</v>
      </c>
    </row>
    <row r="757" spans="2:8" x14ac:dyDescent="0.2">
      <c r="B757" s="5">
        <v>44560</v>
      </c>
      <c r="C757" s="6" t="s">
        <v>16</v>
      </c>
      <c r="D757" s="7">
        <v>15.58</v>
      </c>
      <c r="E757" s="7">
        <v>15.58</v>
      </c>
      <c r="F757" s="7">
        <v>15.77</v>
      </c>
      <c r="G757" s="7">
        <v>15.32</v>
      </c>
      <c r="H757" s="8">
        <f t="shared" si="12"/>
        <v>3.0631264157953961E-2</v>
      </c>
    </row>
    <row r="758" spans="2:8" x14ac:dyDescent="0.2">
      <c r="B758" s="5">
        <v>44561</v>
      </c>
      <c r="C758" s="6" t="s">
        <v>16</v>
      </c>
      <c r="D758" s="7">
        <v>15.06</v>
      </c>
      <c r="E758" s="7">
        <v>15.06</v>
      </c>
      <c r="F758" s="7">
        <v>15.36</v>
      </c>
      <c r="G758" s="7">
        <v>14.91</v>
      </c>
      <c r="H758" s="8">
        <f t="shared" si="12"/>
        <v>-3.3945818070854693E-2</v>
      </c>
    </row>
    <row r="759" spans="2:8" x14ac:dyDescent="0.2">
      <c r="B759" s="5">
        <v>44563</v>
      </c>
      <c r="C759" s="6" t="s">
        <v>16</v>
      </c>
      <c r="D759" s="7">
        <v>15.11</v>
      </c>
      <c r="E759" s="7">
        <v>15.11</v>
      </c>
      <c r="F759" s="7">
        <v>15.39</v>
      </c>
      <c r="G759" s="7">
        <v>14.89</v>
      </c>
      <c r="H759" s="8">
        <f t="shared" si="12"/>
        <v>3.3145539129006791E-3</v>
      </c>
    </row>
    <row r="760" spans="2:8" x14ac:dyDescent="0.2">
      <c r="B760" s="5">
        <v>44566</v>
      </c>
      <c r="C760" s="6" t="s">
        <v>16</v>
      </c>
      <c r="D760" s="7">
        <v>15.5</v>
      </c>
      <c r="E760" s="7">
        <v>15.5</v>
      </c>
      <c r="F760" s="7">
        <v>15.57</v>
      </c>
      <c r="G760" s="7">
        <v>15.23</v>
      </c>
      <c r="H760" s="8">
        <f t="shared" si="12"/>
        <v>2.5483247640552847E-2</v>
      </c>
    </row>
    <row r="761" spans="2:8" x14ac:dyDescent="0.2">
      <c r="B761" s="5">
        <v>44567</v>
      </c>
      <c r="C761" s="6" t="s">
        <v>16</v>
      </c>
      <c r="D761" s="7">
        <v>15.83</v>
      </c>
      <c r="E761" s="7">
        <v>15.83</v>
      </c>
      <c r="F761" s="7">
        <v>16.010000000000002</v>
      </c>
      <c r="G761" s="7">
        <v>15.54</v>
      </c>
      <c r="H761" s="8">
        <f t="shared" si="12"/>
        <v>2.1066849967719799E-2</v>
      </c>
    </row>
    <row r="762" spans="2:8" x14ac:dyDescent="0.2">
      <c r="B762" s="5">
        <v>44568</v>
      </c>
      <c r="C762" s="6" t="s">
        <v>16</v>
      </c>
      <c r="D762" s="7">
        <v>15.85</v>
      </c>
      <c r="E762" s="7">
        <v>15.85</v>
      </c>
      <c r="F762" s="7">
        <v>15.95</v>
      </c>
      <c r="G762" s="7">
        <v>15.68</v>
      </c>
      <c r="H762" s="8">
        <f t="shared" si="12"/>
        <v>1.2626264303687892E-3</v>
      </c>
    </row>
    <row r="763" spans="2:8" x14ac:dyDescent="0.2">
      <c r="B763" s="5">
        <v>44569</v>
      </c>
      <c r="C763" s="6" t="s">
        <v>16</v>
      </c>
      <c r="D763" s="7">
        <v>15.64</v>
      </c>
      <c r="E763" s="7">
        <v>15.64</v>
      </c>
      <c r="F763" s="7">
        <v>15.95</v>
      </c>
      <c r="G763" s="7">
        <v>15.61</v>
      </c>
      <c r="H763" s="8">
        <f t="shared" si="12"/>
        <v>-1.333776520612456E-2</v>
      </c>
    </row>
    <row r="764" spans="2:8" x14ac:dyDescent="0.2">
      <c r="B764" s="5">
        <v>44570</v>
      </c>
      <c r="C764" s="6" t="s">
        <v>16</v>
      </c>
      <c r="D764" s="7">
        <v>15.77</v>
      </c>
      <c r="E764" s="7">
        <v>15.77</v>
      </c>
      <c r="F764" s="7">
        <v>15.92</v>
      </c>
      <c r="G764" s="7">
        <v>15.68</v>
      </c>
      <c r="H764" s="8">
        <f t="shared" si="12"/>
        <v>8.2776658577818872E-3</v>
      </c>
    </row>
    <row r="765" spans="2:8" x14ac:dyDescent="0.2">
      <c r="B765" s="5">
        <v>44573</v>
      </c>
      <c r="C765" s="6" t="s">
        <v>16</v>
      </c>
      <c r="D765" s="7">
        <v>15.87</v>
      </c>
      <c r="E765" s="7">
        <v>15.87</v>
      </c>
      <c r="F765" s="7">
        <v>15.94</v>
      </c>
      <c r="G765" s="7">
        <v>15.76</v>
      </c>
      <c r="H765" s="8">
        <f t="shared" si="12"/>
        <v>6.3211335633707334E-3</v>
      </c>
    </row>
    <row r="766" spans="2:8" x14ac:dyDescent="0.2">
      <c r="B766" s="5">
        <v>44574</v>
      </c>
      <c r="C766" s="6" t="s">
        <v>16</v>
      </c>
      <c r="D766" s="7">
        <v>16.290001</v>
      </c>
      <c r="E766" s="7">
        <v>16.290001</v>
      </c>
      <c r="F766" s="7">
        <v>16.469999000000001</v>
      </c>
      <c r="G766" s="7">
        <v>16.18</v>
      </c>
      <c r="H766" s="8">
        <f t="shared" si="12"/>
        <v>2.6120949462988437E-2</v>
      </c>
    </row>
    <row r="767" spans="2:8" x14ac:dyDescent="0.2">
      <c r="B767" s="5">
        <v>44575</v>
      </c>
      <c r="C767" s="6" t="s">
        <v>16</v>
      </c>
      <c r="D767" s="7">
        <v>16.129999000000002</v>
      </c>
      <c r="E767" s="7">
        <v>16.129999000000002</v>
      </c>
      <c r="F767" s="7">
        <v>16.360001</v>
      </c>
      <c r="G767" s="7">
        <v>16.120000999999998</v>
      </c>
      <c r="H767" s="8">
        <f t="shared" si="12"/>
        <v>-9.8706538604706705E-3</v>
      </c>
    </row>
    <row r="768" spans="2:8" x14ac:dyDescent="0.2">
      <c r="B768" s="5">
        <v>44576</v>
      </c>
      <c r="C768" s="6" t="s">
        <v>16</v>
      </c>
      <c r="D768" s="7">
        <v>16.149999999999999</v>
      </c>
      <c r="E768" s="7">
        <v>16.149999999999999</v>
      </c>
      <c r="F768" s="7">
        <v>16.48</v>
      </c>
      <c r="G768" s="7">
        <v>16.110001</v>
      </c>
      <c r="H768" s="8">
        <f t="shared" si="12"/>
        <v>1.2392195278299681E-3</v>
      </c>
    </row>
    <row r="769" spans="2:8" x14ac:dyDescent="0.2">
      <c r="B769" s="5">
        <v>44577</v>
      </c>
      <c r="C769" s="6" t="s">
        <v>16</v>
      </c>
      <c r="D769" s="7">
        <v>16.950001</v>
      </c>
      <c r="E769" s="7">
        <v>16.950001</v>
      </c>
      <c r="F769" s="7">
        <v>17.09</v>
      </c>
      <c r="G769" s="7">
        <v>16.399999999999999</v>
      </c>
      <c r="H769" s="8">
        <f t="shared" si="12"/>
        <v>4.8347843154842238E-2</v>
      </c>
    </row>
    <row r="770" spans="2:8" x14ac:dyDescent="0.2">
      <c r="B770" s="5">
        <v>44581</v>
      </c>
      <c r="C770" s="6" t="s">
        <v>16</v>
      </c>
      <c r="D770" s="7">
        <v>17.18</v>
      </c>
      <c r="E770" s="7">
        <v>17.18</v>
      </c>
      <c r="F770" s="7">
        <v>17.260000000000002</v>
      </c>
      <c r="G770" s="7">
        <v>17.010000000000002</v>
      </c>
      <c r="H770" s="8">
        <f t="shared" si="12"/>
        <v>1.3478023732601674E-2</v>
      </c>
    </row>
    <row r="771" spans="2:8" x14ac:dyDescent="0.2">
      <c r="B771" s="5">
        <v>44582</v>
      </c>
      <c r="C771" s="6" t="s">
        <v>16</v>
      </c>
      <c r="D771" s="7">
        <v>17.370000999999998</v>
      </c>
      <c r="E771" s="7">
        <v>17.370000999999998</v>
      </c>
      <c r="F771" s="7">
        <v>17.690000999999999</v>
      </c>
      <c r="G771" s="7">
        <v>17.239999999999998</v>
      </c>
      <c r="H771" s="8">
        <f t="shared" si="12"/>
        <v>1.0998721267426433E-2</v>
      </c>
    </row>
    <row r="772" spans="2:8" x14ac:dyDescent="0.2">
      <c r="B772" s="5">
        <v>44583</v>
      </c>
      <c r="C772" s="6" t="s">
        <v>16</v>
      </c>
      <c r="D772" s="7">
        <v>17.610001</v>
      </c>
      <c r="E772" s="7">
        <v>17.610001</v>
      </c>
      <c r="F772" s="7">
        <v>17.690000999999999</v>
      </c>
      <c r="G772" s="7">
        <v>17.399999999999999</v>
      </c>
      <c r="H772" s="8">
        <f t="shared" ref="H772:H835" si="13">IF(C772=C771, LN(E772/E771), "")</f>
        <v>1.3722341470494547E-2</v>
      </c>
    </row>
    <row r="773" spans="2:8" x14ac:dyDescent="0.2">
      <c r="B773" s="5">
        <v>44584</v>
      </c>
      <c r="C773" s="6" t="s">
        <v>16</v>
      </c>
      <c r="D773" s="7">
        <v>17.510000000000002</v>
      </c>
      <c r="E773" s="7">
        <v>17.510000000000002</v>
      </c>
      <c r="F773" s="7">
        <v>17.57</v>
      </c>
      <c r="G773" s="7">
        <v>17.329999999999998</v>
      </c>
      <c r="H773" s="8">
        <f t="shared" si="13"/>
        <v>-5.6948329962697294E-3</v>
      </c>
    </row>
    <row r="774" spans="2:8" x14ac:dyDescent="0.2">
      <c r="B774" s="5">
        <v>44587</v>
      </c>
      <c r="C774" s="6" t="s">
        <v>16</v>
      </c>
      <c r="D774" s="7">
        <v>17.129999000000002</v>
      </c>
      <c r="E774" s="7">
        <v>17.129999000000002</v>
      </c>
      <c r="F774" s="7">
        <v>17.379999000000002</v>
      </c>
      <c r="G774" s="7">
        <v>17.110001</v>
      </c>
      <c r="H774" s="8">
        <f t="shared" si="13"/>
        <v>-2.1940892338849785E-2</v>
      </c>
    </row>
    <row r="775" spans="2:8" x14ac:dyDescent="0.2">
      <c r="B775" s="5">
        <v>44588</v>
      </c>
      <c r="C775" s="6" t="s">
        <v>16</v>
      </c>
      <c r="D775" s="7">
        <v>17.329999999999998</v>
      </c>
      <c r="E775" s="7">
        <v>17.329999999999998</v>
      </c>
      <c r="F775" s="7">
        <v>17.43</v>
      </c>
      <c r="G775" s="7">
        <v>17.18</v>
      </c>
      <c r="H775" s="8">
        <f t="shared" si="13"/>
        <v>1.1607849768603797E-2</v>
      </c>
    </row>
    <row r="776" spans="2:8" x14ac:dyDescent="0.2">
      <c r="B776" s="5">
        <v>44589</v>
      </c>
      <c r="C776" s="6" t="s">
        <v>16</v>
      </c>
      <c r="D776" s="7">
        <v>17.23</v>
      </c>
      <c r="E776" s="7">
        <v>17.23</v>
      </c>
      <c r="F776" s="7">
        <v>17.389999</v>
      </c>
      <c r="G776" s="7">
        <v>17.18</v>
      </c>
      <c r="H776" s="8">
        <f t="shared" si="13"/>
        <v>-5.7870531876763002E-3</v>
      </c>
    </row>
    <row r="777" spans="2:8" x14ac:dyDescent="0.2">
      <c r="B777" s="5">
        <v>44590</v>
      </c>
      <c r="C777" s="6" t="s">
        <v>16</v>
      </c>
      <c r="D777" s="7">
        <v>16.239999999999998</v>
      </c>
      <c r="E777" s="7">
        <v>16.239999999999998</v>
      </c>
      <c r="F777" s="7">
        <v>16.739999999999998</v>
      </c>
      <c r="G777" s="7">
        <v>16.030000999999999</v>
      </c>
      <c r="H777" s="8">
        <f t="shared" si="13"/>
        <v>-5.9174715806306524E-2</v>
      </c>
    </row>
    <row r="778" spans="2:8" x14ac:dyDescent="0.2">
      <c r="B778" s="5">
        <v>44591</v>
      </c>
      <c r="C778" s="6" t="s">
        <v>16</v>
      </c>
      <c r="D778" s="7">
        <v>16.540001</v>
      </c>
      <c r="E778" s="7">
        <v>16.540001</v>
      </c>
      <c r="F778" s="7">
        <v>16.600000000000001</v>
      </c>
      <c r="G778" s="7">
        <v>16.110001</v>
      </c>
      <c r="H778" s="8">
        <f t="shared" si="13"/>
        <v>1.8304415321503845E-2</v>
      </c>
    </row>
    <row r="779" spans="2:8" x14ac:dyDescent="0.2">
      <c r="B779" s="5">
        <v>44594</v>
      </c>
      <c r="C779" s="6" t="s">
        <v>16</v>
      </c>
      <c r="D779" s="7">
        <v>16.469999000000001</v>
      </c>
      <c r="E779" s="7">
        <v>16.469999000000001</v>
      </c>
      <c r="F779" s="7">
        <v>16.610001</v>
      </c>
      <c r="G779" s="7">
        <v>16.350000000000001</v>
      </c>
      <c r="H779" s="8">
        <f t="shared" si="13"/>
        <v>-4.2412665819425857E-3</v>
      </c>
    </row>
    <row r="780" spans="2:8" x14ac:dyDescent="0.2">
      <c r="B780" s="5">
        <v>44595</v>
      </c>
      <c r="C780" s="6" t="s">
        <v>16</v>
      </c>
      <c r="D780" s="7">
        <v>16.549999</v>
      </c>
      <c r="E780" s="7">
        <v>16.549999</v>
      </c>
      <c r="F780" s="7">
        <v>16.75</v>
      </c>
      <c r="G780" s="7">
        <v>16.350000000000001</v>
      </c>
      <c r="H780" s="8">
        <f t="shared" si="13"/>
        <v>4.8455579270162965E-3</v>
      </c>
    </row>
    <row r="781" spans="2:8" x14ac:dyDescent="0.2">
      <c r="B781" s="5">
        <v>44596</v>
      </c>
      <c r="C781" s="6" t="s">
        <v>16</v>
      </c>
      <c r="D781" s="7">
        <v>16.629999000000002</v>
      </c>
      <c r="E781" s="7">
        <v>16.629999000000002</v>
      </c>
      <c r="F781" s="7">
        <v>16.920000000000002</v>
      </c>
      <c r="G781" s="7">
        <v>16.620000999999998</v>
      </c>
      <c r="H781" s="8">
        <f t="shared" si="13"/>
        <v>4.8221916724342073E-3</v>
      </c>
    </row>
    <row r="782" spans="2:8" x14ac:dyDescent="0.2">
      <c r="B782" s="5">
        <v>44597</v>
      </c>
      <c r="C782" s="6" t="s">
        <v>16</v>
      </c>
      <c r="D782" s="7">
        <v>16.579999999999998</v>
      </c>
      <c r="E782" s="7">
        <v>16.579999999999998</v>
      </c>
      <c r="F782" s="7">
        <v>16.600000000000001</v>
      </c>
      <c r="G782" s="7">
        <v>16.27</v>
      </c>
      <c r="H782" s="8">
        <f t="shared" si="13"/>
        <v>-3.0110833653947135E-3</v>
      </c>
    </row>
    <row r="783" spans="2:8" x14ac:dyDescent="0.2">
      <c r="B783" s="5">
        <v>44598</v>
      </c>
      <c r="C783" s="6" t="s">
        <v>16</v>
      </c>
      <c r="D783" s="7">
        <v>16.030000999999999</v>
      </c>
      <c r="E783" s="7">
        <v>16.030000999999999</v>
      </c>
      <c r="F783" s="7">
        <v>16.25</v>
      </c>
      <c r="G783" s="7">
        <v>15.85</v>
      </c>
      <c r="H783" s="8">
        <f t="shared" si="13"/>
        <v>-3.3735120702657474E-2</v>
      </c>
    </row>
    <row r="784" spans="2:8" x14ac:dyDescent="0.2">
      <c r="B784" s="5">
        <v>44601</v>
      </c>
      <c r="C784" s="6" t="s">
        <v>16</v>
      </c>
      <c r="D784" s="7">
        <v>16.32</v>
      </c>
      <c r="E784" s="7">
        <v>16.32</v>
      </c>
      <c r="F784" s="7">
        <v>16.399999999999999</v>
      </c>
      <c r="G784" s="7">
        <v>16.219999000000001</v>
      </c>
      <c r="H784" s="8">
        <f t="shared" si="13"/>
        <v>1.7929320531469704E-2</v>
      </c>
    </row>
    <row r="785" spans="2:8" x14ac:dyDescent="0.2">
      <c r="B785" s="5">
        <v>44602</v>
      </c>
      <c r="C785" s="6" t="s">
        <v>16</v>
      </c>
      <c r="D785" s="7">
        <v>16.190000999999999</v>
      </c>
      <c r="E785" s="7">
        <v>16.190000999999999</v>
      </c>
      <c r="F785" s="7">
        <v>16.379999000000002</v>
      </c>
      <c r="G785" s="7">
        <v>16.129999000000002</v>
      </c>
      <c r="H785" s="8">
        <f t="shared" si="13"/>
        <v>-7.9975200798966389E-3</v>
      </c>
    </row>
    <row r="786" spans="2:8" x14ac:dyDescent="0.2">
      <c r="B786" s="5">
        <v>44603</v>
      </c>
      <c r="C786" s="6" t="s">
        <v>16</v>
      </c>
      <c r="D786" s="7">
        <v>16.079999999999998</v>
      </c>
      <c r="E786" s="7">
        <v>16.079999999999998</v>
      </c>
      <c r="F786" s="7">
        <v>16.23</v>
      </c>
      <c r="G786" s="7">
        <v>16.02</v>
      </c>
      <c r="H786" s="8">
        <f t="shared" si="13"/>
        <v>-6.8175657052441706E-3</v>
      </c>
    </row>
    <row r="787" spans="2:8" x14ac:dyDescent="0.2">
      <c r="B787" s="5">
        <v>44604</v>
      </c>
      <c r="C787" s="6" t="s">
        <v>16</v>
      </c>
      <c r="D787" s="7">
        <v>16.149999999999999</v>
      </c>
      <c r="E787" s="7">
        <v>16.149999999999999</v>
      </c>
      <c r="F787" s="7">
        <v>16.219999000000001</v>
      </c>
      <c r="G787" s="7">
        <v>16.030000999999999</v>
      </c>
      <c r="H787" s="8">
        <f t="shared" si="13"/>
        <v>4.343785917845313E-3</v>
      </c>
    </row>
    <row r="788" spans="2:8" x14ac:dyDescent="0.2">
      <c r="B788" s="5">
        <v>44605</v>
      </c>
      <c r="C788" s="6" t="s">
        <v>16</v>
      </c>
      <c r="D788" s="7">
        <v>16.540001</v>
      </c>
      <c r="E788" s="7">
        <v>16.540001</v>
      </c>
      <c r="F788" s="7">
        <v>16.700001</v>
      </c>
      <c r="G788" s="7">
        <v>16.48</v>
      </c>
      <c r="H788" s="8">
        <f t="shared" si="13"/>
        <v>2.3861700386370113E-2</v>
      </c>
    </row>
    <row r="789" spans="2:8" x14ac:dyDescent="0.2">
      <c r="B789" s="5">
        <v>44609</v>
      </c>
      <c r="C789" s="6" t="s">
        <v>16</v>
      </c>
      <c r="D789" s="7">
        <v>15.83</v>
      </c>
      <c r="E789" s="7">
        <v>15.83</v>
      </c>
      <c r="F789" s="7">
        <v>15.84</v>
      </c>
      <c r="G789" s="7">
        <v>15.61</v>
      </c>
      <c r="H789" s="8">
        <f t="shared" si="13"/>
        <v>-4.3874876162114738E-2</v>
      </c>
    </row>
    <row r="790" spans="2:8" x14ac:dyDescent="0.2">
      <c r="B790" s="5">
        <v>44610</v>
      </c>
      <c r="C790" s="6" t="s">
        <v>16</v>
      </c>
      <c r="D790" s="7">
        <v>15.75</v>
      </c>
      <c r="E790" s="7">
        <v>15.75</v>
      </c>
      <c r="F790" s="7">
        <v>15.9</v>
      </c>
      <c r="G790" s="7">
        <v>15.57</v>
      </c>
      <c r="H790" s="8">
        <f t="shared" si="13"/>
        <v>-5.0665086212787272E-3</v>
      </c>
    </row>
    <row r="791" spans="2:8" x14ac:dyDescent="0.2">
      <c r="B791" s="5">
        <v>44611</v>
      </c>
      <c r="C791" s="6" t="s">
        <v>16</v>
      </c>
      <c r="D791" s="7">
        <v>15.7</v>
      </c>
      <c r="E791" s="7">
        <v>15.7</v>
      </c>
      <c r="F791" s="7">
        <v>15.86</v>
      </c>
      <c r="G791" s="7">
        <v>15.65</v>
      </c>
      <c r="H791" s="8">
        <f t="shared" si="13"/>
        <v>-3.1796529173797957E-3</v>
      </c>
    </row>
    <row r="792" spans="2:8" x14ac:dyDescent="0.2">
      <c r="B792" s="5">
        <v>44612</v>
      </c>
      <c r="C792" s="6" t="s">
        <v>16</v>
      </c>
      <c r="D792" s="7">
        <v>15.54</v>
      </c>
      <c r="E792" s="7">
        <v>15.54</v>
      </c>
      <c r="F792" s="7">
        <v>15.79</v>
      </c>
      <c r="G792" s="7">
        <v>15.5</v>
      </c>
      <c r="H792" s="8">
        <f t="shared" si="13"/>
        <v>-1.0243367414760989E-2</v>
      </c>
    </row>
    <row r="793" spans="2:8" x14ac:dyDescent="0.2">
      <c r="B793" s="5">
        <v>44615</v>
      </c>
      <c r="C793" s="6" t="s">
        <v>16</v>
      </c>
      <c r="D793" s="7">
        <v>15.63</v>
      </c>
      <c r="E793" s="7">
        <v>15.63</v>
      </c>
      <c r="F793" s="7">
        <v>15.9</v>
      </c>
      <c r="G793" s="7">
        <v>15.56</v>
      </c>
      <c r="H793" s="8">
        <f t="shared" si="13"/>
        <v>5.7747994938839578E-3</v>
      </c>
    </row>
    <row r="794" spans="2:8" x14ac:dyDescent="0.2">
      <c r="B794" s="5">
        <v>44616</v>
      </c>
      <c r="C794" s="6" t="s">
        <v>16</v>
      </c>
      <c r="D794" s="7">
        <v>15.56</v>
      </c>
      <c r="E794" s="7">
        <v>15.56</v>
      </c>
      <c r="F794" s="7">
        <v>15.79</v>
      </c>
      <c r="G794" s="7">
        <v>15.4</v>
      </c>
      <c r="H794" s="8">
        <f t="shared" si="13"/>
        <v>-4.488625683139711E-3</v>
      </c>
    </row>
    <row r="795" spans="2:8" x14ac:dyDescent="0.2">
      <c r="B795" s="5">
        <v>44617</v>
      </c>
      <c r="C795" s="6" t="s">
        <v>16</v>
      </c>
      <c r="D795" s="7">
        <v>15.83</v>
      </c>
      <c r="E795" s="7">
        <v>15.83</v>
      </c>
      <c r="F795" s="7">
        <v>15.86</v>
      </c>
      <c r="G795" s="7">
        <v>15.74</v>
      </c>
      <c r="H795" s="8">
        <f t="shared" si="13"/>
        <v>1.7203355142675215E-2</v>
      </c>
    </row>
    <row r="796" spans="2:8" x14ac:dyDescent="0.2">
      <c r="B796" s="5">
        <v>44618</v>
      </c>
      <c r="C796" s="6" t="s">
        <v>16</v>
      </c>
      <c r="D796" s="7">
        <v>15.84</v>
      </c>
      <c r="E796" s="7">
        <v>15.84</v>
      </c>
      <c r="F796" s="7">
        <v>16.030000999999999</v>
      </c>
      <c r="G796" s="7">
        <v>15.81</v>
      </c>
      <c r="H796" s="8">
        <f t="shared" si="13"/>
        <v>6.3151249335910149E-4</v>
      </c>
    </row>
    <row r="797" spans="2:8" x14ac:dyDescent="0.2">
      <c r="B797" s="5">
        <v>44619</v>
      </c>
      <c r="C797" s="6" t="s">
        <v>16</v>
      </c>
      <c r="D797" s="7">
        <v>15.87</v>
      </c>
      <c r="E797" s="7">
        <v>15.87</v>
      </c>
      <c r="F797" s="7">
        <v>15.96</v>
      </c>
      <c r="G797" s="7">
        <v>15.84</v>
      </c>
      <c r="H797" s="8">
        <f t="shared" si="13"/>
        <v>1.8921481520379623E-3</v>
      </c>
    </row>
    <row r="798" spans="2:8" x14ac:dyDescent="0.2">
      <c r="B798" s="5">
        <v>44622</v>
      </c>
      <c r="C798" s="6" t="s">
        <v>16</v>
      </c>
      <c r="D798" s="7">
        <v>15.66</v>
      </c>
      <c r="E798" s="7">
        <v>15.66</v>
      </c>
      <c r="F798" s="7">
        <v>15.9</v>
      </c>
      <c r="G798" s="7">
        <v>15.65</v>
      </c>
      <c r="H798" s="8">
        <f t="shared" si="13"/>
        <v>-1.3320843975660565E-2</v>
      </c>
    </row>
    <row r="799" spans="2:8" x14ac:dyDescent="0.2">
      <c r="B799" s="5">
        <v>44623</v>
      </c>
      <c r="C799" s="6" t="s">
        <v>16</v>
      </c>
      <c r="D799" s="7">
        <v>15.58</v>
      </c>
      <c r="E799" s="7">
        <v>15.58</v>
      </c>
      <c r="F799" s="7">
        <v>15.85</v>
      </c>
      <c r="G799" s="7">
        <v>15.49</v>
      </c>
      <c r="H799" s="8">
        <f t="shared" si="13"/>
        <v>-5.1216501200548065E-3</v>
      </c>
    </row>
    <row r="800" spans="2:8" x14ac:dyDescent="0.2">
      <c r="B800" s="5">
        <v>44624</v>
      </c>
      <c r="C800" s="6" t="s">
        <v>16</v>
      </c>
      <c r="D800" s="7">
        <v>15.49</v>
      </c>
      <c r="E800" s="7">
        <v>15.49</v>
      </c>
      <c r="F800" s="7">
        <v>15.62</v>
      </c>
      <c r="G800" s="7">
        <v>15.39</v>
      </c>
      <c r="H800" s="8">
        <f t="shared" si="13"/>
        <v>-5.7933860138249006E-3</v>
      </c>
    </row>
    <row r="801" spans="2:8" x14ac:dyDescent="0.2">
      <c r="B801" s="5">
        <v>44625</v>
      </c>
      <c r="C801" s="6" t="s">
        <v>16</v>
      </c>
      <c r="D801" s="7">
        <v>15.53</v>
      </c>
      <c r="E801" s="7">
        <v>15.53</v>
      </c>
      <c r="F801" s="7">
        <v>15.66</v>
      </c>
      <c r="G801" s="7">
        <v>15.46</v>
      </c>
      <c r="H801" s="8">
        <f t="shared" si="13"/>
        <v>2.578982731818356E-3</v>
      </c>
    </row>
    <row r="802" spans="2:8" x14ac:dyDescent="0.2">
      <c r="B802" s="5">
        <v>44626</v>
      </c>
      <c r="C802" s="6" t="s">
        <v>16</v>
      </c>
      <c r="D802" s="7">
        <v>15.19</v>
      </c>
      <c r="E802" s="7">
        <v>15.19</v>
      </c>
      <c r="F802" s="7">
        <v>15.26</v>
      </c>
      <c r="G802" s="7">
        <v>15.1</v>
      </c>
      <c r="H802" s="8">
        <f t="shared" si="13"/>
        <v>-2.2136320552914261E-2</v>
      </c>
    </row>
    <row r="803" spans="2:8" x14ac:dyDescent="0.2">
      <c r="B803" s="5">
        <v>44629</v>
      </c>
      <c r="C803" s="6" t="s">
        <v>16</v>
      </c>
      <c r="D803" s="7">
        <v>15.1</v>
      </c>
      <c r="E803" s="7">
        <v>15.1</v>
      </c>
      <c r="F803" s="7">
        <v>15.2</v>
      </c>
      <c r="G803" s="7">
        <v>15.1</v>
      </c>
      <c r="H803" s="8">
        <f t="shared" si="13"/>
        <v>-5.9425727868028175E-3</v>
      </c>
    </row>
    <row r="804" spans="2:8" x14ac:dyDescent="0.2">
      <c r="B804" s="5">
        <v>44630</v>
      </c>
      <c r="C804" s="6" t="s">
        <v>16</v>
      </c>
      <c r="D804" s="7">
        <v>15.02</v>
      </c>
      <c r="E804" s="7">
        <v>15.02</v>
      </c>
      <c r="F804" s="7">
        <v>15.17</v>
      </c>
      <c r="G804" s="7">
        <v>14.98</v>
      </c>
      <c r="H804" s="8">
        <f t="shared" si="13"/>
        <v>-5.3120974848899416E-3</v>
      </c>
    </row>
    <row r="805" spans="2:8" x14ac:dyDescent="0.2">
      <c r="B805" s="5">
        <v>44631</v>
      </c>
      <c r="C805" s="6" t="s">
        <v>16</v>
      </c>
      <c r="D805" s="7">
        <v>14.84</v>
      </c>
      <c r="E805" s="7">
        <v>14.84</v>
      </c>
      <c r="F805" s="7">
        <v>14.96</v>
      </c>
      <c r="G805" s="7">
        <v>14.63</v>
      </c>
      <c r="H805" s="8">
        <f t="shared" si="13"/>
        <v>-1.2056408596754237E-2</v>
      </c>
    </row>
    <row r="806" spans="2:8" x14ac:dyDescent="0.2">
      <c r="B806" s="5">
        <v>44632</v>
      </c>
      <c r="C806" s="6" t="s">
        <v>16</v>
      </c>
      <c r="D806" s="7">
        <v>14.92</v>
      </c>
      <c r="E806" s="7">
        <v>14.92</v>
      </c>
      <c r="F806" s="7">
        <v>14.98</v>
      </c>
      <c r="G806" s="7">
        <v>14.82</v>
      </c>
      <c r="H806" s="8">
        <f t="shared" si="13"/>
        <v>5.3763570363804958E-3</v>
      </c>
    </row>
    <row r="807" spans="2:8" x14ac:dyDescent="0.2">
      <c r="B807" s="5">
        <v>44633</v>
      </c>
      <c r="C807" s="6" t="s">
        <v>16</v>
      </c>
      <c r="D807" s="7">
        <v>14.9</v>
      </c>
      <c r="E807" s="7">
        <v>14.9</v>
      </c>
      <c r="F807" s="7">
        <v>14.95</v>
      </c>
      <c r="G807" s="7">
        <v>14.82</v>
      </c>
      <c r="H807" s="8">
        <f t="shared" si="13"/>
        <v>-1.3413818242013361E-3</v>
      </c>
    </row>
    <row r="808" spans="2:8" x14ac:dyDescent="0.2">
      <c r="B808" s="5">
        <v>44636</v>
      </c>
      <c r="C808" s="6" t="s">
        <v>16</v>
      </c>
      <c r="D808" s="7">
        <v>14.99</v>
      </c>
      <c r="E808" s="7">
        <v>14.99</v>
      </c>
      <c r="F808" s="7">
        <v>15.04</v>
      </c>
      <c r="G808" s="7">
        <v>14.84</v>
      </c>
      <c r="H808" s="8">
        <f t="shared" si="13"/>
        <v>6.0220991630928816E-3</v>
      </c>
    </row>
    <row r="809" spans="2:8" x14ac:dyDescent="0.2">
      <c r="B809" s="5">
        <v>44637</v>
      </c>
      <c r="C809" s="6" t="s">
        <v>16</v>
      </c>
      <c r="D809" s="7">
        <v>14.9</v>
      </c>
      <c r="E809" s="7">
        <v>14.9</v>
      </c>
      <c r="F809" s="7">
        <v>15.07</v>
      </c>
      <c r="G809" s="7">
        <v>14.75</v>
      </c>
      <c r="H809" s="8">
        <f t="shared" si="13"/>
        <v>-6.022099163092833E-3</v>
      </c>
    </row>
    <row r="810" spans="2:8" x14ac:dyDescent="0.2">
      <c r="B810" s="5">
        <v>44638</v>
      </c>
      <c r="C810" s="6" t="s">
        <v>16</v>
      </c>
      <c r="D810" s="7">
        <v>15.36</v>
      </c>
      <c r="E810" s="7">
        <v>15.36</v>
      </c>
      <c r="F810" s="7">
        <v>15.38</v>
      </c>
      <c r="G810" s="7">
        <v>14.81</v>
      </c>
      <c r="H810" s="8">
        <f t="shared" si="13"/>
        <v>3.0405514768112544E-2</v>
      </c>
    </row>
    <row r="811" spans="2:8" x14ac:dyDescent="0.2">
      <c r="B811" s="5">
        <v>44639</v>
      </c>
      <c r="C811" s="6" t="s">
        <v>16</v>
      </c>
      <c r="D811" s="7">
        <v>15.44</v>
      </c>
      <c r="E811" s="7">
        <v>15.44</v>
      </c>
      <c r="F811" s="7">
        <v>15.5</v>
      </c>
      <c r="G811" s="7">
        <v>15.22</v>
      </c>
      <c r="H811" s="8">
        <f t="shared" si="13"/>
        <v>5.19481687710393E-3</v>
      </c>
    </row>
    <row r="812" spans="2:8" x14ac:dyDescent="0.2">
      <c r="B812" s="5">
        <v>44640</v>
      </c>
      <c r="C812" s="6" t="s">
        <v>16</v>
      </c>
      <c r="D812" s="7">
        <v>16</v>
      </c>
      <c r="E812" s="7">
        <v>16</v>
      </c>
      <c r="F812" s="7">
        <v>16.170000000000002</v>
      </c>
      <c r="G812" s="7">
        <v>15.59</v>
      </c>
      <c r="H812" s="8">
        <f t="shared" si="13"/>
        <v>3.562717764315125E-2</v>
      </c>
    </row>
    <row r="813" spans="2:8" x14ac:dyDescent="0.2">
      <c r="B813" s="5">
        <v>44643</v>
      </c>
      <c r="C813" s="6" t="s">
        <v>16</v>
      </c>
      <c r="D813" s="7">
        <v>16.299999</v>
      </c>
      <c r="E813" s="7">
        <v>16.299999</v>
      </c>
      <c r="F813" s="7">
        <v>16.360001</v>
      </c>
      <c r="G813" s="7">
        <v>16.079999999999998</v>
      </c>
      <c r="H813" s="8">
        <f t="shared" si="13"/>
        <v>1.8576324223240258E-2</v>
      </c>
    </row>
    <row r="814" spans="2:8" x14ac:dyDescent="0.2">
      <c r="B814" s="5">
        <v>44644</v>
      </c>
      <c r="C814" s="6" t="s">
        <v>16</v>
      </c>
      <c r="D814" s="7">
        <v>16.280000999999999</v>
      </c>
      <c r="E814" s="7">
        <v>16.280000999999999</v>
      </c>
      <c r="F814" s="7">
        <v>16.280000999999999</v>
      </c>
      <c r="G814" s="7">
        <v>16.079999999999998</v>
      </c>
      <c r="H814" s="8">
        <f t="shared" si="13"/>
        <v>-1.2276244635677567E-3</v>
      </c>
    </row>
    <row r="815" spans="2:8" x14ac:dyDescent="0.2">
      <c r="B815" s="5">
        <v>44645</v>
      </c>
      <c r="C815" s="6" t="s">
        <v>16</v>
      </c>
      <c r="D815" s="7">
        <v>16.239999999999998</v>
      </c>
      <c r="E815" s="7">
        <v>16.239999999999998</v>
      </c>
      <c r="F815" s="7">
        <v>16.389999</v>
      </c>
      <c r="G815" s="7">
        <v>16.209999</v>
      </c>
      <c r="H815" s="8">
        <f t="shared" si="13"/>
        <v>-2.4600872659219252E-3</v>
      </c>
    </row>
    <row r="816" spans="2:8" x14ac:dyDescent="0.2">
      <c r="B816" s="5">
        <v>44646</v>
      </c>
      <c r="C816" s="6" t="s">
        <v>16</v>
      </c>
      <c r="D816" s="7">
        <v>16.299999</v>
      </c>
      <c r="E816" s="7">
        <v>16.299999</v>
      </c>
      <c r="F816" s="7">
        <v>16.41</v>
      </c>
      <c r="G816" s="7">
        <v>16.260000000000002</v>
      </c>
      <c r="H816" s="8">
        <f t="shared" si="13"/>
        <v>3.6877117294897006E-3</v>
      </c>
    </row>
    <row r="817" spans="2:8" x14ac:dyDescent="0.2">
      <c r="B817" s="5">
        <v>44647</v>
      </c>
      <c r="C817" s="6" t="s">
        <v>16</v>
      </c>
      <c r="D817" s="7">
        <v>16.219999000000001</v>
      </c>
      <c r="E817" s="7">
        <v>16.219999000000001</v>
      </c>
      <c r="F817" s="7">
        <v>16.360001</v>
      </c>
      <c r="G817" s="7">
        <v>16.129999000000002</v>
      </c>
      <c r="H817" s="8">
        <f t="shared" si="13"/>
        <v>-4.9200594280375508E-3</v>
      </c>
    </row>
    <row r="818" spans="2:8" x14ac:dyDescent="0.2">
      <c r="B818" s="5">
        <v>44650</v>
      </c>
      <c r="C818" s="6" t="s">
        <v>16</v>
      </c>
      <c r="D818" s="7">
        <v>15.98</v>
      </c>
      <c r="E818" s="7">
        <v>15.98</v>
      </c>
      <c r="F818" s="7">
        <v>16.07</v>
      </c>
      <c r="G818" s="7">
        <v>15.91</v>
      </c>
      <c r="H818" s="8">
        <f t="shared" si="13"/>
        <v>-1.4907046696855287E-2</v>
      </c>
    </row>
    <row r="819" spans="2:8" x14ac:dyDescent="0.2">
      <c r="B819" s="5">
        <v>44651</v>
      </c>
      <c r="C819" s="6" t="s">
        <v>16</v>
      </c>
      <c r="D819" s="7">
        <v>15.93</v>
      </c>
      <c r="E819" s="7">
        <v>15.93</v>
      </c>
      <c r="F819" s="7">
        <v>16.110001</v>
      </c>
      <c r="G819" s="7">
        <v>15.85</v>
      </c>
      <c r="H819" s="8">
        <f t="shared" si="13"/>
        <v>-3.1338164161714595E-3</v>
      </c>
    </row>
    <row r="820" spans="2:8" x14ac:dyDescent="0.2">
      <c r="B820" s="5">
        <v>44652</v>
      </c>
      <c r="C820" s="6" t="s">
        <v>16</v>
      </c>
      <c r="D820" s="7">
        <v>16.23</v>
      </c>
      <c r="E820" s="7">
        <v>16.23</v>
      </c>
      <c r="F820" s="7">
        <v>16.350000000000001</v>
      </c>
      <c r="G820" s="7">
        <v>16</v>
      </c>
      <c r="H820" s="8">
        <f t="shared" si="13"/>
        <v>1.8657257604542662E-2</v>
      </c>
    </row>
    <row r="821" spans="2:8" x14ac:dyDescent="0.2">
      <c r="B821" s="5">
        <v>44653</v>
      </c>
      <c r="C821" s="6" t="s">
        <v>16</v>
      </c>
      <c r="D821" s="7">
        <v>16.02</v>
      </c>
      <c r="E821" s="7">
        <v>16.02</v>
      </c>
      <c r="F821" s="7">
        <v>16.129999000000002</v>
      </c>
      <c r="G821" s="7">
        <v>15.88</v>
      </c>
      <c r="H821" s="8">
        <f t="shared" si="13"/>
        <v>-1.3023439886286736E-2</v>
      </c>
    </row>
    <row r="822" spans="2:8" x14ac:dyDescent="0.2">
      <c r="B822" s="5">
        <v>44657</v>
      </c>
      <c r="C822" s="6" t="s">
        <v>16</v>
      </c>
      <c r="D822" s="7">
        <v>16.27</v>
      </c>
      <c r="E822" s="7">
        <v>16.27</v>
      </c>
      <c r="F822" s="7">
        <v>16.57</v>
      </c>
      <c r="G822" s="7">
        <v>16.239999999999998</v>
      </c>
      <c r="H822" s="8">
        <f t="shared" si="13"/>
        <v>1.5484979590733196E-2</v>
      </c>
    </row>
    <row r="823" spans="2:8" x14ac:dyDescent="0.2">
      <c r="B823" s="5">
        <v>44658</v>
      </c>
      <c r="C823" s="6" t="s">
        <v>16</v>
      </c>
      <c r="D823" s="7">
        <v>16.149999999999999</v>
      </c>
      <c r="E823" s="7">
        <v>16.149999999999999</v>
      </c>
      <c r="F823" s="7">
        <v>16.170000000000002</v>
      </c>
      <c r="G823" s="7">
        <v>16.059999000000001</v>
      </c>
      <c r="H823" s="8">
        <f t="shared" si="13"/>
        <v>-7.4028715622809545E-3</v>
      </c>
    </row>
    <row r="824" spans="2:8" x14ac:dyDescent="0.2">
      <c r="B824" s="5">
        <v>44659</v>
      </c>
      <c r="C824" s="6" t="s">
        <v>16</v>
      </c>
      <c r="D824" s="7">
        <v>15.81</v>
      </c>
      <c r="E824" s="7">
        <v>15.81</v>
      </c>
      <c r="F824" s="7">
        <v>16.100000000000001</v>
      </c>
      <c r="G824" s="7">
        <v>15.68</v>
      </c>
      <c r="H824" s="8">
        <f t="shared" si="13"/>
        <v>-2.1277398447284736E-2</v>
      </c>
    </row>
    <row r="825" spans="2:8" x14ac:dyDescent="0.2">
      <c r="B825" s="5">
        <v>44660</v>
      </c>
      <c r="C825" s="6" t="s">
        <v>16</v>
      </c>
      <c r="D825" s="7">
        <v>15.51</v>
      </c>
      <c r="E825" s="7">
        <v>15.51</v>
      </c>
      <c r="F825" s="7">
        <v>15.58</v>
      </c>
      <c r="G825" s="7">
        <v>15.44</v>
      </c>
      <c r="H825" s="8">
        <f t="shared" si="13"/>
        <v>-1.9157674032933256E-2</v>
      </c>
    </row>
    <row r="826" spans="2:8" x14ac:dyDescent="0.2">
      <c r="B826" s="5">
        <v>44661</v>
      </c>
      <c r="C826" s="6" t="s">
        <v>16</v>
      </c>
      <c r="D826" s="7">
        <v>15.77</v>
      </c>
      <c r="E826" s="7">
        <v>15.77</v>
      </c>
      <c r="F826" s="7">
        <v>15.95</v>
      </c>
      <c r="G826" s="7">
        <v>15.68</v>
      </c>
      <c r="H826" s="8">
        <f t="shared" si="13"/>
        <v>1.6624423786499566E-2</v>
      </c>
    </row>
    <row r="827" spans="2:8" x14ac:dyDescent="0.2">
      <c r="B827" s="5">
        <v>44664</v>
      </c>
      <c r="C827" s="6" t="s">
        <v>16</v>
      </c>
      <c r="D827" s="7">
        <v>15.6</v>
      </c>
      <c r="E827" s="7">
        <v>15.6</v>
      </c>
      <c r="F827" s="7">
        <v>15.66</v>
      </c>
      <c r="G827" s="7">
        <v>15.58</v>
      </c>
      <c r="H827" s="8">
        <f t="shared" si="13"/>
        <v>-1.0838486719455594E-2</v>
      </c>
    </row>
    <row r="828" spans="2:8" x14ac:dyDescent="0.2">
      <c r="B828" s="5">
        <v>44665</v>
      </c>
      <c r="C828" s="6" t="s">
        <v>16</v>
      </c>
      <c r="D828" s="7">
        <v>15.51</v>
      </c>
      <c r="E828" s="7">
        <v>15.51</v>
      </c>
      <c r="F828" s="7">
        <v>15.66</v>
      </c>
      <c r="G828" s="7">
        <v>15.49</v>
      </c>
      <c r="H828" s="8">
        <f t="shared" si="13"/>
        <v>-5.7859370670438875E-3</v>
      </c>
    </row>
    <row r="829" spans="2:8" x14ac:dyDescent="0.2">
      <c r="B829" s="5">
        <v>44666</v>
      </c>
      <c r="C829" s="6" t="s">
        <v>16</v>
      </c>
      <c r="D829" s="7">
        <v>15.63</v>
      </c>
      <c r="E829" s="7">
        <v>15.63</v>
      </c>
      <c r="F829" s="7">
        <v>15.7</v>
      </c>
      <c r="G829" s="7">
        <v>15.47</v>
      </c>
      <c r="H829" s="8">
        <f t="shared" si="13"/>
        <v>7.7071672449379588E-3</v>
      </c>
    </row>
    <row r="830" spans="2:8" x14ac:dyDescent="0.2">
      <c r="B830" s="5">
        <v>44667</v>
      </c>
      <c r="C830" s="6" t="s">
        <v>16</v>
      </c>
      <c r="D830" s="7">
        <v>15.57</v>
      </c>
      <c r="E830" s="7">
        <v>15.57</v>
      </c>
      <c r="F830" s="7">
        <v>15.73</v>
      </c>
      <c r="G830" s="7">
        <v>15.44</v>
      </c>
      <c r="H830" s="8">
        <f t="shared" si="13"/>
        <v>-3.8461585874782754E-3</v>
      </c>
    </row>
    <row r="831" spans="2:8" x14ac:dyDescent="0.2">
      <c r="B831" s="5">
        <v>44668</v>
      </c>
      <c r="C831" s="6" t="s">
        <v>16</v>
      </c>
      <c r="D831" s="7">
        <v>15.56</v>
      </c>
      <c r="E831" s="7">
        <v>15.56</v>
      </c>
      <c r="F831" s="7">
        <v>15.65</v>
      </c>
      <c r="G831" s="7">
        <v>15.52</v>
      </c>
      <c r="H831" s="8">
        <f t="shared" si="13"/>
        <v>-6.4246709566138688E-4</v>
      </c>
    </row>
    <row r="832" spans="2:8" x14ac:dyDescent="0.2">
      <c r="B832" s="5">
        <v>44671</v>
      </c>
      <c r="C832" s="6" t="s">
        <v>16</v>
      </c>
      <c r="D832" s="7">
        <v>15.29</v>
      </c>
      <c r="E832" s="7">
        <v>15.29</v>
      </c>
      <c r="F832" s="7">
        <v>15.36</v>
      </c>
      <c r="G832" s="7">
        <v>15.18</v>
      </c>
      <c r="H832" s="8">
        <f t="shared" si="13"/>
        <v>-1.75044988092747E-2</v>
      </c>
    </row>
    <row r="833" spans="2:8" x14ac:dyDescent="0.2">
      <c r="B833" s="5">
        <v>44672</v>
      </c>
      <c r="C833" s="6" t="s">
        <v>16</v>
      </c>
      <c r="D833" s="7">
        <v>15.32</v>
      </c>
      <c r="E833" s="7">
        <v>15.32</v>
      </c>
      <c r="F833" s="7">
        <v>15.4</v>
      </c>
      <c r="G833" s="7">
        <v>15.24</v>
      </c>
      <c r="H833" s="8">
        <f t="shared" si="13"/>
        <v>1.960144371474376E-3</v>
      </c>
    </row>
    <row r="834" spans="2:8" x14ac:dyDescent="0.2">
      <c r="B834" s="5">
        <v>44673</v>
      </c>
      <c r="C834" s="6" t="s">
        <v>16</v>
      </c>
      <c r="D834" s="7">
        <v>15.11</v>
      </c>
      <c r="E834" s="7">
        <v>15.11</v>
      </c>
      <c r="F834" s="7">
        <v>15.28</v>
      </c>
      <c r="G834" s="7">
        <v>15.02</v>
      </c>
      <c r="H834" s="8">
        <f t="shared" si="13"/>
        <v>-1.3802388027797137E-2</v>
      </c>
    </row>
    <row r="835" spans="2:8" x14ac:dyDescent="0.2">
      <c r="B835" s="5">
        <v>44674</v>
      </c>
      <c r="C835" s="6" t="s">
        <v>16</v>
      </c>
      <c r="D835" s="7">
        <v>15.21</v>
      </c>
      <c r="E835" s="7">
        <v>15.21</v>
      </c>
      <c r="F835" s="7">
        <v>15.25</v>
      </c>
      <c r="G835" s="7">
        <v>15.07</v>
      </c>
      <c r="H835" s="8">
        <f t="shared" si="13"/>
        <v>6.5963299865533093E-3</v>
      </c>
    </row>
    <row r="836" spans="2:8" x14ac:dyDescent="0.2">
      <c r="B836" s="5">
        <v>44675</v>
      </c>
      <c r="C836" s="6" t="s">
        <v>16</v>
      </c>
      <c r="D836" s="7">
        <v>15.06</v>
      </c>
      <c r="E836" s="7">
        <v>15.06</v>
      </c>
      <c r="F836" s="7">
        <v>15.15</v>
      </c>
      <c r="G836" s="7">
        <v>14.93</v>
      </c>
      <c r="H836" s="8">
        <f t="shared" ref="H836:H899" si="14">IF(C836=C835, LN(E836/E835), "")</f>
        <v>-9.9108838994540188E-3</v>
      </c>
    </row>
    <row r="837" spans="2:8" x14ac:dyDescent="0.2">
      <c r="B837" s="5">
        <v>44678</v>
      </c>
      <c r="C837" s="6" t="s">
        <v>16</v>
      </c>
      <c r="D837" s="7">
        <v>15.66</v>
      </c>
      <c r="E837" s="7">
        <v>15.66</v>
      </c>
      <c r="F837" s="7">
        <v>15.76</v>
      </c>
      <c r="G837" s="7">
        <v>15.28</v>
      </c>
      <c r="H837" s="8">
        <f t="shared" si="14"/>
        <v>3.9067468190909491E-2</v>
      </c>
    </row>
    <row r="838" spans="2:8" x14ac:dyDescent="0.2">
      <c r="B838" s="5">
        <v>44679</v>
      </c>
      <c r="C838" s="6" t="s">
        <v>16</v>
      </c>
      <c r="D838" s="7">
        <v>15.87</v>
      </c>
      <c r="E838" s="7">
        <v>15.87</v>
      </c>
      <c r="F838" s="7">
        <v>15.96</v>
      </c>
      <c r="G838" s="7">
        <v>15.71</v>
      </c>
      <c r="H838" s="8">
        <f t="shared" si="14"/>
        <v>1.3320843975660555E-2</v>
      </c>
    </row>
    <row r="839" spans="2:8" x14ac:dyDescent="0.2">
      <c r="B839" s="5">
        <v>44680</v>
      </c>
      <c r="C839" s="6" t="s">
        <v>16</v>
      </c>
      <c r="D839" s="7">
        <v>15.81</v>
      </c>
      <c r="E839" s="7">
        <v>15.81</v>
      </c>
      <c r="F839" s="7">
        <v>15.99</v>
      </c>
      <c r="G839" s="7">
        <v>15.78</v>
      </c>
      <c r="H839" s="8">
        <f t="shared" si="14"/>
        <v>-3.7878833169369803E-3</v>
      </c>
    </row>
    <row r="840" spans="2:8" x14ac:dyDescent="0.2">
      <c r="B840" s="5">
        <v>44681</v>
      </c>
      <c r="C840" s="6" t="s">
        <v>16</v>
      </c>
      <c r="D840" s="7">
        <v>15.43</v>
      </c>
      <c r="E840" s="7">
        <v>15.43</v>
      </c>
      <c r="F840" s="7">
        <v>15.49</v>
      </c>
      <c r="G840" s="7">
        <v>15.13</v>
      </c>
      <c r="H840" s="8">
        <f t="shared" si="14"/>
        <v>-2.4328984846311189E-2</v>
      </c>
    </row>
    <row r="841" spans="2:8" x14ac:dyDescent="0.2">
      <c r="B841" s="5">
        <v>44682</v>
      </c>
      <c r="C841" s="6" t="s">
        <v>16</v>
      </c>
      <c r="D841" s="7">
        <v>15.47</v>
      </c>
      <c r="E841" s="7">
        <v>15.47</v>
      </c>
      <c r="F841" s="7">
        <v>15.49</v>
      </c>
      <c r="G841" s="7">
        <v>15.25</v>
      </c>
      <c r="H841" s="8">
        <f t="shared" si="14"/>
        <v>2.5889982099054033E-3</v>
      </c>
    </row>
    <row r="842" spans="2:8" x14ac:dyDescent="0.2">
      <c r="B842" s="5">
        <v>44685</v>
      </c>
      <c r="C842" s="6" t="s">
        <v>16</v>
      </c>
      <c r="D842" s="7">
        <v>15.7</v>
      </c>
      <c r="E842" s="7">
        <v>15.7</v>
      </c>
      <c r="F842" s="7">
        <v>15.95</v>
      </c>
      <c r="G842" s="7">
        <v>15.67</v>
      </c>
      <c r="H842" s="8">
        <f t="shared" si="14"/>
        <v>1.4758047769287568E-2</v>
      </c>
    </row>
    <row r="843" spans="2:8" x14ac:dyDescent="0.2">
      <c r="B843" s="5">
        <v>44686</v>
      </c>
      <c r="C843" s="6" t="s">
        <v>16</v>
      </c>
      <c r="D843" s="7">
        <v>15.81</v>
      </c>
      <c r="E843" s="7">
        <v>15.81</v>
      </c>
      <c r="F843" s="7">
        <v>15.96</v>
      </c>
      <c r="G843" s="7">
        <v>15.79</v>
      </c>
      <c r="H843" s="8">
        <f t="shared" si="14"/>
        <v>6.9819388671183849E-3</v>
      </c>
    </row>
    <row r="844" spans="2:8" x14ac:dyDescent="0.2">
      <c r="B844" s="5">
        <v>44687</v>
      </c>
      <c r="C844" s="6" t="s">
        <v>16</v>
      </c>
      <c r="D844" s="7">
        <v>15.77</v>
      </c>
      <c r="E844" s="7">
        <v>15.77</v>
      </c>
      <c r="F844" s="7">
        <v>15.93</v>
      </c>
      <c r="G844" s="7">
        <v>15.72</v>
      </c>
      <c r="H844" s="8">
        <f t="shared" si="14"/>
        <v>-2.5332502464336646E-3</v>
      </c>
    </row>
    <row r="845" spans="2:8" x14ac:dyDescent="0.2">
      <c r="B845" s="5">
        <v>44688</v>
      </c>
      <c r="C845" s="6" t="s">
        <v>16</v>
      </c>
      <c r="D845" s="7">
        <v>15.6</v>
      </c>
      <c r="E845" s="7">
        <v>15.6</v>
      </c>
      <c r="F845" s="7">
        <v>15.76</v>
      </c>
      <c r="G845" s="7">
        <v>15.58</v>
      </c>
      <c r="H845" s="8">
        <f t="shared" si="14"/>
        <v>-1.0838486719455594E-2</v>
      </c>
    </row>
    <row r="846" spans="2:8" x14ac:dyDescent="0.2">
      <c r="B846" s="5">
        <v>44689</v>
      </c>
      <c r="C846" s="6" t="s">
        <v>16</v>
      </c>
      <c r="D846" s="7">
        <v>15.76</v>
      </c>
      <c r="E846" s="7">
        <v>15.76</v>
      </c>
      <c r="F846" s="7">
        <v>15.78</v>
      </c>
      <c r="G846" s="7">
        <v>15.63</v>
      </c>
      <c r="H846" s="8">
        <f t="shared" si="14"/>
        <v>1.0204170174241668E-2</v>
      </c>
    </row>
    <row r="847" spans="2:8" x14ac:dyDescent="0.2">
      <c r="B847" s="5">
        <v>44692</v>
      </c>
      <c r="C847" s="6" t="s">
        <v>16</v>
      </c>
      <c r="D847" s="7">
        <v>15.57</v>
      </c>
      <c r="E847" s="7">
        <v>15.57</v>
      </c>
      <c r="F847" s="7">
        <v>15.84</v>
      </c>
      <c r="G847" s="7">
        <v>15.5</v>
      </c>
      <c r="H847" s="8">
        <f t="shared" si="14"/>
        <v>-1.2129098583826072E-2</v>
      </c>
    </row>
    <row r="848" spans="2:8" x14ac:dyDescent="0.2">
      <c r="B848" s="5">
        <v>44693</v>
      </c>
      <c r="C848" s="6" t="s">
        <v>16</v>
      </c>
      <c r="D848" s="7">
        <v>15.81</v>
      </c>
      <c r="E848" s="7">
        <v>15.81</v>
      </c>
      <c r="F848" s="7">
        <v>15.88</v>
      </c>
      <c r="G848" s="7">
        <v>15.64</v>
      </c>
      <c r="H848" s="8">
        <f t="shared" si="14"/>
        <v>1.5296665375473608E-2</v>
      </c>
    </row>
    <row r="849" spans="2:8" x14ac:dyDescent="0.2">
      <c r="B849" s="5">
        <v>44694</v>
      </c>
      <c r="C849" s="6" t="s">
        <v>16</v>
      </c>
      <c r="D849" s="7">
        <v>16.350000000000001</v>
      </c>
      <c r="E849" s="7">
        <v>16.350000000000001</v>
      </c>
      <c r="F849" s="7">
        <v>16.469999000000001</v>
      </c>
      <c r="G849" s="7">
        <v>16.25</v>
      </c>
      <c r="H849" s="8">
        <f t="shared" si="14"/>
        <v>3.3585246121881768E-2</v>
      </c>
    </row>
    <row r="850" spans="2:8" x14ac:dyDescent="0.2">
      <c r="B850" s="5">
        <v>44695</v>
      </c>
      <c r="C850" s="6" t="s">
        <v>16</v>
      </c>
      <c r="D850" s="7">
        <v>16.649999999999999</v>
      </c>
      <c r="E850" s="7">
        <v>16.649999999999999</v>
      </c>
      <c r="F850" s="7">
        <v>16.799999</v>
      </c>
      <c r="G850" s="7">
        <v>16.600000000000001</v>
      </c>
      <c r="H850" s="8">
        <f t="shared" si="14"/>
        <v>1.8182319083190328E-2</v>
      </c>
    </row>
    <row r="851" spans="2:8" x14ac:dyDescent="0.2">
      <c r="B851" s="5">
        <v>44696</v>
      </c>
      <c r="C851" s="6" t="s">
        <v>16</v>
      </c>
      <c r="D851" s="7">
        <v>16.75</v>
      </c>
      <c r="E851" s="7">
        <v>16.75</v>
      </c>
      <c r="F851" s="7">
        <v>16.809999000000001</v>
      </c>
      <c r="G851" s="7">
        <v>16.66</v>
      </c>
      <c r="H851" s="8">
        <f t="shared" si="14"/>
        <v>5.9880418446226933E-3</v>
      </c>
    </row>
    <row r="852" spans="2:8" x14ac:dyDescent="0.2">
      <c r="B852" s="5">
        <v>44699</v>
      </c>
      <c r="C852" s="6" t="s">
        <v>16</v>
      </c>
      <c r="D852" s="7">
        <v>16.889999</v>
      </c>
      <c r="E852" s="7">
        <v>16.889999</v>
      </c>
      <c r="F852" s="7">
        <v>16.959999</v>
      </c>
      <c r="G852" s="7">
        <v>16.799999</v>
      </c>
      <c r="H852" s="8">
        <f t="shared" si="14"/>
        <v>8.3234133420002666E-3</v>
      </c>
    </row>
    <row r="853" spans="2:8" x14ac:dyDescent="0.2">
      <c r="B853" s="5">
        <v>44700</v>
      </c>
      <c r="C853" s="6" t="s">
        <v>16</v>
      </c>
      <c r="D853" s="7">
        <v>16.379999000000002</v>
      </c>
      <c r="E853" s="7">
        <v>16.379999000000002</v>
      </c>
      <c r="F853" s="7">
        <v>16.670000000000002</v>
      </c>
      <c r="G853" s="7">
        <v>16.139999</v>
      </c>
      <c r="H853" s="8">
        <f t="shared" si="14"/>
        <v>-3.0660654238215186E-2</v>
      </c>
    </row>
    <row r="854" spans="2:8" x14ac:dyDescent="0.2">
      <c r="B854" s="5">
        <v>44701</v>
      </c>
      <c r="C854" s="6" t="s">
        <v>16</v>
      </c>
      <c r="D854" s="7">
        <v>16.370000999999998</v>
      </c>
      <c r="E854" s="7">
        <v>16.370000999999998</v>
      </c>
      <c r="F854" s="7">
        <v>16.530000999999999</v>
      </c>
      <c r="G854" s="7">
        <v>16.329999999999998</v>
      </c>
      <c r="H854" s="8">
        <f t="shared" si="14"/>
        <v>-6.1056490446404973E-4</v>
      </c>
    </row>
    <row r="855" spans="2:8" x14ac:dyDescent="0.2">
      <c r="B855" s="5">
        <v>44702</v>
      </c>
      <c r="C855" s="6" t="s">
        <v>16</v>
      </c>
      <c r="D855" s="7">
        <v>16.389999</v>
      </c>
      <c r="E855" s="7">
        <v>16.389999</v>
      </c>
      <c r="F855" s="7">
        <v>16.450001</v>
      </c>
      <c r="G855" s="7">
        <v>16.34</v>
      </c>
      <c r="H855" s="8">
        <f t="shared" si="14"/>
        <v>1.220879272527315E-3</v>
      </c>
    </row>
    <row r="856" spans="2:8" x14ac:dyDescent="0.2">
      <c r="B856" s="5">
        <v>44703</v>
      </c>
      <c r="C856" s="6" t="s">
        <v>16</v>
      </c>
      <c r="D856" s="7">
        <v>16.34</v>
      </c>
      <c r="E856" s="7">
        <v>16.34</v>
      </c>
      <c r="F856" s="7">
        <v>16.450001</v>
      </c>
      <c r="G856" s="7">
        <v>16.280000999999999</v>
      </c>
      <c r="H856" s="8">
        <f t="shared" si="14"/>
        <v>-3.0552423110668794E-3</v>
      </c>
    </row>
    <row r="857" spans="2:8" x14ac:dyDescent="0.2">
      <c r="B857" s="5">
        <v>44707</v>
      </c>
      <c r="C857" s="6" t="s">
        <v>16</v>
      </c>
      <c r="D857" s="7">
        <v>16.02</v>
      </c>
      <c r="E857" s="7">
        <v>16.02</v>
      </c>
      <c r="F857" s="7">
        <v>16.16</v>
      </c>
      <c r="G857" s="7">
        <v>15.98</v>
      </c>
      <c r="H857" s="8">
        <f t="shared" si="14"/>
        <v>-1.9778147791643632E-2</v>
      </c>
    </row>
    <row r="858" spans="2:8" x14ac:dyDescent="0.2">
      <c r="B858" s="5">
        <v>44708</v>
      </c>
      <c r="C858" s="6" t="s">
        <v>16</v>
      </c>
      <c r="D858" s="7">
        <v>15.96</v>
      </c>
      <c r="E858" s="7">
        <v>15.96</v>
      </c>
      <c r="F858" s="7">
        <v>16.02</v>
      </c>
      <c r="G858" s="7">
        <v>15.9</v>
      </c>
      <c r="H858" s="8">
        <f t="shared" si="14"/>
        <v>-3.7523496185503527E-3</v>
      </c>
    </row>
    <row r="859" spans="2:8" x14ac:dyDescent="0.2">
      <c r="B859" s="5">
        <v>44709</v>
      </c>
      <c r="C859" s="6" t="s">
        <v>16</v>
      </c>
      <c r="D859" s="7">
        <v>15.97</v>
      </c>
      <c r="E859" s="7">
        <v>15.97</v>
      </c>
      <c r="F859" s="7">
        <v>16</v>
      </c>
      <c r="G859" s="7">
        <v>15.82</v>
      </c>
      <c r="H859" s="8">
        <f t="shared" si="14"/>
        <v>6.2637020525834451E-4</v>
      </c>
    </row>
    <row r="860" spans="2:8" x14ac:dyDescent="0.2">
      <c r="B860" s="5">
        <v>44710</v>
      </c>
      <c r="C860" s="6" t="s">
        <v>16</v>
      </c>
      <c r="D860" s="7">
        <v>15.99</v>
      </c>
      <c r="E860" s="7">
        <v>15.99</v>
      </c>
      <c r="F860" s="7">
        <v>16.079999999999998</v>
      </c>
      <c r="G860" s="7">
        <v>15.96</v>
      </c>
      <c r="H860" s="8">
        <f t="shared" si="14"/>
        <v>1.2515646189417318E-3</v>
      </c>
    </row>
    <row r="861" spans="2:8" x14ac:dyDescent="0.2">
      <c r="B861" s="5">
        <v>44713</v>
      </c>
      <c r="C861" s="6" t="s">
        <v>16</v>
      </c>
      <c r="D861" s="7">
        <v>16</v>
      </c>
      <c r="E861" s="7">
        <v>16</v>
      </c>
      <c r="F861" s="7">
        <v>16.420000000000002</v>
      </c>
      <c r="G861" s="7">
        <v>15.95</v>
      </c>
      <c r="H861" s="8">
        <f t="shared" si="14"/>
        <v>6.2519539391831804E-4</v>
      </c>
    </row>
    <row r="862" spans="2:8" x14ac:dyDescent="0.2">
      <c r="B862" s="5">
        <v>44714</v>
      </c>
      <c r="C862" s="6" t="s">
        <v>16</v>
      </c>
      <c r="D862" s="7">
        <v>16.07</v>
      </c>
      <c r="E862" s="7">
        <v>16.07</v>
      </c>
      <c r="F862" s="7">
        <v>16.110001</v>
      </c>
      <c r="G862" s="7">
        <v>15.98</v>
      </c>
      <c r="H862" s="8">
        <f t="shared" si="14"/>
        <v>4.3654575096399983E-3</v>
      </c>
    </row>
    <row r="863" spans="2:8" x14ac:dyDescent="0.2">
      <c r="B863" s="5">
        <v>44715</v>
      </c>
      <c r="C863" s="6" t="s">
        <v>16</v>
      </c>
      <c r="D863" s="7">
        <v>15.83</v>
      </c>
      <c r="E863" s="7">
        <v>15.83</v>
      </c>
      <c r="F863" s="7">
        <v>15.93</v>
      </c>
      <c r="G863" s="7">
        <v>15.7</v>
      </c>
      <c r="H863" s="8">
        <f t="shared" si="14"/>
        <v>-1.5047305856500505E-2</v>
      </c>
    </row>
    <row r="864" spans="2:8" x14ac:dyDescent="0.2">
      <c r="B864" s="5">
        <v>44716</v>
      </c>
      <c r="C864" s="6" t="s">
        <v>16</v>
      </c>
      <c r="D864" s="7">
        <v>15.48</v>
      </c>
      <c r="E864" s="7">
        <v>15.48</v>
      </c>
      <c r="F864" s="7">
        <v>15.62</v>
      </c>
      <c r="G864" s="7">
        <v>15.43</v>
      </c>
      <c r="H864" s="8">
        <f t="shared" si="14"/>
        <v>-2.2358005731339711E-2</v>
      </c>
    </row>
    <row r="865" spans="2:8" x14ac:dyDescent="0.2">
      <c r="B865" s="5">
        <v>44717</v>
      </c>
      <c r="C865" s="6" t="s">
        <v>16</v>
      </c>
      <c r="D865" s="7">
        <v>15.39</v>
      </c>
      <c r="E865" s="7">
        <v>15.39</v>
      </c>
      <c r="F865" s="7">
        <v>15.48</v>
      </c>
      <c r="G865" s="7">
        <v>15.29</v>
      </c>
      <c r="H865" s="8">
        <f t="shared" si="14"/>
        <v>-5.8309203107932096E-3</v>
      </c>
    </row>
    <row r="866" spans="2:8" x14ac:dyDescent="0.2">
      <c r="B866" s="5">
        <v>44720</v>
      </c>
      <c r="C866" s="6" t="s">
        <v>16</v>
      </c>
      <c r="D866" s="7">
        <v>15.32</v>
      </c>
      <c r="E866" s="7">
        <v>15.32</v>
      </c>
      <c r="F866" s="7">
        <v>15.37</v>
      </c>
      <c r="G866" s="7">
        <v>15.23</v>
      </c>
      <c r="H866" s="8">
        <f t="shared" si="14"/>
        <v>-4.5587835383426719E-3</v>
      </c>
    </row>
    <row r="867" spans="2:8" x14ac:dyDescent="0.2">
      <c r="B867" s="5">
        <v>44721</v>
      </c>
      <c r="C867" s="6" t="s">
        <v>16</v>
      </c>
      <c r="D867" s="7">
        <v>15.29</v>
      </c>
      <c r="E867" s="7">
        <v>15.29</v>
      </c>
      <c r="F867" s="7">
        <v>15.39</v>
      </c>
      <c r="G867" s="7">
        <v>15.27</v>
      </c>
      <c r="H867" s="8">
        <f t="shared" si="14"/>
        <v>-1.9601443714744008E-3</v>
      </c>
    </row>
    <row r="868" spans="2:8" x14ac:dyDescent="0.2">
      <c r="B868" s="5">
        <v>44722</v>
      </c>
      <c r="C868" s="6" t="s">
        <v>16</v>
      </c>
      <c r="D868" s="7">
        <v>15.32</v>
      </c>
      <c r="E868" s="7">
        <v>15.32</v>
      </c>
      <c r="F868" s="7">
        <v>15.46</v>
      </c>
      <c r="G868" s="7">
        <v>15.28</v>
      </c>
      <c r="H868" s="8">
        <f t="shared" si="14"/>
        <v>1.960144371474376E-3</v>
      </c>
    </row>
    <row r="869" spans="2:8" x14ac:dyDescent="0.2">
      <c r="B869" s="5">
        <v>44723</v>
      </c>
      <c r="C869" s="6" t="s">
        <v>16</v>
      </c>
      <c r="D869" s="7">
        <v>15.33</v>
      </c>
      <c r="E869" s="7">
        <v>15.33</v>
      </c>
      <c r="F869" s="7">
        <v>15.36</v>
      </c>
      <c r="G869" s="7">
        <v>15.17</v>
      </c>
      <c r="H869" s="8">
        <f t="shared" si="14"/>
        <v>6.525285712774368E-4</v>
      </c>
    </row>
    <row r="870" spans="2:8" x14ac:dyDescent="0.2">
      <c r="B870" s="5">
        <v>44724</v>
      </c>
      <c r="C870" s="6" t="s">
        <v>16</v>
      </c>
      <c r="D870" s="7">
        <v>15.25</v>
      </c>
      <c r="E870" s="7">
        <v>15.25</v>
      </c>
      <c r="F870" s="7">
        <v>15.3</v>
      </c>
      <c r="G870" s="7">
        <v>15.17</v>
      </c>
      <c r="H870" s="8">
        <f t="shared" si="14"/>
        <v>-5.2321898303021273E-3</v>
      </c>
    </row>
    <row r="871" spans="2:8" x14ac:dyDescent="0.2">
      <c r="B871" s="5">
        <v>44727</v>
      </c>
      <c r="C871" s="6" t="s">
        <v>16</v>
      </c>
      <c r="D871" s="7">
        <v>15.4</v>
      </c>
      <c r="E871" s="7">
        <v>15.4</v>
      </c>
      <c r="F871" s="7">
        <v>15.56</v>
      </c>
      <c r="G871" s="7">
        <v>15.29</v>
      </c>
      <c r="H871" s="8">
        <f t="shared" si="14"/>
        <v>9.7880063661629439E-3</v>
      </c>
    </row>
    <row r="872" spans="2:8" x14ac:dyDescent="0.2">
      <c r="B872" s="5">
        <v>44728</v>
      </c>
      <c r="C872" s="6" t="s">
        <v>16</v>
      </c>
      <c r="D872" s="7">
        <v>15.32</v>
      </c>
      <c r="E872" s="7">
        <v>15.32</v>
      </c>
      <c r="F872" s="7">
        <v>15.34</v>
      </c>
      <c r="G872" s="7">
        <v>15.2</v>
      </c>
      <c r="H872" s="8">
        <f t="shared" si="14"/>
        <v>-5.2083451071382354E-3</v>
      </c>
    </row>
    <row r="873" spans="2:8" x14ac:dyDescent="0.2">
      <c r="B873" s="5">
        <v>44729</v>
      </c>
      <c r="C873" s="6" t="s">
        <v>16</v>
      </c>
      <c r="D873" s="7">
        <v>15.45</v>
      </c>
      <c r="E873" s="7">
        <v>15.45</v>
      </c>
      <c r="F873" s="7">
        <v>15.56</v>
      </c>
      <c r="G873" s="7">
        <v>15.26</v>
      </c>
      <c r="H873" s="8">
        <f t="shared" si="14"/>
        <v>8.4498390313090775E-3</v>
      </c>
    </row>
    <row r="874" spans="2:8" x14ac:dyDescent="0.2">
      <c r="B874" s="5">
        <v>44730</v>
      </c>
      <c r="C874" s="6" t="s">
        <v>16</v>
      </c>
      <c r="D874" s="7">
        <v>15.46</v>
      </c>
      <c r="E874" s="7">
        <v>15.46</v>
      </c>
      <c r="F874" s="7">
        <v>15.7</v>
      </c>
      <c r="G874" s="7">
        <v>15.42</v>
      </c>
      <c r="H874" s="8">
        <f t="shared" si="14"/>
        <v>6.4703981552153753E-4</v>
      </c>
    </row>
    <row r="875" spans="2:8" x14ac:dyDescent="0.2">
      <c r="B875" s="5">
        <v>44731</v>
      </c>
      <c r="C875" s="6" t="s">
        <v>16</v>
      </c>
      <c r="D875" s="7">
        <v>15.42</v>
      </c>
      <c r="E875" s="7">
        <v>15.42</v>
      </c>
      <c r="F875" s="7">
        <v>15.49</v>
      </c>
      <c r="G875" s="7">
        <v>15.2</v>
      </c>
      <c r="H875" s="8">
        <f t="shared" si="14"/>
        <v>-2.5906750240925064E-3</v>
      </c>
    </row>
    <row r="876" spans="2:8" x14ac:dyDescent="0.2">
      <c r="B876" s="5">
        <v>44734</v>
      </c>
      <c r="C876" s="6" t="s">
        <v>16</v>
      </c>
      <c r="D876" s="7">
        <v>15.49</v>
      </c>
      <c r="E876" s="7">
        <v>15.49</v>
      </c>
      <c r="F876" s="7">
        <v>15.55</v>
      </c>
      <c r="G876" s="7">
        <v>15.33</v>
      </c>
      <c r="H876" s="8">
        <f t="shared" si="14"/>
        <v>4.5292862935938155E-3</v>
      </c>
    </row>
    <row r="877" spans="2:8" x14ac:dyDescent="0.2">
      <c r="B877" s="5">
        <v>44735</v>
      </c>
      <c r="C877" s="6" t="s">
        <v>16</v>
      </c>
      <c r="D877" s="7">
        <v>15.14</v>
      </c>
      <c r="E877" s="7">
        <v>15.14</v>
      </c>
      <c r="F877" s="7">
        <v>15.22</v>
      </c>
      <c r="G877" s="7">
        <v>15.07</v>
      </c>
      <c r="H877" s="8">
        <f t="shared" si="14"/>
        <v>-2.2854406419474487E-2</v>
      </c>
    </row>
    <row r="878" spans="2:8" x14ac:dyDescent="0.2">
      <c r="B878" s="5">
        <v>44736</v>
      </c>
      <c r="C878" s="6" t="s">
        <v>16</v>
      </c>
      <c r="D878" s="7">
        <v>15.19</v>
      </c>
      <c r="E878" s="7">
        <v>15.19</v>
      </c>
      <c r="F878" s="7">
        <v>15.23</v>
      </c>
      <c r="G878" s="7">
        <v>15.13</v>
      </c>
      <c r="H878" s="8">
        <f t="shared" si="14"/>
        <v>3.2970685983787196E-3</v>
      </c>
    </row>
    <row r="879" spans="2:8" x14ac:dyDescent="0.2">
      <c r="B879" s="5">
        <v>44737</v>
      </c>
      <c r="C879" s="6" t="s">
        <v>16</v>
      </c>
      <c r="D879" s="7">
        <v>15.17</v>
      </c>
      <c r="E879" s="7">
        <v>15.17</v>
      </c>
      <c r="F879" s="7">
        <v>15.2</v>
      </c>
      <c r="G879" s="7">
        <v>15.09</v>
      </c>
      <c r="H879" s="8">
        <f t="shared" si="14"/>
        <v>-1.3175232472406023E-3</v>
      </c>
    </row>
    <row r="880" spans="2:8" x14ac:dyDescent="0.2">
      <c r="B880" s="5">
        <v>44738</v>
      </c>
      <c r="C880" s="6" t="s">
        <v>16</v>
      </c>
      <c r="D880" s="7">
        <v>15.11</v>
      </c>
      <c r="E880" s="7">
        <v>15.11</v>
      </c>
      <c r="F880" s="7">
        <v>15.13</v>
      </c>
      <c r="G880" s="7">
        <v>15.01</v>
      </c>
      <c r="H880" s="8">
        <f t="shared" si="14"/>
        <v>-3.9630170757926769E-3</v>
      </c>
    </row>
    <row r="881" spans="2:8" x14ac:dyDescent="0.2">
      <c r="B881" s="5">
        <v>44741</v>
      </c>
      <c r="C881" s="6" t="s">
        <v>16</v>
      </c>
      <c r="D881" s="7">
        <v>15.03</v>
      </c>
      <c r="E881" s="7">
        <v>15.03</v>
      </c>
      <c r="F881" s="7">
        <v>15.14</v>
      </c>
      <c r="G881" s="7">
        <v>15</v>
      </c>
      <c r="H881" s="8">
        <f t="shared" si="14"/>
        <v>-5.3085725197650315E-3</v>
      </c>
    </row>
    <row r="882" spans="2:8" x14ac:dyDescent="0.2">
      <c r="B882" s="5">
        <v>44742</v>
      </c>
      <c r="C882" s="6" t="s">
        <v>16</v>
      </c>
      <c r="D882" s="7">
        <v>15.03</v>
      </c>
      <c r="E882" s="7">
        <v>15.03</v>
      </c>
      <c r="F882" s="7">
        <v>15.18</v>
      </c>
      <c r="G882" s="7">
        <v>14.8</v>
      </c>
      <c r="H882" s="8">
        <f t="shared" si="14"/>
        <v>0</v>
      </c>
    </row>
    <row r="883" spans="2:8" x14ac:dyDescent="0.2">
      <c r="B883" s="5">
        <v>44743</v>
      </c>
      <c r="C883" s="6" t="s">
        <v>16</v>
      </c>
      <c r="D883" s="7">
        <v>14.9</v>
      </c>
      <c r="E883" s="7">
        <v>14.9</v>
      </c>
      <c r="F883" s="7">
        <v>14.99</v>
      </c>
      <c r="G883" s="7">
        <v>14.86</v>
      </c>
      <c r="H883" s="8">
        <f t="shared" si="14"/>
        <v>-8.6869908134695594E-3</v>
      </c>
    </row>
    <row r="884" spans="2:8" x14ac:dyDescent="0.2">
      <c r="B884" s="5">
        <v>44744</v>
      </c>
      <c r="C884" s="6" t="s">
        <v>16</v>
      </c>
      <c r="D884" s="7">
        <v>14.95</v>
      </c>
      <c r="E884" s="7">
        <v>14.95</v>
      </c>
      <c r="F884" s="7">
        <v>15.03</v>
      </c>
      <c r="G884" s="7">
        <v>14.89</v>
      </c>
      <c r="H884" s="8">
        <f t="shared" si="14"/>
        <v>3.3500868852818057E-3</v>
      </c>
    </row>
    <row r="885" spans="2:8" x14ac:dyDescent="0.2">
      <c r="B885" s="5">
        <v>44748</v>
      </c>
      <c r="C885" s="6" t="s">
        <v>16</v>
      </c>
      <c r="D885" s="7">
        <v>14.99</v>
      </c>
      <c r="E885" s="7">
        <v>14.99</v>
      </c>
      <c r="F885" s="7">
        <v>15.15</v>
      </c>
      <c r="G885" s="7">
        <v>14.87</v>
      </c>
      <c r="H885" s="8">
        <f t="shared" si="14"/>
        <v>2.6720122778109891E-3</v>
      </c>
    </row>
    <row r="886" spans="2:8" x14ac:dyDescent="0.2">
      <c r="B886" s="5">
        <v>44749</v>
      </c>
      <c r="C886" s="6" t="s">
        <v>16</v>
      </c>
      <c r="D886" s="7">
        <v>14.43</v>
      </c>
      <c r="E886" s="7">
        <v>14.43</v>
      </c>
      <c r="F886" s="7">
        <v>14.58</v>
      </c>
      <c r="G886" s="7">
        <v>14.03</v>
      </c>
      <c r="H886" s="8">
        <f t="shared" si="14"/>
        <v>-3.8073939328726873E-2</v>
      </c>
    </row>
    <row r="887" spans="2:8" x14ac:dyDescent="0.2">
      <c r="B887" s="5">
        <v>44750</v>
      </c>
      <c r="C887" s="6" t="s">
        <v>16</v>
      </c>
      <c r="D887" s="7">
        <v>14.46</v>
      </c>
      <c r="E887" s="7">
        <v>14.46</v>
      </c>
      <c r="F887" s="7">
        <v>14.59</v>
      </c>
      <c r="G887" s="7">
        <v>14.41</v>
      </c>
      <c r="H887" s="8">
        <f t="shared" si="14"/>
        <v>2.0768439448392907E-3</v>
      </c>
    </row>
    <row r="888" spans="2:8" x14ac:dyDescent="0.2">
      <c r="B888" s="5">
        <v>44751</v>
      </c>
      <c r="C888" s="6" t="s">
        <v>16</v>
      </c>
      <c r="D888" s="7">
        <v>14.76</v>
      </c>
      <c r="E888" s="7">
        <v>14.76</v>
      </c>
      <c r="F888" s="7">
        <v>14.86</v>
      </c>
      <c r="G888" s="7">
        <v>14.66</v>
      </c>
      <c r="H888" s="8">
        <f t="shared" si="14"/>
        <v>2.0534602441707735E-2</v>
      </c>
    </row>
    <row r="889" spans="2:8" x14ac:dyDescent="0.2">
      <c r="B889" s="5">
        <v>44752</v>
      </c>
      <c r="C889" s="6" t="s">
        <v>16</v>
      </c>
      <c r="D889" s="7">
        <v>14.88</v>
      </c>
      <c r="E889" s="7">
        <v>14.88</v>
      </c>
      <c r="F889" s="7">
        <v>14.97</v>
      </c>
      <c r="G889" s="7">
        <v>14.74</v>
      </c>
      <c r="H889" s="8">
        <f t="shared" si="14"/>
        <v>8.0972102326195231E-3</v>
      </c>
    </row>
    <row r="890" spans="2:8" x14ac:dyDescent="0.2">
      <c r="B890" s="5">
        <v>44755</v>
      </c>
      <c r="C890" s="6" t="s">
        <v>16</v>
      </c>
      <c r="D890" s="7">
        <v>14.81</v>
      </c>
      <c r="E890" s="7">
        <v>14.81</v>
      </c>
      <c r="F890" s="7">
        <v>14.85</v>
      </c>
      <c r="G890" s="7">
        <v>14.65</v>
      </c>
      <c r="H890" s="8">
        <f t="shared" si="14"/>
        <v>-4.7154011252384439E-3</v>
      </c>
    </row>
    <row r="891" spans="2:8" x14ac:dyDescent="0.2">
      <c r="B891" s="5">
        <v>44756</v>
      </c>
      <c r="C891" s="6" t="s">
        <v>16</v>
      </c>
      <c r="D891" s="7">
        <v>14.7</v>
      </c>
      <c r="E891" s="7">
        <v>14.7</v>
      </c>
      <c r="F891" s="7">
        <v>14.78</v>
      </c>
      <c r="G891" s="7">
        <v>14.63</v>
      </c>
      <c r="H891" s="8">
        <f t="shared" si="14"/>
        <v>-7.4551344950169341E-3</v>
      </c>
    </row>
    <row r="892" spans="2:8" x14ac:dyDescent="0.2">
      <c r="B892" s="5">
        <v>44757</v>
      </c>
      <c r="C892" s="6" t="s">
        <v>16</v>
      </c>
      <c r="D892" s="7">
        <v>14.43</v>
      </c>
      <c r="E892" s="7">
        <v>14.43</v>
      </c>
      <c r="F892" s="7">
        <v>14.47</v>
      </c>
      <c r="G892" s="7">
        <v>14.36</v>
      </c>
      <c r="H892" s="8">
        <f t="shared" si="14"/>
        <v>-1.8538120998911112E-2</v>
      </c>
    </row>
    <row r="893" spans="2:8" x14ac:dyDescent="0.2">
      <c r="B893" s="5">
        <v>44758</v>
      </c>
      <c r="C893" s="6" t="s">
        <v>16</v>
      </c>
      <c r="D893" s="7">
        <v>14.35</v>
      </c>
      <c r="E893" s="7">
        <v>14.35</v>
      </c>
      <c r="F893" s="7">
        <v>14.5</v>
      </c>
      <c r="G893" s="7">
        <v>14.32</v>
      </c>
      <c r="H893" s="8">
        <f t="shared" si="14"/>
        <v>-5.5594305801494256E-3</v>
      </c>
    </row>
    <row r="894" spans="2:8" x14ac:dyDescent="0.2">
      <c r="B894" s="5">
        <v>44759</v>
      </c>
      <c r="C894" s="6" t="s">
        <v>16</v>
      </c>
      <c r="D894" s="7">
        <v>14.23</v>
      </c>
      <c r="E894" s="7">
        <v>14.23</v>
      </c>
      <c r="F894" s="7">
        <v>14.29</v>
      </c>
      <c r="G894" s="7">
        <v>14.19</v>
      </c>
      <c r="H894" s="8">
        <f t="shared" si="14"/>
        <v>-8.3975301038690907E-3</v>
      </c>
    </row>
    <row r="895" spans="2:8" x14ac:dyDescent="0.2">
      <c r="B895" s="5">
        <v>44762</v>
      </c>
      <c r="C895" s="6" t="s">
        <v>16</v>
      </c>
      <c r="D895" s="7">
        <v>14.05</v>
      </c>
      <c r="E895" s="7">
        <v>14.05</v>
      </c>
      <c r="F895" s="7">
        <v>14.35</v>
      </c>
      <c r="G895" s="7">
        <v>14.03</v>
      </c>
      <c r="H895" s="8">
        <f t="shared" si="14"/>
        <v>-1.2730016322006172E-2</v>
      </c>
    </row>
    <row r="896" spans="2:8" x14ac:dyDescent="0.2">
      <c r="B896" s="5">
        <v>44763</v>
      </c>
      <c r="C896" s="6" t="s">
        <v>16</v>
      </c>
      <c r="D896" s="7">
        <v>14.14</v>
      </c>
      <c r="E896" s="7">
        <v>14.14</v>
      </c>
      <c r="F896" s="7">
        <v>14.3</v>
      </c>
      <c r="G896" s="7">
        <v>14.1</v>
      </c>
      <c r="H896" s="8">
        <f t="shared" si="14"/>
        <v>6.3852646886719718E-3</v>
      </c>
    </row>
    <row r="897" spans="2:8" x14ac:dyDescent="0.2">
      <c r="B897" s="5">
        <v>44764</v>
      </c>
      <c r="C897" s="6" t="s">
        <v>16</v>
      </c>
      <c r="D897" s="7">
        <v>14.14</v>
      </c>
      <c r="E897" s="7">
        <v>14.14</v>
      </c>
      <c r="F897" s="7">
        <v>14.24</v>
      </c>
      <c r="G897" s="7">
        <v>14</v>
      </c>
      <c r="H897" s="8">
        <f t="shared" si="14"/>
        <v>0</v>
      </c>
    </row>
    <row r="898" spans="2:8" x14ac:dyDescent="0.2">
      <c r="B898" s="5">
        <v>44765</v>
      </c>
      <c r="C898" s="6" t="s">
        <v>16</v>
      </c>
      <c r="D898" s="7">
        <v>14</v>
      </c>
      <c r="E898" s="7">
        <v>14</v>
      </c>
      <c r="F898" s="7">
        <v>14.15</v>
      </c>
      <c r="G898" s="7">
        <v>13.93</v>
      </c>
      <c r="H898" s="8">
        <f t="shared" si="14"/>
        <v>-9.950330853168092E-3</v>
      </c>
    </row>
    <row r="899" spans="2:8" x14ac:dyDescent="0.2">
      <c r="B899" s="5">
        <v>44766</v>
      </c>
      <c r="C899" s="6" t="s">
        <v>16</v>
      </c>
      <c r="D899" s="7">
        <v>14.02</v>
      </c>
      <c r="E899" s="7">
        <v>14.02</v>
      </c>
      <c r="F899" s="7">
        <v>14.08</v>
      </c>
      <c r="G899" s="7">
        <v>13.73</v>
      </c>
      <c r="H899" s="8">
        <f t="shared" si="14"/>
        <v>1.4275519911853237E-3</v>
      </c>
    </row>
    <row r="900" spans="2:8" x14ac:dyDescent="0.2">
      <c r="B900" s="5">
        <v>44769</v>
      </c>
      <c r="C900" s="6" t="s">
        <v>16</v>
      </c>
      <c r="D900" s="7">
        <v>13.92</v>
      </c>
      <c r="E900" s="7">
        <v>13.92</v>
      </c>
      <c r="F900" s="7">
        <v>14.09</v>
      </c>
      <c r="G900" s="7">
        <v>13.9</v>
      </c>
      <c r="H900" s="8">
        <f t="shared" ref="H900:H963" si="15">IF(C900=C899, LN(E900/E899), "")</f>
        <v>-7.1582267001703646E-3</v>
      </c>
    </row>
    <row r="901" spans="2:8" x14ac:dyDescent="0.2">
      <c r="B901" s="5">
        <v>44770</v>
      </c>
      <c r="C901" s="6" t="s">
        <v>16</v>
      </c>
      <c r="D901" s="7">
        <v>14.02</v>
      </c>
      <c r="E901" s="7">
        <v>14.02</v>
      </c>
      <c r="F901" s="7">
        <v>14.07</v>
      </c>
      <c r="G901" s="7">
        <v>13.99</v>
      </c>
      <c r="H901" s="8">
        <f t="shared" si="15"/>
        <v>7.1582267001704487E-3</v>
      </c>
    </row>
    <row r="902" spans="2:8" x14ac:dyDescent="0.2">
      <c r="B902" s="5">
        <v>44771</v>
      </c>
      <c r="C902" s="6" t="s">
        <v>16</v>
      </c>
      <c r="D902" s="7">
        <v>14.15</v>
      </c>
      <c r="E902" s="7">
        <v>14.15</v>
      </c>
      <c r="F902" s="7">
        <v>14.25</v>
      </c>
      <c r="G902" s="7">
        <v>14</v>
      </c>
      <c r="H902" s="8">
        <f t="shared" si="15"/>
        <v>9.2297424828027292E-3</v>
      </c>
    </row>
    <row r="903" spans="2:8" x14ac:dyDescent="0.2">
      <c r="B903" s="5">
        <v>44772</v>
      </c>
      <c r="C903" s="6" t="s">
        <v>16</v>
      </c>
      <c r="D903" s="7">
        <v>14.09</v>
      </c>
      <c r="E903" s="7">
        <v>14.09</v>
      </c>
      <c r="F903" s="7">
        <v>14.18</v>
      </c>
      <c r="G903" s="7">
        <v>14.04</v>
      </c>
      <c r="H903" s="8">
        <f t="shared" si="15"/>
        <v>-4.2492981786577677E-3</v>
      </c>
    </row>
    <row r="904" spans="2:8" x14ac:dyDescent="0.2">
      <c r="B904" s="5">
        <v>44773</v>
      </c>
      <c r="C904" s="6" t="s">
        <v>16</v>
      </c>
      <c r="D904" s="7">
        <v>14.08</v>
      </c>
      <c r="E904" s="7">
        <v>14.08</v>
      </c>
      <c r="F904" s="7">
        <v>14.34</v>
      </c>
      <c r="G904" s="7">
        <v>14.04</v>
      </c>
      <c r="H904" s="8">
        <f t="shared" si="15"/>
        <v>-7.0997518069253836E-4</v>
      </c>
    </row>
    <row r="905" spans="2:8" x14ac:dyDescent="0.2">
      <c r="B905" s="5">
        <v>44776</v>
      </c>
      <c r="C905" s="6" t="s">
        <v>16</v>
      </c>
      <c r="D905" s="7">
        <v>13.87</v>
      </c>
      <c r="E905" s="7">
        <v>13.87</v>
      </c>
      <c r="F905" s="7">
        <v>14.07</v>
      </c>
      <c r="G905" s="7">
        <v>13.78</v>
      </c>
      <c r="H905" s="8">
        <f t="shared" si="15"/>
        <v>-1.5027116403156213E-2</v>
      </c>
    </row>
    <row r="906" spans="2:8" x14ac:dyDescent="0.2">
      <c r="B906" s="5">
        <v>44777</v>
      </c>
      <c r="C906" s="6" t="s">
        <v>16</v>
      </c>
      <c r="D906" s="7">
        <v>13.92</v>
      </c>
      <c r="E906" s="7">
        <v>13.92</v>
      </c>
      <c r="F906" s="7">
        <v>13.99</v>
      </c>
      <c r="G906" s="7">
        <v>13.86</v>
      </c>
      <c r="H906" s="8">
        <f t="shared" si="15"/>
        <v>3.5984205795333117E-3</v>
      </c>
    </row>
    <row r="907" spans="2:8" x14ac:dyDescent="0.2">
      <c r="B907" s="5">
        <v>44778</v>
      </c>
      <c r="C907" s="6" t="s">
        <v>16</v>
      </c>
      <c r="D907" s="7">
        <v>13.95</v>
      </c>
      <c r="E907" s="7">
        <v>13.95</v>
      </c>
      <c r="F907" s="7">
        <v>14.05</v>
      </c>
      <c r="G907" s="7">
        <v>13.88</v>
      </c>
      <c r="H907" s="8">
        <f t="shared" si="15"/>
        <v>2.1528533611010927E-3</v>
      </c>
    </row>
    <row r="908" spans="2:8" x14ac:dyDescent="0.2">
      <c r="B908" s="5">
        <v>44779</v>
      </c>
      <c r="C908" s="6" t="s">
        <v>16</v>
      </c>
      <c r="D908" s="7">
        <v>13.99</v>
      </c>
      <c r="E908" s="7">
        <v>13.99</v>
      </c>
      <c r="F908" s="7">
        <v>14.12</v>
      </c>
      <c r="G908" s="7">
        <v>13.94</v>
      </c>
      <c r="H908" s="8">
        <f t="shared" si="15"/>
        <v>2.8632804100151548E-3</v>
      </c>
    </row>
    <row r="909" spans="2:8" x14ac:dyDescent="0.2">
      <c r="B909" s="5">
        <v>44780</v>
      </c>
      <c r="C909" s="6" t="s">
        <v>16</v>
      </c>
      <c r="D909" s="7">
        <v>14.11</v>
      </c>
      <c r="E909" s="7">
        <v>14.11</v>
      </c>
      <c r="F909" s="7">
        <v>14.35</v>
      </c>
      <c r="G909" s="7">
        <v>14.1</v>
      </c>
      <c r="H909" s="8">
        <f t="shared" si="15"/>
        <v>8.5409771873326823E-3</v>
      </c>
    </row>
    <row r="910" spans="2:8" x14ac:dyDescent="0.2">
      <c r="B910" s="5">
        <v>44783</v>
      </c>
      <c r="C910" s="6" t="s">
        <v>16</v>
      </c>
      <c r="D910" s="7">
        <v>14.54</v>
      </c>
      <c r="E910" s="7">
        <v>14.54</v>
      </c>
      <c r="F910" s="7">
        <v>14.72</v>
      </c>
      <c r="G910" s="7">
        <v>14.23</v>
      </c>
      <c r="H910" s="8">
        <f t="shared" si="15"/>
        <v>3.0019706240650621E-2</v>
      </c>
    </row>
    <row r="911" spans="2:8" x14ac:dyDescent="0.2">
      <c r="B911" s="5">
        <v>44784</v>
      </c>
      <c r="C911" s="6" t="s">
        <v>16</v>
      </c>
      <c r="D911" s="7">
        <v>14.64</v>
      </c>
      <c r="E911" s="7">
        <v>14.64</v>
      </c>
      <c r="F911" s="7">
        <v>14.65</v>
      </c>
      <c r="G911" s="7">
        <v>14.5</v>
      </c>
      <c r="H911" s="8">
        <f t="shared" si="15"/>
        <v>6.8540364277922131E-3</v>
      </c>
    </row>
    <row r="912" spans="2:8" x14ac:dyDescent="0.2">
      <c r="B912" s="5">
        <v>44785</v>
      </c>
      <c r="C912" s="6" t="s">
        <v>16</v>
      </c>
      <c r="D912" s="7">
        <v>14.82</v>
      </c>
      <c r="E912" s="7">
        <v>14.82</v>
      </c>
      <c r="F912" s="7">
        <v>14.9</v>
      </c>
      <c r="G912" s="7">
        <v>14.73</v>
      </c>
      <c r="H912" s="8">
        <f t="shared" si="15"/>
        <v>1.2220111334775397E-2</v>
      </c>
    </row>
    <row r="913" spans="2:8" x14ac:dyDescent="0.2">
      <c r="B913" s="5">
        <v>44786</v>
      </c>
      <c r="C913" s="6" t="s">
        <v>16</v>
      </c>
      <c r="D913" s="7">
        <v>14.71</v>
      </c>
      <c r="E913" s="7">
        <v>14.71</v>
      </c>
      <c r="F913" s="7">
        <v>14.8</v>
      </c>
      <c r="G913" s="7">
        <v>14.65</v>
      </c>
      <c r="H913" s="8">
        <f t="shared" si="15"/>
        <v>-7.4500852545946938E-3</v>
      </c>
    </row>
    <row r="914" spans="2:8" x14ac:dyDescent="0.2">
      <c r="B914" s="5">
        <v>44787</v>
      </c>
      <c r="C914" s="6" t="s">
        <v>16</v>
      </c>
      <c r="D914" s="7">
        <v>14.55</v>
      </c>
      <c r="E914" s="7">
        <v>14.55</v>
      </c>
      <c r="F914" s="7">
        <v>14.92</v>
      </c>
      <c r="G914" s="7">
        <v>14.49</v>
      </c>
      <c r="H914" s="8">
        <f t="shared" si="15"/>
        <v>-1.0936540995844676E-2</v>
      </c>
    </row>
    <row r="915" spans="2:8" x14ac:dyDescent="0.2">
      <c r="B915" s="5">
        <v>44790</v>
      </c>
      <c r="C915" s="6" t="s">
        <v>16</v>
      </c>
      <c r="D915" s="7">
        <v>14.63</v>
      </c>
      <c r="E915" s="7">
        <v>14.63</v>
      </c>
      <c r="F915" s="7">
        <v>14.71</v>
      </c>
      <c r="G915" s="7">
        <v>14.59</v>
      </c>
      <c r="H915" s="8">
        <f t="shared" si="15"/>
        <v>5.4832214145314013E-3</v>
      </c>
    </row>
    <row r="916" spans="2:8" x14ac:dyDescent="0.2">
      <c r="B916" s="5">
        <v>44791</v>
      </c>
      <c r="C916" s="6" t="s">
        <v>16</v>
      </c>
      <c r="D916" s="7">
        <v>14.21</v>
      </c>
      <c r="E916" s="7">
        <v>14.21</v>
      </c>
      <c r="F916" s="7">
        <v>14.25</v>
      </c>
      <c r="G916" s="7">
        <v>14.06</v>
      </c>
      <c r="H916" s="8">
        <f t="shared" si="15"/>
        <v>-2.9128272923023713E-2</v>
      </c>
    </row>
    <row r="917" spans="2:8" x14ac:dyDescent="0.2">
      <c r="B917" s="5">
        <v>44792</v>
      </c>
      <c r="C917" s="6" t="s">
        <v>16</v>
      </c>
      <c r="D917" s="7">
        <v>14.57</v>
      </c>
      <c r="E917" s="7">
        <v>14.57</v>
      </c>
      <c r="F917" s="7">
        <v>14.66</v>
      </c>
      <c r="G917" s="7">
        <v>14.4</v>
      </c>
      <c r="H917" s="8">
        <f t="shared" si="15"/>
        <v>2.5018678098104104E-2</v>
      </c>
    </row>
    <row r="918" spans="2:8" x14ac:dyDescent="0.2">
      <c r="B918" s="5">
        <v>44793</v>
      </c>
      <c r="C918" s="6" t="s">
        <v>16</v>
      </c>
      <c r="D918" s="7">
        <v>14.78</v>
      </c>
      <c r="E918" s="7">
        <v>14.78</v>
      </c>
      <c r="F918" s="7">
        <v>14.89</v>
      </c>
      <c r="G918" s="7">
        <v>14.77</v>
      </c>
      <c r="H918" s="8">
        <f t="shared" si="15"/>
        <v>1.4310295312942112E-2</v>
      </c>
    </row>
    <row r="919" spans="2:8" x14ac:dyDescent="0.2">
      <c r="B919" s="5">
        <v>44794</v>
      </c>
      <c r="C919" s="6" t="s">
        <v>16</v>
      </c>
      <c r="D919" s="7">
        <v>14.61</v>
      </c>
      <c r="E919" s="7">
        <v>14.61</v>
      </c>
      <c r="F919" s="7">
        <v>14.73</v>
      </c>
      <c r="G919" s="7">
        <v>14.45</v>
      </c>
      <c r="H919" s="8">
        <f t="shared" si="15"/>
        <v>-1.1568689757447596E-2</v>
      </c>
    </row>
    <row r="920" spans="2:8" x14ac:dyDescent="0.2">
      <c r="B920" s="5">
        <v>44797</v>
      </c>
      <c r="C920" s="6" t="s">
        <v>16</v>
      </c>
      <c r="D920" s="7">
        <v>14.13</v>
      </c>
      <c r="E920" s="7">
        <v>14.13</v>
      </c>
      <c r="F920" s="7">
        <v>14.46</v>
      </c>
      <c r="G920" s="7">
        <v>14.02</v>
      </c>
      <c r="H920" s="8">
        <f t="shared" si="15"/>
        <v>-3.3406029066171974E-2</v>
      </c>
    </row>
    <row r="921" spans="2:8" x14ac:dyDescent="0.2">
      <c r="B921" s="5">
        <v>44798</v>
      </c>
      <c r="C921" s="6" t="s">
        <v>16</v>
      </c>
      <c r="D921" s="7">
        <v>13.99</v>
      </c>
      <c r="E921" s="7">
        <v>13.99</v>
      </c>
      <c r="F921" s="7">
        <v>14.15</v>
      </c>
      <c r="G921" s="7">
        <v>13.91</v>
      </c>
      <c r="H921" s="8">
        <f t="shared" si="15"/>
        <v>-9.9574080190463002E-3</v>
      </c>
    </row>
    <row r="922" spans="2:8" x14ac:dyDescent="0.2">
      <c r="B922" s="5">
        <v>44799</v>
      </c>
      <c r="C922" s="6" t="s">
        <v>16</v>
      </c>
      <c r="D922" s="7">
        <v>13.56</v>
      </c>
      <c r="E922" s="7">
        <v>13.56</v>
      </c>
      <c r="F922" s="7">
        <v>13.58</v>
      </c>
      <c r="G922" s="7">
        <v>13.35</v>
      </c>
      <c r="H922" s="8">
        <f t="shared" si="15"/>
        <v>-3.1218506165140266E-2</v>
      </c>
    </row>
    <row r="923" spans="2:8" x14ac:dyDescent="0.2">
      <c r="B923" s="5">
        <v>44800</v>
      </c>
      <c r="C923" s="6" t="s">
        <v>16</v>
      </c>
      <c r="D923" s="7">
        <v>13.8</v>
      </c>
      <c r="E923" s="7">
        <v>13.8</v>
      </c>
      <c r="F923" s="7">
        <v>13.96</v>
      </c>
      <c r="G923" s="7">
        <v>13.52</v>
      </c>
      <c r="H923" s="8">
        <f t="shared" si="15"/>
        <v>1.7544309650909525E-2</v>
      </c>
    </row>
    <row r="924" spans="2:8" x14ac:dyDescent="0.2">
      <c r="B924" s="5">
        <v>44801</v>
      </c>
      <c r="C924" s="6" t="s">
        <v>16</v>
      </c>
      <c r="D924" s="7">
        <v>13.92</v>
      </c>
      <c r="E924" s="7">
        <v>13.92</v>
      </c>
      <c r="F924" s="7">
        <v>14.03</v>
      </c>
      <c r="G924" s="7">
        <v>13.8</v>
      </c>
      <c r="H924" s="8">
        <f t="shared" si="15"/>
        <v>8.6580627431145311E-3</v>
      </c>
    </row>
    <row r="925" spans="2:8" x14ac:dyDescent="0.2">
      <c r="B925" s="5">
        <v>44804</v>
      </c>
      <c r="C925" s="6" t="s">
        <v>16</v>
      </c>
      <c r="D925" s="7">
        <v>13.99</v>
      </c>
      <c r="E925" s="7">
        <v>13.99</v>
      </c>
      <c r="F925" s="7">
        <v>14.03</v>
      </c>
      <c r="G925" s="7">
        <v>13.76</v>
      </c>
      <c r="H925" s="8">
        <f t="shared" si="15"/>
        <v>5.0161337711161786E-3</v>
      </c>
    </row>
    <row r="926" spans="2:8" x14ac:dyDescent="0.2">
      <c r="B926" s="5">
        <v>44805</v>
      </c>
      <c r="C926" s="6" t="s">
        <v>16</v>
      </c>
      <c r="D926" s="7">
        <v>13.94</v>
      </c>
      <c r="E926" s="7">
        <v>13.94</v>
      </c>
      <c r="F926" s="7">
        <v>14.03</v>
      </c>
      <c r="G926" s="7">
        <v>13.86</v>
      </c>
      <c r="H926" s="8">
        <f t="shared" si="15"/>
        <v>-3.580383345012087E-3</v>
      </c>
    </row>
    <row r="927" spans="2:8" x14ac:dyDescent="0.2">
      <c r="B927" s="5">
        <v>44806</v>
      </c>
      <c r="C927" s="6" t="s">
        <v>16</v>
      </c>
      <c r="D927" s="7">
        <v>14.02</v>
      </c>
      <c r="E927" s="7">
        <v>14.02</v>
      </c>
      <c r="F927" s="7">
        <v>14.17</v>
      </c>
      <c r="G927" s="7">
        <v>13.79</v>
      </c>
      <c r="H927" s="8">
        <f t="shared" si="15"/>
        <v>5.7224762740663154E-3</v>
      </c>
    </row>
    <row r="928" spans="2:8" x14ac:dyDescent="0.2">
      <c r="B928" s="5">
        <v>44807</v>
      </c>
      <c r="C928" s="6" t="s">
        <v>16</v>
      </c>
      <c r="D928" s="7">
        <v>14.02</v>
      </c>
      <c r="E928" s="7">
        <v>14.02</v>
      </c>
      <c r="F928" s="7">
        <v>14.29</v>
      </c>
      <c r="G928" s="7">
        <v>13.95</v>
      </c>
      <c r="H928" s="8">
        <f t="shared" si="15"/>
        <v>0</v>
      </c>
    </row>
    <row r="929" spans="2:8" x14ac:dyDescent="0.2">
      <c r="B929" s="5">
        <v>44808</v>
      </c>
      <c r="C929" s="6" t="s">
        <v>16</v>
      </c>
      <c r="D929" s="7">
        <v>13.92</v>
      </c>
      <c r="E929" s="7">
        <v>13.92</v>
      </c>
      <c r="F929" s="7">
        <v>13.96</v>
      </c>
      <c r="G929" s="7">
        <v>13.86</v>
      </c>
      <c r="H929" s="8">
        <f t="shared" si="15"/>
        <v>-7.1582267001703646E-3</v>
      </c>
    </row>
    <row r="930" spans="2:8" x14ac:dyDescent="0.2">
      <c r="B930" s="5">
        <v>44812</v>
      </c>
      <c r="C930" s="6" t="s">
        <v>16</v>
      </c>
      <c r="D930" s="7">
        <v>14.12</v>
      </c>
      <c r="E930" s="7">
        <v>14.12</v>
      </c>
      <c r="F930" s="7">
        <v>14.22</v>
      </c>
      <c r="G930" s="7">
        <v>13.94</v>
      </c>
      <c r="H930" s="8">
        <f t="shared" si="15"/>
        <v>1.4265577158822439E-2</v>
      </c>
    </row>
    <row r="931" spans="2:8" x14ac:dyDescent="0.2">
      <c r="B931" s="5">
        <v>44813</v>
      </c>
      <c r="C931" s="6" t="s">
        <v>16</v>
      </c>
      <c r="D931" s="7">
        <v>13.93</v>
      </c>
      <c r="E931" s="7">
        <v>13.93</v>
      </c>
      <c r="F931" s="7">
        <v>14.08</v>
      </c>
      <c r="G931" s="7">
        <v>13.92</v>
      </c>
      <c r="H931" s="8">
        <f t="shared" si="15"/>
        <v>-1.3547444273381674E-2</v>
      </c>
    </row>
    <row r="932" spans="2:8" x14ac:dyDescent="0.2">
      <c r="B932" s="5">
        <v>44814</v>
      </c>
      <c r="C932" s="6" t="s">
        <v>16</v>
      </c>
      <c r="D932" s="7">
        <v>13.99</v>
      </c>
      <c r="E932" s="7">
        <v>13.99</v>
      </c>
      <c r="F932" s="7">
        <v>14.16</v>
      </c>
      <c r="G932" s="7">
        <v>13.97</v>
      </c>
      <c r="H932" s="8">
        <f t="shared" si="15"/>
        <v>4.2980008856754615E-3</v>
      </c>
    </row>
    <row r="933" spans="2:8" x14ac:dyDescent="0.2">
      <c r="B933" s="5">
        <v>44815</v>
      </c>
      <c r="C933" s="6" t="s">
        <v>16</v>
      </c>
      <c r="D933" s="7">
        <v>13.95</v>
      </c>
      <c r="E933" s="7">
        <v>13.95</v>
      </c>
      <c r="F933" s="7">
        <v>13.98</v>
      </c>
      <c r="G933" s="7">
        <v>13.64</v>
      </c>
      <c r="H933" s="8">
        <f t="shared" si="15"/>
        <v>-2.8632804100152337E-3</v>
      </c>
    </row>
    <row r="934" spans="2:8" x14ac:dyDescent="0.2">
      <c r="B934" s="5">
        <v>44818</v>
      </c>
      <c r="C934" s="6" t="s">
        <v>16</v>
      </c>
      <c r="D934" s="7">
        <v>13.79</v>
      </c>
      <c r="E934" s="7">
        <v>13.79</v>
      </c>
      <c r="F934" s="7">
        <v>13.81</v>
      </c>
      <c r="G934" s="7">
        <v>13.7</v>
      </c>
      <c r="H934" s="8">
        <f t="shared" si="15"/>
        <v>-1.1535816462164233E-2</v>
      </c>
    </row>
    <row r="935" spans="2:8" x14ac:dyDescent="0.2">
      <c r="B935" s="5">
        <v>44819</v>
      </c>
      <c r="C935" s="6" t="s">
        <v>16</v>
      </c>
      <c r="D935" s="7">
        <v>13.77</v>
      </c>
      <c r="E935" s="7">
        <v>13.77</v>
      </c>
      <c r="F935" s="7">
        <v>13.78</v>
      </c>
      <c r="G935" s="7">
        <v>13.67</v>
      </c>
      <c r="H935" s="8">
        <f t="shared" si="15"/>
        <v>-1.4513790646469864E-3</v>
      </c>
    </row>
    <row r="936" spans="2:8" x14ac:dyDescent="0.2">
      <c r="B936" s="5">
        <v>44820</v>
      </c>
      <c r="C936" s="6" t="s">
        <v>16</v>
      </c>
      <c r="D936" s="7">
        <v>14.22</v>
      </c>
      <c r="E936" s="7">
        <v>14.22</v>
      </c>
      <c r="F936" s="7">
        <v>14.29</v>
      </c>
      <c r="G936" s="7">
        <v>14.04</v>
      </c>
      <c r="H936" s="8">
        <f t="shared" si="15"/>
        <v>3.2157111634531443E-2</v>
      </c>
    </row>
    <row r="937" spans="2:8" x14ac:dyDescent="0.2">
      <c r="B937" s="5">
        <v>44821</v>
      </c>
      <c r="C937" s="6" t="s">
        <v>16</v>
      </c>
      <c r="D937" s="7">
        <v>14.42</v>
      </c>
      <c r="E937" s="7">
        <v>14.42</v>
      </c>
      <c r="F937" s="7">
        <v>14.58</v>
      </c>
      <c r="G937" s="7">
        <v>14.21</v>
      </c>
      <c r="H937" s="8">
        <f t="shared" si="15"/>
        <v>1.3966707481708102E-2</v>
      </c>
    </row>
    <row r="938" spans="2:8" x14ac:dyDescent="0.2">
      <c r="B938" s="5">
        <v>44822</v>
      </c>
      <c r="C938" s="6" t="s">
        <v>16</v>
      </c>
      <c r="D938" s="7">
        <v>14.47</v>
      </c>
      <c r="E938" s="7">
        <v>14.47</v>
      </c>
      <c r="F938" s="7">
        <v>14.62</v>
      </c>
      <c r="G938" s="7">
        <v>14.41</v>
      </c>
      <c r="H938" s="8">
        <f t="shared" si="15"/>
        <v>3.4614087865894746E-3</v>
      </c>
    </row>
    <row r="939" spans="2:8" x14ac:dyDescent="0.2">
      <c r="B939" s="5">
        <v>44825</v>
      </c>
      <c r="C939" s="6" t="s">
        <v>16</v>
      </c>
      <c r="D939" s="7">
        <v>14.49</v>
      </c>
      <c r="E939" s="7">
        <v>14.49</v>
      </c>
      <c r="F939" s="7">
        <v>14.56</v>
      </c>
      <c r="G939" s="7">
        <v>14.47</v>
      </c>
      <c r="H939" s="8">
        <f t="shared" si="15"/>
        <v>1.3812156891984332E-3</v>
      </c>
    </row>
    <row r="940" spans="2:8" x14ac:dyDescent="0.2">
      <c r="B940" s="5">
        <v>44826</v>
      </c>
      <c r="C940" s="6" t="s">
        <v>16</v>
      </c>
      <c r="D940" s="7">
        <v>14.14</v>
      </c>
      <c r="E940" s="7">
        <v>14.14</v>
      </c>
      <c r="F940" s="7">
        <v>14.16</v>
      </c>
      <c r="G940" s="7">
        <v>14.07</v>
      </c>
      <c r="H940" s="8">
        <f t="shared" si="15"/>
        <v>-2.4451095864164309E-2</v>
      </c>
    </row>
    <row r="941" spans="2:8" x14ac:dyDescent="0.2">
      <c r="B941" s="5">
        <v>44827</v>
      </c>
      <c r="C941" s="6" t="s">
        <v>16</v>
      </c>
      <c r="D941" s="7">
        <v>14.12</v>
      </c>
      <c r="E941" s="7">
        <v>14.12</v>
      </c>
      <c r="F941" s="7">
        <v>14.26</v>
      </c>
      <c r="G941" s="7">
        <v>14.1</v>
      </c>
      <c r="H941" s="8">
        <f t="shared" si="15"/>
        <v>-1.415428403330728E-3</v>
      </c>
    </row>
    <row r="942" spans="2:8" x14ac:dyDescent="0.2">
      <c r="B942" s="5">
        <v>44828</v>
      </c>
      <c r="C942" s="6" t="s">
        <v>16</v>
      </c>
      <c r="D942" s="7">
        <v>14.44</v>
      </c>
      <c r="E942" s="7">
        <v>14.44</v>
      </c>
      <c r="F942" s="7">
        <v>14.51</v>
      </c>
      <c r="G942" s="7">
        <v>14.21</v>
      </c>
      <c r="H942" s="8">
        <f t="shared" si="15"/>
        <v>2.2409901399584108E-2</v>
      </c>
    </row>
    <row r="943" spans="2:8" x14ac:dyDescent="0.2">
      <c r="B943" s="5">
        <v>44829</v>
      </c>
      <c r="C943" s="6" t="s">
        <v>16</v>
      </c>
      <c r="D943" s="7">
        <v>14.4</v>
      </c>
      <c r="E943" s="7">
        <v>14.4</v>
      </c>
      <c r="F943" s="7">
        <v>14.51</v>
      </c>
      <c r="G943" s="7">
        <v>14.35</v>
      </c>
      <c r="H943" s="8">
        <f t="shared" si="15"/>
        <v>-2.7739268827252079E-3</v>
      </c>
    </row>
    <row r="944" spans="2:8" x14ac:dyDescent="0.2">
      <c r="B944" s="5">
        <v>44832</v>
      </c>
      <c r="C944" s="6" t="s">
        <v>16</v>
      </c>
      <c r="D944" s="7">
        <v>13.94</v>
      </c>
      <c r="E944" s="7">
        <v>13.94</v>
      </c>
      <c r="F944" s="7">
        <v>13.99</v>
      </c>
      <c r="G944" s="7">
        <v>13.85</v>
      </c>
      <c r="H944" s="8">
        <f t="shared" si="15"/>
        <v>-3.2465801249577222E-2</v>
      </c>
    </row>
    <row r="945" spans="2:8" x14ac:dyDescent="0.2">
      <c r="B945" s="5">
        <v>44833</v>
      </c>
      <c r="C945" s="6" t="s">
        <v>16</v>
      </c>
      <c r="D945" s="7">
        <v>13.97</v>
      </c>
      <c r="E945" s="7">
        <v>13.97</v>
      </c>
      <c r="F945" s="7">
        <v>14.06</v>
      </c>
      <c r="G945" s="7">
        <v>13.9</v>
      </c>
      <c r="H945" s="8">
        <f t="shared" si="15"/>
        <v>2.1497679364926646E-3</v>
      </c>
    </row>
    <row r="946" spans="2:8" x14ac:dyDescent="0.2">
      <c r="B946" s="5">
        <v>44834</v>
      </c>
      <c r="C946" s="6" t="s">
        <v>16</v>
      </c>
      <c r="D946" s="7">
        <v>13.87</v>
      </c>
      <c r="E946" s="7">
        <v>13.87</v>
      </c>
      <c r="F946" s="7">
        <v>14.09</v>
      </c>
      <c r="G946" s="7">
        <v>13.81</v>
      </c>
      <c r="H946" s="8">
        <f t="shared" si="15"/>
        <v>-7.1839389421302765E-3</v>
      </c>
    </row>
    <row r="947" spans="2:8" x14ac:dyDescent="0.2">
      <c r="B947" s="5">
        <v>44835</v>
      </c>
      <c r="C947" s="6" t="s">
        <v>16</v>
      </c>
      <c r="D947" s="7">
        <v>13.9</v>
      </c>
      <c r="E947" s="7">
        <v>13.9</v>
      </c>
      <c r="F947" s="7">
        <v>14.04</v>
      </c>
      <c r="G947" s="7">
        <v>13.83</v>
      </c>
      <c r="H947" s="8">
        <f t="shared" si="15"/>
        <v>2.1606058099059074E-3</v>
      </c>
    </row>
    <row r="948" spans="2:8" x14ac:dyDescent="0.2">
      <c r="B948" s="5">
        <v>44836</v>
      </c>
      <c r="C948" s="6" t="s">
        <v>16</v>
      </c>
      <c r="D948" s="7">
        <v>14.55</v>
      </c>
      <c r="E948" s="7">
        <v>14.55</v>
      </c>
      <c r="F948" s="7">
        <v>14.61</v>
      </c>
      <c r="G948" s="7">
        <v>14.2</v>
      </c>
      <c r="H948" s="8">
        <f t="shared" si="15"/>
        <v>4.5702153480855379E-2</v>
      </c>
    </row>
    <row r="949" spans="2:8" x14ac:dyDescent="0.2">
      <c r="B949" s="5">
        <v>44839</v>
      </c>
      <c r="C949" s="6" t="s">
        <v>16</v>
      </c>
      <c r="D949" s="7">
        <v>14.89</v>
      </c>
      <c r="E949" s="7">
        <v>14.89</v>
      </c>
      <c r="F949" s="7">
        <v>15</v>
      </c>
      <c r="G949" s="7">
        <v>14.77</v>
      </c>
      <c r="H949" s="8">
        <f t="shared" si="15"/>
        <v>2.3098853078416016E-2</v>
      </c>
    </row>
    <row r="950" spans="2:8" x14ac:dyDescent="0.2">
      <c r="B950" s="5">
        <v>44840</v>
      </c>
      <c r="C950" s="6" t="s">
        <v>16</v>
      </c>
      <c r="D950" s="7">
        <v>15.07</v>
      </c>
      <c r="E950" s="7">
        <v>15.07</v>
      </c>
      <c r="F950" s="7">
        <v>15.35</v>
      </c>
      <c r="G950" s="7">
        <v>15.06</v>
      </c>
      <c r="H950" s="8">
        <f t="shared" si="15"/>
        <v>1.2016165942486398E-2</v>
      </c>
    </row>
    <row r="951" spans="2:8" x14ac:dyDescent="0.2">
      <c r="B951" s="5">
        <v>44841</v>
      </c>
      <c r="C951" s="6" t="s">
        <v>16</v>
      </c>
      <c r="D951" s="7">
        <v>15.29</v>
      </c>
      <c r="E951" s="7">
        <v>15.29</v>
      </c>
      <c r="F951" s="7">
        <v>15.38</v>
      </c>
      <c r="G951" s="7">
        <v>15.14</v>
      </c>
      <c r="H951" s="8">
        <f t="shared" si="15"/>
        <v>1.4493007302566824E-2</v>
      </c>
    </row>
    <row r="952" spans="2:8" x14ac:dyDescent="0.2">
      <c r="B952" s="5">
        <v>44842</v>
      </c>
      <c r="C952" s="6" t="s">
        <v>16</v>
      </c>
      <c r="D952" s="7">
        <v>14.99</v>
      </c>
      <c r="E952" s="7">
        <v>14.99</v>
      </c>
      <c r="F952" s="7">
        <v>15.13</v>
      </c>
      <c r="G952" s="7">
        <v>14.89</v>
      </c>
      <c r="H952" s="8">
        <f t="shared" si="15"/>
        <v>-1.9815707826464503E-2</v>
      </c>
    </row>
    <row r="953" spans="2:8" x14ac:dyDescent="0.2">
      <c r="B953" s="5">
        <v>44843</v>
      </c>
      <c r="C953" s="6" t="s">
        <v>16</v>
      </c>
      <c r="D953" s="7">
        <v>15.12</v>
      </c>
      <c r="E953" s="7">
        <v>15.12</v>
      </c>
      <c r="F953" s="7">
        <v>15.16</v>
      </c>
      <c r="G953" s="7">
        <v>15</v>
      </c>
      <c r="H953" s="8">
        <f t="shared" si="15"/>
        <v>8.6350586368805146E-3</v>
      </c>
    </row>
    <row r="954" spans="2:8" x14ac:dyDescent="0.2">
      <c r="B954" s="5">
        <v>44846</v>
      </c>
      <c r="C954" s="6" t="s">
        <v>16</v>
      </c>
      <c r="D954" s="7">
        <v>15.13</v>
      </c>
      <c r="E954" s="7">
        <v>15.13</v>
      </c>
      <c r="F954" s="7">
        <v>15.33</v>
      </c>
      <c r="G954" s="7">
        <v>15.08</v>
      </c>
      <c r="H954" s="8">
        <f t="shared" si="15"/>
        <v>6.6115704887775666E-4</v>
      </c>
    </row>
    <row r="955" spans="2:8" x14ac:dyDescent="0.2">
      <c r="B955" s="5">
        <v>44847</v>
      </c>
      <c r="C955" s="6" t="s">
        <v>16</v>
      </c>
      <c r="D955" s="7">
        <v>15.16</v>
      </c>
      <c r="E955" s="7">
        <v>15.16</v>
      </c>
      <c r="F955" s="7">
        <v>15.26</v>
      </c>
      <c r="G955" s="7">
        <v>15.15</v>
      </c>
      <c r="H955" s="8">
        <f t="shared" si="15"/>
        <v>1.9808524139610659E-3</v>
      </c>
    </row>
    <row r="956" spans="2:8" x14ac:dyDescent="0.2">
      <c r="B956" s="5">
        <v>44848</v>
      </c>
      <c r="C956" s="6" t="s">
        <v>16</v>
      </c>
      <c r="D956" s="7">
        <v>15.42</v>
      </c>
      <c r="E956" s="7">
        <v>15.42</v>
      </c>
      <c r="F956" s="7">
        <v>15.45</v>
      </c>
      <c r="G956" s="7">
        <v>15.3</v>
      </c>
      <c r="H956" s="8">
        <f t="shared" si="15"/>
        <v>1.7004987920957799E-2</v>
      </c>
    </row>
    <row r="957" spans="2:8" x14ac:dyDescent="0.2">
      <c r="B957" s="5">
        <v>44849</v>
      </c>
      <c r="C957" s="6" t="s">
        <v>16</v>
      </c>
      <c r="D957" s="7">
        <v>15.39</v>
      </c>
      <c r="E957" s="7">
        <v>15.39</v>
      </c>
      <c r="F957" s="7">
        <v>15.45</v>
      </c>
      <c r="G957" s="7">
        <v>15.31</v>
      </c>
      <c r="H957" s="8">
        <f t="shared" si="15"/>
        <v>-1.9474202843955666E-3</v>
      </c>
    </row>
    <row r="958" spans="2:8" x14ac:dyDescent="0.2">
      <c r="B958" s="5">
        <v>44850</v>
      </c>
      <c r="C958" s="6" t="s">
        <v>16</v>
      </c>
      <c r="D958" s="7">
        <v>15.28</v>
      </c>
      <c r="E958" s="7">
        <v>15.28</v>
      </c>
      <c r="F958" s="7">
        <v>15.42</v>
      </c>
      <c r="G958" s="7">
        <v>15.27</v>
      </c>
      <c r="H958" s="8">
        <f t="shared" si="15"/>
        <v>-7.1731641124134797E-3</v>
      </c>
    </row>
    <row r="959" spans="2:8" x14ac:dyDescent="0.2">
      <c r="B959" s="5">
        <v>44853</v>
      </c>
      <c r="C959" s="6" t="s">
        <v>16</v>
      </c>
      <c r="D959" s="7">
        <v>15.11</v>
      </c>
      <c r="E959" s="7">
        <v>15.11</v>
      </c>
      <c r="F959" s="7">
        <v>15.24</v>
      </c>
      <c r="G959" s="7">
        <v>15.02</v>
      </c>
      <c r="H959" s="8">
        <f t="shared" si="15"/>
        <v>-1.1188007453726265E-2</v>
      </c>
    </row>
    <row r="960" spans="2:8" x14ac:dyDescent="0.2">
      <c r="B960" s="5">
        <v>44854</v>
      </c>
      <c r="C960" s="6" t="s">
        <v>16</v>
      </c>
      <c r="D960" s="7">
        <v>15.19</v>
      </c>
      <c r="E960" s="7">
        <v>15.19</v>
      </c>
      <c r="F960" s="7">
        <v>15.23</v>
      </c>
      <c r="G960" s="7">
        <v>15.02</v>
      </c>
      <c r="H960" s="8">
        <f t="shared" si="15"/>
        <v>5.2805403230333503E-3</v>
      </c>
    </row>
    <row r="961" spans="2:8" x14ac:dyDescent="0.2">
      <c r="B961" s="5">
        <v>44855</v>
      </c>
      <c r="C961" s="6" t="s">
        <v>16</v>
      </c>
      <c r="D961" s="7">
        <v>14.99</v>
      </c>
      <c r="E961" s="7">
        <v>14.99</v>
      </c>
      <c r="F961" s="7">
        <v>15.03</v>
      </c>
      <c r="G961" s="7">
        <v>14.91</v>
      </c>
      <c r="H961" s="8">
        <f t="shared" si="15"/>
        <v>-1.3254004493175094E-2</v>
      </c>
    </row>
    <row r="962" spans="2:8" x14ac:dyDescent="0.2">
      <c r="B962" s="5">
        <v>44856</v>
      </c>
      <c r="C962" s="6" t="s">
        <v>16</v>
      </c>
      <c r="D962" s="7">
        <v>15.11</v>
      </c>
      <c r="E962" s="7">
        <v>15.11</v>
      </c>
      <c r="F962" s="7">
        <v>15.19</v>
      </c>
      <c r="G962" s="7">
        <v>15.04</v>
      </c>
      <c r="H962" s="8">
        <f t="shared" si="15"/>
        <v>7.9734641701417319E-3</v>
      </c>
    </row>
    <row r="963" spans="2:8" x14ac:dyDescent="0.2">
      <c r="B963" s="5">
        <v>44857</v>
      </c>
      <c r="C963" s="6" t="s">
        <v>16</v>
      </c>
      <c r="D963" s="7">
        <v>15.12</v>
      </c>
      <c r="E963" s="7">
        <v>15.12</v>
      </c>
      <c r="F963" s="7">
        <v>15.16</v>
      </c>
      <c r="G963" s="7">
        <v>14.99</v>
      </c>
      <c r="H963" s="8">
        <f t="shared" si="15"/>
        <v>6.6159446673871847E-4</v>
      </c>
    </row>
    <row r="964" spans="2:8" x14ac:dyDescent="0.2">
      <c r="B964" s="5">
        <v>44860</v>
      </c>
      <c r="C964" s="6" t="s">
        <v>16</v>
      </c>
      <c r="D964" s="7">
        <v>15.11</v>
      </c>
      <c r="E964" s="7">
        <v>15.11</v>
      </c>
      <c r="F964" s="7">
        <v>15.23</v>
      </c>
      <c r="G964" s="7">
        <v>15.11</v>
      </c>
      <c r="H964" s="8">
        <f t="shared" ref="H964:H1027" si="16">IF(C964=C963, LN(E964/E963), "")</f>
        <v>-6.6159446673877301E-4</v>
      </c>
    </row>
    <row r="965" spans="2:8" x14ac:dyDescent="0.2">
      <c r="B965" s="5">
        <v>44861</v>
      </c>
      <c r="C965" s="6" t="s">
        <v>16</v>
      </c>
      <c r="D965" s="7">
        <v>15.13</v>
      </c>
      <c r="E965" s="7">
        <v>15.13</v>
      </c>
      <c r="F965" s="7">
        <v>15.21</v>
      </c>
      <c r="G965" s="7">
        <v>15.07</v>
      </c>
      <c r="H965" s="8">
        <f t="shared" si="16"/>
        <v>1.3227515156165315E-3</v>
      </c>
    </row>
    <row r="966" spans="2:8" x14ac:dyDescent="0.2">
      <c r="B966" s="5">
        <v>44862</v>
      </c>
      <c r="C966" s="6" t="s">
        <v>16</v>
      </c>
      <c r="D966" s="7">
        <v>15.26</v>
      </c>
      <c r="E966" s="7">
        <v>15.26</v>
      </c>
      <c r="F966" s="7">
        <v>15.6</v>
      </c>
      <c r="G966" s="7">
        <v>15</v>
      </c>
      <c r="H966" s="8">
        <f t="shared" si="16"/>
        <v>8.5554980560463272E-3</v>
      </c>
    </row>
    <row r="967" spans="2:8" x14ac:dyDescent="0.2">
      <c r="B967" s="5">
        <v>44863</v>
      </c>
      <c r="C967" s="6" t="s">
        <v>16</v>
      </c>
      <c r="D967" s="7">
        <v>14.88</v>
      </c>
      <c r="E967" s="7">
        <v>14.88</v>
      </c>
      <c r="F967" s="7">
        <v>15.06</v>
      </c>
      <c r="G967" s="7">
        <v>14.82</v>
      </c>
      <c r="H967" s="8">
        <f t="shared" si="16"/>
        <v>-2.5216996451365034E-2</v>
      </c>
    </row>
    <row r="968" spans="2:8" x14ac:dyDescent="0.2">
      <c r="B968" s="5">
        <v>44864</v>
      </c>
      <c r="C968" s="6" t="s">
        <v>16</v>
      </c>
      <c r="D968" s="7">
        <v>14.8</v>
      </c>
      <c r="E968" s="7">
        <v>14.8</v>
      </c>
      <c r="F968" s="7">
        <v>14.88</v>
      </c>
      <c r="G968" s="7">
        <v>14.77</v>
      </c>
      <c r="H968" s="8">
        <f t="shared" si="16"/>
        <v>-5.3908486348764233E-3</v>
      </c>
    </row>
    <row r="969" spans="2:8" x14ac:dyDescent="0.2">
      <c r="B969" s="5">
        <v>44867</v>
      </c>
      <c r="C969" s="6" t="s">
        <v>16</v>
      </c>
      <c r="D969" s="7">
        <v>14.72</v>
      </c>
      <c r="E969" s="7">
        <v>14.72</v>
      </c>
      <c r="F969" s="7">
        <v>14.75</v>
      </c>
      <c r="G969" s="7">
        <v>14.56</v>
      </c>
      <c r="H969" s="8">
        <f t="shared" si="16"/>
        <v>-5.4200674693392556E-3</v>
      </c>
    </row>
    <row r="970" spans="2:8" x14ac:dyDescent="0.2">
      <c r="B970" s="5">
        <v>44868</v>
      </c>
      <c r="C970" s="6" t="s">
        <v>16</v>
      </c>
      <c r="D970" s="7">
        <v>14.58</v>
      </c>
      <c r="E970" s="7">
        <v>14.58</v>
      </c>
      <c r="F970" s="7">
        <v>14.64</v>
      </c>
      <c r="G970" s="7">
        <v>14.52</v>
      </c>
      <c r="H970" s="8">
        <f t="shared" si="16"/>
        <v>-9.556386720218104E-3</v>
      </c>
    </row>
    <row r="971" spans="2:8" x14ac:dyDescent="0.2">
      <c r="B971" s="5">
        <v>44869</v>
      </c>
      <c r="C971" s="6" t="s">
        <v>16</v>
      </c>
      <c r="D971" s="7">
        <v>14.38</v>
      </c>
      <c r="E971" s="7">
        <v>14.38</v>
      </c>
      <c r="F971" s="7">
        <v>14.58</v>
      </c>
      <c r="G971" s="7">
        <v>14.38</v>
      </c>
      <c r="H971" s="8">
        <f t="shared" si="16"/>
        <v>-1.3812374287611359E-2</v>
      </c>
    </row>
    <row r="972" spans="2:8" x14ac:dyDescent="0.2">
      <c r="B972" s="5">
        <v>44870</v>
      </c>
      <c r="C972" s="6" t="s">
        <v>16</v>
      </c>
      <c r="D972" s="7">
        <v>14.3</v>
      </c>
      <c r="E972" s="7">
        <v>14.3</v>
      </c>
      <c r="F972" s="7">
        <v>14.38</v>
      </c>
      <c r="G972" s="7">
        <v>14.25</v>
      </c>
      <c r="H972" s="8">
        <f t="shared" si="16"/>
        <v>-5.5788150270389978E-3</v>
      </c>
    </row>
    <row r="973" spans="2:8" x14ac:dyDescent="0.2">
      <c r="B973" s="5">
        <v>44871</v>
      </c>
      <c r="C973" s="6" t="s">
        <v>16</v>
      </c>
      <c r="D973" s="7">
        <v>14.08</v>
      </c>
      <c r="E973" s="7">
        <v>14.08</v>
      </c>
      <c r="F973" s="7">
        <v>14.13</v>
      </c>
      <c r="G973" s="7">
        <v>14.04</v>
      </c>
      <c r="H973" s="8">
        <f t="shared" si="16"/>
        <v>-1.5504186535965312E-2</v>
      </c>
    </row>
    <row r="974" spans="2:8" x14ac:dyDescent="0.2">
      <c r="B974" s="5">
        <v>44874</v>
      </c>
      <c r="C974" s="6" t="s">
        <v>16</v>
      </c>
      <c r="D974" s="7">
        <v>13.89</v>
      </c>
      <c r="E974" s="7">
        <v>13.89</v>
      </c>
      <c r="F974" s="7">
        <v>13.98</v>
      </c>
      <c r="G974" s="7">
        <v>13.78</v>
      </c>
      <c r="H974" s="8">
        <f t="shared" si="16"/>
        <v>-1.3586193963643883E-2</v>
      </c>
    </row>
    <row r="975" spans="2:8" x14ac:dyDescent="0.2">
      <c r="B975" s="5">
        <v>44875</v>
      </c>
      <c r="C975" s="6" t="s">
        <v>16</v>
      </c>
      <c r="D975" s="7">
        <v>13.76</v>
      </c>
      <c r="E975" s="7">
        <v>13.76</v>
      </c>
      <c r="F975" s="7">
        <v>13.8</v>
      </c>
      <c r="G975" s="7">
        <v>13.65</v>
      </c>
      <c r="H975" s="8">
        <f t="shared" si="16"/>
        <v>-9.4033242610548125E-3</v>
      </c>
    </row>
    <row r="976" spans="2:8" x14ac:dyDescent="0.2">
      <c r="B976" s="5">
        <v>44876</v>
      </c>
      <c r="C976" s="6" t="s">
        <v>16</v>
      </c>
      <c r="D976" s="7">
        <v>13.64</v>
      </c>
      <c r="E976" s="7">
        <v>13.64</v>
      </c>
      <c r="F976" s="7">
        <v>13.73</v>
      </c>
      <c r="G976" s="7">
        <v>13.61</v>
      </c>
      <c r="H976" s="8">
        <f t="shared" si="16"/>
        <v>-8.7591800898814652E-3</v>
      </c>
    </row>
    <row r="977" spans="2:8" x14ac:dyDescent="0.2">
      <c r="B977" s="5">
        <v>44877</v>
      </c>
      <c r="C977" s="6" t="s">
        <v>16</v>
      </c>
      <c r="D977" s="7">
        <v>13.64</v>
      </c>
      <c r="E977" s="7">
        <v>13.64</v>
      </c>
      <c r="F977" s="7">
        <v>13.83</v>
      </c>
      <c r="G977" s="7">
        <v>13.54</v>
      </c>
      <c r="H977" s="8">
        <f t="shared" si="16"/>
        <v>0</v>
      </c>
    </row>
    <row r="978" spans="2:8" x14ac:dyDescent="0.2">
      <c r="B978" s="5">
        <v>44878</v>
      </c>
      <c r="C978" s="6" t="s">
        <v>16</v>
      </c>
      <c r="D978" s="7">
        <v>13.59</v>
      </c>
      <c r="E978" s="7">
        <v>13.59</v>
      </c>
      <c r="F978" s="7">
        <v>13.6</v>
      </c>
      <c r="G978" s="7">
        <v>13.53</v>
      </c>
      <c r="H978" s="8">
        <f t="shared" si="16"/>
        <v>-3.672424252263694E-3</v>
      </c>
    </row>
    <row r="979" spans="2:8" x14ac:dyDescent="0.2">
      <c r="B979" s="5">
        <v>44881</v>
      </c>
      <c r="C979" s="6" t="s">
        <v>16</v>
      </c>
      <c r="D979" s="7">
        <v>13.6</v>
      </c>
      <c r="E979" s="7">
        <v>13.6</v>
      </c>
      <c r="F979" s="7">
        <v>13.63</v>
      </c>
      <c r="G979" s="7">
        <v>13.55</v>
      </c>
      <c r="H979" s="8">
        <f t="shared" si="16"/>
        <v>7.3556457895391071E-4</v>
      </c>
    </row>
    <row r="980" spans="2:8" x14ac:dyDescent="0.2">
      <c r="B980" s="5">
        <v>44882</v>
      </c>
      <c r="C980" s="6" t="s">
        <v>16</v>
      </c>
      <c r="D980" s="7">
        <v>13.55</v>
      </c>
      <c r="E980" s="7">
        <v>13.55</v>
      </c>
      <c r="F980" s="7">
        <v>13.63</v>
      </c>
      <c r="G980" s="7">
        <v>13.47</v>
      </c>
      <c r="H980" s="8">
        <f t="shared" si="16"/>
        <v>-3.6832454162962934E-3</v>
      </c>
    </row>
    <row r="981" spans="2:8" x14ac:dyDescent="0.2">
      <c r="B981" s="5">
        <v>44883</v>
      </c>
      <c r="C981" s="6" t="s">
        <v>16</v>
      </c>
      <c r="D981" s="7">
        <v>13.52</v>
      </c>
      <c r="E981" s="7">
        <v>13.52</v>
      </c>
      <c r="F981" s="7">
        <v>13.57</v>
      </c>
      <c r="G981" s="7">
        <v>13.39</v>
      </c>
      <c r="H981" s="8">
        <f t="shared" si="16"/>
        <v>-2.2164767108919558E-3</v>
      </c>
    </row>
    <row r="982" spans="2:8" x14ac:dyDescent="0.2">
      <c r="B982" s="5">
        <v>44884</v>
      </c>
      <c r="C982" s="6" t="s">
        <v>16</v>
      </c>
      <c r="D982" s="7">
        <v>13.62</v>
      </c>
      <c r="E982" s="7">
        <v>13.62</v>
      </c>
      <c r="F982" s="7">
        <v>13.75</v>
      </c>
      <c r="G982" s="7">
        <v>13.59</v>
      </c>
      <c r="H982" s="8">
        <f t="shared" si="16"/>
        <v>7.369230106548148E-3</v>
      </c>
    </row>
    <row r="983" spans="2:8" x14ac:dyDescent="0.2">
      <c r="B983" s="5">
        <v>44885</v>
      </c>
      <c r="C983" s="6" t="s">
        <v>16</v>
      </c>
      <c r="D983" s="7">
        <v>13.5</v>
      </c>
      <c r="E983" s="7">
        <v>13.5</v>
      </c>
      <c r="F983" s="7">
        <v>13.6</v>
      </c>
      <c r="G983" s="7">
        <v>13.43</v>
      </c>
      <c r="H983" s="8">
        <f t="shared" si="16"/>
        <v>-8.8496152769824993E-3</v>
      </c>
    </row>
    <row r="984" spans="2:8" x14ac:dyDescent="0.2">
      <c r="B984" s="5">
        <v>44888</v>
      </c>
      <c r="C984" s="6" t="s">
        <v>16</v>
      </c>
      <c r="D984" s="7">
        <v>13.45</v>
      </c>
      <c r="E984" s="7">
        <v>13.45</v>
      </c>
      <c r="F984" s="7">
        <v>13.55</v>
      </c>
      <c r="G984" s="7">
        <v>13.4</v>
      </c>
      <c r="H984" s="8">
        <f t="shared" si="16"/>
        <v>-3.710579396535713E-3</v>
      </c>
    </row>
    <row r="985" spans="2:8" x14ac:dyDescent="0.2">
      <c r="B985" s="5">
        <v>44889</v>
      </c>
      <c r="C985" s="6" t="s">
        <v>16</v>
      </c>
      <c r="D985" s="7">
        <v>13.51</v>
      </c>
      <c r="E985" s="7">
        <v>13.51</v>
      </c>
      <c r="F985" s="7">
        <v>13.65</v>
      </c>
      <c r="G985" s="7">
        <v>13.5</v>
      </c>
      <c r="H985" s="8">
        <f t="shared" si="16"/>
        <v>4.4510459242595229E-3</v>
      </c>
    </row>
    <row r="986" spans="2:8" x14ac:dyDescent="0.2">
      <c r="B986" s="5">
        <v>44890</v>
      </c>
      <c r="C986" s="6" t="s">
        <v>16</v>
      </c>
      <c r="D986" s="7">
        <v>13.52</v>
      </c>
      <c r="E986" s="7">
        <v>13.52</v>
      </c>
      <c r="F986" s="7">
        <v>13.56</v>
      </c>
      <c r="G986" s="7">
        <v>13.4</v>
      </c>
      <c r="H986" s="8">
        <f t="shared" si="16"/>
        <v>7.3991864271051437E-4</v>
      </c>
    </row>
    <row r="987" spans="2:8" x14ac:dyDescent="0.2">
      <c r="B987" s="5">
        <v>44892</v>
      </c>
      <c r="C987" s="6" t="s">
        <v>16</v>
      </c>
      <c r="D987" s="7">
        <v>13.46</v>
      </c>
      <c r="E987" s="7">
        <v>13.46</v>
      </c>
      <c r="F987" s="7">
        <v>13.51</v>
      </c>
      <c r="G987" s="7">
        <v>13.36</v>
      </c>
      <c r="H987" s="8">
        <f t="shared" si="16"/>
        <v>-4.4477463982361418E-3</v>
      </c>
    </row>
    <row r="988" spans="2:8" x14ac:dyDescent="0.2">
      <c r="B988" s="5">
        <v>44895</v>
      </c>
      <c r="C988" s="6" t="s">
        <v>16</v>
      </c>
      <c r="D988" s="7">
        <v>13.44</v>
      </c>
      <c r="E988" s="7">
        <v>13.44</v>
      </c>
      <c r="F988" s="7">
        <v>13.5</v>
      </c>
      <c r="G988" s="7">
        <v>13.4</v>
      </c>
      <c r="H988" s="8">
        <f t="shared" si="16"/>
        <v>-1.4869891215783669E-3</v>
      </c>
    </row>
    <row r="989" spans="2:8" x14ac:dyDescent="0.2">
      <c r="B989" s="5">
        <v>44896</v>
      </c>
      <c r="C989" s="6" t="s">
        <v>16</v>
      </c>
      <c r="D989" s="7">
        <v>13.51</v>
      </c>
      <c r="E989" s="7">
        <v>13.51</v>
      </c>
      <c r="F989" s="7">
        <v>13.53</v>
      </c>
      <c r="G989" s="7">
        <v>13.43</v>
      </c>
      <c r="H989" s="8">
        <f t="shared" si="16"/>
        <v>5.19481687710393E-3</v>
      </c>
    </row>
    <row r="990" spans="2:8" x14ac:dyDescent="0.2">
      <c r="B990" s="5">
        <v>44897</v>
      </c>
      <c r="C990" s="6" t="s">
        <v>16</v>
      </c>
      <c r="D990" s="7">
        <v>13.37</v>
      </c>
      <c r="E990" s="7">
        <v>13.37</v>
      </c>
      <c r="F990" s="7">
        <v>13.45</v>
      </c>
      <c r="G990" s="7">
        <v>13.28</v>
      </c>
      <c r="H990" s="8">
        <f t="shared" si="16"/>
        <v>-1.0416760858255715E-2</v>
      </c>
    </row>
    <row r="991" spans="2:8" x14ac:dyDescent="0.2">
      <c r="B991" s="5">
        <v>44898</v>
      </c>
      <c r="C991" s="6" t="s">
        <v>16</v>
      </c>
      <c r="D991" s="7">
        <v>13.46</v>
      </c>
      <c r="E991" s="7">
        <v>13.46</v>
      </c>
      <c r="F991" s="7">
        <v>13.51</v>
      </c>
      <c r="G991" s="7">
        <v>13.33</v>
      </c>
      <c r="H991" s="8">
        <f t="shared" si="16"/>
        <v>6.7089331027300608E-3</v>
      </c>
    </row>
    <row r="992" spans="2:8" x14ac:dyDescent="0.2">
      <c r="B992" s="5">
        <v>44899</v>
      </c>
      <c r="C992" s="6" t="s">
        <v>16</v>
      </c>
      <c r="D992" s="7">
        <v>13.87</v>
      </c>
      <c r="E992" s="7">
        <v>13.87</v>
      </c>
      <c r="F992" s="7">
        <v>13.94</v>
      </c>
      <c r="G992" s="7">
        <v>13.63</v>
      </c>
      <c r="H992" s="8">
        <f t="shared" si="16"/>
        <v>3.0005910110158369E-2</v>
      </c>
    </row>
    <row r="993" spans="2:8" x14ac:dyDescent="0.2">
      <c r="B993" s="5">
        <v>44902</v>
      </c>
      <c r="C993" s="6" t="s">
        <v>16</v>
      </c>
      <c r="D993" s="7">
        <v>13.62</v>
      </c>
      <c r="E993" s="7">
        <v>13.62</v>
      </c>
      <c r="F993" s="7">
        <v>13.81</v>
      </c>
      <c r="G993" s="7">
        <v>13.58</v>
      </c>
      <c r="H993" s="8">
        <f t="shared" si="16"/>
        <v>-1.8188933605373967E-2</v>
      </c>
    </row>
    <row r="994" spans="2:8" x14ac:dyDescent="0.2">
      <c r="B994" s="5">
        <v>44903</v>
      </c>
      <c r="C994" s="6" t="s">
        <v>16</v>
      </c>
      <c r="D994" s="7">
        <v>13.51</v>
      </c>
      <c r="E994" s="7">
        <v>13.51</v>
      </c>
      <c r="F994" s="7">
        <v>13.63</v>
      </c>
      <c r="G994" s="7">
        <v>13.46</v>
      </c>
      <c r="H994" s="8">
        <f t="shared" si="16"/>
        <v>-8.1091487492587697E-3</v>
      </c>
    </row>
    <row r="995" spans="2:8" x14ac:dyDescent="0.2">
      <c r="B995" s="5">
        <v>44904</v>
      </c>
      <c r="C995" s="6" t="s">
        <v>16</v>
      </c>
      <c r="D995" s="7">
        <v>13.49</v>
      </c>
      <c r="E995" s="7">
        <v>13.49</v>
      </c>
      <c r="F995" s="7">
        <v>13.66</v>
      </c>
      <c r="G995" s="7">
        <v>13.48</v>
      </c>
      <c r="H995" s="8">
        <f t="shared" si="16"/>
        <v>-1.4814817524429174E-3</v>
      </c>
    </row>
    <row r="996" spans="2:8" x14ac:dyDescent="0.2">
      <c r="B996" s="5">
        <v>44905</v>
      </c>
      <c r="C996" s="6" t="s">
        <v>16</v>
      </c>
      <c r="D996" s="7">
        <v>13.45</v>
      </c>
      <c r="E996" s="7">
        <v>13.45</v>
      </c>
      <c r="F996" s="7">
        <v>13.52</v>
      </c>
      <c r="G996" s="7">
        <v>13.44</v>
      </c>
      <c r="H996" s="8">
        <f t="shared" si="16"/>
        <v>-2.9695641718164318E-3</v>
      </c>
    </row>
    <row r="997" spans="2:8" x14ac:dyDescent="0.2">
      <c r="B997" s="5">
        <v>44906</v>
      </c>
      <c r="C997" s="6" t="s">
        <v>16</v>
      </c>
      <c r="D997" s="7">
        <v>13.3</v>
      </c>
      <c r="E997" s="7">
        <v>13.3</v>
      </c>
      <c r="F997" s="7">
        <v>13.33</v>
      </c>
      <c r="G997" s="7">
        <v>13.16</v>
      </c>
      <c r="H997" s="8">
        <f t="shared" si="16"/>
        <v>-1.1215070820139957E-2</v>
      </c>
    </row>
    <row r="998" spans="2:8" x14ac:dyDescent="0.2">
      <c r="B998" s="5">
        <v>44909</v>
      </c>
      <c r="C998" s="6" t="s">
        <v>16</v>
      </c>
      <c r="D998" s="7">
        <v>13.06</v>
      </c>
      <c r="E998" s="7">
        <v>13.06</v>
      </c>
      <c r="F998" s="7">
        <v>13.19</v>
      </c>
      <c r="G998" s="7">
        <v>13.05</v>
      </c>
      <c r="H998" s="8">
        <f t="shared" si="16"/>
        <v>-1.8209911379423054E-2</v>
      </c>
    </row>
    <row r="999" spans="2:8" x14ac:dyDescent="0.2">
      <c r="B999" s="5">
        <v>44910</v>
      </c>
      <c r="C999" s="6" t="s">
        <v>16</v>
      </c>
      <c r="D999" s="7">
        <v>13.11</v>
      </c>
      <c r="E999" s="7">
        <v>13.11</v>
      </c>
      <c r="F999" s="7">
        <v>13.19</v>
      </c>
      <c r="G999" s="7">
        <v>13.06</v>
      </c>
      <c r="H999" s="8">
        <f t="shared" si="16"/>
        <v>3.8211739273234352E-3</v>
      </c>
    </row>
    <row r="1000" spans="2:8" x14ac:dyDescent="0.2">
      <c r="B1000" s="5">
        <v>44911</v>
      </c>
      <c r="C1000" s="6" t="s">
        <v>16</v>
      </c>
      <c r="D1000" s="7">
        <v>13.49</v>
      </c>
      <c r="E1000" s="7">
        <v>13.49</v>
      </c>
      <c r="F1000" s="7">
        <v>13.64</v>
      </c>
      <c r="G1000" s="7">
        <v>13.33</v>
      </c>
      <c r="H1000" s="8">
        <f t="shared" si="16"/>
        <v>2.8573372444056163E-2</v>
      </c>
    </row>
    <row r="1001" spans="2:8" x14ac:dyDescent="0.2">
      <c r="B1001" s="5">
        <v>44912</v>
      </c>
      <c r="C1001" s="6" t="s">
        <v>16</v>
      </c>
      <c r="D1001" s="7">
        <v>13.08</v>
      </c>
      <c r="E1001" s="7">
        <v>13.08</v>
      </c>
      <c r="F1001" s="7">
        <v>13.2</v>
      </c>
      <c r="G1001" s="7">
        <v>13.04</v>
      </c>
      <c r="H1001" s="8">
        <f t="shared" si="16"/>
        <v>-3.0864324190611914E-2</v>
      </c>
    </row>
    <row r="1002" spans="2:8" x14ac:dyDescent="0.2">
      <c r="B1002" s="5">
        <v>44913</v>
      </c>
      <c r="C1002" s="6" t="s">
        <v>16</v>
      </c>
      <c r="D1002" s="7">
        <v>13.43</v>
      </c>
      <c r="E1002" s="7">
        <v>13.43</v>
      </c>
      <c r="F1002" s="7">
        <v>13.55</v>
      </c>
      <c r="G1002" s="7">
        <v>13.24</v>
      </c>
      <c r="H1002" s="8">
        <f t="shared" si="16"/>
        <v>2.6406664506093643E-2</v>
      </c>
    </row>
    <row r="1003" spans="2:8" x14ac:dyDescent="0.2">
      <c r="B1003" s="5">
        <v>44916</v>
      </c>
      <c r="C1003" s="6" t="s">
        <v>16</v>
      </c>
      <c r="D1003" s="7">
        <v>13.59</v>
      </c>
      <c r="E1003" s="7">
        <v>13.59</v>
      </c>
      <c r="F1003" s="7">
        <v>13.67</v>
      </c>
      <c r="G1003" s="7">
        <v>13.54</v>
      </c>
      <c r="H1003" s="8">
        <f t="shared" si="16"/>
        <v>1.1843217627906187E-2</v>
      </c>
    </row>
    <row r="1004" spans="2:8" x14ac:dyDescent="0.2">
      <c r="B1004" s="5">
        <v>44917</v>
      </c>
      <c r="C1004" s="6" t="s">
        <v>16</v>
      </c>
      <c r="D1004" s="7">
        <v>13.59</v>
      </c>
      <c r="E1004" s="7">
        <v>13.59</v>
      </c>
      <c r="F1004" s="7">
        <v>13.67</v>
      </c>
      <c r="G1004" s="7">
        <v>13.58</v>
      </c>
      <c r="H1004" s="8">
        <f t="shared" si="16"/>
        <v>0</v>
      </c>
    </row>
    <row r="1005" spans="2:8" x14ac:dyDescent="0.2">
      <c r="B1005" s="5">
        <v>44918</v>
      </c>
      <c r="C1005" s="6" t="s">
        <v>16</v>
      </c>
      <c r="D1005" s="7">
        <v>13.62</v>
      </c>
      <c r="E1005" s="7">
        <v>13.62</v>
      </c>
      <c r="F1005" s="7">
        <v>13.68</v>
      </c>
      <c r="G1005" s="7">
        <v>13.54</v>
      </c>
      <c r="H1005" s="8">
        <f t="shared" si="16"/>
        <v>2.2050725583139755E-3</v>
      </c>
    </row>
    <row r="1006" spans="2:8" x14ac:dyDescent="0.2">
      <c r="B1006" s="5">
        <v>44919</v>
      </c>
      <c r="C1006" s="6" t="s">
        <v>16</v>
      </c>
      <c r="D1006" s="7">
        <v>13.69</v>
      </c>
      <c r="E1006" s="7">
        <v>13.69</v>
      </c>
      <c r="F1006" s="7">
        <v>13.72</v>
      </c>
      <c r="G1006" s="7">
        <v>13.66</v>
      </c>
      <c r="H1006" s="8">
        <f t="shared" si="16"/>
        <v>5.1263385789911426E-3</v>
      </c>
    </row>
    <row r="1007" spans="2:8" x14ac:dyDescent="0.2">
      <c r="B1007" s="5">
        <v>44923</v>
      </c>
      <c r="C1007" s="6" t="s">
        <v>16</v>
      </c>
      <c r="D1007" s="7">
        <v>13.29</v>
      </c>
      <c r="E1007" s="7">
        <v>13.29</v>
      </c>
      <c r="F1007" s="7">
        <v>13.4</v>
      </c>
      <c r="G1007" s="7">
        <v>13.22</v>
      </c>
      <c r="H1007" s="8">
        <f t="shared" si="16"/>
        <v>-2.9653766575203539E-2</v>
      </c>
    </row>
    <row r="1008" spans="2:8" x14ac:dyDescent="0.2">
      <c r="B1008" s="5">
        <v>44924</v>
      </c>
      <c r="C1008" s="6" t="s">
        <v>16</v>
      </c>
      <c r="D1008" s="7">
        <v>13.27</v>
      </c>
      <c r="E1008" s="7">
        <v>13.27</v>
      </c>
      <c r="F1008" s="7">
        <v>13.39</v>
      </c>
      <c r="G1008" s="7">
        <v>13.26</v>
      </c>
      <c r="H1008" s="8">
        <f t="shared" si="16"/>
        <v>-1.5060243810377976E-3</v>
      </c>
    </row>
    <row r="1009" spans="2:8" x14ac:dyDescent="0.2">
      <c r="B1009" s="5">
        <v>44925</v>
      </c>
      <c r="C1009" s="6" t="s">
        <v>16</v>
      </c>
      <c r="D1009" s="7">
        <v>13.21</v>
      </c>
      <c r="E1009" s="7">
        <v>13.21</v>
      </c>
      <c r="F1009" s="7">
        <v>13.22</v>
      </c>
      <c r="G1009" s="7">
        <v>13.16</v>
      </c>
      <c r="H1009" s="8">
        <f t="shared" si="16"/>
        <v>-4.5317298098820798E-3</v>
      </c>
    </row>
    <row r="1010" spans="2:8" x14ac:dyDescent="0.2">
      <c r="B1010" s="5">
        <v>44926</v>
      </c>
      <c r="C1010" s="6" t="s">
        <v>16</v>
      </c>
      <c r="D1010" s="7">
        <v>13.19</v>
      </c>
      <c r="E1010" s="7">
        <v>13.19</v>
      </c>
      <c r="F1010" s="7">
        <v>13.25</v>
      </c>
      <c r="G1010" s="7">
        <v>13.16</v>
      </c>
      <c r="H1010" s="8">
        <f t="shared" si="16"/>
        <v>-1.515151805010875E-3</v>
      </c>
    </row>
    <row r="1011" spans="2:8" x14ac:dyDescent="0.2">
      <c r="B1011" s="5">
        <v>44198</v>
      </c>
      <c r="C1011" s="6" t="s">
        <v>17</v>
      </c>
      <c r="D1011" s="7">
        <v>89.870002999999997</v>
      </c>
      <c r="E1011" s="7">
        <v>81.746972</v>
      </c>
      <c r="F1011" s="7">
        <v>90.449996999999996</v>
      </c>
      <c r="G1011" s="7">
        <v>89.330001999999993</v>
      </c>
      <c r="H1011" s="8" t="str">
        <f t="shared" si="16"/>
        <v/>
      </c>
    </row>
    <row r="1012" spans="2:8" x14ac:dyDescent="0.2">
      <c r="B1012" s="5">
        <v>44199</v>
      </c>
      <c r="C1012" s="6" t="s">
        <v>17</v>
      </c>
      <c r="D1012" s="7">
        <v>89.82</v>
      </c>
      <c r="E1012" s="7">
        <v>81.701488999999995</v>
      </c>
      <c r="F1012" s="7">
        <v>90.25</v>
      </c>
      <c r="G1012" s="7">
        <v>89.589995999999999</v>
      </c>
      <c r="H1012" s="8">
        <f t="shared" si="16"/>
        <v>-5.5654242194419544E-4</v>
      </c>
    </row>
    <row r="1013" spans="2:8" x14ac:dyDescent="0.2">
      <c r="B1013" s="5">
        <v>44202</v>
      </c>
      <c r="C1013" s="6" t="s">
        <v>17</v>
      </c>
      <c r="D1013" s="7">
        <v>88.639999000000003</v>
      </c>
      <c r="E1013" s="7">
        <v>80.628144000000006</v>
      </c>
      <c r="F1013" s="7">
        <v>90.300003000000004</v>
      </c>
      <c r="G1013" s="7">
        <v>88.379997000000003</v>
      </c>
      <c r="H1013" s="8">
        <f t="shared" si="16"/>
        <v>-1.3224457209603269E-2</v>
      </c>
    </row>
    <row r="1014" spans="2:8" x14ac:dyDescent="0.2">
      <c r="B1014" s="5">
        <v>44203</v>
      </c>
      <c r="C1014" s="6" t="s">
        <v>17</v>
      </c>
      <c r="D1014" s="7">
        <v>88.93</v>
      </c>
      <c r="E1014" s="7">
        <v>80.891932999999995</v>
      </c>
      <c r="F1014" s="7">
        <v>89.230002999999996</v>
      </c>
      <c r="G1014" s="7">
        <v>88.75</v>
      </c>
      <c r="H1014" s="8">
        <f t="shared" si="16"/>
        <v>3.2663336896371878E-3</v>
      </c>
    </row>
    <row r="1015" spans="2:8" x14ac:dyDescent="0.2">
      <c r="B1015" s="5">
        <v>44204</v>
      </c>
      <c r="C1015" s="6" t="s">
        <v>17</v>
      </c>
      <c r="D1015" s="7">
        <v>89.139999000000003</v>
      </c>
      <c r="E1015" s="7">
        <v>81.082950999999994</v>
      </c>
      <c r="F1015" s="7">
        <v>89.82</v>
      </c>
      <c r="G1015" s="7">
        <v>88.669998000000007</v>
      </c>
      <c r="H1015" s="8">
        <f t="shared" si="16"/>
        <v>2.3586136793119759E-3</v>
      </c>
    </row>
    <row r="1016" spans="2:8" x14ac:dyDescent="0.2">
      <c r="B1016" s="5">
        <v>44205</v>
      </c>
      <c r="C1016" s="6" t="s">
        <v>17</v>
      </c>
      <c r="D1016" s="7">
        <v>89.709998999999996</v>
      </c>
      <c r="E1016" s="7">
        <v>81.601431000000005</v>
      </c>
      <c r="F1016" s="7">
        <v>89.800003000000004</v>
      </c>
      <c r="G1016" s="7">
        <v>88.690002000000007</v>
      </c>
      <c r="H1016" s="8">
        <f t="shared" si="16"/>
        <v>6.3740815075758713E-3</v>
      </c>
    </row>
    <row r="1017" spans="2:8" x14ac:dyDescent="0.2">
      <c r="B1017" s="5">
        <v>44206</v>
      </c>
      <c r="C1017" s="6" t="s">
        <v>17</v>
      </c>
      <c r="D1017" s="7">
        <v>90.510002</v>
      </c>
      <c r="E1017" s="7">
        <v>82.329123999999993</v>
      </c>
      <c r="F1017" s="7">
        <v>90.599997999999999</v>
      </c>
      <c r="G1017" s="7">
        <v>89.290001000000004</v>
      </c>
      <c r="H1017" s="8">
        <f t="shared" si="16"/>
        <v>8.8781225658411955E-3</v>
      </c>
    </row>
    <row r="1018" spans="2:8" x14ac:dyDescent="0.2">
      <c r="B1018" s="5">
        <v>44209</v>
      </c>
      <c r="C1018" s="6" t="s">
        <v>17</v>
      </c>
      <c r="D1018" s="7">
        <v>89.889999000000003</v>
      </c>
      <c r="E1018" s="7">
        <v>81.765161000000006</v>
      </c>
      <c r="F1018" s="7">
        <v>91.260002</v>
      </c>
      <c r="G1018" s="7">
        <v>89.82</v>
      </c>
      <c r="H1018" s="8">
        <f t="shared" si="16"/>
        <v>-6.873672906760637E-3</v>
      </c>
    </row>
    <row r="1019" spans="2:8" x14ac:dyDescent="0.2">
      <c r="B1019" s="5">
        <v>44210</v>
      </c>
      <c r="C1019" s="6" t="s">
        <v>17</v>
      </c>
      <c r="D1019" s="7">
        <v>90.559997999999993</v>
      </c>
      <c r="E1019" s="7">
        <v>82.374600999999998</v>
      </c>
      <c r="F1019" s="7">
        <v>90.709998999999996</v>
      </c>
      <c r="G1019" s="7">
        <v>89.860000999999997</v>
      </c>
      <c r="H1019" s="8">
        <f t="shared" si="16"/>
        <v>7.4259008682802802E-3</v>
      </c>
    </row>
    <row r="1020" spans="2:8" x14ac:dyDescent="0.2">
      <c r="B1020" s="5">
        <v>44211</v>
      </c>
      <c r="C1020" s="6" t="s">
        <v>17</v>
      </c>
      <c r="D1020" s="7">
        <v>92.410004000000001</v>
      </c>
      <c r="E1020" s="7">
        <v>84.057390999999996</v>
      </c>
      <c r="F1020" s="7">
        <v>93.199996999999996</v>
      </c>
      <c r="G1020" s="7">
        <v>90.879997000000003</v>
      </c>
      <c r="H1020" s="8">
        <f t="shared" si="16"/>
        <v>2.0222642632670391E-2</v>
      </c>
    </row>
    <row r="1021" spans="2:8" x14ac:dyDescent="0.2">
      <c r="B1021" s="5">
        <v>44212</v>
      </c>
      <c r="C1021" s="6" t="s">
        <v>17</v>
      </c>
      <c r="D1021" s="7">
        <v>92.010002</v>
      </c>
      <c r="E1021" s="7">
        <v>84.240503000000004</v>
      </c>
      <c r="F1021" s="7">
        <v>92.860000999999997</v>
      </c>
      <c r="G1021" s="7">
        <v>91.699996999999996</v>
      </c>
      <c r="H1021" s="8">
        <f t="shared" si="16"/>
        <v>2.1760471020000269E-3</v>
      </c>
    </row>
    <row r="1022" spans="2:8" x14ac:dyDescent="0.2">
      <c r="B1022" s="5">
        <v>44213</v>
      </c>
      <c r="C1022" s="6" t="s">
        <v>17</v>
      </c>
      <c r="D1022" s="7">
        <v>91.440002000000007</v>
      </c>
      <c r="E1022" s="7">
        <v>83.718635000000006</v>
      </c>
      <c r="F1022" s="7">
        <v>92.260002</v>
      </c>
      <c r="G1022" s="7">
        <v>91.010002</v>
      </c>
      <c r="H1022" s="8">
        <f t="shared" si="16"/>
        <v>-6.2142457459756486E-3</v>
      </c>
    </row>
    <row r="1023" spans="2:8" x14ac:dyDescent="0.2">
      <c r="B1023" s="5">
        <v>44217</v>
      </c>
      <c r="C1023" s="6" t="s">
        <v>17</v>
      </c>
      <c r="D1023" s="7">
        <v>90.599997999999999</v>
      </c>
      <c r="E1023" s="7">
        <v>82.949562</v>
      </c>
      <c r="F1023" s="7">
        <v>91.849997999999999</v>
      </c>
      <c r="G1023" s="7">
        <v>89.639999000000003</v>
      </c>
      <c r="H1023" s="8">
        <f t="shared" si="16"/>
        <v>-9.228856763873812E-3</v>
      </c>
    </row>
    <row r="1024" spans="2:8" x14ac:dyDescent="0.2">
      <c r="B1024" s="5">
        <v>44218</v>
      </c>
      <c r="C1024" s="6" t="s">
        <v>17</v>
      </c>
      <c r="D1024" s="7">
        <v>89.639999000000003</v>
      </c>
      <c r="E1024" s="7">
        <v>82.070627999999999</v>
      </c>
      <c r="F1024" s="7">
        <v>90.82</v>
      </c>
      <c r="G1024" s="7">
        <v>89.349997999999999</v>
      </c>
      <c r="H1024" s="8">
        <f t="shared" si="16"/>
        <v>-1.0652542716451413E-2</v>
      </c>
    </row>
    <row r="1025" spans="2:8" x14ac:dyDescent="0.2">
      <c r="B1025" s="5">
        <v>44219</v>
      </c>
      <c r="C1025" s="6" t="s">
        <v>17</v>
      </c>
      <c r="D1025" s="7">
        <v>88.480002999999996</v>
      </c>
      <c r="E1025" s="7">
        <v>81.008583999999999</v>
      </c>
      <c r="F1025" s="7">
        <v>89.080001999999993</v>
      </c>
      <c r="G1025" s="7">
        <v>88.050003000000004</v>
      </c>
      <c r="H1025" s="8">
        <f t="shared" si="16"/>
        <v>-1.3025069250635924E-2</v>
      </c>
    </row>
    <row r="1026" spans="2:8" x14ac:dyDescent="0.2">
      <c r="B1026" s="5">
        <v>44220</v>
      </c>
      <c r="C1026" s="6" t="s">
        <v>17</v>
      </c>
      <c r="D1026" s="7">
        <v>86.169998000000007</v>
      </c>
      <c r="E1026" s="7">
        <v>78.893640000000005</v>
      </c>
      <c r="F1026" s="7">
        <v>87.989998</v>
      </c>
      <c r="G1026" s="7">
        <v>85.879997000000003</v>
      </c>
      <c r="H1026" s="8">
        <f t="shared" si="16"/>
        <v>-2.645450812831366E-2</v>
      </c>
    </row>
    <row r="1027" spans="2:8" x14ac:dyDescent="0.2">
      <c r="B1027" s="5">
        <v>44223</v>
      </c>
      <c r="C1027" s="6" t="s">
        <v>17</v>
      </c>
      <c r="D1027" s="7">
        <v>91.290001000000004</v>
      </c>
      <c r="E1027" s="7">
        <v>83.581299999999999</v>
      </c>
      <c r="F1027" s="7">
        <v>92.309997999999993</v>
      </c>
      <c r="G1027" s="7">
        <v>89.07</v>
      </c>
      <c r="H1027" s="8">
        <f t="shared" si="16"/>
        <v>5.7719194621304586E-2</v>
      </c>
    </row>
    <row r="1028" spans="2:8" x14ac:dyDescent="0.2">
      <c r="B1028" s="5">
        <v>44224</v>
      </c>
      <c r="C1028" s="6" t="s">
        <v>17</v>
      </c>
      <c r="D1028" s="7">
        <v>92.470000999999996</v>
      </c>
      <c r="E1028" s="7">
        <v>84.661659</v>
      </c>
      <c r="F1028" s="7">
        <v>92.669998000000007</v>
      </c>
      <c r="G1028" s="7">
        <v>91.349997999999999</v>
      </c>
      <c r="H1028" s="8">
        <f t="shared" ref="H1028:H1091" si="17">IF(C1028=C1027, LN(E1028/E1027), "")</f>
        <v>1.2843020072876235E-2</v>
      </c>
    </row>
    <row r="1029" spans="2:8" x14ac:dyDescent="0.2">
      <c r="B1029" s="5">
        <v>44225</v>
      </c>
      <c r="C1029" s="6" t="s">
        <v>17</v>
      </c>
      <c r="D1029" s="7">
        <v>90.620002999999997</v>
      </c>
      <c r="E1029" s="7">
        <v>82.967877999999999</v>
      </c>
      <c r="F1029" s="7">
        <v>91.959998999999996</v>
      </c>
      <c r="G1029" s="7">
        <v>90.290001000000004</v>
      </c>
      <c r="H1029" s="8">
        <f t="shared" si="17"/>
        <v>-2.0209310092046656E-2</v>
      </c>
    </row>
    <row r="1030" spans="2:8" x14ac:dyDescent="0.2">
      <c r="B1030" s="5">
        <v>44226</v>
      </c>
      <c r="C1030" s="6" t="s">
        <v>17</v>
      </c>
      <c r="D1030" s="7">
        <v>93.199996999999996</v>
      </c>
      <c r="E1030" s="7">
        <v>85.330011999999996</v>
      </c>
      <c r="F1030" s="7">
        <v>93.849997999999999</v>
      </c>
      <c r="G1030" s="7">
        <v>90.730002999999996</v>
      </c>
      <c r="H1030" s="8">
        <f t="shared" si="17"/>
        <v>2.8072712339062215E-2</v>
      </c>
    </row>
    <row r="1031" spans="2:8" x14ac:dyDescent="0.2">
      <c r="B1031" s="5">
        <v>44227</v>
      </c>
      <c r="C1031" s="6" t="s">
        <v>17</v>
      </c>
      <c r="D1031" s="7">
        <v>93.910004000000001</v>
      </c>
      <c r="E1031" s="7">
        <v>85.980064999999996</v>
      </c>
      <c r="F1031" s="7">
        <v>94.690002000000007</v>
      </c>
      <c r="G1031" s="7">
        <v>92.010002</v>
      </c>
      <c r="H1031" s="8">
        <f t="shared" si="17"/>
        <v>7.5892338786378464E-3</v>
      </c>
    </row>
    <row r="1032" spans="2:8" x14ac:dyDescent="0.2">
      <c r="B1032" s="5">
        <v>44230</v>
      </c>
      <c r="C1032" s="6" t="s">
        <v>17</v>
      </c>
      <c r="D1032" s="7">
        <v>92.419998000000007</v>
      </c>
      <c r="E1032" s="7">
        <v>84.615877999999995</v>
      </c>
      <c r="F1032" s="7">
        <v>93.940002000000007</v>
      </c>
      <c r="G1032" s="7">
        <v>91.949996999999996</v>
      </c>
      <c r="H1032" s="8">
        <f t="shared" si="17"/>
        <v>-1.599353484059839E-2</v>
      </c>
    </row>
    <row r="1033" spans="2:8" x14ac:dyDescent="0.2">
      <c r="B1033" s="5">
        <v>44231</v>
      </c>
      <c r="C1033" s="6" t="s">
        <v>17</v>
      </c>
      <c r="D1033" s="7">
        <v>92.5</v>
      </c>
      <c r="E1033" s="7">
        <v>84.689124000000007</v>
      </c>
      <c r="F1033" s="7">
        <v>92.650002000000001</v>
      </c>
      <c r="G1033" s="7">
        <v>91.489998</v>
      </c>
      <c r="H1033" s="8">
        <f t="shared" si="17"/>
        <v>8.6525505690314528E-4</v>
      </c>
    </row>
    <row r="1034" spans="2:8" x14ac:dyDescent="0.2">
      <c r="B1034" s="5">
        <v>44232</v>
      </c>
      <c r="C1034" s="6" t="s">
        <v>17</v>
      </c>
      <c r="D1034" s="7">
        <v>91.959998999999996</v>
      </c>
      <c r="E1034" s="7">
        <v>84.194721999999999</v>
      </c>
      <c r="F1034" s="7">
        <v>92.510002</v>
      </c>
      <c r="G1034" s="7">
        <v>91.059997999999993</v>
      </c>
      <c r="H1034" s="8">
        <f t="shared" si="17"/>
        <v>-5.8549520758784598E-3</v>
      </c>
    </row>
    <row r="1035" spans="2:8" x14ac:dyDescent="0.2">
      <c r="B1035" s="5">
        <v>44233</v>
      </c>
      <c r="C1035" s="6" t="s">
        <v>17</v>
      </c>
      <c r="D1035" s="7">
        <v>93.830001999999993</v>
      </c>
      <c r="E1035" s="7">
        <v>85.906818000000001</v>
      </c>
      <c r="F1035" s="7">
        <v>94.230002999999996</v>
      </c>
      <c r="G1035" s="7">
        <v>91.790001000000004</v>
      </c>
      <c r="H1035" s="8">
        <f t="shared" si="17"/>
        <v>2.0130962004477653E-2</v>
      </c>
    </row>
    <row r="1036" spans="2:8" x14ac:dyDescent="0.2">
      <c r="B1036" s="5">
        <v>44234</v>
      </c>
      <c r="C1036" s="6" t="s">
        <v>17</v>
      </c>
      <c r="D1036" s="7">
        <v>94.870002999999997</v>
      </c>
      <c r="E1036" s="7">
        <v>86.858998999999997</v>
      </c>
      <c r="F1036" s="7">
        <v>95.239998</v>
      </c>
      <c r="G1036" s="7">
        <v>93.879997000000003</v>
      </c>
      <c r="H1036" s="8">
        <f t="shared" si="17"/>
        <v>1.102290554578794E-2</v>
      </c>
    </row>
    <row r="1037" spans="2:8" x14ac:dyDescent="0.2">
      <c r="B1037" s="5">
        <v>44237</v>
      </c>
      <c r="C1037" s="6" t="s">
        <v>17</v>
      </c>
      <c r="D1037" s="7">
        <v>94.5</v>
      </c>
      <c r="E1037" s="7">
        <v>86.520240000000001</v>
      </c>
      <c r="F1037" s="7">
        <v>94.980002999999996</v>
      </c>
      <c r="G1037" s="7">
        <v>93.629997000000003</v>
      </c>
      <c r="H1037" s="8">
        <f t="shared" si="17"/>
        <v>-3.9077277421917904E-3</v>
      </c>
    </row>
    <row r="1038" spans="2:8" x14ac:dyDescent="0.2">
      <c r="B1038" s="5">
        <v>44238</v>
      </c>
      <c r="C1038" s="6" t="s">
        <v>17</v>
      </c>
      <c r="D1038" s="7">
        <v>94.959998999999996</v>
      </c>
      <c r="E1038" s="7">
        <v>86.941395999999997</v>
      </c>
      <c r="F1038" s="7">
        <v>95.339995999999999</v>
      </c>
      <c r="G1038" s="7">
        <v>94.279999000000004</v>
      </c>
      <c r="H1038" s="8">
        <f t="shared" si="17"/>
        <v>4.8559074764578649E-3</v>
      </c>
    </row>
    <row r="1039" spans="2:8" x14ac:dyDescent="0.2">
      <c r="B1039" s="5">
        <v>44239</v>
      </c>
      <c r="C1039" s="6" t="s">
        <v>17</v>
      </c>
      <c r="D1039" s="7">
        <v>96.169998000000007</v>
      </c>
      <c r="E1039" s="7">
        <v>88.049221000000003</v>
      </c>
      <c r="F1039" s="7">
        <v>96.639999000000003</v>
      </c>
      <c r="G1039" s="7">
        <v>95.169998000000007</v>
      </c>
      <c r="H1039" s="8">
        <f t="shared" si="17"/>
        <v>1.2661705174622435E-2</v>
      </c>
    </row>
    <row r="1040" spans="2:8" x14ac:dyDescent="0.2">
      <c r="B1040" s="5">
        <v>44240</v>
      </c>
      <c r="C1040" s="6" t="s">
        <v>17</v>
      </c>
      <c r="D1040" s="7">
        <v>96.110000999999997</v>
      </c>
      <c r="E1040" s="7">
        <v>87.994290000000007</v>
      </c>
      <c r="F1040" s="7">
        <v>96.410004000000001</v>
      </c>
      <c r="G1040" s="7">
        <v>95.110000999999997</v>
      </c>
      <c r="H1040" s="8">
        <f t="shared" si="17"/>
        <v>-6.2406164783603197E-4</v>
      </c>
    </row>
    <row r="1041" spans="2:8" x14ac:dyDescent="0.2">
      <c r="B1041" s="5">
        <v>44241</v>
      </c>
      <c r="C1041" s="6" t="s">
        <v>17</v>
      </c>
      <c r="D1041" s="7">
        <v>96.550003000000004</v>
      </c>
      <c r="E1041" s="7">
        <v>88.397137000000001</v>
      </c>
      <c r="F1041" s="7">
        <v>96.68</v>
      </c>
      <c r="G1041" s="7">
        <v>95.839995999999999</v>
      </c>
      <c r="H1041" s="8">
        <f t="shared" si="17"/>
        <v>4.5676562319444938E-3</v>
      </c>
    </row>
    <row r="1042" spans="2:8" x14ac:dyDescent="0.2">
      <c r="B1042" s="5">
        <v>44245</v>
      </c>
      <c r="C1042" s="6" t="s">
        <v>17</v>
      </c>
      <c r="D1042" s="7">
        <v>96.559997999999993</v>
      </c>
      <c r="E1042" s="7">
        <v>88.406288000000004</v>
      </c>
      <c r="F1042" s="7">
        <v>96.940002000000007</v>
      </c>
      <c r="G1042" s="7">
        <v>95.849997999999999</v>
      </c>
      <c r="H1042" s="8">
        <f t="shared" si="17"/>
        <v>1.0351609430843765E-4</v>
      </c>
    </row>
    <row r="1043" spans="2:8" x14ac:dyDescent="0.2">
      <c r="B1043" s="5">
        <v>44246</v>
      </c>
      <c r="C1043" s="6" t="s">
        <v>17</v>
      </c>
      <c r="D1043" s="7">
        <v>96.209998999999996</v>
      </c>
      <c r="E1043" s="7">
        <v>88.085843999999994</v>
      </c>
      <c r="F1043" s="7">
        <v>97.669998000000007</v>
      </c>
      <c r="G1043" s="7">
        <v>96.110000999999997</v>
      </c>
      <c r="H1043" s="8">
        <f t="shared" si="17"/>
        <v>-3.6312593483279467E-3</v>
      </c>
    </row>
    <row r="1044" spans="2:8" x14ac:dyDescent="0.2">
      <c r="B1044" s="5">
        <v>44247</v>
      </c>
      <c r="C1044" s="6" t="s">
        <v>17</v>
      </c>
      <c r="D1044" s="7">
        <v>96.919998000000007</v>
      </c>
      <c r="E1044" s="7">
        <v>88.735889</v>
      </c>
      <c r="F1044" s="7">
        <v>97.519997000000004</v>
      </c>
      <c r="G1044" s="7">
        <v>95.300003000000004</v>
      </c>
      <c r="H1044" s="8">
        <f t="shared" si="17"/>
        <v>7.3525795437506562E-3</v>
      </c>
    </row>
    <row r="1045" spans="2:8" x14ac:dyDescent="0.2">
      <c r="B1045" s="5">
        <v>44248</v>
      </c>
      <c r="C1045" s="6" t="s">
        <v>17</v>
      </c>
      <c r="D1045" s="7">
        <v>97.5</v>
      </c>
      <c r="E1045" s="7">
        <v>89.266914999999997</v>
      </c>
      <c r="F1045" s="7">
        <v>97.949996999999996</v>
      </c>
      <c r="G1045" s="7">
        <v>96.919998000000007</v>
      </c>
      <c r="H1045" s="8">
        <f t="shared" si="17"/>
        <v>5.9665079808693833E-3</v>
      </c>
    </row>
    <row r="1046" spans="2:8" x14ac:dyDescent="0.2">
      <c r="B1046" s="5">
        <v>44251</v>
      </c>
      <c r="C1046" s="6" t="s">
        <v>17</v>
      </c>
      <c r="D1046" s="7">
        <v>97.32</v>
      </c>
      <c r="E1046" s="7">
        <v>89.102114</v>
      </c>
      <c r="F1046" s="7">
        <v>98.239998</v>
      </c>
      <c r="G1046" s="7">
        <v>97.18</v>
      </c>
      <c r="H1046" s="8">
        <f t="shared" si="17"/>
        <v>-1.8478661662081276E-3</v>
      </c>
    </row>
    <row r="1047" spans="2:8" x14ac:dyDescent="0.2">
      <c r="B1047" s="5">
        <v>44252</v>
      </c>
      <c r="C1047" s="6" t="s">
        <v>17</v>
      </c>
      <c r="D1047" s="7">
        <v>96.410004000000001</v>
      </c>
      <c r="E1047" s="7">
        <v>88.268960000000007</v>
      </c>
      <c r="F1047" s="7">
        <v>96.980002999999996</v>
      </c>
      <c r="G1047" s="7">
        <v>95.82</v>
      </c>
      <c r="H1047" s="8">
        <f t="shared" si="17"/>
        <v>-9.3945434153634971E-3</v>
      </c>
    </row>
    <row r="1048" spans="2:8" x14ac:dyDescent="0.2">
      <c r="B1048" s="5">
        <v>44253</v>
      </c>
      <c r="C1048" s="6" t="s">
        <v>17</v>
      </c>
      <c r="D1048" s="7">
        <v>97.199996999999996</v>
      </c>
      <c r="E1048" s="7">
        <v>88.992244999999997</v>
      </c>
      <c r="F1048" s="7">
        <v>97.910004000000001</v>
      </c>
      <c r="G1048" s="7">
        <v>96.339995999999999</v>
      </c>
      <c r="H1048" s="8">
        <f t="shared" si="17"/>
        <v>8.1607141738869304E-3</v>
      </c>
    </row>
    <row r="1049" spans="2:8" x14ac:dyDescent="0.2">
      <c r="B1049" s="5">
        <v>44254</v>
      </c>
      <c r="C1049" s="6" t="s">
        <v>17</v>
      </c>
      <c r="D1049" s="7">
        <v>96.699996999999996</v>
      </c>
      <c r="E1049" s="7">
        <v>88.534464999999997</v>
      </c>
      <c r="F1049" s="7">
        <v>97.639999000000003</v>
      </c>
      <c r="G1049" s="7">
        <v>96.519997000000004</v>
      </c>
      <c r="H1049" s="8">
        <f t="shared" si="17"/>
        <v>-5.157319872225969E-3</v>
      </c>
    </row>
    <row r="1050" spans="2:8" x14ac:dyDescent="0.2">
      <c r="B1050" s="5">
        <v>44255</v>
      </c>
      <c r="C1050" s="6" t="s">
        <v>17</v>
      </c>
      <c r="D1050" s="7">
        <v>96.970000999999996</v>
      </c>
      <c r="E1050" s="7">
        <v>88.781670000000005</v>
      </c>
      <c r="F1050" s="7">
        <v>97.519997000000004</v>
      </c>
      <c r="G1050" s="7">
        <v>96.300003000000004</v>
      </c>
      <c r="H1050" s="8">
        <f t="shared" si="17"/>
        <v>2.7882985398950178E-3</v>
      </c>
    </row>
    <row r="1051" spans="2:8" x14ac:dyDescent="0.2">
      <c r="B1051" s="5">
        <v>44258</v>
      </c>
      <c r="C1051" s="6" t="s">
        <v>17</v>
      </c>
      <c r="D1051" s="7">
        <v>96.309997999999993</v>
      </c>
      <c r="E1051" s="7">
        <v>88.177397999999997</v>
      </c>
      <c r="F1051" s="7">
        <v>96.669998000000007</v>
      </c>
      <c r="G1051" s="7">
        <v>95.599997999999999</v>
      </c>
      <c r="H1051" s="8">
        <f t="shared" si="17"/>
        <v>-6.8295381023648228E-3</v>
      </c>
    </row>
    <row r="1052" spans="2:8" x14ac:dyDescent="0.2">
      <c r="B1052" s="5">
        <v>44259</v>
      </c>
      <c r="C1052" s="6" t="s">
        <v>17</v>
      </c>
      <c r="D1052" s="7">
        <v>97.019997000000004</v>
      </c>
      <c r="E1052" s="7">
        <v>88.827444</v>
      </c>
      <c r="F1052" s="7">
        <v>97.459998999999996</v>
      </c>
      <c r="G1052" s="7">
        <v>96.559997999999993</v>
      </c>
      <c r="H1052" s="8">
        <f t="shared" si="17"/>
        <v>7.3449846352882497E-3</v>
      </c>
    </row>
    <row r="1053" spans="2:8" x14ac:dyDescent="0.2">
      <c r="B1053" s="5">
        <v>44260</v>
      </c>
      <c r="C1053" s="6" t="s">
        <v>17</v>
      </c>
      <c r="D1053" s="7">
        <v>96.370002999999997</v>
      </c>
      <c r="E1053" s="7">
        <v>88.232337000000001</v>
      </c>
      <c r="F1053" s="7">
        <v>96.900002000000001</v>
      </c>
      <c r="G1053" s="7">
        <v>95.879997000000003</v>
      </c>
      <c r="H1053" s="8">
        <f t="shared" si="17"/>
        <v>-6.7221278323329305E-3</v>
      </c>
    </row>
    <row r="1054" spans="2:8" x14ac:dyDescent="0.2">
      <c r="B1054" s="5">
        <v>44261</v>
      </c>
      <c r="C1054" s="6" t="s">
        <v>17</v>
      </c>
      <c r="D1054" s="7">
        <v>97.599997999999999</v>
      </c>
      <c r="E1054" s="7">
        <v>89.358468999999999</v>
      </c>
      <c r="F1054" s="7">
        <v>98.150002000000001</v>
      </c>
      <c r="G1054" s="7">
        <v>96.660004000000001</v>
      </c>
      <c r="H1054" s="8">
        <f t="shared" si="17"/>
        <v>1.2682493196306519E-2</v>
      </c>
    </row>
    <row r="1055" spans="2:8" x14ac:dyDescent="0.2">
      <c r="B1055" s="5">
        <v>44262</v>
      </c>
      <c r="C1055" s="6" t="s">
        <v>17</v>
      </c>
      <c r="D1055" s="7">
        <v>97.050003000000004</v>
      </c>
      <c r="E1055" s="7">
        <v>88.854916000000003</v>
      </c>
      <c r="F1055" s="7">
        <v>97.870002999999997</v>
      </c>
      <c r="G1055" s="7">
        <v>96.5</v>
      </c>
      <c r="H1055" s="8">
        <f t="shared" si="17"/>
        <v>-5.6511393922010862E-3</v>
      </c>
    </row>
    <row r="1056" spans="2:8" x14ac:dyDescent="0.2">
      <c r="B1056" s="5">
        <v>44265</v>
      </c>
      <c r="C1056" s="6" t="s">
        <v>17</v>
      </c>
      <c r="D1056" s="7">
        <v>96.75</v>
      </c>
      <c r="E1056" s="7">
        <v>88.580246000000002</v>
      </c>
      <c r="F1056" s="7">
        <v>96.800003000000004</v>
      </c>
      <c r="G1056" s="7">
        <v>95.860000999999997</v>
      </c>
      <c r="H1056" s="8">
        <f t="shared" si="17"/>
        <v>-3.0960066347899343E-3</v>
      </c>
    </row>
    <row r="1057" spans="2:8" x14ac:dyDescent="0.2">
      <c r="B1057" s="5">
        <v>44266</v>
      </c>
      <c r="C1057" s="6" t="s">
        <v>17</v>
      </c>
      <c r="D1057" s="7">
        <v>96.839995999999999</v>
      </c>
      <c r="E1057" s="7">
        <v>88.662643000000003</v>
      </c>
      <c r="F1057" s="7">
        <v>97.910004000000001</v>
      </c>
      <c r="G1057" s="7">
        <v>96.620002999999997</v>
      </c>
      <c r="H1057" s="8">
        <f t="shared" si="17"/>
        <v>9.2976374285734715E-4</v>
      </c>
    </row>
    <row r="1058" spans="2:8" x14ac:dyDescent="0.2">
      <c r="B1058" s="5">
        <v>44267</v>
      </c>
      <c r="C1058" s="6" t="s">
        <v>17</v>
      </c>
      <c r="D1058" s="7">
        <v>96.82</v>
      </c>
      <c r="E1058" s="7">
        <v>88.644334999999998</v>
      </c>
      <c r="F1058" s="7">
        <v>97.239998</v>
      </c>
      <c r="G1058" s="7">
        <v>96.300003000000004</v>
      </c>
      <c r="H1058" s="8">
        <f t="shared" si="17"/>
        <v>-2.0651189560138035E-4</v>
      </c>
    </row>
    <row r="1059" spans="2:8" x14ac:dyDescent="0.2">
      <c r="B1059" s="5">
        <v>44268</v>
      </c>
      <c r="C1059" s="6" t="s">
        <v>17</v>
      </c>
      <c r="D1059" s="7">
        <v>95.610000999999997</v>
      </c>
      <c r="E1059" s="7">
        <v>87.536510000000007</v>
      </c>
      <c r="F1059" s="7">
        <v>97.730002999999996</v>
      </c>
      <c r="G1059" s="7">
        <v>95.059997999999993</v>
      </c>
      <c r="H1059" s="8">
        <f t="shared" si="17"/>
        <v>-1.2576164010178066E-2</v>
      </c>
    </row>
    <row r="1060" spans="2:8" x14ac:dyDescent="0.2">
      <c r="B1060" s="5">
        <v>44269</v>
      </c>
      <c r="C1060" s="6" t="s">
        <v>17</v>
      </c>
      <c r="D1060" s="7">
        <v>95.389999000000003</v>
      </c>
      <c r="E1060" s="7">
        <v>87.335087000000001</v>
      </c>
      <c r="F1060" s="7">
        <v>96.25</v>
      </c>
      <c r="G1060" s="7">
        <v>95.199996999999996</v>
      </c>
      <c r="H1060" s="8">
        <f t="shared" si="17"/>
        <v>-2.3036684348167434E-3</v>
      </c>
    </row>
    <row r="1061" spans="2:8" x14ac:dyDescent="0.2">
      <c r="B1061" s="5">
        <v>44272</v>
      </c>
      <c r="C1061" s="6" t="s">
        <v>17</v>
      </c>
      <c r="D1061" s="7">
        <v>95.669998000000007</v>
      </c>
      <c r="E1061" s="7">
        <v>87.591442000000001</v>
      </c>
      <c r="F1061" s="7">
        <v>96.449996999999996</v>
      </c>
      <c r="G1061" s="7">
        <v>95.550003000000004</v>
      </c>
      <c r="H1061" s="8">
        <f t="shared" si="17"/>
        <v>2.9310040619874799E-3</v>
      </c>
    </row>
    <row r="1062" spans="2:8" x14ac:dyDescent="0.2">
      <c r="B1062" s="5">
        <v>44273</v>
      </c>
      <c r="C1062" s="6" t="s">
        <v>17</v>
      </c>
      <c r="D1062" s="7">
        <v>96.410004000000001</v>
      </c>
      <c r="E1062" s="7">
        <v>88.268960000000007</v>
      </c>
      <c r="F1062" s="7">
        <v>96.650002000000001</v>
      </c>
      <c r="G1062" s="7">
        <v>95.699996999999996</v>
      </c>
      <c r="H1062" s="8">
        <f t="shared" si="17"/>
        <v>7.7052178242892639E-3</v>
      </c>
    </row>
    <row r="1063" spans="2:8" x14ac:dyDescent="0.2">
      <c r="B1063" s="5">
        <v>44274</v>
      </c>
      <c r="C1063" s="6" t="s">
        <v>17</v>
      </c>
      <c r="D1063" s="7">
        <v>96.040001000000004</v>
      </c>
      <c r="E1063" s="7">
        <v>87.930200999999997</v>
      </c>
      <c r="F1063" s="7">
        <v>96.720000999999996</v>
      </c>
      <c r="G1063" s="7">
        <v>95.25</v>
      </c>
      <c r="H1063" s="8">
        <f t="shared" si="17"/>
        <v>-3.8451876327882206E-3</v>
      </c>
    </row>
    <row r="1064" spans="2:8" x14ac:dyDescent="0.2">
      <c r="B1064" s="5">
        <v>44275</v>
      </c>
      <c r="C1064" s="6" t="s">
        <v>17</v>
      </c>
      <c r="D1064" s="7">
        <v>96.209998999999996</v>
      </c>
      <c r="E1064" s="7">
        <v>88.085843999999994</v>
      </c>
      <c r="F1064" s="7">
        <v>96.239998</v>
      </c>
      <c r="G1064" s="7">
        <v>95.099997999999999</v>
      </c>
      <c r="H1064" s="8">
        <f t="shared" si="17"/>
        <v>1.7685096897399365E-3</v>
      </c>
    </row>
    <row r="1065" spans="2:8" x14ac:dyDescent="0.2">
      <c r="B1065" s="5">
        <v>44276</v>
      </c>
      <c r="C1065" s="6" t="s">
        <v>17</v>
      </c>
      <c r="D1065" s="7">
        <v>97.389999000000003</v>
      </c>
      <c r="E1065" s="7">
        <v>89.166202999999996</v>
      </c>
      <c r="F1065" s="7">
        <v>97.629997000000003</v>
      </c>
      <c r="G1065" s="7">
        <v>96.669998000000007</v>
      </c>
      <c r="H1065" s="8">
        <f t="shared" si="17"/>
        <v>1.2190238667147602E-2</v>
      </c>
    </row>
    <row r="1066" spans="2:8" x14ac:dyDescent="0.2">
      <c r="B1066" s="5">
        <v>44279</v>
      </c>
      <c r="C1066" s="6" t="s">
        <v>17</v>
      </c>
      <c r="D1066" s="7">
        <v>96.849997999999999</v>
      </c>
      <c r="E1066" s="7">
        <v>88.671801000000002</v>
      </c>
      <c r="F1066" s="7">
        <v>97.599997999999999</v>
      </c>
      <c r="G1066" s="7">
        <v>96.419998000000007</v>
      </c>
      <c r="H1066" s="8">
        <f t="shared" si="17"/>
        <v>-5.5601532022929931E-3</v>
      </c>
    </row>
    <row r="1067" spans="2:8" x14ac:dyDescent="0.2">
      <c r="B1067" s="5">
        <v>44280</v>
      </c>
      <c r="C1067" s="6" t="s">
        <v>17</v>
      </c>
      <c r="D1067" s="7">
        <v>98.589995999999999</v>
      </c>
      <c r="E1067" s="7">
        <v>90.264870000000002</v>
      </c>
      <c r="F1067" s="7">
        <v>99.339995999999999</v>
      </c>
      <c r="G1067" s="7">
        <v>97.150002000000001</v>
      </c>
      <c r="H1067" s="8">
        <f t="shared" si="17"/>
        <v>1.7806423731601673E-2</v>
      </c>
    </row>
    <row r="1068" spans="2:8" x14ac:dyDescent="0.2">
      <c r="B1068" s="5">
        <v>44281</v>
      </c>
      <c r="C1068" s="6" t="s">
        <v>17</v>
      </c>
      <c r="D1068" s="7">
        <v>97.800003000000004</v>
      </c>
      <c r="E1068" s="7">
        <v>89.541584999999998</v>
      </c>
      <c r="F1068" s="7">
        <v>99.599997999999999</v>
      </c>
      <c r="G1068" s="7">
        <v>97.800003000000004</v>
      </c>
      <c r="H1068" s="8">
        <f t="shared" si="17"/>
        <v>-8.0451939417084672E-3</v>
      </c>
    </row>
    <row r="1069" spans="2:8" x14ac:dyDescent="0.2">
      <c r="B1069" s="5">
        <v>44282</v>
      </c>
      <c r="C1069" s="6" t="s">
        <v>17</v>
      </c>
      <c r="D1069" s="7">
        <v>98.449996999999996</v>
      </c>
      <c r="E1069" s="7">
        <v>90.136691999999996</v>
      </c>
      <c r="F1069" s="7">
        <v>98.889999000000003</v>
      </c>
      <c r="G1069" s="7">
        <v>97.290001000000004</v>
      </c>
      <c r="H1069" s="8">
        <f t="shared" si="17"/>
        <v>6.6241638780170885E-3</v>
      </c>
    </row>
    <row r="1070" spans="2:8" x14ac:dyDescent="0.2">
      <c r="B1070" s="5">
        <v>44283</v>
      </c>
      <c r="C1070" s="6" t="s">
        <v>17</v>
      </c>
      <c r="D1070" s="7">
        <v>99.389999000000003</v>
      </c>
      <c r="E1070" s="7">
        <v>90.997319000000005</v>
      </c>
      <c r="F1070" s="7">
        <v>99.620002999999997</v>
      </c>
      <c r="G1070" s="7">
        <v>98.779999000000004</v>
      </c>
      <c r="H1070" s="8">
        <f t="shared" si="17"/>
        <v>9.5027264243400574E-3</v>
      </c>
    </row>
    <row r="1071" spans="2:8" x14ac:dyDescent="0.2">
      <c r="B1071" s="5">
        <v>44286</v>
      </c>
      <c r="C1071" s="6" t="s">
        <v>17</v>
      </c>
      <c r="D1071" s="7">
        <v>99.370002999999997</v>
      </c>
      <c r="E1071" s="7">
        <v>90.979011</v>
      </c>
      <c r="F1071" s="7">
        <v>100.629997</v>
      </c>
      <c r="G1071" s="7">
        <v>99.050003000000004</v>
      </c>
      <c r="H1071" s="8">
        <f t="shared" si="17"/>
        <v>-2.0121298260908347E-4</v>
      </c>
    </row>
    <row r="1072" spans="2:8" x14ac:dyDescent="0.2">
      <c r="B1072" s="5">
        <v>44287</v>
      </c>
      <c r="C1072" s="6" t="s">
        <v>17</v>
      </c>
      <c r="D1072" s="7">
        <v>99.809997999999993</v>
      </c>
      <c r="E1072" s="7">
        <v>91.381851999999995</v>
      </c>
      <c r="F1072" s="7">
        <v>100.08000199999999</v>
      </c>
      <c r="G1072" s="7">
        <v>98.940002000000007</v>
      </c>
      <c r="H1072" s="8">
        <f t="shared" si="17"/>
        <v>4.4180713848249141E-3</v>
      </c>
    </row>
    <row r="1073" spans="2:8" x14ac:dyDescent="0.2">
      <c r="B1073" s="5">
        <v>44288</v>
      </c>
      <c r="C1073" s="6" t="s">
        <v>17</v>
      </c>
      <c r="D1073" s="7">
        <v>102.629997</v>
      </c>
      <c r="E1073" s="7">
        <v>93.963724999999997</v>
      </c>
      <c r="F1073" s="7">
        <v>102.760002</v>
      </c>
      <c r="G1073" s="7">
        <v>99.879997000000003</v>
      </c>
      <c r="H1073" s="8">
        <f t="shared" si="17"/>
        <v>2.7861900587870629E-2</v>
      </c>
    </row>
    <row r="1074" spans="2:8" x14ac:dyDescent="0.2">
      <c r="B1074" s="5">
        <v>44289</v>
      </c>
      <c r="C1074" s="6" t="s">
        <v>17</v>
      </c>
      <c r="D1074" s="7">
        <v>102.550003</v>
      </c>
      <c r="E1074" s="7">
        <v>93.890485999999996</v>
      </c>
      <c r="F1074" s="7">
        <v>103.199997</v>
      </c>
      <c r="G1074" s="7">
        <v>101.610001</v>
      </c>
      <c r="H1074" s="8">
        <f t="shared" si="17"/>
        <v>-7.7974300731300345E-4</v>
      </c>
    </row>
    <row r="1075" spans="2:8" x14ac:dyDescent="0.2">
      <c r="B1075" s="5">
        <v>44290</v>
      </c>
      <c r="C1075" s="6" t="s">
        <v>17</v>
      </c>
      <c r="D1075" s="7">
        <v>102.16999800000001</v>
      </c>
      <c r="E1075" s="7">
        <v>93.542569</v>
      </c>
      <c r="F1075" s="7">
        <v>103.379997</v>
      </c>
      <c r="G1075" s="7">
        <v>101.910004</v>
      </c>
      <c r="H1075" s="8">
        <f t="shared" si="17"/>
        <v>-3.712444420111872E-3</v>
      </c>
    </row>
    <row r="1076" spans="2:8" x14ac:dyDescent="0.2">
      <c r="B1076" s="5">
        <v>44293</v>
      </c>
      <c r="C1076" s="6" t="s">
        <v>17</v>
      </c>
      <c r="D1076" s="7">
        <v>101.110001</v>
      </c>
      <c r="E1076" s="7">
        <v>92.57208</v>
      </c>
      <c r="F1076" s="7">
        <v>102.07</v>
      </c>
      <c r="G1076" s="7">
        <v>100.410004</v>
      </c>
      <c r="H1076" s="8">
        <f t="shared" si="17"/>
        <v>-1.042903179781203E-2</v>
      </c>
    </row>
    <row r="1077" spans="2:8" x14ac:dyDescent="0.2">
      <c r="B1077" s="5">
        <v>44294</v>
      </c>
      <c r="C1077" s="6" t="s">
        <v>17</v>
      </c>
      <c r="D1077" s="7">
        <v>102.389999</v>
      </c>
      <c r="E1077" s="7">
        <v>93.743993000000003</v>
      </c>
      <c r="F1077" s="7">
        <v>103.25</v>
      </c>
      <c r="G1077" s="7">
        <v>100.959999</v>
      </c>
      <c r="H1077" s="8">
        <f t="shared" si="17"/>
        <v>1.2580003821745921E-2</v>
      </c>
    </row>
    <row r="1078" spans="2:8" x14ac:dyDescent="0.2">
      <c r="B1078" s="5">
        <v>44295</v>
      </c>
      <c r="C1078" s="6" t="s">
        <v>17</v>
      </c>
      <c r="D1078" s="7">
        <v>102.989998</v>
      </c>
      <c r="E1078" s="7">
        <v>94.293327000000005</v>
      </c>
      <c r="F1078" s="7">
        <v>103.199997</v>
      </c>
      <c r="G1078" s="7">
        <v>101.849998</v>
      </c>
      <c r="H1078" s="8">
        <f t="shared" si="17"/>
        <v>5.8428354838927646E-3</v>
      </c>
    </row>
    <row r="1079" spans="2:8" x14ac:dyDescent="0.2">
      <c r="B1079" s="5">
        <v>44296</v>
      </c>
      <c r="C1079" s="6" t="s">
        <v>17</v>
      </c>
      <c r="D1079" s="7">
        <v>102.260002</v>
      </c>
      <c r="E1079" s="7">
        <v>93.624972999999997</v>
      </c>
      <c r="F1079" s="7">
        <v>103.720001</v>
      </c>
      <c r="G1079" s="7">
        <v>101.989998</v>
      </c>
      <c r="H1079" s="8">
        <f t="shared" si="17"/>
        <v>-7.1132701620479268E-3</v>
      </c>
    </row>
    <row r="1080" spans="2:8" x14ac:dyDescent="0.2">
      <c r="B1080" s="5">
        <v>44297</v>
      </c>
      <c r="C1080" s="6" t="s">
        <v>17</v>
      </c>
      <c r="D1080" s="7">
        <v>101.449997</v>
      </c>
      <c r="E1080" s="7">
        <v>92.883365999999995</v>
      </c>
      <c r="F1080" s="7">
        <v>102.099998</v>
      </c>
      <c r="G1080" s="7">
        <v>100.970001</v>
      </c>
      <c r="H1080" s="8">
        <f t="shared" si="17"/>
        <v>-7.952576409779916E-3</v>
      </c>
    </row>
    <row r="1081" spans="2:8" x14ac:dyDescent="0.2">
      <c r="B1081" s="5">
        <v>44300</v>
      </c>
      <c r="C1081" s="6" t="s">
        <v>17</v>
      </c>
      <c r="D1081" s="7">
        <v>102.779999</v>
      </c>
      <c r="E1081" s="7">
        <v>94.101060000000004</v>
      </c>
      <c r="F1081" s="7">
        <v>102.83000199999999</v>
      </c>
      <c r="G1081" s="7">
        <v>100.949997</v>
      </c>
      <c r="H1081" s="8">
        <f t="shared" si="17"/>
        <v>1.3024734096954206E-2</v>
      </c>
    </row>
    <row r="1082" spans="2:8" x14ac:dyDescent="0.2">
      <c r="B1082" s="5">
        <v>44301</v>
      </c>
      <c r="C1082" s="6" t="s">
        <v>17</v>
      </c>
      <c r="D1082" s="7">
        <v>102.5</v>
      </c>
      <c r="E1082" s="7">
        <v>93.844705000000005</v>
      </c>
      <c r="F1082" s="7">
        <v>103.089996</v>
      </c>
      <c r="G1082" s="7">
        <v>101.260002</v>
      </c>
      <c r="H1082" s="8">
        <f t="shared" si="17"/>
        <v>-2.7279695180034034E-3</v>
      </c>
    </row>
    <row r="1083" spans="2:8" x14ac:dyDescent="0.2">
      <c r="B1083" s="5">
        <v>44302</v>
      </c>
      <c r="C1083" s="6" t="s">
        <v>17</v>
      </c>
      <c r="D1083" s="7">
        <v>102.93</v>
      </c>
      <c r="E1083" s="7">
        <v>94.793284999999997</v>
      </c>
      <c r="F1083" s="7">
        <v>103.150002</v>
      </c>
      <c r="G1083" s="7">
        <v>102.209999</v>
      </c>
      <c r="H1083" s="8">
        <f t="shared" si="17"/>
        <v>1.005723179684369E-2</v>
      </c>
    </row>
    <row r="1084" spans="2:8" x14ac:dyDescent="0.2">
      <c r="B1084" s="5">
        <v>44303</v>
      </c>
      <c r="C1084" s="6" t="s">
        <v>17</v>
      </c>
      <c r="D1084" s="7">
        <v>102.83000199999999</v>
      </c>
      <c r="E1084" s="7">
        <v>94.701192000000006</v>
      </c>
      <c r="F1084" s="7">
        <v>103.44000200000001</v>
      </c>
      <c r="G1084" s="7">
        <v>102.599998</v>
      </c>
      <c r="H1084" s="8">
        <f t="shared" si="17"/>
        <v>-9.7198618881600383E-4</v>
      </c>
    </row>
    <row r="1085" spans="2:8" x14ac:dyDescent="0.2">
      <c r="B1085" s="5">
        <v>44307</v>
      </c>
      <c r="C1085" s="6" t="s">
        <v>17</v>
      </c>
      <c r="D1085" s="7">
        <v>102.639999</v>
      </c>
      <c r="E1085" s="7">
        <v>94.526208999999994</v>
      </c>
      <c r="F1085" s="7">
        <v>102.980003</v>
      </c>
      <c r="G1085" s="7">
        <v>101.550003</v>
      </c>
      <c r="H1085" s="8">
        <f t="shared" si="17"/>
        <v>-1.8494472677009482E-3</v>
      </c>
    </row>
    <row r="1086" spans="2:8" x14ac:dyDescent="0.2">
      <c r="B1086" s="5">
        <v>44308</v>
      </c>
      <c r="C1086" s="6" t="s">
        <v>17</v>
      </c>
      <c r="D1086" s="7">
        <v>103.69000200000001</v>
      </c>
      <c r="E1086" s="7">
        <v>95.493207999999996</v>
      </c>
      <c r="F1086" s="7">
        <v>104.139999</v>
      </c>
      <c r="G1086" s="7">
        <v>102.760002</v>
      </c>
      <c r="H1086" s="8">
        <f t="shared" si="17"/>
        <v>1.0177984576332543E-2</v>
      </c>
    </row>
    <row r="1087" spans="2:8" x14ac:dyDescent="0.2">
      <c r="B1087" s="5">
        <v>44309</v>
      </c>
      <c r="C1087" s="6" t="s">
        <v>17</v>
      </c>
      <c r="D1087" s="7">
        <v>103.379997</v>
      </c>
      <c r="E1087" s="7">
        <v>95.207708999999994</v>
      </c>
      <c r="F1087" s="7">
        <v>104.620003</v>
      </c>
      <c r="G1087" s="7">
        <v>103.18</v>
      </c>
      <c r="H1087" s="8">
        <f t="shared" si="17"/>
        <v>-2.9942091290349878E-3</v>
      </c>
    </row>
    <row r="1088" spans="2:8" x14ac:dyDescent="0.2">
      <c r="B1088" s="5">
        <v>44310</v>
      </c>
      <c r="C1088" s="6" t="s">
        <v>17</v>
      </c>
      <c r="D1088" s="7">
        <v>105.279999</v>
      </c>
      <c r="E1088" s="7">
        <v>96.957514000000003</v>
      </c>
      <c r="F1088" s="7">
        <v>107.400002</v>
      </c>
      <c r="G1088" s="7">
        <v>104.790001</v>
      </c>
      <c r="H1088" s="8">
        <f t="shared" si="17"/>
        <v>1.8211967143740061E-2</v>
      </c>
    </row>
    <row r="1089" spans="2:8" x14ac:dyDescent="0.2">
      <c r="B1089" s="5">
        <v>44311</v>
      </c>
      <c r="C1089" s="6" t="s">
        <v>17</v>
      </c>
      <c r="D1089" s="7">
        <v>104.69000200000001</v>
      </c>
      <c r="E1089" s="7">
        <v>96.414157000000003</v>
      </c>
      <c r="F1089" s="7">
        <v>105.279999</v>
      </c>
      <c r="G1089" s="7">
        <v>103.290001</v>
      </c>
      <c r="H1089" s="8">
        <f t="shared" si="17"/>
        <v>-5.619834872802436E-3</v>
      </c>
    </row>
    <row r="1090" spans="2:8" x14ac:dyDescent="0.2">
      <c r="B1090" s="5">
        <v>44314</v>
      </c>
      <c r="C1090" s="6" t="s">
        <v>17</v>
      </c>
      <c r="D1090" s="7">
        <v>104.260002</v>
      </c>
      <c r="E1090" s="7">
        <v>96.018148999999994</v>
      </c>
      <c r="F1090" s="7">
        <v>105.41999800000001</v>
      </c>
      <c r="G1090" s="7">
        <v>103.25</v>
      </c>
      <c r="H1090" s="8">
        <f t="shared" si="17"/>
        <v>-4.115821997485618E-3</v>
      </c>
    </row>
    <row r="1091" spans="2:8" x14ac:dyDescent="0.2">
      <c r="B1091" s="5">
        <v>44315</v>
      </c>
      <c r="C1091" s="6" t="s">
        <v>17</v>
      </c>
      <c r="D1091" s="7">
        <v>105.300003</v>
      </c>
      <c r="E1091" s="7">
        <v>96.975937000000002</v>
      </c>
      <c r="F1091" s="7">
        <v>105.5</v>
      </c>
      <c r="G1091" s="7">
        <v>103.83000199999999</v>
      </c>
      <c r="H1091" s="8">
        <f t="shared" si="17"/>
        <v>9.925649880368757E-3</v>
      </c>
    </row>
    <row r="1092" spans="2:8" x14ac:dyDescent="0.2">
      <c r="B1092" s="5">
        <v>44316</v>
      </c>
      <c r="C1092" s="6" t="s">
        <v>17</v>
      </c>
      <c r="D1092" s="7">
        <v>105.400002</v>
      </c>
      <c r="E1092" s="7">
        <v>97.068029999999993</v>
      </c>
      <c r="F1092" s="7">
        <v>106.239998</v>
      </c>
      <c r="G1092" s="7">
        <v>104.989998</v>
      </c>
      <c r="H1092" s="8">
        <f t="shared" ref="H1092:H1155" si="18">IF(C1092=C1091, LN(E1092/E1091), "")</f>
        <v>9.491973220115956E-4</v>
      </c>
    </row>
    <row r="1093" spans="2:8" x14ac:dyDescent="0.2">
      <c r="B1093" s="5">
        <v>44317</v>
      </c>
      <c r="C1093" s="6" t="s">
        <v>17</v>
      </c>
      <c r="D1093" s="7">
        <v>105.07</v>
      </c>
      <c r="E1093" s="7">
        <v>96.764116000000001</v>
      </c>
      <c r="F1093" s="7">
        <v>105.790001</v>
      </c>
      <c r="G1093" s="7">
        <v>104.629997</v>
      </c>
      <c r="H1093" s="8">
        <f t="shared" si="18"/>
        <v>-3.1358498094137396E-3</v>
      </c>
    </row>
    <row r="1094" spans="2:8" x14ac:dyDescent="0.2">
      <c r="B1094" s="5">
        <v>44318</v>
      </c>
      <c r="C1094" s="6" t="s">
        <v>17</v>
      </c>
      <c r="D1094" s="7">
        <v>105.010002</v>
      </c>
      <c r="E1094" s="7">
        <v>96.708860999999999</v>
      </c>
      <c r="F1094" s="7">
        <v>105.58000199999999</v>
      </c>
      <c r="G1094" s="7">
        <v>104.730003</v>
      </c>
      <c r="H1094" s="8">
        <f t="shared" si="18"/>
        <v>-5.711908955873731E-4</v>
      </c>
    </row>
    <row r="1095" spans="2:8" x14ac:dyDescent="0.2">
      <c r="B1095" s="5">
        <v>44321</v>
      </c>
      <c r="C1095" s="6" t="s">
        <v>17</v>
      </c>
      <c r="D1095" s="7">
        <v>104.519997</v>
      </c>
      <c r="E1095" s="7">
        <v>96.257591000000005</v>
      </c>
      <c r="F1095" s="7">
        <v>104.800003</v>
      </c>
      <c r="G1095" s="7">
        <v>103.80999799999999</v>
      </c>
      <c r="H1095" s="8">
        <f t="shared" si="18"/>
        <v>-4.6771945899747617E-3</v>
      </c>
    </row>
    <row r="1096" spans="2:8" x14ac:dyDescent="0.2">
      <c r="B1096" s="5">
        <v>44322</v>
      </c>
      <c r="C1096" s="6" t="s">
        <v>17</v>
      </c>
      <c r="D1096" s="7">
        <v>103.870003</v>
      </c>
      <c r="E1096" s="7">
        <v>95.65898</v>
      </c>
      <c r="F1096" s="7">
        <v>104.470001</v>
      </c>
      <c r="G1096" s="7">
        <v>103.599998</v>
      </c>
      <c r="H1096" s="8">
        <f t="shared" si="18"/>
        <v>-6.23826215913343E-3</v>
      </c>
    </row>
    <row r="1097" spans="2:8" x14ac:dyDescent="0.2">
      <c r="B1097" s="5">
        <v>44323</v>
      </c>
      <c r="C1097" s="6" t="s">
        <v>17</v>
      </c>
      <c r="D1097" s="7">
        <v>104.620003</v>
      </c>
      <c r="E1097" s="7">
        <v>96.349691000000007</v>
      </c>
      <c r="F1097" s="7">
        <v>104.660004</v>
      </c>
      <c r="G1097" s="7">
        <v>103.43</v>
      </c>
      <c r="H1097" s="8">
        <f t="shared" si="18"/>
        <v>7.1946123662828473E-3</v>
      </c>
    </row>
    <row r="1098" spans="2:8" x14ac:dyDescent="0.2">
      <c r="B1098" s="5">
        <v>44324</v>
      </c>
      <c r="C1098" s="6" t="s">
        <v>17</v>
      </c>
      <c r="D1098" s="7">
        <v>104.94000200000001</v>
      </c>
      <c r="E1098" s="7">
        <v>96.644395000000003</v>
      </c>
      <c r="F1098" s="7">
        <v>105.019997</v>
      </c>
      <c r="G1098" s="7">
        <v>104.150002</v>
      </c>
      <c r="H1098" s="8">
        <f t="shared" si="18"/>
        <v>3.0540234176927228E-3</v>
      </c>
    </row>
    <row r="1099" spans="2:8" x14ac:dyDescent="0.2">
      <c r="B1099" s="5">
        <v>44325</v>
      </c>
      <c r="C1099" s="6" t="s">
        <v>17</v>
      </c>
      <c r="D1099" s="7">
        <v>105.05999799999999</v>
      </c>
      <c r="E1099" s="7">
        <v>96.754903999999996</v>
      </c>
      <c r="F1099" s="7">
        <v>105.300003</v>
      </c>
      <c r="G1099" s="7">
        <v>104.300003</v>
      </c>
      <c r="H1099" s="8">
        <f t="shared" si="18"/>
        <v>1.1428067485098107E-3</v>
      </c>
    </row>
    <row r="1100" spans="2:8" x14ac:dyDescent="0.2">
      <c r="B1100" s="5">
        <v>44328</v>
      </c>
      <c r="C1100" s="6" t="s">
        <v>17</v>
      </c>
      <c r="D1100" s="7">
        <v>106.199997</v>
      </c>
      <c r="E1100" s="7">
        <v>97.804784999999995</v>
      </c>
      <c r="F1100" s="7">
        <v>106.5</v>
      </c>
      <c r="G1100" s="7">
        <v>105.650002</v>
      </c>
      <c r="H1100" s="8">
        <f t="shared" si="18"/>
        <v>1.0792484260450607E-2</v>
      </c>
    </row>
    <row r="1101" spans="2:8" x14ac:dyDescent="0.2">
      <c r="B1101" s="5">
        <v>44329</v>
      </c>
      <c r="C1101" s="6" t="s">
        <v>17</v>
      </c>
      <c r="D1101" s="7">
        <v>107.150002</v>
      </c>
      <c r="E1101" s="7">
        <v>98.679691000000005</v>
      </c>
      <c r="F1101" s="7">
        <v>108.209999</v>
      </c>
      <c r="G1101" s="7">
        <v>105.82</v>
      </c>
      <c r="H1101" s="8">
        <f t="shared" si="18"/>
        <v>8.9056580983663241E-3</v>
      </c>
    </row>
    <row r="1102" spans="2:8" x14ac:dyDescent="0.2">
      <c r="B1102" s="5">
        <v>44330</v>
      </c>
      <c r="C1102" s="6" t="s">
        <v>17</v>
      </c>
      <c r="D1102" s="7">
        <v>106.529999</v>
      </c>
      <c r="E1102" s="7">
        <v>98.108699999999999</v>
      </c>
      <c r="F1102" s="7">
        <v>107.040001</v>
      </c>
      <c r="G1102" s="7">
        <v>106.300003</v>
      </c>
      <c r="H1102" s="8">
        <f t="shared" si="18"/>
        <v>-5.8031126683253387E-3</v>
      </c>
    </row>
    <row r="1103" spans="2:8" x14ac:dyDescent="0.2">
      <c r="B1103" s="5">
        <v>44331</v>
      </c>
      <c r="C1103" s="6" t="s">
        <v>17</v>
      </c>
      <c r="D1103" s="7">
        <v>104.989998</v>
      </c>
      <c r="E1103" s="7">
        <v>96.690438</v>
      </c>
      <c r="F1103" s="7">
        <v>106.739998</v>
      </c>
      <c r="G1103" s="7">
        <v>104.040001</v>
      </c>
      <c r="H1103" s="8">
        <f t="shared" si="18"/>
        <v>-1.4561533228079718E-2</v>
      </c>
    </row>
    <row r="1104" spans="2:8" x14ac:dyDescent="0.2">
      <c r="B1104" s="5">
        <v>44332</v>
      </c>
      <c r="C1104" s="6" t="s">
        <v>17</v>
      </c>
      <c r="D1104" s="7">
        <v>106.029999</v>
      </c>
      <c r="E1104" s="7">
        <v>97.648225999999994</v>
      </c>
      <c r="F1104" s="7">
        <v>106.050003</v>
      </c>
      <c r="G1104" s="7">
        <v>104.16999800000001</v>
      </c>
      <c r="H1104" s="8">
        <f t="shared" si="18"/>
        <v>9.8569758087395255E-3</v>
      </c>
    </row>
    <row r="1105" spans="2:8" x14ac:dyDescent="0.2">
      <c r="B1105" s="5">
        <v>44335</v>
      </c>
      <c r="C1105" s="6" t="s">
        <v>17</v>
      </c>
      <c r="D1105" s="7">
        <v>105.389999</v>
      </c>
      <c r="E1105" s="7">
        <v>97.058819</v>
      </c>
      <c r="F1105" s="7">
        <v>105.529999</v>
      </c>
      <c r="G1105" s="7">
        <v>104.720001</v>
      </c>
      <c r="H1105" s="8">
        <f t="shared" si="18"/>
        <v>-6.0543140632417884E-3</v>
      </c>
    </row>
    <row r="1106" spans="2:8" x14ac:dyDescent="0.2">
      <c r="B1106" s="5">
        <v>44336</v>
      </c>
      <c r="C1106" s="6" t="s">
        <v>17</v>
      </c>
      <c r="D1106" s="7">
        <v>101.55999799999999</v>
      </c>
      <c r="E1106" s="7">
        <v>93.531582</v>
      </c>
      <c r="F1106" s="7">
        <v>104.80999799999999</v>
      </c>
      <c r="G1106" s="7">
        <v>100.720001</v>
      </c>
      <c r="H1106" s="8">
        <f t="shared" si="18"/>
        <v>-3.7018021509299788E-2</v>
      </c>
    </row>
    <row r="1107" spans="2:8" x14ac:dyDescent="0.2">
      <c r="B1107" s="5">
        <v>44337</v>
      </c>
      <c r="C1107" s="6" t="s">
        <v>17</v>
      </c>
      <c r="D1107" s="7">
        <v>102.879997</v>
      </c>
      <c r="E1107" s="7">
        <v>94.747235000000003</v>
      </c>
      <c r="F1107" s="7">
        <v>103</v>
      </c>
      <c r="G1107" s="7">
        <v>101.480003</v>
      </c>
      <c r="H1107" s="8">
        <f t="shared" si="18"/>
        <v>1.2913506816241168E-2</v>
      </c>
    </row>
    <row r="1108" spans="2:8" x14ac:dyDescent="0.2">
      <c r="B1108" s="5">
        <v>44338</v>
      </c>
      <c r="C1108" s="6" t="s">
        <v>17</v>
      </c>
      <c r="D1108" s="7">
        <v>103.08000199999999</v>
      </c>
      <c r="E1108" s="7">
        <v>94.931428999999994</v>
      </c>
      <c r="F1108" s="7">
        <v>103.879997</v>
      </c>
      <c r="G1108" s="7">
        <v>102.510002</v>
      </c>
      <c r="H1108" s="8">
        <f t="shared" si="18"/>
        <v>1.9421694988176691E-3</v>
      </c>
    </row>
    <row r="1109" spans="2:8" x14ac:dyDescent="0.2">
      <c r="B1109" s="5">
        <v>44339</v>
      </c>
      <c r="C1109" s="6" t="s">
        <v>17</v>
      </c>
      <c r="D1109" s="7">
        <v>104.029999</v>
      </c>
      <c r="E1109" s="7">
        <v>95.806327999999993</v>
      </c>
      <c r="F1109" s="7">
        <v>104.150002</v>
      </c>
      <c r="G1109" s="7">
        <v>103.150002</v>
      </c>
      <c r="H1109" s="8">
        <f t="shared" si="18"/>
        <v>9.1739060975750183E-3</v>
      </c>
    </row>
    <row r="1110" spans="2:8" x14ac:dyDescent="0.2">
      <c r="B1110" s="5">
        <v>44343</v>
      </c>
      <c r="C1110" s="6" t="s">
        <v>17</v>
      </c>
      <c r="D1110" s="7">
        <v>103.68</v>
      </c>
      <c r="E1110" s="7">
        <v>95.483997000000002</v>
      </c>
      <c r="F1110" s="7">
        <v>104.480003</v>
      </c>
      <c r="G1110" s="7">
        <v>103.459999</v>
      </c>
      <c r="H1110" s="8">
        <f t="shared" si="18"/>
        <v>-3.3700743105552077E-3</v>
      </c>
    </row>
    <row r="1111" spans="2:8" x14ac:dyDescent="0.2">
      <c r="B1111" s="5">
        <v>44344</v>
      </c>
      <c r="C1111" s="6" t="s">
        <v>17</v>
      </c>
      <c r="D1111" s="7">
        <v>102.910004</v>
      </c>
      <c r="E1111" s="7">
        <v>94.774868999999995</v>
      </c>
      <c r="F1111" s="7">
        <v>103.860001</v>
      </c>
      <c r="G1111" s="7">
        <v>102.849998</v>
      </c>
      <c r="H1111" s="8">
        <f t="shared" si="18"/>
        <v>-7.4543835841278131E-3</v>
      </c>
    </row>
    <row r="1112" spans="2:8" x14ac:dyDescent="0.2">
      <c r="B1112" s="5">
        <v>44345</v>
      </c>
      <c r="C1112" s="6" t="s">
        <v>17</v>
      </c>
      <c r="D1112" s="7">
        <v>103.599998</v>
      </c>
      <c r="E1112" s="7">
        <v>95.410319000000001</v>
      </c>
      <c r="F1112" s="7">
        <v>103.66999800000001</v>
      </c>
      <c r="G1112" s="7">
        <v>102.55999799999999</v>
      </c>
      <c r="H1112" s="8">
        <f t="shared" si="18"/>
        <v>6.6824590428173816E-3</v>
      </c>
    </row>
    <row r="1113" spans="2:8" x14ac:dyDescent="0.2">
      <c r="B1113" s="5">
        <v>44346</v>
      </c>
      <c r="C1113" s="6" t="s">
        <v>17</v>
      </c>
      <c r="D1113" s="7">
        <v>102.230003</v>
      </c>
      <c r="E1113" s="7">
        <v>94.148623999999998</v>
      </c>
      <c r="F1113" s="7">
        <v>102.980003</v>
      </c>
      <c r="G1113" s="7">
        <v>101.550003</v>
      </c>
      <c r="H1113" s="8">
        <f t="shared" si="18"/>
        <v>-1.3312098202951164E-2</v>
      </c>
    </row>
    <row r="1114" spans="2:8" x14ac:dyDescent="0.2">
      <c r="B1114" s="5">
        <v>44349</v>
      </c>
      <c r="C1114" s="6" t="s">
        <v>17</v>
      </c>
      <c r="D1114" s="7">
        <v>103.760002</v>
      </c>
      <c r="E1114" s="7">
        <v>95.557675000000003</v>
      </c>
      <c r="F1114" s="7">
        <v>103.94000200000001</v>
      </c>
      <c r="G1114" s="7">
        <v>102.010002</v>
      </c>
      <c r="H1114" s="8">
        <f t="shared" si="18"/>
        <v>1.4855351877654802E-2</v>
      </c>
    </row>
    <row r="1115" spans="2:8" x14ac:dyDescent="0.2">
      <c r="B1115" s="5">
        <v>44350</v>
      </c>
      <c r="C1115" s="6" t="s">
        <v>17</v>
      </c>
      <c r="D1115" s="7">
        <v>104.489998</v>
      </c>
      <c r="E1115" s="7">
        <v>96.229962999999998</v>
      </c>
      <c r="F1115" s="7">
        <v>104.57</v>
      </c>
      <c r="G1115" s="7">
        <v>103.050003</v>
      </c>
      <c r="H1115" s="8">
        <f t="shared" si="18"/>
        <v>7.0107829748415201E-3</v>
      </c>
    </row>
    <row r="1116" spans="2:8" x14ac:dyDescent="0.2">
      <c r="B1116" s="5">
        <v>44351</v>
      </c>
      <c r="C1116" s="6" t="s">
        <v>17</v>
      </c>
      <c r="D1116" s="7">
        <v>104.30999799999999</v>
      </c>
      <c r="E1116" s="7">
        <v>96.064192000000006</v>
      </c>
      <c r="F1116" s="7">
        <v>105.099998</v>
      </c>
      <c r="G1116" s="7">
        <v>104.07</v>
      </c>
      <c r="H1116" s="8">
        <f t="shared" si="18"/>
        <v>-1.724140196201495E-3</v>
      </c>
    </row>
    <row r="1117" spans="2:8" x14ac:dyDescent="0.2">
      <c r="B1117" s="5">
        <v>44352</v>
      </c>
      <c r="C1117" s="6" t="s">
        <v>17</v>
      </c>
      <c r="D1117" s="7">
        <v>106.959999</v>
      </c>
      <c r="E1117" s="7">
        <v>98.504709000000005</v>
      </c>
      <c r="F1117" s="7">
        <v>107.120003</v>
      </c>
      <c r="G1117" s="7">
        <v>104.769997</v>
      </c>
      <c r="H1117" s="8">
        <f t="shared" si="18"/>
        <v>2.5087719465364401E-2</v>
      </c>
    </row>
    <row r="1118" spans="2:8" x14ac:dyDescent="0.2">
      <c r="B1118" s="5">
        <v>44353</v>
      </c>
      <c r="C1118" s="6" t="s">
        <v>17</v>
      </c>
      <c r="D1118" s="7">
        <v>108.18</v>
      </c>
      <c r="E1118" s="7">
        <v>99.628268000000006</v>
      </c>
      <c r="F1118" s="7">
        <v>108.360001</v>
      </c>
      <c r="G1118" s="7">
        <v>106.980003</v>
      </c>
      <c r="H1118" s="8">
        <f t="shared" si="18"/>
        <v>1.1341585441745575E-2</v>
      </c>
    </row>
    <row r="1119" spans="2:8" x14ac:dyDescent="0.2">
      <c r="B1119" s="5">
        <v>44356</v>
      </c>
      <c r="C1119" s="6" t="s">
        <v>17</v>
      </c>
      <c r="D1119" s="7">
        <v>108.75</v>
      </c>
      <c r="E1119" s="7">
        <v>100.15320800000001</v>
      </c>
      <c r="F1119" s="7">
        <v>109.300003</v>
      </c>
      <c r="G1119" s="7">
        <v>107.660004</v>
      </c>
      <c r="H1119" s="8">
        <f t="shared" si="18"/>
        <v>5.2551539672227934E-3</v>
      </c>
    </row>
    <row r="1120" spans="2:8" x14ac:dyDescent="0.2">
      <c r="B1120" s="5">
        <v>44357</v>
      </c>
      <c r="C1120" s="6" t="s">
        <v>17</v>
      </c>
      <c r="D1120" s="7">
        <v>109.30999799999999</v>
      </c>
      <c r="E1120" s="7">
        <v>100.668938</v>
      </c>
      <c r="F1120" s="7">
        <v>109.5</v>
      </c>
      <c r="G1120" s="7">
        <v>108.400002</v>
      </c>
      <c r="H1120" s="8">
        <f t="shared" si="18"/>
        <v>5.1361978152413704E-3</v>
      </c>
    </row>
    <row r="1121" spans="2:8" x14ac:dyDescent="0.2">
      <c r="B1121" s="5">
        <v>44358</v>
      </c>
      <c r="C1121" s="6" t="s">
        <v>17</v>
      </c>
      <c r="D1121" s="7">
        <v>108.69000200000001</v>
      </c>
      <c r="E1121" s="7">
        <v>100.097954</v>
      </c>
      <c r="F1121" s="7">
        <v>108.980003</v>
      </c>
      <c r="G1121" s="7">
        <v>108.33000199999999</v>
      </c>
      <c r="H1121" s="8">
        <f t="shared" si="18"/>
        <v>-5.6880448142838215E-3</v>
      </c>
    </row>
    <row r="1122" spans="2:8" x14ac:dyDescent="0.2">
      <c r="B1122" s="5">
        <v>44359</v>
      </c>
      <c r="C1122" s="6" t="s">
        <v>17</v>
      </c>
      <c r="D1122" s="7">
        <v>106.650002</v>
      </c>
      <c r="E1122" s="7">
        <v>98.219217</v>
      </c>
      <c r="F1122" s="7">
        <v>108.5</v>
      </c>
      <c r="G1122" s="7">
        <v>106.44000200000001</v>
      </c>
      <c r="H1122" s="8">
        <f t="shared" si="18"/>
        <v>-1.8947357872338661E-2</v>
      </c>
    </row>
    <row r="1123" spans="2:8" x14ac:dyDescent="0.2">
      <c r="B1123" s="5">
        <v>44360</v>
      </c>
      <c r="C1123" s="6" t="s">
        <v>17</v>
      </c>
      <c r="D1123" s="7">
        <v>106.769997</v>
      </c>
      <c r="E1123" s="7">
        <v>98.329725999999994</v>
      </c>
      <c r="F1123" s="7">
        <v>107.230003</v>
      </c>
      <c r="G1123" s="7">
        <v>106.07</v>
      </c>
      <c r="H1123" s="8">
        <f t="shared" si="18"/>
        <v>1.1244935735395614E-3</v>
      </c>
    </row>
    <row r="1124" spans="2:8" x14ac:dyDescent="0.2">
      <c r="B1124" s="5">
        <v>44363</v>
      </c>
      <c r="C1124" s="6" t="s">
        <v>17</v>
      </c>
      <c r="D1124" s="7">
        <v>106.80999799999999</v>
      </c>
      <c r="E1124" s="7">
        <v>98.366564999999994</v>
      </c>
      <c r="F1124" s="7">
        <v>106.879997</v>
      </c>
      <c r="G1124" s="7">
        <v>105.730003</v>
      </c>
      <c r="H1124" s="8">
        <f t="shared" si="18"/>
        <v>3.745774792544752E-4</v>
      </c>
    </row>
    <row r="1125" spans="2:8" x14ac:dyDescent="0.2">
      <c r="B1125" s="5">
        <v>44364</v>
      </c>
      <c r="C1125" s="6" t="s">
        <v>17</v>
      </c>
      <c r="D1125" s="7">
        <v>106.66999800000001</v>
      </c>
      <c r="E1125" s="7">
        <v>98.237633000000002</v>
      </c>
      <c r="F1125" s="7">
        <v>107</v>
      </c>
      <c r="G1125" s="7">
        <v>106</v>
      </c>
      <c r="H1125" s="8">
        <f t="shared" si="18"/>
        <v>-1.3115896791087087E-3</v>
      </c>
    </row>
    <row r="1126" spans="2:8" x14ac:dyDescent="0.2">
      <c r="B1126" s="5">
        <v>44365</v>
      </c>
      <c r="C1126" s="6" t="s">
        <v>17</v>
      </c>
      <c r="D1126" s="7">
        <v>107.480003</v>
      </c>
      <c r="E1126" s="7">
        <v>98.983605999999995</v>
      </c>
      <c r="F1126" s="7">
        <v>107.599998</v>
      </c>
      <c r="G1126" s="7">
        <v>106.050003</v>
      </c>
      <c r="H1126" s="8">
        <f t="shared" si="18"/>
        <v>7.564870409277843E-3</v>
      </c>
    </row>
    <row r="1127" spans="2:8" x14ac:dyDescent="0.2">
      <c r="B1127" s="5">
        <v>44366</v>
      </c>
      <c r="C1127" s="6" t="s">
        <v>17</v>
      </c>
      <c r="D1127" s="7">
        <v>107.25</v>
      </c>
      <c r="E1127" s="7">
        <v>98.771784999999994</v>
      </c>
      <c r="F1127" s="7">
        <v>107.41999800000001</v>
      </c>
      <c r="G1127" s="7">
        <v>106.69000200000001</v>
      </c>
      <c r="H1127" s="8">
        <f t="shared" si="18"/>
        <v>-2.1422534165785158E-3</v>
      </c>
    </row>
    <row r="1128" spans="2:8" x14ac:dyDescent="0.2">
      <c r="B1128" s="5">
        <v>44367</v>
      </c>
      <c r="C1128" s="6" t="s">
        <v>17</v>
      </c>
      <c r="D1128" s="7">
        <v>109.379997</v>
      </c>
      <c r="E1128" s="7">
        <v>100.73340399999999</v>
      </c>
      <c r="F1128" s="7">
        <v>109.529999</v>
      </c>
      <c r="G1128" s="7">
        <v>107.639999</v>
      </c>
      <c r="H1128" s="8">
        <f t="shared" si="18"/>
        <v>1.9665475646563475E-2</v>
      </c>
    </row>
    <row r="1129" spans="2:8" x14ac:dyDescent="0.2">
      <c r="B1129" s="5">
        <v>44370</v>
      </c>
      <c r="C1129" s="6" t="s">
        <v>17</v>
      </c>
      <c r="D1129" s="7">
        <v>108.779999</v>
      </c>
      <c r="E1129" s="7">
        <v>100.180836</v>
      </c>
      <c r="F1129" s="7">
        <v>109.849998</v>
      </c>
      <c r="G1129" s="7">
        <v>108.290001</v>
      </c>
      <c r="H1129" s="8">
        <f t="shared" si="18"/>
        <v>-5.5005498187647682E-3</v>
      </c>
    </row>
    <row r="1130" spans="2:8" x14ac:dyDescent="0.2">
      <c r="B1130" s="5">
        <v>44371</v>
      </c>
      <c r="C1130" s="6" t="s">
        <v>17</v>
      </c>
      <c r="D1130" s="7">
        <v>107.80999799999999</v>
      </c>
      <c r="E1130" s="7">
        <v>99.287514000000002</v>
      </c>
      <c r="F1130" s="7">
        <v>109.339996</v>
      </c>
      <c r="G1130" s="7">
        <v>107</v>
      </c>
      <c r="H1130" s="8">
        <f t="shared" si="18"/>
        <v>-8.9570899097906349E-3</v>
      </c>
    </row>
    <row r="1131" spans="2:8" x14ac:dyDescent="0.2">
      <c r="B1131" s="5">
        <v>44372</v>
      </c>
      <c r="C1131" s="6" t="s">
        <v>17</v>
      </c>
      <c r="D1131" s="7">
        <v>108.44000200000001</v>
      </c>
      <c r="E1131" s="7">
        <v>99.867716000000001</v>
      </c>
      <c r="F1131" s="7">
        <v>108.879997</v>
      </c>
      <c r="G1131" s="7">
        <v>107.349998</v>
      </c>
      <c r="H1131" s="8">
        <f t="shared" si="18"/>
        <v>5.8266472989785415E-3</v>
      </c>
    </row>
    <row r="1132" spans="2:8" x14ac:dyDescent="0.2">
      <c r="B1132" s="5">
        <v>44373</v>
      </c>
      <c r="C1132" s="6" t="s">
        <v>17</v>
      </c>
      <c r="D1132" s="7">
        <v>108.519997</v>
      </c>
      <c r="E1132" s="7">
        <v>99.941387000000006</v>
      </c>
      <c r="F1132" s="7">
        <v>108.800003</v>
      </c>
      <c r="G1132" s="7">
        <v>107.849998</v>
      </c>
      <c r="H1132" s="8">
        <f t="shared" si="18"/>
        <v>7.3741388387506192E-4</v>
      </c>
    </row>
    <row r="1133" spans="2:8" x14ac:dyDescent="0.2">
      <c r="B1133" s="5">
        <v>44374</v>
      </c>
      <c r="C1133" s="6" t="s">
        <v>17</v>
      </c>
      <c r="D1133" s="7">
        <v>108.779999</v>
      </c>
      <c r="E1133" s="7">
        <v>100.180836</v>
      </c>
      <c r="F1133" s="7">
        <v>108.879997</v>
      </c>
      <c r="G1133" s="7">
        <v>107.730003</v>
      </c>
      <c r="H1133" s="8">
        <f t="shared" si="18"/>
        <v>2.3930287269373022E-3</v>
      </c>
    </row>
    <row r="1134" spans="2:8" x14ac:dyDescent="0.2">
      <c r="B1134" s="5">
        <v>44377</v>
      </c>
      <c r="C1134" s="6" t="s">
        <v>17</v>
      </c>
      <c r="D1134" s="7">
        <v>108.66999800000001</v>
      </c>
      <c r="E1134" s="7">
        <v>100.079531</v>
      </c>
      <c r="F1134" s="7">
        <v>109.029999</v>
      </c>
      <c r="G1134" s="7">
        <v>107.970001</v>
      </c>
      <c r="H1134" s="8">
        <f t="shared" si="18"/>
        <v>-1.0117329770133272E-3</v>
      </c>
    </row>
    <row r="1135" spans="2:8" x14ac:dyDescent="0.2">
      <c r="B1135" s="5">
        <v>44378</v>
      </c>
      <c r="C1135" s="6" t="s">
        <v>17</v>
      </c>
      <c r="D1135" s="7">
        <v>109.16999800000001</v>
      </c>
      <c r="E1135" s="7">
        <v>100.54000499999999</v>
      </c>
      <c r="F1135" s="7">
        <v>109.75</v>
      </c>
      <c r="G1135" s="7">
        <v>109.010002</v>
      </c>
      <c r="H1135" s="8">
        <f t="shared" si="18"/>
        <v>4.5905280992021135E-3</v>
      </c>
    </row>
    <row r="1136" spans="2:8" x14ac:dyDescent="0.2">
      <c r="B1136" s="5">
        <v>44379</v>
      </c>
      <c r="C1136" s="6" t="s">
        <v>17</v>
      </c>
      <c r="D1136" s="7">
        <v>109.55999799999999</v>
      </c>
      <c r="E1136" s="7">
        <v>100.899175</v>
      </c>
      <c r="F1136" s="7">
        <v>109.949997</v>
      </c>
      <c r="G1136" s="7">
        <v>109.300003</v>
      </c>
      <c r="H1136" s="8">
        <f t="shared" si="18"/>
        <v>3.5660429179687762E-3</v>
      </c>
    </row>
    <row r="1137" spans="2:8" x14ac:dyDescent="0.2">
      <c r="B1137" s="5">
        <v>44380</v>
      </c>
      <c r="C1137" s="6" t="s">
        <v>17</v>
      </c>
      <c r="D1137" s="7">
        <v>111.08000199999999</v>
      </c>
      <c r="E1137" s="7">
        <v>102.299021</v>
      </c>
      <c r="F1137" s="7">
        <v>111.160004</v>
      </c>
      <c r="G1137" s="7">
        <v>109.69000200000001</v>
      </c>
      <c r="H1137" s="8">
        <f t="shared" si="18"/>
        <v>1.377835210546912E-2</v>
      </c>
    </row>
    <row r="1138" spans="2:8" x14ac:dyDescent="0.2">
      <c r="B1138" s="5">
        <v>44384</v>
      </c>
      <c r="C1138" s="6" t="s">
        <v>17</v>
      </c>
      <c r="D1138" s="7">
        <v>110.160004</v>
      </c>
      <c r="E1138" s="7">
        <v>101.45175</v>
      </c>
      <c r="F1138" s="7">
        <v>110.449997</v>
      </c>
      <c r="G1138" s="7">
        <v>109.57</v>
      </c>
      <c r="H1138" s="8">
        <f t="shared" si="18"/>
        <v>-8.3167870194829178E-3</v>
      </c>
    </row>
    <row r="1139" spans="2:8" x14ac:dyDescent="0.2">
      <c r="B1139" s="5">
        <v>44385</v>
      </c>
      <c r="C1139" s="6" t="s">
        <v>17</v>
      </c>
      <c r="D1139" s="7">
        <v>109.459999</v>
      </c>
      <c r="E1139" s="7">
        <v>100.807081</v>
      </c>
      <c r="F1139" s="7">
        <v>110.379997</v>
      </c>
      <c r="G1139" s="7">
        <v>109.400002</v>
      </c>
      <c r="H1139" s="8">
        <f t="shared" si="18"/>
        <v>-6.3747148139681005E-3</v>
      </c>
    </row>
    <row r="1140" spans="2:8" x14ac:dyDescent="0.2">
      <c r="B1140" s="5">
        <v>44386</v>
      </c>
      <c r="C1140" s="6" t="s">
        <v>17</v>
      </c>
      <c r="D1140" s="7">
        <v>110.139999</v>
      </c>
      <c r="E1140" s="7">
        <v>101.43332700000001</v>
      </c>
      <c r="F1140" s="7">
        <v>110.290001</v>
      </c>
      <c r="G1140" s="7">
        <v>109.41999800000001</v>
      </c>
      <c r="H1140" s="8">
        <f t="shared" si="18"/>
        <v>6.1931046105657356E-3</v>
      </c>
    </row>
    <row r="1141" spans="2:8" x14ac:dyDescent="0.2">
      <c r="B1141" s="5">
        <v>44387</v>
      </c>
      <c r="C1141" s="6" t="s">
        <v>17</v>
      </c>
      <c r="D1141" s="7">
        <v>109.360001</v>
      </c>
      <c r="E1141" s="7">
        <v>100.71498800000001</v>
      </c>
      <c r="F1141" s="7">
        <v>109.57</v>
      </c>
      <c r="G1141" s="7">
        <v>107.800003</v>
      </c>
      <c r="H1141" s="8">
        <f t="shared" si="18"/>
        <v>-7.1070790141414784E-3</v>
      </c>
    </row>
    <row r="1142" spans="2:8" x14ac:dyDescent="0.2">
      <c r="B1142" s="5">
        <v>44388</v>
      </c>
      <c r="C1142" s="6" t="s">
        <v>17</v>
      </c>
      <c r="D1142" s="7">
        <v>109.959999</v>
      </c>
      <c r="E1142" s="7">
        <v>101.267556</v>
      </c>
      <c r="F1142" s="7">
        <v>109.989998</v>
      </c>
      <c r="G1142" s="7">
        <v>108.650002</v>
      </c>
      <c r="H1142" s="8">
        <f t="shared" si="18"/>
        <v>5.4714567661937937E-3</v>
      </c>
    </row>
    <row r="1143" spans="2:8" x14ac:dyDescent="0.2">
      <c r="B1143" s="5">
        <v>44391</v>
      </c>
      <c r="C1143" s="6" t="s">
        <v>17</v>
      </c>
      <c r="D1143" s="7">
        <v>110.089996</v>
      </c>
      <c r="E1143" s="7">
        <v>101.387277</v>
      </c>
      <c r="F1143" s="7">
        <v>111.040001</v>
      </c>
      <c r="G1143" s="7">
        <v>110.089996</v>
      </c>
      <c r="H1143" s="8">
        <f t="shared" si="18"/>
        <v>1.1815263633765175E-3</v>
      </c>
    </row>
    <row r="1144" spans="2:8" x14ac:dyDescent="0.2">
      <c r="B1144" s="5">
        <v>44392</v>
      </c>
      <c r="C1144" s="6" t="s">
        <v>17</v>
      </c>
      <c r="D1144" s="7">
        <v>109.849998</v>
      </c>
      <c r="E1144" s="7">
        <v>101.166251</v>
      </c>
      <c r="F1144" s="7">
        <v>110.41999800000001</v>
      </c>
      <c r="G1144" s="7">
        <v>109.400002</v>
      </c>
      <c r="H1144" s="8">
        <f t="shared" si="18"/>
        <v>-2.1823968203232907E-3</v>
      </c>
    </row>
    <row r="1145" spans="2:8" x14ac:dyDescent="0.2">
      <c r="B1145" s="5">
        <v>44393</v>
      </c>
      <c r="C1145" s="6" t="s">
        <v>17</v>
      </c>
      <c r="D1145" s="7">
        <v>111.400002</v>
      </c>
      <c r="E1145" s="7">
        <v>102.59372500000001</v>
      </c>
      <c r="F1145" s="7">
        <v>111.459999</v>
      </c>
      <c r="G1145" s="7">
        <v>109.91999800000001</v>
      </c>
      <c r="H1145" s="8">
        <f t="shared" si="18"/>
        <v>1.4011557930738858E-2</v>
      </c>
    </row>
    <row r="1146" spans="2:8" x14ac:dyDescent="0.2">
      <c r="B1146" s="5">
        <v>44394</v>
      </c>
      <c r="C1146" s="6" t="s">
        <v>17</v>
      </c>
      <c r="D1146" s="7">
        <v>109.07</v>
      </c>
      <c r="E1146" s="7">
        <v>101.08308</v>
      </c>
      <c r="F1146" s="7">
        <v>110.66999800000001</v>
      </c>
      <c r="G1146" s="7">
        <v>108.93</v>
      </c>
      <c r="H1146" s="8">
        <f t="shared" si="18"/>
        <v>-1.4834018052383184E-2</v>
      </c>
    </row>
    <row r="1147" spans="2:8" x14ac:dyDescent="0.2">
      <c r="B1147" s="5">
        <v>44395</v>
      </c>
      <c r="C1147" s="6" t="s">
        <v>17</v>
      </c>
      <c r="D1147" s="7">
        <v>110.16999800000001</v>
      </c>
      <c r="E1147" s="7">
        <v>102.10252800000001</v>
      </c>
      <c r="F1147" s="7">
        <v>110.16999800000001</v>
      </c>
      <c r="G1147" s="7">
        <v>109.050003</v>
      </c>
      <c r="H1147" s="8">
        <f t="shared" si="18"/>
        <v>1.0034731933380444E-2</v>
      </c>
    </row>
    <row r="1148" spans="2:8" x14ac:dyDescent="0.2">
      <c r="B1148" s="5">
        <v>44398</v>
      </c>
      <c r="C1148" s="6" t="s">
        <v>17</v>
      </c>
      <c r="D1148" s="7">
        <v>110.230003</v>
      </c>
      <c r="E1148" s="7">
        <v>102.15814</v>
      </c>
      <c r="F1148" s="7">
        <v>110.550003</v>
      </c>
      <c r="G1148" s="7">
        <v>109.449997</v>
      </c>
      <c r="H1148" s="8">
        <f t="shared" si="18"/>
        <v>5.445199207327454E-4</v>
      </c>
    </row>
    <row r="1149" spans="2:8" x14ac:dyDescent="0.2">
      <c r="B1149" s="5">
        <v>44399</v>
      </c>
      <c r="C1149" s="6" t="s">
        <v>17</v>
      </c>
      <c r="D1149" s="7">
        <v>110.05999799999999</v>
      </c>
      <c r="E1149" s="7">
        <v>102.00058300000001</v>
      </c>
      <c r="F1149" s="7">
        <v>111.279999</v>
      </c>
      <c r="G1149" s="7">
        <v>109.800003</v>
      </c>
      <c r="H1149" s="8">
        <f t="shared" si="18"/>
        <v>-1.5434758697940249E-3</v>
      </c>
    </row>
    <row r="1150" spans="2:8" x14ac:dyDescent="0.2">
      <c r="B1150" s="5">
        <v>44400</v>
      </c>
      <c r="C1150" s="6" t="s">
        <v>17</v>
      </c>
      <c r="D1150" s="7">
        <v>108.379997</v>
      </c>
      <c r="E1150" s="7">
        <v>100.44360500000001</v>
      </c>
      <c r="F1150" s="7">
        <v>109.980003</v>
      </c>
      <c r="G1150" s="7">
        <v>108.209999</v>
      </c>
      <c r="H1150" s="8">
        <f t="shared" si="18"/>
        <v>-1.5382103234061402E-2</v>
      </c>
    </row>
    <row r="1151" spans="2:8" x14ac:dyDescent="0.2">
      <c r="B1151" s="5">
        <v>44401</v>
      </c>
      <c r="C1151" s="6" t="s">
        <v>17</v>
      </c>
      <c r="D1151" s="7">
        <v>105.040001</v>
      </c>
      <c r="E1151" s="7">
        <v>97.348187999999993</v>
      </c>
      <c r="F1151" s="7">
        <v>106.230003</v>
      </c>
      <c r="G1151" s="7">
        <v>104.089996</v>
      </c>
      <c r="H1151" s="8">
        <f t="shared" si="18"/>
        <v>-3.1302307326325489E-2</v>
      </c>
    </row>
    <row r="1152" spans="2:8" x14ac:dyDescent="0.2">
      <c r="B1152" s="5">
        <v>44402</v>
      </c>
      <c r="C1152" s="6" t="s">
        <v>17</v>
      </c>
      <c r="D1152" s="7">
        <v>104.849998</v>
      </c>
      <c r="E1152" s="7">
        <v>97.172099000000003</v>
      </c>
      <c r="F1152" s="7">
        <v>105.349998</v>
      </c>
      <c r="G1152" s="7">
        <v>104.099998</v>
      </c>
      <c r="H1152" s="8">
        <f t="shared" si="18"/>
        <v>-1.8104954585026853E-3</v>
      </c>
    </row>
    <row r="1153" spans="2:8" x14ac:dyDescent="0.2">
      <c r="B1153" s="5">
        <v>44405</v>
      </c>
      <c r="C1153" s="6" t="s">
        <v>17</v>
      </c>
      <c r="D1153" s="7">
        <v>104.150002</v>
      </c>
      <c r="E1153" s="7">
        <v>96.523360999999994</v>
      </c>
      <c r="F1153" s="7">
        <v>104.900002</v>
      </c>
      <c r="G1153" s="7">
        <v>103.16999800000001</v>
      </c>
      <c r="H1153" s="8">
        <f t="shared" si="18"/>
        <v>-6.6985609861643942E-3</v>
      </c>
    </row>
    <row r="1154" spans="2:8" x14ac:dyDescent="0.2">
      <c r="B1154" s="5">
        <v>44406</v>
      </c>
      <c r="C1154" s="6" t="s">
        <v>17</v>
      </c>
      <c r="D1154" s="7">
        <v>104.69000200000001</v>
      </c>
      <c r="E1154" s="7">
        <v>97.023819000000003</v>
      </c>
      <c r="F1154" s="7">
        <v>106.44000200000001</v>
      </c>
      <c r="G1154" s="7">
        <v>104.69000200000001</v>
      </c>
      <c r="H1154" s="8">
        <f t="shared" si="18"/>
        <v>5.1714431111445731E-3</v>
      </c>
    </row>
    <row r="1155" spans="2:8" x14ac:dyDescent="0.2">
      <c r="B1155" s="5">
        <v>44407</v>
      </c>
      <c r="C1155" s="6" t="s">
        <v>17</v>
      </c>
      <c r="D1155" s="7">
        <v>103.379997</v>
      </c>
      <c r="E1155" s="7">
        <v>95.809742</v>
      </c>
      <c r="F1155" s="7">
        <v>105.32</v>
      </c>
      <c r="G1155" s="7">
        <v>103.029999</v>
      </c>
      <c r="H1155" s="8">
        <f t="shared" si="18"/>
        <v>-1.259213423070394E-2</v>
      </c>
    </row>
    <row r="1156" spans="2:8" x14ac:dyDescent="0.2">
      <c r="B1156" s="5">
        <v>44408</v>
      </c>
      <c r="C1156" s="6" t="s">
        <v>17</v>
      </c>
      <c r="D1156" s="7">
        <v>100.75</v>
      </c>
      <c r="E1156" s="7">
        <v>93.372332999999998</v>
      </c>
      <c r="F1156" s="7">
        <v>102.69000200000001</v>
      </c>
      <c r="G1156" s="7">
        <v>100.739998</v>
      </c>
      <c r="H1156" s="8">
        <f t="shared" ref="H1156:H1219" si="19">IF(C1156=C1155, LN(E1156/E1155), "")</f>
        <v>-2.5769290033521259E-2</v>
      </c>
    </row>
    <row r="1157" spans="2:8" x14ac:dyDescent="0.2">
      <c r="B1157" s="5">
        <v>44409</v>
      </c>
      <c r="C1157" s="6" t="s">
        <v>17</v>
      </c>
      <c r="D1157" s="7">
        <v>100.519997</v>
      </c>
      <c r="E1157" s="7">
        <v>93.159171999999998</v>
      </c>
      <c r="F1157" s="7">
        <v>100.849998</v>
      </c>
      <c r="G1157" s="7">
        <v>99.110000999999997</v>
      </c>
      <c r="H1157" s="8">
        <f t="shared" si="19"/>
        <v>-2.2855237541702096E-3</v>
      </c>
    </row>
    <row r="1158" spans="2:8" x14ac:dyDescent="0.2">
      <c r="B1158" s="5">
        <v>44412</v>
      </c>
      <c r="C1158" s="6" t="s">
        <v>17</v>
      </c>
      <c r="D1158" s="7">
        <v>101.80999799999999</v>
      </c>
      <c r="E1158" s="7">
        <v>94.354709999999997</v>
      </c>
      <c r="F1158" s="7">
        <v>102.050003</v>
      </c>
      <c r="G1158" s="7">
        <v>100.099998</v>
      </c>
      <c r="H1158" s="8">
        <f t="shared" si="19"/>
        <v>1.2751634035409704E-2</v>
      </c>
    </row>
    <row r="1159" spans="2:8" x14ac:dyDescent="0.2">
      <c r="B1159" s="5">
        <v>44413</v>
      </c>
      <c r="C1159" s="6" t="s">
        <v>17</v>
      </c>
      <c r="D1159" s="7">
        <v>101.5</v>
      </c>
      <c r="E1159" s="7">
        <v>94.067412000000004</v>
      </c>
      <c r="F1159" s="7">
        <v>102.470001</v>
      </c>
      <c r="G1159" s="7">
        <v>100.94000200000001</v>
      </c>
      <c r="H1159" s="8">
        <f t="shared" si="19"/>
        <v>-3.0495168995625342E-3</v>
      </c>
    </row>
    <row r="1160" spans="2:8" x14ac:dyDescent="0.2">
      <c r="B1160" s="5">
        <v>44414</v>
      </c>
      <c r="C1160" s="6" t="s">
        <v>17</v>
      </c>
      <c r="D1160" s="7">
        <v>101.489998</v>
      </c>
      <c r="E1160" s="7">
        <v>94.058143000000001</v>
      </c>
      <c r="F1160" s="7">
        <v>101.849998</v>
      </c>
      <c r="G1160" s="7">
        <v>100.610001</v>
      </c>
      <c r="H1160" s="8">
        <f t="shared" si="19"/>
        <v>-9.8540573156100707E-5</v>
      </c>
    </row>
    <row r="1161" spans="2:8" x14ac:dyDescent="0.2">
      <c r="B1161" s="5">
        <v>44415</v>
      </c>
      <c r="C1161" s="6" t="s">
        <v>17</v>
      </c>
      <c r="D1161" s="7">
        <v>101.94000200000001</v>
      </c>
      <c r="E1161" s="7">
        <v>94.475194000000002</v>
      </c>
      <c r="F1161" s="7">
        <v>103.470001</v>
      </c>
      <c r="G1161" s="7">
        <v>101.879997</v>
      </c>
      <c r="H1161" s="8">
        <f t="shared" si="19"/>
        <v>4.424169082141367E-3</v>
      </c>
    </row>
    <row r="1162" spans="2:8" x14ac:dyDescent="0.2">
      <c r="B1162" s="5">
        <v>44416</v>
      </c>
      <c r="C1162" s="6" t="s">
        <v>17</v>
      </c>
      <c r="D1162" s="7">
        <v>103.279999</v>
      </c>
      <c r="E1162" s="7">
        <v>95.717066000000003</v>
      </c>
      <c r="F1162" s="7">
        <v>103.44000200000001</v>
      </c>
      <c r="G1162" s="7">
        <v>101.779999</v>
      </c>
      <c r="H1162" s="8">
        <f t="shared" si="19"/>
        <v>1.3059307982275635E-2</v>
      </c>
    </row>
    <row r="1163" spans="2:8" x14ac:dyDescent="0.2">
      <c r="B1163" s="5">
        <v>44419</v>
      </c>
      <c r="C1163" s="6" t="s">
        <v>17</v>
      </c>
      <c r="D1163" s="7">
        <v>104.5</v>
      </c>
      <c r="E1163" s="7">
        <v>96.847729999999999</v>
      </c>
      <c r="F1163" s="7">
        <v>104.849998</v>
      </c>
      <c r="G1163" s="7">
        <v>103.93</v>
      </c>
      <c r="H1163" s="8">
        <f t="shared" si="19"/>
        <v>1.1743340602649262E-2</v>
      </c>
    </row>
    <row r="1164" spans="2:8" x14ac:dyDescent="0.2">
      <c r="B1164" s="5">
        <v>44420</v>
      </c>
      <c r="C1164" s="6" t="s">
        <v>17</v>
      </c>
      <c r="D1164" s="7">
        <v>104.33000199999999</v>
      </c>
      <c r="E1164" s="7">
        <v>96.690179999999998</v>
      </c>
      <c r="F1164" s="7">
        <v>105.160004</v>
      </c>
      <c r="G1164" s="7">
        <v>104.129997</v>
      </c>
      <c r="H1164" s="8">
        <f t="shared" si="19"/>
        <v>-1.6281051583313195E-3</v>
      </c>
    </row>
    <row r="1165" spans="2:8" x14ac:dyDescent="0.2">
      <c r="B1165" s="5">
        <v>44421</v>
      </c>
      <c r="C1165" s="6" t="s">
        <v>17</v>
      </c>
      <c r="D1165" s="7">
        <v>105.160004</v>
      </c>
      <c r="E1165" s="7">
        <v>97.459402999999995</v>
      </c>
      <c r="F1165" s="7">
        <v>105.5</v>
      </c>
      <c r="G1165" s="7">
        <v>104.33000199999999</v>
      </c>
      <c r="H1165" s="8">
        <f t="shared" si="19"/>
        <v>7.9240656932804479E-3</v>
      </c>
    </row>
    <row r="1166" spans="2:8" x14ac:dyDescent="0.2">
      <c r="B1166" s="5">
        <v>44422</v>
      </c>
      <c r="C1166" s="6" t="s">
        <v>17</v>
      </c>
      <c r="D1166" s="7">
        <v>105.660004</v>
      </c>
      <c r="E1166" s="7">
        <v>97.922788999999995</v>
      </c>
      <c r="F1166" s="7">
        <v>106</v>
      </c>
      <c r="G1166" s="7">
        <v>104.989998</v>
      </c>
      <c r="H1166" s="8">
        <f t="shared" si="19"/>
        <v>4.7433889864266499E-3</v>
      </c>
    </row>
    <row r="1167" spans="2:8" x14ac:dyDescent="0.2">
      <c r="B1167" s="5">
        <v>44423</v>
      </c>
      <c r="C1167" s="6" t="s">
        <v>17</v>
      </c>
      <c r="D1167" s="7">
        <v>105.739998</v>
      </c>
      <c r="E1167" s="7">
        <v>97.996926000000002</v>
      </c>
      <c r="F1167" s="7">
        <v>106.41999800000001</v>
      </c>
      <c r="G1167" s="7">
        <v>105.129997</v>
      </c>
      <c r="H1167" s="8">
        <f t="shared" si="19"/>
        <v>7.5681003862815852E-4</v>
      </c>
    </row>
    <row r="1168" spans="2:8" x14ac:dyDescent="0.2">
      <c r="B1168" s="5">
        <v>44426</v>
      </c>
      <c r="C1168" s="6" t="s">
        <v>17</v>
      </c>
      <c r="D1168" s="7">
        <v>106.980003</v>
      </c>
      <c r="E1168" s="7">
        <v>99.146129000000002</v>
      </c>
      <c r="F1168" s="7">
        <v>107.099998</v>
      </c>
      <c r="G1168" s="7">
        <v>106.279999</v>
      </c>
      <c r="H1168" s="8">
        <f t="shared" si="19"/>
        <v>1.1658701516210269E-2</v>
      </c>
    </row>
    <row r="1169" spans="2:8" x14ac:dyDescent="0.2">
      <c r="B1169" s="5">
        <v>44427</v>
      </c>
      <c r="C1169" s="6" t="s">
        <v>17</v>
      </c>
      <c r="D1169" s="7">
        <v>107.300003</v>
      </c>
      <c r="E1169" s="7">
        <v>99.442695999999998</v>
      </c>
      <c r="F1169" s="7">
        <v>107.699997</v>
      </c>
      <c r="G1169" s="7">
        <v>106.870003</v>
      </c>
      <c r="H1169" s="8">
        <f t="shared" si="19"/>
        <v>2.9867463132857066E-3</v>
      </c>
    </row>
    <row r="1170" spans="2:8" x14ac:dyDescent="0.2">
      <c r="B1170" s="5">
        <v>44428</v>
      </c>
      <c r="C1170" s="6" t="s">
        <v>17</v>
      </c>
      <c r="D1170" s="7">
        <v>107.699997</v>
      </c>
      <c r="E1170" s="7">
        <v>99.813399000000004</v>
      </c>
      <c r="F1170" s="7">
        <v>108.150002</v>
      </c>
      <c r="G1170" s="7">
        <v>107.199997</v>
      </c>
      <c r="H1170" s="8">
        <f t="shared" si="19"/>
        <v>3.7208741614206419E-3</v>
      </c>
    </row>
    <row r="1171" spans="2:8" x14ac:dyDescent="0.2">
      <c r="B1171" s="5">
        <v>44429</v>
      </c>
      <c r="C1171" s="6" t="s">
        <v>17</v>
      </c>
      <c r="D1171" s="7">
        <v>107.970001</v>
      </c>
      <c r="E1171" s="7">
        <v>100.063632</v>
      </c>
      <c r="F1171" s="7">
        <v>108.57</v>
      </c>
      <c r="G1171" s="7">
        <v>107.540001</v>
      </c>
      <c r="H1171" s="8">
        <f t="shared" si="19"/>
        <v>2.5038707997775624E-3</v>
      </c>
    </row>
    <row r="1172" spans="2:8" x14ac:dyDescent="0.2">
      <c r="B1172" s="5">
        <v>44430</v>
      </c>
      <c r="C1172" s="6" t="s">
        <v>17</v>
      </c>
      <c r="D1172" s="7">
        <v>107.30999799999999</v>
      </c>
      <c r="E1172" s="7">
        <v>99.451958000000005</v>
      </c>
      <c r="F1172" s="7">
        <v>107.82</v>
      </c>
      <c r="G1172" s="7">
        <v>106.540001</v>
      </c>
      <c r="H1172" s="8">
        <f t="shared" si="19"/>
        <v>-6.131610230621691E-3</v>
      </c>
    </row>
    <row r="1173" spans="2:8" x14ac:dyDescent="0.2">
      <c r="B1173" s="5">
        <v>44433</v>
      </c>
      <c r="C1173" s="6" t="s">
        <v>17</v>
      </c>
      <c r="D1173" s="7">
        <v>107.970001</v>
      </c>
      <c r="E1173" s="7">
        <v>100.063632</v>
      </c>
      <c r="F1173" s="7">
        <v>108.33000199999999</v>
      </c>
      <c r="G1173" s="7">
        <v>107.730003</v>
      </c>
      <c r="H1173" s="8">
        <f t="shared" si="19"/>
        <v>6.1316102306216728E-3</v>
      </c>
    </row>
    <row r="1174" spans="2:8" x14ac:dyDescent="0.2">
      <c r="B1174" s="5">
        <v>44434</v>
      </c>
      <c r="C1174" s="6" t="s">
        <v>17</v>
      </c>
      <c r="D1174" s="7">
        <v>108.05999799999999</v>
      </c>
      <c r="E1174" s="7">
        <v>100.14703799999999</v>
      </c>
      <c r="F1174" s="7">
        <v>108.639999</v>
      </c>
      <c r="G1174" s="7">
        <v>107.980003</v>
      </c>
      <c r="H1174" s="8">
        <f t="shared" si="19"/>
        <v>8.331824155525311E-4</v>
      </c>
    </row>
    <row r="1175" spans="2:8" x14ac:dyDescent="0.2">
      <c r="B1175" s="5">
        <v>44435</v>
      </c>
      <c r="C1175" s="6" t="s">
        <v>17</v>
      </c>
      <c r="D1175" s="7">
        <v>108.550003</v>
      </c>
      <c r="E1175" s="7">
        <v>100.601161</v>
      </c>
      <c r="F1175" s="7">
        <v>108.91999800000001</v>
      </c>
      <c r="G1175" s="7">
        <v>108.08000199999999</v>
      </c>
      <c r="H1175" s="8">
        <f t="shared" si="19"/>
        <v>4.524312316597872E-3</v>
      </c>
    </row>
    <row r="1176" spans="2:8" x14ac:dyDescent="0.2">
      <c r="B1176" s="5">
        <v>44436</v>
      </c>
      <c r="C1176" s="6" t="s">
        <v>17</v>
      </c>
      <c r="D1176" s="7">
        <v>108.650002</v>
      </c>
      <c r="E1176" s="7">
        <v>100.693837</v>
      </c>
      <c r="F1176" s="7">
        <v>108.82</v>
      </c>
      <c r="G1176" s="7">
        <v>107.800003</v>
      </c>
      <c r="H1176" s="8">
        <f t="shared" si="19"/>
        <v>9.2079790823294642E-4</v>
      </c>
    </row>
    <row r="1177" spans="2:8" x14ac:dyDescent="0.2">
      <c r="B1177" s="5">
        <v>44437</v>
      </c>
      <c r="C1177" s="6" t="s">
        <v>17</v>
      </c>
      <c r="D1177" s="7">
        <v>109.07</v>
      </c>
      <c r="E1177" s="7">
        <v>101.08308</v>
      </c>
      <c r="F1177" s="7">
        <v>109.099998</v>
      </c>
      <c r="G1177" s="7">
        <v>108.25</v>
      </c>
      <c r="H1177" s="8">
        <f t="shared" si="19"/>
        <v>3.858156707146915E-3</v>
      </c>
    </row>
    <row r="1178" spans="2:8" x14ac:dyDescent="0.2">
      <c r="B1178" s="5">
        <v>44441</v>
      </c>
      <c r="C1178" s="6" t="s">
        <v>17</v>
      </c>
      <c r="D1178" s="7">
        <v>108.91999800000001</v>
      </c>
      <c r="E1178" s="7">
        <v>100.944063</v>
      </c>
      <c r="F1178" s="7">
        <v>109.730003</v>
      </c>
      <c r="G1178" s="7">
        <v>108.83000199999999</v>
      </c>
      <c r="H1178" s="8">
        <f t="shared" si="19"/>
        <v>-1.376221233216488E-3</v>
      </c>
    </row>
    <row r="1179" spans="2:8" x14ac:dyDescent="0.2">
      <c r="B1179" s="5">
        <v>44442</v>
      </c>
      <c r="C1179" s="6" t="s">
        <v>17</v>
      </c>
      <c r="D1179" s="7">
        <v>108.459999</v>
      </c>
      <c r="E1179" s="7">
        <v>100.517748</v>
      </c>
      <c r="F1179" s="7">
        <v>109.660004</v>
      </c>
      <c r="G1179" s="7">
        <v>108.050003</v>
      </c>
      <c r="H1179" s="8">
        <f t="shared" si="19"/>
        <v>-4.2322228140368795E-3</v>
      </c>
    </row>
    <row r="1180" spans="2:8" x14ac:dyDescent="0.2">
      <c r="B1180" s="5">
        <v>44443</v>
      </c>
      <c r="C1180" s="6" t="s">
        <v>17</v>
      </c>
      <c r="D1180" s="7">
        <v>108.82</v>
      </c>
      <c r="E1180" s="7">
        <v>100.851387</v>
      </c>
      <c r="F1180" s="7">
        <v>109.489998</v>
      </c>
      <c r="G1180" s="7">
        <v>108.160004</v>
      </c>
      <c r="H1180" s="8">
        <f t="shared" si="19"/>
        <v>3.3137084816706685E-3</v>
      </c>
    </row>
    <row r="1181" spans="2:8" x14ac:dyDescent="0.2">
      <c r="B1181" s="5">
        <v>44444</v>
      </c>
      <c r="C1181" s="6" t="s">
        <v>17</v>
      </c>
      <c r="D1181" s="7">
        <v>108.540001</v>
      </c>
      <c r="E1181" s="7">
        <v>100.591892</v>
      </c>
      <c r="F1181" s="7">
        <v>109.18</v>
      </c>
      <c r="G1181" s="7">
        <v>108.19000200000001</v>
      </c>
      <c r="H1181" s="8">
        <f t="shared" si="19"/>
        <v>-2.576359408207567E-3</v>
      </c>
    </row>
    <row r="1182" spans="2:8" x14ac:dyDescent="0.2">
      <c r="B1182" s="5">
        <v>44447</v>
      </c>
      <c r="C1182" s="6" t="s">
        <v>17</v>
      </c>
      <c r="D1182" s="7">
        <v>107.910004</v>
      </c>
      <c r="E1182" s="7">
        <v>100.008028</v>
      </c>
      <c r="F1182" s="7">
        <v>108.459999</v>
      </c>
      <c r="G1182" s="7">
        <v>107.519997</v>
      </c>
      <c r="H1182" s="8">
        <f t="shared" si="19"/>
        <v>-5.8211952302770348E-3</v>
      </c>
    </row>
    <row r="1183" spans="2:8" x14ac:dyDescent="0.2">
      <c r="B1183" s="5">
        <v>44448</v>
      </c>
      <c r="C1183" s="6" t="s">
        <v>17</v>
      </c>
      <c r="D1183" s="7">
        <v>107.400002</v>
      </c>
      <c r="E1183" s="7">
        <v>99.535371999999995</v>
      </c>
      <c r="F1183" s="7">
        <v>108.199997</v>
      </c>
      <c r="G1183" s="7">
        <v>107.19000200000001</v>
      </c>
      <c r="H1183" s="8">
        <f t="shared" si="19"/>
        <v>-4.7373842881003776E-3</v>
      </c>
    </row>
    <row r="1184" spans="2:8" x14ac:dyDescent="0.2">
      <c r="B1184" s="5">
        <v>44449</v>
      </c>
      <c r="C1184" s="6" t="s">
        <v>17</v>
      </c>
      <c r="D1184" s="7">
        <v>105.93</v>
      </c>
      <c r="E1184" s="7">
        <v>98.173015000000007</v>
      </c>
      <c r="F1184" s="7">
        <v>106.120003</v>
      </c>
      <c r="G1184" s="7">
        <v>105.379997</v>
      </c>
      <c r="H1184" s="8">
        <f t="shared" si="19"/>
        <v>-1.3781697214747047E-2</v>
      </c>
    </row>
    <row r="1185" spans="2:8" x14ac:dyDescent="0.2">
      <c r="B1185" s="5">
        <v>44450</v>
      </c>
      <c r="C1185" s="6" t="s">
        <v>17</v>
      </c>
      <c r="D1185" s="7">
        <v>105.589996</v>
      </c>
      <c r="E1185" s="7">
        <v>97.857909000000006</v>
      </c>
      <c r="F1185" s="7">
        <v>105.660004</v>
      </c>
      <c r="G1185" s="7">
        <v>104.589996</v>
      </c>
      <c r="H1185" s="8">
        <f t="shared" si="19"/>
        <v>-3.214862889632773E-3</v>
      </c>
    </row>
    <row r="1186" spans="2:8" x14ac:dyDescent="0.2">
      <c r="B1186" s="5">
        <v>44451</v>
      </c>
      <c r="C1186" s="6" t="s">
        <v>17</v>
      </c>
      <c r="D1186" s="7">
        <v>105.019997</v>
      </c>
      <c r="E1186" s="7">
        <v>97.329648000000006</v>
      </c>
      <c r="F1186" s="7">
        <v>105.089996</v>
      </c>
      <c r="G1186" s="7">
        <v>104.400002</v>
      </c>
      <c r="H1186" s="8">
        <f t="shared" si="19"/>
        <v>-5.4128685036928898E-3</v>
      </c>
    </row>
    <row r="1187" spans="2:8" x14ac:dyDescent="0.2">
      <c r="B1187" s="5">
        <v>44454</v>
      </c>
      <c r="C1187" s="6" t="s">
        <v>17</v>
      </c>
      <c r="D1187" s="7">
        <v>104.860001</v>
      </c>
      <c r="E1187" s="7">
        <v>97.181369000000004</v>
      </c>
      <c r="F1187" s="7">
        <v>104.900002</v>
      </c>
      <c r="G1187" s="7">
        <v>103.220001</v>
      </c>
      <c r="H1187" s="8">
        <f t="shared" si="19"/>
        <v>-1.5246337303657662E-3</v>
      </c>
    </row>
    <row r="1188" spans="2:8" x14ac:dyDescent="0.2">
      <c r="B1188" s="5">
        <v>44455</v>
      </c>
      <c r="C1188" s="6" t="s">
        <v>17</v>
      </c>
      <c r="D1188" s="7">
        <v>104.860001</v>
      </c>
      <c r="E1188" s="7">
        <v>97.181369000000004</v>
      </c>
      <c r="F1188" s="7">
        <v>105.83000199999999</v>
      </c>
      <c r="G1188" s="7">
        <v>103.769997</v>
      </c>
      <c r="H1188" s="8">
        <f t="shared" si="19"/>
        <v>0</v>
      </c>
    </row>
    <row r="1189" spans="2:8" x14ac:dyDescent="0.2">
      <c r="B1189" s="5">
        <v>44456</v>
      </c>
      <c r="C1189" s="6" t="s">
        <v>17</v>
      </c>
      <c r="D1189" s="7">
        <v>103.989998</v>
      </c>
      <c r="E1189" s="7">
        <v>96.375073999999998</v>
      </c>
      <c r="F1189" s="7">
        <v>105.410004</v>
      </c>
      <c r="G1189" s="7">
        <v>103.879997</v>
      </c>
      <c r="H1189" s="8">
        <f t="shared" si="19"/>
        <v>-8.3314164221050847E-3</v>
      </c>
    </row>
    <row r="1190" spans="2:8" x14ac:dyDescent="0.2">
      <c r="B1190" s="5">
        <v>44457</v>
      </c>
      <c r="C1190" s="6" t="s">
        <v>17</v>
      </c>
      <c r="D1190" s="7">
        <v>104.339996</v>
      </c>
      <c r="E1190" s="7">
        <v>96.699443000000002</v>
      </c>
      <c r="F1190" s="7">
        <v>104.550003</v>
      </c>
      <c r="G1190" s="7">
        <v>103.400002</v>
      </c>
      <c r="H1190" s="8">
        <f t="shared" si="19"/>
        <v>3.3600426427485668E-3</v>
      </c>
    </row>
    <row r="1191" spans="2:8" x14ac:dyDescent="0.2">
      <c r="B1191" s="5">
        <v>44458</v>
      </c>
      <c r="C1191" s="6" t="s">
        <v>17</v>
      </c>
      <c r="D1191" s="7">
        <v>102.510002</v>
      </c>
      <c r="E1191" s="7">
        <v>95.003455000000002</v>
      </c>
      <c r="F1191" s="7">
        <v>105</v>
      </c>
      <c r="G1191" s="7">
        <v>102.08000199999999</v>
      </c>
      <c r="H1191" s="8">
        <f t="shared" si="19"/>
        <v>-1.7694382999650742E-2</v>
      </c>
    </row>
    <row r="1192" spans="2:8" x14ac:dyDescent="0.2">
      <c r="B1192" s="5">
        <v>44461</v>
      </c>
      <c r="C1192" s="6" t="s">
        <v>17</v>
      </c>
      <c r="D1192" s="7">
        <v>100.900002</v>
      </c>
      <c r="E1192" s="7">
        <v>93.511349999999993</v>
      </c>
      <c r="F1192" s="7">
        <v>102.260002</v>
      </c>
      <c r="G1192" s="7">
        <v>100.82</v>
      </c>
      <c r="H1192" s="8">
        <f t="shared" si="19"/>
        <v>-1.5830440058521043E-2</v>
      </c>
    </row>
    <row r="1193" spans="2:8" x14ac:dyDescent="0.2">
      <c r="B1193" s="5">
        <v>44462</v>
      </c>
      <c r="C1193" s="6" t="s">
        <v>17</v>
      </c>
      <c r="D1193" s="7">
        <v>99.989998</v>
      </c>
      <c r="E1193" s="7">
        <v>92.667984000000004</v>
      </c>
      <c r="F1193" s="7">
        <v>101.089996</v>
      </c>
      <c r="G1193" s="7">
        <v>99.879997000000003</v>
      </c>
      <c r="H1193" s="8">
        <f t="shared" si="19"/>
        <v>-9.0597785529358422E-3</v>
      </c>
    </row>
    <row r="1194" spans="2:8" x14ac:dyDescent="0.2">
      <c r="B1194" s="5">
        <v>44463</v>
      </c>
      <c r="C1194" s="6" t="s">
        <v>17</v>
      </c>
      <c r="D1194" s="7">
        <v>101.199997</v>
      </c>
      <c r="E1194" s="7">
        <v>93.789377999999999</v>
      </c>
      <c r="F1194" s="7">
        <v>101.489998</v>
      </c>
      <c r="G1194" s="7">
        <v>99.889999000000003</v>
      </c>
      <c r="H1194" s="8">
        <f t="shared" si="19"/>
        <v>1.2028567912951845E-2</v>
      </c>
    </row>
    <row r="1195" spans="2:8" x14ac:dyDescent="0.2">
      <c r="B1195" s="5">
        <v>44464</v>
      </c>
      <c r="C1195" s="6" t="s">
        <v>17</v>
      </c>
      <c r="D1195" s="7">
        <v>99.510002</v>
      </c>
      <c r="E1195" s="7">
        <v>92.223136999999994</v>
      </c>
      <c r="F1195" s="7">
        <v>101.199997</v>
      </c>
      <c r="G1195" s="7">
        <v>99.190002000000007</v>
      </c>
      <c r="H1195" s="8">
        <f t="shared" si="19"/>
        <v>-1.6840565979436627E-2</v>
      </c>
    </row>
    <row r="1196" spans="2:8" x14ac:dyDescent="0.2">
      <c r="B1196" s="5">
        <v>44465</v>
      </c>
      <c r="C1196" s="6" t="s">
        <v>17</v>
      </c>
      <c r="D1196" s="7">
        <v>100.379997</v>
      </c>
      <c r="E1196" s="7">
        <v>93.029425000000003</v>
      </c>
      <c r="F1196" s="7">
        <v>100.639999</v>
      </c>
      <c r="G1196" s="7">
        <v>99.239998</v>
      </c>
      <c r="H1196" s="8">
        <f t="shared" si="19"/>
        <v>8.7047982771373007E-3</v>
      </c>
    </row>
    <row r="1197" spans="2:8" x14ac:dyDescent="0.2">
      <c r="B1197" s="5">
        <v>44468</v>
      </c>
      <c r="C1197" s="6" t="s">
        <v>17</v>
      </c>
      <c r="D1197" s="7">
        <v>99.830001999999993</v>
      </c>
      <c r="E1197" s="7">
        <v>92.519704000000004</v>
      </c>
      <c r="F1197" s="7">
        <v>100.099998</v>
      </c>
      <c r="G1197" s="7">
        <v>98.260002</v>
      </c>
      <c r="H1197" s="8">
        <f t="shared" si="19"/>
        <v>-5.4942029096111582E-3</v>
      </c>
    </row>
    <row r="1198" spans="2:8" x14ac:dyDescent="0.2">
      <c r="B1198" s="5">
        <v>44469</v>
      </c>
      <c r="C1198" s="6" t="s">
        <v>17</v>
      </c>
      <c r="D1198" s="7">
        <v>99.029999000000004</v>
      </c>
      <c r="E1198" s="7">
        <v>91.778283000000002</v>
      </c>
      <c r="F1198" s="7">
        <v>100.099998</v>
      </c>
      <c r="G1198" s="7">
        <v>98.800003000000004</v>
      </c>
      <c r="H1198" s="8">
        <f t="shared" si="19"/>
        <v>-8.0459370376408951E-3</v>
      </c>
    </row>
    <row r="1199" spans="2:8" x14ac:dyDescent="0.2">
      <c r="B1199" s="5">
        <v>44470</v>
      </c>
      <c r="C1199" s="6" t="s">
        <v>17</v>
      </c>
      <c r="D1199" s="7">
        <v>97.610000999999997</v>
      </c>
      <c r="E1199" s="7">
        <v>90.462267999999995</v>
      </c>
      <c r="F1199" s="7">
        <v>99</v>
      </c>
      <c r="G1199" s="7">
        <v>97.269997000000004</v>
      </c>
      <c r="H1199" s="8">
        <f t="shared" si="19"/>
        <v>-1.4442865421855293E-2</v>
      </c>
    </row>
    <row r="1200" spans="2:8" x14ac:dyDescent="0.2">
      <c r="B1200" s="5">
        <v>44471</v>
      </c>
      <c r="C1200" s="6" t="s">
        <v>17</v>
      </c>
      <c r="D1200" s="7">
        <v>97.410004000000001</v>
      </c>
      <c r="E1200" s="7">
        <v>90.276916</v>
      </c>
      <c r="F1200" s="7">
        <v>97.980002999999996</v>
      </c>
      <c r="G1200" s="7">
        <v>96.150002000000001</v>
      </c>
      <c r="H1200" s="8">
        <f t="shared" si="19"/>
        <v>-2.0510446144093868E-3</v>
      </c>
    </row>
    <row r="1201" spans="2:8" x14ac:dyDescent="0.2">
      <c r="B1201" s="5">
        <v>44472</v>
      </c>
      <c r="C1201" s="6" t="s">
        <v>17</v>
      </c>
      <c r="D1201" s="7">
        <v>97.389999000000003</v>
      </c>
      <c r="E1201" s="7">
        <v>90.258376999999996</v>
      </c>
      <c r="F1201" s="7">
        <v>98.339995999999999</v>
      </c>
      <c r="G1201" s="7">
        <v>97.029999000000004</v>
      </c>
      <c r="H1201" s="8">
        <f t="shared" si="19"/>
        <v>-2.0537812587334548E-4</v>
      </c>
    </row>
    <row r="1202" spans="2:8" x14ac:dyDescent="0.2">
      <c r="B1202" s="5">
        <v>44475</v>
      </c>
      <c r="C1202" s="6" t="s">
        <v>17</v>
      </c>
      <c r="D1202" s="7">
        <v>98</v>
      </c>
      <c r="E1202" s="7">
        <v>90.823707999999996</v>
      </c>
      <c r="F1202" s="7">
        <v>98.129997000000003</v>
      </c>
      <c r="G1202" s="7">
        <v>96.910004000000001</v>
      </c>
      <c r="H1202" s="8">
        <f t="shared" si="19"/>
        <v>6.2439399977315159E-3</v>
      </c>
    </row>
    <row r="1203" spans="2:8" x14ac:dyDescent="0.2">
      <c r="B1203" s="5">
        <v>44476</v>
      </c>
      <c r="C1203" s="6" t="s">
        <v>17</v>
      </c>
      <c r="D1203" s="7">
        <v>94.699996999999996</v>
      </c>
      <c r="E1203" s="7">
        <v>87.765355999999997</v>
      </c>
      <c r="F1203" s="7">
        <v>97.510002</v>
      </c>
      <c r="G1203" s="7">
        <v>94.690002000000007</v>
      </c>
      <c r="H1203" s="8">
        <f t="shared" si="19"/>
        <v>-3.4253508661058717E-2</v>
      </c>
    </row>
    <row r="1204" spans="2:8" x14ac:dyDescent="0.2">
      <c r="B1204" s="5">
        <v>44477</v>
      </c>
      <c r="C1204" s="6" t="s">
        <v>17</v>
      </c>
      <c r="D1204" s="7">
        <v>96.650002000000001</v>
      </c>
      <c r="E1204" s="7">
        <v>89.572567000000006</v>
      </c>
      <c r="F1204" s="7">
        <v>96.860000999999997</v>
      </c>
      <c r="G1204" s="7">
        <v>93.639999000000003</v>
      </c>
      <c r="H1204" s="8">
        <f t="shared" si="19"/>
        <v>2.0382257038950226E-2</v>
      </c>
    </row>
    <row r="1205" spans="2:8" x14ac:dyDescent="0.2">
      <c r="B1205" s="5">
        <v>44478</v>
      </c>
      <c r="C1205" s="6" t="s">
        <v>17</v>
      </c>
      <c r="D1205" s="7">
        <v>93.5</v>
      </c>
      <c r="E1205" s="7">
        <v>86.653232000000003</v>
      </c>
      <c r="F1205" s="7">
        <v>96.519997000000004</v>
      </c>
      <c r="G1205" s="7">
        <v>93.239998</v>
      </c>
      <c r="H1205" s="8">
        <f t="shared" si="19"/>
        <v>-3.3134786279030999E-2</v>
      </c>
    </row>
    <row r="1206" spans="2:8" x14ac:dyDescent="0.2">
      <c r="B1206" s="5">
        <v>44479</v>
      </c>
      <c r="C1206" s="6" t="s">
        <v>17</v>
      </c>
      <c r="D1206" s="7">
        <v>93.129997000000003</v>
      </c>
      <c r="E1206" s="7">
        <v>86.310323999999994</v>
      </c>
      <c r="F1206" s="7">
        <v>94.57</v>
      </c>
      <c r="G1206" s="7">
        <v>91.610000999999997</v>
      </c>
      <c r="H1206" s="8">
        <f t="shared" si="19"/>
        <v>-3.9650948118325714E-3</v>
      </c>
    </row>
    <row r="1207" spans="2:8" x14ac:dyDescent="0.2">
      <c r="B1207" s="5">
        <v>44482</v>
      </c>
      <c r="C1207" s="6" t="s">
        <v>17</v>
      </c>
      <c r="D1207" s="7">
        <v>91.68</v>
      </c>
      <c r="E1207" s="7">
        <v>84.966505999999995</v>
      </c>
      <c r="F1207" s="7">
        <v>94.059997999999993</v>
      </c>
      <c r="G1207" s="7">
        <v>91.620002999999997</v>
      </c>
      <c r="H1207" s="8">
        <f t="shared" si="19"/>
        <v>-1.5692088360293975E-2</v>
      </c>
    </row>
    <row r="1208" spans="2:8" x14ac:dyDescent="0.2">
      <c r="B1208" s="5">
        <v>44483</v>
      </c>
      <c r="C1208" s="6" t="s">
        <v>17</v>
      </c>
      <c r="D1208" s="7">
        <v>92.800003000000004</v>
      </c>
      <c r="E1208" s="7">
        <v>86.004493999999994</v>
      </c>
      <c r="F1208" s="7">
        <v>95.010002</v>
      </c>
      <c r="G1208" s="7">
        <v>92.389999000000003</v>
      </c>
      <c r="H1208" s="8">
        <f t="shared" si="19"/>
        <v>1.214241892762402E-2</v>
      </c>
    </row>
    <row r="1209" spans="2:8" x14ac:dyDescent="0.2">
      <c r="B1209" s="5">
        <v>44484</v>
      </c>
      <c r="C1209" s="6" t="s">
        <v>17</v>
      </c>
      <c r="D1209" s="7">
        <v>92.589995999999999</v>
      </c>
      <c r="E1209" s="7">
        <v>85.809866</v>
      </c>
      <c r="F1209" s="7">
        <v>92.75</v>
      </c>
      <c r="G1209" s="7">
        <v>90.050003000000004</v>
      </c>
      <c r="H1209" s="8">
        <f t="shared" si="19"/>
        <v>-2.265562473921737E-3</v>
      </c>
    </row>
    <row r="1210" spans="2:8" x14ac:dyDescent="0.2">
      <c r="B1210" s="5">
        <v>44485</v>
      </c>
      <c r="C1210" s="6" t="s">
        <v>17</v>
      </c>
      <c r="D1210" s="7">
        <v>93.239998</v>
      </c>
      <c r="E1210" s="7">
        <v>87.070543000000001</v>
      </c>
      <c r="F1210" s="7">
        <v>94.150002000000001</v>
      </c>
      <c r="G1210" s="7">
        <v>90.269997000000004</v>
      </c>
      <c r="H1210" s="8">
        <f t="shared" si="19"/>
        <v>1.4584640954374492E-2</v>
      </c>
    </row>
    <row r="1211" spans="2:8" x14ac:dyDescent="0.2">
      <c r="B1211" s="5">
        <v>44486</v>
      </c>
      <c r="C1211" s="6" t="s">
        <v>17</v>
      </c>
      <c r="D1211" s="7">
        <v>95.050003000000004</v>
      </c>
      <c r="E1211" s="7">
        <v>88.760784000000001</v>
      </c>
      <c r="F1211" s="7">
        <v>95.599997999999999</v>
      </c>
      <c r="G1211" s="7">
        <v>93.980002999999996</v>
      </c>
      <c r="H1211" s="8">
        <f t="shared" si="19"/>
        <v>1.9226301650328737E-2</v>
      </c>
    </row>
    <row r="1212" spans="2:8" x14ac:dyDescent="0.2">
      <c r="B1212" s="5">
        <v>44489</v>
      </c>
      <c r="C1212" s="6" t="s">
        <v>17</v>
      </c>
      <c r="D1212" s="7">
        <v>94.029999000000004</v>
      </c>
      <c r="E1212" s="7">
        <v>87.808271000000005</v>
      </c>
      <c r="F1212" s="7">
        <v>95.300003000000004</v>
      </c>
      <c r="G1212" s="7">
        <v>93.269997000000004</v>
      </c>
      <c r="H1212" s="8">
        <f t="shared" si="19"/>
        <v>-1.0789231895197754E-2</v>
      </c>
    </row>
    <row r="1213" spans="2:8" x14ac:dyDescent="0.2">
      <c r="B1213" s="5">
        <v>44490</v>
      </c>
      <c r="C1213" s="6" t="s">
        <v>17</v>
      </c>
      <c r="D1213" s="7">
        <v>95.889999000000003</v>
      </c>
      <c r="E1213" s="7">
        <v>89.545199999999994</v>
      </c>
      <c r="F1213" s="7">
        <v>96.32</v>
      </c>
      <c r="G1213" s="7">
        <v>95.040001000000004</v>
      </c>
      <c r="H1213" s="8">
        <f t="shared" si="19"/>
        <v>1.958782679232662E-2</v>
      </c>
    </row>
    <row r="1214" spans="2:8" x14ac:dyDescent="0.2">
      <c r="B1214" s="5">
        <v>44491</v>
      </c>
      <c r="C1214" s="6" t="s">
        <v>17</v>
      </c>
      <c r="D1214" s="7">
        <v>94.57</v>
      </c>
      <c r="E1214" s="7">
        <v>88.312541999999993</v>
      </c>
      <c r="F1214" s="7">
        <v>95.980002999999996</v>
      </c>
      <c r="G1214" s="7">
        <v>94.050003000000004</v>
      </c>
      <c r="H1214" s="8">
        <f t="shared" si="19"/>
        <v>-1.3861389701586875E-2</v>
      </c>
    </row>
    <row r="1215" spans="2:8" x14ac:dyDescent="0.2">
      <c r="B1215" s="5">
        <v>44492</v>
      </c>
      <c r="C1215" s="6" t="s">
        <v>17</v>
      </c>
      <c r="D1215" s="7">
        <v>99.269997000000004</v>
      </c>
      <c r="E1215" s="7">
        <v>92.701552000000007</v>
      </c>
      <c r="F1215" s="7">
        <v>99.940002000000007</v>
      </c>
      <c r="G1215" s="7">
        <v>97.339995999999999</v>
      </c>
      <c r="H1215" s="8">
        <f t="shared" si="19"/>
        <v>4.850307858223591E-2</v>
      </c>
    </row>
    <row r="1216" spans="2:8" x14ac:dyDescent="0.2">
      <c r="B1216" s="5">
        <v>44493</v>
      </c>
      <c r="C1216" s="6" t="s">
        <v>17</v>
      </c>
      <c r="D1216" s="7">
        <v>99.440002000000007</v>
      </c>
      <c r="E1216" s="7">
        <v>92.860309000000001</v>
      </c>
      <c r="F1216" s="7">
        <v>99.68</v>
      </c>
      <c r="G1216" s="7">
        <v>98.370002999999997</v>
      </c>
      <c r="H1216" s="8">
        <f t="shared" si="19"/>
        <v>1.7110955654264621E-3</v>
      </c>
    </row>
    <row r="1217" spans="2:8" x14ac:dyDescent="0.2">
      <c r="B1217" s="5">
        <v>44496</v>
      </c>
      <c r="C1217" s="6" t="s">
        <v>17</v>
      </c>
      <c r="D1217" s="7">
        <v>98.540001000000004</v>
      </c>
      <c r="E1217" s="7">
        <v>92.019857999999999</v>
      </c>
      <c r="F1217" s="7">
        <v>98.769997000000004</v>
      </c>
      <c r="G1217" s="7">
        <v>97.150002000000001</v>
      </c>
      <c r="H1217" s="8">
        <f t="shared" si="19"/>
        <v>-9.0919085928227415E-3</v>
      </c>
    </row>
    <row r="1218" spans="2:8" x14ac:dyDescent="0.2">
      <c r="B1218" s="5">
        <v>44497</v>
      </c>
      <c r="C1218" s="6" t="s">
        <v>17</v>
      </c>
      <c r="D1218" s="7">
        <v>101.160004</v>
      </c>
      <c r="E1218" s="7">
        <v>94.466502000000006</v>
      </c>
      <c r="F1218" s="7">
        <v>101.160004</v>
      </c>
      <c r="G1218" s="7">
        <v>99.029999000000004</v>
      </c>
      <c r="H1218" s="8">
        <f t="shared" si="19"/>
        <v>2.6240893884348377E-2</v>
      </c>
    </row>
    <row r="1219" spans="2:8" x14ac:dyDescent="0.2">
      <c r="B1219" s="5">
        <v>44498</v>
      </c>
      <c r="C1219" s="6" t="s">
        <v>17</v>
      </c>
      <c r="D1219" s="7">
        <v>100.19000200000001</v>
      </c>
      <c r="E1219" s="7">
        <v>93.560682999999997</v>
      </c>
      <c r="F1219" s="7">
        <v>101.839996</v>
      </c>
      <c r="G1219" s="7">
        <v>99.839995999999999</v>
      </c>
      <c r="H1219" s="8">
        <f t="shared" si="19"/>
        <v>-9.6350536500927359E-3</v>
      </c>
    </row>
    <row r="1220" spans="2:8" x14ac:dyDescent="0.2">
      <c r="B1220" s="5">
        <v>44499</v>
      </c>
      <c r="C1220" s="6" t="s">
        <v>17</v>
      </c>
      <c r="D1220" s="7">
        <v>100.160004</v>
      </c>
      <c r="E1220" s="7">
        <v>93.532668999999999</v>
      </c>
      <c r="F1220" s="7">
        <v>100.58000199999999</v>
      </c>
      <c r="G1220" s="7">
        <v>99.059997999999993</v>
      </c>
      <c r="H1220" s="8">
        <f t="shared" ref="H1220:H1283" si="20">IF(C1220=C1219, LN(E1220/E1219), "")</f>
        <v>-2.9946547977133513E-4</v>
      </c>
    </row>
    <row r="1221" spans="2:8" x14ac:dyDescent="0.2">
      <c r="B1221" s="5">
        <v>44500</v>
      </c>
      <c r="C1221" s="6" t="s">
        <v>17</v>
      </c>
      <c r="D1221" s="7">
        <v>101.410004</v>
      </c>
      <c r="E1221" s="7">
        <v>94.699960000000004</v>
      </c>
      <c r="F1221" s="7">
        <v>102.370003</v>
      </c>
      <c r="G1221" s="7">
        <v>100.839996</v>
      </c>
      <c r="H1221" s="8">
        <f t="shared" si="20"/>
        <v>1.2402801467638768E-2</v>
      </c>
    </row>
    <row r="1222" spans="2:8" x14ac:dyDescent="0.2">
      <c r="B1222" s="5">
        <v>44503</v>
      </c>
      <c r="C1222" s="6" t="s">
        <v>17</v>
      </c>
      <c r="D1222" s="7">
        <v>100.220001</v>
      </c>
      <c r="E1222" s="7">
        <v>93.588696999999996</v>
      </c>
      <c r="F1222" s="7">
        <v>101.760002</v>
      </c>
      <c r="G1222" s="7">
        <v>99.769997000000004</v>
      </c>
      <c r="H1222" s="8">
        <f t="shared" si="20"/>
        <v>-1.1803960160822418E-2</v>
      </c>
    </row>
    <row r="1223" spans="2:8" x14ac:dyDescent="0.2">
      <c r="B1223" s="5">
        <v>44504</v>
      </c>
      <c r="C1223" s="6" t="s">
        <v>17</v>
      </c>
      <c r="D1223" s="7">
        <v>98.610000999999997</v>
      </c>
      <c r="E1223" s="7">
        <v>92.085226000000006</v>
      </c>
      <c r="F1223" s="7">
        <v>100</v>
      </c>
      <c r="G1223" s="7">
        <v>98.040001000000004</v>
      </c>
      <c r="H1223" s="8">
        <f t="shared" si="20"/>
        <v>-1.6195099845857982E-2</v>
      </c>
    </row>
    <row r="1224" spans="2:8" x14ac:dyDescent="0.2">
      <c r="B1224" s="5">
        <v>44505</v>
      </c>
      <c r="C1224" s="6" t="s">
        <v>17</v>
      </c>
      <c r="D1224" s="7">
        <v>99.410004000000001</v>
      </c>
      <c r="E1224" s="7">
        <v>92.832295000000002</v>
      </c>
      <c r="F1224" s="7">
        <v>99.639999000000003</v>
      </c>
      <c r="G1224" s="7">
        <v>98.449996999999996</v>
      </c>
      <c r="H1224" s="8">
        <f t="shared" si="20"/>
        <v>8.0800679186879866E-3</v>
      </c>
    </row>
    <row r="1225" spans="2:8" x14ac:dyDescent="0.2">
      <c r="B1225" s="5">
        <v>44506</v>
      </c>
      <c r="C1225" s="6" t="s">
        <v>17</v>
      </c>
      <c r="D1225" s="7">
        <v>100.910004</v>
      </c>
      <c r="E1225" s="7">
        <v>94.233044000000007</v>
      </c>
      <c r="F1225" s="7">
        <v>100.989998</v>
      </c>
      <c r="G1225" s="7">
        <v>99.239998</v>
      </c>
      <c r="H1225" s="8">
        <f t="shared" si="20"/>
        <v>1.497631991661175E-2</v>
      </c>
    </row>
    <row r="1226" spans="2:8" x14ac:dyDescent="0.2">
      <c r="B1226" s="5">
        <v>44507</v>
      </c>
      <c r="C1226" s="6" t="s">
        <v>17</v>
      </c>
      <c r="D1226" s="7">
        <v>101.760002</v>
      </c>
      <c r="E1226" s="7">
        <v>95.026799999999994</v>
      </c>
      <c r="F1226" s="7">
        <v>101.83000199999999</v>
      </c>
      <c r="G1226" s="7">
        <v>100.900002</v>
      </c>
      <c r="H1226" s="8">
        <f t="shared" si="20"/>
        <v>8.3880514454120429E-3</v>
      </c>
    </row>
    <row r="1227" spans="2:8" x14ac:dyDescent="0.2">
      <c r="B1227" s="5">
        <v>44510</v>
      </c>
      <c r="C1227" s="6" t="s">
        <v>17</v>
      </c>
      <c r="D1227" s="7">
        <v>102.209999</v>
      </c>
      <c r="E1227" s="7">
        <v>95.447022000000004</v>
      </c>
      <c r="F1227" s="7">
        <v>102.550003</v>
      </c>
      <c r="G1227" s="7">
        <v>101.860001</v>
      </c>
      <c r="H1227" s="8">
        <f t="shared" si="20"/>
        <v>4.412393024616117E-3</v>
      </c>
    </row>
    <row r="1228" spans="2:8" x14ac:dyDescent="0.2">
      <c r="B1228" s="5">
        <v>44511</v>
      </c>
      <c r="C1228" s="6" t="s">
        <v>17</v>
      </c>
      <c r="D1228" s="7">
        <v>102.529999</v>
      </c>
      <c r="E1228" s="7">
        <v>95.745847999999995</v>
      </c>
      <c r="F1228" s="7">
        <v>102.800003</v>
      </c>
      <c r="G1228" s="7">
        <v>101.599998</v>
      </c>
      <c r="H1228" s="8">
        <f t="shared" si="20"/>
        <v>3.125914092167404E-3</v>
      </c>
    </row>
    <row r="1229" spans="2:8" x14ac:dyDescent="0.2">
      <c r="B1229" s="5">
        <v>44512</v>
      </c>
      <c r="C1229" s="6" t="s">
        <v>17</v>
      </c>
      <c r="D1229" s="7">
        <v>102.989998</v>
      </c>
      <c r="E1229" s="7">
        <v>96.175409999999999</v>
      </c>
      <c r="F1229" s="7">
        <v>103.220001</v>
      </c>
      <c r="G1229" s="7">
        <v>101.519997</v>
      </c>
      <c r="H1229" s="8">
        <f t="shared" si="20"/>
        <v>4.4764474951236961E-3</v>
      </c>
    </row>
    <row r="1230" spans="2:8" x14ac:dyDescent="0.2">
      <c r="B1230" s="5">
        <v>44513</v>
      </c>
      <c r="C1230" s="6" t="s">
        <v>17</v>
      </c>
      <c r="D1230" s="7">
        <v>101.110001</v>
      </c>
      <c r="E1230" s="7">
        <v>94.419807000000006</v>
      </c>
      <c r="F1230" s="7">
        <v>103.18</v>
      </c>
      <c r="G1230" s="7">
        <v>100.68</v>
      </c>
      <c r="H1230" s="8">
        <f t="shared" si="20"/>
        <v>-1.8422840633808828E-2</v>
      </c>
    </row>
    <row r="1231" spans="2:8" x14ac:dyDescent="0.2">
      <c r="B1231" s="5">
        <v>44514</v>
      </c>
      <c r="C1231" s="6" t="s">
        <v>17</v>
      </c>
      <c r="D1231" s="7">
        <v>101.339996</v>
      </c>
      <c r="E1231" s="7">
        <v>94.634585000000001</v>
      </c>
      <c r="F1231" s="7">
        <v>101.699997</v>
      </c>
      <c r="G1231" s="7">
        <v>100.650002</v>
      </c>
      <c r="H1231" s="8">
        <f t="shared" si="20"/>
        <v>2.2721301539571216E-3</v>
      </c>
    </row>
    <row r="1232" spans="2:8" x14ac:dyDescent="0.2">
      <c r="B1232" s="5">
        <v>44517</v>
      </c>
      <c r="C1232" s="6" t="s">
        <v>17</v>
      </c>
      <c r="D1232" s="7">
        <v>101.699997</v>
      </c>
      <c r="E1232" s="7">
        <v>94.970765</v>
      </c>
      <c r="F1232" s="7">
        <v>102.08000199999999</v>
      </c>
      <c r="G1232" s="7">
        <v>100.449997</v>
      </c>
      <c r="H1232" s="8">
        <f t="shared" si="20"/>
        <v>3.5461061861901942E-3</v>
      </c>
    </row>
    <row r="1233" spans="2:8" x14ac:dyDescent="0.2">
      <c r="B1233" s="5">
        <v>44518</v>
      </c>
      <c r="C1233" s="6" t="s">
        <v>17</v>
      </c>
      <c r="D1233" s="7">
        <v>102.040001</v>
      </c>
      <c r="E1233" s="7">
        <v>95.288272000000006</v>
      </c>
      <c r="F1233" s="7">
        <v>102.449997</v>
      </c>
      <c r="G1233" s="7">
        <v>101.30999799999999</v>
      </c>
      <c r="H1233" s="8">
        <f t="shared" si="20"/>
        <v>3.3376316810285376E-3</v>
      </c>
    </row>
    <row r="1234" spans="2:8" x14ac:dyDescent="0.2">
      <c r="B1234" s="5">
        <v>44519</v>
      </c>
      <c r="C1234" s="6" t="s">
        <v>17</v>
      </c>
      <c r="D1234" s="7">
        <v>101.300003</v>
      </c>
      <c r="E1234" s="7">
        <v>94.597238000000004</v>
      </c>
      <c r="F1234" s="7">
        <v>102.300003</v>
      </c>
      <c r="G1234" s="7">
        <v>100.889999</v>
      </c>
      <c r="H1234" s="8">
        <f t="shared" si="20"/>
        <v>-7.2784600644985624E-3</v>
      </c>
    </row>
    <row r="1235" spans="2:8" x14ac:dyDescent="0.2">
      <c r="B1235" s="5">
        <v>44520</v>
      </c>
      <c r="C1235" s="6" t="s">
        <v>17</v>
      </c>
      <c r="D1235" s="7">
        <v>102.089996</v>
      </c>
      <c r="E1235" s="7">
        <v>95.334958999999998</v>
      </c>
      <c r="F1235" s="7">
        <v>102.139999</v>
      </c>
      <c r="G1235" s="7">
        <v>100.07</v>
      </c>
      <c r="H1235" s="8">
        <f t="shared" si="20"/>
        <v>7.7682954396369394E-3</v>
      </c>
    </row>
    <row r="1236" spans="2:8" x14ac:dyDescent="0.2">
      <c r="B1236" s="5">
        <v>44521</v>
      </c>
      <c r="C1236" s="6" t="s">
        <v>17</v>
      </c>
      <c r="D1236" s="7">
        <v>106.449997</v>
      </c>
      <c r="E1236" s="7">
        <v>99.406469999999999</v>
      </c>
      <c r="F1236" s="7">
        <v>107.120003</v>
      </c>
      <c r="G1236" s="7">
        <v>104.199997</v>
      </c>
      <c r="H1236" s="8">
        <f t="shared" si="20"/>
        <v>4.1820627633586342E-2</v>
      </c>
    </row>
    <row r="1237" spans="2:8" x14ac:dyDescent="0.2">
      <c r="B1237" s="5">
        <v>44524</v>
      </c>
      <c r="C1237" s="6" t="s">
        <v>17</v>
      </c>
      <c r="D1237" s="7">
        <v>105.959999</v>
      </c>
      <c r="E1237" s="7">
        <v>98.948893999999996</v>
      </c>
      <c r="F1237" s="7">
        <v>106.470001</v>
      </c>
      <c r="G1237" s="7">
        <v>105.099998</v>
      </c>
      <c r="H1237" s="8">
        <f t="shared" si="20"/>
        <v>-4.6137074636871276E-3</v>
      </c>
    </row>
    <row r="1238" spans="2:8" x14ac:dyDescent="0.2">
      <c r="B1238" s="5">
        <v>44525</v>
      </c>
      <c r="C1238" s="6" t="s">
        <v>17</v>
      </c>
      <c r="D1238" s="7">
        <v>106.239998</v>
      </c>
      <c r="E1238" s="7">
        <v>99.210365999999993</v>
      </c>
      <c r="F1238" s="7">
        <v>106.629997</v>
      </c>
      <c r="G1238" s="7">
        <v>105.33000199999999</v>
      </c>
      <c r="H1238" s="8">
        <f t="shared" si="20"/>
        <v>2.639010175442328E-3</v>
      </c>
    </row>
    <row r="1239" spans="2:8" x14ac:dyDescent="0.2">
      <c r="B1239" s="5">
        <v>44526</v>
      </c>
      <c r="C1239" s="6" t="s">
        <v>17</v>
      </c>
      <c r="D1239" s="7">
        <v>105.790001</v>
      </c>
      <c r="E1239" s="7">
        <v>98.790143999999998</v>
      </c>
      <c r="F1239" s="7">
        <v>106.44000200000001</v>
      </c>
      <c r="G1239" s="7">
        <v>105.449997</v>
      </c>
      <c r="H1239" s="8">
        <f t="shared" si="20"/>
        <v>-4.244662106512755E-3</v>
      </c>
    </row>
    <row r="1240" spans="2:8" x14ac:dyDescent="0.2">
      <c r="B1240" s="5">
        <v>44528</v>
      </c>
      <c r="C1240" s="6" t="s">
        <v>17</v>
      </c>
      <c r="D1240" s="7">
        <v>100.599998</v>
      </c>
      <c r="E1240" s="7">
        <v>93.943550999999999</v>
      </c>
      <c r="F1240" s="7">
        <v>104.610001</v>
      </c>
      <c r="G1240" s="7">
        <v>100.120003</v>
      </c>
      <c r="H1240" s="8">
        <f t="shared" si="20"/>
        <v>-5.030376208444693E-2</v>
      </c>
    </row>
    <row r="1241" spans="2:8" x14ac:dyDescent="0.2">
      <c r="B1241" s="5">
        <v>44531</v>
      </c>
      <c r="C1241" s="6" t="s">
        <v>17</v>
      </c>
      <c r="D1241" s="7">
        <v>99</v>
      </c>
      <c r="E1241" s="7">
        <v>92.449420000000003</v>
      </c>
      <c r="F1241" s="7">
        <v>100.470001</v>
      </c>
      <c r="G1241" s="7">
        <v>97.790001000000004</v>
      </c>
      <c r="H1241" s="8">
        <f t="shared" si="20"/>
        <v>-1.6032396456270224E-2</v>
      </c>
    </row>
    <row r="1242" spans="2:8" x14ac:dyDescent="0.2">
      <c r="B1242" s="5">
        <v>44532</v>
      </c>
      <c r="C1242" s="6" t="s">
        <v>17</v>
      </c>
      <c r="D1242" s="7">
        <v>99.510002</v>
      </c>
      <c r="E1242" s="7">
        <v>92.925676999999993</v>
      </c>
      <c r="F1242" s="7">
        <v>99.959998999999996</v>
      </c>
      <c r="G1242" s="7">
        <v>98.720000999999996</v>
      </c>
      <c r="H1242" s="8">
        <f t="shared" si="20"/>
        <v>5.1383174500127717E-3</v>
      </c>
    </row>
    <row r="1243" spans="2:8" x14ac:dyDescent="0.2">
      <c r="B1243" s="5">
        <v>44533</v>
      </c>
      <c r="C1243" s="6" t="s">
        <v>17</v>
      </c>
      <c r="D1243" s="7">
        <v>100.18</v>
      </c>
      <c r="E1243" s="7">
        <v>93.551343000000003</v>
      </c>
      <c r="F1243" s="7">
        <v>101.459999</v>
      </c>
      <c r="G1243" s="7">
        <v>99.959998999999996</v>
      </c>
      <c r="H1243" s="8">
        <f t="shared" si="20"/>
        <v>6.7104069744043076E-3</v>
      </c>
    </row>
    <row r="1244" spans="2:8" x14ac:dyDescent="0.2">
      <c r="B1244" s="5">
        <v>44534</v>
      </c>
      <c r="C1244" s="6" t="s">
        <v>17</v>
      </c>
      <c r="D1244" s="7">
        <v>99.669998000000007</v>
      </c>
      <c r="E1244" s="7">
        <v>93.075085999999999</v>
      </c>
      <c r="F1244" s="7">
        <v>100.870003</v>
      </c>
      <c r="G1244" s="7">
        <v>99.510002</v>
      </c>
      <c r="H1244" s="8">
        <f t="shared" si="20"/>
        <v>-5.1038648320463282E-3</v>
      </c>
    </row>
    <row r="1245" spans="2:8" x14ac:dyDescent="0.2">
      <c r="B1245" s="5">
        <v>44535</v>
      </c>
      <c r="C1245" s="6" t="s">
        <v>17</v>
      </c>
      <c r="D1245" s="7">
        <v>98.779999000000004</v>
      </c>
      <c r="E1245" s="7">
        <v>92.243976000000004</v>
      </c>
      <c r="F1245" s="7">
        <v>99.959998999999996</v>
      </c>
      <c r="G1245" s="7">
        <v>98.709998999999996</v>
      </c>
      <c r="H1245" s="8">
        <f t="shared" si="20"/>
        <v>-8.9695637689489651E-3</v>
      </c>
    </row>
    <row r="1246" spans="2:8" x14ac:dyDescent="0.2">
      <c r="B1246" s="5">
        <v>44538</v>
      </c>
      <c r="C1246" s="6" t="s">
        <v>17</v>
      </c>
      <c r="D1246" s="7">
        <v>95.25</v>
      </c>
      <c r="E1246" s="7">
        <v>88.947547999999998</v>
      </c>
      <c r="F1246" s="7">
        <v>98.760002</v>
      </c>
      <c r="G1246" s="7">
        <v>95.199996999999996</v>
      </c>
      <c r="H1246" s="8">
        <f t="shared" si="20"/>
        <v>-3.6390132291885639E-2</v>
      </c>
    </row>
    <row r="1247" spans="2:8" x14ac:dyDescent="0.2">
      <c r="B1247" s="5">
        <v>44539</v>
      </c>
      <c r="C1247" s="6" t="s">
        <v>17</v>
      </c>
      <c r="D1247" s="7">
        <v>95.449996999999996</v>
      </c>
      <c r="E1247" s="7">
        <v>89.134311999999994</v>
      </c>
      <c r="F1247" s="7">
        <v>96.169998000000007</v>
      </c>
      <c r="G1247" s="7">
        <v>93.800003000000004</v>
      </c>
      <c r="H1247" s="8">
        <f t="shared" si="20"/>
        <v>2.0975080614382743E-3</v>
      </c>
    </row>
    <row r="1248" spans="2:8" x14ac:dyDescent="0.2">
      <c r="B1248" s="5">
        <v>44540</v>
      </c>
      <c r="C1248" s="6" t="s">
        <v>17</v>
      </c>
      <c r="D1248" s="7">
        <v>93.019997000000004</v>
      </c>
      <c r="E1248" s="7">
        <v>86.865098000000003</v>
      </c>
      <c r="F1248" s="7">
        <v>95.019997000000004</v>
      </c>
      <c r="G1248" s="7">
        <v>92.75</v>
      </c>
      <c r="H1248" s="8">
        <f t="shared" si="20"/>
        <v>-2.5788038212346449E-2</v>
      </c>
    </row>
    <row r="1249" spans="2:8" x14ac:dyDescent="0.2">
      <c r="B1249" s="5">
        <v>44541</v>
      </c>
      <c r="C1249" s="6" t="s">
        <v>17</v>
      </c>
      <c r="D1249" s="7">
        <v>92.690002000000007</v>
      </c>
      <c r="E1249" s="7">
        <v>86.556939</v>
      </c>
      <c r="F1249" s="7">
        <v>94.290001000000004</v>
      </c>
      <c r="G1249" s="7">
        <v>92.529999000000004</v>
      </c>
      <c r="H1249" s="8">
        <f t="shared" si="20"/>
        <v>-3.553865813908162E-3</v>
      </c>
    </row>
    <row r="1250" spans="2:8" x14ac:dyDescent="0.2">
      <c r="B1250" s="5">
        <v>44542</v>
      </c>
      <c r="C1250" s="6" t="s">
        <v>17</v>
      </c>
      <c r="D1250" s="7">
        <v>90.5</v>
      </c>
      <c r="E1250" s="7">
        <v>84.511843999999996</v>
      </c>
      <c r="F1250" s="7">
        <v>92</v>
      </c>
      <c r="G1250" s="7">
        <v>89.959998999999996</v>
      </c>
      <c r="H1250" s="8">
        <f t="shared" si="20"/>
        <v>-2.3910761497425142E-2</v>
      </c>
    </row>
    <row r="1251" spans="2:8" x14ac:dyDescent="0.2">
      <c r="B1251" s="5">
        <v>44545</v>
      </c>
      <c r="C1251" s="6" t="s">
        <v>17</v>
      </c>
      <c r="D1251" s="7">
        <v>89.75</v>
      </c>
      <c r="E1251" s="7">
        <v>83.811469000000002</v>
      </c>
      <c r="F1251" s="7">
        <v>91.290001000000004</v>
      </c>
      <c r="G1251" s="7">
        <v>89.389999000000003</v>
      </c>
      <c r="H1251" s="8">
        <f t="shared" si="20"/>
        <v>-8.3218305227848611E-3</v>
      </c>
    </row>
    <row r="1252" spans="2:8" x14ac:dyDescent="0.2">
      <c r="B1252" s="5">
        <v>44546</v>
      </c>
      <c r="C1252" s="6" t="s">
        <v>17</v>
      </c>
      <c r="D1252" s="7">
        <v>89.339995999999999</v>
      </c>
      <c r="E1252" s="7">
        <v>83.428594000000004</v>
      </c>
      <c r="F1252" s="7">
        <v>92.25</v>
      </c>
      <c r="G1252" s="7">
        <v>89.150002000000001</v>
      </c>
      <c r="H1252" s="8">
        <f t="shared" si="20"/>
        <v>-4.5787553777030202E-3</v>
      </c>
    </row>
    <row r="1253" spans="2:8" x14ac:dyDescent="0.2">
      <c r="B1253" s="5">
        <v>44547</v>
      </c>
      <c r="C1253" s="6" t="s">
        <v>17</v>
      </c>
      <c r="D1253" s="7">
        <v>89.75</v>
      </c>
      <c r="E1253" s="7">
        <v>83.811469000000002</v>
      </c>
      <c r="F1253" s="7">
        <v>90.139999000000003</v>
      </c>
      <c r="G1253" s="7">
        <v>88.029999000000004</v>
      </c>
      <c r="H1253" s="8">
        <f t="shared" si="20"/>
        <v>4.5787553777030827E-3</v>
      </c>
    </row>
    <row r="1254" spans="2:8" x14ac:dyDescent="0.2">
      <c r="B1254" s="5">
        <v>44548</v>
      </c>
      <c r="C1254" s="6" t="s">
        <v>17</v>
      </c>
      <c r="D1254" s="7">
        <v>91.690002000000007</v>
      </c>
      <c r="E1254" s="7">
        <v>85.623107000000005</v>
      </c>
      <c r="F1254" s="7">
        <v>91.889999000000003</v>
      </c>
      <c r="G1254" s="7">
        <v>90.550003000000004</v>
      </c>
      <c r="H1254" s="8">
        <f t="shared" si="20"/>
        <v>2.1385328610280793E-2</v>
      </c>
    </row>
    <row r="1255" spans="2:8" x14ac:dyDescent="0.2">
      <c r="B1255" s="5">
        <v>44549</v>
      </c>
      <c r="C1255" s="6" t="s">
        <v>17</v>
      </c>
      <c r="D1255" s="7">
        <v>91.709998999999996</v>
      </c>
      <c r="E1255" s="7">
        <v>85.641779999999997</v>
      </c>
      <c r="F1255" s="7">
        <v>91.980002999999996</v>
      </c>
      <c r="G1255" s="7">
        <v>90.879997000000003</v>
      </c>
      <c r="H1255" s="8">
        <f t="shared" si="20"/>
        <v>2.1805987673324451E-4</v>
      </c>
    </row>
    <row r="1256" spans="2:8" x14ac:dyDescent="0.2">
      <c r="B1256" s="5">
        <v>44552</v>
      </c>
      <c r="C1256" s="6" t="s">
        <v>17</v>
      </c>
      <c r="D1256" s="7">
        <v>92.32</v>
      </c>
      <c r="E1256" s="7">
        <v>86.211419000000006</v>
      </c>
      <c r="F1256" s="7">
        <v>92.809997999999993</v>
      </c>
      <c r="G1256" s="7">
        <v>91.849997999999999</v>
      </c>
      <c r="H1256" s="8">
        <f t="shared" si="20"/>
        <v>6.629391708279816E-3</v>
      </c>
    </row>
    <row r="1257" spans="2:8" x14ac:dyDescent="0.2">
      <c r="B1257" s="5">
        <v>44553</v>
      </c>
      <c r="C1257" s="6" t="s">
        <v>17</v>
      </c>
      <c r="D1257" s="7">
        <v>93.5</v>
      </c>
      <c r="E1257" s="7">
        <v>87.313340999999994</v>
      </c>
      <c r="F1257" s="7">
        <v>93.940002000000007</v>
      </c>
      <c r="G1257" s="7">
        <v>92.650002000000001</v>
      </c>
      <c r="H1257" s="8">
        <f t="shared" si="20"/>
        <v>1.2700629145691615E-2</v>
      </c>
    </row>
    <row r="1258" spans="2:8" x14ac:dyDescent="0.2">
      <c r="B1258" s="5">
        <v>44554</v>
      </c>
      <c r="C1258" s="6" t="s">
        <v>17</v>
      </c>
      <c r="D1258" s="7">
        <v>93.720000999999996</v>
      </c>
      <c r="E1258" s="7">
        <v>87.518784999999994</v>
      </c>
      <c r="F1258" s="7">
        <v>93.980002999999996</v>
      </c>
      <c r="G1258" s="7">
        <v>93.269997000000004</v>
      </c>
      <c r="H1258" s="8">
        <f t="shared" si="20"/>
        <v>2.3501869966629876E-3</v>
      </c>
    </row>
    <row r="1259" spans="2:8" x14ac:dyDescent="0.2">
      <c r="B1259" s="5">
        <v>44556</v>
      </c>
      <c r="C1259" s="6" t="s">
        <v>17</v>
      </c>
      <c r="D1259" s="7">
        <v>94.230002999999996</v>
      </c>
      <c r="E1259" s="7">
        <v>87.995041999999998</v>
      </c>
      <c r="F1259" s="7">
        <v>94.660004000000001</v>
      </c>
      <c r="G1259" s="7">
        <v>93.720000999999996</v>
      </c>
      <c r="H1259" s="8">
        <f t="shared" si="20"/>
        <v>5.427015945732634E-3</v>
      </c>
    </row>
    <row r="1260" spans="2:8" x14ac:dyDescent="0.2">
      <c r="B1260" s="5">
        <v>44559</v>
      </c>
      <c r="C1260" s="6" t="s">
        <v>17</v>
      </c>
      <c r="D1260" s="7">
        <v>93.709998999999996</v>
      </c>
      <c r="E1260" s="7">
        <v>87.509444999999999</v>
      </c>
      <c r="F1260" s="7">
        <v>94.279999000000004</v>
      </c>
      <c r="G1260" s="7">
        <v>93.589995999999999</v>
      </c>
      <c r="H1260" s="8">
        <f t="shared" si="20"/>
        <v>-5.5337415866063382E-3</v>
      </c>
    </row>
    <row r="1261" spans="2:8" x14ac:dyDescent="0.2">
      <c r="B1261" s="5">
        <v>44560</v>
      </c>
      <c r="C1261" s="6" t="s">
        <v>17</v>
      </c>
      <c r="D1261" s="7">
        <v>92.589995999999999</v>
      </c>
      <c r="E1261" s="7">
        <v>86.463549999999998</v>
      </c>
      <c r="F1261" s="7">
        <v>93.629997000000003</v>
      </c>
      <c r="G1261" s="7">
        <v>92.510002</v>
      </c>
      <c r="H1261" s="8">
        <f t="shared" si="20"/>
        <v>-1.2023792549274572E-2</v>
      </c>
    </row>
    <row r="1262" spans="2:8" x14ac:dyDescent="0.2">
      <c r="B1262" s="5">
        <v>44561</v>
      </c>
      <c r="C1262" s="6" t="s">
        <v>17</v>
      </c>
      <c r="D1262" s="7">
        <v>91.529999000000004</v>
      </c>
      <c r="E1262" s="7">
        <v>85.473690000000005</v>
      </c>
      <c r="F1262" s="7">
        <v>93.57</v>
      </c>
      <c r="G1262" s="7">
        <v>91.449996999999996</v>
      </c>
      <c r="H1262" s="8">
        <f t="shared" si="20"/>
        <v>-1.1514328556855245E-2</v>
      </c>
    </row>
    <row r="1263" spans="2:8" x14ac:dyDescent="0.2">
      <c r="B1263" s="5">
        <v>44563</v>
      </c>
      <c r="C1263" s="6" t="s">
        <v>17</v>
      </c>
      <c r="D1263" s="7">
        <v>91.879997000000003</v>
      </c>
      <c r="E1263" s="7">
        <v>85.800529999999995</v>
      </c>
      <c r="F1263" s="7">
        <v>92.370002999999997</v>
      </c>
      <c r="G1263" s="7">
        <v>90.660004000000001</v>
      </c>
      <c r="H1263" s="8">
        <f t="shared" si="20"/>
        <v>3.8165743418443468E-3</v>
      </c>
    </row>
    <row r="1264" spans="2:8" x14ac:dyDescent="0.2">
      <c r="B1264" s="5">
        <v>44566</v>
      </c>
      <c r="C1264" s="6" t="s">
        <v>17</v>
      </c>
      <c r="D1264" s="7">
        <v>87.029999000000004</v>
      </c>
      <c r="E1264" s="7">
        <v>81.271444000000002</v>
      </c>
      <c r="F1264" s="7">
        <v>90.419998000000007</v>
      </c>
      <c r="G1264" s="7">
        <v>86.599997999999999</v>
      </c>
      <c r="H1264" s="8">
        <f t="shared" si="20"/>
        <v>-5.4230471089702546E-2</v>
      </c>
    </row>
    <row r="1265" spans="2:8" x14ac:dyDescent="0.2">
      <c r="B1265" s="5">
        <v>44567</v>
      </c>
      <c r="C1265" s="6" t="s">
        <v>17</v>
      </c>
      <c r="D1265" s="7">
        <v>86.470000999999996</v>
      </c>
      <c r="E1265" s="7">
        <v>80.748500000000007</v>
      </c>
      <c r="F1265" s="7">
        <v>87.68</v>
      </c>
      <c r="G1265" s="7">
        <v>85.169998000000007</v>
      </c>
      <c r="H1265" s="8">
        <f t="shared" si="20"/>
        <v>-6.455326462473026E-3</v>
      </c>
    </row>
    <row r="1266" spans="2:8" x14ac:dyDescent="0.2">
      <c r="B1266" s="5">
        <v>44568</v>
      </c>
      <c r="C1266" s="6" t="s">
        <v>17</v>
      </c>
      <c r="D1266" s="7">
        <v>87.809997999999993</v>
      </c>
      <c r="E1266" s="7">
        <v>81.999831999999998</v>
      </c>
      <c r="F1266" s="7">
        <v>88.139999000000003</v>
      </c>
      <c r="G1266" s="7">
        <v>86.419998000000007</v>
      </c>
      <c r="H1266" s="8">
        <f t="shared" si="20"/>
        <v>1.5377812402827052E-2</v>
      </c>
    </row>
    <row r="1267" spans="2:8" x14ac:dyDescent="0.2">
      <c r="B1267" s="5">
        <v>44569</v>
      </c>
      <c r="C1267" s="6" t="s">
        <v>17</v>
      </c>
      <c r="D1267" s="7">
        <v>88.709998999999996</v>
      </c>
      <c r="E1267" s="7">
        <v>82.840282999999999</v>
      </c>
      <c r="F1267" s="7">
        <v>89.279999000000004</v>
      </c>
      <c r="G1267" s="7">
        <v>87.839995999999999</v>
      </c>
      <c r="H1267" s="8">
        <f t="shared" si="20"/>
        <v>1.0197254263927976E-2</v>
      </c>
    </row>
    <row r="1268" spans="2:8" x14ac:dyDescent="0.2">
      <c r="B1268" s="5">
        <v>44570</v>
      </c>
      <c r="C1268" s="6" t="s">
        <v>17</v>
      </c>
      <c r="D1268" s="7">
        <v>87.650002000000001</v>
      </c>
      <c r="E1268" s="7">
        <v>81.850421999999995</v>
      </c>
      <c r="F1268" s="7">
        <v>88.889999000000003</v>
      </c>
      <c r="G1268" s="7">
        <v>87.019997000000004</v>
      </c>
      <c r="H1268" s="8">
        <f t="shared" si="20"/>
        <v>-1.2020993168986518E-2</v>
      </c>
    </row>
    <row r="1269" spans="2:8" x14ac:dyDescent="0.2">
      <c r="B1269" s="5">
        <v>44573</v>
      </c>
      <c r="C1269" s="6" t="s">
        <v>17</v>
      </c>
      <c r="D1269" s="7">
        <v>86.889999000000003</v>
      </c>
      <c r="E1269" s="7">
        <v>81.140708000000004</v>
      </c>
      <c r="F1269" s="7">
        <v>87.769997000000004</v>
      </c>
      <c r="G1269" s="7">
        <v>86.07</v>
      </c>
      <c r="H1269" s="8">
        <f t="shared" si="20"/>
        <v>-8.7086761770208132E-3</v>
      </c>
    </row>
    <row r="1270" spans="2:8" x14ac:dyDescent="0.2">
      <c r="B1270" s="5">
        <v>44574</v>
      </c>
      <c r="C1270" s="6" t="s">
        <v>17</v>
      </c>
      <c r="D1270" s="7">
        <v>86.370002999999997</v>
      </c>
      <c r="E1270" s="7">
        <v>80.655118000000002</v>
      </c>
      <c r="F1270" s="7">
        <v>87.900002000000001</v>
      </c>
      <c r="G1270" s="7">
        <v>85.199996999999996</v>
      </c>
      <c r="H1270" s="8">
        <f t="shared" si="20"/>
        <v>-6.0025214493947925E-3</v>
      </c>
    </row>
    <row r="1271" spans="2:8" x14ac:dyDescent="0.2">
      <c r="B1271" s="5">
        <v>44575</v>
      </c>
      <c r="C1271" s="6" t="s">
        <v>17</v>
      </c>
      <c r="D1271" s="7">
        <v>86.07</v>
      </c>
      <c r="E1271" s="7">
        <v>80.374965000000003</v>
      </c>
      <c r="F1271" s="7">
        <v>86.220000999999996</v>
      </c>
      <c r="G1271" s="7">
        <v>84.269997000000004</v>
      </c>
      <c r="H1271" s="8">
        <f t="shared" si="20"/>
        <v>-3.4795148512905038E-3</v>
      </c>
    </row>
    <row r="1272" spans="2:8" x14ac:dyDescent="0.2">
      <c r="B1272" s="5">
        <v>44576</v>
      </c>
      <c r="C1272" s="6" t="s">
        <v>17</v>
      </c>
      <c r="D1272" s="7">
        <v>84.32</v>
      </c>
      <c r="E1272" s="7">
        <v>79.386401000000006</v>
      </c>
      <c r="F1272" s="7">
        <v>86.169998000000007</v>
      </c>
      <c r="G1272" s="7">
        <v>84.300003000000004</v>
      </c>
      <c r="H1272" s="8">
        <f t="shared" si="20"/>
        <v>-1.2375665554844699E-2</v>
      </c>
    </row>
    <row r="1273" spans="2:8" x14ac:dyDescent="0.2">
      <c r="B1273" s="5">
        <v>44577</v>
      </c>
      <c r="C1273" s="6" t="s">
        <v>17</v>
      </c>
      <c r="D1273" s="7">
        <v>83.860000999999997</v>
      </c>
      <c r="E1273" s="7">
        <v>78.953316999999998</v>
      </c>
      <c r="F1273" s="7">
        <v>84.32</v>
      </c>
      <c r="G1273" s="7">
        <v>83.050003000000004</v>
      </c>
      <c r="H1273" s="8">
        <f t="shared" si="20"/>
        <v>-5.4703277920976692E-3</v>
      </c>
    </row>
    <row r="1274" spans="2:8" x14ac:dyDescent="0.2">
      <c r="B1274" s="5">
        <v>44581</v>
      </c>
      <c r="C1274" s="6" t="s">
        <v>17</v>
      </c>
      <c r="D1274" s="7">
        <v>83.970000999999996</v>
      </c>
      <c r="E1274" s="7">
        <v>79.056881000000004</v>
      </c>
      <c r="F1274" s="7">
        <v>84.5</v>
      </c>
      <c r="G1274" s="7">
        <v>83.190002000000007</v>
      </c>
      <c r="H1274" s="8">
        <f t="shared" si="20"/>
        <v>1.3108522885313025E-3</v>
      </c>
    </row>
    <row r="1275" spans="2:8" x14ac:dyDescent="0.2">
      <c r="B1275" s="5">
        <v>44582</v>
      </c>
      <c r="C1275" s="6" t="s">
        <v>17</v>
      </c>
      <c r="D1275" s="7">
        <v>85.370002999999997</v>
      </c>
      <c r="E1275" s="7">
        <v>80.374967999999996</v>
      </c>
      <c r="F1275" s="7">
        <v>85.400002000000001</v>
      </c>
      <c r="G1275" s="7">
        <v>83.589995999999999</v>
      </c>
      <c r="H1275" s="8">
        <f t="shared" si="20"/>
        <v>1.6535178383465333E-2</v>
      </c>
    </row>
    <row r="1276" spans="2:8" x14ac:dyDescent="0.2">
      <c r="B1276" s="5">
        <v>44583</v>
      </c>
      <c r="C1276" s="6" t="s">
        <v>17</v>
      </c>
      <c r="D1276" s="7">
        <v>86.82</v>
      </c>
      <c r="E1276" s="7">
        <v>81.740125000000006</v>
      </c>
      <c r="F1276" s="7">
        <v>87.360000999999997</v>
      </c>
      <c r="G1276" s="7">
        <v>85.43</v>
      </c>
      <c r="H1276" s="8">
        <f t="shared" si="20"/>
        <v>1.6842222950056523E-2</v>
      </c>
    </row>
    <row r="1277" spans="2:8" x14ac:dyDescent="0.2">
      <c r="B1277" s="5">
        <v>44584</v>
      </c>
      <c r="C1277" s="6" t="s">
        <v>17</v>
      </c>
      <c r="D1277" s="7">
        <v>85.610000999999997</v>
      </c>
      <c r="E1277" s="7">
        <v>80.600922999999995</v>
      </c>
      <c r="F1277" s="7">
        <v>87</v>
      </c>
      <c r="G1277" s="7">
        <v>85.199996999999996</v>
      </c>
      <c r="H1277" s="8">
        <f t="shared" si="20"/>
        <v>-1.4034906314096136E-2</v>
      </c>
    </row>
    <row r="1278" spans="2:8" x14ac:dyDescent="0.2">
      <c r="B1278" s="5">
        <v>44587</v>
      </c>
      <c r="C1278" s="6" t="s">
        <v>17</v>
      </c>
      <c r="D1278" s="7">
        <v>86.029999000000004</v>
      </c>
      <c r="E1278" s="7">
        <v>80.996347</v>
      </c>
      <c r="F1278" s="7">
        <v>86.260002</v>
      </c>
      <c r="G1278" s="7">
        <v>84.900002000000001</v>
      </c>
      <c r="H1278" s="8">
        <f t="shared" si="20"/>
        <v>4.8939538301102465E-3</v>
      </c>
    </row>
    <row r="1279" spans="2:8" x14ac:dyDescent="0.2">
      <c r="B1279" s="5">
        <v>44588</v>
      </c>
      <c r="C1279" s="6" t="s">
        <v>17</v>
      </c>
      <c r="D1279" s="7">
        <v>79.849997999999999</v>
      </c>
      <c r="E1279" s="7">
        <v>75.177941000000004</v>
      </c>
      <c r="F1279" s="7">
        <v>81.349997999999999</v>
      </c>
      <c r="G1279" s="7">
        <v>79.099997999999999</v>
      </c>
      <c r="H1279" s="8">
        <f t="shared" si="20"/>
        <v>-7.4546204732127988E-2</v>
      </c>
    </row>
    <row r="1280" spans="2:8" x14ac:dyDescent="0.2">
      <c r="B1280" s="5">
        <v>44589</v>
      </c>
      <c r="C1280" s="6" t="s">
        <v>17</v>
      </c>
      <c r="D1280" s="7">
        <v>80.010002</v>
      </c>
      <c r="E1280" s="7">
        <v>75.328582999999995</v>
      </c>
      <c r="F1280" s="7">
        <v>81.199996999999996</v>
      </c>
      <c r="G1280" s="7">
        <v>79.959998999999996</v>
      </c>
      <c r="H1280" s="8">
        <f t="shared" si="20"/>
        <v>2.0018009359443764E-3</v>
      </c>
    </row>
    <row r="1281" spans="2:8" x14ac:dyDescent="0.2">
      <c r="B1281" s="5">
        <v>44590</v>
      </c>
      <c r="C1281" s="6" t="s">
        <v>17</v>
      </c>
      <c r="D1281" s="7">
        <v>80</v>
      </c>
      <c r="E1281" s="7">
        <v>75.319165999999996</v>
      </c>
      <c r="F1281" s="7">
        <v>80.180000000000007</v>
      </c>
      <c r="G1281" s="7">
        <v>78.809997999999993</v>
      </c>
      <c r="H1281" s="8">
        <f t="shared" si="20"/>
        <v>-1.2502012243492604E-4</v>
      </c>
    </row>
    <row r="1282" spans="2:8" x14ac:dyDescent="0.2">
      <c r="B1282" s="5">
        <v>44591</v>
      </c>
      <c r="C1282" s="6" t="s">
        <v>17</v>
      </c>
      <c r="D1282" s="7">
        <v>79.970000999999996</v>
      </c>
      <c r="E1282" s="7">
        <v>75.290923000000006</v>
      </c>
      <c r="F1282" s="7">
        <v>80.819999999999993</v>
      </c>
      <c r="G1282" s="7">
        <v>79.419998000000007</v>
      </c>
      <c r="H1282" s="8">
        <f t="shared" si="20"/>
        <v>-3.7504792034278635E-4</v>
      </c>
    </row>
    <row r="1283" spans="2:8" x14ac:dyDescent="0.2">
      <c r="B1283" s="5">
        <v>44594</v>
      </c>
      <c r="C1283" s="6" t="s">
        <v>17</v>
      </c>
      <c r="D1283" s="7">
        <v>80.839995999999999</v>
      </c>
      <c r="E1283" s="7">
        <v>76.110014000000007</v>
      </c>
      <c r="F1283" s="7">
        <v>80.879997000000003</v>
      </c>
      <c r="G1283" s="7">
        <v>79.489998</v>
      </c>
      <c r="H1283" s="8">
        <f t="shared" si="20"/>
        <v>1.0820263172509172E-2</v>
      </c>
    </row>
    <row r="1284" spans="2:8" x14ac:dyDescent="0.2">
      <c r="B1284" s="5">
        <v>44595</v>
      </c>
      <c r="C1284" s="6" t="s">
        <v>17</v>
      </c>
      <c r="D1284" s="7">
        <v>83.919998000000007</v>
      </c>
      <c r="E1284" s="7">
        <v>79.009804000000003</v>
      </c>
      <c r="F1284" s="7">
        <v>84.110000999999997</v>
      </c>
      <c r="G1284" s="7">
        <v>81.150002000000001</v>
      </c>
      <c r="H1284" s="8">
        <f t="shared" ref="H1284:H1347" si="21">IF(C1284=C1283, LN(E1284/E1283), "")</f>
        <v>3.7392099809344818E-2</v>
      </c>
    </row>
    <row r="1285" spans="2:8" x14ac:dyDescent="0.2">
      <c r="B1285" s="5">
        <v>44596</v>
      </c>
      <c r="C1285" s="6" t="s">
        <v>17</v>
      </c>
      <c r="D1285" s="7">
        <v>81.949996999999996</v>
      </c>
      <c r="E1285" s="7">
        <v>77.155068</v>
      </c>
      <c r="F1285" s="7">
        <v>83.32</v>
      </c>
      <c r="G1285" s="7">
        <v>81.660004000000001</v>
      </c>
      <c r="H1285" s="8">
        <f t="shared" si="21"/>
        <v>-2.3754679167387976E-2</v>
      </c>
    </row>
    <row r="1286" spans="2:8" x14ac:dyDescent="0.2">
      <c r="B1286" s="5">
        <v>44597</v>
      </c>
      <c r="C1286" s="6" t="s">
        <v>17</v>
      </c>
      <c r="D1286" s="7">
        <v>83.57</v>
      </c>
      <c r="E1286" s="7">
        <v>78.680284</v>
      </c>
      <c r="F1286" s="7">
        <v>83.629997000000003</v>
      </c>
      <c r="G1286" s="7">
        <v>81.870002999999997</v>
      </c>
      <c r="H1286" s="8">
        <f t="shared" si="21"/>
        <v>1.9575336206514731E-2</v>
      </c>
    </row>
    <row r="1287" spans="2:8" x14ac:dyDescent="0.2">
      <c r="B1287" s="5">
        <v>44598</v>
      </c>
      <c r="C1287" s="6" t="s">
        <v>17</v>
      </c>
      <c r="D1287" s="7">
        <v>83.209998999999996</v>
      </c>
      <c r="E1287" s="7">
        <v>78.341346999999999</v>
      </c>
      <c r="F1287" s="7">
        <v>84.139999000000003</v>
      </c>
      <c r="G1287" s="7">
        <v>82.800003000000004</v>
      </c>
      <c r="H1287" s="8">
        <f t="shared" si="21"/>
        <v>-4.3170807008429931E-3</v>
      </c>
    </row>
    <row r="1288" spans="2:8" x14ac:dyDescent="0.2">
      <c r="B1288" s="5">
        <v>44601</v>
      </c>
      <c r="C1288" s="6" t="s">
        <v>17</v>
      </c>
      <c r="D1288" s="7">
        <v>84.669998000000007</v>
      </c>
      <c r="E1288" s="7">
        <v>79.715920999999994</v>
      </c>
      <c r="F1288" s="7">
        <v>84.870002999999997</v>
      </c>
      <c r="G1288" s="7">
        <v>82.949996999999996</v>
      </c>
      <c r="H1288" s="8">
        <f t="shared" si="21"/>
        <v>1.7393805081295996E-2</v>
      </c>
    </row>
    <row r="1289" spans="2:8" x14ac:dyDescent="0.2">
      <c r="B1289" s="5">
        <v>44602</v>
      </c>
      <c r="C1289" s="6" t="s">
        <v>17</v>
      </c>
      <c r="D1289" s="7">
        <v>83.900002000000001</v>
      </c>
      <c r="E1289" s="7">
        <v>78.990977000000001</v>
      </c>
      <c r="F1289" s="7">
        <v>85</v>
      </c>
      <c r="G1289" s="7">
        <v>83.459998999999996</v>
      </c>
      <c r="H1289" s="8">
        <f t="shared" si="21"/>
        <v>-9.135696698402359E-3</v>
      </c>
    </row>
    <row r="1290" spans="2:8" x14ac:dyDescent="0.2">
      <c r="B1290" s="5">
        <v>44603</v>
      </c>
      <c r="C1290" s="6" t="s">
        <v>17</v>
      </c>
      <c r="D1290" s="7">
        <v>83.410004000000001</v>
      </c>
      <c r="E1290" s="7">
        <v>78.529649000000006</v>
      </c>
      <c r="F1290" s="7">
        <v>83.669998000000007</v>
      </c>
      <c r="G1290" s="7">
        <v>82.239998</v>
      </c>
      <c r="H1290" s="8">
        <f t="shared" si="21"/>
        <v>-5.8573830067430114E-3</v>
      </c>
    </row>
    <row r="1291" spans="2:8" x14ac:dyDescent="0.2">
      <c r="B1291" s="5">
        <v>44604</v>
      </c>
      <c r="C1291" s="6" t="s">
        <v>17</v>
      </c>
      <c r="D1291" s="7">
        <v>83.529999000000004</v>
      </c>
      <c r="E1291" s="7">
        <v>78.642623</v>
      </c>
      <c r="F1291" s="7">
        <v>84.25</v>
      </c>
      <c r="G1291" s="7">
        <v>83.309997999999993</v>
      </c>
      <c r="H1291" s="8">
        <f t="shared" si="21"/>
        <v>1.4375820622659172E-3</v>
      </c>
    </row>
    <row r="1292" spans="2:8" x14ac:dyDescent="0.2">
      <c r="B1292" s="5">
        <v>44605</v>
      </c>
      <c r="C1292" s="6" t="s">
        <v>17</v>
      </c>
      <c r="D1292" s="7">
        <v>85.129997000000003</v>
      </c>
      <c r="E1292" s="7">
        <v>80.149005000000002</v>
      </c>
      <c r="F1292" s="7">
        <v>85.489998</v>
      </c>
      <c r="G1292" s="7">
        <v>84.029999000000004</v>
      </c>
      <c r="H1292" s="8">
        <f t="shared" si="21"/>
        <v>1.8973634945554121E-2</v>
      </c>
    </row>
    <row r="1293" spans="2:8" x14ac:dyDescent="0.2">
      <c r="B1293" s="5">
        <v>44609</v>
      </c>
      <c r="C1293" s="6" t="s">
        <v>17</v>
      </c>
      <c r="D1293" s="7">
        <v>85.379997000000003</v>
      </c>
      <c r="E1293" s="7">
        <v>80.384377999999998</v>
      </c>
      <c r="F1293" s="7">
        <v>85.580001999999993</v>
      </c>
      <c r="G1293" s="7">
        <v>84.199996999999996</v>
      </c>
      <c r="H1293" s="8">
        <f t="shared" si="21"/>
        <v>2.9323890677926678E-3</v>
      </c>
    </row>
    <row r="1294" spans="2:8" x14ac:dyDescent="0.2">
      <c r="B1294" s="5">
        <v>44610</v>
      </c>
      <c r="C1294" s="6" t="s">
        <v>17</v>
      </c>
      <c r="D1294" s="7">
        <v>84.800003000000004</v>
      </c>
      <c r="E1294" s="7">
        <v>79.838318999999998</v>
      </c>
      <c r="F1294" s="7">
        <v>85.809997999999993</v>
      </c>
      <c r="G1294" s="7">
        <v>84.580001999999993</v>
      </c>
      <c r="H1294" s="8">
        <f t="shared" si="21"/>
        <v>-6.8162766506276399E-3</v>
      </c>
    </row>
    <row r="1295" spans="2:8" x14ac:dyDescent="0.2">
      <c r="B1295" s="5">
        <v>44611</v>
      </c>
      <c r="C1295" s="6" t="s">
        <v>17</v>
      </c>
      <c r="D1295" s="7">
        <v>83.300003000000004</v>
      </c>
      <c r="E1295" s="7">
        <v>78.426085</v>
      </c>
      <c r="F1295" s="7">
        <v>84</v>
      </c>
      <c r="G1295" s="7">
        <v>82.209998999999996</v>
      </c>
      <c r="H1295" s="8">
        <f t="shared" si="21"/>
        <v>-1.784698831721427E-2</v>
      </c>
    </row>
    <row r="1296" spans="2:8" x14ac:dyDescent="0.2">
      <c r="B1296" s="5">
        <v>44612</v>
      </c>
      <c r="C1296" s="6" t="s">
        <v>17</v>
      </c>
      <c r="D1296" s="7">
        <v>84.440002000000007</v>
      </c>
      <c r="E1296" s="7">
        <v>79.499381999999997</v>
      </c>
      <c r="F1296" s="7">
        <v>84.620002999999997</v>
      </c>
      <c r="G1296" s="7">
        <v>82.400002000000001</v>
      </c>
      <c r="H1296" s="8">
        <f t="shared" si="21"/>
        <v>1.3592659190041628E-2</v>
      </c>
    </row>
    <row r="1297" spans="2:8" x14ac:dyDescent="0.2">
      <c r="B1297" s="5">
        <v>44615</v>
      </c>
      <c r="C1297" s="6" t="s">
        <v>17</v>
      </c>
      <c r="D1297" s="7">
        <v>83.489998</v>
      </c>
      <c r="E1297" s="7">
        <v>78.604962999999998</v>
      </c>
      <c r="F1297" s="7">
        <v>83.980002999999996</v>
      </c>
      <c r="G1297" s="7">
        <v>83.139999000000003</v>
      </c>
      <c r="H1297" s="8">
        <f t="shared" si="21"/>
        <v>-1.1314408109769936E-2</v>
      </c>
    </row>
    <row r="1298" spans="2:8" x14ac:dyDescent="0.2">
      <c r="B1298" s="5">
        <v>44616</v>
      </c>
      <c r="C1298" s="6" t="s">
        <v>17</v>
      </c>
      <c r="D1298" s="7">
        <v>84.5</v>
      </c>
      <c r="E1298" s="7">
        <v>79.555869000000001</v>
      </c>
      <c r="F1298" s="7">
        <v>84.690002000000007</v>
      </c>
      <c r="G1298" s="7">
        <v>83.599997999999999</v>
      </c>
      <c r="H1298" s="8">
        <f t="shared" si="21"/>
        <v>1.2024689625402532E-2</v>
      </c>
    </row>
    <row r="1299" spans="2:8" x14ac:dyDescent="0.2">
      <c r="B1299" s="5">
        <v>44617</v>
      </c>
      <c r="C1299" s="6" t="s">
        <v>17</v>
      </c>
      <c r="D1299" s="7">
        <v>85.150002000000001</v>
      </c>
      <c r="E1299" s="7">
        <v>80.167839000000001</v>
      </c>
      <c r="F1299" s="7">
        <v>85.360000999999997</v>
      </c>
      <c r="G1299" s="7">
        <v>84.169998000000007</v>
      </c>
      <c r="H1299" s="8">
        <f t="shared" si="21"/>
        <v>7.6628949106057652E-3</v>
      </c>
    </row>
    <row r="1300" spans="2:8" x14ac:dyDescent="0.2">
      <c r="B1300" s="5">
        <v>44618</v>
      </c>
      <c r="C1300" s="6" t="s">
        <v>17</v>
      </c>
      <c r="D1300" s="7">
        <v>83.800003000000004</v>
      </c>
      <c r="E1300" s="7">
        <v>78.896828999999997</v>
      </c>
      <c r="F1300" s="7">
        <v>85.099997999999999</v>
      </c>
      <c r="G1300" s="7">
        <v>83.559997999999993</v>
      </c>
      <c r="H1300" s="8">
        <f t="shared" si="21"/>
        <v>-1.5981387541288833E-2</v>
      </c>
    </row>
    <row r="1301" spans="2:8" x14ac:dyDescent="0.2">
      <c r="B1301" s="5">
        <v>44619</v>
      </c>
      <c r="C1301" s="6" t="s">
        <v>17</v>
      </c>
      <c r="D1301" s="7">
        <v>82.900002000000001</v>
      </c>
      <c r="E1301" s="7">
        <v>78.049486999999999</v>
      </c>
      <c r="F1301" s="7">
        <v>84.18</v>
      </c>
      <c r="G1301" s="7">
        <v>82.889999000000003</v>
      </c>
      <c r="H1301" s="8">
        <f t="shared" si="21"/>
        <v>-1.0797962700076548E-2</v>
      </c>
    </row>
    <row r="1302" spans="2:8" x14ac:dyDescent="0.2">
      <c r="B1302" s="5">
        <v>44622</v>
      </c>
      <c r="C1302" s="6" t="s">
        <v>17</v>
      </c>
      <c r="D1302" s="7">
        <v>83</v>
      </c>
      <c r="E1302" s="7">
        <v>78.143635000000003</v>
      </c>
      <c r="F1302" s="7">
        <v>83.07</v>
      </c>
      <c r="G1302" s="7">
        <v>82.239998</v>
      </c>
      <c r="H1302" s="8">
        <f t="shared" si="21"/>
        <v>1.2055333832457346E-3</v>
      </c>
    </row>
    <row r="1303" spans="2:8" x14ac:dyDescent="0.2">
      <c r="B1303" s="5">
        <v>44623</v>
      </c>
      <c r="C1303" s="6" t="s">
        <v>17</v>
      </c>
      <c r="D1303" s="7">
        <v>82.839995999999999</v>
      </c>
      <c r="E1303" s="7">
        <v>77.992992999999998</v>
      </c>
      <c r="F1303" s="7">
        <v>83.790001000000004</v>
      </c>
      <c r="G1303" s="7">
        <v>82.650002000000001</v>
      </c>
      <c r="H1303" s="8">
        <f t="shared" si="21"/>
        <v>-1.929618292282348E-3</v>
      </c>
    </row>
    <row r="1304" spans="2:8" x14ac:dyDescent="0.2">
      <c r="B1304" s="5">
        <v>44624</v>
      </c>
      <c r="C1304" s="6" t="s">
        <v>17</v>
      </c>
      <c r="D1304" s="7">
        <v>81.730002999999996</v>
      </c>
      <c r="E1304" s="7">
        <v>76.947946000000002</v>
      </c>
      <c r="F1304" s="7">
        <v>82.610000999999997</v>
      </c>
      <c r="G1304" s="7">
        <v>80.830001999999993</v>
      </c>
      <c r="H1304" s="8">
        <f t="shared" si="21"/>
        <v>-1.3489822049939721E-2</v>
      </c>
    </row>
    <row r="1305" spans="2:8" x14ac:dyDescent="0.2">
      <c r="B1305" s="5">
        <v>44625</v>
      </c>
      <c r="C1305" s="6" t="s">
        <v>17</v>
      </c>
      <c r="D1305" s="7">
        <v>81.510002</v>
      </c>
      <c r="E1305" s="7">
        <v>76.740817000000007</v>
      </c>
      <c r="F1305" s="7">
        <v>81.730002999999996</v>
      </c>
      <c r="G1305" s="7">
        <v>80.059997999999993</v>
      </c>
      <c r="H1305" s="8">
        <f t="shared" si="21"/>
        <v>-2.6954361706434502E-3</v>
      </c>
    </row>
    <row r="1306" spans="2:8" x14ac:dyDescent="0.2">
      <c r="B1306" s="5">
        <v>44626</v>
      </c>
      <c r="C1306" s="6" t="s">
        <v>17</v>
      </c>
      <c r="D1306" s="7">
        <v>80.059997999999993</v>
      </c>
      <c r="E1306" s="7">
        <v>75.375653</v>
      </c>
      <c r="F1306" s="7">
        <v>81.209998999999996</v>
      </c>
      <c r="G1306" s="7">
        <v>79.550003000000004</v>
      </c>
      <c r="H1306" s="8">
        <f t="shared" si="21"/>
        <v>-1.7949412740679668E-2</v>
      </c>
    </row>
    <row r="1307" spans="2:8" x14ac:dyDescent="0.2">
      <c r="B1307" s="5">
        <v>44629</v>
      </c>
      <c r="C1307" s="6" t="s">
        <v>17</v>
      </c>
      <c r="D1307" s="7">
        <v>80.809997999999993</v>
      </c>
      <c r="E1307" s="7">
        <v>76.081770000000006</v>
      </c>
      <c r="F1307" s="7">
        <v>81.339995999999999</v>
      </c>
      <c r="G1307" s="7">
        <v>80.099997999999999</v>
      </c>
      <c r="H1307" s="8">
        <f t="shared" si="21"/>
        <v>9.3243645909966005E-3</v>
      </c>
    </row>
    <row r="1308" spans="2:8" x14ac:dyDescent="0.2">
      <c r="B1308" s="5">
        <v>44630</v>
      </c>
      <c r="C1308" s="6" t="s">
        <v>17</v>
      </c>
      <c r="D1308" s="7">
        <v>79.910004000000001</v>
      </c>
      <c r="E1308" s="7">
        <v>75.234436000000002</v>
      </c>
      <c r="F1308" s="7">
        <v>80.760002</v>
      </c>
      <c r="G1308" s="7">
        <v>79.739998</v>
      </c>
      <c r="H1308" s="8">
        <f t="shared" si="21"/>
        <v>-1.1199631278926514E-2</v>
      </c>
    </row>
    <row r="1309" spans="2:8" x14ac:dyDescent="0.2">
      <c r="B1309" s="5">
        <v>44631</v>
      </c>
      <c r="C1309" s="6" t="s">
        <v>17</v>
      </c>
      <c r="D1309" s="7">
        <v>79.699996999999996</v>
      </c>
      <c r="E1309" s="7">
        <v>75.036715999999998</v>
      </c>
      <c r="F1309" s="7">
        <v>80.150002000000001</v>
      </c>
      <c r="G1309" s="7">
        <v>79.260002</v>
      </c>
      <c r="H1309" s="8">
        <f t="shared" si="21"/>
        <v>-2.6315112577090937E-3</v>
      </c>
    </row>
    <row r="1310" spans="2:8" x14ac:dyDescent="0.2">
      <c r="B1310" s="5">
        <v>44632</v>
      </c>
      <c r="C1310" s="6" t="s">
        <v>17</v>
      </c>
      <c r="D1310" s="7">
        <v>80.190002000000007</v>
      </c>
      <c r="E1310" s="7">
        <v>75.498052000000001</v>
      </c>
      <c r="F1310" s="7">
        <v>80.480002999999996</v>
      </c>
      <c r="G1310" s="7">
        <v>79.800003000000004</v>
      </c>
      <c r="H1310" s="8">
        <f t="shared" si="21"/>
        <v>6.1293141835148572E-3</v>
      </c>
    </row>
    <row r="1311" spans="2:8" x14ac:dyDescent="0.2">
      <c r="B1311" s="5">
        <v>44633</v>
      </c>
      <c r="C1311" s="6" t="s">
        <v>17</v>
      </c>
      <c r="D1311" s="7">
        <v>79.230002999999996</v>
      </c>
      <c r="E1311" s="7">
        <v>74.594222000000002</v>
      </c>
      <c r="F1311" s="7">
        <v>79.910004000000001</v>
      </c>
      <c r="G1311" s="7">
        <v>78.190002000000007</v>
      </c>
      <c r="H1311" s="8">
        <f t="shared" si="21"/>
        <v>-1.204380347065547E-2</v>
      </c>
    </row>
    <row r="1312" spans="2:8" x14ac:dyDescent="0.2">
      <c r="B1312" s="5">
        <v>44636</v>
      </c>
      <c r="C1312" s="6" t="s">
        <v>17</v>
      </c>
      <c r="D1312" s="7">
        <v>79.970000999999996</v>
      </c>
      <c r="E1312" s="7">
        <v>75.290923000000006</v>
      </c>
      <c r="F1312" s="7">
        <v>80</v>
      </c>
      <c r="G1312" s="7">
        <v>79.059997999999993</v>
      </c>
      <c r="H1312" s="8">
        <f t="shared" si="21"/>
        <v>9.2965319241050028E-3</v>
      </c>
    </row>
    <row r="1313" spans="2:8" x14ac:dyDescent="0.2">
      <c r="B1313" s="5">
        <v>44637</v>
      </c>
      <c r="C1313" s="6" t="s">
        <v>17</v>
      </c>
      <c r="D1313" s="7">
        <v>78.449996999999996</v>
      </c>
      <c r="E1313" s="7">
        <v>73.859853999999999</v>
      </c>
      <c r="F1313" s="7">
        <v>79.349997999999999</v>
      </c>
      <c r="G1313" s="7">
        <v>78.25</v>
      </c>
      <c r="H1313" s="8">
        <f t="shared" si="21"/>
        <v>-1.9190150341301653E-2</v>
      </c>
    </row>
    <row r="1314" spans="2:8" x14ac:dyDescent="0.2">
      <c r="B1314" s="5">
        <v>44638</v>
      </c>
      <c r="C1314" s="6" t="s">
        <v>17</v>
      </c>
      <c r="D1314" s="7">
        <v>81.330001999999993</v>
      </c>
      <c r="E1314" s="7">
        <v>76.571348999999998</v>
      </c>
      <c r="F1314" s="7">
        <v>81.440002000000007</v>
      </c>
      <c r="G1314" s="7">
        <v>78.25</v>
      </c>
      <c r="H1314" s="8">
        <f t="shared" si="21"/>
        <v>3.6053540126080467E-2</v>
      </c>
    </row>
    <row r="1315" spans="2:8" x14ac:dyDescent="0.2">
      <c r="B1315" s="5">
        <v>44639</v>
      </c>
      <c r="C1315" s="6" t="s">
        <v>17</v>
      </c>
      <c r="D1315" s="7">
        <v>80.089995999999999</v>
      </c>
      <c r="E1315" s="7">
        <v>75.403897000000001</v>
      </c>
      <c r="F1315" s="7">
        <v>80.5</v>
      </c>
      <c r="G1315" s="7">
        <v>79.559997999999993</v>
      </c>
      <c r="H1315" s="8">
        <f t="shared" si="21"/>
        <v>-1.5364014807391245E-2</v>
      </c>
    </row>
    <row r="1316" spans="2:8" x14ac:dyDescent="0.2">
      <c r="B1316" s="5">
        <v>44640</v>
      </c>
      <c r="C1316" s="6" t="s">
        <v>17</v>
      </c>
      <c r="D1316" s="7">
        <v>81.190002000000007</v>
      </c>
      <c r="E1316" s="7">
        <v>76.439541000000006</v>
      </c>
      <c r="F1316" s="7">
        <v>81.25</v>
      </c>
      <c r="G1316" s="7">
        <v>80.190002000000007</v>
      </c>
      <c r="H1316" s="8">
        <f t="shared" si="21"/>
        <v>1.3641156616014791E-2</v>
      </c>
    </row>
    <row r="1317" spans="2:8" x14ac:dyDescent="0.2">
      <c r="B1317" s="5">
        <v>44643</v>
      </c>
      <c r="C1317" s="6" t="s">
        <v>17</v>
      </c>
      <c r="D1317" s="7">
        <v>81.089995999999999</v>
      </c>
      <c r="E1317" s="7">
        <v>76.345386000000005</v>
      </c>
      <c r="F1317" s="7">
        <v>81.919998000000007</v>
      </c>
      <c r="G1317" s="7">
        <v>81.019997000000004</v>
      </c>
      <c r="H1317" s="8">
        <f t="shared" si="21"/>
        <v>-1.2325170259658332E-3</v>
      </c>
    </row>
    <row r="1318" spans="2:8" x14ac:dyDescent="0.2">
      <c r="B1318" s="5">
        <v>44644</v>
      </c>
      <c r="C1318" s="6" t="s">
        <v>17</v>
      </c>
      <c r="D1318" s="7">
        <v>80.480002999999996</v>
      </c>
      <c r="E1318" s="7">
        <v>75.771084000000002</v>
      </c>
      <c r="F1318" s="7">
        <v>81.199996999999996</v>
      </c>
      <c r="G1318" s="7">
        <v>80.199996999999996</v>
      </c>
      <c r="H1318" s="8">
        <f t="shared" si="21"/>
        <v>-7.5508553238147896E-3</v>
      </c>
    </row>
    <row r="1319" spans="2:8" x14ac:dyDescent="0.2">
      <c r="B1319" s="5">
        <v>44645</v>
      </c>
      <c r="C1319" s="6" t="s">
        <v>17</v>
      </c>
      <c r="D1319" s="7">
        <v>79.860000999999997</v>
      </c>
      <c r="E1319" s="7">
        <v>75.187358000000003</v>
      </c>
      <c r="F1319" s="7">
        <v>81.040001000000004</v>
      </c>
      <c r="G1319" s="7">
        <v>79.830001999999993</v>
      </c>
      <c r="H1319" s="8">
        <f t="shared" si="21"/>
        <v>-7.7336371733768179E-3</v>
      </c>
    </row>
    <row r="1320" spans="2:8" x14ac:dyDescent="0.2">
      <c r="B1320" s="5">
        <v>44646</v>
      </c>
      <c r="C1320" s="6" t="s">
        <v>17</v>
      </c>
      <c r="D1320" s="7">
        <v>79.879997000000003</v>
      </c>
      <c r="E1320" s="7">
        <v>75.206185000000005</v>
      </c>
      <c r="F1320" s="7">
        <v>80.800003000000004</v>
      </c>
      <c r="G1320" s="7">
        <v>79.510002</v>
      </c>
      <c r="H1320" s="8">
        <f t="shared" si="21"/>
        <v>2.5036979278227393E-4</v>
      </c>
    </row>
    <row r="1321" spans="2:8" x14ac:dyDescent="0.2">
      <c r="B1321" s="5">
        <v>44647</v>
      </c>
      <c r="C1321" s="6" t="s">
        <v>17</v>
      </c>
      <c r="D1321" s="7">
        <v>79.669998000000007</v>
      </c>
      <c r="E1321" s="7">
        <v>75.008472999999995</v>
      </c>
      <c r="F1321" s="7">
        <v>79.879997000000003</v>
      </c>
      <c r="G1321" s="7">
        <v>78.760002</v>
      </c>
      <c r="H1321" s="8">
        <f t="shared" si="21"/>
        <v>-2.6323944254554575E-3</v>
      </c>
    </row>
    <row r="1322" spans="2:8" x14ac:dyDescent="0.2">
      <c r="B1322" s="5">
        <v>44650</v>
      </c>
      <c r="C1322" s="6" t="s">
        <v>17</v>
      </c>
      <c r="D1322" s="7">
        <v>81.370002999999997</v>
      </c>
      <c r="E1322" s="7">
        <v>76.609009</v>
      </c>
      <c r="F1322" s="7">
        <v>81.519997000000004</v>
      </c>
      <c r="G1322" s="7">
        <v>80</v>
      </c>
      <c r="H1322" s="8">
        <f t="shared" si="21"/>
        <v>2.1113600308338337E-2</v>
      </c>
    </row>
    <row r="1323" spans="2:8" x14ac:dyDescent="0.2">
      <c r="B1323" s="5">
        <v>44651</v>
      </c>
      <c r="C1323" s="6" t="s">
        <v>17</v>
      </c>
      <c r="D1323" s="7">
        <v>80.029999000000004</v>
      </c>
      <c r="E1323" s="7">
        <v>75.347409999999996</v>
      </c>
      <c r="F1323" s="7">
        <v>80.650002000000001</v>
      </c>
      <c r="G1323" s="7">
        <v>79.809997999999993</v>
      </c>
      <c r="H1323" s="8">
        <f t="shared" si="21"/>
        <v>-1.660512924157749E-2</v>
      </c>
    </row>
    <row r="1324" spans="2:8" x14ac:dyDescent="0.2">
      <c r="B1324" s="5">
        <v>44652</v>
      </c>
      <c r="C1324" s="6" t="s">
        <v>17</v>
      </c>
      <c r="D1324" s="7">
        <v>79.639999000000003</v>
      </c>
      <c r="E1324" s="7">
        <v>74.980228999999994</v>
      </c>
      <c r="F1324" s="7">
        <v>80.519997000000004</v>
      </c>
      <c r="G1324" s="7">
        <v>79.389999000000003</v>
      </c>
      <c r="H1324" s="8">
        <f t="shared" si="21"/>
        <v>-4.8850861045233495E-3</v>
      </c>
    </row>
    <row r="1325" spans="2:8" x14ac:dyDescent="0.2">
      <c r="B1325" s="5">
        <v>44653</v>
      </c>
      <c r="C1325" s="6" t="s">
        <v>17</v>
      </c>
      <c r="D1325" s="7">
        <v>80.239998</v>
      </c>
      <c r="E1325" s="7">
        <v>75.545122000000006</v>
      </c>
      <c r="F1325" s="7">
        <v>80.5</v>
      </c>
      <c r="G1325" s="7">
        <v>79.400002000000001</v>
      </c>
      <c r="H1325" s="8">
        <f t="shared" si="21"/>
        <v>7.5056546711233518E-3</v>
      </c>
    </row>
    <row r="1326" spans="2:8" x14ac:dyDescent="0.2">
      <c r="B1326" s="5">
        <v>44657</v>
      </c>
      <c r="C1326" s="6" t="s">
        <v>17</v>
      </c>
      <c r="D1326" s="7">
        <v>81.489998</v>
      </c>
      <c r="E1326" s="7">
        <v>76.721984000000006</v>
      </c>
      <c r="F1326" s="7">
        <v>82</v>
      </c>
      <c r="G1326" s="7">
        <v>79.980002999999996</v>
      </c>
      <c r="H1326" s="8">
        <f t="shared" si="21"/>
        <v>1.5458170389929513E-2</v>
      </c>
    </row>
    <row r="1327" spans="2:8" x14ac:dyDescent="0.2">
      <c r="B1327" s="5">
        <v>44658</v>
      </c>
      <c r="C1327" s="6" t="s">
        <v>17</v>
      </c>
      <c r="D1327" s="7">
        <v>80.540001000000004</v>
      </c>
      <c r="E1327" s="7">
        <v>75.827571000000006</v>
      </c>
      <c r="F1327" s="7">
        <v>81.430000000000007</v>
      </c>
      <c r="G1327" s="7">
        <v>80.5</v>
      </c>
      <c r="H1327" s="8">
        <f t="shared" si="21"/>
        <v>-1.1726330489362995E-2</v>
      </c>
    </row>
    <row r="1328" spans="2:8" x14ac:dyDescent="0.2">
      <c r="B1328" s="5">
        <v>44659</v>
      </c>
      <c r="C1328" s="6" t="s">
        <v>17</v>
      </c>
      <c r="D1328" s="7">
        <v>80.440002000000007</v>
      </c>
      <c r="E1328" s="7">
        <v>75.733423999999999</v>
      </c>
      <c r="F1328" s="7">
        <v>81.239998</v>
      </c>
      <c r="G1328" s="7">
        <v>79.919998000000007</v>
      </c>
      <c r="H1328" s="8">
        <f t="shared" si="21"/>
        <v>-1.2423646612959355E-3</v>
      </c>
    </row>
    <row r="1329" spans="2:8" x14ac:dyDescent="0.2">
      <c r="B1329" s="5">
        <v>44660</v>
      </c>
      <c r="C1329" s="6" t="s">
        <v>17</v>
      </c>
      <c r="D1329" s="7">
        <v>80.680000000000007</v>
      </c>
      <c r="E1329" s="7">
        <v>75.959378999999998</v>
      </c>
      <c r="F1329" s="7">
        <v>81.209998999999996</v>
      </c>
      <c r="G1329" s="7">
        <v>80.279999000000004</v>
      </c>
      <c r="H1329" s="8">
        <f t="shared" si="21"/>
        <v>2.9791151939480066E-3</v>
      </c>
    </row>
    <row r="1330" spans="2:8" x14ac:dyDescent="0.2">
      <c r="B1330" s="5">
        <v>44661</v>
      </c>
      <c r="C1330" s="6" t="s">
        <v>17</v>
      </c>
      <c r="D1330" s="7">
        <v>82.599997999999999</v>
      </c>
      <c r="E1330" s="7">
        <v>77.767037999999999</v>
      </c>
      <c r="F1330" s="7">
        <v>82.800003000000004</v>
      </c>
      <c r="G1330" s="7">
        <v>80.739998</v>
      </c>
      <c r="H1330" s="8">
        <f t="shared" si="21"/>
        <v>2.3518954760510455E-2</v>
      </c>
    </row>
    <row r="1331" spans="2:8" x14ac:dyDescent="0.2">
      <c r="B1331" s="5">
        <v>44664</v>
      </c>
      <c r="C1331" s="6" t="s">
        <v>17</v>
      </c>
      <c r="D1331" s="7">
        <v>82.139999000000003</v>
      </c>
      <c r="E1331" s="7">
        <v>77.333952999999994</v>
      </c>
      <c r="F1331" s="7">
        <v>82.610000999999997</v>
      </c>
      <c r="G1331" s="7">
        <v>81.599997999999999</v>
      </c>
      <c r="H1331" s="8">
        <f t="shared" si="21"/>
        <v>-5.584569418595693E-3</v>
      </c>
    </row>
    <row r="1332" spans="2:8" x14ac:dyDescent="0.2">
      <c r="B1332" s="5">
        <v>44665</v>
      </c>
      <c r="C1332" s="6" t="s">
        <v>17</v>
      </c>
      <c r="D1332" s="7">
        <v>83</v>
      </c>
      <c r="E1332" s="7">
        <v>78.143635000000003</v>
      </c>
      <c r="F1332" s="7">
        <v>83.239998</v>
      </c>
      <c r="G1332" s="7">
        <v>81.540001000000004</v>
      </c>
      <c r="H1332" s="8">
        <f t="shared" si="21"/>
        <v>1.041551171615379E-2</v>
      </c>
    </row>
    <row r="1333" spans="2:8" x14ac:dyDescent="0.2">
      <c r="B1333" s="5">
        <v>44666</v>
      </c>
      <c r="C1333" s="6" t="s">
        <v>17</v>
      </c>
      <c r="D1333" s="7">
        <v>85.160004000000001</v>
      </c>
      <c r="E1333" s="7">
        <v>80.177256</v>
      </c>
      <c r="F1333" s="7">
        <v>85.730002999999996</v>
      </c>
      <c r="G1333" s="7">
        <v>83</v>
      </c>
      <c r="H1333" s="8">
        <f t="shared" si="21"/>
        <v>2.569127601720159E-2</v>
      </c>
    </row>
    <row r="1334" spans="2:8" x14ac:dyDescent="0.2">
      <c r="B1334" s="5">
        <v>44667</v>
      </c>
      <c r="C1334" s="6" t="s">
        <v>17</v>
      </c>
      <c r="D1334" s="7">
        <v>84.339995999999999</v>
      </c>
      <c r="E1334" s="7">
        <v>80.063333999999998</v>
      </c>
      <c r="F1334" s="7">
        <v>84.900002000000001</v>
      </c>
      <c r="G1334" s="7">
        <v>84</v>
      </c>
      <c r="H1334" s="8">
        <f t="shared" si="21"/>
        <v>-1.4218871659622419E-3</v>
      </c>
    </row>
    <row r="1335" spans="2:8" x14ac:dyDescent="0.2">
      <c r="B1335" s="5">
        <v>44668</v>
      </c>
      <c r="C1335" s="6" t="s">
        <v>17</v>
      </c>
      <c r="D1335" s="7">
        <v>83.279999000000004</v>
      </c>
      <c r="E1335" s="7">
        <v>79.057086999999996</v>
      </c>
      <c r="F1335" s="7">
        <v>83.589995999999999</v>
      </c>
      <c r="G1335" s="7">
        <v>82.660004000000001</v>
      </c>
      <c r="H1335" s="8">
        <f t="shared" si="21"/>
        <v>-1.2647784708642577E-2</v>
      </c>
    </row>
    <row r="1336" spans="2:8" x14ac:dyDescent="0.2">
      <c r="B1336" s="5">
        <v>44671</v>
      </c>
      <c r="C1336" s="6" t="s">
        <v>17</v>
      </c>
      <c r="D1336" s="7">
        <v>84.599997999999999</v>
      </c>
      <c r="E1336" s="7">
        <v>80.310153</v>
      </c>
      <c r="F1336" s="7">
        <v>84.75</v>
      </c>
      <c r="G1336" s="7">
        <v>83.879997000000003</v>
      </c>
      <c r="H1336" s="8">
        <f t="shared" si="21"/>
        <v>1.5725839560343107E-2</v>
      </c>
    </row>
    <row r="1337" spans="2:8" x14ac:dyDescent="0.2">
      <c r="B1337" s="5">
        <v>44672</v>
      </c>
      <c r="C1337" s="6" t="s">
        <v>17</v>
      </c>
      <c r="D1337" s="7">
        <v>83.919998000000007</v>
      </c>
      <c r="E1337" s="7">
        <v>79.664632999999995</v>
      </c>
      <c r="F1337" s="7">
        <v>84.970000999999996</v>
      </c>
      <c r="G1337" s="7">
        <v>83.610000999999997</v>
      </c>
      <c r="H1337" s="8">
        <f t="shared" si="21"/>
        <v>-8.0703155753013359E-3</v>
      </c>
    </row>
    <row r="1338" spans="2:8" x14ac:dyDescent="0.2">
      <c r="B1338" s="5">
        <v>44673</v>
      </c>
      <c r="C1338" s="6" t="s">
        <v>17</v>
      </c>
      <c r="D1338" s="7">
        <v>84.870002999999997</v>
      </c>
      <c r="E1338" s="7">
        <v>80.566466000000005</v>
      </c>
      <c r="F1338" s="7">
        <v>84.940002000000007</v>
      </c>
      <c r="G1338" s="7">
        <v>83.089995999999999</v>
      </c>
      <c r="H1338" s="8">
        <f t="shared" si="21"/>
        <v>1.1256772606363019E-2</v>
      </c>
    </row>
    <row r="1339" spans="2:8" x14ac:dyDescent="0.2">
      <c r="B1339" s="5">
        <v>44674</v>
      </c>
      <c r="C1339" s="6" t="s">
        <v>17</v>
      </c>
      <c r="D1339" s="7">
        <v>84.790001000000004</v>
      </c>
      <c r="E1339" s="7">
        <v>80.490520000000004</v>
      </c>
      <c r="F1339" s="7">
        <v>87.5</v>
      </c>
      <c r="G1339" s="7">
        <v>83.849997999999999</v>
      </c>
      <c r="H1339" s="8">
        <f t="shared" si="21"/>
        <v>-9.4309483264566835E-4</v>
      </c>
    </row>
    <row r="1340" spans="2:8" x14ac:dyDescent="0.2">
      <c r="B1340" s="5">
        <v>44675</v>
      </c>
      <c r="C1340" s="6" t="s">
        <v>17</v>
      </c>
      <c r="D1340" s="7">
        <v>84.599997999999999</v>
      </c>
      <c r="E1340" s="7">
        <v>80.310153</v>
      </c>
      <c r="F1340" s="7">
        <v>85.169998000000007</v>
      </c>
      <c r="G1340" s="7">
        <v>84.019997000000004</v>
      </c>
      <c r="H1340" s="8">
        <f t="shared" si="21"/>
        <v>-2.2433621984159716E-3</v>
      </c>
    </row>
    <row r="1341" spans="2:8" x14ac:dyDescent="0.2">
      <c r="B1341" s="5">
        <v>44678</v>
      </c>
      <c r="C1341" s="6" t="s">
        <v>17</v>
      </c>
      <c r="D1341" s="7">
        <v>85.330001999999993</v>
      </c>
      <c r="E1341" s="7">
        <v>81.003139000000004</v>
      </c>
      <c r="F1341" s="7">
        <v>85.940002000000007</v>
      </c>
      <c r="G1341" s="7">
        <v>84.400002000000001</v>
      </c>
      <c r="H1341" s="8">
        <f t="shared" si="21"/>
        <v>8.5918556917519151E-3</v>
      </c>
    </row>
    <row r="1342" spans="2:8" x14ac:dyDescent="0.2">
      <c r="B1342" s="5">
        <v>44679</v>
      </c>
      <c r="C1342" s="6" t="s">
        <v>17</v>
      </c>
      <c r="D1342" s="7">
        <v>86.199996999999996</v>
      </c>
      <c r="E1342" s="7">
        <v>81.829019000000002</v>
      </c>
      <c r="F1342" s="7">
        <v>86.220000999999996</v>
      </c>
      <c r="G1342" s="7">
        <v>84.5</v>
      </c>
      <c r="H1342" s="8">
        <f t="shared" si="21"/>
        <v>1.0144029191092235E-2</v>
      </c>
    </row>
    <row r="1343" spans="2:8" x14ac:dyDescent="0.2">
      <c r="B1343" s="5">
        <v>44680</v>
      </c>
      <c r="C1343" s="6" t="s">
        <v>17</v>
      </c>
      <c r="D1343" s="7">
        <v>87.5</v>
      </c>
      <c r="E1343" s="7">
        <v>83.063102999999998</v>
      </c>
      <c r="F1343" s="7">
        <v>87.919998000000007</v>
      </c>
      <c r="G1343" s="7">
        <v>85.459998999999996</v>
      </c>
      <c r="H1343" s="8">
        <f t="shared" si="21"/>
        <v>1.4968659841723554E-2</v>
      </c>
    </row>
    <row r="1344" spans="2:8" x14ac:dyDescent="0.2">
      <c r="B1344" s="5">
        <v>44681</v>
      </c>
      <c r="C1344" s="6" t="s">
        <v>17</v>
      </c>
      <c r="D1344" s="7">
        <v>86.879997000000003</v>
      </c>
      <c r="E1344" s="7">
        <v>82.474537999999995</v>
      </c>
      <c r="F1344" s="7">
        <v>87.300003000000004</v>
      </c>
      <c r="G1344" s="7">
        <v>86.230002999999996</v>
      </c>
      <c r="H1344" s="8">
        <f t="shared" si="21"/>
        <v>-7.1109806393214155E-3</v>
      </c>
    </row>
    <row r="1345" spans="2:8" x14ac:dyDescent="0.2">
      <c r="B1345" s="5">
        <v>44682</v>
      </c>
      <c r="C1345" s="6" t="s">
        <v>17</v>
      </c>
      <c r="D1345" s="7">
        <v>87.370002999999997</v>
      </c>
      <c r="E1345" s="7">
        <v>82.939696999999995</v>
      </c>
      <c r="F1345" s="7">
        <v>88.279999000000004</v>
      </c>
      <c r="G1345" s="7">
        <v>86.760002</v>
      </c>
      <c r="H1345" s="8">
        <f t="shared" si="21"/>
        <v>5.6241861667822822E-3</v>
      </c>
    </row>
    <row r="1346" spans="2:8" x14ac:dyDescent="0.2">
      <c r="B1346" s="5">
        <v>44685</v>
      </c>
      <c r="C1346" s="6" t="s">
        <v>17</v>
      </c>
      <c r="D1346" s="7">
        <v>87.300003000000004</v>
      </c>
      <c r="E1346" s="7">
        <v>82.873247000000006</v>
      </c>
      <c r="F1346" s="7">
        <v>87.959998999999996</v>
      </c>
      <c r="G1346" s="7">
        <v>87.169998000000007</v>
      </c>
      <c r="H1346" s="8">
        <f t="shared" si="21"/>
        <v>-8.0150562379913408E-4</v>
      </c>
    </row>
    <row r="1347" spans="2:8" x14ac:dyDescent="0.2">
      <c r="B1347" s="5">
        <v>44686</v>
      </c>
      <c r="C1347" s="6" t="s">
        <v>17</v>
      </c>
      <c r="D1347" s="7">
        <v>87</v>
      </c>
      <c r="E1347" s="7">
        <v>82.588455999999994</v>
      </c>
      <c r="F1347" s="7">
        <v>88.220000999999996</v>
      </c>
      <c r="G1347" s="7">
        <v>86.699996999999996</v>
      </c>
      <c r="H1347" s="8">
        <f t="shared" si="21"/>
        <v>-3.4423830538127071E-3</v>
      </c>
    </row>
    <row r="1348" spans="2:8" x14ac:dyDescent="0.2">
      <c r="B1348" s="5">
        <v>44687</v>
      </c>
      <c r="C1348" s="6" t="s">
        <v>17</v>
      </c>
      <c r="D1348" s="7">
        <v>86.989998</v>
      </c>
      <c r="E1348" s="7">
        <v>82.578961000000007</v>
      </c>
      <c r="F1348" s="7">
        <v>87.940002000000007</v>
      </c>
      <c r="G1348" s="7">
        <v>86.419998000000007</v>
      </c>
      <c r="H1348" s="8">
        <f t="shared" ref="H1348:H1411" si="22">IF(C1348=C1347, LN(E1348/E1347), "")</f>
        <v>-1.1497425076820126E-4</v>
      </c>
    </row>
    <row r="1349" spans="2:8" x14ac:dyDescent="0.2">
      <c r="B1349" s="5">
        <v>44688</v>
      </c>
      <c r="C1349" s="6" t="s">
        <v>17</v>
      </c>
      <c r="D1349" s="7">
        <v>86.43</v>
      </c>
      <c r="E1349" s="7">
        <v>82.047359999999998</v>
      </c>
      <c r="F1349" s="7">
        <v>86.879997000000003</v>
      </c>
      <c r="G1349" s="7">
        <v>85.889999000000003</v>
      </c>
      <c r="H1349" s="8">
        <f t="shared" si="22"/>
        <v>-6.4582971241586348E-3</v>
      </c>
    </row>
    <row r="1350" spans="2:8" x14ac:dyDescent="0.2">
      <c r="B1350" s="5">
        <v>44689</v>
      </c>
      <c r="C1350" s="6" t="s">
        <v>17</v>
      </c>
      <c r="D1350" s="7">
        <v>87.309997999999993</v>
      </c>
      <c r="E1350" s="7">
        <v>82.882734999999997</v>
      </c>
      <c r="F1350" s="7">
        <v>87.839995999999999</v>
      </c>
      <c r="G1350" s="7">
        <v>86.699996999999996</v>
      </c>
      <c r="H1350" s="8">
        <f t="shared" si="22"/>
        <v>1.013013596836018E-2</v>
      </c>
    </row>
    <row r="1351" spans="2:8" x14ac:dyDescent="0.2">
      <c r="B1351" s="5">
        <v>44692</v>
      </c>
      <c r="C1351" s="6" t="s">
        <v>17</v>
      </c>
      <c r="D1351" s="7">
        <v>88.769997000000004</v>
      </c>
      <c r="E1351" s="7">
        <v>84.268700999999993</v>
      </c>
      <c r="F1351" s="7">
        <v>89.440002000000007</v>
      </c>
      <c r="G1351" s="7">
        <v>88.089995999999999</v>
      </c>
      <c r="H1351" s="8">
        <f t="shared" si="22"/>
        <v>1.658373744303716E-2</v>
      </c>
    </row>
    <row r="1352" spans="2:8" x14ac:dyDescent="0.2">
      <c r="B1352" s="5">
        <v>44693</v>
      </c>
      <c r="C1352" s="6" t="s">
        <v>17</v>
      </c>
      <c r="D1352" s="7">
        <v>88.160004000000001</v>
      </c>
      <c r="E1352" s="7">
        <v>83.689639</v>
      </c>
      <c r="F1352" s="7">
        <v>88.339995999999999</v>
      </c>
      <c r="G1352" s="7">
        <v>87.260002</v>
      </c>
      <c r="H1352" s="8">
        <f t="shared" si="22"/>
        <v>-6.8953324296902986E-3</v>
      </c>
    </row>
    <row r="1353" spans="2:8" x14ac:dyDescent="0.2">
      <c r="B1353" s="5">
        <v>44694</v>
      </c>
      <c r="C1353" s="6" t="s">
        <v>17</v>
      </c>
      <c r="D1353" s="7">
        <v>88.440002000000007</v>
      </c>
      <c r="E1353" s="7">
        <v>83.955439999999996</v>
      </c>
      <c r="F1353" s="7">
        <v>89.07</v>
      </c>
      <c r="G1353" s="7">
        <v>88.209998999999996</v>
      </c>
      <c r="H1353" s="8">
        <f t="shared" si="22"/>
        <v>3.1709994031414489E-3</v>
      </c>
    </row>
    <row r="1354" spans="2:8" x14ac:dyDescent="0.2">
      <c r="B1354" s="5">
        <v>44695</v>
      </c>
      <c r="C1354" s="6" t="s">
        <v>17</v>
      </c>
      <c r="D1354" s="7">
        <v>88.739998</v>
      </c>
      <c r="E1354" s="7">
        <v>84.240223</v>
      </c>
      <c r="F1354" s="7">
        <v>89.589995999999999</v>
      </c>
      <c r="G1354" s="7">
        <v>88.650002000000001</v>
      </c>
      <c r="H1354" s="8">
        <f t="shared" si="22"/>
        <v>3.3863331201329878E-3</v>
      </c>
    </row>
    <row r="1355" spans="2:8" x14ac:dyDescent="0.2">
      <c r="B1355" s="5">
        <v>44696</v>
      </c>
      <c r="C1355" s="6" t="s">
        <v>17</v>
      </c>
      <c r="D1355" s="7">
        <v>88.43</v>
      </c>
      <c r="E1355" s="7">
        <v>83.945944999999995</v>
      </c>
      <c r="F1355" s="7">
        <v>88.559997999999993</v>
      </c>
      <c r="G1355" s="7">
        <v>87.599997999999999</v>
      </c>
      <c r="H1355" s="8">
        <f t="shared" si="22"/>
        <v>-3.4994352248014912E-3</v>
      </c>
    </row>
    <row r="1356" spans="2:8" x14ac:dyDescent="0.2">
      <c r="B1356" s="5">
        <v>44699</v>
      </c>
      <c r="C1356" s="6" t="s">
        <v>17</v>
      </c>
      <c r="D1356" s="7">
        <v>88.290001000000004</v>
      </c>
      <c r="E1356" s="7">
        <v>83.813045000000002</v>
      </c>
      <c r="F1356" s="7">
        <v>88.5</v>
      </c>
      <c r="G1356" s="7">
        <v>87.650002000000001</v>
      </c>
      <c r="H1356" s="8">
        <f t="shared" si="22"/>
        <v>-1.5844161651473255E-3</v>
      </c>
    </row>
    <row r="1357" spans="2:8" x14ac:dyDescent="0.2">
      <c r="B1357" s="5">
        <v>44700</v>
      </c>
      <c r="C1357" s="6" t="s">
        <v>17</v>
      </c>
      <c r="D1357" s="7">
        <v>87.239998</v>
      </c>
      <c r="E1357" s="7">
        <v>82.816283999999996</v>
      </c>
      <c r="F1357" s="7">
        <v>87.910004000000001</v>
      </c>
      <c r="G1357" s="7">
        <v>86.510002</v>
      </c>
      <c r="H1357" s="8">
        <f t="shared" si="22"/>
        <v>-1.1963954909221119E-2</v>
      </c>
    </row>
    <row r="1358" spans="2:8" x14ac:dyDescent="0.2">
      <c r="B1358" s="5">
        <v>44701</v>
      </c>
      <c r="C1358" s="6" t="s">
        <v>17</v>
      </c>
      <c r="D1358" s="7">
        <v>87.93</v>
      </c>
      <c r="E1358" s="7">
        <v>83.471299000000002</v>
      </c>
      <c r="F1358" s="7">
        <v>88.129997000000003</v>
      </c>
      <c r="G1358" s="7">
        <v>87.129997000000003</v>
      </c>
      <c r="H1358" s="8">
        <f t="shared" si="22"/>
        <v>7.8781394975611166E-3</v>
      </c>
    </row>
    <row r="1359" spans="2:8" x14ac:dyDescent="0.2">
      <c r="B1359" s="5">
        <v>44702</v>
      </c>
      <c r="C1359" s="6" t="s">
        <v>17</v>
      </c>
      <c r="D1359" s="7">
        <v>89.330001999999993</v>
      </c>
      <c r="E1359" s="7">
        <v>84.800309999999996</v>
      </c>
      <c r="F1359" s="7">
        <v>89.620002999999997</v>
      </c>
      <c r="G1359" s="7">
        <v>87.940002000000007</v>
      </c>
      <c r="H1359" s="8">
        <f t="shared" si="22"/>
        <v>1.5796350232464725E-2</v>
      </c>
    </row>
    <row r="1360" spans="2:8" x14ac:dyDescent="0.2">
      <c r="B1360" s="5">
        <v>44703</v>
      </c>
      <c r="C1360" s="6" t="s">
        <v>17</v>
      </c>
      <c r="D1360" s="7">
        <v>88.629997000000003</v>
      </c>
      <c r="E1360" s="7">
        <v>84.135801000000001</v>
      </c>
      <c r="F1360" s="7">
        <v>89.5</v>
      </c>
      <c r="G1360" s="7">
        <v>88.629997000000003</v>
      </c>
      <c r="H1360" s="8">
        <f t="shared" si="22"/>
        <v>-7.8670264548407077E-3</v>
      </c>
    </row>
    <row r="1361" spans="2:8" x14ac:dyDescent="0.2">
      <c r="B1361" s="5">
        <v>44707</v>
      </c>
      <c r="C1361" s="6" t="s">
        <v>17</v>
      </c>
      <c r="D1361" s="7">
        <v>87.839995999999999</v>
      </c>
      <c r="E1361" s="7">
        <v>83.385858999999996</v>
      </c>
      <c r="F1361" s="7">
        <v>88.150002000000001</v>
      </c>
      <c r="G1361" s="7">
        <v>87.290001000000004</v>
      </c>
      <c r="H1361" s="8">
        <f t="shared" si="22"/>
        <v>-8.9534333632309334E-3</v>
      </c>
    </row>
    <row r="1362" spans="2:8" x14ac:dyDescent="0.2">
      <c r="B1362" s="5">
        <v>44708</v>
      </c>
      <c r="C1362" s="6" t="s">
        <v>17</v>
      </c>
      <c r="D1362" s="7">
        <v>87.919998000000007</v>
      </c>
      <c r="E1362" s="7">
        <v>83.461804000000001</v>
      </c>
      <c r="F1362" s="7">
        <v>88.82</v>
      </c>
      <c r="G1362" s="7">
        <v>87.650002000000001</v>
      </c>
      <c r="H1362" s="8">
        <f t="shared" si="22"/>
        <v>9.1035144130113691E-4</v>
      </c>
    </row>
    <row r="1363" spans="2:8" x14ac:dyDescent="0.2">
      <c r="B1363" s="5">
        <v>44709</v>
      </c>
      <c r="C1363" s="6" t="s">
        <v>17</v>
      </c>
      <c r="D1363" s="7">
        <v>86.010002</v>
      </c>
      <c r="E1363" s="7">
        <v>81.648658999999995</v>
      </c>
      <c r="F1363" s="7">
        <v>87.449996999999996</v>
      </c>
      <c r="G1363" s="7">
        <v>85.730002999999996</v>
      </c>
      <c r="H1363" s="8">
        <f t="shared" si="22"/>
        <v>-2.19636945531307E-2</v>
      </c>
    </row>
    <row r="1364" spans="2:8" x14ac:dyDescent="0.2">
      <c r="B1364" s="5">
        <v>44710</v>
      </c>
      <c r="C1364" s="6" t="s">
        <v>17</v>
      </c>
      <c r="D1364" s="7">
        <v>85.32</v>
      </c>
      <c r="E1364" s="7">
        <v>80.993644000000003</v>
      </c>
      <c r="F1364" s="7">
        <v>86.330001999999993</v>
      </c>
      <c r="G1364" s="7">
        <v>85.110000999999997</v>
      </c>
      <c r="H1364" s="8">
        <f t="shared" si="22"/>
        <v>-8.0547130638790234E-3</v>
      </c>
    </row>
    <row r="1365" spans="2:8" x14ac:dyDescent="0.2">
      <c r="B1365" s="5">
        <v>44713</v>
      </c>
      <c r="C1365" s="6" t="s">
        <v>17</v>
      </c>
      <c r="D1365" s="7">
        <v>85.529999000000004</v>
      </c>
      <c r="E1365" s="7">
        <v>81.192994999999996</v>
      </c>
      <c r="F1365" s="7">
        <v>86.370002999999997</v>
      </c>
      <c r="G1365" s="7">
        <v>84.699996999999996</v>
      </c>
      <c r="H1365" s="8">
        <f t="shared" si="22"/>
        <v>2.4582925156143636E-3</v>
      </c>
    </row>
    <row r="1366" spans="2:8" x14ac:dyDescent="0.2">
      <c r="B1366" s="5">
        <v>44714</v>
      </c>
      <c r="C1366" s="6" t="s">
        <v>17</v>
      </c>
      <c r="D1366" s="7">
        <v>86.169998000000007</v>
      </c>
      <c r="E1366" s="7">
        <v>81.800541999999993</v>
      </c>
      <c r="F1366" s="7">
        <v>86.68</v>
      </c>
      <c r="G1366" s="7">
        <v>85.07</v>
      </c>
      <c r="H1366" s="8">
        <f t="shared" si="22"/>
        <v>7.4548945302333261E-3</v>
      </c>
    </row>
    <row r="1367" spans="2:8" x14ac:dyDescent="0.2">
      <c r="B1367" s="5">
        <v>44715</v>
      </c>
      <c r="C1367" s="6" t="s">
        <v>17</v>
      </c>
      <c r="D1367" s="7">
        <v>86.230002999999996</v>
      </c>
      <c r="E1367" s="7">
        <v>81.857504000000006</v>
      </c>
      <c r="F1367" s="7">
        <v>87.059997999999993</v>
      </c>
      <c r="G1367" s="7">
        <v>85.809997999999993</v>
      </c>
      <c r="H1367" s="8">
        <f t="shared" si="22"/>
        <v>6.9611001343838398E-4</v>
      </c>
    </row>
    <row r="1368" spans="2:8" x14ac:dyDescent="0.2">
      <c r="B1368" s="5">
        <v>44716</v>
      </c>
      <c r="C1368" s="6" t="s">
        <v>17</v>
      </c>
      <c r="D1368" s="7">
        <v>85.470000999999996</v>
      </c>
      <c r="E1368" s="7">
        <v>81.136039999999994</v>
      </c>
      <c r="F1368" s="7">
        <v>86.400002000000001</v>
      </c>
      <c r="G1368" s="7">
        <v>85.32</v>
      </c>
      <c r="H1368" s="8">
        <f t="shared" si="22"/>
        <v>-8.8527274651087375E-3</v>
      </c>
    </row>
    <row r="1369" spans="2:8" x14ac:dyDescent="0.2">
      <c r="B1369" s="5">
        <v>44717</v>
      </c>
      <c r="C1369" s="6" t="s">
        <v>17</v>
      </c>
      <c r="D1369" s="7">
        <v>86.050003000000004</v>
      </c>
      <c r="E1369" s="7">
        <v>81.686631000000006</v>
      </c>
      <c r="F1369" s="7">
        <v>86.5</v>
      </c>
      <c r="G1369" s="7">
        <v>84.910004000000001</v>
      </c>
      <c r="H1369" s="8">
        <f t="shared" si="22"/>
        <v>6.7631011733808718E-3</v>
      </c>
    </row>
    <row r="1370" spans="2:8" x14ac:dyDescent="0.2">
      <c r="B1370" s="5">
        <v>44720</v>
      </c>
      <c r="C1370" s="6" t="s">
        <v>17</v>
      </c>
      <c r="D1370" s="7">
        <v>86.150002000000001</v>
      </c>
      <c r="E1370" s="7">
        <v>81.781559000000001</v>
      </c>
      <c r="F1370" s="7">
        <v>86.480002999999996</v>
      </c>
      <c r="G1370" s="7">
        <v>85.779999000000004</v>
      </c>
      <c r="H1370" s="8">
        <f t="shared" si="22"/>
        <v>1.1614248701322868E-3</v>
      </c>
    </row>
    <row r="1371" spans="2:8" x14ac:dyDescent="0.2">
      <c r="B1371" s="5">
        <v>44721</v>
      </c>
      <c r="C1371" s="6" t="s">
        <v>17</v>
      </c>
      <c r="D1371" s="7">
        <v>86.730002999999996</v>
      </c>
      <c r="E1371" s="7">
        <v>82.332149999999999</v>
      </c>
      <c r="F1371" s="7">
        <v>87.620002999999997</v>
      </c>
      <c r="G1371" s="7">
        <v>86.419998000000007</v>
      </c>
      <c r="H1371" s="8">
        <f t="shared" si="22"/>
        <v>6.7098972914837896E-3</v>
      </c>
    </row>
    <row r="1372" spans="2:8" x14ac:dyDescent="0.2">
      <c r="B1372" s="5">
        <v>44722</v>
      </c>
      <c r="C1372" s="6" t="s">
        <v>17</v>
      </c>
      <c r="D1372" s="7">
        <v>88.480002999999996</v>
      </c>
      <c r="E1372" s="7">
        <v>83.993412000000006</v>
      </c>
      <c r="F1372" s="7">
        <v>88.709998999999996</v>
      </c>
      <c r="G1372" s="7">
        <v>87.360000999999997</v>
      </c>
      <c r="H1372" s="8">
        <f t="shared" si="22"/>
        <v>1.9976691809256875E-2</v>
      </c>
    </row>
    <row r="1373" spans="2:8" x14ac:dyDescent="0.2">
      <c r="B1373" s="5">
        <v>44723</v>
      </c>
      <c r="C1373" s="6" t="s">
        <v>17</v>
      </c>
      <c r="D1373" s="7">
        <v>88.169998000000007</v>
      </c>
      <c r="E1373" s="7">
        <v>83.699127000000004</v>
      </c>
      <c r="F1373" s="7">
        <v>88.760002</v>
      </c>
      <c r="G1373" s="7">
        <v>87.919998000000007</v>
      </c>
      <c r="H1373" s="8">
        <f t="shared" si="22"/>
        <v>-3.5098198626950594E-3</v>
      </c>
    </row>
    <row r="1374" spans="2:8" x14ac:dyDescent="0.2">
      <c r="B1374" s="5">
        <v>44724</v>
      </c>
      <c r="C1374" s="6" t="s">
        <v>17</v>
      </c>
      <c r="D1374" s="7">
        <v>87.849997999999999</v>
      </c>
      <c r="E1374" s="7">
        <v>83.395353</v>
      </c>
      <c r="F1374" s="7">
        <v>88.410004000000001</v>
      </c>
      <c r="G1374" s="7">
        <v>87.57</v>
      </c>
      <c r="H1374" s="8">
        <f t="shared" si="22"/>
        <v>-3.6359589456530571E-3</v>
      </c>
    </row>
    <row r="1375" spans="2:8" x14ac:dyDescent="0.2">
      <c r="B1375" s="5">
        <v>44727</v>
      </c>
      <c r="C1375" s="6" t="s">
        <v>17</v>
      </c>
      <c r="D1375" s="7">
        <v>87.129997000000003</v>
      </c>
      <c r="E1375" s="7">
        <v>82.711861999999996</v>
      </c>
      <c r="F1375" s="7">
        <v>87.389999000000003</v>
      </c>
      <c r="G1375" s="7">
        <v>86.349997999999999</v>
      </c>
      <c r="H1375" s="8">
        <f t="shared" si="22"/>
        <v>-8.2295625447435655E-3</v>
      </c>
    </row>
    <row r="1376" spans="2:8" x14ac:dyDescent="0.2">
      <c r="B1376" s="5">
        <v>44728</v>
      </c>
      <c r="C1376" s="6" t="s">
        <v>17</v>
      </c>
      <c r="D1376" s="7">
        <v>86.589995999999999</v>
      </c>
      <c r="E1376" s="7">
        <v>82.199242999999996</v>
      </c>
      <c r="F1376" s="7">
        <v>87.019997000000004</v>
      </c>
      <c r="G1376" s="7">
        <v>86.239998</v>
      </c>
      <c r="H1376" s="8">
        <f t="shared" si="22"/>
        <v>-6.2169330691255213E-3</v>
      </c>
    </row>
    <row r="1377" spans="2:8" x14ac:dyDescent="0.2">
      <c r="B1377" s="5">
        <v>44729</v>
      </c>
      <c r="C1377" s="6" t="s">
        <v>17</v>
      </c>
      <c r="D1377" s="7">
        <v>87.25</v>
      </c>
      <c r="E1377" s="7">
        <v>82.825778999999997</v>
      </c>
      <c r="F1377" s="7">
        <v>87.550003000000004</v>
      </c>
      <c r="G1377" s="7">
        <v>86.32</v>
      </c>
      <c r="H1377" s="8">
        <f t="shared" si="22"/>
        <v>7.5932607405164243E-3</v>
      </c>
    </row>
    <row r="1378" spans="2:8" x14ac:dyDescent="0.2">
      <c r="B1378" s="5">
        <v>44730</v>
      </c>
      <c r="C1378" s="6" t="s">
        <v>17</v>
      </c>
      <c r="D1378" s="7">
        <v>87.440002000000007</v>
      </c>
      <c r="E1378" s="7">
        <v>83.006146999999999</v>
      </c>
      <c r="F1378" s="7">
        <v>87.739998</v>
      </c>
      <c r="G1378" s="7">
        <v>86.830001999999993</v>
      </c>
      <c r="H1378" s="8">
        <f t="shared" si="22"/>
        <v>2.1753117807342443E-3</v>
      </c>
    </row>
    <row r="1379" spans="2:8" x14ac:dyDescent="0.2">
      <c r="B1379" s="5">
        <v>44731</v>
      </c>
      <c r="C1379" s="6" t="s">
        <v>17</v>
      </c>
      <c r="D1379" s="7">
        <v>87.519997000000004</v>
      </c>
      <c r="E1379" s="7">
        <v>83.082085000000006</v>
      </c>
      <c r="F1379" s="7">
        <v>87.959998999999996</v>
      </c>
      <c r="G1379" s="7">
        <v>87.150002000000001</v>
      </c>
      <c r="H1379" s="8">
        <f t="shared" si="22"/>
        <v>9.1442969049735463E-4</v>
      </c>
    </row>
    <row r="1380" spans="2:8" x14ac:dyDescent="0.2">
      <c r="B1380" s="5">
        <v>44734</v>
      </c>
      <c r="C1380" s="6" t="s">
        <v>17</v>
      </c>
      <c r="D1380" s="7">
        <v>88.269997000000004</v>
      </c>
      <c r="E1380" s="7">
        <v>83.794055</v>
      </c>
      <c r="F1380" s="7">
        <v>88.32</v>
      </c>
      <c r="G1380" s="7">
        <v>87.709998999999996</v>
      </c>
      <c r="H1380" s="8">
        <f t="shared" si="22"/>
        <v>8.5329672649849808E-3</v>
      </c>
    </row>
    <row r="1381" spans="2:8" x14ac:dyDescent="0.2">
      <c r="B1381" s="5">
        <v>44735</v>
      </c>
      <c r="C1381" s="6" t="s">
        <v>17</v>
      </c>
      <c r="D1381" s="7">
        <v>88.449996999999996</v>
      </c>
      <c r="E1381" s="7">
        <v>83.964928</v>
      </c>
      <c r="F1381" s="7">
        <v>88.620002999999997</v>
      </c>
      <c r="G1381" s="7">
        <v>88.010002</v>
      </c>
      <c r="H1381" s="8">
        <f t="shared" si="22"/>
        <v>2.037125595734835E-3</v>
      </c>
    </row>
    <row r="1382" spans="2:8" x14ac:dyDescent="0.2">
      <c r="B1382" s="5">
        <v>44736</v>
      </c>
      <c r="C1382" s="6" t="s">
        <v>17</v>
      </c>
      <c r="D1382" s="7">
        <v>88.169998000000007</v>
      </c>
      <c r="E1382" s="7">
        <v>83.699127000000004</v>
      </c>
      <c r="F1382" s="7">
        <v>88.809997999999993</v>
      </c>
      <c r="G1382" s="7">
        <v>88.07</v>
      </c>
      <c r="H1382" s="8">
        <f t="shared" si="22"/>
        <v>-3.1706405129457924E-3</v>
      </c>
    </row>
    <row r="1383" spans="2:8" x14ac:dyDescent="0.2">
      <c r="B1383" s="5">
        <v>44737</v>
      </c>
      <c r="C1383" s="6" t="s">
        <v>17</v>
      </c>
      <c r="D1383" s="7">
        <v>86.720000999999996</v>
      </c>
      <c r="E1383" s="7">
        <v>82.322654999999997</v>
      </c>
      <c r="F1383" s="7">
        <v>88.330001999999993</v>
      </c>
      <c r="G1383" s="7">
        <v>86.660004000000001</v>
      </c>
      <c r="H1383" s="8">
        <f t="shared" si="22"/>
        <v>-1.6582204141216427E-2</v>
      </c>
    </row>
    <row r="1384" spans="2:8" x14ac:dyDescent="0.2">
      <c r="B1384" s="5">
        <v>44738</v>
      </c>
      <c r="C1384" s="6" t="s">
        <v>17</v>
      </c>
      <c r="D1384" s="7">
        <v>86.82</v>
      </c>
      <c r="E1384" s="7">
        <v>82.417582999999993</v>
      </c>
      <c r="F1384" s="7">
        <v>86.949996999999996</v>
      </c>
      <c r="G1384" s="7">
        <v>85.809997999999993</v>
      </c>
      <c r="H1384" s="8">
        <f t="shared" si="22"/>
        <v>1.1524568819257801E-3</v>
      </c>
    </row>
    <row r="1385" spans="2:8" x14ac:dyDescent="0.2">
      <c r="B1385" s="5">
        <v>44741</v>
      </c>
      <c r="C1385" s="6" t="s">
        <v>17</v>
      </c>
      <c r="D1385" s="7">
        <v>85.300003000000004</v>
      </c>
      <c r="E1385" s="7">
        <v>80.974661999999995</v>
      </c>
      <c r="F1385" s="7">
        <v>86.739998</v>
      </c>
      <c r="G1385" s="7">
        <v>85.099997999999999</v>
      </c>
      <c r="H1385" s="8">
        <f t="shared" si="22"/>
        <v>-1.766250915335427E-2</v>
      </c>
    </row>
    <row r="1386" spans="2:8" x14ac:dyDescent="0.2">
      <c r="B1386" s="5">
        <v>44742</v>
      </c>
      <c r="C1386" s="6" t="s">
        <v>17</v>
      </c>
      <c r="D1386" s="7">
        <v>84.82</v>
      </c>
      <c r="E1386" s="7">
        <v>80.518997999999996</v>
      </c>
      <c r="F1386" s="7">
        <v>86.25</v>
      </c>
      <c r="G1386" s="7">
        <v>84.800003000000004</v>
      </c>
      <c r="H1386" s="8">
        <f t="shared" si="22"/>
        <v>-5.6431343399657207E-3</v>
      </c>
    </row>
    <row r="1387" spans="2:8" x14ac:dyDescent="0.2">
      <c r="B1387" s="5">
        <v>44743</v>
      </c>
      <c r="C1387" s="6" t="s">
        <v>17</v>
      </c>
      <c r="D1387" s="7">
        <v>83.949996999999996</v>
      </c>
      <c r="E1387" s="7">
        <v>79.693111000000002</v>
      </c>
      <c r="F1387" s="7">
        <v>85.449996999999996</v>
      </c>
      <c r="G1387" s="7">
        <v>83.540001000000004</v>
      </c>
      <c r="H1387" s="8">
        <f t="shared" si="22"/>
        <v>-1.0310011157980591E-2</v>
      </c>
    </row>
    <row r="1388" spans="2:8" x14ac:dyDescent="0.2">
      <c r="B1388" s="5">
        <v>44744</v>
      </c>
      <c r="C1388" s="6" t="s">
        <v>17</v>
      </c>
      <c r="D1388" s="7">
        <v>84.379997000000003</v>
      </c>
      <c r="E1388" s="7">
        <v>80.101307000000006</v>
      </c>
      <c r="F1388" s="7">
        <v>84.779999000000004</v>
      </c>
      <c r="G1388" s="7">
        <v>83.849997999999999</v>
      </c>
      <c r="H1388" s="8">
        <f t="shared" si="22"/>
        <v>5.1090256218939345E-3</v>
      </c>
    </row>
    <row r="1389" spans="2:8" x14ac:dyDescent="0.2">
      <c r="B1389" s="5">
        <v>44748</v>
      </c>
      <c r="C1389" s="6" t="s">
        <v>17</v>
      </c>
      <c r="D1389" s="7">
        <v>83.150002000000001</v>
      </c>
      <c r="E1389" s="7">
        <v>78.933681000000007</v>
      </c>
      <c r="F1389" s="7">
        <v>84.150002000000001</v>
      </c>
      <c r="G1389" s="7">
        <v>82.730002999999996</v>
      </c>
      <c r="H1389" s="8">
        <f t="shared" si="22"/>
        <v>-1.4684152151959872E-2</v>
      </c>
    </row>
    <row r="1390" spans="2:8" x14ac:dyDescent="0.2">
      <c r="B1390" s="5">
        <v>44749</v>
      </c>
      <c r="C1390" s="6" t="s">
        <v>17</v>
      </c>
      <c r="D1390" s="7">
        <v>83.989998</v>
      </c>
      <c r="E1390" s="7">
        <v>79.731082999999998</v>
      </c>
      <c r="F1390" s="7">
        <v>84.120002999999997</v>
      </c>
      <c r="G1390" s="7">
        <v>81.849997999999999</v>
      </c>
      <c r="H1390" s="8">
        <f t="shared" si="22"/>
        <v>1.0051490873084833E-2</v>
      </c>
    </row>
    <row r="1391" spans="2:8" x14ac:dyDescent="0.2">
      <c r="B1391" s="5">
        <v>44750</v>
      </c>
      <c r="C1391" s="6" t="s">
        <v>17</v>
      </c>
      <c r="D1391" s="7">
        <v>82.269997000000004</v>
      </c>
      <c r="E1391" s="7">
        <v>78.098298999999997</v>
      </c>
      <c r="F1391" s="7">
        <v>83.230002999999996</v>
      </c>
      <c r="G1391" s="7">
        <v>81.760002</v>
      </c>
      <c r="H1391" s="8">
        <f t="shared" si="22"/>
        <v>-2.069123292700514E-2</v>
      </c>
    </row>
    <row r="1392" spans="2:8" x14ac:dyDescent="0.2">
      <c r="B1392" s="5">
        <v>44751</v>
      </c>
      <c r="C1392" s="6" t="s">
        <v>17</v>
      </c>
      <c r="D1392" s="7">
        <v>81.690002000000007</v>
      </c>
      <c r="E1392" s="7">
        <v>77.547714999999997</v>
      </c>
      <c r="F1392" s="7">
        <v>83.699996999999996</v>
      </c>
      <c r="G1392" s="7">
        <v>81.459998999999996</v>
      </c>
      <c r="H1392" s="8">
        <f t="shared" si="22"/>
        <v>-7.0748525118608735E-3</v>
      </c>
    </row>
    <row r="1393" spans="2:8" x14ac:dyDescent="0.2">
      <c r="B1393" s="5">
        <v>44752</v>
      </c>
      <c r="C1393" s="6" t="s">
        <v>17</v>
      </c>
      <c r="D1393" s="7">
        <v>82.150002000000001</v>
      </c>
      <c r="E1393" s="7">
        <v>77.984388999999993</v>
      </c>
      <c r="F1393" s="7">
        <v>82.910004000000001</v>
      </c>
      <c r="G1393" s="7">
        <v>81.870002999999997</v>
      </c>
      <c r="H1393" s="8">
        <f t="shared" si="22"/>
        <v>5.6152413059924224E-3</v>
      </c>
    </row>
    <row r="1394" spans="2:8" x14ac:dyDescent="0.2">
      <c r="B1394" s="5">
        <v>44755</v>
      </c>
      <c r="C1394" s="6" t="s">
        <v>17</v>
      </c>
      <c r="D1394" s="7">
        <v>83.639999000000003</v>
      </c>
      <c r="E1394" s="7">
        <v>79.398831999999999</v>
      </c>
      <c r="F1394" s="7">
        <v>84.029999000000004</v>
      </c>
      <c r="G1394" s="7">
        <v>82.68</v>
      </c>
      <c r="H1394" s="8">
        <f t="shared" si="22"/>
        <v>1.7974992184373415E-2</v>
      </c>
    </row>
    <row r="1395" spans="2:8" x14ac:dyDescent="0.2">
      <c r="B1395" s="5">
        <v>44756</v>
      </c>
      <c r="C1395" s="6" t="s">
        <v>17</v>
      </c>
      <c r="D1395" s="7">
        <v>84.459998999999996</v>
      </c>
      <c r="E1395" s="7">
        <v>80.177251999999996</v>
      </c>
      <c r="F1395" s="7">
        <v>84.68</v>
      </c>
      <c r="G1395" s="7">
        <v>83.519997000000004</v>
      </c>
      <c r="H1395" s="8">
        <f t="shared" si="22"/>
        <v>9.7561759235893792E-3</v>
      </c>
    </row>
    <row r="1396" spans="2:8" x14ac:dyDescent="0.2">
      <c r="B1396" s="5">
        <v>44757</v>
      </c>
      <c r="C1396" s="6" t="s">
        <v>17</v>
      </c>
      <c r="D1396" s="7">
        <v>84.160004000000001</v>
      </c>
      <c r="E1396" s="7">
        <v>79.892469000000006</v>
      </c>
      <c r="F1396" s="7">
        <v>84.860000999999997</v>
      </c>
      <c r="G1396" s="7">
        <v>83.75</v>
      </c>
      <c r="H1396" s="8">
        <f t="shared" si="22"/>
        <v>-3.5582407302571775E-3</v>
      </c>
    </row>
    <row r="1397" spans="2:8" x14ac:dyDescent="0.2">
      <c r="B1397" s="5">
        <v>44758</v>
      </c>
      <c r="C1397" s="6" t="s">
        <v>17</v>
      </c>
      <c r="D1397" s="7">
        <v>83.760002</v>
      </c>
      <c r="E1397" s="7">
        <v>80.246949999999998</v>
      </c>
      <c r="F1397" s="7">
        <v>84.889999000000003</v>
      </c>
      <c r="G1397" s="7">
        <v>83.410004000000001</v>
      </c>
      <c r="H1397" s="8">
        <f t="shared" si="22"/>
        <v>4.427162046572143E-3</v>
      </c>
    </row>
    <row r="1398" spans="2:8" x14ac:dyDescent="0.2">
      <c r="B1398" s="5">
        <v>44759</v>
      </c>
      <c r="C1398" s="6" t="s">
        <v>17</v>
      </c>
      <c r="D1398" s="7">
        <v>83.160004000000001</v>
      </c>
      <c r="E1398" s="7">
        <v>79.672117</v>
      </c>
      <c r="F1398" s="7">
        <v>83.650002000000001</v>
      </c>
      <c r="G1398" s="7">
        <v>82.760002</v>
      </c>
      <c r="H1398" s="8">
        <f t="shared" si="22"/>
        <v>-7.1890799081445198E-3</v>
      </c>
    </row>
    <row r="1399" spans="2:8" x14ac:dyDescent="0.2">
      <c r="B1399" s="5">
        <v>44762</v>
      </c>
      <c r="C1399" s="6" t="s">
        <v>17</v>
      </c>
      <c r="D1399" s="7">
        <v>82.25</v>
      </c>
      <c r="E1399" s="7">
        <v>78.800280000000001</v>
      </c>
      <c r="F1399" s="7">
        <v>83.290001000000004</v>
      </c>
      <c r="G1399" s="7">
        <v>82.139999000000003</v>
      </c>
      <c r="H1399" s="8">
        <f t="shared" si="22"/>
        <v>-1.1003124992183049E-2</v>
      </c>
    </row>
    <row r="1400" spans="2:8" x14ac:dyDescent="0.2">
      <c r="B1400" s="5">
        <v>44763</v>
      </c>
      <c r="C1400" s="6" t="s">
        <v>17</v>
      </c>
      <c r="D1400" s="7">
        <v>82.220000999999996</v>
      </c>
      <c r="E1400" s="7">
        <v>78.771540000000002</v>
      </c>
      <c r="F1400" s="7">
        <v>82.889999000000003</v>
      </c>
      <c r="G1400" s="7">
        <v>81.25</v>
      </c>
      <c r="H1400" s="8">
        <f t="shared" si="22"/>
        <v>-3.6478604256396155E-4</v>
      </c>
    </row>
    <row r="1401" spans="2:8" x14ac:dyDescent="0.2">
      <c r="B1401" s="5">
        <v>44764</v>
      </c>
      <c r="C1401" s="6" t="s">
        <v>17</v>
      </c>
      <c r="D1401" s="7">
        <v>79.760002</v>
      </c>
      <c r="E1401" s="7">
        <v>76.414717999999993</v>
      </c>
      <c r="F1401" s="7">
        <v>81.120002999999997</v>
      </c>
      <c r="G1401" s="7">
        <v>79.150002000000001</v>
      </c>
      <c r="H1401" s="8">
        <f t="shared" si="22"/>
        <v>-3.0376442516385188E-2</v>
      </c>
    </row>
    <row r="1402" spans="2:8" x14ac:dyDescent="0.2">
      <c r="B1402" s="5">
        <v>44765</v>
      </c>
      <c r="C1402" s="6" t="s">
        <v>17</v>
      </c>
      <c r="D1402" s="7">
        <v>76.879997000000003</v>
      </c>
      <c r="E1402" s="7">
        <v>73.655506000000003</v>
      </c>
      <c r="F1402" s="7">
        <v>79.040001000000004</v>
      </c>
      <c r="G1402" s="7">
        <v>76.650002000000001</v>
      </c>
      <c r="H1402" s="8">
        <f t="shared" si="22"/>
        <v>-3.6776422488491028E-2</v>
      </c>
    </row>
    <row r="1403" spans="2:8" x14ac:dyDescent="0.2">
      <c r="B1403" s="5">
        <v>44766</v>
      </c>
      <c r="C1403" s="6" t="s">
        <v>17</v>
      </c>
      <c r="D1403" s="7">
        <v>76.099997999999999</v>
      </c>
      <c r="E1403" s="7">
        <v>72.908220999999998</v>
      </c>
      <c r="F1403" s="7">
        <v>77.089995999999999</v>
      </c>
      <c r="G1403" s="7">
        <v>75.849997999999999</v>
      </c>
      <c r="H1403" s="8">
        <f t="shared" si="22"/>
        <v>-1.0197495534055155E-2</v>
      </c>
    </row>
    <row r="1404" spans="2:8" x14ac:dyDescent="0.2">
      <c r="B1404" s="5">
        <v>44769</v>
      </c>
      <c r="C1404" s="6" t="s">
        <v>17</v>
      </c>
      <c r="D1404" s="7">
        <v>75.319999999999993</v>
      </c>
      <c r="E1404" s="7">
        <v>72.160937000000004</v>
      </c>
      <c r="F1404" s="7">
        <v>75.720000999999996</v>
      </c>
      <c r="G1404" s="7">
        <v>74.769997000000004</v>
      </c>
      <c r="H1404" s="8">
        <f t="shared" si="22"/>
        <v>-1.0302542872194719E-2</v>
      </c>
    </row>
    <row r="1405" spans="2:8" x14ac:dyDescent="0.2">
      <c r="B1405" s="5">
        <v>44770</v>
      </c>
      <c r="C1405" s="6" t="s">
        <v>17</v>
      </c>
      <c r="D1405" s="7">
        <v>77.779999000000004</v>
      </c>
      <c r="E1405" s="7">
        <v>74.517758999999998</v>
      </c>
      <c r="F1405" s="7">
        <v>78.150002000000001</v>
      </c>
      <c r="G1405" s="7">
        <v>75.790001000000004</v>
      </c>
      <c r="H1405" s="8">
        <f t="shared" si="22"/>
        <v>3.2138612114110988E-2</v>
      </c>
    </row>
    <row r="1406" spans="2:8" x14ac:dyDescent="0.2">
      <c r="B1406" s="5">
        <v>44771</v>
      </c>
      <c r="C1406" s="6" t="s">
        <v>17</v>
      </c>
      <c r="D1406" s="7">
        <v>77.330001999999993</v>
      </c>
      <c r="E1406" s="7">
        <v>74.086635999999999</v>
      </c>
      <c r="F1406" s="7">
        <v>77.459998999999996</v>
      </c>
      <c r="G1406" s="7">
        <v>76.510002</v>
      </c>
      <c r="H1406" s="8">
        <f t="shared" si="22"/>
        <v>-5.8023076577608948E-3</v>
      </c>
    </row>
    <row r="1407" spans="2:8" x14ac:dyDescent="0.2">
      <c r="B1407" s="5">
        <v>44772</v>
      </c>
      <c r="C1407" s="6" t="s">
        <v>17</v>
      </c>
      <c r="D1407" s="7">
        <v>78.349997999999999</v>
      </c>
      <c r="E1407" s="7">
        <v>75.063851999999997</v>
      </c>
      <c r="F1407" s="7">
        <v>78.370002999999997</v>
      </c>
      <c r="G1407" s="7">
        <v>76.680000000000007</v>
      </c>
      <c r="H1407" s="8">
        <f t="shared" si="22"/>
        <v>1.3103946175273749E-2</v>
      </c>
    </row>
    <row r="1408" spans="2:8" x14ac:dyDescent="0.2">
      <c r="B1408" s="5">
        <v>44773</v>
      </c>
      <c r="C1408" s="6" t="s">
        <v>17</v>
      </c>
      <c r="D1408" s="7">
        <v>78.629997000000003</v>
      </c>
      <c r="E1408" s="7">
        <v>75.332106999999993</v>
      </c>
      <c r="F1408" s="7">
        <v>79.040001000000004</v>
      </c>
      <c r="G1408" s="7">
        <v>78.150002000000001</v>
      </c>
      <c r="H1408" s="8">
        <f t="shared" si="22"/>
        <v>3.5673203756667934E-3</v>
      </c>
    </row>
    <row r="1409" spans="2:8" x14ac:dyDescent="0.2">
      <c r="B1409" s="5">
        <v>44776</v>
      </c>
      <c r="C1409" s="6" t="s">
        <v>17</v>
      </c>
      <c r="D1409" s="7">
        <v>77.260002</v>
      </c>
      <c r="E1409" s="7">
        <v>74.019571999999997</v>
      </c>
      <c r="F1409" s="7">
        <v>78.430000000000007</v>
      </c>
      <c r="G1409" s="7">
        <v>76.75</v>
      </c>
      <c r="H1409" s="8">
        <f t="shared" si="22"/>
        <v>-1.7576886990342249E-2</v>
      </c>
    </row>
    <row r="1410" spans="2:8" x14ac:dyDescent="0.2">
      <c r="B1410" s="5">
        <v>44777</v>
      </c>
      <c r="C1410" s="6" t="s">
        <v>17</v>
      </c>
      <c r="D1410" s="7">
        <v>76.599997999999999</v>
      </c>
      <c r="E1410" s="7">
        <v>73.387249999999995</v>
      </c>
      <c r="F1410" s="7">
        <v>77.860000999999997</v>
      </c>
      <c r="G1410" s="7">
        <v>76.319999999999993</v>
      </c>
      <c r="H1410" s="8">
        <f t="shared" si="22"/>
        <v>-8.5793299104587606E-3</v>
      </c>
    </row>
    <row r="1411" spans="2:8" x14ac:dyDescent="0.2">
      <c r="B1411" s="5">
        <v>44778</v>
      </c>
      <c r="C1411" s="6" t="s">
        <v>17</v>
      </c>
      <c r="D1411" s="7">
        <v>76.879997000000003</v>
      </c>
      <c r="E1411" s="7">
        <v>73.655506000000003</v>
      </c>
      <c r="F1411" s="7">
        <v>77.919998000000007</v>
      </c>
      <c r="G1411" s="7">
        <v>76.720000999999996</v>
      </c>
      <c r="H1411" s="8">
        <f t="shared" si="22"/>
        <v>3.6486842997599019E-3</v>
      </c>
    </row>
    <row r="1412" spans="2:8" x14ac:dyDescent="0.2">
      <c r="B1412" s="5">
        <v>44779</v>
      </c>
      <c r="C1412" s="6" t="s">
        <v>17</v>
      </c>
      <c r="D1412" s="7">
        <v>77.459998999999996</v>
      </c>
      <c r="E1412" s="7">
        <v>74.211180999999996</v>
      </c>
      <c r="F1412" s="7">
        <v>77.650002000000001</v>
      </c>
      <c r="G1412" s="7">
        <v>76.180000000000007</v>
      </c>
      <c r="H1412" s="8">
        <f t="shared" ref="H1412:H1475" si="23">IF(C1412=C1411, LN(E1412/E1411), "")</f>
        <v>7.5159270431029669E-3</v>
      </c>
    </row>
    <row r="1413" spans="2:8" x14ac:dyDescent="0.2">
      <c r="B1413" s="5">
        <v>44780</v>
      </c>
      <c r="C1413" s="6" t="s">
        <v>17</v>
      </c>
      <c r="D1413" s="7">
        <v>77.290001000000004</v>
      </c>
      <c r="E1413" s="7">
        <v>74.048312999999993</v>
      </c>
      <c r="F1413" s="7">
        <v>78.150002000000001</v>
      </c>
      <c r="G1413" s="7">
        <v>76.940002000000007</v>
      </c>
      <c r="H1413" s="8">
        <f t="shared" si="23"/>
        <v>-2.1970676024982813E-3</v>
      </c>
    </row>
    <row r="1414" spans="2:8" x14ac:dyDescent="0.2">
      <c r="B1414" s="5">
        <v>44783</v>
      </c>
      <c r="C1414" s="6" t="s">
        <v>17</v>
      </c>
      <c r="D1414" s="7">
        <v>80.160004000000001</v>
      </c>
      <c r="E1414" s="7">
        <v>76.797942000000006</v>
      </c>
      <c r="F1414" s="7">
        <v>80.309997999999993</v>
      </c>
      <c r="G1414" s="7">
        <v>77.900002000000001</v>
      </c>
      <c r="H1414" s="8">
        <f t="shared" si="23"/>
        <v>3.6460084369406627E-2</v>
      </c>
    </row>
    <row r="1415" spans="2:8" x14ac:dyDescent="0.2">
      <c r="B1415" s="5">
        <v>44784</v>
      </c>
      <c r="C1415" s="6" t="s">
        <v>17</v>
      </c>
      <c r="D1415" s="7">
        <v>78.040001000000004</v>
      </c>
      <c r="E1415" s="7">
        <v>74.766856000000004</v>
      </c>
      <c r="F1415" s="7">
        <v>78.930000000000007</v>
      </c>
      <c r="G1415" s="7">
        <v>77.230002999999996</v>
      </c>
      <c r="H1415" s="8">
        <f t="shared" si="23"/>
        <v>-2.6803157741955238E-2</v>
      </c>
    </row>
    <row r="1416" spans="2:8" x14ac:dyDescent="0.2">
      <c r="B1416" s="5">
        <v>44785</v>
      </c>
      <c r="C1416" s="6" t="s">
        <v>17</v>
      </c>
      <c r="D1416" s="7">
        <v>78.919998000000007</v>
      </c>
      <c r="E1416" s="7">
        <v>75.609944999999996</v>
      </c>
      <c r="F1416" s="7">
        <v>79.120002999999997</v>
      </c>
      <c r="G1416" s="7">
        <v>76.919998000000007</v>
      </c>
      <c r="H1416" s="8">
        <f t="shared" si="23"/>
        <v>1.1213136975276998E-2</v>
      </c>
    </row>
    <row r="1417" spans="2:8" x14ac:dyDescent="0.2">
      <c r="B1417" s="5">
        <v>44786</v>
      </c>
      <c r="C1417" s="6" t="s">
        <v>17</v>
      </c>
      <c r="D1417" s="7">
        <v>77.760002</v>
      </c>
      <c r="E1417" s="7">
        <v>74.498600999999994</v>
      </c>
      <c r="F1417" s="7">
        <v>78.580001999999993</v>
      </c>
      <c r="G1417" s="7">
        <v>77.699996999999996</v>
      </c>
      <c r="H1417" s="8">
        <f t="shared" si="23"/>
        <v>-1.4807475467200413E-2</v>
      </c>
    </row>
    <row r="1418" spans="2:8" x14ac:dyDescent="0.2">
      <c r="B1418" s="5">
        <v>44787</v>
      </c>
      <c r="C1418" s="6" t="s">
        <v>17</v>
      </c>
      <c r="D1418" s="7">
        <v>78.489998</v>
      </c>
      <c r="E1418" s="7">
        <v>75.197980000000001</v>
      </c>
      <c r="F1418" s="7">
        <v>78.730002999999996</v>
      </c>
      <c r="G1418" s="7">
        <v>77.599997999999999</v>
      </c>
      <c r="H1418" s="8">
        <f t="shared" si="23"/>
        <v>9.3440222071793245E-3</v>
      </c>
    </row>
    <row r="1419" spans="2:8" x14ac:dyDescent="0.2">
      <c r="B1419" s="5">
        <v>44790</v>
      </c>
      <c r="C1419" s="6" t="s">
        <v>17</v>
      </c>
      <c r="D1419" s="7">
        <v>78.540001000000004</v>
      </c>
      <c r="E1419" s="7">
        <v>75.245885999999999</v>
      </c>
      <c r="F1419" s="7">
        <v>78.639999000000003</v>
      </c>
      <c r="G1419" s="7">
        <v>77.209998999999996</v>
      </c>
      <c r="H1419" s="8">
        <f t="shared" si="23"/>
        <v>6.3686214523622417E-4</v>
      </c>
    </row>
    <row r="1420" spans="2:8" x14ac:dyDescent="0.2">
      <c r="B1420" s="5">
        <v>44791</v>
      </c>
      <c r="C1420" s="6" t="s">
        <v>17</v>
      </c>
      <c r="D1420" s="7">
        <v>78.819999999999993</v>
      </c>
      <c r="E1420" s="7">
        <v>75.514140999999995</v>
      </c>
      <c r="F1420" s="7">
        <v>79</v>
      </c>
      <c r="G1420" s="7">
        <v>78.180000000000007</v>
      </c>
      <c r="H1420" s="8">
        <f t="shared" si="23"/>
        <v>3.5587056920203305E-3</v>
      </c>
    </row>
    <row r="1421" spans="2:8" x14ac:dyDescent="0.2">
      <c r="B1421" s="5">
        <v>44792</v>
      </c>
      <c r="C1421" s="6" t="s">
        <v>17</v>
      </c>
      <c r="D1421" s="7">
        <v>77.410004000000001</v>
      </c>
      <c r="E1421" s="7">
        <v>74.163281999999995</v>
      </c>
      <c r="F1421" s="7">
        <v>78.540001000000004</v>
      </c>
      <c r="G1421" s="7">
        <v>77.050003000000004</v>
      </c>
      <c r="H1421" s="8">
        <f t="shared" si="23"/>
        <v>-1.8050760788363849E-2</v>
      </c>
    </row>
    <row r="1422" spans="2:8" x14ac:dyDescent="0.2">
      <c r="B1422" s="5">
        <v>44793</v>
      </c>
      <c r="C1422" s="6" t="s">
        <v>17</v>
      </c>
      <c r="D1422" s="7">
        <v>76.410004000000001</v>
      </c>
      <c r="E1422" s="7">
        <v>73.205224000000001</v>
      </c>
      <c r="F1422" s="7">
        <v>77.830001999999993</v>
      </c>
      <c r="G1422" s="7">
        <v>76.410004000000001</v>
      </c>
      <c r="H1422" s="8">
        <f t="shared" si="23"/>
        <v>-1.3002391400732971E-2</v>
      </c>
    </row>
    <row r="1423" spans="2:8" x14ac:dyDescent="0.2">
      <c r="B1423" s="5">
        <v>44794</v>
      </c>
      <c r="C1423" s="6" t="s">
        <v>17</v>
      </c>
      <c r="D1423" s="7">
        <v>75</v>
      </c>
      <c r="E1423" s="7">
        <v>71.854359000000002</v>
      </c>
      <c r="F1423" s="7">
        <v>76.300003000000004</v>
      </c>
      <c r="G1423" s="7">
        <v>74.959998999999996</v>
      </c>
      <c r="H1423" s="8">
        <f t="shared" si="23"/>
        <v>-1.8625505797787194E-2</v>
      </c>
    </row>
    <row r="1424" spans="2:8" x14ac:dyDescent="0.2">
      <c r="B1424" s="5">
        <v>44797</v>
      </c>
      <c r="C1424" s="6" t="s">
        <v>17</v>
      </c>
      <c r="D1424" s="7">
        <v>72.819999999999993</v>
      </c>
      <c r="E1424" s="7">
        <v>69.765792000000005</v>
      </c>
      <c r="F1424" s="7">
        <v>74.879997000000003</v>
      </c>
      <c r="G1424" s="7">
        <v>70.230002999999996</v>
      </c>
      <c r="H1424" s="8">
        <f t="shared" si="23"/>
        <v>-2.9497475066190826E-2</v>
      </c>
    </row>
    <row r="1425" spans="2:8" x14ac:dyDescent="0.2">
      <c r="B1425" s="5">
        <v>44798</v>
      </c>
      <c r="C1425" s="6" t="s">
        <v>17</v>
      </c>
      <c r="D1425" s="7">
        <v>72.059997999999993</v>
      </c>
      <c r="E1425" s="7">
        <v>69.037666000000002</v>
      </c>
      <c r="F1425" s="7">
        <v>75.489998</v>
      </c>
      <c r="G1425" s="7">
        <v>72.029999000000004</v>
      </c>
      <c r="H1425" s="8">
        <f t="shared" si="23"/>
        <v>-1.0491563962337656E-2</v>
      </c>
    </row>
    <row r="1426" spans="2:8" x14ac:dyDescent="0.2">
      <c r="B1426" s="5">
        <v>44799</v>
      </c>
      <c r="C1426" s="6" t="s">
        <v>17</v>
      </c>
      <c r="D1426" s="7">
        <v>73.870002999999997</v>
      </c>
      <c r="E1426" s="7">
        <v>70.771755999999996</v>
      </c>
      <c r="F1426" s="7">
        <v>74.080001999999993</v>
      </c>
      <c r="G1426" s="7">
        <v>72.529999000000004</v>
      </c>
      <c r="H1426" s="8">
        <f t="shared" si="23"/>
        <v>2.4807754838907257E-2</v>
      </c>
    </row>
    <row r="1427" spans="2:8" x14ac:dyDescent="0.2">
      <c r="B1427" s="5">
        <v>44800</v>
      </c>
      <c r="C1427" s="6" t="s">
        <v>17</v>
      </c>
      <c r="D1427" s="7">
        <v>75.660004000000001</v>
      </c>
      <c r="E1427" s="7">
        <v>72.486681000000004</v>
      </c>
      <c r="F1427" s="7">
        <v>76.220000999999996</v>
      </c>
      <c r="G1427" s="7">
        <v>74.230002999999996</v>
      </c>
      <c r="H1427" s="8">
        <f t="shared" si="23"/>
        <v>2.3942840085353467E-2</v>
      </c>
    </row>
    <row r="1428" spans="2:8" x14ac:dyDescent="0.2">
      <c r="B1428" s="5">
        <v>44801</v>
      </c>
      <c r="C1428" s="6" t="s">
        <v>17</v>
      </c>
      <c r="D1428" s="7">
        <v>75.949996999999996</v>
      </c>
      <c r="E1428" s="7">
        <v>72.764510999999999</v>
      </c>
      <c r="F1428" s="7">
        <v>76.019997000000004</v>
      </c>
      <c r="G1428" s="7">
        <v>74.629997000000003</v>
      </c>
      <c r="H1428" s="8">
        <f t="shared" si="23"/>
        <v>3.8255154398562125E-3</v>
      </c>
    </row>
    <row r="1429" spans="2:8" x14ac:dyDescent="0.2">
      <c r="B1429" s="5">
        <v>44804</v>
      </c>
      <c r="C1429" s="6" t="s">
        <v>17</v>
      </c>
      <c r="D1429" s="7">
        <v>76.440002000000007</v>
      </c>
      <c r="E1429" s="7">
        <v>73.233964999999998</v>
      </c>
      <c r="F1429" s="7">
        <v>76.769997000000004</v>
      </c>
      <c r="G1429" s="7">
        <v>74.900002000000001</v>
      </c>
      <c r="H1429" s="8">
        <f t="shared" si="23"/>
        <v>6.4309660046813419E-3</v>
      </c>
    </row>
    <row r="1430" spans="2:8" x14ac:dyDescent="0.2">
      <c r="B1430" s="5">
        <v>44805</v>
      </c>
      <c r="C1430" s="6" t="s">
        <v>17</v>
      </c>
      <c r="D1430" s="7">
        <v>74.900002000000001</v>
      </c>
      <c r="E1430" s="7">
        <v>71.758555000000001</v>
      </c>
      <c r="F1430" s="7">
        <v>75.940002000000007</v>
      </c>
      <c r="G1430" s="7">
        <v>74.459998999999996</v>
      </c>
      <c r="H1430" s="8">
        <f t="shared" si="23"/>
        <v>-2.0352235102061567E-2</v>
      </c>
    </row>
    <row r="1431" spans="2:8" x14ac:dyDescent="0.2">
      <c r="B1431" s="5">
        <v>44806</v>
      </c>
      <c r="C1431" s="6" t="s">
        <v>17</v>
      </c>
      <c r="D1431" s="7">
        <v>76.099997999999999</v>
      </c>
      <c r="E1431" s="7">
        <v>72.908220999999998</v>
      </c>
      <c r="F1431" s="7">
        <v>76.160004000000001</v>
      </c>
      <c r="G1431" s="7">
        <v>74.949996999999996</v>
      </c>
      <c r="H1431" s="8">
        <f t="shared" si="23"/>
        <v>1.589432259405256E-2</v>
      </c>
    </row>
    <row r="1432" spans="2:8" x14ac:dyDescent="0.2">
      <c r="B1432" s="5">
        <v>44807</v>
      </c>
      <c r="C1432" s="6" t="s">
        <v>17</v>
      </c>
      <c r="D1432" s="7">
        <v>74.449996999999996</v>
      </c>
      <c r="E1432" s="7">
        <v>71.327423999999993</v>
      </c>
      <c r="F1432" s="7">
        <v>76.010002</v>
      </c>
      <c r="G1432" s="7">
        <v>73.779999000000004</v>
      </c>
      <c r="H1432" s="8">
        <f t="shared" si="23"/>
        <v>-2.1920521774786376E-2</v>
      </c>
    </row>
    <row r="1433" spans="2:8" x14ac:dyDescent="0.2">
      <c r="B1433" s="5">
        <v>44808</v>
      </c>
      <c r="C1433" s="6" t="s">
        <v>17</v>
      </c>
      <c r="D1433" s="7">
        <v>73.099997999999999</v>
      </c>
      <c r="E1433" s="7">
        <v>70.034047000000001</v>
      </c>
      <c r="F1433" s="7">
        <v>73.660004000000001</v>
      </c>
      <c r="G1433" s="7">
        <v>72.349997999999999</v>
      </c>
      <c r="H1433" s="8">
        <f t="shared" si="23"/>
        <v>-1.829937228427702E-2</v>
      </c>
    </row>
    <row r="1434" spans="2:8" x14ac:dyDescent="0.2">
      <c r="B1434" s="5">
        <v>44812</v>
      </c>
      <c r="C1434" s="6" t="s">
        <v>17</v>
      </c>
      <c r="D1434" s="7">
        <v>74.300003000000004</v>
      </c>
      <c r="E1434" s="7">
        <v>71.183721000000006</v>
      </c>
      <c r="F1434" s="7">
        <v>74.620002999999997</v>
      </c>
      <c r="G1434" s="7">
        <v>73.559997999999993</v>
      </c>
      <c r="H1434" s="8">
        <f t="shared" si="23"/>
        <v>1.6282645119456523E-2</v>
      </c>
    </row>
    <row r="1435" spans="2:8" x14ac:dyDescent="0.2">
      <c r="B1435" s="5">
        <v>44813</v>
      </c>
      <c r="C1435" s="6" t="s">
        <v>17</v>
      </c>
      <c r="D1435" s="7">
        <v>72.959998999999996</v>
      </c>
      <c r="E1435" s="7">
        <v>69.899918999999997</v>
      </c>
      <c r="F1435" s="7">
        <v>75.199996999999996</v>
      </c>
      <c r="G1435" s="7">
        <v>72.779999000000004</v>
      </c>
      <c r="H1435" s="8">
        <f t="shared" si="23"/>
        <v>-1.8199664195100843E-2</v>
      </c>
    </row>
    <row r="1436" spans="2:8" x14ac:dyDescent="0.2">
      <c r="B1436" s="5">
        <v>44814</v>
      </c>
      <c r="C1436" s="6" t="s">
        <v>17</v>
      </c>
      <c r="D1436" s="7">
        <v>72.419998000000007</v>
      </c>
      <c r="E1436" s="7">
        <v>69.382566999999995</v>
      </c>
      <c r="F1436" s="7">
        <v>73.309997999999993</v>
      </c>
      <c r="G1436" s="7">
        <v>72.029999000000004</v>
      </c>
      <c r="H1436" s="8">
        <f t="shared" si="23"/>
        <v>-7.4288504484599513E-3</v>
      </c>
    </row>
    <row r="1437" spans="2:8" x14ac:dyDescent="0.2">
      <c r="B1437" s="5">
        <v>44815</v>
      </c>
      <c r="C1437" s="6" t="s">
        <v>17</v>
      </c>
      <c r="D1437" s="7">
        <v>72.629997000000003</v>
      </c>
      <c r="E1437" s="7">
        <v>69.583759000000001</v>
      </c>
      <c r="F1437" s="7">
        <v>72.919998000000007</v>
      </c>
      <c r="G1437" s="7">
        <v>71.879997000000003</v>
      </c>
      <c r="H1437" s="8">
        <f t="shared" si="23"/>
        <v>2.895552417063635E-3</v>
      </c>
    </row>
    <row r="1438" spans="2:8" x14ac:dyDescent="0.2">
      <c r="B1438" s="5">
        <v>44818</v>
      </c>
      <c r="C1438" s="6" t="s">
        <v>17</v>
      </c>
      <c r="D1438" s="7">
        <v>72.769997000000004</v>
      </c>
      <c r="E1438" s="7">
        <v>69.717885999999993</v>
      </c>
      <c r="F1438" s="7">
        <v>72.889999000000003</v>
      </c>
      <c r="G1438" s="7">
        <v>72.010002</v>
      </c>
      <c r="H1438" s="8">
        <f t="shared" si="23"/>
        <v>1.9257064975664439E-3</v>
      </c>
    </row>
    <row r="1439" spans="2:8" x14ac:dyDescent="0.2">
      <c r="B1439" s="5">
        <v>44819</v>
      </c>
      <c r="C1439" s="6" t="s">
        <v>17</v>
      </c>
      <c r="D1439" s="7">
        <v>74.580001999999993</v>
      </c>
      <c r="E1439" s="7">
        <v>71.451976000000002</v>
      </c>
      <c r="F1439" s="7">
        <v>74.739998</v>
      </c>
      <c r="G1439" s="7">
        <v>72.650002000000001</v>
      </c>
      <c r="H1439" s="8">
        <f t="shared" si="23"/>
        <v>2.4568660789773496E-2</v>
      </c>
    </row>
    <row r="1440" spans="2:8" x14ac:dyDescent="0.2">
      <c r="B1440" s="5">
        <v>44820</v>
      </c>
      <c r="C1440" s="6" t="s">
        <v>17</v>
      </c>
      <c r="D1440" s="7">
        <v>75.639999000000003</v>
      </c>
      <c r="E1440" s="7">
        <v>72.467516000000003</v>
      </c>
      <c r="F1440" s="7">
        <v>75.870002999999997</v>
      </c>
      <c r="G1440" s="7">
        <v>74.580001999999993</v>
      </c>
      <c r="H1440" s="8">
        <f t="shared" si="23"/>
        <v>1.4112846584750071E-2</v>
      </c>
    </row>
    <row r="1441" spans="2:8" x14ac:dyDescent="0.2">
      <c r="B1441" s="5">
        <v>44821</v>
      </c>
      <c r="C1441" s="6" t="s">
        <v>17</v>
      </c>
      <c r="D1441" s="7">
        <v>74.059997999999993</v>
      </c>
      <c r="E1441" s="7">
        <v>70.953782000000004</v>
      </c>
      <c r="F1441" s="7">
        <v>75.680000000000007</v>
      </c>
      <c r="G1441" s="7">
        <v>73.910004000000001</v>
      </c>
      <c r="H1441" s="8">
        <f t="shared" si="23"/>
        <v>-2.1109698951652666E-2</v>
      </c>
    </row>
    <row r="1442" spans="2:8" x14ac:dyDescent="0.2">
      <c r="B1442" s="5">
        <v>44822</v>
      </c>
      <c r="C1442" s="6" t="s">
        <v>17</v>
      </c>
      <c r="D1442" s="7">
        <v>71.860000999999997</v>
      </c>
      <c r="E1442" s="7">
        <v>68.846057000000002</v>
      </c>
      <c r="F1442" s="7">
        <v>73.5</v>
      </c>
      <c r="G1442" s="7">
        <v>71.610000999999997</v>
      </c>
      <c r="H1442" s="8">
        <f t="shared" si="23"/>
        <v>-3.0155753221432255E-2</v>
      </c>
    </row>
    <row r="1443" spans="2:8" x14ac:dyDescent="0.2">
      <c r="B1443" s="5">
        <v>44825</v>
      </c>
      <c r="C1443" s="6" t="s">
        <v>17</v>
      </c>
      <c r="D1443" s="7">
        <v>72.160004000000001</v>
      </c>
      <c r="E1443" s="7">
        <v>69.133476999999999</v>
      </c>
      <c r="F1443" s="7">
        <v>72.839995999999999</v>
      </c>
      <c r="G1443" s="7">
        <v>71.910004000000001</v>
      </c>
      <c r="H1443" s="8">
        <f t="shared" si="23"/>
        <v>4.1661311266717998E-3</v>
      </c>
    </row>
    <row r="1444" spans="2:8" x14ac:dyDescent="0.2">
      <c r="B1444" s="5">
        <v>44826</v>
      </c>
      <c r="C1444" s="6" t="s">
        <v>17</v>
      </c>
      <c r="D1444" s="7">
        <v>71.680000000000007</v>
      </c>
      <c r="E1444" s="7">
        <v>68.673606000000007</v>
      </c>
      <c r="F1444" s="7">
        <v>71.800003000000004</v>
      </c>
      <c r="G1444" s="7">
        <v>70.639999000000003</v>
      </c>
      <c r="H1444" s="8">
        <f t="shared" si="23"/>
        <v>-6.6741519672329878E-3</v>
      </c>
    </row>
    <row r="1445" spans="2:8" x14ac:dyDescent="0.2">
      <c r="B1445" s="5">
        <v>44827</v>
      </c>
      <c r="C1445" s="6" t="s">
        <v>17</v>
      </c>
      <c r="D1445" s="7">
        <v>70.199996999999996</v>
      </c>
      <c r="E1445" s="7">
        <v>67.255677000000006</v>
      </c>
      <c r="F1445" s="7">
        <v>71.809997999999993</v>
      </c>
      <c r="G1445" s="7">
        <v>70.160004000000001</v>
      </c>
      <c r="H1445" s="8">
        <f t="shared" si="23"/>
        <v>-2.0863501991891756E-2</v>
      </c>
    </row>
    <row r="1446" spans="2:8" x14ac:dyDescent="0.2">
      <c r="B1446" s="5">
        <v>44828</v>
      </c>
      <c r="C1446" s="6" t="s">
        <v>17</v>
      </c>
      <c r="D1446" s="7">
        <v>65.800003000000004</v>
      </c>
      <c r="E1446" s="7">
        <v>63.040227000000002</v>
      </c>
      <c r="F1446" s="7">
        <v>66.699996999999996</v>
      </c>
      <c r="G1446" s="7">
        <v>64.650002000000001</v>
      </c>
      <c r="H1446" s="8">
        <f t="shared" si="23"/>
        <v>-6.4728384844500358E-2</v>
      </c>
    </row>
    <row r="1447" spans="2:8" x14ac:dyDescent="0.2">
      <c r="B1447" s="5">
        <v>44829</v>
      </c>
      <c r="C1447" s="6" t="s">
        <v>17</v>
      </c>
      <c r="D1447" s="7">
        <v>64.980002999999996</v>
      </c>
      <c r="E1447" s="7">
        <v>62.254620000000003</v>
      </c>
      <c r="F1447" s="7">
        <v>65.769997000000004</v>
      </c>
      <c r="G1447" s="7">
        <v>64.739998</v>
      </c>
      <c r="H1447" s="8">
        <f t="shared" si="23"/>
        <v>-1.2540296973113931E-2</v>
      </c>
    </row>
    <row r="1448" spans="2:8" x14ac:dyDescent="0.2">
      <c r="B1448" s="5">
        <v>44832</v>
      </c>
      <c r="C1448" s="6" t="s">
        <v>17</v>
      </c>
      <c r="D1448" s="7">
        <v>63.790000999999997</v>
      </c>
      <c r="E1448" s="7">
        <v>61.114528</v>
      </c>
      <c r="F1448" s="7">
        <v>64.319999999999993</v>
      </c>
      <c r="G1448" s="7">
        <v>62.990001999999997</v>
      </c>
      <c r="H1448" s="8">
        <f t="shared" si="23"/>
        <v>-1.8483137403839837E-2</v>
      </c>
    </row>
    <row r="1449" spans="2:8" x14ac:dyDescent="0.2">
      <c r="B1449" s="5">
        <v>44833</v>
      </c>
      <c r="C1449" s="6" t="s">
        <v>17</v>
      </c>
      <c r="D1449" s="7">
        <v>64.309997999999993</v>
      </c>
      <c r="E1449" s="7">
        <v>61.612715000000001</v>
      </c>
      <c r="F1449" s="7">
        <v>65.389999000000003</v>
      </c>
      <c r="G1449" s="7">
        <v>63.599997999999999</v>
      </c>
      <c r="H1449" s="8">
        <f t="shared" si="23"/>
        <v>8.1186495225293292E-3</v>
      </c>
    </row>
    <row r="1450" spans="2:8" x14ac:dyDescent="0.2">
      <c r="B1450" s="5">
        <v>44834</v>
      </c>
      <c r="C1450" s="6" t="s">
        <v>17</v>
      </c>
      <c r="D1450" s="7">
        <v>65.360000999999997</v>
      </c>
      <c r="E1450" s="7">
        <v>62.618679</v>
      </c>
      <c r="F1450" s="7">
        <v>65.639999000000003</v>
      </c>
      <c r="G1450" s="7">
        <v>64.150002000000001</v>
      </c>
      <c r="H1450" s="8">
        <f t="shared" si="23"/>
        <v>1.6195358602059267E-2</v>
      </c>
    </row>
    <row r="1451" spans="2:8" x14ac:dyDescent="0.2">
      <c r="B1451" s="5">
        <v>44835</v>
      </c>
      <c r="C1451" s="6" t="s">
        <v>17</v>
      </c>
      <c r="D1451" s="7">
        <v>64.389999000000003</v>
      </c>
      <c r="E1451" s="7">
        <v>61.689362000000003</v>
      </c>
      <c r="F1451" s="7">
        <v>66.099997999999999</v>
      </c>
      <c r="G1451" s="7">
        <v>63.610000999999997</v>
      </c>
      <c r="H1451" s="8">
        <f t="shared" si="23"/>
        <v>-1.4952119043776286E-2</v>
      </c>
    </row>
    <row r="1452" spans="2:8" x14ac:dyDescent="0.2">
      <c r="B1452" s="5">
        <v>44836</v>
      </c>
      <c r="C1452" s="6" t="s">
        <v>17</v>
      </c>
      <c r="D1452" s="7">
        <v>65.699996999999996</v>
      </c>
      <c r="E1452" s="7">
        <v>62.944414999999999</v>
      </c>
      <c r="F1452" s="7">
        <v>65.730002999999996</v>
      </c>
      <c r="G1452" s="7">
        <v>63.099997999999999</v>
      </c>
      <c r="H1452" s="8">
        <f t="shared" si="23"/>
        <v>2.0140534211765988E-2</v>
      </c>
    </row>
    <row r="1453" spans="2:8" x14ac:dyDescent="0.2">
      <c r="B1453" s="5">
        <v>44839</v>
      </c>
      <c r="C1453" s="6" t="s">
        <v>17</v>
      </c>
      <c r="D1453" s="7">
        <v>69.180000000000007</v>
      </c>
      <c r="E1453" s="7">
        <v>66.278460999999993</v>
      </c>
      <c r="F1453" s="7">
        <v>69.480002999999996</v>
      </c>
      <c r="G1453" s="7">
        <v>66.519997000000004</v>
      </c>
      <c r="H1453" s="8">
        <f t="shared" si="23"/>
        <v>5.1612937267581808E-2</v>
      </c>
    </row>
    <row r="1454" spans="2:8" x14ac:dyDescent="0.2">
      <c r="B1454" s="5">
        <v>44840</v>
      </c>
      <c r="C1454" s="6" t="s">
        <v>17</v>
      </c>
      <c r="D1454" s="7">
        <v>70.819999999999993</v>
      </c>
      <c r="E1454" s="7">
        <v>67.849676000000002</v>
      </c>
      <c r="F1454" s="7">
        <v>71.150002000000001</v>
      </c>
      <c r="G1454" s="7">
        <v>69.080001999999993</v>
      </c>
      <c r="H1454" s="8">
        <f t="shared" si="23"/>
        <v>2.3429638415306441E-2</v>
      </c>
    </row>
    <row r="1455" spans="2:8" x14ac:dyDescent="0.2">
      <c r="B1455" s="5">
        <v>44841</v>
      </c>
      <c r="C1455" s="6" t="s">
        <v>17</v>
      </c>
      <c r="D1455" s="7">
        <v>70.379997000000003</v>
      </c>
      <c r="E1455" s="7">
        <v>67.428128000000001</v>
      </c>
      <c r="F1455" s="7">
        <v>72.709998999999996</v>
      </c>
      <c r="G1455" s="7">
        <v>69.150002000000001</v>
      </c>
      <c r="H1455" s="8">
        <f t="shared" si="23"/>
        <v>-6.2323507925459614E-3</v>
      </c>
    </row>
    <row r="1456" spans="2:8" x14ac:dyDescent="0.2">
      <c r="B1456" s="5">
        <v>44842</v>
      </c>
      <c r="C1456" s="6" t="s">
        <v>17</v>
      </c>
      <c r="D1456" s="7">
        <v>71.839995999999999</v>
      </c>
      <c r="E1456" s="7">
        <v>68.826892000000001</v>
      </c>
      <c r="F1456" s="7">
        <v>72.180000000000007</v>
      </c>
      <c r="G1456" s="7">
        <v>69.849997999999999</v>
      </c>
      <c r="H1456" s="8">
        <f t="shared" si="23"/>
        <v>2.0532280424292927E-2</v>
      </c>
    </row>
    <row r="1457" spans="2:8" x14ac:dyDescent="0.2">
      <c r="B1457" s="5">
        <v>44843</v>
      </c>
      <c r="C1457" s="6" t="s">
        <v>17</v>
      </c>
      <c r="D1457" s="7">
        <v>71.300003000000004</v>
      </c>
      <c r="E1457" s="7">
        <v>68.309546999999995</v>
      </c>
      <c r="F1457" s="7">
        <v>72.489998</v>
      </c>
      <c r="G1457" s="7">
        <v>70.860000999999997</v>
      </c>
      <c r="H1457" s="8">
        <f t="shared" si="23"/>
        <v>-7.5450034726741635E-3</v>
      </c>
    </row>
    <row r="1458" spans="2:8" x14ac:dyDescent="0.2">
      <c r="B1458" s="5">
        <v>44846</v>
      </c>
      <c r="C1458" s="6" t="s">
        <v>17</v>
      </c>
      <c r="D1458" s="7">
        <v>70.5</v>
      </c>
      <c r="E1458" s="7">
        <v>67.543097000000003</v>
      </c>
      <c r="F1458" s="7">
        <v>71.529999000000004</v>
      </c>
      <c r="G1458" s="7">
        <v>70.319999999999993</v>
      </c>
      <c r="H1458" s="8">
        <f t="shared" si="23"/>
        <v>-1.1283668974347811E-2</v>
      </c>
    </row>
    <row r="1459" spans="2:8" x14ac:dyDescent="0.2">
      <c r="B1459" s="5">
        <v>44847</v>
      </c>
      <c r="C1459" s="6" t="s">
        <v>17</v>
      </c>
      <c r="D1459" s="7">
        <v>70.169998000000007</v>
      </c>
      <c r="E1459" s="7">
        <v>67.226935999999995</v>
      </c>
      <c r="F1459" s="7">
        <v>71.029999000000004</v>
      </c>
      <c r="G1459" s="7">
        <v>69.260002</v>
      </c>
      <c r="H1459" s="8">
        <f t="shared" si="23"/>
        <v>-4.6918676644858168E-3</v>
      </c>
    </row>
    <row r="1460" spans="2:8" x14ac:dyDescent="0.2">
      <c r="B1460" s="5">
        <v>44848</v>
      </c>
      <c r="C1460" s="6" t="s">
        <v>17</v>
      </c>
      <c r="D1460" s="7">
        <v>70.709998999999996</v>
      </c>
      <c r="E1460" s="7">
        <v>67.744288999999995</v>
      </c>
      <c r="F1460" s="7">
        <v>71.059997999999993</v>
      </c>
      <c r="G1460" s="7">
        <v>69.569999999999993</v>
      </c>
      <c r="H1460" s="8">
        <f t="shared" si="23"/>
        <v>7.6661604536007307E-3</v>
      </c>
    </row>
    <row r="1461" spans="2:8" x14ac:dyDescent="0.2">
      <c r="B1461" s="5">
        <v>44849</v>
      </c>
      <c r="C1461" s="6" t="s">
        <v>17</v>
      </c>
      <c r="D1461" s="7">
        <v>70.830001999999993</v>
      </c>
      <c r="E1461" s="7">
        <v>67.859257999999997</v>
      </c>
      <c r="F1461" s="7">
        <v>70.919998000000007</v>
      </c>
      <c r="G1461" s="7">
        <v>69.760002</v>
      </c>
      <c r="H1461" s="8">
        <f t="shared" si="23"/>
        <v>1.6956640160349884E-3</v>
      </c>
    </row>
    <row r="1462" spans="2:8" x14ac:dyDescent="0.2">
      <c r="B1462" s="5">
        <v>44850</v>
      </c>
      <c r="C1462" s="6" t="s">
        <v>17</v>
      </c>
      <c r="D1462" s="7">
        <v>69.680000000000007</v>
      </c>
      <c r="E1462" s="7">
        <v>66.757490000000004</v>
      </c>
      <c r="F1462" s="7">
        <v>70.830001999999993</v>
      </c>
      <c r="G1462" s="7">
        <v>69.110000999999997</v>
      </c>
      <c r="H1462" s="8">
        <f t="shared" si="23"/>
        <v>-1.6369324296707944E-2</v>
      </c>
    </row>
    <row r="1463" spans="2:8" x14ac:dyDescent="0.2">
      <c r="B1463" s="5">
        <v>44853</v>
      </c>
      <c r="C1463" s="6" t="s">
        <v>17</v>
      </c>
      <c r="D1463" s="7">
        <v>69.269997000000004</v>
      </c>
      <c r="E1463" s="7">
        <v>66.364682999999999</v>
      </c>
      <c r="F1463" s="7">
        <v>69.470000999999996</v>
      </c>
      <c r="G1463" s="7">
        <v>68.800003000000004</v>
      </c>
      <c r="H1463" s="8">
        <f t="shared" si="23"/>
        <v>-5.9014682705666229E-3</v>
      </c>
    </row>
    <row r="1464" spans="2:8" x14ac:dyDescent="0.2">
      <c r="B1464" s="5">
        <v>44854</v>
      </c>
      <c r="C1464" s="6" t="s">
        <v>17</v>
      </c>
      <c r="D1464" s="7">
        <v>70.269997000000004</v>
      </c>
      <c r="E1464" s="7">
        <v>67.322740999999994</v>
      </c>
      <c r="F1464" s="7">
        <v>71.190002000000007</v>
      </c>
      <c r="G1464" s="7">
        <v>68.510002</v>
      </c>
      <c r="H1464" s="8">
        <f t="shared" si="23"/>
        <v>1.433305202451674E-2</v>
      </c>
    </row>
    <row r="1465" spans="2:8" x14ac:dyDescent="0.2">
      <c r="B1465" s="5">
        <v>44855</v>
      </c>
      <c r="C1465" s="6" t="s">
        <v>17</v>
      </c>
      <c r="D1465" s="7">
        <v>69.669998000000007</v>
      </c>
      <c r="E1465" s="7">
        <v>66.747906999999998</v>
      </c>
      <c r="F1465" s="7">
        <v>71.900002000000001</v>
      </c>
      <c r="G1465" s="7">
        <v>69.580001999999993</v>
      </c>
      <c r="H1465" s="8">
        <f t="shared" si="23"/>
        <v>-8.5751434935831764E-3</v>
      </c>
    </row>
    <row r="1466" spans="2:8" x14ac:dyDescent="0.2">
      <c r="B1466" s="5">
        <v>44856</v>
      </c>
      <c r="C1466" s="6" t="s">
        <v>17</v>
      </c>
      <c r="D1466" s="7">
        <v>70.879997000000003</v>
      </c>
      <c r="E1466" s="7">
        <v>68.666058000000007</v>
      </c>
      <c r="F1466" s="7">
        <v>72.830001999999993</v>
      </c>
      <c r="G1466" s="7">
        <v>67.809997999999993</v>
      </c>
      <c r="H1466" s="8">
        <f t="shared" si="23"/>
        <v>2.8332075021003433E-2</v>
      </c>
    </row>
    <row r="1467" spans="2:8" x14ac:dyDescent="0.2">
      <c r="B1467" s="5">
        <v>44857</v>
      </c>
      <c r="C1467" s="6" t="s">
        <v>17</v>
      </c>
      <c r="D1467" s="7">
        <v>71.75</v>
      </c>
      <c r="E1467" s="7">
        <v>69.508886000000004</v>
      </c>
      <c r="F1467" s="7">
        <v>72.430000000000007</v>
      </c>
      <c r="G1467" s="7">
        <v>70.660004000000001</v>
      </c>
      <c r="H1467" s="8">
        <f t="shared" si="23"/>
        <v>1.2199584508442603E-2</v>
      </c>
    </row>
    <row r="1468" spans="2:8" x14ac:dyDescent="0.2">
      <c r="B1468" s="5">
        <v>44860</v>
      </c>
      <c r="C1468" s="6" t="s">
        <v>17</v>
      </c>
      <c r="D1468" s="7">
        <v>71.519997000000004</v>
      </c>
      <c r="E1468" s="7">
        <v>69.286067000000003</v>
      </c>
      <c r="F1468" s="7">
        <v>72.300003000000004</v>
      </c>
      <c r="G1468" s="7">
        <v>71.419998000000007</v>
      </c>
      <c r="H1468" s="8">
        <f t="shared" si="23"/>
        <v>-3.2107679220962459E-3</v>
      </c>
    </row>
    <row r="1469" spans="2:8" x14ac:dyDescent="0.2">
      <c r="B1469" s="5">
        <v>44861</v>
      </c>
      <c r="C1469" s="6" t="s">
        <v>17</v>
      </c>
      <c r="D1469" s="7">
        <v>70.389999000000003</v>
      </c>
      <c r="E1469" s="7">
        <v>68.191365000000005</v>
      </c>
      <c r="F1469" s="7">
        <v>71.080001999999993</v>
      </c>
      <c r="G1469" s="7">
        <v>68.339995999999999</v>
      </c>
      <c r="H1469" s="8">
        <f t="shared" si="23"/>
        <v>-1.5925888660761268E-2</v>
      </c>
    </row>
    <row r="1470" spans="2:8" x14ac:dyDescent="0.2">
      <c r="B1470" s="5">
        <v>44862</v>
      </c>
      <c r="C1470" s="6" t="s">
        <v>17</v>
      </c>
      <c r="D1470" s="7">
        <v>71.970000999999996</v>
      </c>
      <c r="E1470" s="7">
        <v>69.722021999999996</v>
      </c>
      <c r="F1470" s="7">
        <v>72.110000999999997</v>
      </c>
      <c r="G1470" s="7">
        <v>70.480002999999996</v>
      </c>
      <c r="H1470" s="8">
        <f t="shared" si="23"/>
        <v>2.2198278022348236E-2</v>
      </c>
    </row>
    <row r="1471" spans="2:8" x14ac:dyDescent="0.2">
      <c r="B1471" s="5">
        <v>44863</v>
      </c>
      <c r="C1471" s="6" t="s">
        <v>17</v>
      </c>
      <c r="D1471" s="7">
        <v>71.970000999999996</v>
      </c>
      <c r="E1471" s="7">
        <v>69.722021999999996</v>
      </c>
      <c r="F1471" s="7">
        <v>72.569999999999993</v>
      </c>
      <c r="G1471" s="7">
        <v>71.279999000000004</v>
      </c>
      <c r="H1471" s="8">
        <f t="shared" si="23"/>
        <v>0</v>
      </c>
    </row>
    <row r="1472" spans="2:8" x14ac:dyDescent="0.2">
      <c r="B1472" s="5">
        <v>44864</v>
      </c>
      <c r="C1472" s="6" t="s">
        <v>17</v>
      </c>
      <c r="D1472" s="7">
        <v>72.989998</v>
      </c>
      <c r="E1472" s="7">
        <v>70.710151999999994</v>
      </c>
      <c r="F1472" s="7">
        <v>73.279999000000004</v>
      </c>
      <c r="G1472" s="7">
        <v>71.629997000000003</v>
      </c>
      <c r="H1472" s="8">
        <f t="shared" si="23"/>
        <v>1.4072933286620048E-2</v>
      </c>
    </row>
    <row r="1473" spans="2:8" x14ac:dyDescent="0.2">
      <c r="B1473" s="5">
        <v>44867</v>
      </c>
      <c r="C1473" s="6" t="s">
        <v>17</v>
      </c>
      <c r="D1473" s="7">
        <v>74.339995999999999</v>
      </c>
      <c r="E1473" s="7">
        <v>72.017983999999998</v>
      </c>
      <c r="F1473" s="7">
        <v>74.639999000000003</v>
      </c>
      <c r="G1473" s="7">
        <v>72.830001999999993</v>
      </c>
      <c r="H1473" s="8">
        <f t="shared" si="23"/>
        <v>1.8326710365488753E-2</v>
      </c>
    </row>
    <row r="1474" spans="2:8" x14ac:dyDescent="0.2">
      <c r="B1474" s="5">
        <v>44868</v>
      </c>
      <c r="C1474" s="6" t="s">
        <v>17</v>
      </c>
      <c r="D1474" s="7">
        <v>74.75</v>
      </c>
      <c r="E1474" s="7">
        <v>72.415181000000004</v>
      </c>
      <c r="F1474" s="7">
        <v>75.319999999999993</v>
      </c>
      <c r="G1474" s="7">
        <v>74.199996999999996</v>
      </c>
      <c r="H1474" s="8">
        <f t="shared" si="23"/>
        <v>5.5000941272901078E-3</v>
      </c>
    </row>
    <row r="1475" spans="2:8" x14ac:dyDescent="0.2">
      <c r="B1475" s="5">
        <v>44869</v>
      </c>
      <c r="C1475" s="6" t="s">
        <v>17</v>
      </c>
      <c r="D1475" s="7">
        <v>74.550003000000004</v>
      </c>
      <c r="E1475" s="7">
        <v>72.221430999999995</v>
      </c>
      <c r="F1475" s="7">
        <v>75.930000000000007</v>
      </c>
      <c r="G1475" s="7">
        <v>74.330001999999993</v>
      </c>
      <c r="H1475" s="8">
        <f t="shared" si="23"/>
        <v>-2.6791296230101783E-3</v>
      </c>
    </row>
    <row r="1476" spans="2:8" x14ac:dyDescent="0.2">
      <c r="B1476" s="5">
        <v>44870</v>
      </c>
      <c r="C1476" s="6" t="s">
        <v>17</v>
      </c>
      <c r="D1476" s="7">
        <v>74.220000999999996</v>
      </c>
      <c r="E1476" s="7">
        <v>71.901736999999997</v>
      </c>
      <c r="F1476" s="7">
        <v>75.559997999999993</v>
      </c>
      <c r="G1476" s="7">
        <v>73.209998999999996</v>
      </c>
      <c r="H1476" s="8">
        <f t="shared" ref="H1476:H1539" si="24">IF(C1476=C1475, LN(E1476/E1475), "")</f>
        <v>-4.4364071201028997E-3</v>
      </c>
    </row>
    <row r="1477" spans="2:8" x14ac:dyDescent="0.2">
      <c r="B1477" s="5">
        <v>44871</v>
      </c>
      <c r="C1477" s="6" t="s">
        <v>17</v>
      </c>
      <c r="D1477" s="7">
        <v>73.839995999999999</v>
      </c>
      <c r="E1477" s="7">
        <v>71.533601000000004</v>
      </c>
      <c r="F1477" s="7">
        <v>73.849997999999999</v>
      </c>
      <c r="G1477" s="7">
        <v>72.330001999999993</v>
      </c>
      <c r="H1477" s="8">
        <f t="shared" si="24"/>
        <v>-5.1331396219530508E-3</v>
      </c>
    </row>
    <row r="1478" spans="2:8" x14ac:dyDescent="0.2">
      <c r="B1478" s="5">
        <v>44874</v>
      </c>
      <c r="C1478" s="6" t="s">
        <v>17</v>
      </c>
      <c r="D1478" s="7">
        <v>71.889999000000003</v>
      </c>
      <c r="E1478" s="7">
        <v>69.644512000000006</v>
      </c>
      <c r="F1478" s="7">
        <v>73.610000999999997</v>
      </c>
      <c r="G1478" s="7">
        <v>71.480002999999996</v>
      </c>
      <c r="H1478" s="8">
        <f t="shared" si="24"/>
        <v>-2.6763380215223731E-2</v>
      </c>
    </row>
    <row r="1479" spans="2:8" x14ac:dyDescent="0.2">
      <c r="B1479" s="5">
        <v>44875</v>
      </c>
      <c r="C1479" s="6" t="s">
        <v>17</v>
      </c>
      <c r="D1479" s="7">
        <v>72.430000000000007</v>
      </c>
      <c r="E1479" s="7">
        <v>70.167646000000005</v>
      </c>
      <c r="F1479" s="7">
        <v>72.580001999999993</v>
      </c>
      <c r="G1479" s="7">
        <v>71.629997000000003</v>
      </c>
      <c r="H1479" s="8">
        <f t="shared" si="24"/>
        <v>7.4834184500230843E-3</v>
      </c>
    </row>
    <row r="1480" spans="2:8" x14ac:dyDescent="0.2">
      <c r="B1480" s="5">
        <v>44876</v>
      </c>
      <c r="C1480" s="6" t="s">
        <v>17</v>
      </c>
      <c r="D1480" s="7">
        <v>71.910004000000001</v>
      </c>
      <c r="E1480" s="7">
        <v>69.663892000000004</v>
      </c>
      <c r="F1480" s="7">
        <v>72.849997999999999</v>
      </c>
      <c r="G1480" s="7">
        <v>71.819999999999993</v>
      </c>
      <c r="H1480" s="8">
        <f t="shared" si="24"/>
        <v>-7.2051868492213865E-3</v>
      </c>
    </row>
    <row r="1481" spans="2:8" x14ac:dyDescent="0.2">
      <c r="B1481" s="5">
        <v>44877</v>
      </c>
      <c r="C1481" s="6" t="s">
        <v>17</v>
      </c>
      <c r="D1481" s="7">
        <v>68.660004000000001</v>
      </c>
      <c r="E1481" s="7">
        <v>66.515405999999999</v>
      </c>
      <c r="F1481" s="7">
        <v>70.989998</v>
      </c>
      <c r="G1481" s="7">
        <v>68.410004000000001</v>
      </c>
      <c r="H1481" s="8">
        <f t="shared" si="24"/>
        <v>-4.624854474877748E-2</v>
      </c>
    </row>
    <row r="1482" spans="2:8" x14ac:dyDescent="0.2">
      <c r="B1482" s="5">
        <v>44878</v>
      </c>
      <c r="C1482" s="6" t="s">
        <v>17</v>
      </c>
      <c r="D1482" s="7">
        <v>69.629997000000003</v>
      </c>
      <c r="E1482" s="7">
        <v>67.455101999999997</v>
      </c>
      <c r="F1482" s="7">
        <v>70.129997000000003</v>
      </c>
      <c r="G1482" s="7">
        <v>68.5</v>
      </c>
      <c r="H1482" s="8">
        <f t="shared" si="24"/>
        <v>1.4028631005245758E-2</v>
      </c>
    </row>
    <row r="1483" spans="2:8" x14ac:dyDescent="0.2">
      <c r="B1483" s="5">
        <v>44881</v>
      </c>
      <c r="C1483" s="6" t="s">
        <v>17</v>
      </c>
      <c r="D1483" s="7">
        <v>70.389999000000003</v>
      </c>
      <c r="E1483" s="7">
        <v>68.191365000000005</v>
      </c>
      <c r="F1483" s="7">
        <v>70.620002999999997</v>
      </c>
      <c r="G1483" s="7">
        <v>69.230002999999996</v>
      </c>
      <c r="H1483" s="8">
        <f t="shared" si="24"/>
        <v>1.0855722921272751E-2</v>
      </c>
    </row>
    <row r="1484" spans="2:8" x14ac:dyDescent="0.2">
      <c r="B1484" s="5">
        <v>44882</v>
      </c>
      <c r="C1484" s="6" t="s">
        <v>17</v>
      </c>
      <c r="D1484" s="7">
        <v>69.389999000000003</v>
      </c>
      <c r="E1484" s="7">
        <v>67.2226</v>
      </c>
      <c r="F1484" s="7">
        <v>70.360000999999997</v>
      </c>
      <c r="G1484" s="7">
        <v>69.050003000000004</v>
      </c>
      <c r="H1484" s="8">
        <f t="shared" si="24"/>
        <v>-1.4308443416558833E-2</v>
      </c>
    </row>
    <row r="1485" spans="2:8" x14ac:dyDescent="0.2">
      <c r="B1485" s="5">
        <v>44883</v>
      </c>
      <c r="C1485" s="6" t="s">
        <v>17</v>
      </c>
      <c r="D1485" s="7">
        <v>70.319999999999993</v>
      </c>
      <c r="E1485" s="7">
        <v>68.123552000000004</v>
      </c>
      <c r="F1485" s="7">
        <v>70.449996999999996</v>
      </c>
      <c r="G1485" s="7">
        <v>69.379997000000003</v>
      </c>
      <c r="H1485" s="8">
        <f t="shared" si="24"/>
        <v>1.331349719810325E-2</v>
      </c>
    </row>
    <row r="1486" spans="2:8" x14ac:dyDescent="0.2">
      <c r="B1486" s="5">
        <v>44884</v>
      </c>
      <c r="C1486" s="6" t="s">
        <v>17</v>
      </c>
      <c r="D1486" s="7">
        <v>70.019997000000004</v>
      </c>
      <c r="E1486" s="7">
        <v>67.832919000000004</v>
      </c>
      <c r="F1486" s="7">
        <v>70.110000999999997</v>
      </c>
      <c r="G1486" s="7">
        <v>68.599997999999999</v>
      </c>
      <c r="H1486" s="8">
        <f t="shared" si="24"/>
        <v>-4.2753896238675974E-3</v>
      </c>
    </row>
    <row r="1487" spans="2:8" x14ac:dyDescent="0.2">
      <c r="B1487" s="5">
        <v>44885</v>
      </c>
      <c r="C1487" s="6" t="s">
        <v>17</v>
      </c>
      <c r="D1487" s="7">
        <v>71.139999000000003</v>
      </c>
      <c r="E1487" s="7">
        <v>68.917939000000004</v>
      </c>
      <c r="F1487" s="7">
        <v>71.209998999999996</v>
      </c>
      <c r="G1487" s="7">
        <v>70.160004000000001</v>
      </c>
      <c r="H1487" s="8">
        <f t="shared" si="24"/>
        <v>1.5868898888014637E-2</v>
      </c>
    </row>
    <row r="1488" spans="2:8" x14ac:dyDescent="0.2">
      <c r="B1488" s="5">
        <v>44888</v>
      </c>
      <c r="C1488" s="6" t="s">
        <v>17</v>
      </c>
      <c r="D1488" s="7">
        <v>71.019997000000004</v>
      </c>
      <c r="E1488" s="7">
        <v>68.801683999999995</v>
      </c>
      <c r="F1488" s="7">
        <v>71.900002000000001</v>
      </c>
      <c r="G1488" s="7">
        <v>70.889999000000003</v>
      </c>
      <c r="H1488" s="8">
        <f t="shared" si="24"/>
        <v>-1.6882855918587008E-3</v>
      </c>
    </row>
    <row r="1489" spans="2:8" x14ac:dyDescent="0.2">
      <c r="B1489" s="5">
        <v>44889</v>
      </c>
      <c r="C1489" s="6" t="s">
        <v>17</v>
      </c>
      <c r="D1489" s="7">
        <v>71.400002000000001</v>
      </c>
      <c r="E1489" s="7">
        <v>69.169820000000001</v>
      </c>
      <c r="F1489" s="7">
        <v>71.709998999999996</v>
      </c>
      <c r="G1489" s="7">
        <v>70.440002000000007</v>
      </c>
      <c r="H1489" s="8">
        <f t="shared" si="24"/>
        <v>5.3364189409468212E-3</v>
      </c>
    </row>
    <row r="1490" spans="2:8" x14ac:dyDescent="0.2">
      <c r="B1490" s="5">
        <v>44890</v>
      </c>
      <c r="C1490" s="6" t="s">
        <v>17</v>
      </c>
      <c r="D1490" s="7">
        <v>71.489998</v>
      </c>
      <c r="E1490" s="7">
        <v>69.257005000000007</v>
      </c>
      <c r="F1490" s="7">
        <v>71.889999000000003</v>
      </c>
      <c r="G1490" s="7">
        <v>70.720000999999996</v>
      </c>
      <c r="H1490" s="8">
        <f t="shared" si="24"/>
        <v>1.2596548613791941E-3</v>
      </c>
    </row>
    <row r="1491" spans="2:8" x14ac:dyDescent="0.2">
      <c r="B1491" s="5">
        <v>44892</v>
      </c>
      <c r="C1491" s="6" t="s">
        <v>17</v>
      </c>
      <c r="D1491" s="7">
        <v>71.220000999999996</v>
      </c>
      <c r="E1491" s="7">
        <v>68.995441999999997</v>
      </c>
      <c r="F1491" s="7">
        <v>71.529999000000004</v>
      </c>
      <c r="G1491" s="7">
        <v>70.699996999999996</v>
      </c>
      <c r="H1491" s="8">
        <f t="shared" si="24"/>
        <v>-3.7838507419382778E-3</v>
      </c>
    </row>
    <row r="1492" spans="2:8" x14ac:dyDescent="0.2">
      <c r="B1492" s="5">
        <v>44895</v>
      </c>
      <c r="C1492" s="6" t="s">
        <v>17</v>
      </c>
      <c r="D1492" s="7">
        <v>72.650002000000001</v>
      </c>
      <c r="E1492" s="7">
        <v>70.380775999999997</v>
      </c>
      <c r="F1492" s="7">
        <v>72.790001000000004</v>
      </c>
      <c r="G1492" s="7">
        <v>71.150002000000001</v>
      </c>
      <c r="H1492" s="8">
        <f t="shared" si="24"/>
        <v>1.9879713247952856E-2</v>
      </c>
    </row>
    <row r="1493" spans="2:8" x14ac:dyDescent="0.2">
      <c r="B1493" s="5">
        <v>44896</v>
      </c>
      <c r="C1493" s="6" t="s">
        <v>17</v>
      </c>
      <c r="D1493" s="7">
        <v>71.559997999999993</v>
      </c>
      <c r="E1493" s="7">
        <v>69.324817999999993</v>
      </c>
      <c r="F1493" s="7">
        <v>72.639999000000003</v>
      </c>
      <c r="G1493" s="7">
        <v>70.849997999999999</v>
      </c>
      <c r="H1493" s="8">
        <f t="shared" si="24"/>
        <v>-1.511719150942117E-2</v>
      </c>
    </row>
    <row r="1494" spans="2:8" x14ac:dyDescent="0.2">
      <c r="B1494" s="5">
        <v>44897</v>
      </c>
      <c r="C1494" s="6" t="s">
        <v>17</v>
      </c>
      <c r="D1494" s="7">
        <v>71.029999000000004</v>
      </c>
      <c r="E1494" s="7">
        <v>68.811374000000001</v>
      </c>
      <c r="F1494" s="7">
        <v>72.129997000000003</v>
      </c>
      <c r="G1494" s="7">
        <v>70.620002999999997</v>
      </c>
      <c r="H1494" s="8">
        <f t="shared" si="24"/>
        <v>-7.4339151399197443E-3</v>
      </c>
    </row>
    <row r="1495" spans="2:8" x14ac:dyDescent="0.2">
      <c r="B1495" s="5">
        <v>44898</v>
      </c>
      <c r="C1495" s="6" t="s">
        <v>17</v>
      </c>
      <c r="D1495" s="7">
        <v>69.639999000000003</v>
      </c>
      <c r="E1495" s="7">
        <v>67.464791000000005</v>
      </c>
      <c r="F1495" s="7">
        <v>71.220000999999996</v>
      </c>
      <c r="G1495" s="7">
        <v>69.370002999999997</v>
      </c>
      <c r="H1495" s="8">
        <f t="shared" si="24"/>
        <v>-1.9763204067596948E-2</v>
      </c>
    </row>
    <row r="1496" spans="2:8" x14ac:dyDescent="0.2">
      <c r="B1496" s="5">
        <v>44899</v>
      </c>
      <c r="C1496" s="6" t="s">
        <v>17</v>
      </c>
      <c r="D1496" s="7">
        <v>69.980002999999996</v>
      </c>
      <c r="E1496" s="7">
        <v>67.794174999999996</v>
      </c>
      <c r="F1496" s="7">
        <v>70.029999000000004</v>
      </c>
      <c r="G1496" s="7">
        <v>68.800003000000004</v>
      </c>
      <c r="H1496" s="8">
        <f t="shared" si="24"/>
        <v>4.8704298258783743E-3</v>
      </c>
    </row>
    <row r="1497" spans="2:8" x14ac:dyDescent="0.2">
      <c r="B1497" s="5">
        <v>44902</v>
      </c>
      <c r="C1497" s="6" t="s">
        <v>17</v>
      </c>
      <c r="D1497" s="7">
        <v>68.360000999999997</v>
      </c>
      <c r="E1497" s="7">
        <v>66.224772999999999</v>
      </c>
      <c r="F1497" s="7">
        <v>68.730002999999996</v>
      </c>
      <c r="G1497" s="7">
        <v>67.720000999999996</v>
      </c>
      <c r="H1497" s="8">
        <f t="shared" si="24"/>
        <v>-2.3421669357524863E-2</v>
      </c>
    </row>
    <row r="1498" spans="2:8" x14ac:dyDescent="0.2">
      <c r="B1498" s="5">
        <v>44903</v>
      </c>
      <c r="C1498" s="6" t="s">
        <v>17</v>
      </c>
      <c r="D1498" s="7">
        <v>66.540001000000004</v>
      </c>
      <c r="E1498" s="7">
        <v>64.461620999999994</v>
      </c>
      <c r="F1498" s="7">
        <v>67.160004000000001</v>
      </c>
      <c r="G1498" s="7">
        <v>66.180000000000007</v>
      </c>
      <c r="H1498" s="8">
        <f t="shared" si="24"/>
        <v>-2.6984583994368816E-2</v>
      </c>
    </row>
    <row r="1499" spans="2:8" x14ac:dyDescent="0.2">
      <c r="B1499" s="5">
        <v>44904</v>
      </c>
      <c r="C1499" s="6" t="s">
        <v>17</v>
      </c>
      <c r="D1499" s="7">
        <v>65.910004000000001</v>
      </c>
      <c r="E1499" s="7">
        <v>63.851301999999997</v>
      </c>
      <c r="F1499" s="7">
        <v>67.019997000000004</v>
      </c>
      <c r="G1499" s="7">
        <v>65.160004000000001</v>
      </c>
      <c r="H1499" s="8">
        <f t="shared" si="24"/>
        <v>-9.5130496359990251E-3</v>
      </c>
    </row>
    <row r="1500" spans="2:8" x14ac:dyDescent="0.2">
      <c r="B1500" s="5">
        <v>44905</v>
      </c>
      <c r="C1500" s="6" t="s">
        <v>17</v>
      </c>
      <c r="D1500" s="7">
        <v>66.379997000000003</v>
      </c>
      <c r="E1500" s="7">
        <v>64.306614999999994</v>
      </c>
      <c r="F1500" s="7">
        <v>67.089995999999999</v>
      </c>
      <c r="G1500" s="7">
        <v>65.910004000000001</v>
      </c>
      <c r="H1500" s="8">
        <f t="shared" si="24"/>
        <v>7.1055292771756299E-3</v>
      </c>
    </row>
    <row r="1501" spans="2:8" x14ac:dyDescent="0.2">
      <c r="B1501" s="5">
        <v>44906</v>
      </c>
      <c r="C1501" s="6" t="s">
        <v>17</v>
      </c>
      <c r="D1501" s="7">
        <v>65.430000000000007</v>
      </c>
      <c r="E1501" s="7">
        <v>63.386291999999997</v>
      </c>
      <c r="F1501" s="7">
        <v>66.099997999999999</v>
      </c>
      <c r="G1501" s="7">
        <v>64.480002999999996</v>
      </c>
      <c r="H1501" s="8">
        <f t="shared" si="24"/>
        <v>-1.4414879536085343E-2</v>
      </c>
    </row>
    <row r="1502" spans="2:8" x14ac:dyDescent="0.2">
      <c r="B1502" s="5">
        <v>44909</v>
      </c>
      <c r="C1502" s="6" t="s">
        <v>17</v>
      </c>
      <c r="D1502" s="7">
        <v>66.120002999999997</v>
      </c>
      <c r="E1502" s="7">
        <v>64.054742000000005</v>
      </c>
      <c r="F1502" s="7">
        <v>66.180000000000007</v>
      </c>
      <c r="G1502" s="7">
        <v>64.730002999999996</v>
      </c>
      <c r="H1502" s="8">
        <f t="shared" si="24"/>
        <v>1.0490437957254465E-2</v>
      </c>
    </row>
    <row r="1503" spans="2:8" x14ac:dyDescent="0.2">
      <c r="B1503" s="5">
        <v>44910</v>
      </c>
      <c r="C1503" s="6" t="s">
        <v>17</v>
      </c>
      <c r="D1503" s="7">
        <v>66.75</v>
      </c>
      <c r="E1503" s="7">
        <v>64.665060999999994</v>
      </c>
      <c r="F1503" s="7">
        <v>66.959998999999996</v>
      </c>
      <c r="G1503" s="7">
        <v>65.239998</v>
      </c>
      <c r="H1503" s="8">
        <f t="shared" si="24"/>
        <v>9.4829786783778378E-3</v>
      </c>
    </row>
    <row r="1504" spans="2:8" x14ac:dyDescent="0.2">
      <c r="B1504" s="5">
        <v>44911</v>
      </c>
      <c r="C1504" s="6" t="s">
        <v>17</v>
      </c>
      <c r="D1504" s="7">
        <v>67.720000999999996</v>
      </c>
      <c r="E1504" s="7">
        <v>65.604764000000003</v>
      </c>
      <c r="F1504" s="7">
        <v>67.879997000000003</v>
      </c>
      <c r="G1504" s="7">
        <v>66.139999000000003</v>
      </c>
      <c r="H1504" s="8">
        <f t="shared" si="24"/>
        <v>1.4427275074372586E-2</v>
      </c>
    </row>
    <row r="1505" spans="2:8" x14ac:dyDescent="0.2">
      <c r="B1505" s="5">
        <v>44912</v>
      </c>
      <c r="C1505" s="6" t="s">
        <v>17</v>
      </c>
      <c r="D1505" s="7">
        <v>64.900002000000001</v>
      </c>
      <c r="E1505" s="7">
        <v>62.872847</v>
      </c>
      <c r="F1505" s="7">
        <v>67.510002</v>
      </c>
      <c r="G1505" s="7">
        <v>64.879997000000003</v>
      </c>
      <c r="H1505" s="8">
        <f t="shared" si="24"/>
        <v>-4.2533929975534374E-2</v>
      </c>
    </row>
    <row r="1506" spans="2:8" x14ac:dyDescent="0.2">
      <c r="B1506" s="5">
        <v>44913</v>
      </c>
      <c r="C1506" s="6" t="s">
        <v>17</v>
      </c>
      <c r="D1506" s="7">
        <v>65.110000999999997</v>
      </c>
      <c r="E1506" s="7">
        <v>63.076287000000001</v>
      </c>
      <c r="F1506" s="7">
        <v>65.870002999999997</v>
      </c>
      <c r="G1506" s="7">
        <v>64.099997999999999</v>
      </c>
      <c r="H1506" s="8">
        <f t="shared" si="24"/>
        <v>3.2305133106929557E-3</v>
      </c>
    </row>
    <row r="1507" spans="2:8" x14ac:dyDescent="0.2">
      <c r="B1507" s="5">
        <v>44916</v>
      </c>
      <c r="C1507" s="6" t="s">
        <v>17</v>
      </c>
      <c r="D1507" s="7">
        <v>65.239998</v>
      </c>
      <c r="E1507" s="7">
        <v>63.202224000000001</v>
      </c>
      <c r="F1507" s="7">
        <v>65.819999999999993</v>
      </c>
      <c r="G1507" s="7">
        <v>64.379997000000003</v>
      </c>
      <c r="H1507" s="8">
        <f t="shared" si="24"/>
        <v>1.9945918075050784E-3</v>
      </c>
    </row>
    <row r="1508" spans="2:8" x14ac:dyDescent="0.2">
      <c r="B1508" s="5">
        <v>44917</v>
      </c>
      <c r="C1508" s="6" t="s">
        <v>17</v>
      </c>
      <c r="D1508" s="7">
        <v>68.410004000000001</v>
      </c>
      <c r="E1508" s="7">
        <v>66.273214999999993</v>
      </c>
      <c r="F1508" s="7">
        <v>68.790001000000004</v>
      </c>
      <c r="G1508" s="7">
        <v>66.110000999999997</v>
      </c>
      <c r="H1508" s="8">
        <f t="shared" si="24"/>
        <v>4.7446328172560399E-2</v>
      </c>
    </row>
    <row r="1509" spans="2:8" x14ac:dyDescent="0.2">
      <c r="B1509" s="5">
        <v>44918</v>
      </c>
      <c r="C1509" s="6" t="s">
        <v>17</v>
      </c>
      <c r="D1509" s="7">
        <v>69.889999000000003</v>
      </c>
      <c r="E1509" s="7">
        <v>67.706982999999994</v>
      </c>
      <c r="F1509" s="7">
        <v>70.489998</v>
      </c>
      <c r="G1509" s="7">
        <v>68.989998</v>
      </c>
      <c r="H1509" s="8">
        <f t="shared" si="24"/>
        <v>2.1403502252764009E-2</v>
      </c>
    </row>
    <row r="1510" spans="2:8" x14ac:dyDescent="0.2">
      <c r="B1510" s="5">
        <v>44919</v>
      </c>
      <c r="C1510" s="6" t="s">
        <v>17</v>
      </c>
      <c r="D1510" s="7">
        <v>69.379997000000003</v>
      </c>
      <c r="E1510" s="7">
        <v>67.212909999999994</v>
      </c>
      <c r="F1510" s="7">
        <v>69.900002000000001</v>
      </c>
      <c r="G1510" s="7">
        <v>69.059997999999993</v>
      </c>
      <c r="H1510" s="8">
        <f t="shared" si="24"/>
        <v>-7.3239786594204897E-3</v>
      </c>
    </row>
    <row r="1511" spans="2:8" x14ac:dyDescent="0.2">
      <c r="B1511" s="5">
        <v>44923</v>
      </c>
      <c r="C1511" s="6" t="s">
        <v>17</v>
      </c>
      <c r="D1511" s="7">
        <v>68.580001999999993</v>
      </c>
      <c r="E1511" s="7">
        <v>66.437903000000006</v>
      </c>
      <c r="F1511" s="7">
        <v>69.180000000000007</v>
      </c>
      <c r="G1511" s="7">
        <v>68.029999000000004</v>
      </c>
      <c r="H1511" s="8">
        <f t="shared" si="24"/>
        <v>-1.1597620237850645E-2</v>
      </c>
    </row>
    <row r="1512" spans="2:8" x14ac:dyDescent="0.2">
      <c r="B1512" s="5">
        <v>44924</v>
      </c>
      <c r="C1512" s="6" t="s">
        <v>17</v>
      </c>
      <c r="D1512" s="7">
        <v>69.190002000000007</v>
      </c>
      <c r="E1512" s="7">
        <v>67.028850000000006</v>
      </c>
      <c r="F1512" s="7">
        <v>69.569999999999993</v>
      </c>
      <c r="G1512" s="7">
        <v>68.620002999999997</v>
      </c>
      <c r="H1512" s="8">
        <f t="shared" si="24"/>
        <v>8.8554017904674855E-3</v>
      </c>
    </row>
    <row r="1513" spans="2:8" x14ac:dyDescent="0.2">
      <c r="B1513" s="5">
        <v>44925</v>
      </c>
      <c r="C1513" s="6" t="s">
        <v>17</v>
      </c>
      <c r="D1513" s="7">
        <v>68.690002000000007</v>
      </c>
      <c r="E1513" s="7">
        <v>66.544467999999995</v>
      </c>
      <c r="F1513" s="7">
        <v>69.629997000000003</v>
      </c>
      <c r="G1513" s="7">
        <v>68.569999999999993</v>
      </c>
      <c r="H1513" s="8">
        <f t="shared" si="24"/>
        <v>-7.252707809165689E-3</v>
      </c>
    </row>
    <row r="1514" spans="2:8" x14ac:dyDescent="0.2">
      <c r="B1514" s="5">
        <v>44926</v>
      </c>
      <c r="C1514" s="6" t="s">
        <v>17</v>
      </c>
      <c r="D1514" s="7">
        <v>67.959998999999996</v>
      </c>
      <c r="E1514" s="7">
        <v>65.837266</v>
      </c>
      <c r="F1514" s="7">
        <v>69.099997999999999</v>
      </c>
      <c r="G1514" s="7">
        <v>67.940002000000007</v>
      </c>
      <c r="H1514" s="8">
        <f t="shared" si="24"/>
        <v>-1.0684385318673981E-2</v>
      </c>
    </row>
    <row r="1515" spans="2:8" x14ac:dyDescent="0.2">
      <c r="B1515" s="5">
        <v>44198</v>
      </c>
      <c r="C1515" s="6" t="s">
        <v>18</v>
      </c>
      <c r="D1515" s="7">
        <v>22</v>
      </c>
      <c r="E1515" s="7">
        <v>20.312048999999998</v>
      </c>
      <c r="F1515" s="7">
        <v>22.290001</v>
      </c>
      <c r="G1515" s="7">
        <v>21.91</v>
      </c>
      <c r="H1515" s="8" t="str">
        <f t="shared" si="24"/>
        <v/>
      </c>
    </row>
    <row r="1516" spans="2:8" x14ac:dyDescent="0.2">
      <c r="B1516" s="5">
        <v>44199</v>
      </c>
      <c r="C1516" s="6" t="s">
        <v>18</v>
      </c>
      <c r="D1516" s="7">
        <v>21.98</v>
      </c>
      <c r="E1516" s="7">
        <v>20.293583000000002</v>
      </c>
      <c r="F1516" s="7">
        <v>22.120000999999998</v>
      </c>
      <c r="G1516" s="7">
        <v>21.83</v>
      </c>
      <c r="H1516" s="8">
        <f t="shared" si="24"/>
        <v>-9.0952906596728042E-4</v>
      </c>
    </row>
    <row r="1517" spans="2:8" x14ac:dyDescent="0.2">
      <c r="B1517" s="5">
        <v>44202</v>
      </c>
      <c r="C1517" s="6" t="s">
        <v>18</v>
      </c>
      <c r="D1517" s="7">
        <v>22.01</v>
      </c>
      <c r="E1517" s="7">
        <v>20.321282</v>
      </c>
      <c r="F1517" s="7">
        <v>22.23</v>
      </c>
      <c r="G1517" s="7">
        <v>21.93</v>
      </c>
      <c r="H1517" s="8">
        <f t="shared" si="24"/>
        <v>1.3639835707632416E-3</v>
      </c>
    </row>
    <row r="1518" spans="2:8" x14ac:dyDescent="0.2">
      <c r="B1518" s="5">
        <v>44203</v>
      </c>
      <c r="C1518" s="6" t="s">
        <v>18</v>
      </c>
      <c r="D1518" s="7">
        <v>22.309999000000001</v>
      </c>
      <c r="E1518" s="7">
        <v>20.598262999999999</v>
      </c>
      <c r="F1518" s="7">
        <v>22.41</v>
      </c>
      <c r="G1518" s="7">
        <v>22.15</v>
      </c>
      <c r="H1518" s="8">
        <f t="shared" si="24"/>
        <v>1.3538040580685013E-2</v>
      </c>
    </row>
    <row r="1519" spans="2:8" x14ac:dyDescent="0.2">
      <c r="B1519" s="5">
        <v>44204</v>
      </c>
      <c r="C1519" s="6" t="s">
        <v>18</v>
      </c>
      <c r="D1519" s="7">
        <v>22.290001</v>
      </c>
      <c r="E1519" s="7">
        <v>20.579799000000001</v>
      </c>
      <c r="F1519" s="7">
        <v>22.360001</v>
      </c>
      <c r="G1519" s="7">
        <v>22.15</v>
      </c>
      <c r="H1519" s="8">
        <f t="shared" si="24"/>
        <v>-8.9678825766199757E-4</v>
      </c>
    </row>
    <row r="1520" spans="2:8" x14ac:dyDescent="0.2">
      <c r="B1520" s="5">
        <v>44205</v>
      </c>
      <c r="C1520" s="6" t="s">
        <v>18</v>
      </c>
      <c r="D1520" s="7">
        <v>22.09</v>
      </c>
      <c r="E1520" s="7">
        <v>20.395143000000001</v>
      </c>
      <c r="F1520" s="7">
        <v>22.309999000000001</v>
      </c>
      <c r="G1520" s="7">
        <v>21.92</v>
      </c>
      <c r="H1520" s="8">
        <f t="shared" si="24"/>
        <v>-9.0131793269869181E-3</v>
      </c>
    </row>
    <row r="1521" spans="2:8" x14ac:dyDescent="0.2">
      <c r="B1521" s="5">
        <v>44206</v>
      </c>
      <c r="C1521" s="6" t="s">
        <v>18</v>
      </c>
      <c r="D1521" s="7">
        <v>22.219999000000001</v>
      </c>
      <c r="E1521" s="7">
        <v>20.515167999999999</v>
      </c>
      <c r="F1521" s="7">
        <v>22.280000999999999</v>
      </c>
      <c r="G1521" s="7">
        <v>21.99</v>
      </c>
      <c r="H1521" s="8">
        <f t="shared" si="24"/>
        <v>5.8677307231504881E-3</v>
      </c>
    </row>
    <row r="1522" spans="2:8" x14ac:dyDescent="0.2">
      <c r="B1522" s="5">
        <v>44209</v>
      </c>
      <c r="C1522" s="6" t="s">
        <v>18</v>
      </c>
      <c r="D1522" s="7">
        <v>22.190000999999999</v>
      </c>
      <c r="E1522" s="7">
        <v>20.487470999999999</v>
      </c>
      <c r="F1522" s="7">
        <v>22.82</v>
      </c>
      <c r="G1522" s="7">
        <v>22.139999</v>
      </c>
      <c r="H1522" s="8">
        <f t="shared" si="24"/>
        <v>-1.3509864188317744E-3</v>
      </c>
    </row>
    <row r="1523" spans="2:8" x14ac:dyDescent="0.2">
      <c r="B1523" s="5">
        <v>44210</v>
      </c>
      <c r="C1523" s="6" t="s">
        <v>18</v>
      </c>
      <c r="D1523" s="7">
        <v>22.41</v>
      </c>
      <c r="E1523" s="7">
        <v>20.690591000000001</v>
      </c>
      <c r="F1523" s="7">
        <v>22.52</v>
      </c>
      <c r="G1523" s="7">
        <v>22.200001</v>
      </c>
      <c r="H1523" s="8">
        <f t="shared" si="24"/>
        <v>9.8655273017262454E-3</v>
      </c>
    </row>
    <row r="1524" spans="2:8" x14ac:dyDescent="0.2">
      <c r="B1524" s="5">
        <v>44211</v>
      </c>
      <c r="C1524" s="6" t="s">
        <v>18</v>
      </c>
      <c r="D1524" s="7">
        <v>22.780000999999999</v>
      </c>
      <c r="E1524" s="7">
        <v>21.032204</v>
      </c>
      <c r="F1524" s="7">
        <v>23</v>
      </c>
      <c r="G1524" s="7">
        <v>22.42</v>
      </c>
      <c r="H1524" s="8">
        <f t="shared" si="24"/>
        <v>1.637573101263759E-2</v>
      </c>
    </row>
    <row r="1525" spans="2:8" x14ac:dyDescent="0.2">
      <c r="B1525" s="5">
        <v>44212</v>
      </c>
      <c r="C1525" s="6" t="s">
        <v>18</v>
      </c>
      <c r="D1525" s="7">
        <v>22.780000999999999</v>
      </c>
      <c r="E1525" s="7">
        <v>21.032204</v>
      </c>
      <c r="F1525" s="7">
        <v>22.91</v>
      </c>
      <c r="G1525" s="7">
        <v>22.629999000000002</v>
      </c>
      <c r="H1525" s="8">
        <f t="shared" si="24"/>
        <v>0</v>
      </c>
    </row>
    <row r="1526" spans="2:8" x14ac:dyDescent="0.2">
      <c r="B1526" s="5">
        <v>44213</v>
      </c>
      <c r="C1526" s="6" t="s">
        <v>18</v>
      </c>
      <c r="D1526" s="7">
        <v>22.74</v>
      </c>
      <c r="E1526" s="7">
        <v>20.995272</v>
      </c>
      <c r="F1526" s="7">
        <v>22.780000999999999</v>
      </c>
      <c r="G1526" s="7">
        <v>22.58</v>
      </c>
      <c r="H1526" s="8">
        <f t="shared" si="24"/>
        <v>-1.7575173682333166E-3</v>
      </c>
    </row>
    <row r="1527" spans="2:8" x14ac:dyDescent="0.2">
      <c r="B1527" s="5">
        <v>44217</v>
      </c>
      <c r="C1527" s="6" t="s">
        <v>18</v>
      </c>
      <c r="D1527" s="7">
        <v>22.83</v>
      </c>
      <c r="E1527" s="7">
        <v>21.078367</v>
      </c>
      <c r="F1527" s="7">
        <v>22.950001</v>
      </c>
      <c r="G1527" s="7">
        <v>22.639999</v>
      </c>
      <c r="H1527" s="8">
        <f t="shared" si="24"/>
        <v>3.9499843614632848E-3</v>
      </c>
    </row>
    <row r="1528" spans="2:8" x14ac:dyDescent="0.2">
      <c r="B1528" s="5">
        <v>44218</v>
      </c>
      <c r="C1528" s="6" t="s">
        <v>18</v>
      </c>
      <c r="D1528" s="7">
        <v>22.84</v>
      </c>
      <c r="E1528" s="7">
        <v>21.087599999999998</v>
      </c>
      <c r="F1528" s="7">
        <v>22.950001</v>
      </c>
      <c r="G1528" s="7">
        <v>22.780000999999999</v>
      </c>
      <c r="H1528" s="8">
        <f t="shared" si="24"/>
        <v>4.3793612737797339E-4</v>
      </c>
    </row>
    <row r="1529" spans="2:8" x14ac:dyDescent="0.2">
      <c r="B1529" s="5">
        <v>44219</v>
      </c>
      <c r="C1529" s="6" t="s">
        <v>18</v>
      </c>
      <c r="D1529" s="7">
        <v>22.559999000000001</v>
      </c>
      <c r="E1529" s="7">
        <v>20.829082</v>
      </c>
      <c r="F1529" s="7">
        <v>22.85</v>
      </c>
      <c r="G1529" s="7">
        <v>22.459999</v>
      </c>
      <c r="H1529" s="8">
        <f t="shared" si="24"/>
        <v>-1.2335006756308628E-2</v>
      </c>
    </row>
    <row r="1530" spans="2:8" x14ac:dyDescent="0.2">
      <c r="B1530" s="5">
        <v>44220</v>
      </c>
      <c r="C1530" s="6" t="s">
        <v>18</v>
      </c>
      <c r="D1530" s="7">
        <v>22.200001</v>
      </c>
      <c r="E1530" s="7">
        <v>20.496704000000001</v>
      </c>
      <c r="F1530" s="7">
        <v>22.540001</v>
      </c>
      <c r="G1530" s="7">
        <v>22.17</v>
      </c>
      <c r="H1530" s="8">
        <f t="shared" si="24"/>
        <v>-1.6086090520365609E-2</v>
      </c>
    </row>
    <row r="1531" spans="2:8" x14ac:dyDescent="0.2">
      <c r="B1531" s="5">
        <v>44223</v>
      </c>
      <c r="C1531" s="6" t="s">
        <v>18</v>
      </c>
      <c r="D1531" s="7">
        <v>22</v>
      </c>
      <c r="E1531" s="7">
        <v>20.312048999999998</v>
      </c>
      <c r="F1531" s="7">
        <v>22.110001</v>
      </c>
      <c r="G1531" s="7">
        <v>21.76</v>
      </c>
      <c r="H1531" s="8">
        <f t="shared" si="24"/>
        <v>-9.0498359634483272E-3</v>
      </c>
    </row>
    <row r="1532" spans="2:8" x14ac:dyDescent="0.2">
      <c r="B1532" s="5">
        <v>44224</v>
      </c>
      <c r="C1532" s="6" t="s">
        <v>18</v>
      </c>
      <c r="D1532" s="7">
        <v>21.75</v>
      </c>
      <c r="E1532" s="7">
        <v>20.081230000000001</v>
      </c>
      <c r="F1532" s="7">
        <v>22</v>
      </c>
      <c r="G1532" s="7">
        <v>21.700001</v>
      </c>
      <c r="H1532" s="8">
        <f t="shared" si="24"/>
        <v>-1.1428708838942654E-2</v>
      </c>
    </row>
    <row r="1533" spans="2:8" x14ac:dyDescent="0.2">
      <c r="B1533" s="5">
        <v>44225</v>
      </c>
      <c r="C1533" s="6" t="s">
        <v>18</v>
      </c>
      <c r="D1533" s="7">
        <v>21.65</v>
      </c>
      <c r="E1533" s="7">
        <v>19.988902</v>
      </c>
      <c r="F1533" s="7">
        <v>21.84</v>
      </c>
      <c r="G1533" s="7">
        <v>21.6</v>
      </c>
      <c r="H1533" s="8">
        <f t="shared" si="24"/>
        <v>-4.6083283875900478E-3</v>
      </c>
    </row>
    <row r="1534" spans="2:8" x14ac:dyDescent="0.2">
      <c r="B1534" s="5">
        <v>44226</v>
      </c>
      <c r="C1534" s="6" t="s">
        <v>18</v>
      </c>
      <c r="D1534" s="7">
        <v>21.98</v>
      </c>
      <c r="E1534" s="7">
        <v>20.293583000000002</v>
      </c>
      <c r="F1534" s="7">
        <v>21.99</v>
      </c>
      <c r="G1534" s="7">
        <v>21.629999000000002</v>
      </c>
      <c r="H1534" s="8">
        <f t="shared" si="24"/>
        <v>1.5127508160565488E-2</v>
      </c>
    </row>
    <row r="1535" spans="2:8" x14ac:dyDescent="0.2">
      <c r="B1535" s="5">
        <v>44227</v>
      </c>
      <c r="C1535" s="6" t="s">
        <v>18</v>
      </c>
      <c r="D1535" s="7">
        <v>21.91</v>
      </c>
      <c r="E1535" s="7">
        <v>20.228954000000002</v>
      </c>
      <c r="F1535" s="7">
        <v>21.99</v>
      </c>
      <c r="G1535" s="7">
        <v>21.610001</v>
      </c>
      <c r="H1535" s="8">
        <f t="shared" si="24"/>
        <v>-3.1897832457268402E-3</v>
      </c>
    </row>
    <row r="1536" spans="2:8" x14ac:dyDescent="0.2">
      <c r="B1536" s="5">
        <v>44230</v>
      </c>
      <c r="C1536" s="6" t="s">
        <v>18</v>
      </c>
      <c r="D1536" s="7">
        <v>21.549999</v>
      </c>
      <c r="E1536" s="7">
        <v>19.896574000000001</v>
      </c>
      <c r="F1536" s="7">
        <v>21.950001</v>
      </c>
      <c r="G1536" s="7">
        <v>21.459999</v>
      </c>
      <c r="H1536" s="8">
        <f t="shared" si="24"/>
        <v>-1.6567388349792631E-2</v>
      </c>
    </row>
    <row r="1537" spans="2:8" x14ac:dyDescent="0.2">
      <c r="B1537" s="5">
        <v>44231</v>
      </c>
      <c r="C1537" s="6" t="s">
        <v>18</v>
      </c>
      <c r="D1537" s="7">
        <v>21.799999</v>
      </c>
      <c r="E1537" s="7">
        <v>20.127393000000001</v>
      </c>
      <c r="F1537" s="7">
        <v>21.82</v>
      </c>
      <c r="G1537" s="7">
        <v>21.4</v>
      </c>
      <c r="H1537" s="8">
        <f t="shared" si="24"/>
        <v>1.1534166963013959E-2</v>
      </c>
    </row>
    <row r="1538" spans="2:8" x14ac:dyDescent="0.2">
      <c r="B1538" s="5">
        <v>44232</v>
      </c>
      <c r="C1538" s="6" t="s">
        <v>18</v>
      </c>
      <c r="D1538" s="7">
        <v>21.98</v>
      </c>
      <c r="E1538" s="7">
        <v>20.293583000000002</v>
      </c>
      <c r="F1538" s="7">
        <v>22.07</v>
      </c>
      <c r="G1538" s="7">
        <v>21.58</v>
      </c>
      <c r="H1538" s="8">
        <f t="shared" si="24"/>
        <v>8.2230046325056736E-3</v>
      </c>
    </row>
    <row r="1539" spans="2:8" x14ac:dyDescent="0.2">
      <c r="B1539" s="5">
        <v>44233</v>
      </c>
      <c r="C1539" s="6" t="s">
        <v>18</v>
      </c>
      <c r="D1539" s="7">
        <v>22.49</v>
      </c>
      <c r="E1539" s="7">
        <v>20.764453</v>
      </c>
      <c r="F1539" s="7">
        <v>22.58</v>
      </c>
      <c r="G1539" s="7">
        <v>21.969999000000001</v>
      </c>
      <c r="H1539" s="8">
        <f t="shared" si="24"/>
        <v>2.2937806632093636E-2</v>
      </c>
    </row>
    <row r="1540" spans="2:8" x14ac:dyDescent="0.2">
      <c r="B1540" s="5">
        <v>44234</v>
      </c>
      <c r="C1540" s="6" t="s">
        <v>18</v>
      </c>
      <c r="D1540" s="7">
        <v>22.67</v>
      </c>
      <c r="E1540" s="7">
        <v>20.930643</v>
      </c>
      <c r="F1540" s="7">
        <v>22.719999000000001</v>
      </c>
      <c r="G1540" s="7">
        <v>22.299999</v>
      </c>
      <c r="H1540" s="8">
        <f t="shared" ref="H1540:H1603" si="25">IF(C1540=C1539, LN(E1540/E1539), "")</f>
        <v>7.9717231058072137E-3</v>
      </c>
    </row>
    <row r="1541" spans="2:8" x14ac:dyDescent="0.2">
      <c r="B1541" s="5">
        <v>44237</v>
      </c>
      <c r="C1541" s="6" t="s">
        <v>18</v>
      </c>
      <c r="D1541" s="7">
        <v>22.83</v>
      </c>
      <c r="E1541" s="7">
        <v>21.078367</v>
      </c>
      <c r="F1541" s="7">
        <v>22.879999000000002</v>
      </c>
      <c r="G1541" s="7">
        <v>22.559999000000001</v>
      </c>
      <c r="H1541" s="8">
        <f t="shared" si="25"/>
        <v>7.0329964408109092E-3</v>
      </c>
    </row>
    <row r="1542" spans="2:8" x14ac:dyDescent="0.2">
      <c r="B1542" s="5">
        <v>44238</v>
      </c>
      <c r="C1542" s="6" t="s">
        <v>18</v>
      </c>
      <c r="D1542" s="7">
        <v>22.709999</v>
      </c>
      <c r="E1542" s="7">
        <v>20.967573000000002</v>
      </c>
      <c r="F1542" s="7">
        <v>22.879999000000002</v>
      </c>
      <c r="G1542" s="7">
        <v>22.67</v>
      </c>
      <c r="H1542" s="8">
        <f t="shared" si="25"/>
        <v>-5.2701524302831747E-3</v>
      </c>
    </row>
    <row r="1543" spans="2:8" x14ac:dyDescent="0.2">
      <c r="B1543" s="5">
        <v>44239</v>
      </c>
      <c r="C1543" s="6" t="s">
        <v>18</v>
      </c>
      <c r="D1543" s="7">
        <v>22.85</v>
      </c>
      <c r="E1543" s="7">
        <v>21.096833</v>
      </c>
      <c r="F1543" s="7">
        <v>22.92</v>
      </c>
      <c r="G1543" s="7">
        <v>22.52</v>
      </c>
      <c r="H1543" s="8">
        <f t="shared" si="25"/>
        <v>6.1458329809387282E-3</v>
      </c>
    </row>
    <row r="1544" spans="2:8" x14ac:dyDescent="0.2">
      <c r="B1544" s="5">
        <v>44240</v>
      </c>
      <c r="C1544" s="6" t="s">
        <v>18</v>
      </c>
      <c r="D1544" s="7">
        <v>22.27</v>
      </c>
      <c r="E1544" s="7">
        <v>20.561333000000001</v>
      </c>
      <c r="F1544" s="7">
        <v>22.27</v>
      </c>
      <c r="G1544" s="7">
        <v>21.68</v>
      </c>
      <c r="H1544" s="8">
        <f t="shared" si="25"/>
        <v>-2.5710661314300359E-2</v>
      </c>
    </row>
    <row r="1545" spans="2:8" x14ac:dyDescent="0.2">
      <c r="B1545" s="5">
        <v>44241</v>
      </c>
      <c r="C1545" s="6" t="s">
        <v>18</v>
      </c>
      <c r="D1545" s="7">
        <v>22.559999000000001</v>
      </c>
      <c r="E1545" s="7">
        <v>20.829082</v>
      </c>
      <c r="F1545" s="7">
        <v>22.77</v>
      </c>
      <c r="G1545" s="7">
        <v>22.200001</v>
      </c>
      <c r="H1545" s="8">
        <f t="shared" si="25"/>
        <v>1.293791013471436E-2</v>
      </c>
    </row>
    <row r="1546" spans="2:8" x14ac:dyDescent="0.2">
      <c r="B1546" s="5">
        <v>44245</v>
      </c>
      <c r="C1546" s="6" t="s">
        <v>18</v>
      </c>
      <c r="D1546" s="7">
        <v>22.41</v>
      </c>
      <c r="E1546" s="7">
        <v>20.690591000000001</v>
      </c>
      <c r="F1546" s="7">
        <v>22.540001</v>
      </c>
      <c r="G1546" s="7">
        <v>22.33</v>
      </c>
      <c r="H1546" s="8">
        <f t="shared" si="25"/>
        <v>-6.6711273769370335E-3</v>
      </c>
    </row>
    <row r="1547" spans="2:8" x14ac:dyDescent="0.2">
      <c r="B1547" s="5">
        <v>44246</v>
      </c>
      <c r="C1547" s="6" t="s">
        <v>18</v>
      </c>
      <c r="D1547" s="7">
        <v>22.280000999999999</v>
      </c>
      <c r="E1547" s="7">
        <v>20.570565999999999</v>
      </c>
      <c r="F1547" s="7">
        <v>22.559999000000001</v>
      </c>
      <c r="G1547" s="7">
        <v>22.219999000000001</v>
      </c>
      <c r="H1547" s="8">
        <f t="shared" si="25"/>
        <v>-5.8178367873966312E-3</v>
      </c>
    </row>
    <row r="1548" spans="2:8" x14ac:dyDescent="0.2">
      <c r="B1548" s="5">
        <v>44247</v>
      </c>
      <c r="C1548" s="6" t="s">
        <v>18</v>
      </c>
      <c r="D1548" s="7">
        <v>22.299999</v>
      </c>
      <c r="E1548" s="7">
        <v>20.589030000000001</v>
      </c>
      <c r="F1548" s="7">
        <v>22.4</v>
      </c>
      <c r="G1548" s="7">
        <v>22.16</v>
      </c>
      <c r="H1548" s="8">
        <f t="shared" si="25"/>
        <v>8.9719059626113993E-4</v>
      </c>
    </row>
    <row r="1549" spans="2:8" x14ac:dyDescent="0.2">
      <c r="B1549" s="5">
        <v>44248</v>
      </c>
      <c r="C1549" s="6" t="s">
        <v>18</v>
      </c>
      <c r="D1549" s="7">
        <v>22.129999000000002</v>
      </c>
      <c r="E1549" s="7">
        <v>20.432074</v>
      </c>
      <c r="F1549" s="7">
        <v>22.450001</v>
      </c>
      <c r="G1549" s="7">
        <v>22.129999000000002</v>
      </c>
      <c r="H1549" s="8">
        <f t="shared" si="25"/>
        <v>-7.6524886288846768E-3</v>
      </c>
    </row>
    <row r="1550" spans="2:8" x14ac:dyDescent="0.2">
      <c r="B1550" s="5">
        <v>44251</v>
      </c>
      <c r="C1550" s="6" t="s">
        <v>18</v>
      </c>
      <c r="D1550" s="7">
        <v>22.120000999999998</v>
      </c>
      <c r="E1550" s="7">
        <v>20.422841999999999</v>
      </c>
      <c r="F1550" s="7">
        <v>22.34</v>
      </c>
      <c r="G1550" s="7">
        <v>22</v>
      </c>
      <c r="H1550" s="8">
        <f t="shared" si="25"/>
        <v>-4.5194072395777108E-4</v>
      </c>
    </row>
    <row r="1551" spans="2:8" x14ac:dyDescent="0.2">
      <c r="B1551" s="5">
        <v>44252</v>
      </c>
      <c r="C1551" s="6" t="s">
        <v>18</v>
      </c>
      <c r="D1551" s="7">
        <v>21.84</v>
      </c>
      <c r="E1551" s="7">
        <v>20.164325000000002</v>
      </c>
      <c r="F1551" s="7">
        <v>22.219999000000001</v>
      </c>
      <c r="G1551" s="7">
        <v>21.76</v>
      </c>
      <c r="H1551" s="8">
        <f t="shared" si="25"/>
        <v>-1.2739026405183278E-2</v>
      </c>
    </row>
    <row r="1552" spans="2:8" x14ac:dyDescent="0.2">
      <c r="B1552" s="5">
        <v>44253</v>
      </c>
      <c r="C1552" s="6" t="s">
        <v>18</v>
      </c>
      <c r="D1552" s="7">
        <v>21.93</v>
      </c>
      <c r="E1552" s="7">
        <v>20.247420000000002</v>
      </c>
      <c r="F1552" s="7">
        <v>22.02</v>
      </c>
      <c r="G1552" s="7">
        <v>21.549999</v>
      </c>
      <c r="H1552" s="8">
        <f t="shared" si="25"/>
        <v>4.1124241038708008E-3</v>
      </c>
    </row>
    <row r="1553" spans="2:8" x14ac:dyDescent="0.2">
      <c r="B1553" s="5">
        <v>44254</v>
      </c>
      <c r="C1553" s="6" t="s">
        <v>18</v>
      </c>
      <c r="D1553" s="7">
        <v>21.92</v>
      </c>
      <c r="E1553" s="7">
        <v>20.238187</v>
      </c>
      <c r="F1553" s="7">
        <v>22.049999</v>
      </c>
      <c r="G1553" s="7">
        <v>21.860001</v>
      </c>
      <c r="H1553" s="8">
        <f t="shared" si="25"/>
        <v>-4.5611271976586253E-4</v>
      </c>
    </row>
    <row r="1554" spans="2:8" x14ac:dyDescent="0.2">
      <c r="B1554" s="5">
        <v>44255</v>
      </c>
      <c r="C1554" s="6" t="s">
        <v>18</v>
      </c>
      <c r="D1554" s="7">
        <v>21.799999</v>
      </c>
      <c r="E1554" s="7">
        <v>20.127393000000001</v>
      </c>
      <c r="F1554" s="7">
        <v>22.110001</v>
      </c>
      <c r="G1554" s="7">
        <v>21.700001</v>
      </c>
      <c r="H1554" s="8">
        <f t="shared" si="25"/>
        <v>-5.4895422402935594E-3</v>
      </c>
    </row>
    <row r="1555" spans="2:8" x14ac:dyDescent="0.2">
      <c r="B1555" s="5">
        <v>44258</v>
      </c>
      <c r="C1555" s="6" t="s">
        <v>18</v>
      </c>
      <c r="D1555" s="7">
        <v>21.57</v>
      </c>
      <c r="E1555" s="7">
        <v>19.915040000000001</v>
      </c>
      <c r="F1555" s="7">
        <v>21.82</v>
      </c>
      <c r="G1555" s="7">
        <v>21.440000999999999</v>
      </c>
      <c r="H1555" s="8">
        <f t="shared" si="25"/>
        <v>-1.0606497900198594E-2</v>
      </c>
    </row>
    <row r="1556" spans="2:8" x14ac:dyDescent="0.2">
      <c r="B1556" s="5">
        <v>44259</v>
      </c>
      <c r="C1556" s="6" t="s">
        <v>18</v>
      </c>
      <c r="D1556" s="7">
        <v>21.82</v>
      </c>
      <c r="E1556" s="7">
        <v>20.145859000000002</v>
      </c>
      <c r="F1556" s="7">
        <v>21.889999</v>
      </c>
      <c r="G1556" s="7">
        <v>21.700001</v>
      </c>
      <c r="H1556" s="8">
        <f t="shared" si="25"/>
        <v>1.1523533420155583E-2</v>
      </c>
    </row>
    <row r="1557" spans="2:8" x14ac:dyDescent="0.2">
      <c r="B1557" s="5">
        <v>44260</v>
      </c>
      <c r="C1557" s="6" t="s">
        <v>18</v>
      </c>
      <c r="D1557" s="7">
        <v>21.870000999999998</v>
      </c>
      <c r="E1557" s="7">
        <v>20.192024</v>
      </c>
      <c r="F1557" s="7">
        <v>22.049999</v>
      </c>
      <c r="G1557" s="7">
        <v>21.809999000000001</v>
      </c>
      <c r="H1557" s="8">
        <f t="shared" si="25"/>
        <v>2.288916359611468E-3</v>
      </c>
    </row>
    <row r="1558" spans="2:8" x14ac:dyDescent="0.2">
      <c r="B1558" s="5">
        <v>44261</v>
      </c>
      <c r="C1558" s="6" t="s">
        <v>18</v>
      </c>
      <c r="D1558" s="7">
        <v>21.82</v>
      </c>
      <c r="E1558" s="7">
        <v>20.145859000000002</v>
      </c>
      <c r="F1558" s="7">
        <v>21.98</v>
      </c>
      <c r="G1558" s="7">
        <v>21.75</v>
      </c>
      <c r="H1558" s="8">
        <f t="shared" si="25"/>
        <v>-2.2889163596115105E-3</v>
      </c>
    </row>
    <row r="1559" spans="2:8" x14ac:dyDescent="0.2">
      <c r="B1559" s="5">
        <v>44262</v>
      </c>
      <c r="C1559" s="6" t="s">
        <v>18</v>
      </c>
      <c r="D1559" s="7">
        <v>21.73</v>
      </c>
      <c r="E1559" s="7">
        <v>20.062764000000001</v>
      </c>
      <c r="F1559" s="7">
        <v>21.940000999999999</v>
      </c>
      <c r="G1559" s="7">
        <v>21.66</v>
      </c>
      <c r="H1559" s="8">
        <f t="shared" si="25"/>
        <v>-4.1331989058631035E-3</v>
      </c>
    </row>
    <row r="1560" spans="2:8" x14ac:dyDescent="0.2">
      <c r="B1560" s="5">
        <v>44265</v>
      </c>
      <c r="C1560" s="6" t="s">
        <v>18</v>
      </c>
      <c r="D1560" s="7">
        <v>21.690000999999999</v>
      </c>
      <c r="E1560" s="7">
        <v>20.025834</v>
      </c>
      <c r="F1560" s="7">
        <v>21.82</v>
      </c>
      <c r="G1560" s="7">
        <v>21.6</v>
      </c>
      <c r="H1560" s="8">
        <f t="shared" si="25"/>
        <v>-1.8424196549156893E-3</v>
      </c>
    </row>
    <row r="1561" spans="2:8" x14ac:dyDescent="0.2">
      <c r="B1561" s="5">
        <v>44266</v>
      </c>
      <c r="C1561" s="6" t="s">
        <v>18</v>
      </c>
      <c r="D1561" s="7">
        <v>21.610001</v>
      </c>
      <c r="E1561" s="7">
        <v>19.951972000000001</v>
      </c>
      <c r="F1561" s="7">
        <v>21.93</v>
      </c>
      <c r="G1561" s="7">
        <v>21.58</v>
      </c>
      <c r="H1561" s="8">
        <f t="shared" si="25"/>
        <v>-3.6951544586338214E-3</v>
      </c>
    </row>
    <row r="1562" spans="2:8" x14ac:dyDescent="0.2">
      <c r="B1562" s="5">
        <v>44267</v>
      </c>
      <c r="C1562" s="6" t="s">
        <v>18</v>
      </c>
      <c r="D1562" s="7">
        <v>21.82</v>
      </c>
      <c r="E1562" s="7">
        <v>20.145859000000002</v>
      </c>
      <c r="F1562" s="7">
        <v>21.92</v>
      </c>
      <c r="G1562" s="7">
        <v>21.530000999999999</v>
      </c>
      <c r="H1562" s="8">
        <f t="shared" si="25"/>
        <v>9.6707730194125728E-3</v>
      </c>
    </row>
    <row r="1563" spans="2:8" x14ac:dyDescent="0.2">
      <c r="B1563" s="5">
        <v>44268</v>
      </c>
      <c r="C1563" s="6" t="s">
        <v>18</v>
      </c>
      <c r="D1563" s="7">
        <v>21.52</v>
      </c>
      <c r="E1563" s="7">
        <v>19.868877000000001</v>
      </c>
      <c r="F1563" s="7">
        <v>21.92</v>
      </c>
      <c r="G1563" s="7">
        <v>21.5</v>
      </c>
      <c r="H1563" s="8">
        <f t="shared" si="25"/>
        <v>-1.3844220984324553E-2</v>
      </c>
    </row>
    <row r="1564" spans="2:8" x14ac:dyDescent="0.2">
      <c r="B1564" s="5">
        <v>44269</v>
      </c>
      <c r="C1564" s="6" t="s">
        <v>18</v>
      </c>
      <c r="D1564" s="7">
        <v>21.35</v>
      </c>
      <c r="E1564" s="7">
        <v>19.711919999999999</v>
      </c>
      <c r="F1564" s="7">
        <v>21.65</v>
      </c>
      <c r="G1564" s="7">
        <v>21.280000999999999</v>
      </c>
      <c r="H1564" s="8">
        <f t="shared" si="25"/>
        <v>-7.9310087023853771E-3</v>
      </c>
    </row>
    <row r="1565" spans="2:8" x14ac:dyDescent="0.2">
      <c r="B1565" s="5">
        <v>44272</v>
      </c>
      <c r="C1565" s="6" t="s">
        <v>18</v>
      </c>
      <c r="D1565" s="7">
        <v>21.51</v>
      </c>
      <c r="E1565" s="7">
        <v>19.859643999999999</v>
      </c>
      <c r="F1565" s="7">
        <v>21.620000999999998</v>
      </c>
      <c r="G1565" s="7">
        <v>21.27</v>
      </c>
      <c r="H1565" s="8">
        <f t="shared" si="25"/>
        <v>7.4662040766994616E-3</v>
      </c>
    </row>
    <row r="1566" spans="2:8" x14ac:dyDescent="0.2">
      <c r="B1566" s="5">
        <v>44273</v>
      </c>
      <c r="C1566" s="6" t="s">
        <v>18</v>
      </c>
      <c r="D1566" s="7">
        <v>21.629999000000002</v>
      </c>
      <c r="E1566" s="7">
        <v>19.970435999999999</v>
      </c>
      <c r="F1566" s="7">
        <v>21.709999</v>
      </c>
      <c r="G1566" s="7">
        <v>21.290001</v>
      </c>
      <c r="H1566" s="8">
        <f t="shared" si="25"/>
        <v>5.5632469605018031E-3</v>
      </c>
    </row>
    <row r="1567" spans="2:8" x14ac:dyDescent="0.2">
      <c r="B1567" s="5">
        <v>44274</v>
      </c>
      <c r="C1567" s="6" t="s">
        <v>18</v>
      </c>
      <c r="D1567" s="7">
        <v>21.629999000000002</v>
      </c>
      <c r="E1567" s="7">
        <v>19.970435999999999</v>
      </c>
      <c r="F1567" s="7">
        <v>21.799999</v>
      </c>
      <c r="G1567" s="7">
        <v>21.559999000000001</v>
      </c>
      <c r="H1567" s="8">
        <f t="shared" si="25"/>
        <v>0</v>
      </c>
    </row>
    <row r="1568" spans="2:8" x14ac:dyDescent="0.2">
      <c r="B1568" s="5">
        <v>44275</v>
      </c>
      <c r="C1568" s="6" t="s">
        <v>18</v>
      </c>
      <c r="D1568" s="7">
        <v>21.83</v>
      </c>
      <c r="E1568" s="7">
        <v>20.155092</v>
      </c>
      <c r="F1568" s="7">
        <v>22</v>
      </c>
      <c r="G1568" s="7">
        <v>21.59</v>
      </c>
      <c r="H1568" s="8">
        <f t="shared" si="25"/>
        <v>9.2039812443574908E-3</v>
      </c>
    </row>
    <row r="1569" spans="2:8" x14ac:dyDescent="0.2">
      <c r="B1569" s="5">
        <v>44276</v>
      </c>
      <c r="C1569" s="6" t="s">
        <v>18</v>
      </c>
      <c r="D1569" s="7">
        <v>21.639999</v>
      </c>
      <c r="E1569" s="7">
        <v>19.979669000000001</v>
      </c>
      <c r="F1569" s="7">
        <v>22.1</v>
      </c>
      <c r="G1569" s="7">
        <v>21.58</v>
      </c>
      <c r="H1569" s="8">
        <f t="shared" si="25"/>
        <v>-8.7417546662600844E-3</v>
      </c>
    </row>
    <row r="1570" spans="2:8" x14ac:dyDescent="0.2">
      <c r="B1570" s="5">
        <v>44279</v>
      </c>
      <c r="C1570" s="6" t="s">
        <v>18</v>
      </c>
      <c r="D1570" s="7">
        <v>21.57</v>
      </c>
      <c r="E1570" s="7">
        <v>19.915040000000001</v>
      </c>
      <c r="F1570" s="7">
        <v>21.790001</v>
      </c>
      <c r="G1570" s="7">
        <v>21.469999000000001</v>
      </c>
      <c r="H1570" s="8">
        <f t="shared" si="25"/>
        <v>-3.239981348744223E-3</v>
      </c>
    </row>
    <row r="1571" spans="2:8" x14ac:dyDescent="0.2">
      <c r="B1571" s="5">
        <v>44280</v>
      </c>
      <c r="C1571" s="6" t="s">
        <v>18</v>
      </c>
      <c r="D1571" s="7">
        <v>22.34</v>
      </c>
      <c r="E1571" s="7">
        <v>20.625962000000001</v>
      </c>
      <c r="F1571" s="7">
        <v>22.360001</v>
      </c>
      <c r="G1571" s="7">
        <v>21.65</v>
      </c>
      <c r="H1571" s="8">
        <f t="shared" si="25"/>
        <v>3.507534838939342E-2</v>
      </c>
    </row>
    <row r="1572" spans="2:8" x14ac:dyDescent="0.2">
      <c r="B1572" s="5">
        <v>44281</v>
      </c>
      <c r="C1572" s="6" t="s">
        <v>18</v>
      </c>
      <c r="D1572" s="7">
        <v>22.32</v>
      </c>
      <c r="E1572" s="7">
        <v>20.607496000000001</v>
      </c>
      <c r="F1572" s="7">
        <v>22.690000999999999</v>
      </c>
      <c r="G1572" s="7">
        <v>22.32</v>
      </c>
      <c r="H1572" s="8">
        <f t="shared" si="25"/>
        <v>-8.956804561246342E-4</v>
      </c>
    </row>
    <row r="1573" spans="2:8" x14ac:dyDescent="0.2">
      <c r="B1573" s="5">
        <v>44282</v>
      </c>
      <c r="C1573" s="6" t="s">
        <v>18</v>
      </c>
      <c r="D1573" s="7">
        <v>22.02</v>
      </c>
      <c r="E1573" s="7">
        <v>20.330514000000001</v>
      </c>
      <c r="F1573" s="7">
        <v>22.389999</v>
      </c>
      <c r="G1573" s="7">
        <v>21.940000999999999</v>
      </c>
      <c r="H1573" s="8">
        <f t="shared" si="25"/>
        <v>-1.3531982947237221E-2</v>
      </c>
    </row>
    <row r="1574" spans="2:8" x14ac:dyDescent="0.2">
      <c r="B1574" s="5">
        <v>44283</v>
      </c>
      <c r="C1574" s="6" t="s">
        <v>18</v>
      </c>
      <c r="D1574" s="7">
        <v>22.33</v>
      </c>
      <c r="E1574" s="7">
        <v>20.616728999999999</v>
      </c>
      <c r="F1574" s="7">
        <v>22.540001</v>
      </c>
      <c r="G1574" s="7">
        <v>22.049999</v>
      </c>
      <c r="H1574" s="8">
        <f t="shared" si="25"/>
        <v>1.3979923455730963E-2</v>
      </c>
    </row>
    <row r="1575" spans="2:8" x14ac:dyDescent="0.2">
      <c r="B1575" s="5">
        <v>44286</v>
      </c>
      <c r="C1575" s="6" t="s">
        <v>18</v>
      </c>
      <c r="D1575" s="7">
        <v>22.42</v>
      </c>
      <c r="E1575" s="7">
        <v>20.699824</v>
      </c>
      <c r="F1575" s="7">
        <v>22.639999</v>
      </c>
      <c r="G1575" s="7">
        <v>22.4</v>
      </c>
      <c r="H1575" s="8">
        <f t="shared" si="25"/>
        <v>4.0223642100863681E-3</v>
      </c>
    </row>
    <row r="1576" spans="2:8" x14ac:dyDescent="0.2">
      <c r="B1576" s="5">
        <v>44287</v>
      </c>
      <c r="C1576" s="6" t="s">
        <v>18</v>
      </c>
      <c r="D1576" s="7">
        <v>23.1</v>
      </c>
      <c r="E1576" s="7">
        <v>21.509938999999999</v>
      </c>
      <c r="F1576" s="7">
        <v>23.309999000000001</v>
      </c>
      <c r="G1576" s="7">
        <v>22.299999</v>
      </c>
      <c r="H1576" s="8">
        <f t="shared" si="25"/>
        <v>3.8389909565615291E-2</v>
      </c>
    </row>
    <row r="1577" spans="2:8" x14ac:dyDescent="0.2">
      <c r="B1577" s="5">
        <v>44288</v>
      </c>
      <c r="C1577" s="6" t="s">
        <v>18</v>
      </c>
      <c r="D1577" s="7">
        <v>22.99</v>
      </c>
      <c r="E1577" s="7">
        <v>21.407509999999998</v>
      </c>
      <c r="F1577" s="7">
        <v>23.129999000000002</v>
      </c>
      <c r="G1577" s="7">
        <v>22.76</v>
      </c>
      <c r="H1577" s="8">
        <f t="shared" si="25"/>
        <v>-4.7733123412257647E-3</v>
      </c>
    </row>
    <row r="1578" spans="2:8" x14ac:dyDescent="0.2">
      <c r="B1578" s="5">
        <v>44289</v>
      </c>
      <c r="C1578" s="6" t="s">
        <v>18</v>
      </c>
      <c r="D1578" s="7">
        <v>23.09</v>
      </c>
      <c r="E1578" s="7">
        <v>21.500627000000001</v>
      </c>
      <c r="F1578" s="7">
        <v>23.299999</v>
      </c>
      <c r="G1578" s="7">
        <v>23</v>
      </c>
      <c r="H1578" s="8">
        <f t="shared" si="25"/>
        <v>4.3403024549807673E-3</v>
      </c>
    </row>
    <row r="1579" spans="2:8" x14ac:dyDescent="0.2">
      <c r="B1579" s="5">
        <v>44290</v>
      </c>
      <c r="C1579" s="6" t="s">
        <v>18</v>
      </c>
      <c r="D1579" s="7">
        <v>22.709999</v>
      </c>
      <c r="E1579" s="7">
        <v>21.146782999999999</v>
      </c>
      <c r="F1579" s="7">
        <v>23.35</v>
      </c>
      <c r="G1579" s="7">
        <v>22.6</v>
      </c>
      <c r="H1579" s="8">
        <f t="shared" si="25"/>
        <v>-1.6594307594703935E-2</v>
      </c>
    </row>
    <row r="1580" spans="2:8" x14ac:dyDescent="0.2">
      <c r="B1580" s="5">
        <v>44293</v>
      </c>
      <c r="C1580" s="6" t="s">
        <v>18</v>
      </c>
      <c r="D1580" s="7">
        <v>22.85</v>
      </c>
      <c r="E1580" s="7">
        <v>21.277146999999999</v>
      </c>
      <c r="F1580" s="7">
        <v>23.07</v>
      </c>
      <c r="G1580" s="7">
        <v>22.5</v>
      </c>
      <c r="H1580" s="8">
        <f t="shared" si="25"/>
        <v>6.1457960320611543E-3</v>
      </c>
    </row>
    <row r="1581" spans="2:8" x14ac:dyDescent="0.2">
      <c r="B1581" s="5">
        <v>44294</v>
      </c>
      <c r="C1581" s="6" t="s">
        <v>18</v>
      </c>
      <c r="D1581" s="7">
        <v>22.940000999999999</v>
      </c>
      <c r="E1581" s="7">
        <v>21.360952000000001</v>
      </c>
      <c r="F1581" s="7">
        <v>22.969999000000001</v>
      </c>
      <c r="G1581" s="7">
        <v>22.6</v>
      </c>
      <c r="H1581" s="8">
        <f t="shared" si="25"/>
        <v>3.9309964507563341E-3</v>
      </c>
    </row>
    <row r="1582" spans="2:8" x14ac:dyDescent="0.2">
      <c r="B1582" s="5">
        <v>44295</v>
      </c>
      <c r="C1582" s="6" t="s">
        <v>18</v>
      </c>
      <c r="D1582" s="7">
        <v>23.120000999999998</v>
      </c>
      <c r="E1582" s="7">
        <v>21.528562999999998</v>
      </c>
      <c r="F1582" s="7">
        <v>23.32</v>
      </c>
      <c r="G1582" s="7">
        <v>22.889999</v>
      </c>
      <c r="H1582" s="8">
        <f t="shared" si="25"/>
        <v>7.8159826835534265E-3</v>
      </c>
    </row>
    <row r="1583" spans="2:8" x14ac:dyDescent="0.2">
      <c r="B1583" s="5">
        <v>44296</v>
      </c>
      <c r="C1583" s="6" t="s">
        <v>18</v>
      </c>
      <c r="D1583" s="7">
        <v>22.65</v>
      </c>
      <c r="E1583" s="7">
        <v>21.090913</v>
      </c>
      <c r="F1583" s="7">
        <v>23.26</v>
      </c>
      <c r="G1583" s="7">
        <v>22.5</v>
      </c>
      <c r="H1583" s="8">
        <f t="shared" si="25"/>
        <v>-2.0538280858005943E-2</v>
      </c>
    </row>
    <row r="1584" spans="2:8" x14ac:dyDescent="0.2">
      <c r="B1584" s="5">
        <v>44297</v>
      </c>
      <c r="C1584" s="6" t="s">
        <v>18</v>
      </c>
      <c r="D1584" s="7">
        <v>22.459999</v>
      </c>
      <c r="E1584" s="7">
        <v>20.913990999999999</v>
      </c>
      <c r="F1584" s="7">
        <v>22.99</v>
      </c>
      <c r="G1584" s="7">
        <v>22.43</v>
      </c>
      <c r="H1584" s="8">
        <f t="shared" si="25"/>
        <v>-8.4239233701931624E-3</v>
      </c>
    </row>
    <row r="1585" spans="2:8" x14ac:dyDescent="0.2">
      <c r="B1585" s="5">
        <v>44300</v>
      </c>
      <c r="C1585" s="6" t="s">
        <v>18</v>
      </c>
      <c r="D1585" s="7">
        <v>22.85</v>
      </c>
      <c r="E1585" s="7">
        <v>21.277146999999999</v>
      </c>
      <c r="F1585" s="7">
        <v>22.940000999999999</v>
      </c>
      <c r="G1585" s="7">
        <v>22.48</v>
      </c>
      <c r="H1585" s="8">
        <f t="shared" si="25"/>
        <v>1.721522509388948E-2</v>
      </c>
    </row>
    <row r="1586" spans="2:8" x14ac:dyDescent="0.2">
      <c r="B1586" s="5">
        <v>44301</v>
      </c>
      <c r="C1586" s="6" t="s">
        <v>18</v>
      </c>
      <c r="D1586" s="7">
        <v>22.889999</v>
      </c>
      <c r="E1586" s="7">
        <v>21.314392999999999</v>
      </c>
      <c r="F1586" s="7">
        <v>23</v>
      </c>
      <c r="G1586" s="7">
        <v>22.610001</v>
      </c>
      <c r="H1586" s="8">
        <f t="shared" si="25"/>
        <v>1.7489862772973213E-3</v>
      </c>
    </row>
    <row r="1587" spans="2:8" x14ac:dyDescent="0.2">
      <c r="B1587" s="5">
        <v>44302</v>
      </c>
      <c r="C1587" s="6" t="s">
        <v>18</v>
      </c>
      <c r="D1587" s="7">
        <v>23.030000999999999</v>
      </c>
      <c r="E1587" s="7">
        <v>21.444758</v>
      </c>
      <c r="F1587" s="7">
        <v>23.15</v>
      </c>
      <c r="G1587" s="7">
        <v>22.83</v>
      </c>
      <c r="H1587" s="8">
        <f t="shared" si="25"/>
        <v>6.0976610096839089E-3</v>
      </c>
    </row>
    <row r="1588" spans="2:8" x14ac:dyDescent="0.2">
      <c r="B1588" s="5">
        <v>44303</v>
      </c>
      <c r="C1588" s="6" t="s">
        <v>18</v>
      </c>
      <c r="D1588" s="7">
        <v>23.209999</v>
      </c>
      <c r="E1588" s="7">
        <v>21.612366000000002</v>
      </c>
      <c r="F1588" s="7">
        <v>23.290001</v>
      </c>
      <c r="G1588" s="7">
        <v>22.780000999999999</v>
      </c>
      <c r="H1588" s="8">
        <f t="shared" si="25"/>
        <v>7.7854176510869831E-3</v>
      </c>
    </row>
    <row r="1589" spans="2:8" x14ac:dyDescent="0.2">
      <c r="B1589" s="5">
        <v>44307</v>
      </c>
      <c r="C1589" s="6" t="s">
        <v>18</v>
      </c>
      <c r="D1589" s="7">
        <v>23.4</v>
      </c>
      <c r="E1589" s="7">
        <v>21.789287999999999</v>
      </c>
      <c r="F1589" s="7">
        <v>23.59</v>
      </c>
      <c r="G1589" s="7">
        <v>23.18</v>
      </c>
      <c r="H1589" s="8">
        <f t="shared" si="25"/>
        <v>8.1528220089189373E-3</v>
      </c>
    </row>
    <row r="1590" spans="2:8" x14ac:dyDescent="0.2">
      <c r="B1590" s="5">
        <v>44308</v>
      </c>
      <c r="C1590" s="6" t="s">
        <v>18</v>
      </c>
      <c r="D1590" s="7">
        <v>23.52</v>
      </c>
      <c r="E1590" s="7">
        <v>21.901029000000001</v>
      </c>
      <c r="F1590" s="7">
        <v>23.610001</v>
      </c>
      <c r="G1590" s="7">
        <v>23.4</v>
      </c>
      <c r="H1590" s="8">
        <f t="shared" si="25"/>
        <v>5.1151491365701626E-3</v>
      </c>
    </row>
    <row r="1591" spans="2:8" x14ac:dyDescent="0.2">
      <c r="B1591" s="5">
        <v>44309</v>
      </c>
      <c r="C1591" s="6" t="s">
        <v>18</v>
      </c>
      <c r="D1591" s="7">
        <v>23.5</v>
      </c>
      <c r="E1591" s="7">
        <v>21.882404999999999</v>
      </c>
      <c r="F1591" s="7">
        <v>23.57</v>
      </c>
      <c r="G1591" s="7">
        <v>23.24</v>
      </c>
      <c r="H1591" s="8">
        <f t="shared" si="25"/>
        <v>-8.507327736448128E-4</v>
      </c>
    </row>
    <row r="1592" spans="2:8" x14ac:dyDescent="0.2">
      <c r="B1592" s="5">
        <v>44310</v>
      </c>
      <c r="C1592" s="6" t="s">
        <v>18</v>
      </c>
      <c r="D1592" s="7">
        <v>23.33</v>
      </c>
      <c r="E1592" s="7">
        <v>21.724107</v>
      </c>
      <c r="F1592" s="7">
        <v>23.639999</v>
      </c>
      <c r="G1592" s="7">
        <v>23.24</v>
      </c>
      <c r="H1592" s="8">
        <f t="shared" si="25"/>
        <v>-7.260323657791677E-3</v>
      </c>
    </row>
    <row r="1593" spans="2:8" x14ac:dyDescent="0.2">
      <c r="B1593" s="5">
        <v>44311</v>
      </c>
      <c r="C1593" s="6" t="s">
        <v>18</v>
      </c>
      <c r="D1593" s="7">
        <v>23</v>
      </c>
      <c r="E1593" s="7">
        <v>21.416822</v>
      </c>
      <c r="F1593" s="7">
        <v>23.32</v>
      </c>
      <c r="G1593" s="7">
        <v>22.879999000000002</v>
      </c>
      <c r="H1593" s="8">
        <f t="shared" si="25"/>
        <v>-1.4245877589361789E-2</v>
      </c>
    </row>
    <row r="1594" spans="2:8" x14ac:dyDescent="0.2">
      <c r="B1594" s="5">
        <v>44314</v>
      </c>
      <c r="C1594" s="6" t="s">
        <v>18</v>
      </c>
      <c r="D1594" s="7">
        <v>23.02</v>
      </c>
      <c r="E1594" s="7">
        <v>21.435445999999999</v>
      </c>
      <c r="F1594" s="7">
        <v>23.24</v>
      </c>
      <c r="G1594" s="7">
        <v>22.790001</v>
      </c>
      <c r="H1594" s="8">
        <f t="shared" si="25"/>
        <v>8.6921892547679801E-4</v>
      </c>
    </row>
    <row r="1595" spans="2:8" x14ac:dyDescent="0.2">
      <c r="B1595" s="5">
        <v>44315</v>
      </c>
      <c r="C1595" s="6" t="s">
        <v>18</v>
      </c>
      <c r="D1595" s="7">
        <v>23.16</v>
      </c>
      <c r="E1595" s="7">
        <v>21.565808000000001</v>
      </c>
      <c r="F1595" s="7">
        <v>23.209999</v>
      </c>
      <c r="G1595" s="7">
        <v>23.059999000000001</v>
      </c>
      <c r="H1595" s="8">
        <f t="shared" si="25"/>
        <v>6.0631905928504055E-3</v>
      </c>
    </row>
    <row r="1596" spans="2:8" x14ac:dyDescent="0.2">
      <c r="B1596" s="5">
        <v>44316</v>
      </c>
      <c r="C1596" s="6" t="s">
        <v>18</v>
      </c>
      <c r="D1596" s="7">
        <v>23.110001</v>
      </c>
      <c r="E1596" s="7">
        <v>21.519251000000001</v>
      </c>
      <c r="F1596" s="7">
        <v>23.139999</v>
      </c>
      <c r="G1596" s="7">
        <v>22.92</v>
      </c>
      <c r="H1596" s="8">
        <f t="shared" si="25"/>
        <v>-2.1611676623646539E-3</v>
      </c>
    </row>
    <row r="1597" spans="2:8" x14ac:dyDescent="0.2">
      <c r="B1597" s="5">
        <v>44317</v>
      </c>
      <c r="C1597" s="6" t="s">
        <v>18</v>
      </c>
      <c r="D1597" s="7">
        <v>23.01</v>
      </c>
      <c r="E1597" s="7">
        <v>21.426134000000001</v>
      </c>
      <c r="F1597" s="7">
        <v>23.15</v>
      </c>
      <c r="G1597" s="7">
        <v>22.91</v>
      </c>
      <c r="H1597" s="8">
        <f t="shared" si="25"/>
        <v>-4.3365379505345466E-3</v>
      </c>
    </row>
    <row r="1598" spans="2:8" x14ac:dyDescent="0.2">
      <c r="B1598" s="5">
        <v>44318</v>
      </c>
      <c r="C1598" s="6" t="s">
        <v>18</v>
      </c>
      <c r="D1598" s="7">
        <v>22.940000999999999</v>
      </c>
      <c r="E1598" s="7">
        <v>21.360952000000001</v>
      </c>
      <c r="F1598" s="7">
        <v>23.120000999999998</v>
      </c>
      <c r="G1598" s="7">
        <v>22.9</v>
      </c>
      <c r="H1598" s="8">
        <f t="shared" si="25"/>
        <v>-3.0468095174307026E-3</v>
      </c>
    </row>
    <row r="1599" spans="2:8" x14ac:dyDescent="0.2">
      <c r="B1599" s="5">
        <v>44321</v>
      </c>
      <c r="C1599" s="6" t="s">
        <v>18</v>
      </c>
      <c r="D1599" s="7">
        <v>22.959999</v>
      </c>
      <c r="E1599" s="7">
        <v>21.379574000000002</v>
      </c>
      <c r="F1599" s="7">
        <v>23</v>
      </c>
      <c r="G1599" s="7">
        <v>22.719999000000001</v>
      </c>
      <c r="H1599" s="8">
        <f t="shared" si="25"/>
        <v>8.7139784748362851E-4</v>
      </c>
    </row>
    <row r="1600" spans="2:8" x14ac:dyDescent="0.2">
      <c r="B1600" s="5">
        <v>44322</v>
      </c>
      <c r="C1600" s="6" t="s">
        <v>18</v>
      </c>
      <c r="D1600" s="7">
        <v>22.719999000000001</v>
      </c>
      <c r="E1600" s="7">
        <v>21.156095000000001</v>
      </c>
      <c r="F1600" s="7">
        <v>22.889999</v>
      </c>
      <c r="G1600" s="7">
        <v>22.629999000000002</v>
      </c>
      <c r="H1600" s="8">
        <f t="shared" si="25"/>
        <v>-1.0507936589153355E-2</v>
      </c>
    </row>
    <row r="1601" spans="2:8" x14ac:dyDescent="0.2">
      <c r="B1601" s="5">
        <v>44323</v>
      </c>
      <c r="C1601" s="6" t="s">
        <v>18</v>
      </c>
      <c r="D1601" s="7">
        <v>22.870000999999998</v>
      </c>
      <c r="E1601" s="7">
        <v>21.295770999999998</v>
      </c>
      <c r="F1601" s="7">
        <v>22.9</v>
      </c>
      <c r="G1601" s="7">
        <v>22.43</v>
      </c>
      <c r="H1601" s="8">
        <f t="shared" si="25"/>
        <v>6.5804647563190511E-3</v>
      </c>
    </row>
    <row r="1602" spans="2:8" x14ac:dyDescent="0.2">
      <c r="B1602" s="5">
        <v>44324</v>
      </c>
      <c r="C1602" s="6" t="s">
        <v>18</v>
      </c>
      <c r="D1602" s="7">
        <v>23.02</v>
      </c>
      <c r="E1602" s="7">
        <v>21.435445999999999</v>
      </c>
      <c r="F1602" s="7">
        <v>23.17</v>
      </c>
      <c r="G1602" s="7">
        <v>22.76</v>
      </c>
      <c r="H1602" s="8">
        <f t="shared" si="25"/>
        <v>6.5373985228299207E-3</v>
      </c>
    </row>
    <row r="1603" spans="2:8" x14ac:dyDescent="0.2">
      <c r="B1603" s="5">
        <v>44325</v>
      </c>
      <c r="C1603" s="6" t="s">
        <v>18</v>
      </c>
      <c r="D1603" s="7">
        <v>23.02</v>
      </c>
      <c r="E1603" s="7">
        <v>21.435445999999999</v>
      </c>
      <c r="F1603" s="7">
        <v>23.110001</v>
      </c>
      <c r="G1603" s="7">
        <v>22.92</v>
      </c>
      <c r="H1603" s="8">
        <f t="shared" si="25"/>
        <v>0</v>
      </c>
    </row>
    <row r="1604" spans="2:8" x14ac:dyDescent="0.2">
      <c r="B1604" s="5">
        <v>44328</v>
      </c>
      <c r="C1604" s="6" t="s">
        <v>18</v>
      </c>
      <c r="D1604" s="7">
        <v>23.190000999999999</v>
      </c>
      <c r="E1604" s="7">
        <v>21.593744000000001</v>
      </c>
      <c r="F1604" s="7">
        <v>23.34</v>
      </c>
      <c r="G1604" s="7">
        <v>23</v>
      </c>
      <c r="H1604" s="8">
        <f t="shared" ref="H1604:H1667" si="26">IF(C1604=C1603, LN(E1604/E1603), "")</f>
        <v>7.3577361850464236E-3</v>
      </c>
    </row>
    <row r="1605" spans="2:8" x14ac:dyDescent="0.2">
      <c r="B1605" s="5">
        <v>44329</v>
      </c>
      <c r="C1605" s="6" t="s">
        <v>18</v>
      </c>
      <c r="D1605" s="7">
        <v>22.860001</v>
      </c>
      <c r="E1605" s="7">
        <v>21.286459000000001</v>
      </c>
      <c r="F1605" s="7">
        <v>23.209999</v>
      </c>
      <c r="G1605" s="7">
        <v>22.76</v>
      </c>
      <c r="H1605" s="8">
        <f t="shared" si="26"/>
        <v>-1.4332500254417178E-2</v>
      </c>
    </row>
    <row r="1606" spans="2:8" x14ac:dyDescent="0.2">
      <c r="B1606" s="5">
        <v>44330</v>
      </c>
      <c r="C1606" s="6" t="s">
        <v>18</v>
      </c>
      <c r="D1606" s="7">
        <v>22.809999000000001</v>
      </c>
      <c r="E1606" s="7">
        <v>21.239899999999999</v>
      </c>
      <c r="F1606" s="7">
        <v>23.049999</v>
      </c>
      <c r="G1606" s="7">
        <v>22.629999000000002</v>
      </c>
      <c r="H1606" s="8">
        <f t="shared" si="26"/>
        <v>-2.1896545905845757E-3</v>
      </c>
    </row>
    <row r="1607" spans="2:8" x14ac:dyDescent="0.2">
      <c r="B1607" s="5">
        <v>44331</v>
      </c>
      <c r="C1607" s="6" t="s">
        <v>18</v>
      </c>
      <c r="D1607" s="7">
        <v>24.18</v>
      </c>
      <c r="E1607" s="7">
        <v>22.515598000000001</v>
      </c>
      <c r="F1607" s="7">
        <v>24.690000999999999</v>
      </c>
      <c r="G1607" s="7">
        <v>24.120000999999998</v>
      </c>
      <c r="H1607" s="8">
        <f t="shared" si="26"/>
        <v>5.832682520715976E-2</v>
      </c>
    </row>
    <row r="1608" spans="2:8" x14ac:dyDescent="0.2">
      <c r="B1608" s="5">
        <v>44332</v>
      </c>
      <c r="C1608" s="6" t="s">
        <v>18</v>
      </c>
      <c r="D1608" s="7">
        <v>24.370000999999998</v>
      </c>
      <c r="E1608" s="7">
        <v>22.692519999999998</v>
      </c>
      <c r="F1608" s="7">
        <v>24.450001</v>
      </c>
      <c r="G1608" s="7">
        <v>24.059999000000001</v>
      </c>
      <c r="H1608" s="8">
        <f t="shared" si="26"/>
        <v>7.827041294833588E-3</v>
      </c>
    </row>
    <row r="1609" spans="2:8" x14ac:dyDescent="0.2">
      <c r="B1609" s="5">
        <v>44335</v>
      </c>
      <c r="C1609" s="6" t="s">
        <v>18</v>
      </c>
      <c r="D1609" s="7">
        <v>24.35</v>
      </c>
      <c r="E1609" s="7">
        <v>22.673897</v>
      </c>
      <c r="F1609" s="7">
        <v>24.450001</v>
      </c>
      <c r="G1609" s="7">
        <v>24.120000999999998</v>
      </c>
      <c r="H1609" s="8">
        <f t="shared" si="26"/>
        <v>-8.2100382959775556E-4</v>
      </c>
    </row>
    <row r="1610" spans="2:8" x14ac:dyDescent="0.2">
      <c r="B1610" s="5">
        <v>44336</v>
      </c>
      <c r="C1610" s="6" t="s">
        <v>18</v>
      </c>
      <c r="D1610" s="7">
        <v>24.120000999999998</v>
      </c>
      <c r="E1610" s="7">
        <v>22.459728999999999</v>
      </c>
      <c r="F1610" s="7">
        <v>24.389999</v>
      </c>
      <c r="G1610" s="7">
        <v>24.02</v>
      </c>
      <c r="H1610" s="8">
        <f t="shared" si="26"/>
        <v>-9.4904675945429052E-3</v>
      </c>
    </row>
    <row r="1611" spans="2:8" x14ac:dyDescent="0.2">
      <c r="B1611" s="5">
        <v>44337</v>
      </c>
      <c r="C1611" s="6" t="s">
        <v>18</v>
      </c>
      <c r="D1611" s="7">
        <v>24.48</v>
      </c>
      <c r="E1611" s="7">
        <v>22.794947000000001</v>
      </c>
      <c r="F1611" s="7">
        <v>24.65</v>
      </c>
      <c r="G1611" s="7">
        <v>24.17</v>
      </c>
      <c r="H1611" s="8">
        <f t="shared" si="26"/>
        <v>1.4815005248834818E-2</v>
      </c>
    </row>
    <row r="1612" spans="2:8" x14ac:dyDescent="0.2">
      <c r="B1612" s="5">
        <v>44338</v>
      </c>
      <c r="C1612" s="6" t="s">
        <v>18</v>
      </c>
      <c r="D1612" s="7">
        <v>24.379999000000002</v>
      </c>
      <c r="E1612" s="7">
        <v>22.701830000000001</v>
      </c>
      <c r="F1612" s="7">
        <v>24.540001</v>
      </c>
      <c r="G1612" s="7">
        <v>24.290001</v>
      </c>
      <c r="H1612" s="8">
        <f t="shared" si="26"/>
        <v>-4.0933506133238066E-3</v>
      </c>
    </row>
    <row r="1613" spans="2:8" x14ac:dyDescent="0.2">
      <c r="B1613" s="5">
        <v>44339</v>
      </c>
      <c r="C1613" s="6" t="s">
        <v>18</v>
      </c>
      <c r="D1613" s="7">
        <v>24.52</v>
      </c>
      <c r="E1613" s="7">
        <v>22.832194999999999</v>
      </c>
      <c r="F1613" s="7">
        <v>24.57</v>
      </c>
      <c r="G1613" s="7">
        <v>24.35</v>
      </c>
      <c r="H1613" s="8">
        <f t="shared" si="26"/>
        <v>5.7260633646281601E-3</v>
      </c>
    </row>
    <row r="1614" spans="2:8" x14ac:dyDescent="0.2">
      <c r="B1614" s="5">
        <v>44343</v>
      </c>
      <c r="C1614" s="6" t="s">
        <v>18</v>
      </c>
      <c r="D1614" s="7">
        <v>24.709999</v>
      </c>
      <c r="E1614" s="7">
        <v>23.009115000000001</v>
      </c>
      <c r="F1614" s="7">
        <v>24.879999000000002</v>
      </c>
      <c r="G1614" s="7">
        <v>24.629999000000002</v>
      </c>
      <c r="H1614" s="8">
        <f t="shared" si="26"/>
        <v>7.7188404264305083E-3</v>
      </c>
    </row>
    <row r="1615" spans="2:8" x14ac:dyDescent="0.2">
      <c r="B1615" s="5">
        <v>44344</v>
      </c>
      <c r="C1615" s="6" t="s">
        <v>18</v>
      </c>
      <c r="D1615" s="7">
        <v>24.82</v>
      </c>
      <c r="E1615" s="7">
        <v>23.111543999999999</v>
      </c>
      <c r="F1615" s="7">
        <v>24.93</v>
      </c>
      <c r="G1615" s="7">
        <v>24.629999000000002</v>
      </c>
      <c r="H1615" s="8">
        <f t="shared" si="26"/>
        <v>4.4417911897615394E-3</v>
      </c>
    </row>
    <row r="1616" spans="2:8" x14ac:dyDescent="0.2">
      <c r="B1616" s="5">
        <v>44345</v>
      </c>
      <c r="C1616" s="6" t="s">
        <v>18</v>
      </c>
      <c r="D1616" s="7">
        <v>24.68</v>
      </c>
      <c r="E1616" s="7">
        <v>22.981180999999999</v>
      </c>
      <c r="F1616" s="7">
        <v>24.92</v>
      </c>
      <c r="G1616" s="7">
        <v>24.559999000000001</v>
      </c>
      <c r="H1616" s="8">
        <f t="shared" si="26"/>
        <v>-5.6565693436204248E-3</v>
      </c>
    </row>
    <row r="1617" spans="2:8" x14ac:dyDescent="0.2">
      <c r="B1617" s="5">
        <v>44346</v>
      </c>
      <c r="C1617" s="6" t="s">
        <v>18</v>
      </c>
      <c r="D1617" s="7">
        <v>24.620000999999998</v>
      </c>
      <c r="E1617" s="7">
        <v>22.925312000000002</v>
      </c>
      <c r="F1617" s="7">
        <v>24.75</v>
      </c>
      <c r="G1617" s="7">
        <v>24.48</v>
      </c>
      <c r="H1617" s="8">
        <f t="shared" si="26"/>
        <v>-2.4340359688609491E-3</v>
      </c>
    </row>
    <row r="1618" spans="2:8" x14ac:dyDescent="0.2">
      <c r="B1618" s="5">
        <v>44349</v>
      </c>
      <c r="C1618" s="6" t="s">
        <v>18</v>
      </c>
      <c r="D1618" s="7">
        <v>24.780000999999999</v>
      </c>
      <c r="E1618" s="7">
        <v>23.074297999999999</v>
      </c>
      <c r="F1618" s="7">
        <v>24.799999</v>
      </c>
      <c r="G1618" s="7">
        <v>24.559999000000001</v>
      </c>
      <c r="H1618" s="8">
        <f t="shared" si="26"/>
        <v>6.4777297445005105E-3</v>
      </c>
    </row>
    <row r="1619" spans="2:8" x14ac:dyDescent="0.2">
      <c r="B1619" s="5">
        <v>44350</v>
      </c>
      <c r="C1619" s="6" t="s">
        <v>18</v>
      </c>
      <c r="D1619" s="7">
        <v>24.68</v>
      </c>
      <c r="E1619" s="7">
        <v>22.981180999999999</v>
      </c>
      <c r="F1619" s="7">
        <v>24.82</v>
      </c>
      <c r="G1619" s="7">
        <v>24.450001</v>
      </c>
      <c r="H1619" s="8">
        <f t="shared" si="26"/>
        <v>-4.0436937756396212E-3</v>
      </c>
    </row>
    <row r="1620" spans="2:8" x14ac:dyDescent="0.2">
      <c r="B1620" s="5">
        <v>44351</v>
      </c>
      <c r="C1620" s="6" t="s">
        <v>18</v>
      </c>
      <c r="D1620" s="7">
        <v>24.5</v>
      </c>
      <c r="E1620" s="7">
        <v>22.813571</v>
      </c>
      <c r="F1620" s="7">
        <v>24.65</v>
      </c>
      <c r="G1620" s="7">
        <v>24.4</v>
      </c>
      <c r="H1620" s="8">
        <f t="shared" si="26"/>
        <v>-7.3200854293947615E-3</v>
      </c>
    </row>
    <row r="1621" spans="2:8" x14ac:dyDescent="0.2">
      <c r="B1621" s="5">
        <v>44352</v>
      </c>
      <c r="C1621" s="6" t="s">
        <v>18</v>
      </c>
      <c r="D1621" s="7">
        <v>24.700001</v>
      </c>
      <c r="E1621" s="7">
        <v>22.999804999999999</v>
      </c>
      <c r="F1621" s="7">
        <v>24.74</v>
      </c>
      <c r="G1621" s="7">
        <v>24.41</v>
      </c>
      <c r="H1621" s="8">
        <f t="shared" si="26"/>
        <v>8.1301594464439388E-3</v>
      </c>
    </row>
    <row r="1622" spans="2:8" x14ac:dyDescent="0.2">
      <c r="B1622" s="5">
        <v>44353</v>
      </c>
      <c r="C1622" s="6" t="s">
        <v>18</v>
      </c>
      <c r="D1622" s="7">
        <v>24.83</v>
      </c>
      <c r="E1622" s="7">
        <v>23.120856</v>
      </c>
      <c r="F1622" s="7">
        <v>24.950001</v>
      </c>
      <c r="G1622" s="7">
        <v>24.709999</v>
      </c>
      <c r="H1622" s="8">
        <f t="shared" si="26"/>
        <v>5.2493297079110922E-3</v>
      </c>
    </row>
    <row r="1623" spans="2:8" x14ac:dyDescent="0.2">
      <c r="B1623" s="5">
        <v>44356</v>
      </c>
      <c r="C1623" s="6" t="s">
        <v>18</v>
      </c>
      <c r="D1623" s="7">
        <v>24.799999</v>
      </c>
      <c r="E1623" s="7">
        <v>23.092919999999999</v>
      </c>
      <c r="F1623" s="7">
        <v>24.950001</v>
      </c>
      <c r="G1623" s="7">
        <v>24.719999000000001</v>
      </c>
      <c r="H1623" s="8">
        <f t="shared" si="26"/>
        <v>-1.2089902977302628E-3</v>
      </c>
    </row>
    <row r="1624" spans="2:8" x14ac:dyDescent="0.2">
      <c r="B1624" s="5">
        <v>44357</v>
      </c>
      <c r="C1624" s="6" t="s">
        <v>18</v>
      </c>
      <c r="D1624" s="7">
        <v>25</v>
      </c>
      <c r="E1624" s="7">
        <v>23.279153999999998</v>
      </c>
      <c r="F1624" s="7">
        <v>25.1</v>
      </c>
      <c r="G1624" s="7">
        <v>24.6</v>
      </c>
      <c r="H1624" s="8">
        <f t="shared" si="26"/>
        <v>8.0322049542098459E-3</v>
      </c>
    </row>
    <row r="1625" spans="2:8" x14ac:dyDescent="0.2">
      <c r="B1625" s="5">
        <v>44358</v>
      </c>
      <c r="C1625" s="6" t="s">
        <v>18</v>
      </c>
      <c r="D1625" s="7">
        <v>25.040001</v>
      </c>
      <c r="E1625" s="7">
        <v>23.316402</v>
      </c>
      <c r="F1625" s="7">
        <v>25.17</v>
      </c>
      <c r="G1625" s="7">
        <v>24.790001</v>
      </c>
      <c r="H1625" s="8">
        <f t="shared" si="26"/>
        <v>1.5987794172526906E-3</v>
      </c>
    </row>
    <row r="1626" spans="2:8" x14ac:dyDescent="0.2">
      <c r="B1626" s="5">
        <v>44359</v>
      </c>
      <c r="C1626" s="6" t="s">
        <v>18</v>
      </c>
      <c r="D1626" s="7">
        <v>24.66</v>
      </c>
      <c r="E1626" s="7">
        <v>22.962558000000001</v>
      </c>
      <c r="F1626" s="7">
        <v>25.01</v>
      </c>
      <c r="G1626" s="7">
        <v>24.620000999999998</v>
      </c>
      <c r="H1626" s="8">
        <f t="shared" si="26"/>
        <v>-1.5292085018552518E-2</v>
      </c>
    </row>
    <row r="1627" spans="2:8" x14ac:dyDescent="0.2">
      <c r="B1627" s="5">
        <v>44360</v>
      </c>
      <c r="C1627" s="6" t="s">
        <v>18</v>
      </c>
      <c r="D1627" s="7">
        <v>24.700001</v>
      </c>
      <c r="E1627" s="7">
        <v>22.999804999999999</v>
      </c>
      <c r="F1627" s="7">
        <v>24.780000999999999</v>
      </c>
      <c r="G1627" s="7">
        <v>24.6</v>
      </c>
      <c r="H1627" s="8">
        <f t="shared" si="26"/>
        <v>1.6207612369090786E-3</v>
      </c>
    </row>
    <row r="1628" spans="2:8" x14ac:dyDescent="0.2">
      <c r="B1628" s="5">
        <v>44363</v>
      </c>
      <c r="C1628" s="6" t="s">
        <v>18</v>
      </c>
      <c r="D1628" s="7">
        <v>24.530000999999999</v>
      </c>
      <c r="E1628" s="7">
        <v>22.841507</v>
      </c>
      <c r="F1628" s="7">
        <v>24.73</v>
      </c>
      <c r="G1628" s="7">
        <v>24.450001</v>
      </c>
      <c r="H1628" s="8">
        <f t="shared" si="26"/>
        <v>-6.9063742856112472E-3</v>
      </c>
    </row>
    <row r="1629" spans="2:8" x14ac:dyDescent="0.2">
      <c r="B1629" s="5">
        <v>44364</v>
      </c>
      <c r="C1629" s="6" t="s">
        <v>18</v>
      </c>
      <c r="D1629" s="7">
        <v>24.5</v>
      </c>
      <c r="E1629" s="7">
        <v>22.813571</v>
      </c>
      <c r="F1629" s="7">
        <v>24.620000999999998</v>
      </c>
      <c r="G1629" s="7">
        <v>24.41</v>
      </c>
      <c r="H1629" s="8">
        <f t="shared" si="26"/>
        <v>-1.2237851608326853E-3</v>
      </c>
    </row>
    <row r="1630" spans="2:8" x14ac:dyDescent="0.2">
      <c r="B1630" s="5">
        <v>44365</v>
      </c>
      <c r="C1630" s="6" t="s">
        <v>18</v>
      </c>
      <c r="D1630" s="7">
        <v>24.629999000000002</v>
      </c>
      <c r="E1630" s="7">
        <v>22.934622000000001</v>
      </c>
      <c r="F1630" s="7">
        <v>24.75</v>
      </c>
      <c r="G1630" s="7">
        <v>24.459999</v>
      </c>
      <c r="H1630" s="8">
        <f t="shared" si="26"/>
        <v>5.2920683670545149E-3</v>
      </c>
    </row>
    <row r="1631" spans="2:8" x14ac:dyDescent="0.2">
      <c r="B1631" s="5">
        <v>44366</v>
      </c>
      <c r="C1631" s="6" t="s">
        <v>18</v>
      </c>
      <c r="D1631" s="7">
        <v>24.709999</v>
      </c>
      <c r="E1631" s="7">
        <v>23.009115000000001</v>
      </c>
      <c r="F1631" s="7">
        <v>24.709999</v>
      </c>
      <c r="G1631" s="7">
        <v>24.450001</v>
      </c>
      <c r="H1631" s="8">
        <f t="shared" si="26"/>
        <v>3.2427952161990779E-3</v>
      </c>
    </row>
    <row r="1632" spans="2:8" x14ac:dyDescent="0.2">
      <c r="B1632" s="5">
        <v>44367</v>
      </c>
      <c r="C1632" s="6" t="s">
        <v>18</v>
      </c>
      <c r="D1632" s="7">
        <v>24.83</v>
      </c>
      <c r="E1632" s="7">
        <v>23.120856</v>
      </c>
      <c r="F1632" s="7">
        <v>24.9</v>
      </c>
      <c r="G1632" s="7">
        <v>24.610001</v>
      </c>
      <c r="H1632" s="8">
        <f t="shared" si="26"/>
        <v>4.8446255711012314E-3</v>
      </c>
    </row>
    <row r="1633" spans="2:8" x14ac:dyDescent="0.2">
      <c r="B1633" s="5">
        <v>44370</v>
      </c>
      <c r="C1633" s="6" t="s">
        <v>18</v>
      </c>
      <c r="D1633" s="7">
        <v>24.700001</v>
      </c>
      <c r="E1633" s="7">
        <v>22.999804999999999</v>
      </c>
      <c r="F1633" s="7">
        <v>24.9</v>
      </c>
      <c r="G1633" s="7">
        <v>24.65</v>
      </c>
      <c r="H1633" s="8">
        <f t="shared" si="26"/>
        <v>-5.2493297079109925E-3</v>
      </c>
    </row>
    <row r="1634" spans="2:8" x14ac:dyDescent="0.2">
      <c r="B1634" s="5">
        <v>44371</v>
      </c>
      <c r="C1634" s="6" t="s">
        <v>18</v>
      </c>
      <c r="D1634" s="7">
        <v>24.530000999999999</v>
      </c>
      <c r="E1634" s="7">
        <v>22.841507</v>
      </c>
      <c r="F1634" s="7">
        <v>24.74</v>
      </c>
      <c r="G1634" s="7">
        <v>24.52</v>
      </c>
      <c r="H1634" s="8">
        <f t="shared" si="26"/>
        <v>-6.9063742856112472E-3</v>
      </c>
    </row>
    <row r="1635" spans="2:8" x14ac:dyDescent="0.2">
      <c r="B1635" s="5">
        <v>44372</v>
      </c>
      <c r="C1635" s="6" t="s">
        <v>18</v>
      </c>
      <c r="D1635" s="7">
        <v>24.719999000000001</v>
      </c>
      <c r="E1635" s="7">
        <v>23.018426999999999</v>
      </c>
      <c r="F1635" s="7">
        <v>24.780000999999999</v>
      </c>
      <c r="G1635" s="7">
        <v>24.41</v>
      </c>
      <c r="H1635" s="8">
        <f t="shared" si="26"/>
        <v>7.7157057269617276E-3</v>
      </c>
    </row>
    <row r="1636" spans="2:8" x14ac:dyDescent="0.2">
      <c r="B1636" s="5">
        <v>44373</v>
      </c>
      <c r="C1636" s="6" t="s">
        <v>18</v>
      </c>
      <c r="D1636" s="7">
        <v>24.65</v>
      </c>
      <c r="E1636" s="7">
        <v>22.953246</v>
      </c>
      <c r="F1636" s="7">
        <v>24.809999000000001</v>
      </c>
      <c r="G1636" s="7">
        <v>24.48</v>
      </c>
      <c r="H1636" s="8">
        <f t="shared" si="26"/>
        <v>-2.8357046600368152E-3</v>
      </c>
    </row>
    <row r="1637" spans="2:8" x14ac:dyDescent="0.2">
      <c r="B1637" s="5">
        <v>44374</v>
      </c>
      <c r="C1637" s="6" t="s">
        <v>18</v>
      </c>
      <c r="D1637" s="7">
        <v>24.700001</v>
      </c>
      <c r="E1637" s="7">
        <v>22.999804999999999</v>
      </c>
      <c r="F1637" s="7">
        <v>24.780000999999999</v>
      </c>
      <c r="G1637" s="7">
        <v>24.48</v>
      </c>
      <c r="H1637" s="8">
        <f t="shared" si="26"/>
        <v>2.0263732186864688E-3</v>
      </c>
    </row>
    <row r="1638" spans="2:8" x14ac:dyDescent="0.2">
      <c r="B1638" s="5">
        <v>44377</v>
      </c>
      <c r="C1638" s="6" t="s">
        <v>18</v>
      </c>
      <c r="D1638" s="7">
        <v>24.85</v>
      </c>
      <c r="E1638" s="7">
        <v>23.139479999999999</v>
      </c>
      <c r="F1638" s="7">
        <v>24.9</v>
      </c>
      <c r="G1638" s="7">
        <v>24.620000999999998</v>
      </c>
      <c r="H1638" s="8">
        <f t="shared" si="26"/>
        <v>6.0545119705814913E-3</v>
      </c>
    </row>
    <row r="1639" spans="2:8" x14ac:dyDescent="0.2">
      <c r="B1639" s="5">
        <v>44378</v>
      </c>
      <c r="C1639" s="6" t="s">
        <v>18</v>
      </c>
      <c r="D1639" s="7">
        <v>25.08</v>
      </c>
      <c r="E1639" s="7">
        <v>23.353648</v>
      </c>
      <c r="F1639" s="7">
        <v>25.110001</v>
      </c>
      <c r="G1639" s="7">
        <v>24.77</v>
      </c>
      <c r="H1639" s="8">
        <f t="shared" si="26"/>
        <v>9.2129535725357821E-3</v>
      </c>
    </row>
    <row r="1640" spans="2:8" x14ac:dyDescent="0.2">
      <c r="B1640" s="5">
        <v>44379</v>
      </c>
      <c r="C1640" s="6" t="s">
        <v>18</v>
      </c>
      <c r="D1640" s="7">
        <v>25.030000999999999</v>
      </c>
      <c r="E1640" s="7">
        <v>23.485005000000001</v>
      </c>
      <c r="F1640" s="7">
        <v>25.139999</v>
      </c>
      <c r="G1640" s="7">
        <v>24.870000999999998</v>
      </c>
      <c r="H1640" s="8">
        <f t="shared" si="26"/>
        <v>5.6089292053313382E-3</v>
      </c>
    </row>
    <row r="1641" spans="2:8" x14ac:dyDescent="0.2">
      <c r="B1641" s="5">
        <v>44380</v>
      </c>
      <c r="C1641" s="6" t="s">
        <v>18</v>
      </c>
      <c r="D1641" s="7">
        <v>25.190000999999999</v>
      </c>
      <c r="E1641" s="7">
        <v>23.635128999999999</v>
      </c>
      <c r="F1641" s="7">
        <v>25.25</v>
      </c>
      <c r="G1641" s="7">
        <v>25.129999000000002</v>
      </c>
      <c r="H1641" s="8">
        <f t="shared" si="26"/>
        <v>6.3719898567094592E-3</v>
      </c>
    </row>
    <row r="1642" spans="2:8" x14ac:dyDescent="0.2">
      <c r="B1642" s="5">
        <v>44384</v>
      </c>
      <c r="C1642" s="6" t="s">
        <v>18</v>
      </c>
      <c r="D1642" s="7">
        <v>25.23</v>
      </c>
      <c r="E1642" s="7">
        <v>23.672658999999999</v>
      </c>
      <c r="F1642" s="7">
        <v>25.25</v>
      </c>
      <c r="G1642" s="7">
        <v>24.969999000000001</v>
      </c>
      <c r="H1642" s="8">
        <f t="shared" si="26"/>
        <v>1.5866312698097117E-3</v>
      </c>
    </row>
    <row r="1643" spans="2:8" x14ac:dyDescent="0.2">
      <c r="B1643" s="5">
        <v>44385</v>
      </c>
      <c r="C1643" s="6" t="s">
        <v>18</v>
      </c>
      <c r="D1643" s="7">
        <v>25.07</v>
      </c>
      <c r="E1643" s="7">
        <v>23.522535999999999</v>
      </c>
      <c r="F1643" s="7">
        <v>25.309999000000001</v>
      </c>
      <c r="G1643" s="7">
        <v>25.059999000000001</v>
      </c>
      <c r="H1643" s="8">
        <f t="shared" si="26"/>
        <v>-6.3618131601252178E-3</v>
      </c>
    </row>
    <row r="1644" spans="2:8" x14ac:dyDescent="0.2">
      <c r="B1644" s="5">
        <v>44386</v>
      </c>
      <c r="C1644" s="6" t="s">
        <v>18</v>
      </c>
      <c r="D1644" s="7">
        <v>25.440000999999999</v>
      </c>
      <c r="E1644" s="7">
        <v>23.869698</v>
      </c>
      <c r="F1644" s="7">
        <v>25.5</v>
      </c>
      <c r="G1644" s="7">
        <v>25.139999</v>
      </c>
      <c r="H1644" s="8">
        <f t="shared" si="26"/>
        <v>1.4650848059256313E-2</v>
      </c>
    </row>
    <row r="1645" spans="2:8" x14ac:dyDescent="0.2">
      <c r="B1645" s="5">
        <v>44387</v>
      </c>
      <c r="C1645" s="6" t="s">
        <v>18</v>
      </c>
      <c r="D1645" s="7">
        <v>25.440000999999999</v>
      </c>
      <c r="E1645" s="7">
        <v>23.869698</v>
      </c>
      <c r="F1645" s="7">
        <v>25.52</v>
      </c>
      <c r="G1645" s="7">
        <v>25.219999000000001</v>
      </c>
      <c r="H1645" s="8">
        <f t="shared" si="26"/>
        <v>0</v>
      </c>
    </row>
    <row r="1646" spans="2:8" x14ac:dyDescent="0.2">
      <c r="B1646" s="5">
        <v>44388</v>
      </c>
      <c r="C1646" s="6" t="s">
        <v>18</v>
      </c>
      <c r="D1646" s="7">
        <v>25.52</v>
      </c>
      <c r="E1646" s="7">
        <v>23.944759999999999</v>
      </c>
      <c r="F1646" s="7">
        <v>25.65</v>
      </c>
      <c r="G1646" s="7">
        <v>25.440000999999999</v>
      </c>
      <c r="H1646" s="8">
        <f t="shared" si="26"/>
        <v>3.1397223685992012E-3</v>
      </c>
    </row>
    <row r="1647" spans="2:8" x14ac:dyDescent="0.2">
      <c r="B1647" s="5">
        <v>44391</v>
      </c>
      <c r="C1647" s="6" t="s">
        <v>18</v>
      </c>
      <c r="D1647" s="7">
        <v>25.440000999999999</v>
      </c>
      <c r="E1647" s="7">
        <v>23.869698</v>
      </c>
      <c r="F1647" s="7">
        <v>25.65</v>
      </c>
      <c r="G1647" s="7">
        <v>25.4</v>
      </c>
      <c r="H1647" s="8">
        <f t="shared" si="26"/>
        <v>-3.1397223685992884E-3</v>
      </c>
    </row>
    <row r="1648" spans="2:8" x14ac:dyDescent="0.2">
      <c r="B1648" s="5">
        <v>44392</v>
      </c>
      <c r="C1648" s="6" t="s">
        <v>18</v>
      </c>
      <c r="D1648" s="7">
        <v>25.67</v>
      </c>
      <c r="E1648" s="7">
        <v>24.0855</v>
      </c>
      <c r="F1648" s="7">
        <v>25.68</v>
      </c>
      <c r="G1648" s="7">
        <v>25.360001</v>
      </c>
      <c r="H1648" s="8">
        <f t="shared" si="26"/>
        <v>9.0002112692735021E-3</v>
      </c>
    </row>
    <row r="1649" spans="2:8" x14ac:dyDescent="0.2">
      <c r="B1649" s="5">
        <v>44393</v>
      </c>
      <c r="C1649" s="6" t="s">
        <v>18</v>
      </c>
      <c r="D1649" s="7">
        <v>25.98</v>
      </c>
      <c r="E1649" s="7">
        <v>24.376365</v>
      </c>
      <c r="F1649" s="7">
        <v>26.049999</v>
      </c>
      <c r="G1649" s="7">
        <v>25.73</v>
      </c>
      <c r="H1649" s="8">
        <f t="shared" si="26"/>
        <v>1.2004015640257392E-2</v>
      </c>
    </row>
    <row r="1650" spans="2:8" x14ac:dyDescent="0.2">
      <c r="B1650" s="5">
        <v>44394</v>
      </c>
      <c r="C1650" s="6" t="s">
        <v>18</v>
      </c>
      <c r="D1650" s="7">
        <v>25.629999000000002</v>
      </c>
      <c r="E1650" s="7">
        <v>24.047968999999998</v>
      </c>
      <c r="F1650" s="7">
        <v>26</v>
      </c>
      <c r="G1650" s="7">
        <v>25.58</v>
      </c>
      <c r="H1650" s="8">
        <f t="shared" si="26"/>
        <v>-1.3563471394671348E-2</v>
      </c>
    </row>
    <row r="1651" spans="2:8" x14ac:dyDescent="0.2">
      <c r="B1651" s="5">
        <v>44395</v>
      </c>
      <c r="C1651" s="6" t="s">
        <v>18</v>
      </c>
      <c r="D1651" s="7">
        <v>25.91</v>
      </c>
      <c r="E1651" s="7">
        <v>24.310686</v>
      </c>
      <c r="F1651" s="7">
        <v>25.959999</v>
      </c>
      <c r="G1651" s="7">
        <v>25.67</v>
      </c>
      <c r="H1651" s="8">
        <f t="shared" si="26"/>
        <v>1.0865462848573506E-2</v>
      </c>
    </row>
    <row r="1652" spans="2:8" x14ac:dyDescent="0.2">
      <c r="B1652" s="5">
        <v>44398</v>
      </c>
      <c r="C1652" s="6" t="s">
        <v>18</v>
      </c>
      <c r="D1652" s="7">
        <v>25.85</v>
      </c>
      <c r="E1652" s="7">
        <v>24.254390000000001</v>
      </c>
      <c r="F1652" s="7">
        <v>25.950001</v>
      </c>
      <c r="G1652" s="7">
        <v>25.719999000000001</v>
      </c>
      <c r="H1652" s="8">
        <f t="shared" si="26"/>
        <v>-2.3183748426653427E-3</v>
      </c>
    </row>
    <row r="1653" spans="2:8" x14ac:dyDescent="0.2">
      <c r="B1653" s="5">
        <v>44399</v>
      </c>
      <c r="C1653" s="6" t="s">
        <v>18</v>
      </c>
      <c r="D1653" s="7">
        <v>25.950001</v>
      </c>
      <c r="E1653" s="7">
        <v>24.348217999999999</v>
      </c>
      <c r="F1653" s="7">
        <v>26.08</v>
      </c>
      <c r="G1653" s="7">
        <v>25.91</v>
      </c>
      <c r="H1653" s="8">
        <f t="shared" si="26"/>
        <v>3.8610321718643816E-3</v>
      </c>
    </row>
    <row r="1654" spans="2:8" x14ac:dyDescent="0.2">
      <c r="B1654" s="5">
        <v>44400</v>
      </c>
      <c r="C1654" s="6" t="s">
        <v>18</v>
      </c>
      <c r="D1654" s="7">
        <v>25.68</v>
      </c>
      <c r="E1654" s="7">
        <v>24.094882999999999</v>
      </c>
      <c r="F1654" s="7">
        <v>25.790001</v>
      </c>
      <c r="G1654" s="7">
        <v>25.549999</v>
      </c>
      <c r="H1654" s="8">
        <f t="shared" si="26"/>
        <v>-1.0459169797771131E-2</v>
      </c>
    </row>
    <row r="1655" spans="2:8" x14ac:dyDescent="0.2">
      <c r="B1655" s="5">
        <v>44401</v>
      </c>
      <c r="C1655" s="6" t="s">
        <v>18</v>
      </c>
      <c r="D1655" s="7">
        <v>25.83</v>
      </c>
      <c r="E1655" s="7">
        <v>24.235624000000001</v>
      </c>
      <c r="F1655" s="7">
        <v>25.9</v>
      </c>
      <c r="G1655" s="7">
        <v>25.68</v>
      </c>
      <c r="H1655" s="8">
        <f t="shared" si="26"/>
        <v>5.8241225498586926E-3</v>
      </c>
    </row>
    <row r="1656" spans="2:8" x14ac:dyDescent="0.2">
      <c r="B1656" s="5">
        <v>44402</v>
      </c>
      <c r="C1656" s="6" t="s">
        <v>18</v>
      </c>
      <c r="D1656" s="7">
        <v>25.969999000000001</v>
      </c>
      <c r="E1656" s="7">
        <v>24.366982</v>
      </c>
      <c r="F1656" s="7">
        <v>26.02</v>
      </c>
      <c r="G1656" s="7">
        <v>25.68</v>
      </c>
      <c r="H1656" s="8">
        <f t="shared" si="26"/>
        <v>5.4054023291992227E-3</v>
      </c>
    </row>
    <row r="1657" spans="2:8" x14ac:dyDescent="0.2">
      <c r="B1657" s="5">
        <v>44405</v>
      </c>
      <c r="C1657" s="6" t="s">
        <v>18</v>
      </c>
      <c r="D1657" s="7">
        <v>25.92</v>
      </c>
      <c r="E1657" s="7">
        <v>24.320069</v>
      </c>
      <c r="F1657" s="7">
        <v>26</v>
      </c>
      <c r="G1657" s="7">
        <v>25.57</v>
      </c>
      <c r="H1657" s="8">
        <f t="shared" si="26"/>
        <v>-1.9271249153632799E-3</v>
      </c>
    </row>
    <row r="1658" spans="2:8" x14ac:dyDescent="0.2">
      <c r="B1658" s="5">
        <v>44406</v>
      </c>
      <c r="C1658" s="6" t="s">
        <v>18</v>
      </c>
      <c r="D1658" s="7">
        <v>25.709999</v>
      </c>
      <c r="E1658" s="7">
        <v>24.12303</v>
      </c>
      <c r="F1658" s="7">
        <v>26.01</v>
      </c>
      <c r="G1658" s="7">
        <v>25.690000999999999</v>
      </c>
      <c r="H1658" s="8">
        <f t="shared" si="26"/>
        <v>-8.1349084052311105E-3</v>
      </c>
    </row>
    <row r="1659" spans="2:8" x14ac:dyDescent="0.2">
      <c r="B1659" s="5">
        <v>44407</v>
      </c>
      <c r="C1659" s="6" t="s">
        <v>18</v>
      </c>
      <c r="D1659" s="7">
        <v>25.629999000000002</v>
      </c>
      <c r="E1659" s="7">
        <v>24.047968999999998</v>
      </c>
      <c r="F1659" s="7">
        <v>25.84</v>
      </c>
      <c r="G1659" s="7">
        <v>25.469999000000001</v>
      </c>
      <c r="H1659" s="8">
        <f t="shared" si="26"/>
        <v>-3.1164419384649999E-3</v>
      </c>
    </row>
    <row r="1660" spans="2:8" x14ac:dyDescent="0.2">
      <c r="B1660" s="5">
        <v>44408</v>
      </c>
      <c r="C1660" s="6" t="s">
        <v>18</v>
      </c>
      <c r="D1660" s="7">
        <v>25.23</v>
      </c>
      <c r="E1660" s="7">
        <v>23.672658999999999</v>
      </c>
      <c r="F1660" s="7">
        <v>25.5</v>
      </c>
      <c r="G1660" s="7">
        <v>25.17</v>
      </c>
      <c r="H1660" s="8">
        <f t="shared" si="26"/>
        <v>-1.5729790413990828E-2</v>
      </c>
    </row>
    <row r="1661" spans="2:8" x14ac:dyDescent="0.2">
      <c r="B1661" s="5">
        <v>44409</v>
      </c>
      <c r="C1661" s="6" t="s">
        <v>18</v>
      </c>
      <c r="D1661" s="7">
        <v>25</v>
      </c>
      <c r="E1661" s="7">
        <v>23.456856999999999</v>
      </c>
      <c r="F1661" s="7">
        <v>25.209999</v>
      </c>
      <c r="G1661" s="7">
        <v>24.799999</v>
      </c>
      <c r="H1661" s="8">
        <f t="shared" si="26"/>
        <v>-9.1578919766468411E-3</v>
      </c>
    </row>
    <row r="1662" spans="2:8" x14ac:dyDescent="0.2">
      <c r="B1662" s="5">
        <v>44412</v>
      </c>
      <c r="C1662" s="6" t="s">
        <v>18</v>
      </c>
      <c r="D1662" s="7">
        <v>25.17</v>
      </c>
      <c r="E1662" s="7">
        <v>23.616363</v>
      </c>
      <c r="F1662" s="7">
        <v>25.219999000000001</v>
      </c>
      <c r="G1662" s="7">
        <v>24.860001</v>
      </c>
      <c r="H1662" s="8">
        <f t="shared" si="26"/>
        <v>6.7769577042294344E-3</v>
      </c>
    </row>
    <row r="1663" spans="2:8" x14ac:dyDescent="0.2">
      <c r="B1663" s="5">
        <v>44413</v>
      </c>
      <c r="C1663" s="6" t="s">
        <v>18</v>
      </c>
      <c r="D1663" s="7">
        <v>24.969999000000001</v>
      </c>
      <c r="E1663" s="7">
        <v>23.428708</v>
      </c>
      <c r="F1663" s="7">
        <v>25.120000999999998</v>
      </c>
      <c r="G1663" s="7">
        <v>24.870000999999998</v>
      </c>
      <c r="H1663" s="8">
        <f t="shared" si="26"/>
        <v>-7.9777112147020289E-3</v>
      </c>
    </row>
    <row r="1664" spans="2:8" x14ac:dyDescent="0.2">
      <c r="B1664" s="5">
        <v>44414</v>
      </c>
      <c r="C1664" s="6" t="s">
        <v>18</v>
      </c>
      <c r="D1664" s="7">
        <v>24.93</v>
      </c>
      <c r="E1664" s="7">
        <v>23.391178</v>
      </c>
      <c r="F1664" s="7">
        <v>25.209999</v>
      </c>
      <c r="G1664" s="7">
        <v>24.85</v>
      </c>
      <c r="H1664" s="8">
        <f t="shared" si="26"/>
        <v>-1.6031652891299341E-3</v>
      </c>
    </row>
    <row r="1665" spans="2:8" x14ac:dyDescent="0.2">
      <c r="B1665" s="5">
        <v>44415</v>
      </c>
      <c r="C1665" s="6" t="s">
        <v>18</v>
      </c>
      <c r="D1665" s="7">
        <v>24.860001</v>
      </c>
      <c r="E1665" s="7">
        <v>23.325499000000001</v>
      </c>
      <c r="F1665" s="7">
        <v>25.110001</v>
      </c>
      <c r="G1665" s="7">
        <v>24.690000999999999</v>
      </c>
      <c r="H1665" s="8">
        <f t="shared" si="26"/>
        <v>-2.8118028717151839E-3</v>
      </c>
    </row>
    <row r="1666" spans="2:8" x14ac:dyDescent="0.2">
      <c r="B1666" s="5">
        <v>44416</v>
      </c>
      <c r="C1666" s="6" t="s">
        <v>18</v>
      </c>
      <c r="D1666" s="7">
        <v>25.030000999999999</v>
      </c>
      <c r="E1666" s="7">
        <v>23.485005000000001</v>
      </c>
      <c r="F1666" s="7">
        <v>25.059999000000001</v>
      </c>
      <c r="G1666" s="7">
        <v>24.74</v>
      </c>
      <c r="H1666" s="8">
        <f t="shared" si="26"/>
        <v>6.8149925214454638E-3</v>
      </c>
    </row>
    <row r="1667" spans="2:8" x14ac:dyDescent="0.2">
      <c r="B1667" s="5">
        <v>44419</v>
      </c>
      <c r="C1667" s="6" t="s">
        <v>18</v>
      </c>
      <c r="D1667" s="7">
        <v>25.23</v>
      </c>
      <c r="E1667" s="7">
        <v>23.672658999999999</v>
      </c>
      <c r="F1667" s="7">
        <v>25.370000999999998</v>
      </c>
      <c r="G1667" s="7">
        <v>25.01</v>
      </c>
      <c r="H1667" s="8">
        <f t="shared" si="26"/>
        <v>7.9586211265191345E-3</v>
      </c>
    </row>
    <row r="1668" spans="2:8" x14ac:dyDescent="0.2">
      <c r="B1668" s="5">
        <v>44420</v>
      </c>
      <c r="C1668" s="6" t="s">
        <v>18</v>
      </c>
      <c r="D1668" s="7">
        <v>25.15</v>
      </c>
      <c r="E1668" s="7">
        <v>23.597597</v>
      </c>
      <c r="F1668" s="7">
        <v>25.27</v>
      </c>
      <c r="G1668" s="7">
        <v>25</v>
      </c>
      <c r="H1668" s="8">
        <f t="shared" ref="H1668:H1731" si="27">IF(C1668=C1667, LN(E1668/E1667), "")</f>
        <v>-3.1758686938563414E-3</v>
      </c>
    </row>
    <row r="1669" spans="2:8" x14ac:dyDescent="0.2">
      <c r="B1669" s="5">
        <v>44421</v>
      </c>
      <c r="C1669" s="6" t="s">
        <v>18</v>
      </c>
      <c r="D1669" s="7">
        <v>25.200001</v>
      </c>
      <c r="E1669" s="7">
        <v>23.644511999999999</v>
      </c>
      <c r="F1669" s="7">
        <v>25.27</v>
      </c>
      <c r="G1669" s="7">
        <v>24.93</v>
      </c>
      <c r="H1669" s="8">
        <f t="shared" si="27"/>
        <v>1.9861524565946065E-3</v>
      </c>
    </row>
    <row r="1670" spans="2:8" x14ac:dyDescent="0.2">
      <c r="B1670" s="5">
        <v>44422</v>
      </c>
      <c r="C1670" s="6" t="s">
        <v>18</v>
      </c>
      <c r="D1670" s="7">
        <v>24.540001</v>
      </c>
      <c r="E1670" s="7">
        <v>23.025251000000001</v>
      </c>
      <c r="F1670" s="7">
        <v>24.940000999999999</v>
      </c>
      <c r="G1670" s="7">
        <v>24.32</v>
      </c>
      <c r="H1670" s="8">
        <f t="shared" si="27"/>
        <v>-2.6539553993738453E-2</v>
      </c>
    </row>
    <row r="1671" spans="2:8" x14ac:dyDescent="0.2">
      <c r="B1671" s="5">
        <v>44423</v>
      </c>
      <c r="C1671" s="6" t="s">
        <v>18</v>
      </c>
      <c r="D1671" s="7">
        <v>24.43</v>
      </c>
      <c r="E1671" s="7">
        <v>22.922041</v>
      </c>
      <c r="F1671" s="7">
        <v>24.66</v>
      </c>
      <c r="G1671" s="7">
        <v>24.27</v>
      </c>
      <c r="H1671" s="8">
        <f t="shared" si="27"/>
        <v>-4.4925465287634931E-3</v>
      </c>
    </row>
    <row r="1672" spans="2:8" x14ac:dyDescent="0.2">
      <c r="B1672" s="5">
        <v>44426</v>
      </c>
      <c r="C1672" s="6" t="s">
        <v>18</v>
      </c>
      <c r="D1672" s="7">
        <v>24.629999000000002</v>
      </c>
      <c r="E1672" s="7">
        <v>23.109694000000001</v>
      </c>
      <c r="F1672" s="7">
        <v>24.66</v>
      </c>
      <c r="G1672" s="7">
        <v>24.43</v>
      </c>
      <c r="H1672" s="8">
        <f t="shared" si="27"/>
        <v>8.1532464298798395E-3</v>
      </c>
    </row>
    <row r="1673" spans="2:8" x14ac:dyDescent="0.2">
      <c r="B1673" s="5">
        <v>44427</v>
      </c>
      <c r="C1673" s="6" t="s">
        <v>18</v>
      </c>
      <c r="D1673" s="7">
        <v>24.639999</v>
      </c>
      <c r="E1673" s="7">
        <v>23.119077000000001</v>
      </c>
      <c r="F1673" s="7">
        <v>24.690000999999999</v>
      </c>
      <c r="G1673" s="7">
        <v>24.6</v>
      </c>
      <c r="H1673" s="8">
        <f t="shared" si="27"/>
        <v>4.059376845146786E-4</v>
      </c>
    </row>
    <row r="1674" spans="2:8" x14ac:dyDescent="0.2">
      <c r="B1674" s="5">
        <v>44428</v>
      </c>
      <c r="C1674" s="6" t="s">
        <v>18</v>
      </c>
      <c r="D1674" s="7">
        <v>24.709999</v>
      </c>
      <c r="E1674" s="7">
        <v>23.184756</v>
      </c>
      <c r="F1674" s="7">
        <v>24.75</v>
      </c>
      <c r="G1674" s="7">
        <v>24.52</v>
      </c>
      <c r="H1674" s="8">
        <f t="shared" si="27"/>
        <v>2.8368728803887656E-3</v>
      </c>
    </row>
    <row r="1675" spans="2:8" x14ac:dyDescent="0.2">
      <c r="B1675" s="5">
        <v>44429</v>
      </c>
      <c r="C1675" s="6" t="s">
        <v>18</v>
      </c>
      <c r="D1675" s="7">
        <v>24.889999</v>
      </c>
      <c r="E1675" s="7">
        <v>23.353646000000001</v>
      </c>
      <c r="F1675" s="7">
        <v>24.91</v>
      </c>
      <c r="G1675" s="7">
        <v>24.719999000000001</v>
      </c>
      <c r="H1675" s="8">
        <f t="shared" si="27"/>
        <v>7.2581237934010298E-3</v>
      </c>
    </row>
    <row r="1676" spans="2:8" x14ac:dyDescent="0.2">
      <c r="B1676" s="5">
        <v>44430</v>
      </c>
      <c r="C1676" s="6" t="s">
        <v>18</v>
      </c>
      <c r="D1676" s="7">
        <v>24.65</v>
      </c>
      <c r="E1676" s="7">
        <v>23.12846</v>
      </c>
      <c r="F1676" s="7">
        <v>24.969999000000001</v>
      </c>
      <c r="G1676" s="7">
        <v>24.639999</v>
      </c>
      <c r="H1676" s="8">
        <f t="shared" si="27"/>
        <v>-9.6892237078157507E-3</v>
      </c>
    </row>
    <row r="1677" spans="2:8" x14ac:dyDescent="0.2">
      <c r="B1677" s="5">
        <v>44433</v>
      </c>
      <c r="C1677" s="6" t="s">
        <v>18</v>
      </c>
      <c r="D1677" s="7">
        <v>24.700001</v>
      </c>
      <c r="E1677" s="7">
        <v>23.175374999999999</v>
      </c>
      <c r="F1677" s="7">
        <v>24.84</v>
      </c>
      <c r="G1677" s="7">
        <v>24.690000999999999</v>
      </c>
      <c r="H1677" s="8">
        <f t="shared" si="27"/>
        <v>2.0263987228654788E-3</v>
      </c>
    </row>
    <row r="1678" spans="2:8" x14ac:dyDescent="0.2">
      <c r="B1678" s="5">
        <v>44434</v>
      </c>
      <c r="C1678" s="6" t="s">
        <v>18</v>
      </c>
      <c r="D1678" s="7">
        <v>24.809999000000001</v>
      </c>
      <c r="E1678" s="7">
        <v>23.278583999999999</v>
      </c>
      <c r="F1678" s="7">
        <v>24.93</v>
      </c>
      <c r="G1678" s="7">
        <v>24.67</v>
      </c>
      <c r="H1678" s="8">
        <f t="shared" si="27"/>
        <v>4.4435037202917044E-3</v>
      </c>
    </row>
    <row r="1679" spans="2:8" x14ac:dyDescent="0.2">
      <c r="B1679" s="5">
        <v>44435</v>
      </c>
      <c r="C1679" s="6" t="s">
        <v>18</v>
      </c>
      <c r="D1679" s="7">
        <v>24.799999</v>
      </c>
      <c r="E1679" s="7">
        <v>23.269200999999999</v>
      </c>
      <c r="F1679" s="7">
        <v>24.860001</v>
      </c>
      <c r="G1679" s="7">
        <v>24.709999</v>
      </c>
      <c r="H1679" s="8">
        <f t="shared" si="27"/>
        <v>-4.031556013712553E-4</v>
      </c>
    </row>
    <row r="1680" spans="2:8" x14ac:dyDescent="0.2">
      <c r="B1680" s="5">
        <v>44436</v>
      </c>
      <c r="C1680" s="6" t="s">
        <v>18</v>
      </c>
      <c r="D1680" s="7">
        <v>24.85</v>
      </c>
      <c r="E1680" s="7">
        <v>23.316116000000001</v>
      </c>
      <c r="F1680" s="7">
        <v>24.9</v>
      </c>
      <c r="G1680" s="7">
        <v>24.639999</v>
      </c>
      <c r="H1680" s="8">
        <f t="shared" si="27"/>
        <v>2.0141546256076566E-3</v>
      </c>
    </row>
    <row r="1681" spans="2:8" x14ac:dyDescent="0.2">
      <c r="B1681" s="5">
        <v>44437</v>
      </c>
      <c r="C1681" s="6" t="s">
        <v>18</v>
      </c>
      <c r="D1681" s="7">
        <v>24.99</v>
      </c>
      <c r="E1681" s="7">
        <v>23.447474</v>
      </c>
      <c r="F1681" s="7">
        <v>24.99</v>
      </c>
      <c r="G1681" s="7">
        <v>24.76</v>
      </c>
      <c r="H1681" s="8">
        <f t="shared" si="27"/>
        <v>5.6179752448165636E-3</v>
      </c>
    </row>
    <row r="1682" spans="2:8" x14ac:dyDescent="0.2">
      <c r="B1682" s="5">
        <v>44441</v>
      </c>
      <c r="C1682" s="6" t="s">
        <v>18</v>
      </c>
      <c r="D1682" s="7">
        <v>24.879999000000002</v>
      </c>
      <c r="E1682" s="7">
        <v>23.344263000000002</v>
      </c>
      <c r="F1682" s="7">
        <v>25</v>
      </c>
      <c r="G1682" s="7">
        <v>24.75</v>
      </c>
      <c r="H1682" s="8">
        <f t="shared" si="27"/>
        <v>-4.411512544883452E-3</v>
      </c>
    </row>
    <row r="1683" spans="2:8" x14ac:dyDescent="0.2">
      <c r="B1683" s="5">
        <v>44442</v>
      </c>
      <c r="C1683" s="6" t="s">
        <v>18</v>
      </c>
      <c r="D1683" s="7">
        <v>25.040001</v>
      </c>
      <c r="E1683" s="7">
        <v>23.494388000000001</v>
      </c>
      <c r="F1683" s="7">
        <v>25.129999000000002</v>
      </c>
      <c r="G1683" s="7">
        <v>24.92</v>
      </c>
      <c r="H1683" s="8">
        <f t="shared" si="27"/>
        <v>6.410326124943422E-3</v>
      </c>
    </row>
    <row r="1684" spans="2:8" x14ac:dyDescent="0.2">
      <c r="B1684" s="5">
        <v>44443</v>
      </c>
      <c r="C1684" s="6" t="s">
        <v>18</v>
      </c>
      <c r="D1684" s="7">
        <v>24.91</v>
      </c>
      <c r="E1684" s="7">
        <v>23.372412000000001</v>
      </c>
      <c r="F1684" s="7">
        <v>25.139999</v>
      </c>
      <c r="G1684" s="7">
        <v>24.83</v>
      </c>
      <c r="H1684" s="8">
        <f t="shared" si="27"/>
        <v>-5.2052316525041673E-3</v>
      </c>
    </row>
    <row r="1685" spans="2:8" x14ac:dyDescent="0.2">
      <c r="B1685" s="5">
        <v>44444</v>
      </c>
      <c r="C1685" s="6" t="s">
        <v>18</v>
      </c>
      <c r="D1685" s="7">
        <v>25</v>
      </c>
      <c r="E1685" s="7">
        <v>23.456856999999999</v>
      </c>
      <c r="F1685" s="7">
        <v>25.07</v>
      </c>
      <c r="G1685" s="7">
        <v>24.860001</v>
      </c>
      <c r="H1685" s="8">
        <f t="shared" si="27"/>
        <v>3.6065090629823506E-3</v>
      </c>
    </row>
    <row r="1686" spans="2:8" x14ac:dyDescent="0.2">
      <c r="B1686" s="5">
        <v>44447</v>
      </c>
      <c r="C1686" s="6" t="s">
        <v>18</v>
      </c>
      <c r="D1686" s="7">
        <v>24.950001</v>
      </c>
      <c r="E1686" s="7">
        <v>23.409943999999999</v>
      </c>
      <c r="F1686" s="7">
        <v>25.09</v>
      </c>
      <c r="G1686" s="7">
        <v>24.809999000000001</v>
      </c>
      <c r="H1686" s="8">
        <f t="shared" si="27"/>
        <v>-2.0019721708132805E-3</v>
      </c>
    </row>
    <row r="1687" spans="2:8" x14ac:dyDescent="0.2">
      <c r="B1687" s="5">
        <v>44448</v>
      </c>
      <c r="C1687" s="6" t="s">
        <v>18</v>
      </c>
      <c r="D1687" s="7">
        <v>24.860001</v>
      </c>
      <c r="E1687" s="7">
        <v>23.325499000000001</v>
      </c>
      <c r="F1687" s="7">
        <v>24.969999000000001</v>
      </c>
      <c r="G1687" s="7">
        <v>24.6</v>
      </c>
      <c r="H1687" s="8">
        <f t="shared" si="27"/>
        <v>-3.6137495005046185E-3</v>
      </c>
    </row>
    <row r="1688" spans="2:8" x14ac:dyDescent="0.2">
      <c r="B1688" s="5">
        <v>44449</v>
      </c>
      <c r="C1688" s="6" t="s">
        <v>18</v>
      </c>
      <c r="D1688" s="7">
        <v>24.93</v>
      </c>
      <c r="E1688" s="7">
        <v>23.391178</v>
      </c>
      <c r="F1688" s="7">
        <v>25</v>
      </c>
      <c r="G1688" s="7">
        <v>24.84</v>
      </c>
      <c r="H1688" s="8">
        <f t="shared" si="27"/>
        <v>2.8118028717152932E-3</v>
      </c>
    </row>
    <row r="1689" spans="2:8" x14ac:dyDescent="0.2">
      <c r="B1689" s="5">
        <v>44450</v>
      </c>
      <c r="C1689" s="6" t="s">
        <v>18</v>
      </c>
      <c r="D1689" s="7">
        <v>25.18</v>
      </c>
      <c r="E1689" s="7">
        <v>23.625745999999999</v>
      </c>
      <c r="F1689" s="7">
        <v>25.200001</v>
      </c>
      <c r="G1689" s="7">
        <v>24.85</v>
      </c>
      <c r="H1689" s="8">
        <f t="shared" si="27"/>
        <v>9.9781068697913349E-3</v>
      </c>
    </row>
    <row r="1690" spans="2:8" x14ac:dyDescent="0.2">
      <c r="B1690" s="5">
        <v>44451</v>
      </c>
      <c r="C1690" s="6" t="s">
        <v>18</v>
      </c>
      <c r="D1690" s="7">
        <v>25.16</v>
      </c>
      <c r="E1690" s="7">
        <v>23.60698</v>
      </c>
      <c r="F1690" s="7">
        <v>25.26</v>
      </c>
      <c r="G1690" s="7">
        <v>25.07</v>
      </c>
      <c r="H1690" s="8">
        <f t="shared" si="27"/>
        <v>-7.9461858658899621E-4</v>
      </c>
    </row>
    <row r="1691" spans="2:8" x14ac:dyDescent="0.2">
      <c r="B1691" s="5">
        <v>44454</v>
      </c>
      <c r="C1691" s="6" t="s">
        <v>18</v>
      </c>
      <c r="D1691" s="7">
        <v>25.059999000000001</v>
      </c>
      <c r="E1691" s="7">
        <v>23.513152999999999</v>
      </c>
      <c r="F1691" s="7">
        <v>25.09</v>
      </c>
      <c r="G1691" s="7">
        <v>24.870000999999998</v>
      </c>
      <c r="H1691" s="8">
        <f t="shared" si="27"/>
        <v>-3.9824643113023266E-3</v>
      </c>
    </row>
    <row r="1692" spans="2:8" x14ac:dyDescent="0.2">
      <c r="B1692" s="5">
        <v>44455</v>
      </c>
      <c r="C1692" s="6" t="s">
        <v>18</v>
      </c>
      <c r="D1692" s="7">
        <v>25.219999000000001</v>
      </c>
      <c r="E1692" s="7">
        <v>23.663276</v>
      </c>
      <c r="F1692" s="7">
        <v>25.42</v>
      </c>
      <c r="G1692" s="7">
        <v>24.98</v>
      </c>
      <c r="H1692" s="8">
        <f t="shared" si="27"/>
        <v>6.3643438008305466E-3</v>
      </c>
    </row>
    <row r="1693" spans="2:8" x14ac:dyDescent="0.2">
      <c r="B1693" s="5">
        <v>44456</v>
      </c>
      <c r="C1693" s="6" t="s">
        <v>18</v>
      </c>
      <c r="D1693" s="7">
        <v>25.209999</v>
      </c>
      <c r="E1693" s="7">
        <v>23.653893</v>
      </c>
      <c r="F1693" s="7">
        <v>25.309999000000001</v>
      </c>
      <c r="G1693" s="7">
        <v>25.07</v>
      </c>
      <c r="H1693" s="8">
        <f t="shared" si="27"/>
        <v>-3.9660023290860976E-4</v>
      </c>
    </row>
    <row r="1694" spans="2:8" x14ac:dyDescent="0.2">
      <c r="B1694" s="5">
        <v>44457</v>
      </c>
      <c r="C1694" s="6" t="s">
        <v>18</v>
      </c>
      <c r="D1694" s="7">
        <v>25.219999000000001</v>
      </c>
      <c r="E1694" s="7">
        <v>23.663276</v>
      </c>
      <c r="F1694" s="7">
        <v>25.27</v>
      </c>
      <c r="G1694" s="7">
        <v>25.15</v>
      </c>
      <c r="H1694" s="8">
        <f t="shared" si="27"/>
        <v>3.9660023290854341E-4</v>
      </c>
    </row>
    <row r="1695" spans="2:8" x14ac:dyDescent="0.2">
      <c r="B1695" s="5">
        <v>44458</v>
      </c>
      <c r="C1695" s="6" t="s">
        <v>18</v>
      </c>
      <c r="D1695" s="7">
        <v>25.200001</v>
      </c>
      <c r="E1695" s="7">
        <v>23.644511999999999</v>
      </c>
      <c r="F1695" s="7">
        <v>25.299999</v>
      </c>
      <c r="G1695" s="7">
        <v>25.01</v>
      </c>
      <c r="H1695" s="8">
        <f t="shared" si="27"/>
        <v>-7.9327323374275079E-4</v>
      </c>
    </row>
    <row r="1696" spans="2:8" x14ac:dyDescent="0.2">
      <c r="B1696" s="5">
        <v>44461</v>
      </c>
      <c r="C1696" s="6" t="s">
        <v>18</v>
      </c>
      <c r="D1696" s="7">
        <v>24.969999000000001</v>
      </c>
      <c r="E1696" s="7">
        <v>23.428708</v>
      </c>
      <c r="F1696" s="7">
        <v>25.190000999999999</v>
      </c>
      <c r="G1696" s="7">
        <v>24.860001</v>
      </c>
      <c r="H1696" s="8">
        <f t="shared" si="27"/>
        <v>-9.1689292498576564E-3</v>
      </c>
    </row>
    <row r="1697" spans="2:8" x14ac:dyDescent="0.2">
      <c r="B1697" s="5">
        <v>44462</v>
      </c>
      <c r="C1697" s="6" t="s">
        <v>18</v>
      </c>
      <c r="D1697" s="7">
        <v>24.700001</v>
      </c>
      <c r="E1697" s="7">
        <v>23.175374999999999</v>
      </c>
      <c r="F1697" s="7">
        <v>25.030000999999999</v>
      </c>
      <c r="G1697" s="7">
        <v>24.67</v>
      </c>
      <c r="H1697" s="8">
        <f t="shared" si="27"/>
        <v>-1.0871815469410131E-2</v>
      </c>
    </row>
    <row r="1698" spans="2:8" x14ac:dyDescent="0.2">
      <c r="B1698" s="5">
        <v>44463</v>
      </c>
      <c r="C1698" s="6" t="s">
        <v>18</v>
      </c>
      <c r="D1698" s="7">
        <v>24.98</v>
      </c>
      <c r="E1698" s="7">
        <v>23.438091</v>
      </c>
      <c r="F1698" s="7">
        <v>25.040001</v>
      </c>
      <c r="G1698" s="7">
        <v>24.629999000000002</v>
      </c>
      <c r="H1698" s="8">
        <f t="shared" si="27"/>
        <v>1.1272226861933927E-2</v>
      </c>
    </row>
    <row r="1699" spans="2:8" x14ac:dyDescent="0.2">
      <c r="B1699" s="5">
        <v>44464</v>
      </c>
      <c r="C1699" s="6" t="s">
        <v>18</v>
      </c>
      <c r="D1699" s="7">
        <v>24.540001</v>
      </c>
      <c r="E1699" s="7">
        <v>23.025251000000001</v>
      </c>
      <c r="F1699" s="7">
        <v>24.959999</v>
      </c>
      <c r="G1699" s="7">
        <v>24.5</v>
      </c>
      <c r="H1699" s="8">
        <f t="shared" si="27"/>
        <v>-1.7771036136404648E-2</v>
      </c>
    </row>
    <row r="1700" spans="2:8" x14ac:dyDescent="0.2">
      <c r="B1700" s="5">
        <v>44465</v>
      </c>
      <c r="C1700" s="6" t="s">
        <v>18</v>
      </c>
      <c r="D1700" s="7">
        <v>25</v>
      </c>
      <c r="E1700" s="7">
        <v>23.456856999999999</v>
      </c>
      <c r="F1700" s="7">
        <v>25.09</v>
      </c>
      <c r="G1700" s="7">
        <v>24.459999</v>
      </c>
      <c r="H1700" s="8">
        <f t="shared" si="27"/>
        <v>1.8571378254353444E-2</v>
      </c>
    </row>
    <row r="1701" spans="2:8" x14ac:dyDescent="0.2">
      <c r="B1701" s="5">
        <v>44468</v>
      </c>
      <c r="C1701" s="6" t="s">
        <v>18</v>
      </c>
      <c r="D1701" s="7">
        <v>25.120000999999998</v>
      </c>
      <c r="E1701" s="7">
        <v>23.56945</v>
      </c>
      <c r="F1701" s="7">
        <v>25.200001</v>
      </c>
      <c r="G1701" s="7">
        <v>24.73</v>
      </c>
      <c r="H1701" s="8">
        <f t="shared" si="27"/>
        <v>4.7885203975594906E-3</v>
      </c>
    </row>
    <row r="1702" spans="2:8" x14ac:dyDescent="0.2">
      <c r="B1702" s="5">
        <v>44469</v>
      </c>
      <c r="C1702" s="6" t="s">
        <v>18</v>
      </c>
      <c r="D1702" s="7">
        <v>25.17</v>
      </c>
      <c r="E1702" s="7">
        <v>23.796353</v>
      </c>
      <c r="F1702" s="7">
        <v>25.25</v>
      </c>
      <c r="G1702" s="7">
        <v>24.85</v>
      </c>
      <c r="H1702" s="8">
        <f t="shared" si="27"/>
        <v>9.5809517133643024E-3</v>
      </c>
    </row>
    <row r="1703" spans="2:8" x14ac:dyDescent="0.2">
      <c r="B1703" s="5">
        <v>44470</v>
      </c>
      <c r="C1703" s="6" t="s">
        <v>18</v>
      </c>
      <c r="D1703" s="7">
        <v>25.030000999999999</v>
      </c>
      <c r="E1703" s="7">
        <v>23.663993999999999</v>
      </c>
      <c r="F1703" s="7">
        <v>25.25</v>
      </c>
      <c r="G1703" s="7">
        <v>24.940000999999999</v>
      </c>
      <c r="H1703" s="8">
        <f t="shared" si="27"/>
        <v>-5.5776812228681407E-3</v>
      </c>
    </row>
    <row r="1704" spans="2:8" x14ac:dyDescent="0.2">
      <c r="B1704" s="5">
        <v>44471</v>
      </c>
      <c r="C1704" s="6" t="s">
        <v>18</v>
      </c>
      <c r="D1704" s="7">
        <v>25.059999000000001</v>
      </c>
      <c r="E1704" s="7">
        <v>23.692354999999999</v>
      </c>
      <c r="F1704" s="7">
        <v>25.110001</v>
      </c>
      <c r="G1704" s="7">
        <v>24.75</v>
      </c>
      <c r="H1704" s="8">
        <f t="shared" si="27"/>
        <v>1.1977698445749512E-3</v>
      </c>
    </row>
    <row r="1705" spans="2:8" x14ac:dyDescent="0.2">
      <c r="B1705" s="5">
        <v>44472</v>
      </c>
      <c r="C1705" s="6" t="s">
        <v>18</v>
      </c>
      <c r="D1705" s="7">
        <v>25.309999000000001</v>
      </c>
      <c r="E1705" s="7">
        <v>23.928712000000001</v>
      </c>
      <c r="F1705" s="7">
        <v>25.370000999999998</v>
      </c>
      <c r="G1705" s="7">
        <v>25.040001</v>
      </c>
      <c r="H1705" s="8">
        <f t="shared" si="27"/>
        <v>9.9266545561271201E-3</v>
      </c>
    </row>
    <row r="1706" spans="2:8" x14ac:dyDescent="0.2">
      <c r="B1706" s="5">
        <v>44475</v>
      </c>
      <c r="C1706" s="6" t="s">
        <v>18</v>
      </c>
      <c r="D1706" s="7">
        <v>25.01</v>
      </c>
      <c r="E1706" s="7">
        <v>23.645085000000002</v>
      </c>
      <c r="F1706" s="7">
        <v>25.42</v>
      </c>
      <c r="G1706" s="7">
        <v>24.959999</v>
      </c>
      <c r="H1706" s="8">
        <f t="shared" si="27"/>
        <v>-1.1923805889693438E-2</v>
      </c>
    </row>
    <row r="1707" spans="2:8" x14ac:dyDescent="0.2">
      <c r="B1707" s="5">
        <v>44476</v>
      </c>
      <c r="C1707" s="6" t="s">
        <v>18</v>
      </c>
      <c r="D1707" s="7">
        <v>24.639999</v>
      </c>
      <c r="E1707" s="7">
        <v>23.295276999999999</v>
      </c>
      <c r="F1707" s="7">
        <v>25.25</v>
      </c>
      <c r="G1707" s="7">
        <v>24.59</v>
      </c>
      <c r="H1707" s="8">
        <f t="shared" si="27"/>
        <v>-1.4904634767935333E-2</v>
      </c>
    </row>
    <row r="1708" spans="2:8" x14ac:dyDescent="0.2">
      <c r="B1708" s="5">
        <v>44477</v>
      </c>
      <c r="C1708" s="6" t="s">
        <v>18</v>
      </c>
      <c r="D1708" s="7">
        <v>24.66</v>
      </c>
      <c r="E1708" s="7">
        <v>23.314185999999999</v>
      </c>
      <c r="F1708" s="7">
        <v>24.68</v>
      </c>
      <c r="G1708" s="7">
        <v>24.18</v>
      </c>
      <c r="H1708" s="8">
        <f t="shared" si="27"/>
        <v>8.1138034297351157E-4</v>
      </c>
    </row>
    <row r="1709" spans="2:8" x14ac:dyDescent="0.2">
      <c r="B1709" s="5">
        <v>44478</v>
      </c>
      <c r="C1709" s="6" t="s">
        <v>18</v>
      </c>
      <c r="D1709" s="7">
        <v>24.190000999999999</v>
      </c>
      <c r="E1709" s="7">
        <v>22.869835999999999</v>
      </c>
      <c r="F1709" s="7">
        <v>24.639999</v>
      </c>
      <c r="G1709" s="7">
        <v>24.18</v>
      </c>
      <c r="H1709" s="8">
        <f t="shared" si="27"/>
        <v>-1.9243179462115952E-2</v>
      </c>
    </row>
    <row r="1710" spans="2:8" x14ac:dyDescent="0.2">
      <c r="B1710" s="5">
        <v>44479</v>
      </c>
      <c r="C1710" s="6" t="s">
        <v>18</v>
      </c>
      <c r="D1710" s="7">
        <v>23.34</v>
      </c>
      <c r="E1710" s="7">
        <v>22.066224999999999</v>
      </c>
      <c r="F1710" s="7">
        <v>24.01</v>
      </c>
      <c r="G1710" s="7">
        <v>23.34</v>
      </c>
      <c r="H1710" s="8">
        <f t="shared" si="27"/>
        <v>-3.5770678073839095E-2</v>
      </c>
    </row>
    <row r="1711" spans="2:8" x14ac:dyDescent="0.2">
      <c r="B1711" s="5">
        <v>44482</v>
      </c>
      <c r="C1711" s="6" t="s">
        <v>18</v>
      </c>
      <c r="D1711" s="7">
        <v>22.93</v>
      </c>
      <c r="E1711" s="7">
        <v>21.678599999999999</v>
      </c>
      <c r="F1711" s="7">
        <v>23.450001</v>
      </c>
      <c r="G1711" s="7">
        <v>22.93</v>
      </c>
      <c r="H1711" s="8">
        <f t="shared" si="27"/>
        <v>-1.7722560128215544E-2</v>
      </c>
    </row>
    <row r="1712" spans="2:8" x14ac:dyDescent="0.2">
      <c r="B1712" s="5">
        <v>44483</v>
      </c>
      <c r="C1712" s="6" t="s">
        <v>18</v>
      </c>
      <c r="D1712" s="7">
        <v>23.059999000000001</v>
      </c>
      <c r="E1712" s="7">
        <v>21.801504999999999</v>
      </c>
      <c r="F1712" s="7">
        <v>23.35</v>
      </c>
      <c r="G1712" s="7">
        <v>22.959999</v>
      </c>
      <c r="H1712" s="8">
        <f t="shared" si="27"/>
        <v>5.6534052687756799E-3</v>
      </c>
    </row>
    <row r="1713" spans="2:8" x14ac:dyDescent="0.2">
      <c r="B1713" s="5">
        <v>44484</v>
      </c>
      <c r="C1713" s="6" t="s">
        <v>18</v>
      </c>
      <c r="D1713" s="7">
        <v>22.959999</v>
      </c>
      <c r="E1713" s="7">
        <v>21.706962000000001</v>
      </c>
      <c r="F1713" s="7">
        <v>23.15</v>
      </c>
      <c r="G1713" s="7">
        <v>22.49</v>
      </c>
      <c r="H1713" s="8">
        <f t="shared" si="27"/>
        <v>-4.345965524643074E-3</v>
      </c>
    </row>
    <row r="1714" spans="2:8" x14ac:dyDescent="0.2">
      <c r="B1714" s="5">
        <v>44485</v>
      </c>
      <c r="C1714" s="6" t="s">
        <v>18</v>
      </c>
      <c r="D1714" s="7">
        <v>22.82</v>
      </c>
      <c r="E1714" s="7">
        <v>21.574603</v>
      </c>
      <c r="F1714" s="7">
        <v>23.08</v>
      </c>
      <c r="G1714" s="7">
        <v>22.559999000000001</v>
      </c>
      <c r="H1714" s="8">
        <f t="shared" si="27"/>
        <v>-6.1162027115311416E-3</v>
      </c>
    </row>
    <row r="1715" spans="2:8" x14ac:dyDescent="0.2">
      <c r="B1715" s="5">
        <v>44486</v>
      </c>
      <c r="C1715" s="6" t="s">
        <v>18</v>
      </c>
      <c r="D1715" s="7">
        <v>23.25</v>
      </c>
      <c r="E1715" s="7">
        <v>21.981135999999999</v>
      </c>
      <c r="F1715" s="7">
        <v>23.33</v>
      </c>
      <c r="G1715" s="7">
        <v>22.92</v>
      </c>
      <c r="H1715" s="8">
        <f t="shared" si="27"/>
        <v>1.8667795115241911E-2</v>
      </c>
    </row>
    <row r="1716" spans="2:8" x14ac:dyDescent="0.2">
      <c r="B1716" s="5">
        <v>44489</v>
      </c>
      <c r="C1716" s="6" t="s">
        <v>18</v>
      </c>
      <c r="D1716" s="7">
        <v>22.93</v>
      </c>
      <c r="E1716" s="7">
        <v>21.678599999999999</v>
      </c>
      <c r="F1716" s="7">
        <v>23.08</v>
      </c>
      <c r="G1716" s="7">
        <v>22.690000999999999</v>
      </c>
      <c r="H1716" s="8">
        <f t="shared" si="27"/>
        <v>-1.385903214784342E-2</v>
      </c>
    </row>
    <row r="1717" spans="2:8" x14ac:dyDescent="0.2">
      <c r="B1717" s="5">
        <v>44490</v>
      </c>
      <c r="C1717" s="6" t="s">
        <v>18</v>
      </c>
      <c r="D1717" s="7">
        <v>23.51</v>
      </c>
      <c r="E1717" s="7">
        <v>22.226946999999999</v>
      </c>
      <c r="F1717" s="7">
        <v>23.6</v>
      </c>
      <c r="G1717" s="7">
        <v>22.959999</v>
      </c>
      <c r="H1717" s="8">
        <f t="shared" si="27"/>
        <v>2.4979782771859263E-2</v>
      </c>
    </row>
    <row r="1718" spans="2:8" x14ac:dyDescent="0.2">
      <c r="B1718" s="5">
        <v>44491</v>
      </c>
      <c r="C1718" s="6" t="s">
        <v>18</v>
      </c>
      <c r="D1718" s="7">
        <v>23.26</v>
      </c>
      <c r="E1718" s="7">
        <v>21.990590999999998</v>
      </c>
      <c r="F1718" s="7">
        <v>23.68</v>
      </c>
      <c r="G1718" s="7">
        <v>23.24</v>
      </c>
      <c r="H1718" s="8">
        <f t="shared" si="27"/>
        <v>-1.0690701554270654E-2</v>
      </c>
    </row>
    <row r="1719" spans="2:8" x14ac:dyDescent="0.2">
      <c r="B1719" s="5">
        <v>44492</v>
      </c>
      <c r="C1719" s="6" t="s">
        <v>18</v>
      </c>
      <c r="D1719" s="7">
        <v>23.57</v>
      </c>
      <c r="E1719" s="7">
        <v>22.283671999999999</v>
      </c>
      <c r="F1719" s="7">
        <v>23.76</v>
      </c>
      <c r="G1719" s="7">
        <v>23.42</v>
      </c>
      <c r="H1719" s="8">
        <f t="shared" si="27"/>
        <v>1.3239532911106522E-2</v>
      </c>
    </row>
    <row r="1720" spans="2:8" x14ac:dyDescent="0.2">
      <c r="B1720" s="5">
        <v>44493</v>
      </c>
      <c r="C1720" s="6" t="s">
        <v>18</v>
      </c>
      <c r="D1720" s="7">
        <v>23.780000999999999</v>
      </c>
      <c r="E1720" s="7">
        <v>22.482212000000001</v>
      </c>
      <c r="F1720" s="7">
        <v>23.799999</v>
      </c>
      <c r="G1720" s="7">
        <v>23.459999</v>
      </c>
      <c r="H1720" s="8">
        <f t="shared" si="27"/>
        <v>8.8702057918931508E-3</v>
      </c>
    </row>
    <row r="1721" spans="2:8" x14ac:dyDescent="0.2">
      <c r="B1721" s="5">
        <v>44496</v>
      </c>
      <c r="C1721" s="6" t="s">
        <v>18</v>
      </c>
      <c r="D1721" s="7">
        <v>23.76</v>
      </c>
      <c r="E1721" s="7">
        <v>22.463303</v>
      </c>
      <c r="F1721" s="7">
        <v>23.809999000000001</v>
      </c>
      <c r="G1721" s="7">
        <v>23.6</v>
      </c>
      <c r="H1721" s="8">
        <f t="shared" si="27"/>
        <v>-8.4141882079269848E-4</v>
      </c>
    </row>
    <row r="1722" spans="2:8" x14ac:dyDescent="0.2">
      <c r="B1722" s="5">
        <v>44497</v>
      </c>
      <c r="C1722" s="6" t="s">
        <v>18</v>
      </c>
      <c r="D1722" s="7">
        <v>24.07</v>
      </c>
      <c r="E1722" s="7">
        <v>22.756385000000002</v>
      </c>
      <c r="F1722" s="7">
        <v>24.07</v>
      </c>
      <c r="G1722" s="7">
        <v>23.82</v>
      </c>
      <c r="H1722" s="8">
        <f t="shared" si="27"/>
        <v>1.2962765419765918E-2</v>
      </c>
    </row>
    <row r="1723" spans="2:8" x14ac:dyDescent="0.2">
      <c r="B1723" s="5">
        <v>44498</v>
      </c>
      <c r="C1723" s="6" t="s">
        <v>18</v>
      </c>
      <c r="D1723" s="7">
        <v>24.1</v>
      </c>
      <c r="E1723" s="7">
        <v>22.784748</v>
      </c>
      <c r="F1723" s="7">
        <v>24.299999</v>
      </c>
      <c r="G1723" s="7">
        <v>23.92</v>
      </c>
      <c r="H1723" s="8">
        <f t="shared" si="27"/>
        <v>1.2455993866969197E-3</v>
      </c>
    </row>
    <row r="1724" spans="2:8" x14ac:dyDescent="0.2">
      <c r="B1724" s="5">
        <v>44499</v>
      </c>
      <c r="C1724" s="6" t="s">
        <v>18</v>
      </c>
      <c r="D1724" s="7">
        <v>24.08</v>
      </c>
      <c r="E1724" s="7">
        <v>22.765839</v>
      </c>
      <c r="F1724" s="7">
        <v>24.15</v>
      </c>
      <c r="G1724" s="7">
        <v>23.879999000000002</v>
      </c>
      <c r="H1724" s="8">
        <f t="shared" si="27"/>
        <v>-8.3024181823021883E-4</v>
      </c>
    </row>
    <row r="1725" spans="2:8" x14ac:dyDescent="0.2">
      <c r="B1725" s="5">
        <v>44500</v>
      </c>
      <c r="C1725" s="6" t="s">
        <v>18</v>
      </c>
      <c r="D1725" s="7">
        <v>24.469999000000001</v>
      </c>
      <c r="E1725" s="7">
        <v>23.134554000000001</v>
      </c>
      <c r="F1725" s="7">
        <v>24.639999</v>
      </c>
      <c r="G1725" s="7">
        <v>24.18</v>
      </c>
      <c r="H1725" s="8">
        <f t="shared" si="27"/>
        <v>1.6066221094527638E-2</v>
      </c>
    </row>
    <row r="1726" spans="2:8" x14ac:dyDescent="0.2">
      <c r="B1726" s="5">
        <v>44503</v>
      </c>
      <c r="C1726" s="6" t="s">
        <v>18</v>
      </c>
      <c r="D1726" s="7">
        <v>24.58</v>
      </c>
      <c r="E1726" s="7">
        <v>23.238551999999999</v>
      </c>
      <c r="F1726" s="7">
        <v>24.59</v>
      </c>
      <c r="G1726" s="7">
        <v>24.450001</v>
      </c>
      <c r="H1726" s="8">
        <f t="shared" si="27"/>
        <v>4.4852796511095873E-3</v>
      </c>
    </row>
    <row r="1727" spans="2:8" x14ac:dyDescent="0.2">
      <c r="B1727" s="5">
        <v>44504</v>
      </c>
      <c r="C1727" s="6" t="s">
        <v>18</v>
      </c>
      <c r="D1727" s="7">
        <v>24.879999000000002</v>
      </c>
      <c r="E1727" s="7">
        <v>23.522178</v>
      </c>
      <c r="F1727" s="7">
        <v>24.91</v>
      </c>
      <c r="G1727" s="7">
        <v>24.58</v>
      </c>
      <c r="H1727" s="8">
        <f t="shared" si="27"/>
        <v>1.2131097109680539E-2</v>
      </c>
    </row>
    <row r="1728" spans="2:8" x14ac:dyDescent="0.2">
      <c r="B1728" s="5">
        <v>44505</v>
      </c>
      <c r="C1728" s="6" t="s">
        <v>18</v>
      </c>
      <c r="D1728" s="7">
        <v>25.15</v>
      </c>
      <c r="E1728" s="7">
        <v>23.777443999999999</v>
      </c>
      <c r="F1728" s="7">
        <v>25.17</v>
      </c>
      <c r="G1728" s="7">
        <v>24.84</v>
      </c>
      <c r="H1728" s="8">
        <f t="shared" si="27"/>
        <v>1.079367941999127E-2</v>
      </c>
    </row>
    <row r="1729" spans="2:8" x14ac:dyDescent="0.2">
      <c r="B1729" s="5">
        <v>44506</v>
      </c>
      <c r="C1729" s="6" t="s">
        <v>18</v>
      </c>
      <c r="D1729" s="7">
        <v>25.26</v>
      </c>
      <c r="E1729" s="7">
        <v>23.881440999999999</v>
      </c>
      <c r="F1729" s="7">
        <v>25.280000999999999</v>
      </c>
      <c r="G1729" s="7">
        <v>25.02</v>
      </c>
      <c r="H1729" s="8">
        <f t="shared" si="27"/>
        <v>4.3642298834677077E-3</v>
      </c>
    </row>
    <row r="1730" spans="2:8" x14ac:dyDescent="0.2">
      <c r="B1730" s="5">
        <v>44507</v>
      </c>
      <c r="C1730" s="6" t="s">
        <v>18</v>
      </c>
      <c r="D1730" s="7">
        <v>25.33</v>
      </c>
      <c r="E1730" s="7">
        <v>23.947621000000002</v>
      </c>
      <c r="F1730" s="7">
        <v>25.4</v>
      </c>
      <c r="G1730" s="7">
        <v>25.16</v>
      </c>
      <c r="H1730" s="8">
        <f t="shared" si="27"/>
        <v>2.767356894238202E-3</v>
      </c>
    </row>
    <row r="1731" spans="2:8" x14ac:dyDescent="0.2">
      <c r="B1731" s="5">
        <v>44510</v>
      </c>
      <c r="C1731" s="6" t="s">
        <v>18</v>
      </c>
      <c r="D1731" s="7">
        <v>25.15</v>
      </c>
      <c r="E1731" s="7">
        <v>23.777443999999999</v>
      </c>
      <c r="F1731" s="7">
        <v>25.23</v>
      </c>
      <c r="G1731" s="7">
        <v>24.879999000000002</v>
      </c>
      <c r="H1731" s="8">
        <f t="shared" si="27"/>
        <v>-7.1315867777058837E-3</v>
      </c>
    </row>
    <row r="1732" spans="2:8" x14ac:dyDescent="0.2">
      <c r="B1732" s="5">
        <v>44511</v>
      </c>
      <c r="C1732" s="6" t="s">
        <v>18</v>
      </c>
      <c r="D1732" s="7">
        <v>25.15</v>
      </c>
      <c r="E1732" s="7">
        <v>23.777443999999999</v>
      </c>
      <c r="F1732" s="7">
        <v>25.209999</v>
      </c>
      <c r="G1732" s="7">
        <v>25.02</v>
      </c>
      <c r="H1732" s="8">
        <f t="shared" ref="H1732:H1795" si="28">IF(C1732=C1731, LN(E1732/E1731), "")</f>
        <v>0</v>
      </c>
    </row>
    <row r="1733" spans="2:8" x14ac:dyDescent="0.2">
      <c r="B1733" s="5">
        <v>44512</v>
      </c>
      <c r="C1733" s="6" t="s">
        <v>18</v>
      </c>
      <c r="D1733" s="7">
        <v>25.110001</v>
      </c>
      <c r="E1733" s="7">
        <v>23.739628</v>
      </c>
      <c r="F1733" s="7">
        <v>25.190000999999999</v>
      </c>
      <c r="G1733" s="7">
        <v>24.879999000000002</v>
      </c>
      <c r="H1733" s="8">
        <f t="shared" si="28"/>
        <v>-1.5916809008660452E-3</v>
      </c>
    </row>
    <row r="1734" spans="2:8" x14ac:dyDescent="0.2">
      <c r="B1734" s="5">
        <v>44513</v>
      </c>
      <c r="C1734" s="6" t="s">
        <v>18</v>
      </c>
      <c r="D1734" s="7">
        <v>25.68</v>
      </c>
      <c r="E1734" s="7">
        <v>24.27852</v>
      </c>
      <c r="F1734" s="7">
        <v>25.889999</v>
      </c>
      <c r="G1734" s="7">
        <v>24.879999000000002</v>
      </c>
      <c r="H1734" s="8">
        <f t="shared" si="28"/>
        <v>2.2446289511425244E-2</v>
      </c>
    </row>
    <row r="1735" spans="2:8" x14ac:dyDescent="0.2">
      <c r="B1735" s="5">
        <v>44514</v>
      </c>
      <c r="C1735" s="6" t="s">
        <v>18</v>
      </c>
      <c r="D1735" s="7">
        <v>26.32</v>
      </c>
      <c r="E1735" s="7">
        <v>24.883590999999999</v>
      </c>
      <c r="F1735" s="7">
        <v>26.34</v>
      </c>
      <c r="G1735" s="7">
        <v>25.65</v>
      </c>
      <c r="H1735" s="8">
        <f t="shared" si="28"/>
        <v>2.4616581438941486E-2</v>
      </c>
    </row>
    <row r="1736" spans="2:8" x14ac:dyDescent="0.2">
      <c r="B1736" s="5">
        <v>44517</v>
      </c>
      <c r="C1736" s="6" t="s">
        <v>18</v>
      </c>
      <c r="D1736" s="7">
        <v>26.469999000000001</v>
      </c>
      <c r="E1736" s="7">
        <v>25.025404999999999</v>
      </c>
      <c r="F1736" s="7">
        <v>26.549999</v>
      </c>
      <c r="G1736" s="7">
        <v>26</v>
      </c>
      <c r="H1736" s="8">
        <f t="shared" si="28"/>
        <v>5.6829186330811876E-3</v>
      </c>
    </row>
    <row r="1737" spans="2:8" x14ac:dyDescent="0.2">
      <c r="B1737" s="5">
        <v>44518</v>
      </c>
      <c r="C1737" s="6" t="s">
        <v>18</v>
      </c>
      <c r="D1737" s="7">
        <v>26.6</v>
      </c>
      <c r="E1737" s="7">
        <v>25.148311</v>
      </c>
      <c r="F1737" s="7">
        <v>26.74</v>
      </c>
      <c r="G1737" s="7">
        <v>26.4</v>
      </c>
      <c r="H1737" s="8">
        <f t="shared" si="28"/>
        <v>4.8992283464463979E-3</v>
      </c>
    </row>
    <row r="1738" spans="2:8" x14ac:dyDescent="0.2">
      <c r="B1738" s="5">
        <v>44519</v>
      </c>
      <c r="C1738" s="6" t="s">
        <v>18</v>
      </c>
      <c r="D1738" s="7">
        <v>26.59</v>
      </c>
      <c r="E1738" s="7">
        <v>25.138857000000002</v>
      </c>
      <c r="F1738" s="7">
        <v>26.620000999999998</v>
      </c>
      <c r="G1738" s="7">
        <v>26.299999</v>
      </c>
      <c r="H1738" s="8">
        <f t="shared" si="28"/>
        <v>-3.760004982336783E-4</v>
      </c>
    </row>
    <row r="1739" spans="2:8" x14ac:dyDescent="0.2">
      <c r="B1739" s="5">
        <v>44520</v>
      </c>
      <c r="C1739" s="6" t="s">
        <v>18</v>
      </c>
      <c r="D1739" s="7">
        <v>26.809999000000001</v>
      </c>
      <c r="E1739" s="7">
        <v>25.346848999999999</v>
      </c>
      <c r="F1739" s="7">
        <v>26.84</v>
      </c>
      <c r="G1739" s="7">
        <v>26.35</v>
      </c>
      <c r="H1739" s="8">
        <f t="shared" si="28"/>
        <v>8.2396857738456421E-3</v>
      </c>
    </row>
    <row r="1740" spans="2:8" x14ac:dyDescent="0.2">
      <c r="B1740" s="5">
        <v>44521</v>
      </c>
      <c r="C1740" s="6" t="s">
        <v>18</v>
      </c>
      <c r="D1740" s="7">
        <v>26.879999000000002</v>
      </c>
      <c r="E1740" s="7">
        <v>25.413029000000002</v>
      </c>
      <c r="F1740" s="7">
        <v>27.049999</v>
      </c>
      <c r="G1740" s="7">
        <v>26.67</v>
      </c>
      <c r="H1740" s="8">
        <f t="shared" si="28"/>
        <v>2.6075727565337509E-3</v>
      </c>
    </row>
    <row r="1741" spans="2:8" x14ac:dyDescent="0.2">
      <c r="B1741" s="5">
        <v>44524</v>
      </c>
      <c r="C1741" s="6" t="s">
        <v>18</v>
      </c>
      <c r="D1741" s="7">
        <v>27.030000999999999</v>
      </c>
      <c r="E1741" s="7">
        <v>25.554843999999999</v>
      </c>
      <c r="F1741" s="7">
        <v>27.120000999999998</v>
      </c>
      <c r="G1741" s="7">
        <v>26.879999000000002</v>
      </c>
      <c r="H1741" s="8">
        <f t="shared" si="28"/>
        <v>5.5648924559744545E-3</v>
      </c>
    </row>
    <row r="1742" spans="2:8" x14ac:dyDescent="0.2">
      <c r="B1742" s="5">
        <v>44525</v>
      </c>
      <c r="C1742" s="6" t="s">
        <v>18</v>
      </c>
      <c r="D1742" s="7">
        <v>27.280000999999999</v>
      </c>
      <c r="E1742" s="7">
        <v>25.7912</v>
      </c>
      <c r="F1742" s="7">
        <v>27.299999</v>
      </c>
      <c r="G1742" s="7">
        <v>27.030000999999999</v>
      </c>
      <c r="H1742" s="8">
        <f t="shared" si="28"/>
        <v>9.2064607523638601E-3</v>
      </c>
    </row>
    <row r="1743" spans="2:8" x14ac:dyDescent="0.2">
      <c r="B1743" s="5">
        <v>44526</v>
      </c>
      <c r="C1743" s="6" t="s">
        <v>18</v>
      </c>
      <c r="D1743" s="7">
        <v>27.43</v>
      </c>
      <c r="E1743" s="7">
        <v>25.933014</v>
      </c>
      <c r="F1743" s="7">
        <v>27.459999</v>
      </c>
      <c r="G1743" s="7">
        <v>27.139999</v>
      </c>
      <c r="H1743" s="8">
        <f t="shared" si="28"/>
        <v>5.4834803423020172E-3</v>
      </c>
    </row>
    <row r="1744" spans="2:8" x14ac:dyDescent="0.2">
      <c r="B1744" s="5">
        <v>44528</v>
      </c>
      <c r="C1744" s="6" t="s">
        <v>18</v>
      </c>
      <c r="D1744" s="7">
        <v>27.639999</v>
      </c>
      <c r="E1744" s="7">
        <v>26.131551999999999</v>
      </c>
      <c r="F1744" s="7">
        <v>27.780000999999999</v>
      </c>
      <c r="G1744" s="7">
        <v>27.360001</v>
      </c>
      <c r="H1744" s="8">
        <f t="shared" si="28"/>
        <v>7.6266442839810142E-3</v>
      </c>
    </row>
    <row r="1745" spans="2:8" x14ac:dyDescent="0.2">
      <c r="B1745" s="5">
        <v>44531</v>
      </c>
      <c r="C1745" s="6" t="s">
        <v>18</v>
      </c>
      <c r="D1745" s="7">
        <v>27.59</v>
      </c>
      <c r="E1745" s="7">
        <v>26.084282000000002</v>
      </c>
      <c r="F1745" s="7">
        <v>27.610001</v>
      </c>
      <c r="G1745" s="7">
        <v>27.33</v>
      </c>
      <c r="H1745" s="8">
        <f t="shared" si="28"/>
        <v>-1.8105624019381615E-3</v>
      </c>
    </row>
    <row r="1746" spans="2:8" x14ac:dyDescent="0.2">
      <c r="B1746" s="5">
        <v>44532</v>
      </c>
      <c r="C1746" s="6" t="s">
        <v>18</v>
      </c>
      <c r="D1746" s="7">
        <v>27.82</v>
      </c>
      <c r="E1746" s="7">
        <v>26.301729000000002</v>
      </c>
      <c r="F1746" s="7">
        <v>27.959999</v>
      </c>
      <c r="G1746" s="7">
        <v>27.6</v>
      </c>
      <c r="H1746" s="8">
        <f t="shared" si="28"/>
        <v>8.3017677699246169E-3</v>
      </c>
    </row>
    <row r="1747" spans="2:8" x14ac:dyDescent="0.2">
      <c r="B1747" s="5">
        <v>44533</v>
      </c>
      <c r="C1747" s="6" t="s">
        <v>18</v>
      </c>
      <c r="D1747" s="7">
        <v>27.950001</v>
      </c>
      <c r="E1747" s="7">
        <v>26.424634999999999</v>
      </c>
      <c r="F1747" s="7">
        <v>27.99</v>
      </c>
      <c r="G1747" s="7">
        <v>27.51</v>
      </c>
      <c r="H1747" s="8">
        <f t="shared" si="28"/>
        <v>4.6620405158047306E-3</v>
      </c>
    </row>
    <row r="1748" spans="2:8" x14ac:dyDescent="0.2">
      <c r="B1748" s="5">
        <v>44534</v>
      </c>
      <c r="C1748" s="6" t="s">
        <v>18</v>
      </c>
      <c r="D1748" s="7">
        <v>27.77</v>
      </c>
      <c r="E1748" s="7">
        <v>26.254459000000001</v>
      </c>
      <c r="F1748" s="7">
        <v>27.99</v>
      </c>
      <c r="G1748" s="7">
        <v>27.58</v>
      </c>
      <c r="H1748" s="8">
        <f t="shared" si="28"/>
        <v>-6.460877704925724E-3</v>
      </c>
    </row>
    <row r="1749" spans="2:8" x14ac:dyDescent="0.2">
      <c r="B1749" s="5">
        <v>44535</v>
      </c>
      <c r="C1749" s="6" t="s">
        <v>18</v>
      </c>
      <c r="D1749" s="7">
        <v>27.5</v>
      </c>
      <c r="E1749" s="7">
        <v>25.999193000000002</v>
      </c>
      <c r="F1749" s="7">
        <v>27.85</v>
      </c>
      <c r="G1749" s="7">
        <v>27.4</v>
      </c>
      <c r="H1749" s="8">
        <f t="shared" si="28"/>
        <v>-9.7703422003502134E-3</v>
      </c>
    </row>
    <row r="1750" spans="2:8" x14ac:dyDescent="0.2">
      <c r="B1750" s="5">
        <v>44538</v>
      </c>
      <c r="C1750" s="6" t="s">
        <v>18</v>
      </c>
      <c r="D1750" s="7">
        <v>27.23</v>
      </c>
      <c r="E1750" s="7">
        <v>25.743928</v>
      </c>
      <c r="F1750" s="7">
        <v>27.530000999999999</v>
      </c>
      <c r="G1750" s="7">
        <v>27.15</v>
      </c>
      <c r="H1750" s="8">
        <f t="shared" si="28"/>
        <v>-9.8667056003031786E-3</v>
      </c>
    </row>
    <row r="1751" spans="2:8" x14ac:dyDescent="0.2">
      <c r="B1751" s="5">
        <v>44539</v>
      </c>
      <c r="C1751" s="6" t="s">
        <v>18</v>
      </c>
      <c r="D1751" s="7">
        <v>27.42</v>
      </c>
      <c r="E1751" s="7">
        <v>25.923559000000001</v>
      </c>
      <c r="F1751" s="7">
        <v>27.48</v>
      </c>
      <c r="G1751" s="7">
        <v>26.83</v>
      </c>
      <c r="H1751" s="8">
        <f t="shared" si="28"/>
        <v>6.9533756791451337E-3</v>
      </c>
    </row>
    <row r="1752" spans="2:8" x14ac:dyDescent="0.2">
      <c r="B1752" s="5">
        <v>44540</v>
      </c>
      <c r="C1752" s="6" t="s">
        <v>18</v>
      </c>
      <c r="D1752" s="7">
        <v>26.870000999999998</v>
      </c>
      <c r="E1752" s="7">
        <v>25.403576000000001</v>
      </c>
      <c r="F1752" s="7">
        <v>27.360001</v>
      </c>
      <c r="G1752" s="7">
        <v>26.790001</v>
      </c>
      <c r="H1752" s="8">
        <f t="shared" si="28"/>
        <v>-2.0262217640632973E-2</v>
      </c>
    </row>
    <row r="1753" spans="2:8" x14ac:dyDescent="0.2">
      <c r="B1753" s="5">
        <v>44541</v>
      </c>
      <c r="C1753" s="6" t="s">
        <v>18</v>
      </c>
      <c r="D1753" s="7">
        <v>26.99</v>
      </c>
      <c r="E1753" s="7">
        <v>25.517026000000001</v>
      </c>
      <c r="F1753" s="7">
        <v>27.360001</v>
      </c>
      <c r="G1753" s="7">
        <v>26.940000999999999</v>
      </c>
      <c r="H1753" s="8">
        <f t="shared" si="28"/>
        <v>4.4559641191297805E-3</v>
      </c>
    </row>
    <row r="1754" spans="2:8" x14ac:dyDescent="0.2">
      <c r="B1754" s="5">
        <v>44542</v>
      </c>
      <c r="C1754" s="6" t="s">
        <v>18</v>
      </c>
      <c r="D1754" s="7">
        <v>26.860001</v>
      </c>
      <c r="E1754" s="7">
        <v>25.394121999999999</v>
      </c>
      <c r="F1754" s="7">
        <v>27.15</v>
      </c>
      <c r="G1754" s="7">
        <v>26.700001</v>
      </c>
      <c r="H1754" s="8">
        <f t="shared" si="28"/>
        <v>-4.8281857150435734E-3</v>
      </c>
    </row>
    <row r="1755" spans="2:8" x14ac:dyDescent="0.2">
      <c r="B1755" s="5">
        <v>44545</v>
      </c>
      <c r="C1755" s="6" t="s">
        <v>18</v>
      </c>
      <c r="D1755" s="7">
        <v>26.68</v>
      </c>
      <c r="E1755" s="7">
        <v>25.223945000000001</v>
      </c>
      <c r="F1755" s="7">
        <v>27.17</v>
      </c>
      <c r="G1755" s="7">
        <v>26.48</v>
      </c>
      <c r="H1755" s="8">
        <f t="shared" si="28"/>
        <v>-6.7239881432042924E-3</v>
      </c>
    </row>
    <row r="1756" spans="2:8" x14ac:dyDescent="0.2">
      <c r="B1756" s="5">
        <v>44546</v>
      </c>
      <c r="C1756" s="6" t="s">
        <v>18</v>
      </c>
      <c r="D1756" s="7">
        <v>26.59</v>
      </c>
      <c r="E1756" s="7">
        <v>25.138857000000002</v>
      </c>
      <c r="F1756" s="7">
        <v>27.17</v>
      </c>
      <c r="G1756" s="7">
        <v>26.15</v>
      </c>
      <c r="H1756" s="8">
        <f t="shared" si="28"/>
        <v>-3.3790050426070967E-3</v>
      </c>
    </row>
    <row r="1757" spans="2:8" x14ac:dyDescent="0.2">
      <c r="B1757" s="5">
        <v>44547</v>
      </c>
      <c r="C1757" s="6" t="s">
        <v>18</v>
      </c>
      <c r="D1757" s="7">
        <v>26.809999000000001</v>
      </c>
      <c r="E1757" s="7">
        <v>25.346848999999999</v>
      </c>
      <c r="F1757" s="7">
        <v>26.9</v>
      </c>
      <c r="G1757" s="7">
        <v>26.469999000000001</v>
      </c>
      <c r="H1757" s="8">
        <f t="shared" si="28"/>
        <v>8.2396857738456421E-3</v>
      </c>
    </row>
    <row r="1758" spans="2:8" x14ac:dyDescent="0.2">
      <c r="B1758" s="5">
        <v>44548</v>
      </c>
      <c r="C1758" s="6" t="s">
        <v>18</v>
      </c>
      <c r="D1758" s="7">
        <v>27.65</v>
      </c>
      <c r="E1758" s="7">
        <v>26.141006999999998</v>
      </c>
      <c r="F1758" s="7">
        <v>27.66</v>
      </c>
      <c r="G1758" s="7">
        <v>27.040001</v>
      </c>
      <c r="H1758" s="8">
        <f t="shared" si="28"/>
        <v>3.0850808281384704E-2</v>
      </c>
    </row>
    <row r="1759" spans="2:8" x14ac:dyDescent="0.2">
      <c r="B1759" s="5">
        <v>44549</v>
      </c>
      <c r="C1759" s="6" t="s">
        <v>18</v>
      </c>
      <c r="D1759" s="7">
        <v>27.77</v>
      </c>
      <c r="E1759" s="7">
        <v>26.254459000000001</v>
      </c>
      <c r="F1759" s="7">
        <v>27.85</v>
      </c>
      <c r="G1759" s="7">
        <v>27.549999</v>
      </c>
      <c r="H1759" s="8">
        <f t="shared" si="28"/>
        <v>4.3306104886358431E-3</v>
      </c>
    </row>
    <row r="1760" spans="2:8" x14ac:dyDescent="0.2">
      <c r="B1760" s="5">
        <v>44552</v>
      </c>
      <c r="C1760" s="6" t="s">
        <v>18</v>
      </c>
      <c r="D1760" s="7">
        <v>28.219999000000001</v>
      </c>
      <c r="E1760" s="7">
        <v>26.679898999999999</v>
      </c>
      <c r="F1760" s="7">
        <v>28.290001</v>
      </c>
      <c r="G1760" s="7">
        <v>27.75</v>
      </c>
      <c r="H1760" s="8">
        <f t="shared" si="28"/>
        <v>1.6074594154470368E-2</v>
      </c>
    </row>
    <row r="1761" spans="2:8" x14ac:dyDescent="0.2">
      <c r="B1761" s="5">
        <v>44553</v>
      </c>
      <c r="C1761" s="6" t="s">
        <v>18</v>
      </c>
      <c r="D1761" s="7">
        <v>28.25</v>
      </c>
      <c r="E1761" s="7">
        <v>26.708262000000001</v>
      </c>
      <c r="F1761" s="7">
        <v>28.5</v>
      </c>
      <c r="G1761" s="7">
        <v>28.190000999999999</v>
      </c>
      <c r="H1761" s="8">
        <f t="shared" si="28"/>
        <v>1.0625203092637248E-3</v>
      </c>
    </row>
    <row r="1762" spans="2:8" x14ac:dyDescent="0.2">
      <c r="B1762" s="5">
        <v>44554</v>
      </c>
      <c r="C1762" s="6" t="s">
        <v>18</v>
      </c>
      <c r="D1762" s="7">
        <v>28.299999</v>
      </c>
      <c r="E1762" s="7">
        <v>26.755533</v>
      </c>
      <c r="F1762" s="7">
        <v>28.59</v>
      </c>
      <c r="G1762" s="7">
        <v>28.290001</v>
      </c>
      <c r="H1762" s="8">
        <f t="shared" si="28"/>
        <v>1.7683373325106113E-3</v>
      </c>
    </row>
    <row r="1763" spans="2:8" x14ac:dyDescent="0.2">
      <c r="B1763" s="5">
        <v>44556</v>
      </c>
      <c r="C1763" s="6" t="s">
        <v>18</v>
      </c>
      <c r="D1763" s="7">
        <v>28.35</v>
      </c>
      <c r="E1763" s="7">
        <v>26.802804999999999</v>
      </c>
      <c r="F1763" s="7">
        <v>28.5</v>
      </c>
      <c r="G1763" s="7">
        <v>28.280000999999999</v>
      </c>
      <c r="H1763" s="8">
        <f t="shared" si="28"/>
        <v>1.76525314416691E-3</v>
      </c>
    </row>
    <row r="1764" spans="2:8" x14ac:dyDescent="0.2">
      <c r="B1764" s="5">
        <v>44559</v>
      </c>
      <c r="C1764" s="6" t="s">
        <v>18</v>
      </c>
      <c r="D1764" s="7">
        <v>28.459999</v>
      </c>
      <c r="E1764" s="7">
        <v>26.906801000000002</v>
      </c>
      <c r="F1764" s="7">
        <v>28.57</v>
      </c>
      <c r="G1764" s="7">
        <v>28.32</v>
      </c>
      <c r="H1764" s="8">
        <f t="shared" si="28"/>
        <v>3.8725337126764886E-3</v>
      </c>
    </row>
    <row r="1765" spans="2:8" x14ac:dyDescent="0.2">
      <c r="B1765" s="5">
        <v>44560</v>
      </c>
      <c r="C1765" s="6" t="s">
        <v>18</v>
      </c>
      <c r="D1765" s="7">
        <v>28.360001</v>
      </c>
      <c r="E1765" s="7">
        <v>26.812259999999998</v>
      </c>
      <c r="F1765" s="7">
        <v>28.48</v>
      </c>
      <c r="G1765" s="7">
        <v>28.309999000000001</v>
      </c>
      <c r="H1765" s="8">
        <f t="shared" si="28"/>
        <v>-3.5198343324552139E-3</v>
      </c>
    </row>
    <row r="1766" spans="2:8" x14ac:dyDescent="0.2">
      <c r="B1766" s="5">
        <v>44561</v>
      </c>
      <c r="C1766" s="6" t="s">
        <v>18</v>
      </c>
      <c r="D1766" s="7">
        <v>27.82</v>
      </c>
      <c r="E1766" s="7">
        <v>26.301729000000002</v>
      </c>
      <c r="F1766" s="7">
        <v>28.41</v>
      </c>
      <c r="G1766" s="7">
        <v>27.809999000000001</v>
      </c>
      <c r="H1766" s="8">
        <f t="shared" si="28"/>
        <v>-1.9224567131511938E-2</v>
      </c>
    </row>
    <row r="1767" spans="2:8" x14ac:dyDescent="0.2">
      <c r="B1767" s="5">
        <v>44563</v>
      </c>
      <c r="C1767" s="6" t="s">
        <v>18</v>
      </c>
      <c r="D1767" s="7">
        <v>27.610001</v>
      </c>
      <c r="E1767" s="7">
        <v>26.282689999999999</v>
      </c>
      <c r="F1767" s="7">
        <v>28.120000999999998</v>
      </c>
      <c r="G1767" s="7">
        <v>27.379999000000002</v>
      </c>
      <c r="H1767" s="8">
        <f t="shared" si="28"/>
        <v>-7.2413088112473797E-4</v>
      </c>
    </row>
    <row r="1768" spans="2:8" x14ac:dyDescent="0.2">
      <c r="B1768" s="5">
        <v>44566</v>
      </c>
      <c r="C1768" s="6" t="s">
        <v>18</v>
      </c>
      <c r="D1768" s="7">
        <v>27.059999000000001</v>
      </c>
      <c r="E1768" s="7">
        <v>25.759129999999999</v>
      </c>
      <c r="F1768" s="7">
        <v>27.450001</v>
      </c>
      <c r="G1768" s="7">
        <v>27</v>
      </c>
      <c r="H1768" s="8">
        <f t="shared" si="28"/>
        <v>-2.0121420212690061E-2</v>
      </c>
    </row>
    <row r="1769" spans="2:8" x14ac:dyDescent="0.2">
      <c r="B1769" s="5">
        <v>44567</v>
      </c>
      <c r="C1769" s="6" t="s">
        <v>18</v>
      </c>
      <c r="D1769" s="7">
        <v>27.049999</v>
      </c>
      <c r="E1769" s="7">
        <v>25.749610000000001</v>
      </c>
      <c r="F1769" s="7">
        <v>27.68</v>
      </c>
      <c r="G1769" s="7">
        <v>27.040001</v>
      </c>
      <c r="H1769" s="8">
        <f t="shared" si="28"/>
        <v>-3.6964600991586788E-4</v>
      </c>
    </row>
    <row r="1770" spans="2:8" x14ac:dyDescent="0.2">
      <c r="B1770" s="5">
        <v>44568</v>
      </c>
      <c r="C1770" s="6" t="s">
        <v>18</v>
      </c>
      <c r="D1770" s="7">
        <v>27.299999</v>
      </c>
      <c r="E1770" s="7">
        <v>25.987591999999999</v>
      </c>
      <c r="F1770" s="7">
        <v>27.4</v>
      </c>
      <c r="G1770" s="7">
        <v>26.98</v>
      </c>
      <c r="H1770" s="8">
        <f t="shared" si="28"/>
        <v>9.1997119774240178E-3</v>
      </c>
    </row>
    <row r="1771" spans="2:8" x14ac:dyDescent="0.2">
      <c r="B1771" s="5">
        <v>44569</v>
      </c>
      <c r="C1771" s="6" t="s">
        <v>18</v>
      </c>
      <c r="D1771" s="7">
        <v>27.51</v>
      </c>
      <c r="E1771" s="7">
        <v>26.187497</v>
      </c>
      <c r="F1771" s="7">
        <v>28.09</v>
      </c>
      <c r="G1771" s="7">
        <v>27.469999000000001</v>
      </c>
      <c r="H1771" s="8">
        <f t="shared" si="28"/>
        <v>7.6628897824722398E-3</v>
      </c>
    </row>
    <row r="1772" spans="2:8" x14ac:dyDescent="0.2">
      <c r="B1772" s="5">
        <v>44570</v>
      </c>
      <c r="C1772" s="6" t="s">
        <v>18</v>
      </c>
      <c r="D1772" s="7">
        <v>27.790001</v>
      </c>
      <c r="E1772" s="7">
        <v>26.454037</v>
      </c>
      <c r="F1772" s="7">
        <v>28.07</v>
      </c>
      <c r="G1772" s="7">
        <v>27.450001</v>
      </c>
      <c r="H1772" s="8">
        <f t="shared" si="28"/>
        <v>1.0126691133267892E-2</v>
      </c>
    </row>
    <row r="1773" spans="2:8" x14ac:dyDescent="0.2">
      <c r="B1773" s="5">
        <v>44573</v>
      </c>
      <c r="C1773" s="6" t="s">
        <v>18</v>
      </c>
      <c r="D1773" s="7">
        <v>28.049999</v>
      </c>
      <c r="E1773" s="7">
        <v>26.701536999999998</v>
      </c>
      <c r="F1773" s="7">
        <v>28.200001</v>
      </c>
      <c r="G1773" s="7">
        <v>27.82</v>
      </c>
      <c r="H1773" s="8">
        <f t="shared" si="28"/>
        <v>9.312355035297518E-3</v>
      </c>
    </row>
    <row r="1774" spans="2:8" x14ac:dyDescent="0.2">
      <c r="B1774" s="5">
        <v>44574</v>
      </c>
      <c r="C1774" s="6" t="s">
        <v>18</v>
      </c>
      <c r="D1774" s="7">
        <v>28.1</v>
      </c>
      <c r="E1774" s="7">
        <v>26.749134000000002</v>
      </c>
      <c r="F1774" s="7">
        <v>28.700001</v>
      </c>
      <c r="G1774" s="7">
        <v>27.9</v>
      </c>
      <c r="H1774" s="8">
        <f t="shared" si="28"/>
        <v>1.7809696937535456E-3</v>
      </c>
    </row>
    <row r="1775" spans="2:8" x14ac:dyDescent="0.2">
      <c r="B1775" s="5">
        <v>44575</v>
      </c>
      <c r="C1775" s="6" t="s">
        <v>18</v>
      </c>
      <c r="D1775" s="7">
        <v>27.92</v>
      </c>
      <c r="E1775" s="7">
        <v>26.577787000000001</v>
      </c>
      <c r="F1775" s="7">
        <v>28.049999</v>
      </c>
      <c r="G1775" s="7">
        <v>27.639999</v>
      </c>
      <c r="H1775" s="8">
        <f t="shared" si="28"/>
        <v>-6.4263072560324175E-3</v>
      </c>
    </row>
    <row r="1776" spans="2:8" x14ac:dyDescent="0.2">
      <c r="B1776" s="5">
        <v>44576</v>
      </c>
      <c r="C1776" s="6" t="s">
        <v>18</v>
      </c>
      <c r="D1776" s="7">
        <v>27.41</v>
      </c>
      <c r="E1776" s="7">
        <v>26.092303999999999</v>
      </c>
      <c r="F1776" s="7">
        <v>28.200001</v>
      </c>
      <c r="G1776" s="7">
        <v>27.35</v>
      </c>
      <c r="H1776" s="8">
        <f t="shared" si="28"/>
        <v>-1.8435386783396394E-2</v>
      </c>
    </row>
    <row r="1777" spans="2:8" x14ac:dyDescent="0.2">
      <c r="B1777" s="5">
        <v>44577</v>
      </c>
      <c r="C1777" s="6" t="s">
        <v>18</v>
      </c>
      <c r="D1777" s="7">
        <v>27.68</v>
      </c>
      <c r="E1777" s="7">
        <v>26.349325</v>
      </c>
      <c r="F1777" s="7">
        <v>27.77</v>
      </c>
      <c r="G1777" s="7">
        <v>27.209999</v>
      </c>
      <c r="H1777" s="8">
        <f t="shared" si="28"/>
        <v>9.8022530141986253E-3</v>
      </c>
    </row>
    <row r="1778" spans="2:8" x14ac:dyDescent="0.2">
      <c r="B1778" s="5">
        <v>44581</v>
      </c>
      <c r="C1778" s="6" t="s">
        <v>18</v>
      </c>
      <c r="D1778" s="7">
        <v>28.07</v>
      </c>
      <c r="E1778" s="7">
        <v>26.720576000000001</v>
      </c>
      <c r="F1778" s="7">
        <v>28.27</v>
      </c>
      <c r="G1778" s="7">
        <v>27.66</v>
      </c>
      <c r="H1778" s="8">
        <f t="shared" si="28"/>
        <v>1.3991247361360386E-2</v>
      </c>
    </row>
    <row r="1779" spans="2:8" x14ac:dyDescent="0.2">
      <c r="B1779" s="5">
        <v>44582</v>
      </c>
      <c r="C1779" s="6" t="s">
        <v>18</v>
      </c>
      <c r="D1779" s="7">
        <v>27.84</v>
      </c>
      <c r="E1779" s="7">
        <v>26.501633000000002</v>
      </c>
      <c r="F1779" s="7">
        <v>28.190000999999999</v>
      </c>
      <c r="G1779" s="7">
        <v>27.700001</v>
      </c>
      <c r="H1779" s="8">
        <f t="shared" si="28"/>
        <v>-8.2275515872371821E-3</v>
      </c>
    </row>
    <row r="1780" spans="2:8" x14ac:dyDescent="0.2">
      <c r="B1780" s="5">
        <v>44583</v>
      </c>
      <c r="C1780" s="6" t="s">
        <v>18</v>
      </c>
      <c r="D1780" s="7">
        <v>28.5</v>
      </c>
      <c r="E1780" s="7">
        <v>27.129904</v>
      </c>
      <c r="F1780" s="7">
        <v>28.51</v>
      </c>
      <c r="G1780" s="7">
        <v>27.219999000000001</v>
      </c>
      <c r="H1780" s="8">
        <f t="shared" si="28"/>
        <v>2.3430234411245358E-2</v>
      </c>
    </row>
    <row r="1781" spans="2:8" x14ac:dyDescent="0.2">
      <c r="B1781" s="5">
        <v>44584</v>
      </c>
      <c r="C1781" s="6" t="s">
        <v>18</v>
      </c>
      <c r="D1781" s="7">
        <v>28.209999</v>
      </c>
      <c r="E1781" s="7">
        <v>26.853845</v>
      </c>
      <c r="F1781" s="7">
        <v>28.5</v>
      </c>
      <c r="G1781" s="7">
        <v>28.139999</v>
      </c>
      <c r="H1781" s="8">
        <f t="shared" si="28"/>
        <v>-1.0227574464512714E-2</v>
      </c>
    </row>
    <row r="1782" spans="2:8" x14ac:dyDescent="0.2">
      <c r="B1782" s="5">
        <v>44587</v>
      </c>
      <c r="C1782" s="6" t="s">
        <v>18</v>
      </c>
      <c r="D1782" s="7">
        <v>27.969999000000001</v>
      </c>
      <c r="E1782" s="7">
        <v>26.625382999999999</v>
      </c>
      <c r="F1782" s="7">
        <v>28.23</v>
      </c>
      <c r="G1782" s="7">
        <v>27.700001</v>
      </c>
      <c r="H1782" s="8">
        <f t="shared" si="28"/>
        <v>-8.5440047791694226E-3</v>
      </c>
    </row>
    <row r="1783" spans="2:8" x14ac:dyDescent="0.2">
      <c r="B1783" s="5">
        <v>44588</v>
      </c>
      <c r="C1783" s="6" t="s">
        <v>18</v>
      </c>
      <c r="D1783" s="7">
        <v>26.9</v>
      </c>
      <c r="E1783" s="7">
        <v>25.606822000000001</v>
      </c>
      <c r="F1783" s="7">
        <v>27.59</v>
      </c>
      <c r="G1783" s="7">
        <v>26.66</v>
      </c>
      <c r="H1783" s="8">
        <f t="shared" si="28"/>
        <v>-3.900620854278964E-2</v>
      </c>
    </row>
    <row r="1784" spans="2:8" x14ac:dyDescent="0.2">
      <c r="B1784" s="5">
        <v>44589</v>
      </c>
      <c r="C1784" s="6" t="s">
        <v>18</v>
      </c>
      <c r="D1784" s="7">
        <v>26.809999000000001</v>
      </c>
      <c r="E1784" s="7">
        <v>25.521148</v>
      </c>
      <c r="F1784" s="7">
        <v>27.6</v>
      </c>
      <c r="G1784" s="7">
        <v>26.799999</v>
      </c>
      <c r="H1784" s="8">
        <f t="shared" si="28"/>
        <v>-3.3513585690190528E-3</v>
      </c>
    </row>
    <row r="1785" spans="2:8" x14ac:dyDescent="0.2">
      <c r="B1785" s="5">
        <v>44590</v>
      </c>
      <c r="C1785" s="6" t="s">
        <v>18</v>
      </c>
      <c r="D1785" s="7">
        <v>27.219999000000001</v>
      </c>
      <c r="E1785" s="7">
        <v>25.911438</v>
      </c>
      <c r="F1785" s="7">
        <v>27.309999000000001</v>
      </c>
      <c r="G1785" s="7">
        <v>26.639999</v>
      </c>
      <c r="H1785" s="8">
        <f t="shared" si="28"/>
        <v>1.5177051050142111E-2</v>
      </c>
    </row>
    <row r="1786" spans="2:8" x14ac:dyDescent="0.2">
      <c r="B1786" s="5">
        <v>44591</v>
      </c>
      <c r="C1786" s="6" t="s">
        <v>18</v>
      </c>
      <c r="D1786" s="7">
        <v>26.370000999999998</v>
      </c>
      <c r="E1786" s="7">
        <v>25.102302000000002</v>
      </c>
      <c r="F1786" s="7">
        <v>27.110001</v>
      </c>
      <c r="G1786" s="7">
        <v>26.32</v>
      </c>
      <c r="H1786" s="8">
        <f t="shared" si="28"/>
        <v>-3.1724937761230587E-2</v>
      </c>
    </row>
    <row r="1787" spans="2:8" x14ac:dyDescent="0.2">
      <c r="B1787" s="5">
        <v>44594</v>
      </c>
      <c r="C1787" s="6" t="s">
        <v>18</v>
      </c>
      <c r="D1787" s="7">
        <v>26.83</v>
      </c>
      <c r="E1787" s="7">
        <v>25.540187</v>
      </c>
      <c r="F1787" s="7">
        <v>26.870000999999998</v>
      </c>
      <c r="G1787" s="7">
        <v>25.92</v>
      </c>
      <c r="H1787" s="8">
        <f t="shared" si="28"/>
        <v>1.7293617345914985E-2</v>
      </c>
    </row>
    <row r="1788" spans="2:8" x14ac:dyDescent="0.2">
      <c r="B1788" s="5">
        <v>44595</v>
      </c>
      <c r="C1788" s="6" t="s">
        <v>18</v>
      </c>
      <c r="D1788" s="7">
        <v>27.120000999999998</v>
      </c>
      <c r="E1788" s="7">
        <v>25.816247000000001</v>
      </c>
      <c r="F1788" s="7">
        <v>27.120000999999998</v>
      </c>
      <c r="G1788" s="7">
        <v>26.690000999999999</v>
      </c>
      <c r="H1788" s="8">
        <f t="shared" si="28"/>
        <v>1.0750849988167804E-2</v>
      </c>
    </row>
    <row r="1789" spans="2:8" x14ac:dyDescent="0.2">
      <c r="B1789" s="5">
        <v>44596</v>
      </c>
      <c r="C1789" s="6" t="s">
        <v>18</v>
      </c>
      <c r="D1789" s="7">
        <v>26.690000999999999</v>
      </c>
      <c r="E1789" s="7">
        <v>25.406918000000001</v>
      </c>
      <c r="F1789" s="7">
        <v>27.219999000000001</v>
      </c>
      <c r="G1789" s="7">
        <v>26.610001</v>
      </c>
      <c r="H1789" s="8">
        <f t="shared" si="28"/>
        <v>-1.5982523268474401E-2</v>
      </c>
    </row>
    <row r="1790" spans="2:8" x14ac:dyDescent="0.2">
      <c r="B1790" s="5">
        <v>44597</v>
      </c>
      <c r="C1790" s="6" t="s">
        <v>18</v>
      </c>
      <c r="D1790" s="7">
        <v>27.26</v>
      </c>
      <c r="E1790" s="7">
        <v>25.949515999999999</v>
      </c>
      <c r="F1790" s="7">
        <v>27.299999</v>
      </c>
      <c r="G1790" s="7">
        <v>26.58</v>
      </c>
      <c r="H1790" s="8">
        <f t="shared" si="28"/>
        <v>2.1131459040189045E-2</v>
      </c>
    </row>
    <row r="1791" spans="2:8" x14ac:dyDescent="0.2">
      <c r="B1791" s="5">
        <v>44598</v>
      </c>
      <c r="C1791" s="6" t="s">
        <v>18</v>
      </c>
      <c r="D1791" s="7">
        <v>27.24</v>
      </c>
      <c r="E1791" s="7">
        <v>25.930477</v>
      </c>
      <c r="F1791" s="7">
        <v>27.66</v>
      </c>
      <c r="G1791" s="7">
        <v>27.139999</v>
      </c>
      <c r="H1791" s="8">
        <f t="shared" si="28"/>
        <v>-7.3396312349909975E-4</v>
      </c>
    </row>
    <row r="1792" spans="2:8" x14ac:dyDescent="0.2">
      <c r="B1792" s="5">
        <v>44601</v>
      </c>
      <c r="C1792" s="6" t="s">
        <v>18</v>
      </c>
      <c r="D1792" s="7">
        <v>27.120000999999998</v>
      </c>
      <c r="E1792" s="7">
        <v>25.816247000000001</v>
      </c>
      <c r="F1792" s="7">
        <v>27.41</v>
      </c>
      <c r="G1792" s="7">
        <v>27.059999000000001</v>
      </c>
      <c r="H1792" s="8">
        <f t="shared" si="28"/>
        <v>-4.4149726482154471E-3</v>
      </c>
    </row>
    <row r="1793" spans="2:8" x14ac:dyDescent="0.2">
      <c r="B1793" s="5">
        <v>44602</v>
      </c>
      <c r="C1793" s="6" t="s">
        <v>18</v>
      </c>
      <c r="D1793" s="7">
        <v>27.49</v>
      </c>
      <c r="E1793" s="7">
        <v>26.168458000000001</v>
      </c>
      <c r="F1793" s="7">
        <v>27.540001</v>
      </c>
      <c r="G1793" s="7">
        <v>27.15</v>
      </c>
      <c r="H1793" s="8">
        <f t="shared" si="28"/>
        <v>1.3550769961958411E-2</v>
      </c>
    </row>
    <row r="1794" spans="2:8" x14ac:dyDescent="0.2">
      <c r="B1794" s="5">
        <v>44603</v>
      </c>
      <c r="C1794" s="6" t="s">
        <v>18</v>
      </c>
      <c r="D1794" s="7">
        <v>26.93</v>
      </c>
      <c r="E1794" s="7">
        <v>25.635380000000001</v>
      </c>
      <c r="F1794" s="7">
        <v>27.65</v>
      </c>
      <c r="G1794" s="7">
        <v>26.9</v>
      </c>
      <c r="H1794" s="8">
        <f t="shared" si="28"/>
        <v>-2.0581363766480405E-2</v>
      </c>
    </row>
    <row r="1795" spans="2:8" x14ac:dyDescent="0.2">
      <c r="B1795" s="5">
        <v>44604</v>
      </c>
      <c r="C1795" s="6" t="s">
        <v>18</v>
      </c>
      <c r="D1795" s="7">
        <v>29.459999</v>
      </c>
      <c r="E1795" s="7">
        <v>28.043752999999999</v>
      </c>
      <c r="F1795" s="7">
        <v>29.58</v>
      </c>
      <c r="G1795" s="7">
        <v>28.84</v>
      </c>
      <c r="H1795" s="8">
        <f t="shared" si="28"/>
        <v>8.9792469108542314E-2</v>
      </c>
    </row>
    <row r="1796" spans="2:8" x14ac:dyDescent="0.2">
      <c r="B1796" s="5">
        <v>44605</v>
      </c>
      <c r="C1796" s="6" t="s">
        <v>18</v>
      </c>
      <c r="D1796" s="7">
        <v>29.43</v>
      </c>
      <c r="E1796" s="7">
        <v>28.015196</v>
      </c>
      <c r="F1796" s="7">
        <v>29.5</v>
      </c>
      <c r="G1796" s="7">
        <v>29.110001</v>
      </c>
      <c r="H1796" s="8">
        <f t="shared" ref="H1796:H1859" si="29">IF(C1796=C1795, LN(E1796/E1795), "")</f>
        <v>-1.0188204730761862E-3</v>
      </c>
    </row>
    <row r="1797" spans="2:8" x14ac:dyDescent="0.2">
      <c r="B1797" s="5">
        <v>44609</v>
      </c>
      <c r="C1797" s="6" t="s">
        <v>18</v>
      </c>
      <c r="D1797" s="7">
        <v>29.309999000000001</v>
      </c>
      <c r="E1797" s="7">
        <v>27.900963999999998</v>
      </c>
      <c r="F1797" s="7">
        <v>29.35</v>
      </c>
      <c r="G1797" s="7">
        <v>29.030000999999999</v>
      </c>
      <c r="H1797" s="8">
        <f t="shared" si="29"/>
        <v>-4.0858370430416086E-3</v>
      </c>
    </row>
    <row r="1798" spans="2:8" x14ac:dyDescent="0.2">
      <c r="B1798" s="5">
        <v>44610</v>
      </c>
      <c r="C1798" s="6" t="s">
        <v>18</v>
      </c>
      <c r="D1798" s="7">
        <v>29.49</v>
      </c>
      <c r="E1798" s="7">
        <v>28.072310999999999</v>
      </c>
      <c r="F1798" s="7">
        <v>29.549999</v>
      </c>
      <c r="G1798" s="7">
        <v>29.120000999999998</v>
      </c>
      <c r="H1798" s="8">
        <f t="shared" si="29"/>
        <v>6.1224766726931988E-3</v>
      </c>
    </row>
    <row r="1799" spans="2:8" x14ac:dyDescent="0.2">
      <c r="B1799" s="5">
        <v>44611</v>
      </c>
      <c r="C1799" s="6" t="s">
        <v>18</v>
      </c>
      <c r="D1799" s="7">
        <v>29.309999000000001</v>
      </c>
      <c r="E1799" s="7">
        <v>27.900963999999998</v>
      </c>
      <c r="F1799" s="7">
        <v>29.389999</v>
      </c>
      <c r="G1799" s="7">
        <v>29.129999000000002</v>
      </c>
      <c r="H1799" s="8">
        <f t="shared" si="29"/>
        <v>-6.1224766726930982E-3</v>
      </c>
    </row>
    <row r="1800" spans="2:8" x14ac:dyDescent="0.2">
      <c r="B1800" s="5">
        <v>44612</v>
      </c>
      <c r="C1800" s="6" t="s">
        <v>18</v>
      </c>
      <c r="D1800" s="7">
        <v>29.610001</v>
      </c>
      <c r="E1800" s="7">
        <v>28.186543</v>
      </c>
      <c r="F1800" s="7">
        <v>29.66</v>
      </c>
      <c r="G1800" s="7">
        <v>29.16</v>
      </c>
      <c r="H1800" s="8">
        <f t="shared" si="29"/>
        <v>1.0183425265288719E-2</v>
      </c>
    </row>
    <row r="1801" spans="2:8" x14ac:dyDescent="0.2">
      <c r="B1801" s="5">
        <v>44615</v>
      </c>
      <c r="C1801" s="6" t="s">
        <v>18</v>
      </c>
      <c r="D1801" s="7">
        <v>29.629999000000002</v>
      </c>
      <c r="E1801" s="7">
        <v>28.205580999999999</v>
      </c>
      <c r="F1801" s="7">
        <v>29.65</v>
      </c>
      <c r="G1801" s="7">
        <v>29.42</v>
      </c>
      <c r="H1801" s="8">
        <f t="shared" si="29"/>
        <v>6.7520069729162856E-4</v>
      </c>
    </row>
    <row r="1802" spans="2:8" x14ac:dyDescent="0.2">
      <c r="B1802" s="5">
        <v>44616</v>
      </c>
      <c r="C1802" s="6" t="s">
        <v>18</v>
      </c>
      <c r="D1802" s="7">
        <v>29.629999000000002</v>
      </c>
      <c r="E1802" s="7">
        <v>28.205580999999999</v>
      </c>
      <c r="F1802" s="7">
        <v>29.709999</v>
      </c>
      <c r="G1802" s="7">
        <v>29.43</v>
      </c>
      <c r="H1802" s="8">
        <f t="shared" si="29"/>
        <v>0</v>
      </c>
    </row>
    <row r="1803" spans="2:8" x14ac:dyDescent="0.2">
      <c r="B1803" s="5">
        <v>44617</v>
      </c>
      <c r="C1803" s="6" t="s">
        <v>18</v>
      </c>
      <c r="D1803" s="7">
        <v>29.49</v>
      </c>
      <c r="E1803" s="7">
        <v>28.072310999999999</v>
      </c>
      <c r="F1803" s="7">
        <v>29.57</v>
      </c>
      <c r="G1803" s="7">
        <v>29.32</v>
      </c>
      <c r="H1803" s="8">
        <f t="shared" si="29"/>
        <v>-4.7361492898873019E-3</v>
      </c>
    </row>
    <row r="1804" spans="2:8" x14ac:dyDescent="0.2">
      <c r="B1804" s="5">
        <v>44618</v>
      </c>
      <c r="C1804" s="6" t="s">
        <v>18</v>
      </c>
      <c r="D1804" s="7">
        <v>29.91</v>
      </c>
      <c r="E1804" s="7">
        <v>28.472121000000001</v>
      </c>
      <c r="F1804" s="7">
        <v>29.99</v>
      </c>
      <c r="G1804" s="7">
        <v>29.52</v>
      </c>
      <c r="H1804" s="8">
        <f t="shared" si="29"/>
        <v>1.414168111369426E-2</v>
      </c>
    </row>
    <row r="1805" spans="2:8" x14ac:dyDescent="0.2">
      <c r="B1805" s="5">
        <v>44619</v>
      </c>
      <c r="C1805" s="6" t="s">
        <v>18</v>
      </c>
      <c r="D1805" s="7">
        <v>29.51</v>
      </c>
      <c r="E1805" s="7">
        <v>28.091349999999998</v>
      </c>
      <c r="F1805" s="7">
        <v>29.91</v>
      </c>
      <c r="G1805" s="7">
        <v>29.379999000000002</v>
      </c>
      <c r="H1805" s="8">
        <f t="shared" si="29"/>
        <v>-1.346369821905042E-2</v>
      </c>
    </row>
    <row r="1806" spans="2:8" x14ac:dyDescent="0.2">
      <c r="B1806" s="5">
        <v>44622</v>
      </c>
      <c r="C1806" s="6" t="s">
        <v>18</v>
      </c>
      <c r="D1806" s="7">
        <v>30.190000999999999</v>
      </c>
      <c r="E1806" s="7">
        <v>28.738661</v>
      </c>
      <c r="F1806" s="7">
        <v>30.309999000000001</v>
      </c>
      <c r="G1806" s="7">
        <v>29.34</v>
      </c>
      <c r="H1806" s="8">
        <f t="shared" si="29"/>
        <v>2.2781589678146082E-2</v>
      </c>
    </row>
    <row r="1807" spans="2:8" x14ac:dyDescent="0.2">
      <c r="B1807" s="5">
        <v>44623</v>
      </c>
      <c r="C1807" s="6" t="s">
        <v>18</v>
      </c>
      <c r="D1807" s="7">
        <v>29.540001</v>
      </c>
      <c r="E1807" s="7">
        <v>28.119909</v>
      </c>
      <c r="F1807" s="7">
        <v>30.120000999999998</v>
      </c>
      <c r="G1807" s="7">
        <v>29.469999000000001</v>
      </c>
      <c r="H1807" s="8">
        <f t="shared" si="29"/>
        <v>-2.1765458640863471E-2</v>
      </c>
    </row>
    <row r="1808" spans="2:8" x14ac:dyDescent="0.2">
      <c r="B1808" s="5">
        <v>44624</v>
      </c>
      <c r="C1808" s="6" t="s">
        <v>18</v>
      </c>
      <c r="D1808" s="7">
        <v>29.33</v>
      </c>
      <c r="E1808" s="7">
        <v>27.920003000000001</v>
      </c>
      <c r="F1808" s="7">
        <v>29.52</v>
      </c>
      <c r="G1808" s="7">
        <v>29.110001</v>
      </c>
      <c r="H1808" s="8">
        <f t="shared" si="29"/>
        <v>-7.1344454623374631E-3</v>
      </c>
    </row>
    <row r="1809" spans="2:8" x14ac:dyDescent="0.2">
      <c r="B1809" s="5">
        <v>44625</v>
      </c>
      <c r="C1809" s="6" t="s">
        <v>18</v>
      </c>
      <c r="D1809" s="7">
        <v>29.299999</v>
      </c>
      <c r="E1809" s="7">
        <v>27.891445000000001</v>
      </c>
      <c r="F1809" s="7">
        <v>29.49</v>
      </c>
      <c r="G1809" s="7">
        <v>29.120000999999998</v>
      </c>
      <c r="H1809" s="8">
        <f t="shared" si="29"/>
        <v>-1.0233743619190217E-3</v>
      </c>
    </row>
    <row r="1810" spans="2:8" x14ac:dyDescent="0.2">
      <c r="B1810" s="5">
        <v>44626</v>
      </c>
      <c r="C1810" s="6" t="s">
        <v>18</v>
      </c>
      <c r="D1810" s="7">
        <v>28.93</v>
      </c>
      <c r="E1810" s="7">
        <v>27.539232999999999</v>
      </c>
      <c r="F1810" s="7">
        <v>29.27</v>
      </c>
      <c r="G1810" s="7">
        <v>28.799999</v>
      </c>
      <c r="H1810" s="8">
        <f t="shared" si="29"/>
        <v>-1.2708368468843562E-2</v>
      </c>
    </row>
    <row r="1811" spans="2:8" x14ac:dyDescent="0.2">
      <c r="B1811" s="5">
        <v>44629</v>
      </c>
      <c r="C1811" s="6" t="s">
        <v>18</v>
      </c>
      <c r="D1811" s="7">
        <v>29.360001</v>
      </c>
      <c r="E1811" s="7">
        <v>27.948561999999999</v>
      </c>
      <c r="F1811" s="7">
        <v>29.450001</v>
      </c>
      <c r="G1811" s="7">
        <v>28.76</v>
      </c>
      <c r="H1811" s="8">
        <f t="shared" si="29"/>
        <v>1.4754106748201799E-2</v>
      </c>
    </row>
    <row r="1812" spans="2:8" x14ac:dyDescent="0.2">
      <c r="B1812" s="5">
        <v>44630</v>
      </c>
      <c r="C1812" s="6" t="s">
        <v>18</v>
      </c>
      <c r="D1812" s="7">
        <v>28.66</v>
      </c>
      <c r="E1812" s="7">
        <v>27.282212000000001</v>
      </c>
      <c r="F1812" s="7">
        <v>29.17</v>
      </c>
      <c r="G1812" s="7">
        <v>28.66</v>
      </c>
      <c r="H1812" s="8">
        <f t="shared" si="29"/>
        <v>-2.4130834529426711E-2</v>
      </c>
    </row>
    <row r="1813" spans="2:8" x14ac:dyDescent="0.2">
      <c r="B1813" s="5">
        <v>44631</v>
      </c>
      <c r="C1813" s="6" t="s">
        <v>18</v>
      </c>
      <c r="D1813" s="7">
        <v>28.26</v>
      </c>
      <c r="E1813" s="7">
        <v>26.901441999999999</v>
      </c>
      <c r="F1813" s="7">
        <v>28.76</v>
      </c>
      <c r="G1813" s="7">
        <v>28.209999</v>
      </c>
      <c r="H1813" s="8">
        <f t="shared" si="29"/>
        <v>-1.4055023613033861E-2</v>
      </c>
    </row>
    <row r="1814" spans="2:8" x14ac:dyDescent="0.2">
      <c r="B1814" s="5">
        <v>44632</v>
      </c>
      <c r="C1814" s="6" t="s">
        <v>18</v>
      </c>
      <c r="D1814" s="7">
        <v>28.24</v>
      </c>
      <c r="E1814" s="7">
        <v>26.882403</v>
      </c>
      <c r="F1814" s="7">
        <v>28.540001</v>
      </c>
      <c r="G1814" s="7">
        <v>28.049999</v>
      </c>
      <c r="H1814" s="8">
        <f t="shared" si="29"/>
        <v>-7.0798213832632686E-4</v>
      </c>
    </row>
    <row r="1815" spans="2:8" x14ac:dyDescent="0.2">
      <c r="B1815" s="5">
        <v>44633</v>
      </c>
      <c r="C1815" s="6" t="s">
        <v>18</v>
      </c>
      <c r="D1815" s="7">
        <v>27.940000999999999</v>
      </c>
      <c r="E1815" s="7">
        <v>26.596826</v>
      </c>
      <c r="F1815" s="7">
        <v>28.26</v>
      </c>
      <c r="G1815" s="7">
        <v>27.57</v>
      </c>
      <c r="H1815" s="8">
        <f t="shared" si="29"/>
        <v>-1.0680023620884518E-2</v>
      </c>
    </row>
    <row r="1816" spans="2:8" x14ac:dyDescent="0.2">
      <c r="B1816" s="5">
        <v>44636</v>
      </c>
      <c r="C1816" s="6" t="s">
        <v>18</v>
      </c>
      <c r="D1816" s="7">
        <v>28.299999</v>
      </c>
      <c r="E1816" s="7">
        <v>26.939518</v>
      </c>
      <c r="F1816" s="7">
        <v>28.379999000000002</v>
      </c>
      <c r="G1816" s="7">
        <v>28.040001</v>
      </c>
      <c r="H1816" s="8">
        <f t="shared" si="29"/>
        <v>1.2802393851383357E-2</v>
      </c>
    </row>
    <row r="1817" spans="2:8" x14ac:dyDescent="0.2">
      <c r="B1817" s="5">
        <v>44637</v>
      </c>
      <c r="C1817" s="6" t="s">
        <v>18</v>
      </c>
      <c r="D1817" s="7">
        <v>28.15</v>
      </c>
      <c r="E1817" s="7">
        <v>26.79673</v>
      </c>
      <c r="F1817" s="7">
        <v>28.280000999999999</v>
      </c>
      <c r="G1817" s="7">
        <v>27.950001</v>
      </c>
      <c r="H1817" s="8">
        <f t="shared" si="29"/>
        <v>-5.3144140641624722E-3</v>
      </c>
    </row>
    <row r="1818" spans="2:8" x14ac:dyDescent="0.2">
      <c r="B1818" s="5">
        <v>44638</v>
      </c>
      <c r="C1818" s="6" t="s">
        <v>18</v>
      </c>
      <c r="D1818" s="7">
        <v>28.15</v>
      </c>
      <c r="E1818" s="7">
        <v>26.79673</v>
      </c>
      <c r="F1818" s="7">
        <v>28.34</v>
      </c>
      <c r="G1818" s="7">
        <v>27.719999000000001</v>
      </c>
      <c r="H1818" s="8">
        <f t="shared" si="29"/>
        <v>0</v>
      </c>
    </row>
    <row r="1819" spans="2:8" x14ac:dyDescent="0.2">
      <c r="B1819" s="5">
        <v>44639</v>
      </c>
      <c r="C1819" s="6" t="s">
        <v>18</v>
      </c>
      <c r="D1819" s="7">
        <v>28.26</v>
      </c>
      <c r="E1819" s="7">
        <v>26.901441999999999</v>
      </c>
      <c r="F1819" s="7">
        <v>28.540001</v>
      </c>
      <c r="G1819" s="7">
        <v>28.030000999999999</v>
      </c>
      <c r="H1819" s="8">
        <f t="shared" si="29"/>
        <v>3.9000259719899687E-3</v>
      </c>
    </row>
    <row r="1820" spans="2:8" x14ac:dyDescent="0.2">
      <c r="B1820" s="5">
        <v>44640</v>
      </c>
      <c r="C1820" s="6" t="s">
        <v>18</v>
      </c>
      <c r="D1820" s="7">
        <v>28.440000999999999</v>
      </c>
      <c r="E1820" s="7">
        <v>27.072789</v>
      </c>
      <c r="F1820" s="7">
        <v>28.620000999999998</v>
      </c>
      <c r="G1820" s="7">
        <v>28.32</v>
      </c>
      <c r="H1820" s="8">
        <f t="shared" si="29"/>
        <v>6.3492363836647279E-3</v>
      </c>
    </row>
    <row r="1821" spans="2:8" x14ac:dyDescent="0.2">
      <c r="B1821" s="5">
        <v>44643</v>
      </c>
      <c r="C1821" s="6" t="s">
        <v>18</v>
      </c>
      <c r="D1821" s="7">
        <v>28.41</v>
      </c>
      <c r="E1821" s="7">
        <v>27.044231</v>
      </c>
      <c r="F1821" s="7">
        <v>28.690000999999999</v>
      </c>
      <c r="G1821" s="7">
        <v>28.360001</v>
      </c>
      <c r="H1821" s="8">
        <f t="shared" si="29"/>
        <v>-1.05541667486151E-3</v>
      </c>
    </row>
    <row r="1822" spans="2:8" x14ac:dyDescent="0.2">
      <c r="B1822" s="5">
        <v>44644</v>
      </c>
      <c r="C1822" s="6" t="s">
        <v>18</v>
      </c>
      <c r="D1822" s="7">
        <v>28</v>
      </c>
      <c r="E1822" s="7">
        <v>26.653941</v>
      </c>
      <c r="F1822" s="7">
        <v>28.57</v>
      </c>
      <c r="G1822" s="7">
        <v>27.99</v>
      </c>
      <c r="H1822" s="8">
        <f t="shared" si="29"/>
        <v>-1.453669122415624E-2</v>
      </c>
    </row>
    <row r="1823" spans="2:8" x14ac:dyDescent="0.2">
      <c r="B1823" s="5">
        <v>44645</v>
      </c>
      <c r="C1823" s="6" t="s">
        <v>18</v>
      </c>
      <c r="D1823" s="7">
        <v>27.459999</v>
      </c>
      <c r="E1823" s="7">
        <v>26.139900000000001</v>
      </c>
      <c r="F1823" s="7">
        <v>28.09</v>
      </c>
      <c r="G1823" s="7">
        <v>27.459999</v>
      </c>
      <c r="H1823" s="8">
        <f t="shared" si="29"/>
        <v>-1.9474136969595355E-2</v>
      </c>
    </row>
    <row r="1824" spans="2:8" x14ac:dyDescent="0.2">
      <c r="B1824" s="5">
        <v>44646</v>
      </c>
      <c r="C1824" s="6" t="s">
        <v>18</v>
      </c>
      <c r="D1824" s="7">
        <v>27.09</v>
      </c>
      <c r="E1824" s="7">
        <v>25.787687999999999</v>
      </c>
      <c r="F1824" s="7">
        <v>27.309999000000001</v>
      </c>
      <c r="G1824" s="7">
        <v>26.620000999999998</v>
      </c>
      <c r="H1824" s="8">
        <f t="shared" si="29"/>
        <v>-1.3565713909403723E-2</v>
      </c>
    </row>
    <row r="1825" spans="2:8" x14ac:dyDescent="0.2">
      <c r="B1825" s="5">
        <v>44647</v>
      </c>
      <c r="C1825" s="6" t="s">
        <v>18</v>
      </c>
      <c r="D1825" s="7">
        <v>27.129999000000002</v>
      </c>
      <c r="E1825" s="7">
        <v>25.825763999999999</v>
      </c>
      <c r="F1825" s="7">
        <v>27.209999</v>
      </c>
      <c r="G1825" s="7">
        <v>26.940000999999999</v>
      </c>
      <c r="H1825" s="8">
        <f t="shared" si="29"/>
        <v>1.4754295801521567E-3</v>
      </c>
    </row>
    <row r="1826" spans="2:8" x14ac:dyDescent="0.2">
      <c r="B1826" s="5">
        <v>44650</v>
      </c>
      <c r="C1826" s="6" t="s">
        <v>18</v>
      </c>
      <c r="D1826" s="7">
        <v>27.65</v>
      </c>
      <c r="E1826" s="7">
        <v>26.320767</v>
      </c>
      <c r="F1826" s="7">
        <v>27.75</v>
      </c>
      <c r="G1826" s="7">
        <v>27.219999000000001</v>
      </c>
      <c r="H1826" s="8">
        <f t="shared" si="29"/>
        <v>1.8985649065100675E-2</v>
      </c>
    </row>
    <row r="1827" spans="2:8" x14ac:dyDescent="0.2">
      <c r="B1827" s="5">
        <v>44651</v>
      </c>
      <c r="C1827" s="6" t="s">
        <v>18</v>
      </c>
      <c r="D1827" s="7">
        <v>27.530000999999999</v>
      </c>
      <c r="E1827" s="7">
        <v>26.407097</v>
      </c>
      <c r="F1827" s="7">
        <v>27.690000999999999</v>
      </c>
      <c r="G1827" s="7">
        <v>27.280000999999999</v>
      </c>
      <c r="H1827" s="8">
        <f t="shared" si="29"/>
        <v>3.2745524127747697E-3</v>
      </c>
    </row>
    <row r="1828" spans="2:8" x14ac:dyDescent="0.2">
      <c r="B1828" s="5">
        <v>44652</v>
      </c>
      <c r="C1828" s="6" t="s">
        <v>18</v>
      </c>
      <c r="D1828" s="7">
        <v>27.25</v>
      </c>
      <c r="E1828" s="7">
        <v>26.138517</v>
      </c>
      <c r="F1828" s="7">
        <v>27.639999</v>
      </c>
      <c r="G1828" s="7">
        <v>27.1</v>
      </c>
      <c r="H1828" s="8">
        <f t="shared" si="29"/>
        <v>-1.0222826172258597E-2</v>
      </c>
    </row>
    <row r="1829" spans="2:8" x14ac:dyDescent="0.2">
      <c r="B1829" s="5">
        <v>44653</v>
      </c>
      <c r="C1829" s="6" t="s">
        <v>18</v>
      </c>
      <c r="D1829" s="7">
        <v>27.129999000000002</v>
      </c>
      <c r="E1829" s="7">
        <v>26.023410999999999</v>
      </c>
      <c r="F1829" s="7">
        <v>27.5</v>
      </c>
      <c r="G1829" s="7">
        <v>27.129999000000002</v>
      </c>
      <c r="H1829" s="8">
        <f t="shared" si="29"/>
        <v>-4.4134176496931589E-3</v>
      </c>
    </row>
    <row r="1830" spans="2:8" x14ac:dyDescent="0.2">
      <c r="B1830" s="5">
        <v>44657</v>
      </c>
      <c r="C1830" s="6" t="s">
        <v>18</v>
      </c>
      <c r="D1830" s="7">
        <v>27.219999000000001</v>
      </c>
      <c r="E1830" s="7">
        <v>26.109739999999999</v>
      </c>
      <c r="F1830" s="7">
        <v>27.32</v>
      </c>
      <c r="G1830" s="7">
        <v>26.84</v>
      </c>
      <c r="H1830" s="8">
        <f t="shared" si="29"/>
        <v>3.3118688301848006E-3</v>
      </c>
    </row>
    <row r="1831" spans="2:8" x14ac:dyDescent="0.2">
      <c r="B1831" s="5">
        <v>44658</v>
      </c>
      <c r="C1831" s="6" t="s">
        <v>18</v>
      </c>
      <c r="D1831" s="7">
        <v>27.389999</v>
      </c>
      <c r="E1831" s="7">
        <v>26.272805999999999</v>
      </c>
      <c r="F1831" s="7">
        <v>27.559999000000001</v>
      </c>
      <c r="G1831" s="7">
        <v>27.129999000000002</v>
      </c>
      <c r="H1831" s="8">
        <f t="shared" si="29"/>
        <v>6.2259870584545993E-3</v>
      </c>
    </row>
    <row r="1832" spans="2:8" x14ac:dyDescent="0.2">
      <c r="B1832" s="5">
        <v>44659</v>
      </c>
      <c r="C1832" s="6" t="s">
        <v>18</v>
      </c>
      <c r="D1832" s="7">
        <v>27.549999</v>
      </c>
      <c r="E1832" s="7">
        <v>26.426279999999998</v>
      </c>
      <c r="F1832" s="7">
        <v>27.66</v>
      </c>
      <c r="G1832" s="7">
        <v>27.370000999999998</v>
      </c>
      <c r="H1832" s="8">
        <f t="shared" si="29"/>
        <v>5.8245577120477022E-3</v>
      </c>
    </row>
    <row r="1833" spans="2:8" x14ac:dyDescent="0.2">
      <c r="B1833" s="5">
        <v>44660</v>
      </c>
      <c r="C1833" s="6" t="s">
        <v>18</v>
      </c>
      <c r="D1833" s="7">
        <v>27.629999000000002</v>
      </c>
      <c r="E1833" s="7">
        <v>26.503017</v>
      </c>
      <c r="F1833" s="7">
        <v>27.74</v>
      </c>
      <c r="G1833" s="7">
        <v>27.42</v>
      </c>
      <c r="H1833" s="8">
        <f t="shared" si="29"/>
        <v>2.8996060070560596E-3</v>
      </c>
    </row>
    <row r="1834" spans="2:8" x14ac:dyDescent="0.2">
      <c r="B1834" s="5">
        <v>44661</v>
      </c>
      <c r="C1834" s="6" t="s">
        <v>18</v>
      </c>
      <c r="D1834" s="7">
        <v>28.040001</v>
      </c>
      <c r="E1834" s="7">
        <v>26.896294999999999</v>
      </c>
      <c r="F1834" s="7">
        <v>28.08</v>
      </c>
      <c r="G1834" s="7">
        <v>27.559999000000001</v>
      </c>
      <c r="H1834" s="8">
        <f t="shared" si="29"/>
        <v>1.4729969211347645E-2</v>
      </c>
    </row>
    <row r="1835" spans="2:8" x14ac:dyDescent="0.2">
      <c r="B1835" s="5">
        <v>44664</v>
      </c>
      <c r="C1835" s="6" t="s">
        <v>18</v>
      </c>
      <c r="D1835" s="7">
        <v>27.98</v>
      </c>
      <c r="E1835" s="7">
        <v>26.838740999999999</v>
      </c>
      <c r="F1835" s="7">
        <v>28.280000999999999</v>
      </c>
      <c r="G1835" s="7">
        <v>27.940000999999999</v>
      </c>
      <c r="H1835" s="8">
        <f t="shared" si="29"/>
        <v>-2.1421413771269531E-3</v>
      </c>
    </row>
    <row r="1836" spans="2:8" x14ac:dyDescent="0.2">
      <c r="B1836" s="5">
        <v>44665</v>
      </c>
      <c r="C1836" s="6" t="s">
        <v>18</v>
      </c>
      <c r="D1836" s="7">
        <v>27.809999000000001</v>
      </c>
      <c r="E1836" s="7">
        <v>26.675674999999998</v>
      </c>
      <c r="F1836" s="7">
        <v>28.059999000000001</v>
      </c>
      <c r="G1836" s="7">
        <v>27.68</v>
      </c>
      <c r="H1836" s="8">
        <f t="shared" si="29"/>
        <v>-6.094301942712846E-3</v>
      </c>
    </row>
    <row r="1837" spans="2:8" x14ac:dyDescent="0.2">
      <c r="B1837" s="5">
        <v>44666</v>
      </c>
      <c r="C1837" s="6" t="s">
        <v>18</v>
      </c>
      <c r="D1837" s="7">
        <v>28.25</v>
      </c>
      <c r="E1837" s="7">
        <v>27.097729000000001</v>
      </c>
      <c r="F1837" s="7">
        <v>28.42</v>
      </c>
      <c r="G1837" s="7">
        <v>27.969999000000001</v>
      </c>
      <c r="H1837" s="8">
        <f t="shared" si="29"/>
        <v>1.5697822176193647E-2</v>
      </c>
    </row>
    <row r="1838" spans="2:8" x14ac:dyDescent="0.2">
      <c r="B1838" s="5">
        <v>44667</v>
      </c>
      <c r="C1838" s="6" t="s">
        <v>18</v>
      </c>
      <c r="D1838" s="7">
        <v>28.6</v>
      </c>
      <c r="E1838" s="7">
        <v>27.433453</v>
      </c>
      <c r="F1838" s="7">
        <v>28.639999</v>
      </c>
      <c r="G1838" s="7">
        <v>28.1</v>
      </c>
      <c r="H1838" s="8">
        <f t="shared" si="29"/>
        <v>1.2313257459145608E-2</v>
      </c>
    </row>
    <row r="1839" spans="2:8" x14ac:dyDescent="0.2">
      <c r="B1839" s="5">
        <v>44668</v>
      </c>
      <c r="C1839" s="6" t="s">
        <v>18</v>
      </c>
      <c r="D1839" s="7">
        <v>27.92</v>
      </c>
      <c r="E1839" s="7">
        <v>26.781189000000001</v>
      </c>
      <c r="F1839" s="7">
        <v>28.4</v>
      </c>
      <c r="G1839" s="7">
        <v>27.9</v>
      </c>
      <c r="H1839" s="8">
        <f t="shared" si="29"/>
        <v>-2.4063443012808338E-2</v>
      </c>
    </row>
    <row r="1840" spans="2:8" x14ac:dyDescent="0.2">
      <c r="B1840" s="5">
        <v>44671</v>
      </c>
      <c r="C1840" s="6" t="s">
        <v>18</v>
      </c>
      <c r="D1840" s="7">
        <v>28.48</v>
      </c>
      <c r="E1840" s="7">
        <v>27.318346999999999</v>
      </c>
      <c r="F1840" s="7">
        <v>28.629999000000002</v>
      </c>
      <c r="G1840" s="7">
        <v>28.16</v>
      </c>
      <c r="H1840" s="8">
        <f t="shared" si="29"/>
        <v>1.9858789665122341E-2</v>
      </c>
    </row>
    <row r="1841" spans="2:8" x14ac:dyDescent="0.2">
      <c r="B1841" s="5">
        <v>44672</v>
      </c>
      <c r="C1841" s="6" t="s">
        <v>18</v>
      </c>
      <c r="D1841" s="7">
        <v>28.690000999999999</v>
      </c>
      <c r="E1841" s="7">
        <v>27.519783</v>
      </c>
      <c r="F1841" s="7">
        <v>28.92</v>
      </c>
      <c r="G1841" s="7">
        <v>28.66</v>
      </c>
      <c r="H1841" s="8">
        <f t="shared" si="29"/>
        <v>7.3466001120066462E-3</v>
      </c>
    </row>
    <row r="1842" spans="2:8" x14ac:dyDescent="0.2">
      <c r="B1842" s="5">
        <v>44673</v>
      </c>
      <c r="C1842" s="6" t="s">
        <v>18</v>
      </c>
      <c r="D1842" s="7">
        <v>28.620000999999998</v>
      </c>
      <c r="E1842" s="7">
        <v>27.452638</v>
      </c>
      <c r="F1842" s="7">
        <v>28.790001</v>
      </c>
      <c r="G1842" s="7">
        <v>28.42</v>
      </c>
      <c r="H1842" s="8">
        <f t="shared" si="29"/>
        <v>-2.4428625179552747E-3</v>
      </c>
    </row>
    <row r="1843" spans="2:8" x14ac:dyDescent="0.2">
      <c r="B1843" s="5">
        <v>44674</v>
      </c>
      <c r="C1843" s="6" t="s">
        <v>18</v>
      </c>
      <c r="D1843" s="7">
        <v>28.68</v>
      </c>
      <c r="E1843" s="7">
        <v>27.510190000000001</v>
      </c>
      <c r="F1843" s="7">
        <v>28.82</v>
      </c>
      <c r="G1843" s="7">
        <v>28.200001</v>
      </c>
      <c r="H1843" s="8">
        <f t="shared" si="29"/>
        <v>2.0942161503776061E-3</v>
      </c>
    </row>
    <row r="1844" spans="2:8" x14ac:dyDescent="0.2">
      <c r="B1844" s="5">
        <v>44675</v>
      </c>
      <c r="C1844" s="6" t="s">
        <v>18</v>
      </c>
      <c r="D1844" s="7">
        <v>28.82</v>
      </c>
      <c r="E1844" s="7">
        <v>27.644479</v>
      </c>
      <c r="F1844" s="7">
        <v>29.280000999999999</v>
      </c>
      <c r="G1844" s="7">
        <v>28.67</v>
      </c>
      <c r="H1844" s="8">
        <f t="shared" si="29"/>
        <v>4.869552035965158E-3</v>
      </c>
    </row>
    <row r="1845" spans="2:8" x14ac:dyDescent="0.2">
      <c r="B1845" s="5">
        <v>44678</v>
      </c>
      <c r="C1845" s="6" t="s">
        <v>18</v>
      </c>
      <c r="D1845" s="7">
        <v>28.889999</v>
      </c>
      <c r="E1845" s="7">
        <v>27.711624</v>
      </c>
      <c r="F1845" s="7">
        <v>29.030000999999999</v>
      </c>
      <c r="G1845" s="7">
        <v>28.709999</v>
      </c>
      <c r="H1845" s="8">
        <f t="shared" si="29"/>
        <v>2.4259306306228029E-3</v>
      </c>
    </row>
    <row r="1846" spans="2:8" x14ac:dyDescent="0.2">
      <c r="B1846" s="5">
        <v>44679</v>
      </c>
      <c r="C1846" s="6" t="s">
        <v>18</v>
      </c>
      <c r="D1846" s="7">
        <v>29.32</v>
      </c>
      <c r="E1846" s="7">
        <v>28.124085000000001</v>
      </c>
      <c r="F1846" s="7">
        <v>29.33</v>
      </c>
      <c r="G1846" s="7">
        <v>28.76</v>
      </c>
      <c r="H1846" s="8">
        <f t="shared" si="29"/>
        <v>1.4774362503383945E-2</v>
      </c>
    </row>
    <row r="1847" spans="2:8" x14ac:dyDescent="0.2">
      <c r="B1847" s="5">
        <v>44680</v>
      </c>
      <c r="C1847" s="6" t="s">
        <v>18</v>
      </c>
      <c r="D1847" s="7">
        <v>29.049999</v>
      </c>
      <c r="E1847" s="7">
        <v>27.865098</v>
      </c>
      <c r="F1847" s="7">
        <v>29.25</v>
      </c>
      <c r="G1847" s="7">
        <v>28.9</v>
      </c>
      <c r="H1847" s="8">
        <f t="shared" si="29"/>
        <v>-9.2513886899595211E-3</v>
      </c>
    </row>
    <row r="1848" spans="2:8" x14ac:dyDescent="0.2">
      <c r="B1848" s="5">
        <v>44681</v>
      </c>
      <c r="C1848" s="6" t="s">
        <v>18</v>
      </c>
      <c r="D1848" s="7">
        <v>28.83</v>
      </c>
      <c r="E1848" s="7">
        <v>27.654071999999999</v>
      </c>
      <c r="F1848" s="7">
        <v>29.02</v>
      </c>
      <c r="G1848" s="7">
        <v>28.68</v>
      </c>
      <c r="H1848" s="8">
        <f t="shared" si="29"/>
        <v>-7.6019514073851491E-3</v>
      </c>
    </row>
    <row r="1849" spans="2:8" x14ac:dyDescent="0.2">
      <c r="B1849" s="5">
        <v>44682</v>
      </c>
      <c r="C1849" s="6" t="s">
        <v>18</v>
      </c>
      <c r="D1849" s="7">
        <v>29.129999000000002</v>
      </c>
      <c r="E1849" s="7">
        <v>27.941834</v>
      </c>
      <c r="F1849" s="7">
        <v>29.200001</v>
      </c>
      <c r="G1849" s="7">
        <v>28.780000999999999</v>
      </c>
      <c r="H1849" s="8">
        <f t="shared" si="29"/>
        <v>1.0352005768430185E-2</v>
      </c>
    </row>
    <row r="1850" spans="2:8" x14ac:dyDescent="0.2">
      <c r="B1850" s="5">
        <v>44685</v>
      </c>
      <c r="C1850" s="6" t="s">
        <v>18</v>
      </c>
      <c r="D1850" s="7">
        <v>29.17</v>
      </c>
      <c r="E1850" s="7">
        <v>27.980204000000001</v>
      </c>
      <c r="F1850" s="7">
        <v>29.360001</v>
      </c>
      <c r="G1850" s="7">
        <v>29.07</v>
      </c>
      <c r="H1850" s="8">
        <f t="shared" si="29"/>
        <v>1.372267799727744E-3</v>
      </c>
    </row>
    <row r="1851" spans="2:8" x14ac:dyDescent="0.2">
      <c r="B1851" s="5">
        <v>44686</v>
      </c>
      <c r="C1851" s="6" t="s">
        <v>18</v>
      </c>
      <c r="D1851" s="7">
        <v>28.889999</v>
      </c>
      <c r="E1851" s="7">
        <v>27.711624</v>
      </c>
      <c r="F1851" s="7">
        <v>29.209999</v>
      </c>
      <c r="G1851" s="7">
        <v>28.84</v>
      </c>
      <c r="H1851" s="8">
        <f t="shared" si="29"/>
        <v>-9.6452959741971551E-3</v>
      </c>
    </row>
    <row r="1852" spans="2:8" x14ac:dyDescent="0.2">
      <c r="B1852" s="5">
        <v>44687</v>
      </c>
      <c r="C1852" s="6" t="s">
        <v>18</v>
      </c>
      <c r="D1852" s="7">
        <v>28.969999000000001</v>
      </c>
      <c r="E1852" s="7">
        <v>27.788360999999998</v>
      </c>
      <c r="F1852" s="7">
        <v>29.08</v>
      </c>
      <c r="G1852" s="7">
        <v>28.690000999999999</v>
      </c>
      <c r="H1852" s="8">
        <f t="shared" si="29"/>
        <v>2.7652998068339982E-3</v>
      </c>
    </row>
    <row r="1853" spans="2:8" x14ac:dyDescent="0.2">
      <c r="B1853" s="5">
        <v>44688</v>
      </c>
      <c r="C1853" s="6" t="s">
        <v>18</v>
      </c>
      <c r="D1853" s="7">
        <v>28.809999000000001</v>
      </c>
      <c r="E1853" s="7">
        <v>27.634886999999999</v>
      </c>
      <c r="F1853" s="7">
        <v>29.120000999999998</v>
      </c>
      <c r="G1853" s="7">
        <v>28.74</v>
      </c>
      <c r="H1853" s="8">
        <f t="shared" si="29"/>
        <v>-5.5382677061645907E-3</v>
      </c>
    </row>
    <row r="1854" spans="2:8" x14ac:dyDescent="0.2">
      <c r="B1854" s="5">
        <v>44689</v>
      </c>
      <c r="C1854" s="6" t="s">
        <v>18</v>
      </c>
      <c r="D1854" s="7">
        <v>29.23</v>
      </c>
      <c r="E1854" s="7">
        <v>28.037756000000002</v>
      </c>
      <c r="F1854" s="7">
        <v>29.370000999999998</v>
      </c>
      <c r="G1854" s="7">
        <v>28.99</v>
      </c>
      <c r="H1854" s="8">
        <f t="shared" si="29"/>
        <v>1.4473034173949333E-2</v>
      </c>
    </row>
    <row r="1855" spans="2:8" x14ac:dyDescent="0.2">
      <c r="B1855" s="5">
        <v>44692</v>
      </c>
      <c r="C1855" s="6" t="s">
        <v>18</v>
      </c>
      <c r="D1855" s="7">
        <v>29.209999</v>
      </c>
      <c r="E1855" s="7">
        <v>28.018571000000001</v>
      </c>
      <c r="F1855" s="7">
        <v>29.790001</v>
      </c>
      <c r="G1855" s="7">
        <v>29.200001</v>
      </c>
      <c r="H1855" s="8">
        <f t="shared" si="29"/>
        <v>-6.8449011113618126E-4</v>
      </c>
    </row>
    <row r="1856" spans="2:8" x14ac:dyDescent="0.2">
      <c r="B1856" s="5">
        <v>44693</v>
      </c>
      <c r="C1856" s="6" t="s">
        <v>18</v>
      </c>
      <c r="D1856" s="7">
        <v>29.23</v>
      </c>
      <c r="E1856" s="7">
        <v>28.037756000000002</v>
      </c>
      <c r="F1856" s="7">
        <v>29.440000999999999</v>
      </c>
      <c r="G1856" s="7">
        <v>28.799999</v>
      </c>
      <c r="H1856" s="8">
        <f t="shared" si="29"/>
        <v>6.8449011113616868E-4</v>
      </c>
    </row>
    <row r="1857" spans="2:8" x14ac:dyDescent="0.2">
      <c r="B1857" s="5">
        <v>44694</v>
      </c>
      <c r="C1857" s="6" t="s">
        <v>18</v>
      </c>
      <c r="D1857" s="7">
        <v>29.35</v>
      </c>
      <c r="E1857" s="7">
        <v>28.152861999999999</v>
      </c>
      <c r="F1857" s="7">
        <v>29.469999000000001</v>
      </c>
      <c r="G1857" s="7">
        <v>29.129999000000002</v>
      </c>
      <c r="H1857" s="8">
        <f t="shared" si="29"/>
        <v>4.0969886114260376E-3</v>
      </c>
    </row>
    <row r="1858" spans="2:8" x14ac:dyDescent="0.2">
      <c r="B1858" s="5">
        <v>44695</v>
      </c>
      <c r="C1858" s="6" t="s">
        <v>18</v>
      </c>
      <c r="D1858" s="7">
        <v>29.049999</v>
      </c>
      <c r="E1858" s="7">
        <v>27.865098</v>
      </c>
      <c r="F1858" s="7">
        <v>29.66</v>
      </c>
      <c r="G1858" s="7">
        <v>28.969999000000001</v>
      </c>
      <c r="H1858" s="8">
        <f t="shared" si="29"/>
        <v>-1.0274081072620338E-2</v>
      </c>
    </row>
    <row r="1859" spans="2:8" x14ac:dyDescent="0.2">
      <c r="B1859" s="5">
        <v>44696</v>
      </c>
      <c r="C1859" s="6" t="s">
        <v>18</v>
      </c>
      <c r="D1859" s="7">
        <v>29.549999</v>
      </c>
      <c r="E1859" s="7">
        <v>28.344702999999999</v>
      </c>
      <c r="F1859" s="7">
        <v>29.82</v>
      </c>
      <c r="G1859" s="7">
        <v>29.16</v>
      </c>
      <c r="H1859" s="8">
        <f t="shared" si="29"/>
        <v>1.7065231710846278E-2</v>
      </c>
    </row>
    <row r="1860" spans="2:8" x14ac:dyDescent="0.2">
      <c r="B1860" s="5">
        <v>44699</v>
      </c>
      <c r="C1860" s="6" t="s">
        <v>18</v>
      </c>
      <c r="D1860" s="7">
        <v>29.76</v>
      </c>
      <c r="E1860" s="7">
        <v>28.546139</v>
      </c>
      <c r="F1860" s="7">
        <v>29.9</v>
      </c>
      <c r="G1860" s="7">
        <v>29.42</v>
      </c>
      <c r="H1860" s="8">
        <f t="shared" ref="H1860:H1923" si="30">IF(C1860=C1859, LN(E1860/E1859), "")</f>
        <v>7.0815208465113107E-3</v>
      </c>
    </row>
    <row r="1861" spans="2:8" x14ac:dyDescent="0.2">
      <c r="B1861" s="5">
        <v>44700</v>
      </c>
      <c r="C1861" s="6" t="s">
        <v>18</v>
      </c>
      <c r="D1861" s="7">
        <v>29.74</v>
      </c>
      <c r="E1861" s="7">
        <v>28.526954</v>
      </c>
      <c r="F1861" s="7">
        <v>29.9</v>
      </c>
      <c r="G1861" s="7">
        <v>29.629999000000002</v>
      </c>
      <c r="H1861" s="8">
        <f t="shared" si="30"/>
        <v>-6.7229581276083655E-4</v>
      </c>
    </row>
    <row r="1862" spans="2:8" x14ac:dyDescent="0.2">
      <c r="B1862" s="5">
        <v>44701</v>
      </c>
      <c r="C1862" s="6" t="s">
        <v>18</v>
      </c>
      <c r="D1862" s="7">
        <v>29.620000999999998</v>
      </c>
      <c r="E1862" s="7">
        <v>28.411850000000001</v>
      </c>
      <c r="F1862" s="7">
        <v>29.85</v>
      </c>
      <c r="G1862" s="7">
        <v>29.530000999999999</v>
      </c>
      <c r="H1862" s="8">
        <f t="shared" si="30"/>
        <v>-4.0430830544239023E-3</v>
      </c>
    </row>
    <row r="1863" spans="2:8" x14ac:dyDescent="0.2">
      <c r="B1863" s="5">
        <v>44702</v>
      </c>
      <c r="C1863" s="6" t="s">
        <v>18</v>
      </c>
      <c r="D1863" s="7">
        <v>29.43</v>
      </c>
      <c r="E1863" s="7">
        <v>28.229599</v>
      </c>
      <c r="F1863" s="7">
        <v>29.77</v>
      </c>
      <c r="G1863" s="7">
        <v>29.43</v>
      </c>
      <c r="H1863" s="8">
        <f t="shared" si="30"/>
        <v>-6.4352742444575275E-3</v>
      </c>
    </row>
    <row r="1864" spans="2:8" x14ac:dyDescent="0.2">
      <c r="B1864" s="5">
        <v>44703</v>
      </c>
      <c r="C1864" s="6" t="s">
        <v>18</v>
      </c>
      <c r="D1864" s="7">
        <v>29.26</v>
      </c>
      <c r="E1864" s="7">
        <v>28.066533</v>
      </c>
      <c r="F1864" s="7">
        <v>29.450001</v>
      </c>
      <c r="G1864" s="7">
        <v>29.26</v>
      </c>
      <c r="H1864" s="8">
        <f t="shared" si="30"/>
        <v>-5.7931673192643226E-3</v>
      </c>
    </row>
    <row r="1865" spans="2:8" x14ac:dyDescent="0.2">
      <c r="B1865" s="5">
        <v>44707</v>
      </c>
      <c r="C1865" s="6" t="s">
        <v>18</v>
      </c>
      <c r="D1865" s="7">
        <v>28.950001</v>
      </c>
      <c r="E1865" s="7">
        <v>27.769178</v>
      </c>
      <c r="F1865" s="7">
        <v>29.25</v>
      </c>
      <c r="G1865" s="7">
        <v>28.75</v>
      </c>
      <c r="H1865" s="8">
        <f t="shared" si="30"/>
        <v>-1.0651169505991558E-2</v>
      </c>
    </row>
    <row r="1866" spans="2:8" x14ac:dyDescent="0.2">
      <c r="B1866" s="5">
        <v>44708</v>
      </c>
      <c r="C1866" s="6" t="s">
        <v>18</v>
      </c>
      <c r="D1866" s="7">
        <v>29.309999000000001</v>
      </c>
      <c r="E1866" s="7">
        <v>28.114493</v>
      </c>
      <c r="F1866" s="7">
        <v>29.48</v>
      </c>
      <c r="G1866" s="7">
        <v>29.02</v>
      </c>
      <c r="H1866" s="8">
        <f t="shared" si="30"/>
        <v>1.2358507910608855E-2</v>
      </c>
    </row>
    <row r="1867" spans="2:8" x14ac:dyDescent="0.2">
      <c r="B1867" s="5">
        <v>44709</v>
      </c>
      <c r="C1867" s="6" t="s">
        <v>18</v>
      </c>
      <c r="D1867" s="7">
        <v>29.35</v>
      </c>
      <c r="E1867" s="7">
        <v>28.152861999999999</v>
      </c>
      <c r="F1867" s="7">
        <v>29.559999000000001</v>
      </c>
      <c r="G1867" s="7">
        <v>29.16</v>
      </c>
      <c r="H1867" s="8">
        <f t="shared" si="30"/>
        <v>1.3638105415522276E-3</v>
      </c>
    </row>
    <row r="1868" spans="2:8" x14ac:dyDescent="0.2">
      <c r="B1868" s="5">
        <v>44710</v>
      </c>
      <c r="C1868" s="6" t="s">
        <v>18</v>
      </c>
      <c r="D1868" s="7">
        <v>29.309999000000001</v>
      </c>
      <c r="E1868" s="7">
        <v>28.114493</v>
      </c>
      <c r="F1868" s="7">
        <v>29.59</v>
      </c>
      <c r="G1868" s="7">
        <v>29.190000999999999</v>
      </c>
      <c r="H1868" s="8">
        <f t="shared" si="30"/>
        <v>-1.3638105415521144E-3</v>
      </c>
    </row>
    <row r="1869" spans="2:8" x14ac:dyDescent="0.2">
      <c r="B1869" s="5">
        <v>44713</v>
      </c>
      <c r="C1869" s="6" t="s">
        <v>18</v>
      </c>
      <c r="D1869" s="7">
        <v>29.18</v>
      </c>
      <c r="E1869" s="7">
        <v>27.989795999999998</v>
      </c>
      <c r="F1869" s="7">
        <v>29.620000999999998</v>
      </c>
      <c r="G1869" s="7">
        <v>29.049999</v>
      </c>
      <c r="H1869" s="8">
        <f t="shared" si="30"/>
        <v>-4.4451933195931966E-3</v>
      </c>
    </row>
    <row r="1870" spans="2:8" x14ac:dyDescent="0.2">
      <c r="B1870" s="5">
        <v>44714</v>
      </c>
      <c r="C1870" s="6" t="s">
        <v>18</v>
      </c>
      <c r="D1870" s="7">
        <v>29.08</v>
      </c>
      <c r="E1870" s="7">
        <v>27.893875000000001</v>
      </c>
      <c r="F1870" s="7">
        <v>29.27</v>
      </c>
      <c r="G1870" s="7">
        <v>28.950001</v>
      </c>
      <c r="H1870" s="8">
        <f t="shared" si="30"/>
        <v>-3.4328845075322005E-3</v>
      </c>
    </row>
    <row r="1871" spans="2:8" x14ac:dyDescent="0.2">
      <c r="B1871" s="5">
        <v>44715</v>
      </c>
      <c r="C1871" s="6" t="s">
        <v>18</v>
      </c>
      <c r="D1871" s="7">
        <v>29.09</v>
      </c>
      <c r="E1871" s="7">
        <v>27.903466999999999</v>
      </c>
      <c r="F1871" s="7">
        <v>29.299999</v>
      </c>
      <c r="G1871" s="7">
        <v>29.049999</v>
      </c>
      <c r="H1871" s="8">
        <f t="shared" si="30"/>
        <v>3.4381566399665711E-4</v>
      </c>
    </row>
    <row r="1872" spans="2:8" x14ac:dyDescent="0.2">
      <c r="B1872" s="5">
        <v>44716</v>
      </c>
      <c r="C1872" s="6" t="s">
        <v>18</v>
      </c>
      <c r="D1872" s="7">
        <v>28.610001</v>
      </c>
      <c r="E1872" s="7">
        <v>27.443045999999999</v>
      </c>
      <c r="F1872" s="7">
        <v>29.1</v>
      </c>
      <c r="G1872" s="7">
        <v>28.540001</v>
      </c>
      <c r="H1872" s="8">
        <f t="shared" si="30"/>
        <v>-1.6638143812113461E-2</v>
      </c>
    </row>
    <row r="1873" spans="2:8" x14ac:dyDescent="0.2">
      <c r="B1873" s="5">
        <v>44717</v>
      </c>
      <c r="C1873" s="6" t="s">
        <v>18</v>
      </c>
      <c r="D1873" s="7">
        <v>28.58</v>
      </c>
      <c r="E1873" s="7">
        <v>27.414269000000001</v>
      </c>
      <c r="F1873" s="7">
        <v>28.709999</v>
      </c>
      <c r="G1873" s="7">
        <v>28.49</v>
      </c>
      <c r="H1873" s="8">
        <f t="shared" si="30"/>
        <v>-1.0491582622900195E-3</v>
      </c>
    </row>
    <row r="1874" spans="2:8" x14ac:dyDescent="0.2">
      <c r="B1874" s="5">
        <v>44720</v>
      </c>
      <c r="C1874" s="6" t="s">
        <v>18</v>
      </c>
      <c r="D1874" s="7">
        <v>28.280000999999999</v>
      </c>
      <c r="E1874" s="7">
        <v>27.126505999999999</v>
      </c>
      <c r="F1874" s="7">
        <v>28.700001</v>
      </c>
      <c r="G1874" s="7">
        <v>28.23</v>
      </c>
      <c r="H1874" s="8">
        <f t="shared" si="30"/>
        <v>-1.0552313208875251E-2</v>
      </c>
    </row>
    <row r="1875" spans="2:8" x14ac:dyDescent="0.2">
      <c r="B1875" s="5">
        <v>44721</v>
      </c>
      <c r="C1875" s="6" t="s">
        <v>18</v>
      </c>
      <c r="D1875" s="7">
        <v>28.24</v>
      </c>
      <c r="E1875" s="7">
        <v>27.088137</v>
      </c>
      <c r="F1875" s="7">
        <v>28.42</v>
      </c>
      <c r="G1875" s="7">
        <v>28.01</v>
      </c>
      <c r="H1875" s="8">
        <f t="shared" si="30"/>
        <v>-1.4154480886650282E-3</v>
      </c>
    </row>
    <row r="1876" spans="2:8" x14ac:dyDescent="0.2">
      <c r="B1876" s="5">
        <v>44722</v>
      </c>
      <c r="C1876" s="6" t="s">
        <v>18</v>
      </c>
      <c r="D1876" s="7">
        <v>28.66</v>
      </c>
      <c r="E1876" s="7">
        <v>27.491005999999999</v>
      </c>
      <c r="F1876" s="7">
        <v>28.91</v>
      </c>
      <c r="G1876" s="7">
        <v>28.27</v>
      </c>
      <c r="H1876" s="8">
        <f t="shared" si="30"/>
        <v>1.4763013665002512E-2</v>
      </c>
    </row>
    <row r="1877" spans="2:8" x14ac:dyDescent="0.2">
      <c r="B1877" s="5">
        <v>44723</v>
      </c>
      <c r="C1877" s="6" t="s">
        <v>18</v>
      </c>
      <c r="D1877" s="7">
        <v>28.860001</v>
      </c>
      <c r="E1877" s="7">
        <v>27.682849000000001</v>
      </c>
      <c r="F1877" s="7">
        <v>29.219999000000001</v>
      </c>
      <c r="G1877" s="7">
        <v>28.75</v>
      </c>
      <c r="H1877" s="8">
        <f t="shared" si="30"/>
        <v>6.9541551204294711E-3</v>
      </c>
    </row>
    <row r="1878" spans="2:8" x14ac:dyDescent="0.2">
      <c r="B1878" s="5">
        <v>44724</v>
      </c>
      <c r="C1878" s="6" t="s">
        <v>18</v>
      </c>
      <c r="D1878" s="7">
        <v>28.540001</v>
      </c>
      <c r="E1878" s="7">
        <v>27.375900999999999</v>
      </c>
      <c r="F1878" s="7">
        <v>28.67</v>
      </c>
      <c r="G1878" s="7">
        <v>28.309999000000001</v>
      </c>
      <c r="H1878" s="8">
        <f t="shared" si="30"/>
        <v>-1.1149950916453492E-2</v>
      </c>
    </row>
    <row r="1879" spans="2:8" x14ac:dyDescent="0.2">
      <c r="B1879" s="5">
        <v>44727</v>
      </c>
      <c r="C1879" s="6" t="s">
        <v>18</v>
      </c>
      <c r="D1879" s="7">
        <v>28.48</v>
      </c>
      <c r="E1879" s="7">
        <v>27.318346999999999</v>
      </c>
      <c r="F1879" s="7">
        <v>28.52</v>
      </c>
      <c r="G1879" s="7">
        <v>28.110001</v>
      </c>
      <c r="H1879" s="8">
        <f t="shared" si="30"/>
        <v>-2.1045730894157042E-3</v>
      </c>
    </row>
    <row r="1880" spans="2:8" x14ac:dyDescent="0.2">
      <c r="B1880" s="5">
        <v>44728</v>
      </c>
      <c r="C1880" s="6" t="s">
        <v>18</v>
      </c>
      <c r="D1880" s="7">
        <v>28.709999</v>
      </c>
      <c r="E1880" s="7">
        <v>27.538965999999999</v>
      </c>
      <c r="F1880" s="7">
        <v>28.790001</v>
      </c>
      <c r="G1880" s="7">
        <v>28.280000999999999</v>
      </c>
      <c r="H1880" s="8">
        <f t="shared" si="30"/>
        <v>8.0434194595076676E-3</v>
      </c>
    </row>
    <row r="1881" spans="2:8" x14ac:dyDescent="0.2">
      <c r="B1881" s="5">
        <v>44729</v>
      </c>
      <c r="C1881" s="6" t="s">
        <v>18</v>
      </c>
      <c r="D1881" s="7">
        <v>28.93</v>
      </c>
      <c r="E1881" s="7">
        <v>27.749993</v>
      </c>
      <c r="F1881" s="7">
        <v>29.040001</v>
      </c>
      <c r="G1881" s="7">
        <v>28.66</v>
      </c>
      <c r="H1881" s="8">
        <f t="shared" si="30"/>
        <v>7.6336407330221392E-3</v>
      </c>
    </row>
    <row r="1882" spans="2:8" x14ac:dyDescent="0.2">
      <c r="B1882" s="5">
        <v>44730</v>
      </c>
      <c r="C1882" s="6" t="s">
        <v>18</v>
      </c>
      <c r="D1882" s="7">
        <v>29.209999</v>
      </c>
      <c r="E1882" s="7">
        <v>28.018571000000001</v>
      </c>
      <c r="F1882" s="7">
        <v>29.35</v>
      </c>
      <c r="G1882" s="7">
        <v>28.82</v>
      </c>
      <c r="H1882" s="8">
        <f t="shared" si="30"/>
        <v>9.6319523819695628E-3</v>
      </c>
    </row>
    <row r="1883" spans="2:8" x14ac:dyDescent="0.2">
      <c r="B1883" s="5">
        <v>44731</v>
      </c>
      <c r="C1883" s="6" t="s">
        <v>18</v>
      </c>
      <c r="D1883" s="7">
        <v>29.030000999999999</v>
      </c>
      <c r="E1883" s="7">
        <v>27.845915000000002</v>
      </c>
      <c r="F1883" s="7">
        <v>29.32</v>
      </c>
      <c r="G1883" s="7">
        <v>28.940000999999999</v>
      </c>
      <c r="H1883" s="8">
        <f t="shared" si="30"/>
        <v>-6.1812633427466767E-3</v>
      </c>
    </row>
    <row r="1884" spans="2:8" x14ac:dyDescent="0.2">
      <c r="B1884" s="5">
        <v>44734</v>
      </c>
      <c r="C1884" s="6" t="s">
        <v>18</v>
      </c>
      <c r="D1884" s="7">
        <v>28.940000999999999</v>
      </c>
      <c r="E1884" s="7">
        <v>27.759585999999999</v>
      </c>
      <c r="F1884" s="7">
        <v>29.219999000000001</v>
      </c>
      <c r="G1884" s="7">
        <v>28.82</v>
      </c>
      <c r="H1884" s="8">
        <f t="shared" si="30"/>
        <v>-3.1050549966552625E-3</v>
      </c>
    </row>
    <row r="1885" spans="2:8" x14ac:dyDescent="0.2">
      <c r="B1885" s="5">
        <v>44735</v>
      </c>
      <c r="C1885" s="6" t="s">
        <v>18</v>
      </c>
      <c r="D1885" s="7">
        <v>28.790001</v>
      </c>
      <c r="E1885" s="7">
        <v>27.615704000000001</v>
      </c>
      <c r="F1885" s="7">
        <v>29.040001</v>
      </c>
      <c r="G1885" s="7">
        <v>28.620000999999998</v>
      </c>
      <c r="H1885" s="8">
        <f t="shared" si="30"/>
        <v>-5.1966255632543493E-3</v>
      </c>
    </row>
    <row r="1886" spans="2:8" x14ac:dyDescent="0.2">
      <c r="B1886" s="5">
        <v>44736</v>
      </c>
      <c r="C1886" s="6" t="s">
        <v>18</v>
      </c>
      <c r="D1886" s="7">
        <v>28.51</v>
      </c>
      <c r="E1886" s="7">
        <v>27.347124000000001</v>
      </c>
      <c r="F1886" s="7">
        <v>28.85</v>
      </c>
      <c r="G1886" s="7">
        <v>28.49</v>
      </c>
      <c r="H1886" s="8">
        <f t="shared" si="30"/>
        <v>-9.7732284737515659E-3</v>
      </c>
    </row>
    <row r="1887" spans="2:8" x14ac:dyDescent="0.2">
      <c r="B1887" s="5">
        <v>44737</v>
      </c>
      <c r="C1887" s="6" t="s">
        <v>18</v>
      </c>
      <c r="D1887" s="7">
        <v>28.4</v>
      </c>
      <c r="E1887" s="7">
        <v>27.241610000000001</v>
      </c>
      <c r="F1887" s="7">
        <v>28.65</v>
      </c>
      <c r="G1887" s="7">
        <v>28.379999000000002</v>
      </c>
      <c r="H1887" s="8">
        <f t="shared" si="30"/>
        <v>-3.8657841525540347E-3</v>
      </c>
    </row>
    <row r="1888" spans="2:8" x14ac:dyDescent="0.2">
      <c r="B1888" s="5">
        <v>44738</v>
      </c>
      <c r="C1888" s="6" t="s">
        <v>18</v>
      </c>
      <c r="D1888" s="7">
        <v>28.280000999999999</v>
      </c>
      <c r="E1888" s="7">
        <v>27.126505999999999</v>
      </c>
      <c r="F1888" s="7">
        <v>28.49</v>
      </c>
      <c r="G1888" s="7">
        <v>28.01</v>
      </c>
      <c r="H1888" s="8">
        <f t="shared" si="30"/>
        <v>-4.2342527364356208E-3</v>
      </c>
    </row>
    <row r="1889" spans="2:8" x14ac:dyDescent="0.2">
      <c r="B1889" s="5">
        <v>44741</v>
      </c>
      <c r="C1889" s="6" t="s">
        <v>18</v>
      </c>
      <c r="D1889" s="7">
        <v>27.540001</v>
      </c>
      <c r="E1889" s="7">
        <v>26.416689999999999</v>
      </c>
      <c r="F1889" s="7">
        <v>28.110001</v>
      </c>
      <c r="G1889" s="7">
        <v>27.5</v>
      </c>
      <c r="H1889" s="8">
        <f t="shared" si="30"/>
        <v>-2.6515323687084397E-2</v>
      </c>
    </row>
    <row r="1890" spans="2:8" x14ac:dyDescent="0.2">
      <c r="B1890" s="5">
        <v>44742</v>
      </c>
      <c r="C1890" s="6" t="s">
        <v>18</v>
      </c>
      <c r="D1890" s="7">
        <v>27.459999</v>
      </c>
      <c r="E1890" s="7">
        <v>26.339950999999999</v>
      </c>
      <c r="F1890" s="7">
        <v>27.83</v>
      </c>
      <c r="G1890" s="7">
        <v>27.33</v>
      </c>
      <c r="H1890" s="8">
        <f t="shared" si="30"/>
        <v>-2.9091713447771815E-3</v>
      </c>
    </row>
    <row r="1891" spans="2:8" x14ac:dyDescent="0.2">
      <c r="B1891" s="5">
        <v>44743</v>
      </c>
      <c r="C1891" s="6" t="s">
        <v>18</v>
      </c>
      <c r="D1891" s="7">
        <v>27.35</v>
      </c>
      <c r="E1891" s="7">
        <v>26.436613000000001</v>
      </c>
      <c r="F1891" s="7">
        <v>27.5</v>
      </c>
      <c r="G1891" s="7">
        <v>27.07</v>
      </c>
      <c r="H1891" s="8">
        <f t="shared" si="30"/>
        <v>3.6630693913619798E-3</v>
      </c>
    </row>
    <row r="1892" spans="2:8" x14ac:dyDescent="0.2">
      <c r="B1892" s="5">
        <v>44744</v>
      </c>
      <c r="C1892" s="6" t="s">
        <v>18</v>
      </c>
      <c r="D1892" s="7">
        <v>27.33</v>
      </c>
      <c r="E1892" s="7">
        <v>26.417280999999999</v>
      </c>
      <c r="F1892" s="7">
        <v>27.57</v>
      </c>
      <c r="G1892" s="7">
        <v>27.290001</v>
      </c>
      <c r="H1892" s="8">
        <f t="shared" si="30"/>
        <v>-7.3152607685245607E-4</v>
      </c>
    </row>
    <row r="1893" spans="2:8" x14ac:dyDescent="0.2">
      <c r="B1893" s="5">
        <v>44748</v>
      </c>
      <c r="C1893" s="6" t="s">
        <v>18</v>
      </c>
      <c r="D1893" s="7">
        <v>27.219999000000001</v>
      </c>
      <c r="E1893" s="7">
        <v>26.310953999999999</v>
      </c>
      <c r="F1893" s="7">
        <v>27.26</v>
      </c>
      <c r="G1893" s="7">
        <v>26.889999</v>
      </c>
      <c r="H1893" s="8">
        <f t="shared" si="30"/>
        <v>-4.0330249673603061E-3</v>
      </c>
    </row>
    <row r="1894" spans="2:8" x14ac:dyDescent="0.2">
      <c r="B1894" s="5">
        <v>44749</v>
      </c>
      <c r="C1894" s="6" t="s">
        <v>18</v>
      </c>
      <c r="D1894" s="7">
        <v>27.360001</v>
      </c>
      <c r="E1894" s="7">
        <v>26.446279000000001</v>
      </c>
      <c r="F1894" s="7">
        <v>27.450001</v>
      </c>
      <c r="G1894" s="7">
        <v>26.889999</v>
      </c>
      <c r="H1894" s="8">
        <f t="shared" si="30"/>
        <v>5.1301135065548002E-3</v>
      </c>
    </row>
    <row r="1895" spans="2:8" x14ac:dyDescent="0.2">
      <c r="B1895" s="5">
        <v>44750</v>
      </c>
      <c r="C1895" s="6" t="s">
        <v>18</v>
      </c>
      <c r="D1895" s="7">
        <v>26.99</v>
      </c>
      <c r="E1895" s="7">
        <v>26.088635</v>
      </c>
      <c r="F1895" s="7">
        <v>27.16</v>
      </c>
      <c r="G1895" s="7">
        <v>26.84</v>
      </c>
      <c r="H1895" s="8">
        <f t="shared" si="30"/>
        <v>-1.36156889947469E-2</v>
      </c>
    </row>
    <row r="1896" spans="2:8" x14ac:dyDescent="0.2">
      <c r="B1896" s="5">
        <v>44751</v>
      </c>
      <c r="C1896" s="6" t="s">
        <v>18</v>
      </c>
      <c r="D1896" s="7">
        <v>26.91</v>
      </c>
      <c r="E1896" s="7">
        <v>26.011306999999999</v>
      </c>
      <c r="F1896" s="7">
        <v>27.450001</v>
      </c>
      <c r="G1896" s="7">
        <v>26.9</v>
      </c>
      <c r="H1896" s="8">
        <f t="shared" si="30"/>
        <v>-2.9684507818679719E-3</v>
      </c>
    </row>
    <row r="1897" spans="2:8" x14ac:dyDescent="0.2">
      <c r="B1897" s="5">
        <v>44752</v>
      </c>
      <c r="C1897" s="6" t="s">
        <v>18</v>
      </c>
      <c r="D1897" s="7">
        <v>27.280000999999999</v>
      </c>
      <c r="E1897" s="7">
        <v>26.368950999999999</v>
      </c>
      <c r="F1897" s="7">
        <v>27.360001</v>
      </c>
      <c r="G1897" s="7">
        <v>27.040001</v>
      </c>
      <c r="H1897" s="8">
        <f t="shared" si="30"/>
        <v>1.3655891418898293E-2</v>
      </c>
    </row>
    <row r="1898" spans="2:8" x14ac:dyDescent="0.2">
      <c r="B1898" s="5">
        <v>44755</v>
      </c>
      <c r="C1898" s="6" t="s">
        <v>18</v>
      </c>
      <c r="D1898" s="7">
        <v>27.790001</v>
      </c>
      <c r="E1898" s="7">
        <v>26.861919</v>
      </c>
      <c r="F1898" s="7">
        <v>27.799999</v>
      </c>
      <c r="G1898" s="7">
        <v>27.42</v>
      </c>
      <c r="H1898" s="8">
        <f t="shared" si="30"/>
        <v>1.8522413549373475E-2</v>
      </c>
    </row>
    <row r="1899" spans="2:8" x14ac:dyDescent="0.2">
      <c r="B1899" s="5">
        <v>44756</v>
      </c>
      <c r="C1899" s="6" t="s">
        <v>18</v>
      </c>
      <c r="D1899" s="7">
        <v>28.030000999999999</v>
      </c>
      <c r="E1899" s="7">
        <v>27.093903999999998</v>
      </c>
      <c r="F1899" s="7">
        <v>28.040001</v>
      </c>
      <c r="G1899" s="7">
        <v>27.700001</v>
      </c>
      <c r="H1899" s="8">
        <f t="shared" si="30"/>
        <v>8.59912486213559E-3</v>
      </c>
    </row>
    <row r="1900" spans="2:8" x14ac:dyDescent="0.2">
      <c r="B1900" s="5">
        <v>44757</v>
      </c>
      <c r="C1900" s="6" t="s">
        <v>18</v>
      </c>
      <c r="D1900" s="7">
        <v>28.110001</v>
      </c>
      <c r="E1900" s="7">
        <v>27.171232</v>
      </c>
      <c r="F1900" s="7">
        <v>28.24</v>
      </c>
      <c r="G1900" s="7">
        <v>27.809999000000001</v>
      </c>
      <c r="H1900" s="8">
        <f t="shared" si="30"/>
        <v>2.8500086074307726E-3</v>
      </c>
    </row>
    <row r="1901" spans="2:8" x14ac:dyDescent="0.2">
      <c r="B1901" s="5">
        <v>44758</v>
      </c>
      <c r="C1901" s="6" t="s">
        <v>18</v>
      </c>
      <c r="D1901" s="7">
        <v>28.32</v>
      </c>
      <c r="E1901" s="7">
        <v>27.374217999999999</v>
      </c>
      <c r="F1901" s="7">
        <v>28.42</v>
      </c>
      <c r="G1901" s="7">
        <v>28.209999</v>
      </c>
      <c r="H1901" s="8">
        <f t="shared" si="30"/>
        <v>7.4428549788001916E-3</v>
      </c>
    </row>
    <row r="1902" spans="2:8" x14ac:dyDescent="0.2">
      <c r="B1902" s="5">
        <v>44759</v>
      </c>
      <c r="C1902" s="6" t="s">
        <v>18</v>
      </c>
      <c r="D1902" s="7">
        <v>28.18</v>
      </c>
      <c r="E1902" s="7">
        <v>27.238893999999998</v>
      </c>
      <c r="F1902" s="7">
        <v>28.309999000000001</v>
      </c>
      <c r="G1902" s="7">
        <v>27.969999000000001</v>
      </c>
      <c r="H1902" s="8">
        <f t="shared" si="30"/>
        <v>-4.9557431173717359E-3</v>
      </c>
    </row>
    <row r="1903" spans="2:8" x14ac:dyDescent="0.2">
      <c r="B1903" s="5">
        <v>44762</v>
      </c>
      <c r="C1903" s="6" t="s">
        <v>18</v>
      </c>
      <c r="D1903" s="7">
        <v>28.030000999999999</v>
      </c>
      <c r="E1903" s="7">
        <v>27.093903999999998</v>
      </c>
      <c r="F1903" s="7">
        <v>28.16</v>
      </c>
      <c r="G1903" s="7">
        <v>27.879999000000002</v>
      </c>
      <c r="H1903" s="8">
        <f t="shared" si="30"/>
        <v>-5.3371204688591762E-3</v>
      </c>
    </row>
    <row r="1904" spans="2:8" x14ac:dyDescent="0.2">
      <c r="B1904" s="5">
        <v>44763</v>
      </c>
      <c r="C1904" s="6" t="s">
        <v>18</v>
      </c>
      <c r="D1904" s="7">
        <v>27.84</v>
      </c>
      <c r="E1904" s="7">
        <v>26.910249</v>
      </c>
      <c r="F1904" s="7">
        <v>28.25</v>
      </c>
      <c r="G1904" s="7">
        <v>27.790001</v>
      </c>
      <c r="H1904" s="8">
        <f t="shared" si="30"/>
        <v>-6.8015401705863619E-3</v>
      </c>
    </row>
    <row r="1905" spans="2:8" x14ac:dyDescent="0.2">
      <c r="B1905" s="5">
        <v>44764</v>
      </c>
      <c r="C1905" s="6" t="s">
        <v>18</v>
      </c>
      <c r="D1905" s="7">
        <v>27.530000999999999</v>
      </c>
      <c r="E1905" s="7">
        <v>26.610602</v>
      </c>
      <c r="F1905" s="7">
        <v>28.059999000000001</v>
      </c>
      <c r="G1905" s="7">
        <v>27.440000999999999</v>
      </c>
      <c r="H1905" s="8">
        <f t="shared" si="30"/>
        <v>-1.1197509954047693E-2</v>
      </c>
    </row>
    <row r="1906" spans="2:8" x14ac:dyDescent="0.2">
      <c r="B1906" s="5">
        <v>44765</v>
      </c>
      <c r="C1906" s="6" t="s">
        <v>18</v>
      </c>
      <c r="D1906" s="7">
        <v>28.01</v>
      </c>
      <c r="E1906" s="7">
        <v>27.074570999999999</v>
      </c>
      <c r="F1906" s="7">
        <v>28.25</v>
      </c>
      <c r="G1906" s="7">
        <v>27.58</v>
      </c>
      <c r="H1906" s="8">
        <f t="shared" si="30"/>
        <v>1.7285240078444435E-2</v>
      </c>
    </row>
    <row r="1907" spans="2:8" x14ac:dyDescent="0.2">
      <c r="B1907" s="5">
        <v>44766</v>
      </c>
      <c r="C1907" s="6" t="s">
        <v>18</v>
      </c>
      <c r="D1907" s="7">
        <v>28.4</v>
      </c>
      <c r="E1907" s="7">
        <v>27.451546</v>
      </c>
      <c r="F1907" s="7">
        <v>28.77</v>
      </c>
      <c r="G1907" s="7">
        <v>28.379999000000002</v>
      </c>
      <c r="H1907" s="8">
        <f t="shared" si="30"/>
        <v>1.382753906629657E-2</v>
      </c>
    </row>
    <row r="1908" spans="2:8" x14ac:dyDescent="0.2">
      <c r="B1908" s="5">
        <v>44769</v>
      </c>
      <c r="C1908" s="6" t="s">
        <v>18</v>
      </c>
      <c r="D1908" s="7">
        <v>28.209999</v>
      </c>
      <c r="E1908" s="7">
        <v>27.267890999999999</v>
      </c>
      <c r="F1908" s="7">
        <v>28.559999000000001</v>
      </c>
      <c r="G1908" s="7">
        <v>28.190000999999999</v>
      </c>
      <c r="H1908" s="8">
        <f t="shared" si="30"/>
        <v>-6.712630819466099E-3</v>
      </c>
    </row>
    <row r="1909" spans="2:8" x14ac:dyDescent="0.2">
      <c r="B1909" s="5">
        <v>44770</v>
      </c>
      <c r="C1909" s="6" t="s">
        <v>18</v>
      </c>
      <c r="D1909" s="7">
        <v>28.209999</v>
      </c>
      <c r="E1909" s="7">
        <v>27.267890999999999</v>
      </c>
      <c r="F1909" s="7">
        <v>28.35</v>
      </c>
      <c r="G1909" s="7">
        <v>27.85</v>
      </c>
      <c r="H1909" s="8">
        <f t="shared" si="30"/>
        <v>0</v>
      </c>
    </row>
    <row r="1910" spans="2:8" x14ac:dyDescent="0.2">
      <c r="B1910" s="5">
        <v>44771</v>
      </c>
      <c r="C1910" s="6" t="s">
        <v>18</v>
      </c>
      <c r="D1910" s="7">
        <v>28.4</v>
      </c>
      <c r="E1910" s="7">
        <v>27.451546</v>
      </c>
      <c r="F1910" s="7">
        <v>28.52</v>
      </c>
      <c r="G1910" s="7">
        <v>28.02</v>
      </c>
      <c r="H1910" s="8">
        <f t="shared" si="30"/>
        <v>6.7126308194661449E-3</v>
      </c>
    </row>
    <row r="1911" spans="2:8" x14ac:dyDescent="0.2">
      <c r="B1911" s="5">
        <v>44772</v>
      </c>
      <c r="C1911" s="6" t="s">
        <v>18</v>
      </c>
      <c r="D1911" s="7">
        <v>28.299999</v>
      </c>
      <c r="E1911" s="7">
        <v>27.354886</v>
      </c>
      <c r="F1911" s="7">
        <v>28.459999</v>
      </c>
      <c r="G1911" s="7">
        <v>28.200001</v>
      </c>
      <c r="H1911" s="8">
        <f t="shared" si="30"/>
        <v>-3.5273268736257346E-3</v>
      </c>
    </row>
    <row r="1912" spans="2:8" x14ac:dyDescent="0.2">
      <c r="B1912" s="5">
        <v>44773</v>
      </c>
      <c r="C1912" s="6" t="s">
        <v>18</v>
      </c>
      <c r="D1912" s="7">
        <v>28.42</v>
      </c>
      <c r="E1912" s="7">
        <v>27.470879</v>
      </c>
      <c r="F1912" s="7">
        <v>28.559999000000001</v>
      </c>
      <c r="G1912" s="7">
        <v>28.16</v>
      </c>
      <c r="H1912" s="8">
        <f t="shared" si="30"/>
        <v>4.2313380602585641E-3</v>
      </c>
    </row>
    <row r="1913" spans="2:8" x14ac:dyDescent="0.2">
      <c r="B1913" s="5">
        <v>44776</v>
      </c>
      <c r="C1913" s="6" t="s">
        <v>18</v>
      </c>
      <c r="D1913" s="7">
        <v>28.360001</v>
      </c>
      <c r="E1913" s="7">
        <v>27.412883000000001</v>
      </c>
      <c r="F1913" s="7">
        <v>28.59</v>
      </c>
      <c r="G1913" s="7">
        <v>28.110001</v>
      </c>
      <c r="H1913" s="8">
        <f t="shared" si="30"/>
        <v>-2.1134127644769265E-3</v>
      </c>
    </row>
    <row r="1914" spans="2:8" x14ac:dyDescent="0.2">
      <c r="B1914" s="5">
        <v>44777</v>
      </c>
      <c r="C1914" s="6" t="s">
        <v>18</v>
      </c>
      <c r="D1914" s="7">
        <v>28.030000999999999</v>
      </c>
      <c r="E1914" s="7">
        <v>27.093903999999998</v>
      </c>
      <c r="F1914" s="7">
        <v>28.459999</v>
      </c>
      <c r="G1914" s="7">
        <v>27.889999</v>
      </c>
      <c r="H1914" s="8">
        <f t="shared" si="30"/>
        <v>-1.1704327442262857E-2</v>
      </c>
    </row>
    <row r="1915" spans="2:8" x14ac:dyDescent="0.2">
      <c r="B1915" s="5">
        <v>44778</v>
      </c>
      <c r="C1915" s="6" t="s">
        <v>18</v>
      </c>
      <c r="D1915" s="7">
        <v>28.27</v>
      </c>
      <c r="E1915" s="7">
        <v>27.325889</v>
      </c>
      <c r="F1915" s="7">
        <v>28.6</v>
      </c>
      <c r="G1915" s="7">
        <v>28.1</v>
      </c>
      <c r="H1915" s="8">
        <f t="shared" si="30"/>
        <v>8.5258099102473728E-3</v>
      </c>
    </row>
    <row r="1916" spans="2:8" x14ac:dyDescent="0.2">
      <c r="B1916" s="5">
        <v>44779</v>
      </c>
      <c r="C1916" s="6" t="s">
        <v>18</v>
      </c>
      <c r="D1916" s="7">
        <v>28.209999</v>
      </c>
      <c r="E1916" s="7">
        <v>27.267890999999999</v>
      </c>
      <c r="F1916" s="7">
        <v>28.67</v>
      </c>
      <c r="G1916" s="7">
        <v>28</v>
      </c>
      <c r="H1916" s="8">
        <f t="shared" si="30"/>
        <v>-2.1247117096067614E-3</v>
      </c>
    </row>
    <row r="1917" spans="2:8" x14ac:dyDescent="0.2">
      <c r="B1917" s="5">
        <v>44780</v>
      </c>
      <c r="C1917" s="6" t="s">
        <v>18</v>
      </c>
      <c r="D1917" s="7">
        <v>28.15</v>
      </c>
      <c r="E1917" s="7">
        <v>27.209894999999999</v>
      </c>
      <c r="F1917" s="7">
        <v>28.23</v>
      </c>
      <c r="G1917" s="7">
        <v>27.9</v>
      </c>
      <c r="H1917" s="8">
        <f t="shared" si="30"/>
        <v>-2.1291622207109755E-3</v>
      </c>
    </row>
    <row r="1918" spans="2:8" x14ac:dyDescent="0.2">
      <c r="B1918" s="5">
        <v>44783</v>
      </c>
      <c r="C1918" s="6" t="s">
        <v>18</v>
      </c>
      <c r="D1918" s="7">
        <v>28.59</v>
      </c>
      <c r="E1918" s="7">
        <v>27.635202</v>
      </c>
      <c r="F1918" s="7">
        <v>28.700001</v>
      </c>
      <c r="G1918" s="7">
        <v>28.27</v>
      </c>
      <c r="H1918" s="8">
        <f t="shared" si="30"/>
        <v>1.5509700917411403E-2</v>
      </c>
    </row>
    <row r="1919" spans="2:8" x14ac:dyDescent="0.2">
      <c r="B1919" s="5">
        <v>44784</v>
      </c>
      <c r="C1919" s="6" t="s">
        <v>18</v>
      </c>
      <c r="D1919" s="7">
        <v>28.02</v>
      </c>
      <c r="E1919" s="7">
        <v>27.084237999999999</v>
      </c>
      <c r="F1919" s="7">
        <v>28.389999</v>
      </c>
      <c r="G1919" s="7">
        <v>27.85</v>
      </c>
      <c r="H1919" s="8">
        <f t="shared" si="30"/>
        <v>-2.0138459768917576E-2</v>
      </c>
    </row>
    <row r="1920" spans="2:8" x14ac:dyDescent="0.2">
      <c r="B1920" s="5">
        <v>44785</v>
      </c>
      <c r="C1920" s="6" t="s">
        <v>18</v>
      </c>
      <c r="D1920" s="7">
        <v>27.9</v>
      </c>
      <c r="E1920" s="7">
        <v>26.968243999999999</v>
      </c>
      <c r="F1920" s="7">
        <v>28.1</v>
      </c>
      <c r="G1920" s="7">
        <v>27.41</v>
      </c>
      <c r="H1920" s="8">
        <f t="shared" si="30"/>
        <v>-4.2919094096525246E-3</v>
      </c>
    </row>
    <row r="1921" spans="2:8" x14ac:dyDescent="0.2">
      <c r="B1921" s="5">
        <v>44786</v>
      </c>
      <c r="C1921" s="6" t="s">
        <v>18</v>
      </c>
      <c r="D1921" s="7">
        <v>28.700001</v>
      </c>
      <c r="E1921" s="7">
        <v>27.741529</v>
      </c>
      <c r="F1921" s="7">
        <v>29.209999</v>
      </c>
      <c r="G1921" s="7">
        <v>28.690000999999999</v>
      </c>
      <c r="H1921" s="8">
        <f t="shared" si="30"/>
        <v>2.8270506678341984E-2</v>
      </c>
    </row>
    <row r="1922" spans="2:8" x14ac:dyDescent="0.2">
      <c r="B1922" s="5">
        <v>44787</v>
      </c>
      <c r="C1922" s="6" t="s">
        <v>18</v>
      </c>
      <c r="D1922" s="7">
        <v>29.030000999999999</v>
      </c>
      <c r="E1922" s="7">
        <v>28.060507999999999</v>
      </c>
      <c r="F1922" s="7">
        <v>29.049999</v>
      </c>
      <c r="G1922" s="7">
        <v>28.75</v>
      </c>
      <c r="H1922" s="8">
        <f t="shared" si="30"/>
        <v>1.1432646243681505E-2</v>
      </c>
    </row>
    <row r="1923" spans="2:8" x14ac:dyDescent="0.2">
      <c r="B1923" s="5">
        <v>44790</v>
      </c>
      <c r="C1923" s="6" t="s">
        <v>18</v>
      </c>
      <c r="D1923" s="7">
        <v>28.83</v>
      </c>
      <c r="E1923" s="7">
        <v>27.867186</v>
      </c>
      <c r="F1923" s="7">
        <v>28.969999000000001</v>
      </c>
      <c r="G1923" s="7">
        <v>28.51</v>
      </c>
      <c r="H1923" s="8">
        <f t="shared" si="30"/>
        <v>-6.9133109606332862E-3</v>
      </c>
    </row>
    <row r="1924" spans="2:8" x14ac:dyDescent="0.2">
      <c r="B1924" s="5">
        <v>44791</v>
      </c>
      <c r="C1924" s="6" t="s">
        <v>18</v>
      </c>
      <c r="D1924" s="7">
        <v>28.25</v>
      </c>
      <c r="E1924" s="7">
        <v>27.306556</v>
      </c>
      <c r="F1924" s="7">
        <v>28.719999000000001</v>
      </c>
      <c r="G1924" s="7">
        <v>28.18</v>
      </c>
      <c r="H1924" s="8">
        <f t="shared" ref="H1924:H1987" si="31">IF(C1924=C1923, LN(E1924/E1923), "")</f>
        <v>-2.0323047732027155E-2</v>
      </c>
    </row>
    <row r="1925" spans="2:8" x14ac:dyDescent="0.2">
      <c r="B1925" s="5">
        <v>44792</v>
      </c>
      <c r="C1925" s="6" t="s">
        <v>18</v>
      </c>
      <c r="D1925" s="7">
        <v>27.799999</v>
      </c>
      <c r="E1925" s="7">
        <v>26.871583999999999</v>
      </c>
      <c r="F1925" s="7">
        <v>28.24</v>
      </c>
      <c r="G1925" s="7">
        <v>27.719999000000001</v>
      </c>
      <c r="H1925" s="8">
        <f t="shared" si="31"/>
        <v>-1.6057448488194404E-2</v>
      </c>
    </row>
    <row r="1926" spans="2:8" x14ac:dyDescent="0.2">
      <c r="B1926" s="5">
        <v>44793</v>
      </c>
      <c r="C1926" s="6" t="s">
        <v>18</v>
      </c>
      <c r="D1926" s="7">
        <v>27.040001</v>
      </c>
      <c r="E1926" s="7">
        <v>26.136966000000001</v>
      </c>
      <c r="F1926" s="7">
        <v>27.75</v>
      </c>
      <c r="G1926" s="7">
        <v>27.040001</v>
      </c>
      <c r="H1926" s="8">
        <f t="shared" si="31"/>
        <v>-2.7718737262326962E-2</v>
      </c>
    </row>
    <row r="1927" spans="2:8" x14ac:dyDescent="0.2">
      <c r="B1927" s="5">
        <v>44794</v>
      </c>
      <c r="C1927" s="6" t="s">
        <v>18</v>
      </c>
      <c r="D1927" s="7">
        <v>26.469999000000001</v>
      </c>
      <c r="E1927" s="7">
        <v>25.586001</v>
      </c>
      <c r="F1927" s="7">
        <v>27.34</v>
      </c>
      <c r="G1927" s="7">
        <v>26.469999000000001</v>
      </c>
      <c r="H1927" s="8">
        <f t="shared" si="31"/>
        <v>-2.1305268151262872E-2</v>
      </c>
    </row>
    <row r="1928" spans="2:8" x14ac:dyDescent="0.2">
      <c r="B1928" s="5">
        <v>44797</v>
      </c>
      <c r="C1928" s="6" t="s">
        <v>18</v>
      </c>
      <c r="D1928" s="7">
        <v>25.190000999999999</v>
      </c>
      <c r="E1928" s="7">
        <v>24.348749000000002</v>
      </c>
      <c r="F1928" s="7">
        <v>26.08</v>
      </c>
      <c r="G1928" s="7">
        <v>23.030000999999999</v>
      </c>
      <c r="H1928" s="8">
        <f t="shared" si="31"/>
        <v>-4.9564893539918151E-2</v>
      </c>
    </row>
    <row r="1929" spans="2:8" x14ac:dyDescent="0.2">
      <c r="B1929" s="5">
        <v>44798</v>
      </c>
      <c r="C1929" s="6" t="s">
        <v>18</v>
      </c>
      <c r="D1929" s="7">
        <v>24.620000999999998</v>
      </c>
      <c r="E1929" s="7">
        <v>23.797785000000001</v>
      </c>
      <c r="F1929" s="7">
        <v>25.99</v>
      </c>
      <c r="G1929" s="7">
        <v>24.6</v>
      </c>
      <c r="H1929" s="8">
        <f t="shared" si="31"/>
        <v>-2.2887963319283042E-2</v>
      </c>
    </row>
    <row r="1930" spans="2:8" x14ac:dyDescent="0.2">
      <c r="B1930" s="5">
        <v>44799</v>
      </c>
      <c r="C1930" s="6" t="s">
        <v>18</v>
      </c>
      <c r="D1930" s="7">
        <v>25.68</v>
      </c>
      <c r="E1930" s="7">
        <v>24.822385000000001</v>
      </c>
      <c r="F1930" s="7">
        <v>25.74</v>
      </c>
      <c r="G1930" s="7">
        <v>24.709999</v>
      </c>
      <c r="H1930" s="8">
        <f t="shared" si="31"/>
        <v>4.2153357901820891E-2</v>
      </c>
    </row>
    <row r="1931" spans="2:8" x14ac:dyDescent="0.2">
      <c r="B1931" s="5">
        <v>44800</v>
      </c>
      <c r="C1931" s="6" t="s">
        <v>18</v>
      </c>
      <c r="D1931" s="7">
        <v>26.17</v>
      </c>
      <c r="E1931" s="7">
        <v>25.296019999999999</v>
      </c>
      <c r="F1931" s="7">
        <v>26.190000999999999</v>
      </c>
      <c r="G1931" s="7">
        <v>25.610001</v>
      </c>
      <c r="H1931" s="8">
        <f t="shared" si="31"/>
        <v>1.890120408430377E-2</v>
      </c>
    </row>
    <row r="1932" spans="2:8" x14ac:dyDescent="0.2">
      <c r="B1932" s="5">
        <v>44801</v>
      </c>
      <c r="C1932" s="6" t="s">
        <v>18</v>
      </c>
      <c r="D1932" s="7">
        <v>26</v>
      </c>
      <c r="E1932" s="7">
        <v>25.131698</v>
      </c>
      <c r="F1932" s="7">
        <v>26.049999</v>
      </c>
      <c r="G1932" s="7">
        <v>25.82</v>
      </c>
      <c r="H1932" s="8">
        <f t="shared" si="31"/>
        <v>-6.5171531897407486E-3</v>
      </c>
    </row>
    <row r="1933" spans="2:8" x14ac:dyDescent="0.2">
      <c r="B1933" s="5">
        <v>44804</v>
      </c>
      <c r="C1933" s="6" t="s">
        <v>18</v>
      </c>
      <c r="D1933" s="7">
        <v>25.879999000000002</v>
      </c>
      <c r="E1933" s="7">
        <v>25.015703999999999</v>
      </c>
      <c r="F1933" s="7">
        <v>26.110001</v>
      </c>
      <c r="G1933" s="7">
        <v>25.74</v>
      </c>
      <c r="H1933" s="8">
        <f t="shared" si="31"/>
        <v>-4.6261302576091172E-3</v>
      </c>
    </row>
    <row r="1934" spans="2:8" x14ac:dyDescent="0.2">
      <c r="B1934" s="5">
        <v>44805</v>
      </c>
      <c r="C1934" s="6" t="s">
        <v>18</v>
      </c>
      <c r="D1934" s="7">
        <v>25.120000999999998</v>
      </c>
      <c r="E1934" s="7">
        <v>24.281086999999999</v>
      </c>
      <c r="F1934" s="7">
        <v>25.620000999999998</v>
      </c>
      <c r="G1934" s="7">
        <v>25.01</v>
      </c>
      <c r="H1934" s="8">
        <f t="shared" si="31"/>
        <v>-2.9806053111614238E-2</v>
      </c>
    </row>
    <row r="1935" spans="2:8" x14ac:dyDescent="0.2">
      <c r="B1935" s="5">
        <v>44806</v>
      </c>
      <c r="C1935" s="6" t="s">
        <v>18</v>
      </c>
      <c r="D1935" s="7">
        <v>25.65</v>
      </c>
      <c r="E1935" s="7">
        <v>24.793386000000002</v>
      </c>
      <c r="F1935" s="7">
        <v>25.66</v>
      </c>
      <c r="G1935" s="7">
        <v>25.08</v>
      </c>
      <c r="H1935" s="8">
        <f t="shared" si="31"/>
        <v>2.0879189506825321E-2</v>
      </c>
    </row>
    <row r="1936" spans="2:8" x14ac:dyDescent="0.2">
      <c r="B1936" s="5">
        <v>44807</v>
      </c>
      <c r="C1936" s="6" t="s">
        <v>18</v>
      </c>
      <c r="D1936" s="7">
        <v>25.9</v>
      </c>
      <c r="E1936" s="7">
        <v>25.035036999999999</v>
      </c>
      <c r="F1936" s="7">
        <v>26.15</v>
      </c>
      <c r="G1936" s="7">
        <v>25.73</v>
      </c>
      <c r="H1936" s="8">
        <f t="shared" si="31"/>
        <v>9.6993996582116493E-3</v>
      </c>
    </row>
    <row r="1937" spans="2:8" x14ac:dyDescent="0.2">
      <c r="B1937" s="5">
        <v>44808</v>
      </c>
      <c r="C1937" s="6" t="s">
        <v>18</v>
      </c>
      <c r="D1937" s="7">
        <v>25.52</v>
      </c>
      <c r="E1937" s="7">
        <v>24.667728</v>
      </c>
      <c r="F1937" s="7">
        <v>25.65</v>
      </c>
      <c r="G1937" s="7">
        <v>25.35</v>
      </c>
      <c r="H1937" s="8">
        <f t="shared" si="31"/>
        <v>-1.4780493074261537E-2</v>
      </c>
    </row>
    <row r="1938" spans="2:8" x14ac:dyDescent="0.2">
      <c r="B1938" s="5">
        <v>44812</v>
      </c>
      <c r="C1938" s="6" t="s">
        <v>18</v>
      </c>
      <c r="D1938" s="7">
        <v>26.299999</v>
      </c>
      <c r="E1938" s="7">
        <v>25.421678</v>
      </c>
      <c r="F1938" s="7">
        <v>26.33</v>
      </c>
      <c r="G1938" s="7">
        <v>25.91</v>
      </c>
      <c r="H1938" s="8">
        <f t="shared" si="31"/>
        <v>3.0106443960174454E-2</v>
      </c>
    </row>
    <row r="1939" spans="2:8" x14ac:dyDescent="0.2">
      <c r="B1939" s="5">
        <v>44813</v>
      </c>
      <c r="C1939" s="6" t="s">
        <v>18</v>
      </c>
      <c r="D1939" s="7">
        <v>25.940000999999999</v>
      </c>
      <c r="E1939" s="7">
        <v>25.073702000000001</v>
      </c>
      <c r="F1939" s="7">
        <v>26.73</v>
      </c>
      <c r="G1939" s="7">
        <v>25.879999000000002</v>
      </c>
      <c r="H1939" s="8">
        <f t="shared" si="31"/>
        <v>-1.3782706795347361E-2</v>
      </c>
    </row>
    <row r="1940" spans="2:8" x14ac:dyDescent="0.2">
      <c r="B1940" s="5">
        <v>44814</v>
      </c>
      <c r="C1940" s="6" t="s">
        <v>18</v>
      </c>
      <c r="D1940" s="7">
        <v>26.26</v>
      </c>
      <c r="E1940" s="7">
        <v>25.383015</v>
      </c>
      <c r="F1940" s="7">
        <v>26.49</v>
      </c>
      <c r="G1940" s="7">
        <v>25.85</v>
      </c>
      <c r="H1940" s="8">
        <f t="shared" si="31"/>
        <v>1.2260681754717201E-2</v>
      </c>
    </row>
    <row r="1941" spans="2:8" x14ac:dyDescent="0.2">
      <c r="B1941" s="5">
        <v>44815</v>
      </c>
      <c r="C1941" s="6" t="s">
        <v>18</v>
      </c>
      <c r="D1941" s="7">
        <v>26.02</v>
      </c>
      <c r="E1941" s="7">
        <v>25.151029999999999</v>
      </c>
      <c r="F1941" s="7">
        <v>26.18</v>
      </c>
      <c r="G1941" s="7">
        <v>25.809999000000001</v>
      </c>
      <c r="H1941" s="8">
        <f t="shared" si="31"/>
        <v>-9.1813995754968687E-3</v>
      </c>
    </row>
    <row r="1942" spans="2:8" x14ac:dyDescent="0.2">
      <c r="B1942" s="5">
        <v>44818</v>
      </c>
      <c r="C1942" s="6" t="s">
        <v>18</v>
      </c>
      <c r="D1942" s="7">
        <v>25.700001</v>
      </c>
      <c r="E1942" s="7">
        <v>24.841716999999999</v>
      </c>
      <c r="F1942" s="7">
        <v>26.17</v>
      </c>
      <c r="G1942" s="7">
        <v>25.66</v>
      </c>
      <c r="H1942" s="8">
        <f t="shared" si="31"/>
        <v>-1.2374472921809701E-2</v>
      </c>
    </row>
    <row r="1943" spans="2:8" x14ac:dyDescent="0.2">
      <c r="B1943" s="5">
        <v>44819</v>
      </c>
      <c r="C1943" s="6" t="s">
        <v>18</v>
      </c>
      <c r="D1943" s="7">
        <v>25.98</v>
      </c>
      <c r="E1943" s="7">
        <v>25.112365</v>
      </c>
      <c r="F1943" s="7">
        <v>26.08</v>
      </c>
      <c r="G1943" s="7">
        <v>25.559999000000001</v>
      </c>
      <c r="H1943" s="8">
        <f t="shared" si="31"/>
        <v>1.0835977258054122E-2</v>
      </c>
    </row>
    <row r="1944" spans="2:8" x14ac:dyDescent="0.2">
      <c r="B1944" s="5">
        <v>44820</v>
      </c>
      <c r="C1944" s="6" t="s">
        <v>18</v>
      </c>
      <c r="D1944" s="7">
        <v>26.07</v>
      </c>
      <c r="E1944" s="7">
        <v>25.199359999999999</v>
      </c>
      <c r="F1944" s="7">
        <v>26.1</v>
      </c>
      <c r="G1944" s="7">
        <v>25.85</v>
      </c>
      <c r="H1944" s="8">
        <f t="shared" si="31"/>
        <v>3.4582430517329493E-3</v>
      </c>
    </row>
    <row r="1945" spans="2:8" x14ac:dyDescent="0.2">
      <c r="B1945" s="5">
        <v>44821</v>
      </c>
      <c r="C1945" s="6" t="s">
        <v>18</v>
      </c>
      <c r="D1945" s="7">
        <v>25.879999000000002</v>
      </c>
      <c r="E1945" s="7">
        <v>25.015703999999999</v>
      </c>
      <c r="F1945" s="7">
        <v>26.280000999999999</v>
      </c>
      <c r="G1945" s="7">
        <v>25.809999000000001</v>
      </c>
      <c r="H1945" s="8">
        <f t="shared" si="31"/>
        <v>-7.3148097111860929E-3</v>
      </c>
    </row>
    <row r="1946" spans="2:8" x14ac:dyDescent="0.2">
      <c r="B1946" s="5">
        <v>44822</v>
      </c>
      <c r="C1946" s="6" t="s">
        <v>18</v>
      </c>
      <c r="D1946" s="7">
        <v>25.540001</v>
      </c>
      <c r="E1946" s="7">
        <v>24.687061</v>
      </c>
      <c r="F1946" s="7">
        <v>25.74</v>
      </c>
      <c r="G1946" s="7">
        <v>25.25</v>
      </c>
      <c r="H1946" s="8">
        <f t="shared" si="31"/>
        <v>-1.3224527433536793E-2</v>
      </c>
    </row>
    <row r="1947" spans="2:8" x14ac:dyDescent="0.2">
      <c r="B1947" s="5">
        <v>44825</v>
      </c>
      <c r="C1947" s="6" t="s">
        <v>18</v>
      </c>
      <c r="D1947" s="7">
        <v>25.540001</v>
      </c>
      <c r="E1947" s="7">
        <v>24.687061</v>
      </c>
      <c r="F1947" s="7">
        <v>25.82</v>
      </c>
      <c r="G1947" s="7">
        <v>25.35</v>
      </c>
      <c r="H1947" s="8">
        <f t="shared" si="31"/>
        <v>0</v>
      </c>
    </row>
    <row r="1948" spans="2:8" x14ac:dyDescent="0.2">
      <c r="B1948" s="5">
        <v>44826</v>
      </c>
      <c r="C1948" s="6" t="s">
        <v>18</v>
      </c>
      <c r="D1948" s="7">
        <v>25.139999</v>
      </c>
      <c r="E1948" s="7">
        <v>24.300418000000001</v>
      </c>
      <c r="F1948" s="7">
        <v>25.209999</v>
      </c>
      <c r="G1948" s="7">
        <v>24.969999000000001</v>
      </c>
      <c r="H1948" s="8">
        <f t="shared" si="31"/>
        <v>-1.5785708380106338E-2</v>
      </c>
    </row>
    <row r="1949" spans="2:8" x14ac:dyDescent="0.2">
      <c r="B1949" s="5">
        <v>44827</v>
      </c>
      <c r="C1949" s="6" t="s">
        <v>18</v>
      </c>
      <c r="D1949" s="7">
        <v>25.280000999999999</v>
      </c>
      <c r="E1949" s="7">
        <v>24.435744</v>
      </c>
      <c r="F1949" s="7">
        <v>25.309999000000001</v>
      </c>
      <c r="G1949" s="7">
        <v>25.01</v>
      </c>
      <c r="H1949" s="8">
        <f t="shared" si="31"/>
        <v>5.5534265416223713E-3</v>
      </c>
    </row>
    <row r="1950" spans="2:8" x14ac:dyDescent="0.2">
      <c r="B1950" s="5">
        <v>44828</v>
      </c>
      <c r="C1950" s="6" t="s">
        <v>18</v>
      </c>
      <c r="D1950" s="7">
        <v>25.41</v>
      </c>
      <c r="E1950" s="7">
        <v>24.561401</v>
      </c>
      <c r="F1950" s="7">
        <v>25.5</v>
      </c>
      <c r="G1950" s="7">
        <v>24.92</v>
      </c>
      <c r="H1950" s="8">
        <f t="shared" si="31"/>
        <v>5.1291672396685311E-3</v>
      </c>
    </row>
    <row r="1951" spans="2:8" x14ac:dyDescent="0.2">
      <c r="B1951" s="5">
        <v>44829</v>
      </c>
      <c r="C1951" s="6" t="s">
        <v>18</v>
      </c>
      <c r="D1951" s="7">
        <v>26.030000999999999</v>
      </c>
      <c r="E1951" s="7">
        <v>25.160696000000002</v>
      </c>
      <c r="F1951" s="7">
        <v>26.299999</v>
      </c>
      <c r="G1951" s="7">
        <v>25.799999</v>
      </c>
      <c r="H1951" s="8">
        <f t="shared" si="31"/>
        <v>2.410694878076464E-2</v>
      </c>
    </row>
    <row r="1952" spans="2:8" x14ac:dyDescent="0.2">
      <c r="B1952" s="5">
        <v>44832</v>
      </c>
      <c r="C1952" s="6" t="s">
        <v>18</v>
      </c>
      <c r="D1952" s="7">
        <v>25.66</v>
      </c>
      <c r="E1952" s="7">
        <v>24.803052000000001</v>
      </c>
      <c r="F1952" s="7">
        <v>26.02</v>
      </c>
      <c r="G1952" s="7">
        <v>25.59</v>
      </c>
      <c r="H1952" s="8">
        <f t="shared" si="31"/>
        <v>-1.431638429145277E-2</v>
      </c>
    </row>
    <row r="1953" spans="2:8" x14ac:dyDescent="0.2">
      <c r="B1953" s="5">
        <v>44833</v>
      </c>
      <c r="C1953" s="6" t="s">
        <v>18</v>
      </c>
      <c r="D1953" s="7">
        <v>25.639999</v>
      </c>
      <c r="E1953" s="7">
        <v>24.783719999999999</v>
      </c>
      <c r="F1953" s="7">
        <v>25.93</v>
      </c>
      <c r="G1953" s="7">
        <v>25.559999000000001</v>
      </c>
      <c r="H1953" s="8">
        <f t="shared" si="31"/>
        <v>-7.7972411591704113E-4</v>
      </c>
    </row>
    <row r="1954" spans="2:8" x14ac:dyDescent="0.2">
      <c r="B1954" s="5">
        <v>44834</v>
      </c>
      <c r="C1954" s="6" t="s">
        <v>18</v>
      </c>
      <c r="D1954" s="7">
        <v>26.25</v>
      </c>
      <c r="E1954" s="7">
        <v>25.373349000000001</v>
      </c>
      <c r="F1954" s="7">
        <v>26.379999000000002</v>
      </c>
      <c r="G1954" s="7">
        <v>25.879999000000002</v>
      </c>
      <c r="H1954" s="8">
        <f t="shared" si="31"/>
        <v>2.3512385206454062E-2</v>
      </c>
    </row>
    <row r="1955" spans="2:8" x14ac:dyDescent="0.2">
      <c r="B1955" s="5">
        <v>44835</v>
      </c>
      <c r="C1955" s="6" t="s">
        <v>18</v>
      </c>
      <c r="D1955" s="7">
        <v>25.73</v>
      </c>
      <c r="E1955" s="7">
        <v>25.071283999999999</v>
      </c>
      <c r="F1955" s="7">
        <v>26.16</v>
      </c>
      <c r="G1955" s="7">
        <v>25.549999</v>
      </c>
      <c r="H1955" s="8">
        <f t="shared" si="31"/>
        <v>-1.1976243753571052E-2</v>
      </c>
    </row>
    <row r="1956" spans="2:8" x14ac:dyDescent="0.2">
      <c r="B1956" s="5">
        <v>44836</v>
      </c>
      <c r="C1956" s="6" t="s">
        <v>18</v>
      </c>
      <c r="D1956" s="7">
        <v>25.76</v>
      </c>
      <c r="E1956" s="7">
        <v>25.100515999999999</v>
      </c>
      <c r="F1956" s="7">
        <v>25.790001</v>
      </c>
      <c r="G1956" s="7">
        <v>25.34</v>
      </c>
      <c r="H1956" s="8">
        <f t="shared" si="31"/>
        <v>1.1652762431392156E-3</v>
      </c>
    </row>
    <row r="1957" spans="2:8" x14ac:dyDescent="0.2">
      <c r="B1957" s="5">
        <v>44839</v>
      </c>
      <c r="C1957" s="6" t="s">
        <v>18</v>
      </c>
      <c r="D1957" s="7">
        <v>26.85</v>
      </c>
      <c r="E1957" s="7">
        <v>26.162610999999998</v>
      </c>
      <c r="F1957" s="7">
        <v>26.98</v>
      </c>
      <c r="G1957" s="7">
        <v>25.969999000000001</v>
      </c>
      <c r="H1957" s="8">
        <f t="shared" si="31"/>
        <v>4.1442926781571285E-2</v>
      </c>
    </row>
    <row r="1958" spans="2:8" x14ac:dyDescent="0.2">
      <c r="B1958" s="5">
        <v>44840</v>
      </c>
      <c r="C1958" s="6" t="s">
        <v>18</v>
      </c>
      <c r="D1958" s="7">
        <v>27.23</v>
      </c>
      <c r="E1958" s="7">
        <v>26.532882000000001</v>
      </c>
      <c r="F1958" s="7">
        <v>27.469999000000001</v>
      </c>
      <c r="G1958" s="7">
        <v>26.98</v>
      </c>
      <c r="H1958" s="8">
        <f t="shared" si="31"/>
        <v>1.4053463510378211E-2</v>
      </c>
    </row>
    <row r="1959" spans="2:8" x14ac:dyDescent="0.2">
      <c r="B1959" s="5">
        <v>44841</v>
      </c>
      <c r="C1959" s="6" t="s">
        <v>18</v>
      </c>
      <c r="D1959" s="7">
        <v>27.540001</v>
      </c>
      <c r="E1959" s="7">
        <v>26.834947</v>
      </c>
      <c r="F1959" s="7">
        <v>27.950001</v>
      </c>
      <c r="G1959" s="7">
        <v>27</v>
      </c>
      <c r="H1959" s="8">
        <f t="shared" si="31"/>
        <v>1.1320236606931234E-2</v>
      </c>
    </row>
    <row r="1960" spans="2:8" x14ac:dyDescent="0.2">
      <c r="B1960" s="5">
        <v>44842</v>
      </c>
      <c r="C1960" s="6" t="s">
        <v>18</v>
      </c>
      <c r="D1960" s="7">
        <v>27.91</v>
      </c>
      <c r="E1960" s="7">
        <v>27.195473</v>
      </c>
      <c r="F1960" s="7">
        <v>28.02</v>
      </c>
      <c r="G1960" s="7">
        <v>27.43</v>
      </c>
      <c r="H1960" s="8">
        <f t="shared" si="31"/>
        <v>1.3345495032541262E-2</v>
      </c>
    </row>
    <row r="1961" spans="2:8" x14ac:dyDescent="0.2">
      <c r="B1961" s="5">
        <v>44843</v>
      </c>
      <c r="C1961" s="6" t="s">
        <v>18</v>
      </c>
      <c r="D1961" s="7">
        <v>27.91</v>
      </c>
      <c r="E1961" s="7">
        <v>27.195473</v>
      </c>
      <c r="F1961" s="7">
        <v>28.15</v>
      </c>
      <c r="G1961" s="7">
        <v>27.82</v>
      </c>
      <c r="H1961" s="8">
        <f t="shared" si="31"/>
        <v>0</v>
      </c>
    </row>
    <row r="1962" spans="2:8" x14ac:dyDescent="0.2">
      <c r="B1962" s="5">
        <v>44846</v>
      </c>
      <c r="C1962" s="6" t="s">
        <v>18</v>
      </c>
      <c r="D1962" s="7">
        <v>27.959999</v>
      </c>
      <c r="E1962" s="7">
        <v>27.244192999999999</v>
      </c>
      <c r="F1962" s="7">
        <v>28.1</v>
      </c>
      <c r="G1962" s="7">
        <v>27.76</v>
      </c>
      <c r="H1962" s="8">
        <f t="shared" si="31"/>
        <v>1.7898718558186579E-3</v>
      </c>
    </row>
    <row r="1963" spans="2:8" x14ac:dyDescent="0.2">
      <c r="B1963" s="5">
        <v>44847</v>
      </c>
      <c r="C1963" s="6" t="s">
        <v>18</v>
      </c>
      <c r="D1963" s="7">
        <v>27.85</v>
      </c>
      <c r="E1963" s="7">
        <v>27.13701</v>
      </c>
      <c r="F1963" s="7">
        <v>27.950001</v>
      </c>
      <c r="G1963" s="7">
        <v>27.74</v>
      </c>
      <c r="H1963" s="8">
        <f t="shared" si="31"/>
        <v>-3.9419186365016014E-3</v>
      </c>
    </row>
    <row r="1964" spans="2:8" x14ac:dyDescent="0.2">
      <c r="B1964" s="5">
        <v>44848</v>
      </c>
      <c r="C1964" s="6" t="s">
        <v>18</v>
      </c>
      <c r="D1964" s="7">
        <v>27.82</v>
      </c>
      <c r="E1964" s="7">
        <v>27.107776999999999</v>
      </c>
      <c r="F1964" s="7">
        <v>27.9</v>
      </c>
      <c r="G1964" s="7">
        <v>27.59</v>
      </c>
      <c r="H1964" s="8">
        <f t="shared" si="31"/>
        <v>-1.0778179599075614E-3</v>
      </c>
    </row>
    <row r="1965" spans="2:8" x14ac:dyDescent="0.2">
      <c r="B1965" s="5">
        <v>44849</v>
      </c>
      <c r="C1965" s="6" t="s">
        <v>18</v>
      </c>
      <c r="D1965" s="7">
        <v>28.15</v>
      </c>
      <c r="E1965" s="7">
        <v>27.429328999999999</v>
      </c>
      <c r="F1965" s="7">
        <v>28.190000999999999</v>
      </c>
      <c r="G1965" s="7">
        <v>27.870000999999998</v>
      </c>
      <c r="H1965" s="8">
        <f t="shared" si="31"/>
        <v>1.1792181496529493E-2</v>
      </c>
    </row>
    <row r="1966" spans="2:8" x14ac:dyDescent="0.2">
      <c r="B1966" s="5">
        <v>44850</v>
      </c>
      <c r="C1966" s="6" t="s">
        <v>18</v>
      </c>
      <c r="D1966" s="7">
        <v>28.25</v>
      </c>
      <c r="E1966" s="7">
        <v>27.526769000000002</v>
      </c>
      <c r="F1966" s="7">
        <v>28.35</v>
      </c>
      <c r="G1966" s="7">
        <v>28</v>
      </c>
      <c r="H1966" s="8">
        <f t="shared" si="31"/>
        <v>3.5461070073775692E-3</v>
      </c>
    </row>
    <row r="1967" spans="2:8" x14ac:dyDescent="0.2">
      <c r="B1967" s="5">
        <v>44853</v>
      </c>
      <c r="C1967" s="6" t="s">
        <v>18</v>
      </c>
      <c r="D1967" s="7">
        <v>28.25</v>
      </c>
      <c r="E1967" s="7">
        <v>27.526769000000002</v>
      </c>
      <c r="F1967" s="7">
        <v>28.290001</v>
      </c>
      <c r="G1967" s="7">
        <v>27.940000999999999</v>
      </c>
      <c r="H1967" s="8">
        <f t="shared" si="31"/>
        <v>0</v>
      </c>
    </row>
    <row r="1968" spans="2:8" x14ac:dyDescent="0.2">
      <c r="B1968" s="5">
        <v>44854</v>
      </c>
      <c r="C1968" s="6" t="s">
        <v>18</v>
      </c>
      <c r="D1968" s="7">
        <v>28.5</v>
      </c>
      <c r="E1968" s="7">
        <v>27.770368999999999</v>
      </c>
      <c r="F1968" s="7">
        <v>28.52</v>
      </c>
      <c r="G1968" s="7">
        <v>28.15</v>
      </c>
      <c r="H1968" s="8">
        <f t="shared" si="31"/>
        <v>8.8106395608958214E-3</v>
      </c>
    </row>
    <row r="1969" spans="2:8" x14ac:dyDescent="0.2">
      <c r="B1969" s="5">
        <v>44855</v>
      </c>
      <c r="C1969" s="6" t="s">
        <v>18</v>
      </c>
      <c r="D1969" s="7">
        <v>28.280000999999999</v>
      </c>
      <c r="E1969" s="7">
        <v>27.556001999999999</v>
      </c>
      <c r="F1969" s="7">
        <v>28.82</v>
      </c>
      <c r="G1969" s="7">
        <v>28.219999000000001</v>
      </c>
      <c r="H1969" s="8">
        <f t="shared" si="31"/>
        <v>-7.7492186405676167E-3</v>
      </c>
    </row>
    <row r="1970" spans="2:8" x14ac:dyDescent="0.2">
      <c r="B1970" s="5">
        <v>44856</v>
      </c>
      <c r="C1970" s="6" t="s">
        <v>18</v>
      </c>
      <c r="D1970" s="7">
        <v>29.01</v>
      </c>
      <c r="E1970" s="7">
        <v>28.267313000000001</v>
      </c>
      <c r="F1970" s="7">
        <v>29.209999</v>
      </c>
      <c r="G1970" s="7">
        <v>28.5</v>
      </c>
      <c r="H1970" s="8">
        <f t="shared" si="31"/>
        <v>2.5485749123951042E-2</v>
      </c>
    </row>
    <row r="1971" spans="2:8" x14ac:dyDescent="0.2">
      <c r="B1971" s="5">
        <v>44857</v>
      </c>
      <c r="C1971" s="6" t="s">
        <v>18</v>
      </c>
      <c r="D1971" s="7">
        <v>29.35</v>
      </c>
      <c r="E1971" s="7">
        <v>28.598607999999999</v>
      </c>
      <c r="F1971" s="7">
        <v>29.379999000000002</v>
      </c>
      <c r="G1971" s="7">
        <v>28.93</v>
      </c>
      <c r="H1971" s="8">
        <f t="shared" si="31"/>
        <v>1.1651925878275564E-2</v>
      </c>
    </row>
    <row r="1972" spans="2:8" x14ac:dyDescent="0.2">
      <c r="B1972" s="5">
        <v>44860</v>
      </c>
      <c r="C1972" s="6" t="s">
        <v>18</v>
      </c>
      <c r="D1972" s="7">
        <v>28.950001</v>
      </c>
      <c r="E1972" s="7">
        <v>28.208849000000001</v>
      </c>
      <c r="F1972" s="7">
        <v>29.49</v>
      </c>
      <c r="G1972" s="7">
        <v>28.879999000000002</v>
      </c>
      <c r="H1972" s="8">
        <f t="shared" si="31"/>
        <v>-1.3722322265481486E-2</v>
      </c>
    </row>
    <row r="1973" spans="2:8" x14ac:dyDescent="0.2">
      <c r="B1973" s="5">
        <v>44861</v>
      </c>
      <c r="C1973" s="6" t="s">
        <v>18</v>
      </c>
      <c r="D1973" s="7">
        <v>29.049999</v>
      </c>
      <c r="E1973" s="7">
        <v>28.306287999999999</v>
      </c>
      <c r="F1973" s="7">
        <v>29.059999000000001</v>
      </c>
      <c r="G1973" s="7">
        <v>28.58</v>
      </c>
      <c r="H1973" s="8">
        <f t="shared" si="31"/>
        <v>3.4482477340234689E-3</v>
      </c>
    </row>
    <row r="1974" spans="2:8" x14ac:dyDescent="0.2">
      <c r="B1974" s="5">
        <v>44862</v>
      </c>
      <c r="C1974" s="6" t="s">
        <v>18</v>
      </c>
      <c r="D1974" s="7">
        <v>29.360001</v>
      </c>
      <c r="E1974" s="7">
        <v>28.608353000000001</v>
      </c>
      <c r="F1974" s="7">
        <v>29.450001</v>
      </c>
      <c r="G1974" s="7">
        <v>29.040001</v>
      </c>
      <c r="H1974" s="8">
        <f t="shared" si="31"/>
        <v>1.061476733960286E-2</v>
      </c>
    </row>
    <row r="1975" spans="2:8" x14ac:dyDescent="0.2">
      <c r="B1975" s="5">
        <v>44863</v>
      </c>
      <c r="C1975" s="6" t="s">
        <v>18</v>
      </c>
      <c r="D1975" s="7">
        <v>29.139999</v>
      </c>
      <c r="E1975" s="7">
        <v>28.393984</v>
      </c>
      <c r="F1975" s="7">
        <v>29.209999</v>
      </c>
      <c r="G1975" s="7">
        <v>28.93</v>
      </c>
      <c r="H1975" s="8">
        <f t="shared" si="31"/>
        <v>-7.5214463789002265E-3</v>
      </c>
    </row>
    <row r="1976" spans="2:8" x14ac:dyDescent="0.2">
      <c r="B1976" s="5">
        <v>44864</v>
      </c>
      <c r="C1976" s="6" t="s">
        <v>18</v>
      </c>
      <c r="D1976" s="7">
        <v>28.85</v>
      </c>
      <c r="E1976" s="7">
        <v>28.111408999999998</v>
      </c>
      <c r="F1976" s="7">
        <v>29.25</v>
      </c>
      <c r="G1976" s="7">
        <v>28.85</v>
      </c>
      <c r="H1976" s="8">
        <f t="shared" si="31"/>
        <v>-1.0001783568793249E-2</v>
      </c>
    </row>
    <row r="1977" spans="2:8" x14ac:dyDescent="0.2">
      <c r="B1977" s="5">
        <v>44867</v>
      </c>
      <c r="C1977" s="6" t="s">
        <v>18</v>
      </c>
      <c r="D1977" s="7">
        <v>28.77</v>
      </c>
      <c r="E1977" s="7">
        <v>28.033456999999999</v>
      </c>
      <c r="F1977" s="7">
        <v>28.870000999999998</v>
      </c>
      <c r="G1977" s="7">
        <v>28.51</v>
      </c>
      <c r="H1977" s="8">
        <f t="shared" si="31"/>
        <v>-2.7768184570548735E-3</v>
      </c>
    </row>
    <row r="1978" spans="2:8" x14ac:dyDescent="0.2">
      <c r="B1978" s="5">
        <v>44868</v>
      </c>
      <c r="C1978" s="6" t="s">
        <v>18</v>
      </c>
      <c r="D1978" s="7">
        <v>28.610001</v>
      </c>
      <c r="E1978" s="7">
        <v>27.877552999999999</v>
      </c>
      <c r="F1978" s="7">
        <v>28.709999</v>
      </c>
      <c r="G1978" s="7">
        <v>28.49</v>
      </c>
      <c r="H1978" s="8">
        <f t="shared" si="31"/>
        <v>-5.5768766856893999E-3</v>
      </c>
    </row>
    <row r="1979" spans="2:8" x14ac:dyDescent="0.2">
      <c r="B1979" s="5">
        <v>44869</v>
      </c>
      <c r="C1979" s="6" t="s">
        <v>18</v>
      </c>
      <c r="D1979" s="7">
        <v>28.469999000000001</v>
      </c>
      <c r="E1979" s="7">
        <v>27.741136000000001</v>
      </c>
      <c r="F1979" s="7">
        <v>28.82</v>
      </c>
      <c r="G1979" s="7">
        <v>28.370000999999998</v>
      </c>
      <c r="H1979" s="8">
        <f t="shared" si="31"/>
        <v>-4.9054472878629924E-3</v>
      </c>
    </row>
    <row r="1980" spans="2:8" x14ac:dyDescent="0.2">
      <c r="B1980" s="5">
        <v>44870</v>
      </c>
      <c r="C1980" s="6" t="s">
        <v>18</v>
      </c>
      <c r="D1980" s="7">
        <v>28.43</v>
      </c>
      <c r="E1980" s="7">
        <v>27.702161</v>
      </c>
      <c r="F1980" s="7">
        <v>28.610001</v>
      </c>
      <c r="G1980" s="7">
        <v>28.290001</v>
      </c>
      <c r="H1980" s="8">
        <f t="shared" si="31"/>
        <v>-1.4059411517342816E-3</v>
      </c>
    </row>
    <row r="1981" spans="2:8" x14ac:dyDescent="0.2">
      <c r="B1981" s="5">
        <v>44871</v>
      </c>
      <c r="C1981" s="6" t="s">
        <v>18</v>
      </c>
      <c r="D1981" s="7">
        <v>28.450001</v>
      </c>
      <c r="E1981" s="7">
        <v>27.72165</v>
      </c>
      <c r="F1981" s="7">
        <v>28.549999</v>
      </c>
      <c r="G1981" s="7">
        <v>28.16</v>
      </c>
      <c r="H1981" s="8">
        <f t="shared" si="31"/>
        <v>7.0327176899676557E-4</v>
      </c>
    </row>
    <row r="1982" spans="2:8" x14ac:dyDescent="0.2">
      <c r="B1982" s="5">
        <v>44874</v>
      </c>
      <c r="C1982" s="6" t="s">
        <v>18</v>
      </c>
      <c r="D1982" s="7">
        <v>28.18</v>
      </c>
      <c r="E1982" s="7">
        <v>27.458562000000001</v>
      </c>
      <c r="F1982" s="7">
        <v>28.49</v>
      </c>
      <c r="G1982" s="7">
        <v>28</v>
      </c>
      <c r="H1982" s="8">
        <f t="shared" si="31"/>
        <v>-9.5356644705212375E-3</v>
      </c>
    </row>
    <row r="1983" spans="2:8" x14ac:dyDescent="0.2">
      <c r="B1983" s="5">
        <v>44875</v>
      </c>
      <c r="C1983" s="6" t="s">
        <v>18</v>
      </c>
      <c r="D1983" s="7">
        <v>27.98</v>
      </c>
      <c r="E1983" s="7">
        <v>27.263680999999998</v>
      </c>
      <c r="F1983" s="7">
        <v>28.219999000000001</v>
      </c>
      <c r="G1983" s="7">
        <v>27.9</v>
      </c>
      <c r="H1983" s="8">
        <f t="shared" si="31"/>
        <v>-7.1225817215767873E-3</v>
      </c>
    </row>
    <row r="1984" spans="2:8" x14ac:dyDescent="0.2">
      <c r="B1984" s="5">
        <v>44876</v>
      </c>
      <c r="C1984" s="6" t="s">
        <v>18</v>
      </c>
      <c r="D1984" s="7">
        <v>27.82</v>
      </c>
      <c r="E1984" s="7">
        <v>27.107776999999999</v>
      </c>
      <c r="F1984" s="7">
        <v>28.1</v>
      </c>
      <c r="G1984" s="7">
        <v>27.75</v>
      </c>
      <c r="H1984" s="8">
        <f t="shared" si="31"/>
        <v>-5.7347892814707709E-3</v>
      </c>
    </row>
    <row r="1985" spans="2:8" x14ac:dyDescent="0.2">
      <c r="B1985" s="5">
        <v>44877</v>
      </c>
      <c r="C1985" s="6" t="s">
        <v>18</v>
      </c>
      <c r="D1985" s="7">
        <v>27.83</v>
      </c>
      <c r="E1985" s="7">
        <v>27.117522000000001</v>
      </c>
      <c r="F1985" s="7">
        <v>28.07</v>
      </c>
      <c r="G1985" s="7">
        <v>27.719999000000001</v>
      </c>
      <c r="H1985" s="8">
        <f t="shared" si="31"/>
        <v>3.5942632994667657E-4</v>
      </c>
    </row>
    <row r="1986" spans="2:8" x14ac:dyDescent="0.2">
      <c r="B1986" s="5">
        <v>44878</v>
      </c>
      <c r="C1986" s="6" t="s">
        <v>18</v>
      </c>
      <c r="D1986" s="7">
        <v>26.209999</v>
      </c>
      <c r="E1986" s="7">
        <v>25.538995</v>
      </c>
      <c r="F1986" s="7">
        <v>26.68</v>
      </c>
      <c r="G1986" s="7">
        <v>25.82</v>
      </c>
      <c r="H1986" s="8">
        <f t="shared" si="31"/>
        <v>-5.9973587425126734E-2</v>
      </c>
    </row>
    <row r="1987" spans="2:8" x14ac:dyDescent="0.2">
      <c r="B1987" s="5">
        <v>44881</v>
      </c>
      <c r="C1987" s="6" t="s">
        <v>18</v>
      </c>
      <c r="D1987" s="7">
        <v>26.790001</v>
      </c>
      <c r="E1987" s="7">
        <v>26.104147999999999</v>
      </c>
      <c r="F1987" s="7">
        <v>27</v>
      </c>
      <c r="G1987" s="7">
        <v>26.059999000000001</v>
      </c>
      <c r="H1987" s="8">
        <f t="shared" si="31"/>
        <v>2.188772911311683E-2</v>
      </c>
    </row>
    <row r="1988" spans="2:8" x14ac:dyDescent="0.2">
      <c r="B1988" s="5">
        <v>44882</v>
      </c>
      <c r="C1988" s="6" t="s">
        <v>18</v>
      </c>
      <c r="D1988" s="7">
        <v>26.809999000000001</v>
      </c>
      <c r="E1988" s="7">
        <v>26.123633999999999</v>
      </c>
      <c r="F1988" s="7">
        <v>27.27</v>
      </c>
      <c r="G1988" s="7">
        <v>26.68</v>
      </c>
      <c r="H1988" s="8">
        <f t="shared" ref="H1988:H2051" si="32">IF(C1988=C1987, LN(E1988/E1987), "")</f>
        <v>7.4619293249540382E-4</v>
      </c>
    </row>
    <row r="1989" spans="2:8" x14ac:dyDescent="0.2">
      <c r="B1989" s="5">
        <v>44883</v>
      </c>
      <c r="C1989" s="6" t="s">
        <v>18</v>
      </c>
      <c r="D1989" s="7">
        <v>27.120000999999998</v>
      </c>
      <c r="E1989" s="7">
        <v>26.425699000000002</v>
      </c>
      <c r="F1989" s="7">
        <v>27.16</v>
      </c>
      <c r="G1989" s="7">
        <v>26.73</v>
      </c>
      <c r="H1989" s="8">
        <f t="shared" si="32"/>
        <v>1.1496561793102782E-2</v>
      </c>
    </row>
    <row r="1990" spans="2:8" x14ac:dyDescent="0.2">
      <c r="B1990" s="5">
        <v>44884</v>
      </c>
      <c r="C1990" s="6" t="s">
        <v>18</v>
      </c>
      <c r="D1990" s="7">
        <v>27.370000999999998</v>
      </c>
      <c r="E1990" s="7">
        <v>26.669298999999999</v>
      </c>
      <c r="F1990" s="7">
        <v>27.65</v>
      </c>
      <c r="G1990" s="7">
        <v>27.049999</v>
      </c>
      <c r="H1990" s="8">
        <f t="shared" si="32"/>
        <v>9.1760700042927083E-3</v>
      </c>
    </row>
    <row r="1991" spans="2:8" x14ac:dyDescent="0.2">
      <c r="B1991" s="5">
        <v>44885</v>
      </c>
      <c r="C1991" s="6" t="s">
        <v>18</v>
      </c>
      <c r="D1991" s="7">
        <v>27.57</v>
      </c>
      <c r="E1991" s="7">
        <v>26.864177999999999</v>
      </c>
      <c r="F1991" s="7">
        <v>27.780000999999999</v>
      </c>
      <c r="G1991" s="7">
        <v>27.459999</v>
      </c>
      <c r="H1991" s="8">
        <f t="shared" si="32"/>
        <v>7.2806726470575943E-3</v>
      </c>
    </row>
    <row r="1992" spans="2:8" x14ac:dyDescent="0.2">
      <c r="B1992" s="5">
        <v>44888</v>
      </c>
      <c r="C1992" s="6" t="s">
        <v>18</v>
      </c>
      <c r="D1992" s="7">
        <v>27.43</v>
      </c>
      <c r="E1992" s="7">
        <v>26.727761999999998</v>
      </c>
      <c r="F1992" s="7">
        <v>27.84</v>
      </c>
      <c r="G1992" s="7">
        <v>27.34</v>
      </c>
      <c r="H1992" s="8">
        <f t="shared" si="32"/>
        <v>-5.0909257858663967E-3</v>
      </c>
    </row>
    <row r="1993" spans="2:8" x14ac:dyDescent="0.2">
      <c r="B1993" s="5">
        <v>44889</v>
      </c>
      <c r="C1993" s="6" t="s">
        <v>18</v>
      </c>
      <c r="D1993" s="7">
        <v>27.27</v>
      </c>
      <c r="E1993" s="7">
        <v>26.571859</v>
      </c>
      <c r="F1993" s="7">
        <v>27.440000999999999</v>
      </c>
      <c r="G1993" s="7">
        <v>27</v>
      </c>
      <c r="H1993" s="8">
        <f t="shared" si="32"/>
        <v>-5.8500770437869797E-3</v>
      </c>
    </row>
    <row r="1994" spans="2:8" x14ac:dyDescent="0.2">
      <c r="B1994" s="5">
        <v>44890</v>
      </c>
      <c r="C1994" s="6" t="s">
        <v>18</v>
      </c>
      <c r="D1994" s="7">
        <v>27.24</v>
      </c>
      <c r="E1994" s="7">
        <v>26.542625999999998</v>
      </c>
      <c r="F1994" s="7">
        <v>27.389999</v>
      </c>
      <c r="G1994" s="7">
        <v>27</v>
      </c>
      <c r="H1994" s="8">
        <f t="shared" si="32"/>
        <v>-1.1007544533928086E-3</v>
      </c>
    </row>
    <row r="1995" spans="2:8" x14ac:dyDescent="0.2">
      <c r="B1995" s="5">
        <v>44892</v>
      </c>
      <c r="C1995" s="6" t="s">
        <v>18</v>
      </c>
      <c r="D1995" s="7">
        <v>27.32</v>
      </c>
      <c r="E1995" s="7">
        <v>26.620577999999998</v>
      </c>
      <c r="F1995" s="7">
        <v>27.48</v>
      </c>
      <c r="G1995" s="7">
        <v>27.24</v>
      </c>
      <c r="H1995" s="8">
        <f t="shared" si="32"/>
        <v>2.9325567309626144E-3</v>
      </c>
    </row>
    <row r="1996" spans="2:8" x14ac:dyDescent="0.2">
      <c r="B1996" s="5">
        <v>44895</v>
      </c>
      <c r="C1996" s="6" t="s">
        <v>18</v>
      </c>
      <c r="D1996" s="7">
        <v>27.25</v>
      </c>
      <c r="E1996" s="7">
        <v>26.55237</v>
      </c>
      <c r="F1996" s="7">
        <v>27.48</v>
      </c>
      <c r="G1996" s="7">
        <v>27.200001</v>
      </c>
      <c r="H1996" s="8">
        <f t="shared" si="32"/>
        <v>-2.5655164882477507E-3</v>
      </c>
    </row>
    <row r="1997" spans="2:8" x14ac:dyDescent="0.2">
      <c r="B1997" s="5">
        <v>44896</v>
      </c>
      <c r="C1997" s="6" t="s">
        <v>18</v>
      </c>
      <c r="D1997" s="7">
        <v>27.57</v>
      </c>
      <c r="E1997" s="7">
        <v>26.864177999999999</v>
      </c>
      <c r="F1997" s="7">
        <v>27.65</v>
      </c>
      <c r="G1997" s="7">
        <v>27.200001</v>
      </c>
      <c r="H1997" s="8">
        <f t="shared" si="32"/>
        <v>1.1674717040331203E-2</v>
      </c>
    </row>
    <row r="1998" spans="2:8" x14ac:dyDescent="0.2">
      <c r="B1998" s="5">
        <v>44897</v>
      </c>
      <c r="C1998" s="6" t="s">
        <v>18</v>
      </c>
      <c r="D1998" s="7">
        <v>27.440000999999999</v>
      </c>
      <c r="E1998" s="7">
        <v>26.737507000000001</v>
      </c>
      <c r="F1998" s="7">
        <v>27.9</v>
      </c>
      <c r="G1998" s="7">
        <v>27.370000999999998</v>
      </c>
      <c r="H1998" s="8">
        <f t="shared" si="32"/>
        <v>-4.7263900679999724E-3</v>
      </c>
    </row>
    <row r="1999" spans="2:8" x14ac:dyDescent="0.2">
      <c r="B1999" s="5">
        <v>44898</v>
      </c>
      <c r="C1999" s="6" t="s">
        <v>18</v>
      </c>
      <c r="D1999" s="7">
        <v>26.950001</v>
      </c>
      <c r="E1999" s="7">
        <v>26.260051000000001</v>
      </c>
      <c r="F1999" s="7">
        <v>27.690000999999999</v>
      </c>
      <c r="G1999" s="7">
        <v>26.82</v>
      </c>
      <c r="H1999" s="8">
        <f t="shared" si="32"/>
        <v>-1.8018525223018424E-2</v>
      </c>
    </row>
    <row r="2000" spans="2:8" x14ac:dyDescent="0.2">
      <c r="B2000" s="5">
        <v>44899</v>
      </c>
      <c r="C2000" s="6" t="s">
        <v>18</v>
      </c>
      <c r="D2000" s="7">
        <v>27.48</v>
      </c>
      <c r="E2000" s="7">
        <v>26.776482000000001</v>
      </c>
      <c r="F2000" s="7">
        <v>27.549999</v>
      </c>
      <c r="G2000" s="7">
        <v>26.950001</v>
      </c>
      <c r="H2000" s="8">
        <f t="shared" si="32"/>
        <v>1.9475153952053081E-2</v>
      </c>
    </row>
    <row r="2001" spans="2:8" x14ac:dyDescent="0.2">
      <c r="B2001" s="5">
        <v>44902</v>
      </c>
      <c r="C2001" s="6" t="s">
        <v>18</v>
      </c>
      <c r="D2001" s="7">
        <v>27.49</v>
      </c>
      <c r="E2001" s="7">
        <v>26.786225999999999</v>
      </c>
      <c r="F2001" s="7">
        <v>27.559999000000001</v>
      </c>
      <c r="G2001" s="7">
        <v>27.26</v>
      </c>
      <c r="H2001" s="8">
        <f t="shared" si="32"/>
        <v>3.6383523056692939E-4</v>
      </c>
    </row>
    <row r="2002" spans="2:8" x14ac:dyDescent="0.2">
      <c r="B2002" s="5">
        <v>44903</v>
      </c>
      <c r="C2002" s="6" t="s">
        <v>18</v>
      </c>
      <c r="D2002" s="7">
        <v>27.15</v>
      </c>
      <c r="E2002" s="7">
        <v>26.454930000000001</v>
      </c>
      <c r="F2002" s="7">
        <v>27.290001</v>
      </c>
      <c r="G2002" s="7">
        <v>27.02</v>
      </c>
      <c r="H2002" s="8">
        <f t="shared" si="32"/>
        <v>-1.2445269822724696E-2</v>
      </c>
    </row>
    <row r="2003" spans="2:8" x14ac:dyDescent="0.2">
      <c r="B2003" s="5">
        <v>44904</v>
      </c>
      <c r="C2003" s="6" t="s">
        <v>18</v>
      </c>
      <c r="D2003" s="7">
        <v>26.73</v>
      </c>
      <c r="E2003" s="7">
        <v>26.045681999999999</v>
      </c>
      <c r="F2003" s="7">
        <v>27.35</v>
      </c>
      <c r="G2003" s="7">
        <v>26.66</v>
      </c>
      <c r="H2003" s="8">
        <f t="shared" si="32"/>
        <v>-1.5590534047363776E-2</v>
      </c>
    </row>
    <row r="2004" spans="2:8" x14ac:dyDescent="0.2">
      <c r="B2004" s="5">
        <v>44905</v>
      </c>
      <c r="C2004" s="6" t="s">
        <v>18</v>
      </c>
      <c r="D2004" s="7">
        <v>26.77</v>
      </c>
      <c r="E2004" s="7">
        <v>26.084658999999998</v>
      </c>
      <c r="F2004" s="7">
        <v>27.040001</v>
      </c>
      <c r="G2004" s="7">
        <v>26.66</v>
      </c>
      <c r="H2004" s="8">
        <f t="shared" si="32"/>
        <v>1.495367439208437E-3</v>
      </c>
    </row>
    <row r="2005" spans="2:8" x14ac:dyDescent="0.2">
      <c r="B2005" s="5">
        <v>44906</v>
      </c>
      <c r="C2005" s="6" t="s">
        <v>18</v>
      </c>
      <c r="D2005" s="7">
        <v>26.16</v>
      </c>
      <c r="E2005" s="7">
        <v>25.490275</v>
      </c>
      <c r="F2005" s="7">
        <v>26.49</v>
      </c>
      <c r="G2005" s="7">
        <v>26.129999000000002</v>
      </c>
      <c r="H2005" s="8">
        <f t="shared" si="32"/>
        <v>-2.3050356867437574E-2</v>
      </c>
    </row>
    <row r="2006" spans="2:8" x14ac:dyDescent="0.2">
      <c r="B2006" s="5">
        <v>44909</v>
      </c>
      <c r="C2006" s="6" t="s">
        <v>18</v>
      </c>
      <c r="D2006" s="7">
        <v>26.49</v>
      </c>
      <c r="E2006" s="7">
        <v>25.811827000000001</v>
      </c>
      <c r="F2006" s="7">
        <v>26.52</v>
      </c>
      <c r="G2006" s="7">
        <v>25.959999</v>
      </c>
      <c r="H2006" s="8">
        <f t="shared" si="32"/>
        <v>1.2535790867773702E-2</v>
      </c>
    </row>
    <row r="2007" spans="2:8" x14ac:dyDescent="0.2">
      <c r="B2007" s="5">
        <v>44910</v>
      </c>
      <c r="C2007" s="6" t="s">
        <v>18</v>
      </c>
      <c r="D2007" s="7">
        <v>26.85</v>
      </c>
      <c r="E2007" s="7">
        <v>26.162610999999998</v>
      </c>
      <c r="F2007" s="7">
        <v>27.110001</v>
      </c>
      <c r="G2007" s="7">
        <v>26.610001</v>
      </c>
      <c r="H2007" s="8">
        <f t="shared" si="32"/>
        <v>1.3498532734796481E-2</v>
      </c>
    </row>
    <row r="2008" spans="2:8" x14ac:dyDescent="0.2">
      <c r="B2008" s="5">
        <v>44911</v>
      </c>
      <c r="C2008" s="6" t="s">
        <v>18</v>
      </c>
      <c r="D2008" s="7">
        <v>27.24</v>
      </c>
      <c r="E2008" s="7">
        <v>26.542625999999998</v>
      </c>
      <c r="F2008" s="7">
        <v>27.290001</v>
      </c>
      <c r="G2008" s="7">
        <v>26.68</v>
      </c>
      <c r="H2008" s="8">
        <f t="shared" si="32"/>
        <v>1.4420638521099571E-2</v>
      </c>
    </row>
    <row r="2009" spans="2:8" x14ac:dyDescent="0.2">
      <c r="B2009" s="5">
        <v>44912</v>
      </c>
      <c r="C2009" s="6" t="s">
        <v>18</v>
      </c>
      <c r="D2009" s="7">
        <v>26.719999000000001</v>
      </c>
      <c r="E2009" s="7">
        <v>26.035938000000002</v>
      </c>
      <c r="F2009" s="7">
        <v>27.309999000000001</v>
      </c>
      <c r="G2009" s="7">
        <v>26.700001</v>
      </c>
      <c r="H2009" s="8">
        <f t="shared" si="32"/>
        <v>-1.9274154608894374E-2</v>
      </c>
    </row>
    <row r="2010" spans="2:8" x14ac:dyDescent="0.2">
      <c r="B2010" s="5">
        <v>44913</v>
      </c>
      <c r="C2010" s="6" t="s">
        <v>18</v>
      </c>
      <c r="D2010" s="7">
        <v>26.27</v>
      </c>
      <c r="E2010" s="7">
        <v>25.597460000000002</v>
      </c>
      <c r="F2010" s="7">
        <v>26.82</v>
      </c>
      <c r="G2010" s="7">
        <v>26.26</v>
      </c>
      <c r="H2010" s="8">
        <f t="shared" si="32"/>
        <v>-1.6984686576119717E-2</v>
      </c>
    </row>
    <row r="2011" spans="2:8" x14ac:dyDescent="0.2">
      <c r="B2011" s="5">
        <v>44916</v>
      </c>
      <c r="C2011" s="6" t="s">
        <v>18</v>
      </c>
      <c r="D2011" s="7">
        <v>26.639999</v>
      </c>
      <c r="E2011" s="7">
        <v>25.957985999999998</v>
      </c>
      <c r="F2011" s="7">
        <v>26.65</v>
      </c>
      <c r="G2011" s="7">
        <v>26.41</v>
      </c>
      <c r="H2011" s="8">
        <f t="shared" si="32"/>
        <v>1.398618011964233E-2</v>
      </c>
    </row>
    <row r="2012" spans="2:8" x14ac:dyDescent="0.2">
      <c r="B2012" s="5">
        <v>44917</v>
      </c>
      <c r="C2012" s="6" t="s">
        <v>18</v>
      </c>
      <c r="D2012" s="7">
        <v>26.889999</v>
      </c>
      <c r="E2012" s="7">
        <v>26.202286000000001</v>
      </c>
      <c r="F2012" s="7">
        <v>26.9</v>
      </c>
      <c r="G2012" s="7">
        <v>26.559999000000001</v>
      </c>
      <c r="H2012" s="8">
        <f t="shared" si="32"/>
        <v>9.3673509365684807E-3</v>
      </c>
    </row>
    <row r="2013" spans="2:8" x14ac:dyDescent="0.2">
      <c r="B2013" s="5">
        <v>44918</v>
      </c>
      <c r="C2013" s="6" t="s">
        <v>18</v>
      </c>
      <c r="D2013" s="7">
        <v>27.4</v>
      </c>
      <c r="E2013" s="7">
        <v>26.698530000000002</v>
      </c>
      <c r="F2013" s="7">
        <v>27.41</v>
      </c>
      <c r="G2013" s="7">
        <v>27</v>
      </c>
      <c r="H2013" s="8">
        <f t="shared" si="32"/>
        <v>1.8761848841559643E-2</v>
      </c>
    </row>
    <row r="2014" spans="2:8" x14ac:dyDescent="0.2">
      <c r="B2014" s="5">
        <v>44919</v>
      </c>
      <c r="C2014" s="6" t="s">
        <v>18</v>
      </c>
      <c r="D2014" s="7">
        <v>27.379999000000002</v>
      </c>
      <c r="E2014" s="7">
        <v>26.679041000000002</v>
      </c>
      <c r="F2014" s="7">
        <v>27.549999</v>
      </c>
      <c r="G2014" s="7">
        <v>27.370000999999998</v>
      </c>
      <c r="H2014" s="8">
        <f t="shared" si="32"/>
        <v>-7.3023183711469085E-4</v>
      </c>
    </row>
    <row r="2015" spans="2:8" x14ac:dyDescent="0.2">
      <c r="B2015" s="5">
        <v>44923</v>
      </c>
      <c r="C2015" s="6" t="s">
        <v>18</v>
      </c>
      <c r="D2015" s="7">
        <v>27.309999000000001</v>
      </c>
      <c r="E2015" s="7">
        <v>26.610834000000001</v>
      </c>
      <c r="F2015" s="7">
        <v>27.370000999999998</v>
      </c>
      <c r="G2015" s="7">
        <v>27.129999000000002</v>
      </c>
      <c r="H2015" s="8">
        <f t="shared" si="32"/>
        <v>-2.5598497743048905E-3</v>
      </c>
    </row>
    <row r="2016" spans="2:8" x14ac:dyDescent="0.2">
      <c r="B2016" s="5">
        <v>44924</v>
      </c>
      <c r="C2016" s="6" t="s">
        <v>18</v>
      </c>
      <c r="D2016" s="7">
        <v>27.77</v>
      </c>
      <c r="E2016" s="7">
        <v>27.059058</v>
      </c>
      <c r="F2016" s="7">
        <v>27.82</v>
      </c>
      <c r="G2016" s="7">
        <v>27.4</v>
      </c>
      <c r="H2016" s="8">
        <f t="shared" si="32"/>
        <v>1.6703384507411025E-2</v>
      </c>
    </row>
    <row r="2017" spans="2:8" x14ac:dyDescent="0.2">
      <c r="B2017" s="5">
        <v>44925</v>
      </c>
      <c r="C2017" s="6" t="s">
        <v>18</v>
      </c>
      <c r="D2017" s="7">
        <v>27.530000999999999</v>
      </c>
      <c r="E2017" s="7">
        <v>26.825202999999998</v>
      </c>
      <c r="F2017" s="7">
        <v>27.77</v>
      </c>
      <c r="G2017" s="7">
        <v>27.52</v>
      </c>
      <c r="H2017" s="8">
        <f t="shared" si="32"/>
        <v>-8.6799545510773818E-3</v>
      </c>
    </row>
    <row r="2018" spans="2:8" x14ac:dyDescent="0.2">
      <c r="B2018" s="5">
        <v>44926</v>
      </c>
      <c r="C2018" s="6" t="s">
        <v>18</v>
      </c>
      <c r="D2018" s="7">
        <v>27.16</v>
      </c>
      <c r="E2018" s="7">
        <v>26.464673999999999</v>
      </c>
      <c r="F2018" s="7">
        <v>27.450001</v>
      </c>
      <c r="G2018" s="7">
        <v>27.139999</v>
      </c>
      <c r="H2018" s="8">
        <f t="shared" si="32"/>
        <v>-1.3531068977669206E-2</v>
      </c>
    </row>
    <row r="2019" spans="2:8" x14ac:dyDescent="0.2">
      <c r="B2019" s="5">
        <v>44198</v>
      </c>
      <c r="C2019" s="6" t="s">
        <v>19</v>
      </c>
      <c r="D2019" s="7">
        <v>78.910004000000001</v>
      </c>
      <c r="E2019" s="7">
        <v>73.306444999999997</v>
      </c>
      <c r="F2019" s="7">
        <v>79.470000999999996</v>
      </c>
      <c r="G2019" s="7">
        <v>78.5</v>
      </c>
      <c r="H2019" s="8" t="str">
        <f t="shared" si="32"/>
        <v/>
      </c>
    </row>
    <row r="2020" spans="2:8" x14ac:dyDescent="0.2">
      <c r="B2020" s="5">
        <v>44199</v>
      </c>
      <c r="C2020" s="6" t="s">
        <v>19</v>
      </c>
      <c r="D2020" s="7">
        <v>78.650002000000001</v>
      </c>
      <c r="E2020" s="7">
        <v>73.064905999999993</v>
      </c>
      <c r="F2020" s="7">
        <v>79.129997000000003</v>
      </c>
      <c r="G2020" s="7">
        <v>78.519997000000004</v>
      </c>
      <c r="H2020" s="8">
        <f t="shared" si="32"/>
        <v>-3.3003619573709567E-3</v>
      </c>
    </row>
    <row r="2021" spans="2:8" x14ac:dyDescent="0.2">
      <c r="B2021" s="5">
        <v>44202</v>
      </c>
      <c r="C2021" s="6" t="s">
        <v>19</v>
      </c>
      <c r="D2021" s="7">
        <v>78.209998999999996</v>
      </c>
      <c r="E2021" s="7">
        <v>72.656148999999999</v>
      </c>
      <c r="F2021" s="7">
        <v>78.910004000000001</v>
      </c>
      <c r="G2021" s="7">
        <v>77.790001000000004</v>
      </c>
      <c r="H2021" s="8">
        <f t="shared" si="32"/>
        <v>-5.6101442868546235E-3</v>
      </c>
    </row>
    <row r="2022" spans="2:8" x14ac:dyDescent="0.2">
      <c r="B2022" s="5">
        <v>44203</v>
      </c>
      <c r="C2022" s="6" t="s">
        <v>19</v>
      </c>
      <c r="D2022" s="7">
        <v>78.449996999999996</v>
      </c>
      <c r="E2022" s="7">
        <v>72.879103999999998</v>
      </c>
      <c r="F2022" s="7">
        <v>78.849997999999999</v>
      </c>
      <c r="G2022" s="7">
        <v>77.919998000000007</v>
      </c>
      <c r="H2022" s="8">
        <f t="shared" si="32"/>
        <v>3.0639335806744313E-3</v>
      </c>
    </row>
    <row r="2023" spans="2:8" x14ac:dyDescent="0.2">
      <c r="B2023" s="5">
        <v>44204</v>
      </c>
      <c r="C2023" s="6" t="s">
        <v>19</v>
      </c>
      <c r="D2023" s="7">
        <v>77.830001999999993</v>
      </c>
      <c r="E2023" s="7">
        <v>72.303135999999995</v>
      </c>
      <c r="F2023" s="7">
        <v>78.510002</v>
      </c>
      <c r="G2023" s="7">
        <v>77.599997999999999</v>
      </c>
      <c r="H2023" s="8">
        <f t="shared" si="32"/>
        <v>-7.93445564274382E-3</v>
      </c>
    </row>
    <row r="2024" spans="2:8" x14ac:dyDescent="0.2">
      <c r="B2024" s="5">
        <v>44205</v>
      </c>
      <c r="C2024" s="6" t="s">
        <v>19</v>
      </c>
      <c r="D2024" s="7">
        <v>78.089995999999999</v>
      </c>
      <c r="E2024" s="7">
        <v>72.544668000000001</v>
      </c>
      <c r="F2024" s="7">
        <v>78.400002000000001</v>
      </c>
      <c r="G2024" s="7">
        <v>77.489998</v>
      </c>
      <c r="H2024" s="8">
        <f t="shared" si="32"/>
        <v>3.3349794362314924E-3</v>
      </c>
    </row>
    <row r="2025" spans="2:8" x14ac:dyDescent="0.2">
      <c r="B2025" s="5">
        <v>44206</v>
      </c>
      <c r="C2025" s="6" t="s">
        <v>19</v>
      </c>
      <c r="D2025" s="7">
        <v>78.040001000000004</v>
      </c>
      <c r="E2025" s="7">
        <v>72.498222999999996</v>
      </c>
      <c r="F2025" s="7">
        <v>78.720000999999996</v>
      </c>
      <c r="G2025" s="7">
        <v>77.540001000000004</v>
      </c>
      <c r="H2025" s="8">
        <f t="shared" si="32"/>
        <v>-6.4043127198101465E-4</v>
      </c>
    </row>
    <row r="2026" spans="2:8" x14ac:dyDescent="0.2">
      <c r="B2026" s="5">
        <v>44209</v>
      </c>
      <c r="C2026" s="6" t="s">
        <v>19</v>
      </c>
      <c r="D2026" s="7">
        <v>77.489998</v>
      </c>
      <c r="E2026" s="7">
        <v>71.987277000000006</v>
      </c>
      <c r="F2026" s="7">
        <v>77.970000999999996</v>
      </c>
      <c r="G2026" s="7">
        <v>77.239998</v>
      </c>
      <c r="H2026" s="8">
        <f t="shared" si="32"/>
        <v>-7.0726561474530264E-3</v>
      </c>
    </row>
    <row r="2027" spans="2:8" x14ac:dyDescent="0.2">
      <c r="B2027" s="5">
        <v>44210</v>
      </c>
      <c r="C2027" s="6" t="s">
        <v>19</v>
      </c>
      <c r="D2027" s="7">
        <v>77.959998999999996</v>
      </c>
      <c r="E2027" s="7">
        <v>72.423901999999998</v>
      </c>
      <c r="F2027" s="7">
        <v>78</v>
      </c>
      <c r="G2027" s="7">
        <v>77.379997000000003</v>
      </c>
      <c r="H2027" s="8">
        <f t="shared" si="32"/>
        <v>6.0469879616539589E-3</v>
      </c>
    </row>
    <row r="2028" spans="2:8" x14ac:dyDescent="0.2">
      <c r="B2028" s="5">
        <v>44211</v>
      </c>
      <c r="C2028" s="6" t="s">
        <v>19</v>
      </c>
      <c r="D2028" s="7">
        <v>77.660004000000001</v>
      </c>
      <c r="E2028" s="7">
        <v>72.145210000000006</v>
      </c>
      <c r="F2028" s="7">
        <v>78.099997999999999</v>
      </c>
      <c r="G2028" s="7">
        <v>77.569999999999993</v>
      </c>
      <c r="H2028" s="8">
        <f t="shared" si="32"/>
        <v>-3.855489480006673E-3</v>
      </c>
    </row>
    <row r="2029" spans="2:8" x14ac:dyDescent="0.2">
      <c r="B2029" s="5">
        <v>44212</v>
      </c>
      <c r="C2029" s="6" t="s">
        <v>19</v>
      </c>
      <c r="D2029" s="7">
        <v>76.760002</v>
      </c>
      <c r="E2029" s="7">
        <v>71.309118999999995</v>
      </c>
      <c r="F2029" s="7">
        <v>77.470000999999996</v>
      </c>
      <c r="G2029" s="7">
        <v>76.349997999999999</v>
      </c>
      <c r="H2029" s="8">
        <f t="shared" si="32"/>
        <v>-1.1656678094201794E-2</v>
      </c>
    </row>
    <row r="2030" spans="2:8" x14ac:dyDescent="0.2">
      <c r="B2030" s="5">
        <v>44213</v>
      </c>
      <c r="C2030" s="6" t="s">
        <v>19</v>
      </c>
      <c r="D2030" s="7">
        <v>76.190002000000007</v>
      </c>
      <c r="E2030" s="7">
        <v>70.779595999999998</v>
      </c>
      <c r="F2030" s="7">
        <v>76.819999999999993</v>
      </c>
      <c r="G2030" s="7">
        <v>76.029999000000004</v>
      </c>
      <c r="H2030" s="8">
        <f t="shared" si="32"/>
        <v>-7.4534483814527068E-3</v>
      </c>
    </row>
    <row r="2031" spans="2:8" x14ac:dyDescent="0.2">
      <c r="B2031" s="5">
        <v>44217</v>
      </c>
      <c r="C2031" s="6" t="s">
        <v>19</v>
      </c>
      <c r="D2031" s="7">
        <v>75.839995999999999</v>
      </c>
      <c r="E2031" s="7">
        <v>70.454445000000007</v>
      </c>
      <c r="F2031" s="7">
        <v>76.389999000000003</v>
      </c>
      <c r="G2031" s="7">
        <v>74.860000999999997</v>
      </c>
      <c r="H2031" s="8">
        <f t="shared" si="32"/>
        <v>-4.6044363264492886E-3</v>
      </c>
    </row>
    <row r="2032" spans="2:8" x14ac:dyDescent="0.2">
      <c r="B2032" s="5">
        <v>44218</v>
      </c>
      <c r="C2032" s="6" t="s">
        <v>19</v>
      </c>
      <c r="D2032" s="7">
        <v>75.349997999999999</v>
      </c>
      <c r="E2032" s="7">
        <v>69.999243000000007</v>
      </c>
      <c r="F2032" s="7">
        <v>76.080001999999993</v>
      </c>
      <c r="G2032" s="7">
        <v>75.029999000000004</v>
      </c>
      <c r="H2032" s="8">
        <f t="shared" si="32"/>
        <v>-6.4819030423384407E-3</v>
      </c>
    </row>
    <row r="2033" spans="2:8" x14ac:dyDescent="0.2">
      <c r="B2033" s="5">
        <v>44219</v>
      </c>
      <c r="C2033" s="6" t="s">
        <v>19</v>
      </c>
      <c r="D2033" s="7">
        <v>74.959998999999996</v>
      </c>
      <c r="E2033" s="7">
        <v>69.636938000000001</v>
      </c>
      <c r="F2033" s="7">
        <v>75.120002999999997</v>
      </c>
      <c r="G2033" s="7">
        <v>74.470000999999996</v>
      </c>
      <c r="H2033" s="8">
        <f t="shared" si="32"/>
        <v>-5.1892827551887214E-3</v>
      </c>
    </row>
    <row r="2034" spans="2:8" x14ac:dyDescent="0.2">
      <c r="B2034" s="5">
        <v>44220</v>
      </c>
      <c r="C2034" s="6" t="s">
        <v>19</v>
      </c>
      <c r="D2034" s="7">
        <v>74.419998000000007</v>
      </c>
      <c r="E2034" s="7">
        <v>69.135283999999999</v>
      </c>
      <c r="F2034" s="7">
        <v>75.120002999999997</v>
      </c>
      <c r="G2034" s="7">
        <v>74.230002999999996</v>
      </c>
      <c r="H2034" s="8">
        <f t="shared" si="32"/>
        <v>-7.2299222130135727E-3</v>
      </c>
    </row>
    <row r="2035" spans="2:8" x14ac:dyDescent="0.2">
      <c r="B2035" s="5">
        <v>44223</v>
      </c>
      <c r="C2035" s="6" t="s">
        <v>19</v>
      </c>
      <c r="D2035" s="7">
        <v>74.150002000000001</v>
      </c>
      <c r="E2035" s="7">
        <v>68.884460000000004</v>
      </c>
      <c r="F2035" s="7">
        <v>74.370002999999997</v>
      </c>
      <c r="G2035" s="7">
        <v>73.830001999999993</v>
      </c>
      <c r="H2035" s="8">
        <f t="shared" si="32"/>
        <v>-3.6346144233418897E-3</v>
      </c>
    </row>
    <row r="2036" spans="2:8" x14ac:dyDescent="0.2">
      <c r="B2036" s="5">
        <v>44224</v>
      </c>
      <c r="C2036" s="6" t="s">
        <v>19</v>
      </c>
      <c r="D2036" s="7">
        <v>74.669998000000007</v>
      </c>
      <c r="E2036" s="7">
        <v>69.367531</v>
      </c>
      <c r="F2036" s="7">
        <v>75.400002000000001</v>
      </c>
      <c r="G2036" s="7">
        <v>74.099997999999999</v>
      </c>
      <c r="H2036" s="8">
        <f t="shared" si="32"/>
        <v>6.9882966958217732E-3</v>
      </c>
    </row>
    <row r="2037" spans="2:8" x14ac:dyDescent="0.2">
      <c r="B2037" s="5">
        <v>44225</v>
      </c>
      <c r="C2037" s="6" t="s">
        <v>19</v>
      </c>
      <c r="D2037" s="7">
        <v>74.099997999999999</v>
      </c>
      <c r="E2037" s="7">
        <v>68.838008000000002</v>
      </c>
      <c r="F2037" s="7">
        <v>75.370002999999997</v>
      </c>
      <c r="G2037" s="7">
        <v>74.069999999999993</v>
      </c>
      <c r="H2037" s="8">
        <f t="shared" si="32"/>
        <v>-7.6628707495122218E-3</v>
      </c>
    </row>
    <row r="2038" spans="2:8" x14ac:dyDescent="0.2">
      <c r="B2038" s="5">
        <v>44226</v>
      </c>
      <c r="C2038" s="6" t="s">
        <v>19</v>
      </c>
      <c r="D2038" s="7">
        <v>74.75</v>
      </c>
      <c r="E2038" s="7">
        <v>69.441851</v>
      </c>
      <c r="F2038" s="7">
        <v>75.089995999999999</v>
      </c>
      <c r="G2038" s="7">
        <v>74.360000999999997</v>
      </c>
      <c r="H2038" s="8">
        <f t="shared" si="32"/>
        <v>8.7336918428823525E-3</v>
      </c>
    </row>
    <row r="2039" spans="2:8" x14ac:dyDescent="0.2">
      <c r="B2039" s="5">
        <v>44227</v>
      </c>
      <c r="C2039" s="6" t="s">
        <v>19</v>
      </c>
      <c r="D2039" s="7">
        <v>74.680000000000007</v>
      </c>
      <c r="E2039" s="7">
        <v>69.376823000000002</v>
      </c>
      <c r="F2039" s="7">
        <v>75.190002000000007</v>
      </c>
      <c r="G2039" s="7">
        <v>73.639999000000003</v>
      </c>
      <c r="H2039" s="8">
        <f t="shared" si="32"/>
        <v>-9.3687690398865737E-4</v>
      </c>
    </row>
    <row r="2040" spans="2:8" x14ac:dyDescent="0.2">
      <c r="B2040" s="5">
        <v>44230</v>
      </c>
      <c r="C2040" s="6" t="s">
        <v>19</v>
      </c>
      <c r="D2040" s="7">
        <v>72.660004000000001</v>
      </c>
      <c r="E2040" s="7">
        <v>67.50027</v>
      </c>
      <c r="F2040" s="7">
        <v>74.5</v>
      </c>
      <c r="G2040" s="7">
        <v>72.540001000000004</v>
      </c>
      <c r="H2040" s="8">
        <f t="shared" si="32"/>
        <v>-2.7421251328345043E-2</v>
      </c>
    </row>
    <row r="2041" spans="2:8" x14ac:dyDescent="0.2">
      <c r="B2041" s="5">
        <v>44231</v>
      </c>
      <c r="C2041" s="6" t="s">
        <v>19</v>
      </c>
      <c r="D2041" s="7">
        <v>72.730002999999996</v>
      </c>
      <c r="E2041" s="7">
        <v>67.565298999999996</v>
      </c>
      <c r="F2041" s="7">
        <v>73.099997999999999</v>
      </c>
      <c r="G2041" s="7">
        <v>72.300003000000004</v>
      </c>
      <c r="H2041" s="8">
        <f t="shared" si="32"/>
        <v>9.629249779373358E-4</v>
      </c>
    </row>
    <row r="2042" spans="2:8" x14ac:dyDescent="0.2">
      <c r="B2042" s="5">
        <v>44232</v>
      </c>
      <c r="C2042" s="6" t="s">
        <v>19</v>
      </c>
      <c r="D2042" s="7">
        <v>72.870002999999997</v>
      </c>
      <c r="E2042" s="7">
        <v>67.695357000000001</v>
      </c>
      <c r="F2042" s="7">
        <v>73.160004000000001</v>
      </c>
      <c r="G2042" s="7">
        <v>72.269997000000004</v>
      </c>
      <c r="H2042" s="8">
        <f t="shared" si="32"/>
        <v>1.9230727386359227E-3</v>
      </c>
    </row>
    <row r="2043" spans="2:8" x14ac:dyDescent="0.2">
      <c r="B2043" s="5">
        <v>44233</v>
      </c>
      <c r="C2043" s="6" t="s">
        <v>19</v>
      </c>
      <c r="D2043" s="7">
        <v>72.819999999999993</v>
      </c>
      <c r="E2043" s="7">
        <v>67.648904000000002</v>
      </c>
      <c r="F2043" s="7">
        <v>73.209998999999996</v>
      </c>
      <c r="G2043" s="7">
        <v>72.5</v>
      </c>
      <c r="H2043" s="8">
        <f t="shared" si="32"/>
        <v>-6.8644213623606973E-4</v>
      </c>
    </row>
    <row r="2044" spans="2:8" x14ac:dyDescent="0.2">
      <c r="B2044" s="5">
        <v>44234</v>
      </c>
      <c r="C2044" s="6" t="s">
        <v>19</v>
      </c>
      <c r="D2044" s="7">
        <v>73.75</v>
      </c>
      <c r="E2044" s="7">
        <v>68.512863999999993</v>
      </c>
      <c r="F2044" s="7">
        <v>73.800003000000004</v>
      </c>
      <c r="G2044" s="7">
        <v>72.5</v>
      </c>
      <c r="H2044" s="8">
        <f t="shared" si="32"/>
        <v>1.2690369806406115E-2</v>
      </c>
    </row>
    <row r="2045" spans="2:8" x14ac:dyDescent="0.2">
      <c r="B2045" s="5">
        <v>44237</v>
      </c>
      <c r="C2045" s="6" t="s">
        <v>19</v>
      </c>
      <c r="D2045" s="7">
        <v>73.760002</v>
      </c>
      <c r="E2045" s="7">
        <v>68.522154999999998</v>
      </c>
      <c r="F2045" s="7">
        <v>73.760002</v>
      </c>
      <c r="G2045" s="7">
        <v>72.959998999999996</v>
      </c>
      <c r="H2045" s="8">
        <f t="shared" si="32"/>
        <v>1.3560037546674121E-4</v>
      </c>
    </row>
    <row r="2046" spans="2:8" x14ac:dyDescent="0.2">
      <c r="B2046" s="5">
        <v>44238</v>
      </c>
      <c r="C2046" s="6" t="s">
        <v>19</v>
      </c>
      <c r="D2046" s="7">
        <v>74.800003000000004</v>
      </c>
      <c r="E2046" s="7">
        <v>69.488303999999999</v>
      </c>
      <c r="F2046" s="7">
        <v>74.849997999999999</v>
      </c>
      <c r="G2046" s="7">
        <v>73.669998000000007</v>
      </c>
      <c r="H2046" s="8">
        <f t="shared" si="32"/>
        <v>1.4001327006292662E-2</v>
      </c>
    </row>
    <row r="2047" spans="2:8" x14ac:dyDescent="0.2">
      <c r="B2047" s="5">
        <v>44239</v>
      </c>
      <c r="C2047" s="6" t="s">
        <v>19</v>
      </c>
      <c r="D2047" s="7">
        <v>74.959998999999996</v>
      </c>
      <c r="E2047" s="7">
        <v>69.636938000000001</v>
      </c>
      <c r="F2047" s="7">
        <v>75.180000000000007</v>
      </c>
      <c r="G2047" s="7">
        <v>74.220000999999996</v>
      </c>
      <c r="H2047" s="8">
        <f t="shared" si="32"/>
        <v>2.1366943109946716E-3</v>
      </c>
    </row>
    <row r="2048" spans="2:8" x14ac:dyDescent="0.2">
      <c r="B2048" s="5">
        <v>44240</v>
      </c>
      <c r="C2048" s="6" t="s">
        <v>19</v>
      </c>
      <c r="D2048" s="7">
        <v>75.360000999999997</v>
      </c>
      <c r="E2048" s="7">
        <v>70.008534999999995</v>
      </c>
      <c r="F2048" s="7">
        <v>75.489998</v>
      </c>
      <c r="G2048" s="7">
        <v>74.559997999999993</v>
      </c>
      <c r="H2048" s="8">
        <f t="shared" si="32"/>
        <v>5.3220182381219895E-3</v>
      </c>
    </row>
    <row r="2049" spans="2:8" x14ac:dyDescent="0.2">
      <c r="B2049" s="5">
        <v>44241</v>
      </c>
      <c r="C2049" s="6" t="s">
        <v>19</v>
      </c>
      <c r="D2049" s="7">
        <v>75.790001000000004</v>
      </c>
      <c r="E2049" s="7">
        <v>70.408000000000001</v>
      </c>
      <c r="F2049" s="7">
        <v>75.989998</v>
      </c>
      <c r="G2049" s="7">
        <v>75.099997999999999</v>
      </c>
      <c r="H2049" s="8">
        <f t="shared" si="32"/>
        <v>5.6897298834072295E-3</v>
      </c>
    </row>
    <row r="2050" spans="2:8" x14ac:dyDescent="0.2">
      <c r="B2050" s="5">
        <v>44245</v>
      </c>
      <c r="C2050" s="6" t="s">
        <v>19</v>
      </c>
      <c r="D2050" s="7">
        <v>75.330001999999993</v>
      </c>
      <c r="E2050" s="7">
        <v>69.980665999999999</v>
      </c>
      <c r="F2050" s="7">
        <v>75.650002000000001</v>
      </c>
      <c r="G2050" s="7">
        <v>74.860000999999997</v>
      </c>
      <c r="H2050" s="8">
        <f t="shared" si="32"/>
        <v>-6.0878891723965571E-3</v>
      </c>
    </row>
    <row r="2051" spans="2:8" x14ac:dyDescent="0.2">
      <c r="B2051" s="5">
        <v>44246</v>
      </c>
      <c r="C2051" s="6" t="s">
        <v>19</v>
      </c>
      <c r="D2051" s="7">
        <v>74.849997999999999</v>
      </c>
      <c r="E2051" s="7">
        <v>69.534749000000005</v>
      </c>
      <c r="F2051" s="7">
        <v>75.319999999999993</v>
      </c>
      <c r="G2051" s="7">
        <v>74.410004000000001</v>
      </c>
      <c r="H2051" s="8">
        <f t="shared" si="32"/>
        <v>-6.3923906680152312E-3</v>
      </c>
    </row>
    <row r="2052" spans="2:8" x14ac:dyDescent="0.2">
      <c r="B2052" s="5">
        <v>44247</v>
      </c>
      <c r="C2052" s="6" t="s">
        <v>19</v>
      </c>
      <c r="D2052" s="7">
        <v>73.519997000000004</v>
      </c>
      <c r="E2052" s="7">
        <v>68.299193000000002</v>
      </c>
      <c r="F2052" s="7">
        <v>74</v>
      </c>
      <c r="G2052" s="7">
        <v>72.809997999999993</v>
      </c>
      <c r="H2052" s="8">
        <f t="shared" ref="H2052:H2115" si="33">IF(C2052=C2051, LN(E2052/E2051), "")</f>
        <v>-1.7928662243924084E-2</v>
      </c>
    </row>
    <row r="2053" spans="2:8" x14ac:dyDescent="0.2">
      <c r="B2053" s="5">
        <v>44248</v>
      </c>
      <c r="C2053" s="6" t="s">
        <v>19</v>
      </c>
      <c r="D2053" s="7">
        <v>73.120002999999997</v>
      </c>
      <c r="E2053" s="7">
        <v>67.927604000000002</v>
      </c>
      <c r="F2053" s="7">
        <v>73.400002000000001</v>
      </c>
      <c r="G2053" s="7">
        <v>72.819999999999993</v>
      </c>
      <c r="H2053" s="8">
        <f t="shared" si="33"/>
        <v>-5.4554600091428086E-3</v>
      </c>
    </row>
    <row r="2054" spans="2:8" x14ac:dyDescent="0.2">
      <c r="B2054" s="5">
        <v>44251</v>
      </c>
      <c r="C2054" s="6" t="s">
        <v>19</v>
      </c>
      <c r="D2054" s="7">
        <v>73.349997999999999</v>
      </c>
      <c r="E2054" s="7">
        <v>68.141266999999999</v>
      </c>
      <c r="F2054" s="7">
        <v>73.819999999999993</v>
      </c>
      <c r="G2054" s="7">
        <v>73.139999000000003</v>
      </c>
      <c r="H2054" s="8">
        <f t="shared" si="33"/>
        <v>3.1405151529509973E-3</v>
      </c>
    </row>
    <row r="2055" spans="2:8" x14ac:dyDescent="0.2">
      <c r="B2055" s="5">
        <v>44252</v>
      </c>
      <c r="C2055" s="6" t="s">
        <v>19</v>
      </c>
      <c r="D2055" s="7">
        <v>73.349997999999999</v>
      </c>
      <c r="E2055" s="7">
        <v>68.141266999999999</v>
      </c>
      <c r="F2055" s="7">
        <v>73.739998</v>
      </c>
      <c r="G2055" s="7">
        <v>73.089995999999999</v>
      </c>
      <c r="H2055" s="8">
        <f t="shared" si="33"/>
        <v>0</v>
      </c>
    </row>
    <row r="2056" spans="2:8" x14ac:dyDescent="0.2">
      <c r="B2056" s="5">
        <v>44253</v>
      </c>
      <c r="C2056" s="6" t="s">
        <v>19</v>
      </c>
      <c r="D2056" s="7">
        <v>74.779999000000004</v>
      </c>
      <c r="E2056" s="7">
        <v>69.469719999999995</v>
      </c>
      <c r="F2056" s="7">
        <v>75.099997999999999</v>
      </c>
      <c r="G2056" s="7">
        <v>73.790001000000004</v>
      </c>
      <c r="H2056" s="8">
        <f t="shared" si="33"/>
        <v>1.9307968048914007E-2</v>
      </c>
    </row>
    <row r="2057" spans="2:8" x14ac:dyDescent="0.2">
      <c r="B2057" s="5">
        <v>44254</v>
      </c>
      <c r="C2057" s="6" t="s">
        <v>19</v>
      </c>
      <c r="D2057" s="7">
        <v>74.559997999999993</v>
      </c>
      <c r="E2057" s="7">
        <v>69.265342000000004</v>
      </c>
      <c r="F2057" s="7">
        <v>74.779999000000004</v>
      </c>
      <c r="G2057" s="7">
        <v>74.089995999999999</v>
      </c>
      <c r="H2057" s="8">
        <f t="shared" si="33"/>
        <v>-2.9463085235928721E-3</v>
      </c>
    </row>
    <row r="2058" spans="2:8" x14ac:dyDescent="0.2">
      <c r="B2058" s="5">
        <v>44255</v>
      </c>
      <c r="C2058" s="6" t="s">
        <v>19</v>
      </c>
      <c r="D2058" s="7">
        <v>74.699996999999996</v>
      </c>
      <c r="E2058" s="7">
        <v>69.395398999999998</v>
      </c>
      <c r="F2058" s="7">
        <v>75.190002000000007</v>
      </c>
      <c r="G2058" s="7">
        <v>74.199996999999996</v>
      </c>
      <c r="H2058" s="8">
        <f t="shared" si="33"/>
        <v>1.8759028287513629E-3</v>
      </c>
    </row>
    <row r="2059" spans="2:8" x14ac:dyDescent="0.2">
      <c r="B2059" s="5">
        <v>44258</v>
      </c>
      <c r="C2059" s="6" t="s">
        <v>19</v>
      </c>
      <c r="D2059" s="7">
        <v>74.120002999999997</v>
      </c>
      <c r="E2059" s="7">
        <v>68.856592000000006</v>
      </c>
      <c r="F2059" s="7">
        <v>74.669998000000007</v>
      </c>
      <c r="G2059" s="7">
        <v>73.830001999999993</v>
      </c>
      <c r="H2059" s="8">
        <f t="shared" si="33"/>
        <v>-7.7946035217686784E-3</v>
      </c>
    </row>
    <row r="2060" spans="2:8" x14ac:dyDescent="0.2">
      <c r="B2060" s="5">
        <v>44259</v>
      </c>
      <c r="C2060" s="6" t="s">
        <v>19</v>
      </c>
      <c r="D2060" s="7">
        <v>75.129997000000003</v>
      </c>
      <c r="E2060" s="7">
        <v>69.794864000000004</v>
      </c>
      <c r="F2060" s="7">
        <v>75.489998</v>
      </c>
      <c r="G2060" s="7">
        <v>74.660004000000001</v>
      </c>
      <c r="H2060" s="8">
        <f t="shared" si="33"/>
        <v>1.3534460435885591E-2</v>
      </c>
    </row>
    <row r="2061" spans="2:8" x14ac:dyDescent="0.2">
      <c r="B2061" s="5">
        <v>44260</v>
      </c>
      <c r="C2061" s="6" t="s">
        <v>19</v>
      </c>
      <c r="D2061" s="7">
        <v>74.800003000000004</v>
      </c>
      <c r="E2061" s="7">
        <v>69.488303999999999</v>
      </c>
      <c r="F2061" s="7">
        <v>75.330001999999993</v>
      </c>
      <c r="G2061" s="7">
        <v>74.580001999999993</v>
      </c>
      <c r="H2061" s="8">
        <f t="shared" si="33"/>
        <v>-4.4019747601858105E-3</v>
      </c>
    </row>
    <row r="2062" spans="2:8" x14ac:dyDescent="0.2">
      <c r="B2062" s="5">
        <v>44261</v>
      </c>
      <c r="C2062" s="6" t="s">
        <v>19</v>
      </c>
      <c r="D2062" s="7">
        <v>74.879997000000003</v>
      </c>
      <c r="E2062" s="7">
        <v>69.562617000000003</v>
      </c>
      <c r="F2062" s="7">
        <v>75.110000999999997</v>
      </c>
      <c r="G2062" s="7">
        <v>74.510002</v>
      </c>
      <c r="H2062" s="8">
        <f t="shared" si="33"/>
        <v>1.0688603360633109E-3</v>
      </c>
    </row>
    <row r="2063" spans="2:8" x14ac:dyDescent="0.2">
      <c r="B2063" s="5">
        <v>44262</v>
      </c>
      <c r="C2063" s="6" t="s">
        <v>19</v>
      </c>
      <c r="D2063" s="7">
        <v>74.580001999999993</v>
      </c>
      <c r="E2063" s="7">
        <v>69.730919</v>
      </c>
      <c r="F2063" s="7">
        <v>74.959998999999996</v>
      </c>
      <c r="G2063" s="7">
        <v>74.360000999999997</v>
      </c>
      <c r="H2063" s="8">
        <f t="shared" si="33"/>
        <v>2.4165095773031595E-3</v>
      </c>
    </row>
    <row r="2064" spans="2:8" x14ac:dyDescent="0.2">
      <c r="B2064" s="5">
        <v>44265</v>
      </c>
      <c r="C2064" s="6" t="s">
        <v>19</v>
      </c>
      <c r="D2064" s="7">
        <v>74.430000000000007</v>
      </c>
      <c r="E2064" s="7">
        <v>69.590671</v>
      </c>
      <c r="F2064" s="7">
        <v>74.599997999999999</v>
      </c>
      <c r="G2064" s="7">
        <v>74.050003000000004</v>
      </c>
      <c r="H2064" s="8">
        <f t="shared" si="33"/>
        <v>-2.0132995521102452E-3</v>
      </c>
    </row>
    <row r="2065" spans="2:8" x14ac:dyDescent="0.2">
      <c r="B2065" s="5">
        <v>44266</v>
      </c>
      <c r="C2065" s="6" t="s">
        <v>19</v>
      </c>
      <c r="D2065" s="7">
        <v>74.919998000000007</v>
      </c>
      <c r="E2065" s="7">
        <v>70.048810000000003</v>
      </c>
      <c r="F2065" s="7">
        <v>74.970000999999996</v>
      </c>
      <c r="G2065" s="7">
        <v>74.199996999999996</v>
      </c>
      <c r="H2065" s="8">
        <f t="shared" si="33"/>
        <v>6.5617637726675436E-3</v>
      </c>
    </row>
    <row r="2066" spans="2:8" x14ac:dyDescent="0.2">
      <c r="B2066" s="5">
        <v>44267</v>
      </c>
      <c r="C2066" s="6" t="s">
        <v>19</v>
      </c>
      <c r="D2066" s="7">
        <v>75.529999000000004</v>
      </c>
      <c r="E2066" s="7">
        <v>70.619148999999993</v>
      </c>
      <c r="F2066" s="7">
        <v>75.75</v>
      </c>
      <c r="G2066" s="7">
        <v>74.819999999999993</v>
      </c>
      <c r="H2066" s="8">
        <f t="shared" si="33"/>
        <v>8.1090552440745284E-3</v>
      </c>
    </row>
    <row r="2067" spans="2:8" x14ac:dyDescent="0.2">
      <c r="B2067" s="5">
        <v>44268</v>
      </c>
      <c r="C2067" s="6" t="s">
        <v>19</v>
      </c>
      <c r="D2067" s="7">
        <v>74.930000000000007</v>
      </c>
      <c r="E2067" s="7">
        <v>70.058160999999998</v>
      </c>
      <c r="F2067" s="7">
        <v>76.180000000000007</v>
      </c>
      <c r="G2067" s="7">
        <v>74.910004000000001</v>
      </c>
      <c r="H2067" s="8">
        <f t="shared" si="33"/>
        <v>-7.9755715216424106E-3</v>
      </c>
    </row>
    <row r="2068" spans="2:8" x14ac:dyDescent="0.2">
      <c r="B2068" s="5">
        <v>44269</v>
      </c>
      <c r="C2068" s="6" t="s">
        <v>19</v>
      </c>
      <c r="D2068" s="7">
        <v>74.279999000000004</v>
      </c>
      <c r="E2068" s="7">
        <v>69.450422000000003</v>
      </c>
      <c r="F2068" s="7">
        <v>75.069999999999993</v>
      </c>
      <c r="G2068" s="7">
        <v>74.269997000000004</v>
      </c>
      <c r="H2068" s="8">
        <f t="shared" si="33"/>
        <v>-8.712622999555563E-3</v>
      </c>
    </row>
    <row r="2069" spans="2:8" x14ac:dyDescent="0.2">
      <c r="B2069" s="5">
        <v>44272</v>
      </c>
      <c r="C2069" s="6" t="s">
        <v>19</v>
      </c>
      <c r="D2069" s="7">
        <v>74.680000000000007</v>
      </c>
      <c r="E2069" s="7">
        <v>69.824415999999999</v>
      </c>
      <c r="F2069" s="7">
        <v>74.849997999999999</v>
      </c>
      <c r="G2069" s="7">
        <v>74.010002</v>
      </c>
      <c r="H2069" s="8">
        <f t="shared" si="33"/>
        <v>5.3706025339177984E-3</v>
      </c>
    </row>
    <row r="2070" spans="2:8" x14ac:dyDescent="0.2">
      <c r="B2070" s="5">
        <v>44273</v>
      </c>
      <c r="C2070" s="6" t="s">
        <v>19</v>
      </c>
      <c r="D2070" s="7">
        <v>74.769997000000004</v>
      </c>
      <c r="E2070" s="7">
        <v>69.908561000000006</v>
      </c>
      <c r="F2070" s="7">
        <v>74.989998</v>
      </c>
      <c r="G2070" s="7">
        <v>74.449996999999996</v>
      </c>
      <c r="H2070" s="8">
        <f t="shared" si="33"/>
        <v>1.204368674848413E-3</v>
      </c>
    </row>
    <row r="2071" spans="2:8" x14ac:dyDescent="0.2">
      <c r="B2071" s="5">
        <v>44274</v>
      </c>
      <c r="C2071" s="6" t="s">
        <v>19</v>
      </c>
      <c r="D2071" s="7">
        <v>74.379997000000003</v>
      </c>
      <c r="E2071" s="7">
        <v>69.543919000000002</v>
      </c>
      <c r="F2071" s="7">
        <v>75.110000999999997</v>
      </c>
      <c r="G2071" s="7">
        <v>74.019997000000004</v>
      </c>
      <c r="H2071" s="8">
        <f t="shared" si="33"/>
        <v>-5.2296356587108938E-3</v>
      </c>
    </row>
    <row r="2072" spans="2:8" x14ac:dyDescent="0.2">
      <c r="B2072" s="5">
        <v>44275</v>
      </c>
      <c r="C2072" s="6" t="s">
        <v>19</v>
      </c>
      <c r="D2072" s="7">
        <v>75.379997000000003</v>
      </c>
      <c r="E2072" s="7">
        <v>70.478899999999996</v>
      </c>
      <c r="F2072" s="7">
        <v>75.680000000000007</v>
      </c>
      <c r="G2072" s="7">
        <v>73.860000999999997</v>
      </c>
      <c r="H2072" s="8">
        <f t="shared" si="33"/>
        <v>1.3354893195815018E-2</v>
      </c>
    </row>
    <row r="2073" spans="2:8" x14ac:dyDescent="0.2">
      <c r="B2073" s="5">
        <v>44276</v>
      </c>
      <c r="C2073" s="6" t="s">
        <v>19</v>
      </c>
      <c r="D2073" s="7">
        <v>76.099997999999999</v>
      </c>
      <c r="E2073" s="7">
        <v>71.152088000000006</v>
      </c>
      <c r="F2073" s="7">
        <v>77.019997000000004</v>
      </c>
      <c r="G2073" s="7">
        <v>75.449996999999996</v>
      </c>
      <c r="H2073" s="8">
        <f t="shared" si="33"/>
        <v>9.506296314765043E-3</v>
      </c>
    </row>
    <row r="2074" spans="2:8" x14ac:dyDescent="0.2">
      <c r="B2074" s="5">
        <v>44279</v>
      </c>
      <c r="C2074" s="6" t="s">
        <v>19</v>
      </c>
      <c r="D2074" s="7">
        <v>76.760002</v>
      </c>
      <c r="E2074" s="7">
        <v>71.769178999999994</v>
      </c>
      <c r="F2074" s="7">
        <v>76.800003000000004</v>
      </c>
      <c r="G2074" s="7">
        <v>76.110000999999997</v>
      </c>
      <c r="H2074" s="8">
        <f t="shared" si="33"/>
        <v>8.6354515000785365E-3</v>
      </c>
    </row>
    <row r="2075" spans="2:8" x14ac:dyDescent="0.2">
      <c r="B2075" s="5">
        <v>44280</v>
      </c>
      <c r="C2075" s="6" t="s">
        <v>19</v>
      </c>
      <c r="D2075" s="7">
        <v>76.870002999999997</v>
      </c>
      <c r="E2075" s="7">
        <v>71.872028</v>
      </c>
      <c r="F2075" s="7">
        <v>77.139999000000003</v>
      </c>
      <c r="G2075" s="7">
        <v>76.160004000000001</v>
      </c>
      <c r="H2075" s="8">
        <f t="shared" si="33"/>
        <v>1.4320266408795663E-3</v>
      </c>
    </row>
    <row r="2076" spans="2:8" x14ac:dyDescent="0.2">
      <c r="B2076" s="5">
        <v>44281</v>
      </c>
      <c r="C2076" s="6" t="s">
        <v>19</v>
      </c>
      <c r="D2076" s="7">
        <v>76.230002999999996</v>
      </c>
      <c r="E2076" s="7">
        <v>71.27364</v>
      </c>
      <c r="F2076" s="7">
        <v>77.529999000000004</v>
      </c>
      <c r="G2076" s="7">
        <v>76.230002999999996</v>
      </c>
      <c r="H2076" s="8">
        <f t="shared" si="33"/>
        <v>-8.3605951048916789E-3</v>
      </c>
    </row>
    <row r="2077" spans="2:8" x14ac:dyDescent="0.2">
      <c r="B2077" s="5">
        <v>44282</v>
      </c>
      <c r="C2077" s="6" t="s">
        <v>19</v>
      </c>
      <c r="D2077" s="7">
        <v>76.139999000000003</v>
      </c>
      <c r="E2077" s="7">
        <v>71.189487999999997</v>
      </c>
      <c r="F2077" s="7">
        <v>76.819999999999993</v>
      </c>
      <c r="G2077" s="7">
        <v>76.040001000000004</v>
      </c>
      <c r="H2077" s="8">
        <f t="shared" si="33"/>
        <v>-1.1813865239207917E-3</v>
      </c>
    </row>
    <row r="2078" spans="2:8" x14ac:dyDescent="0.2">
      <c r="B2078" s="5">
        <v>44283</v>
      </c>
      <c r="C2078" s="6" t="s">
        <v>19</v>
      </c>
      <c r="D2078" s="7">
        <v>76.010002</v>
      </c>
      <c r="E2078" s="7">
        <v>71.067943</v>
      </c>
      <c r="F2078" s="7">
        <v>76.599997999999999</v>
      </c>
      <c r="G2078" s="7">
        <v>75.769997000000004</v>
      </c>
      <c r="H2078" s="8">
        <f t="shared" si="33"/>
        <v>-1.7088039439718818E-3</v>
      </c>
    </row>
    <row r="2079" spans="2:8" x14ac:dyDescent="0.2">
      <c r="B2079" s="5">
        <v>44286</v>
      </c>
      <c r="C2079" s="6" t="s">
        <v>19</v>
      </c>
      <c r="D2079" s="7">
        <v>76.430000000000007</v>
      </c>
      <c r="E2079" s="7">
        <v>71.460633999999999</v>
      </c>
      <c r="F2079" s="7">
        <v>76.779999000000004</v>
      </c>
      <c r="G2079" s="7">
        <v>76.019997000000004</v>
      </c>
      <c r="H2079" s="8">
        <f t="shared" si="33"/>
        <v>5.510361527588538E-3</v>
      </c>
    </row>
    <row r="2080" spans="2:8" x14ac:dyDescent="0.2">
      <c r="B2080" s="5">
        <v>44287</v>
      </c>
      <c r="C2080" s="6" t="s">
        <v>19</v>
      </c>
      <c r="D2080" s="7">
        <v>76.769997000000004</v>
      </c>
      <c r="E2080" s="7">
        <v>71.778524000000004</v>
      </c>
      <c r="F2080" s="7">
        <v>77.25</v>
      </c>
      <c r="G2080" s="7">
        <v>76.540001000000004</v>
      </c>
      <c r="H2080" s="8">
        <f t="shared" si="33"/>
        <v>4.4385980249866284E-3</v>
      </c>
    </row>
    <row r="2081" spans="2:8" x14ac:dyDescent="0.2">
      <c r="B2081" s="5">
        <v>44288</v>
      </c>
      <c r="C2081" s="6" t="s">
        <v>19</v>
      </c>
      <c r="D2081" s="7">
        <v>77.180000000000007</v>
      </c>
      <c r="E2081" s="7">
        <v>72.161869999999993</v>
      </c>
      <c r="F2081" s="7">
        <v>77.190002000000007</v>
      </c>
      <c r="G2081" s="7">
        <v>76.339995999999999</v>
      </c>
      <c r="H2081" s="8">
        <f t="shared" si="33"/>
        <v>5.3264673755649434E-3</v>
      </c>
    </row>
    <row r="2082" spans="2:8" x14ac:dyDescent="0.2">
      <c r="B2082" s="5">
        <v>44289</v>
      </c>
      <c r="C2082" s="6" t="s">
        <v>19</v>
      </c>
      <c r="D2082" s="7">
        <v>77.459998999999996</v>
      </c>
      <c r="E2082" s="7">
        <v>72.423663000000005</v>
      </c>
      <c r="F2082" s="7">
        <v>77.550003000000004</v>
      </c>
      <c r="G2082" s="7">
        <v>77</v>
      </c>
      <c r="H2082" s="8">
        <f t="shared" si="33"/>
        <v>3.6212929559264412E-3</v>
      </c>
    </row>
    <row r="2083" spans="2:8" x14ac:dyDescent="0.2">
      <c r="B2083" s="5">
        <v>44290</v>
      </c>
      <c r="C2083" s="6" t="s">
        <v>19</v>
      </c>
      <c r="D2083" s="7">
        <v>77.309997999999993</v>
      </c>
      <c r="E2083" s="7">
        <v>72.283415000000005</v>
      </c>
      <c r="F2083" s="7">
        <v>77.900002000000001</v>
      </c>
      <c r="G2083" s="7">
        <v>77.25</v>
      </c>
      <c r="H2083" s="8">
        <f t="shared" si="33"/>
        <v>-1.9383715828002741E-3</v>
      </c>
    </row>
    <row r="2084" spans="2:8" x14ac:dyDescent="0.2">
      <c r="B2084" s="5">
        <v>44293</v>
      </c>
      <c r="C2084" s="6" t="s">
        <v>19</v>
      </c>
      <c r="D2084" s="7">
        <v>77.309997999999993</v>
      </c>
      <c r="E2084" s="7">
        <v>72.283415000000005</v>
      </c>
      <c r="F2084" s="7">
        <v>77.720000999999996</v>
      </c>
      <c r="G2084" s="7">
        <v>77.089995999999999</v>
      </c>
      <c r="H2084" s="8">
        <f t="shared" si="33"/>
        <v>0</v>
      </c>
    </row>
    <row r="2085" spans="2:8" x14ac:dyDescent="0.2">
      <c r="B2085" s="5">
        <v>44294</v>
      </c>
      <c r="C2085" s="6" t="s">
        <v>19</v>
      </c>
      <c r="D2085" s="7">
        <v>78.180000000000007</v>
      </c>
      <c r="E2085" s="7">
        <v>73.096851000000001</v>
      </c>
      <c r="F2085" s="7">
        <v>78.309997999999993</v>
      </c>
      <c r="G2085" s="7">
        <v>76.800003000000004</v>
      </c>
      <c r="H2085" s="8">
        <f t="shared" si="33"/>
        <v>1.1190576426611568E-2</v>
      </c>
    </row>
    <row r="2086" spans="2:8" x14ac:dyDescent="0.2">
      <c r="B2086" s="5">
        <v>44295</v>
      </c>
      <c r="C2086" s="6" t="s">
        <v>19</v>
      </c>
      <c r="D2086" s="7">
        <v>77.970000999999996</v>
      </c>
      <c r="E2086" s="7">
        <v>72.900505999999993</v>
      </c>
      <c r="F2086" s="7">
        <v>78.220000999999996</v>
      </c>
      <c r="G2086" s="7">
        <v>77.279999000000004</v>
      </c>
      <c r="H2086" s="8">
        <f t="shared" si="33"/>
        <v>-2.6897078468612122E-3</v>
      </c>
    </row>
    <row r="2087" spans="2:8" x14ac:dyDescent="0.2">
      <c r="B2087" s="5">
        <v>44296</v>
      </c>
      <c r="C2087" s="6" t="s">
        <v>19</v>
      </c>
      <c r="D2087" s="7">
        <v>76.889999000000003</v>
      </c>
      <c r="E2087" s="7">
        <v>71.890724000000006</v>
      </c>
      <c r="F2087" s="7">
        <v>78.139999000000003</v>
      </c>
      <c r="G2087" s="7">
        <v>76.650002000000001</v>
      </c>
      <c r="H2087" s="8">
        <f t="shared" si="33"/>
        <v>-1.3948336118827594E-2</v>
      </c>
    </row>
    <row r="2088" spans="2:8" x14ac:dyDescent="0.2">
      <c r="B2088" s="5">
        <v>44297</v>
      </c>
      <c r="C2088" s="6" t="s">
        <v>19</v>
      </c>
      <c r="D2088" s="7">
        <v>76.5</v>
      </c>
      <c r="E2088" s="7">
        <v>71.526082000000002</v>
      </c>
      <c r="F2088" s="7">
        <v>77.230002999999996</v>
      </c>
      <c r="G2088" s="7">
        <v>76.290001000000004</v>
      </c>
      <c r="H2088" s="8">
        <f t="shared" si="33"/>
        <v>-5.0850774872618085E-3</v>
      </c>
    </row>
    <row r="2089" spans="2:8" x14ac:dyDescent="0.2">
      <c r="B2089" s="5">
        <v>44300</v>
      </c>
      <c r="C2089" s="6" t="s">
        <v>19</v>
      </c>
      <c r="D2089" s="7">
        <v>77.379997000000003</v>
      </c>
      <c r="E2089" s="7">
        <v>72.348862999999994</v>
      </c>
      <c r="F2089" s="7">
        <v>77.550003000000004</v>
      </c>
      <c r="G2089" s="7">
        <v>76.790001000000004</v>
      </c>
      <c r="H2089" s="8">
        <f t="shared" si="33"/>
        <v>1.1437571281504574E-2</v>
      </c>
    </row>
    <row r="2090" spans="2:8" x14ac:dyDescent="0.2">
      <c r="B2090" s="5">
        <v>44301</v>
      </c>
      <c r="C2090" s="6" t="s">
        <v>19</v>
      </c>
      <c r="D2090" s="7">
        <v>76.879997000000003</v>
      </c>
      <c r="E2090" s="7">
        <v>71.881371999999999</v>
      </c>
      <c r="F2090" s="7">
        <v>77.309997999999993</v>
      </c>
      <c r="G2090" s="7">
        <v>76.440002000000007</v>
      </c>
      <c r="H2090" s="8">
        <f t="shared" si="33"/>
        <v>-6.4825885799959775E-3</v>
      </c>
    </row>
    <row r="2091" spans="2:8" x14ac:dyDescent="0.2">
      <c r="B2091" s="5">
        <v>44302</v>
      </c>
      <c r="C2091" s="6" t="s">
        <v>19</v>
      </c>
      <c r="D2091" s="7">
        <v>77.220000999999996</v>
      </c>
      <c r="E2091" s="7">
        <v>72.199269999999999</v>
      </c>
      <c r="F2091" s="7">
        <v>77.470000999999996</v>
      </c>
      <c r="G2091" s="7">
        <v>77.029999000000004</v>
      </c>
      <c r="H2091" s="8">
        <f t="shared" si="33"/>
        <v>4.412785943309747E-3</v>
      </c>
    </row>
    <row r="2092" spans="2:8" x14ac:dyDescent="0.2">
      <c r="B2092" s="5">
        <v>44303</v>
      </c>
      <c r="C2092" s="6" t="s">
        <v>19</v>
      </c>
      <c r="D2092" s="7">
        <v>77.660004000000001</v>
      </c>
      <c r="E2092" s="7">
        <v>72.610664</v>
      </c>
      <c r="F2092" s="7">
        <v>77.75</v>
      </c>
      <c r="G2092" s="7">
        <v>77.080001999999993</v>
      </c>
      <c r="H2092" s="8">
        <f t="shared" si="33"/>
        <v>5.6818630519032912E-3</v>
      </c>
    </row>
    <row r="2093" spans="2:8" x14ac:dyDescent="0.2">
      <c r="B2093" s="5">
        <v>44307</v>
      </c>
      <c r="C2093" s="6" t="s">
        <v>19</v>
      </c>
      <c r="D2093" s="7">
        <v>77.599997999999999</v>
      </c>
      <c r="E2093" s="7">
        <v>72.554559999999995</v>
      </c>
      <c r="F2093" s="7">
        <v>77.730002999999996</v>
      </c>
      <c r="G2093" s="7">
        <v>77.180000000000007</v>
      </c>
      <c r="H2093" s="8">
        <f t="shared" si="33"/>
        <v>-7.7296753654196597E-4</v>
      </c>
    </row>
    <row r="2094" spans="2:8" x14ac:dyDescent="0.2">
      <c r="B2094" s="5">
        <v>44308</v>
      </c>
      <c r="C2094" s="6" t="s">
        <v>19</v>
      </c>
      <c r="D2094" s="7">
        <v>77.559997999999993</v>
      </c>
      <c r="E2094" s="7">
        <v>72.517160000000004</v>
      </c>
      <c r="F2094" s="7">
        <v>77.830001999999993</v>
      </c>
      <c r="G2094" s="7">
        <v>77.389999000000003</v>
      </c>
      <c r="H2094" s="8">
        <f t="shared" si="33"/>
        <v>-5.1560705047902034E-4</v>
      </c>
    </row>
    <row r="2095" spans="2:8" x14ac:dyDescent="0.2">
      <c r="B2095" s="5">
        <v>44309</v>
      </c>
      <c r="C2095" s="6" t="s">
        <v>19</v>
      </c>
      <c r="D2095" s="7">
        <v>78.040001000000004</v>
      </c>
      <c r="E2095" s="7">
        <v>72.965953999999996</v>
      </c>
      <c r="F2095" s="7">
        <v>78.279999000000004</v>
      </c>
      <c r="G2095" s="7">
        <v>77.569999999999993</v>
      </c>
      <c r="H2095" s="8">
        <f t="shared" si="33"/>
        <v>6.1697252868829653E-3</v>
      </c>
    </row>
    <row r="2096" spans="2:8" x14ac:dyDescent="0.2">
      <c r="B2096" s="5">
        <v>44310</v>
      </c>
      <c r="C2096" s="6" t="s">
        <v>19</v>
      </c>
      <c r="D2096" s="7">
        <v>78.309997999999993</v>
      </c>
      <c r="E2096" s="7">
        <v>73.218395999999998</v>
      </c>
      <c r="F2096" s="7">
        <v>78.470000999999996</v>
      </c>
      <c r="G2096" s="7">
        <v>77.699996999999996</v>
      </c>
      <c r="H2096" s="8">
        <f t="shared" si="33"/>
        <v>3.4537520731294348E-3</v>
      </c>
    </row>
    <row r="2097" spans="2:8" x14ac:dyDescent="0.2">
      <c r="B2097" s="5">
        <v>44311</v>
      </c>
      <c r="C2097" s="6" t="s">
        <v>19</v>
      </c>
      <c r="D2097" s="7">
        <v>78.620002999999997</v>
      </c>
      <c r="E2097" s="7">
        <v>73.508245000000002</v>
      </c>
      <c r="F2097" s="7">
        <v>78.779999000000004</v>
      </c>
      <c r="G2097" s="7">
        <v>78.019997000000004</v>
      </c>
      <c r="H2097" s="8">
        <f t="shared" si="33"/>
        <v>3.9508759289479797E-3</v>
      </c>
    </row>
    <row r="2098" spans="2:8" x14ac:dyDescent="0.2">
      <c r="B2098" s="5">
        <v>44314</v>
      </c>
      <c r="C2098" s="6" t="s">
        <v>19</v>
      </c>
      <c r="D2098" s="7">
        <v>79.760002</v>
      </c>
      <c r="E2098" s="7">
        <v>74.574123999999998</v>
      </c>
      <c r="F2098" s="7">
        <v>79.989998</v>
      </c>
      <c r="G2098" s="7">
        <v>78.830001999999993</v>
      </c>
      <c r="H2098" s="8">
        <f t="shared" si="33"/>
        <v>1.439600696977417E-2</v>
      </c>
    </row>
    <row r="2099" spans="2:8" x14ac:dyDescent="0.2">
      <c r="B2099" s="5">
        <v>44315</v>
      </c>
      <c r="C2099" s="6" t="s">
        <v>19</v>
      </c>
      <c r="D2099" s="7">
        <v>79.669998000000007</v>
      </c>
      <c r="E2099" s="7">
        <v>74.489971999999995</v>
      </c>
      <c r="F2099" s="7">
        <v>79.870002999999997</v>
      </c>
      <c r="G2099" s="7">
        <v>79.569999999999993</v>
      </c>
      <c r="H2099" s="8">
        <f t="shared" si="33"/>
        <v>-1.1290714692257593E-3</v>
      </c>
    </row>
    <row r="2100" spans="2:8" x14ac:dyDescent="0.2">
      <c r="B2100" s="5">
        <v>44316</v>
      </c>
      <c r="C2100" s="6" t="s">
        <v>19</v>
      </c>
      <c r="D2100" s="7">
        <v>79.709998999999996</v>
      </c>
      <c r="E2100" s="7">
        <v>74.527372</v>
      </c>
      <c r="F2100" s="7">
        <v>79.930000000000007</v>
      </c>
      <c r="G2100" s="7">
        <v>79.510002</v>
      </c>
      <c r="H2100" s="8">
        <f t="shared" si="33"/>
        <v>5.019550044493093E-4</v>
      </c>
    </row>
    <row r="2101" spans="2:8" x14ac:dyDescent="0.2">
      <c r="B2101" s="5">
        <v>44317</v>
      </c>
      <c r="C2101" s="6" t="s">
        <v>19</v>
      </c>
      <c r="D2101" s="7">
        <v>79.699996999999996</v>
      </c>
      <c r="E2101" s="7">
        <v>74.518020000000007</v>
      </c>
      <c r="F2101" s="7">
        <v>79.730002999999996</v>
      </c>
      <c r="G2101" s="7">
        <v>79.160004000000001</v>
      </c>
      <c r="H2101" s="8">
        <f t="shared" si="33"/>
        <v>-1.2549197109387443E-4</v>
      </c>
    </row>
    <row r="2102" spans="2:8" x14ac:dyDescent="0.2">
      <c r="B2102" s="5">
        <v>44318</v>
      </c>
      <c r="C2102" s="6" t="s">
        <v>19</v>
      </c>
      <c r="D2102" s="7">
        <v>79.120002999999997</v>
      </c>
      <c r="E2102" s="7">
        <v>73.975735999999998</v>
      </c>
      <c r="F2102" s="7">
        <v>79.760002</v>
      </c>
      <c r="G2102" s="7">
        <v>79.010002</v>
      </c>
      <c r="H2102" s="8">
        <f t="shared" si="33"/>
        <v>-7.3038277881109746E-3</v>
      </c>
    </row>
    <row r="2103" spans="2:8" x14ac:dyDescent="0.2">
      <c r="B2103" s="5">
        <v>44321</v>
      </c>
      <c r="C2103" s="6" t="s">
        <v>19</v>
      </c>
      <c r="D2103" s="7">
        <v>78.620002999999997</v>
      </c>
      <c r="E2103" s="7">
        <v>73.508245000000002</v>
      </c>
      <c r="F2103" s="7">
        <v>78.949996999999996</v>
      </c>
      <c r="G2103" s="7">
        <v>78.510002</v>
      </c>
      <c r="H2103" s="8">
        <f t="shared" si="33"/>
        <v>-6.3395707457930672E-3</v>
      </c>
    </row>
    <row r="2104" spans="2:8" x14ac:dyDescent="0.2">
      <c r="B2104" s="5">
        <v>44322</v>
      </c>
      <c r="C2104" s="6" t="s">
        <v>19</v>
      </c>
      <c r="D2104" s="7">
        <v>78.010002</v>
      </c>
      <c r="E2104" s="7">
        <v>72.937905999999998</v>
      </c>
      <c r="F2104" s="7">
        <v>78.389999000000003</v>
      </c>
      <c r="G2104" s="7">
        <v>77.970000999999996</v>
      </c>
      <c r="H2104" s="8">
        <f t="shared" si="33"/>
        <v>-7.7891003573050182E-3</v>
      </c>
    </row>
    <row r="2105" spans="2:8" x14ac:dyDescent="0.2">
      <c r="B2105" s="5">
        <v>44323</v>
      </c>
      <c r="C2105" s="6" t="s">
        <v>19</v>
      </c>
      <c r="D2105" s="7">
        <v>77.959998999999996</v>
      </c>
      <c r="E2105" s="7">
        <v>73.342434999999995</v>
      </c>
      <c r="F2105" s="7">
        <v>78.099997999999999</v>
      </c>
      <c r="G2105" s="7">
        <v>77.529999000000004</v>
      </c>
      <c r="H2105" s="8">
        <f t="shared" si="33"/>
        <v>5.5308871782756954E-3</v>
      </c>
    </row>
    <row r="2106" spans="2:8" x14ac:dyDescent="0.2">
      <c r="B2106" s="5">
        <v>44324</v>
      </c>
      <c r="C2106" s="6" t="s">
        <v>19</v>
      </c>
      <c r="D2106" s="7">
        <v>78.690002000000007</v>
      </c>
      <c r="E2106" s="7">
        <v>74.029201</v>
      </c>
      <c r="F2106" s="7">
        <v>78.830001999999993</v>
      </c>
      <c r="G2106" s="7">
        <v>78</v>
      </c>
      <c r="H2106" s="8">
        <f t="shared" si="33"/>
        <v>9.320259855819352E-3</v>
      </c>
    </row>
    <row r="2107" spans="2:8" x14ac:dyDescent="0.2">
      <c r="B2107" s="5">
        <v>44325</v>
      </c>
      <c r="C2107" s="6" t="s">
        <v>19</v>
      </c>
      <c r="D2107" s="7">
        <v>79.199996999999996</v>
      </c>
      <c r="E2107" s="7">
        <v>74.508988000000002</v>
      </c>
      <c r="F2107" s="7">
        <v>79.279999000000004</v>
      </c>
      <c r="G2107" s="7">
        <v>78.519997000000004</v>
      </c>
      <c r="H2107" s="8">
        <f t="shared" si="33"/>
        <v>6.4601389289036569E-3</v>
      </c>
    </row>
    <row r="2108" spans="2:8" x14ac:dyDescent="0.2">
      <c r="B2108" s="5">
        <v>44328</v>
      </c>
      <c r="C2108" s="6" t="s">
        <v>19</v>
      </c>
      <c r="D2108" s="7">
        <v>79.150002000000001</v>
      </c>
      <c r="E2108" s="7">
        <v>74.461954000000006</v>
      </c>
      <c r="F2108" s="7">
        <v>79.230002999999996</v>
      </c>
      <c r="G2108" s="7">
        <v>78.650002000000001</v>
      </c>
      <c r="H2108" s="8">
        <f t="shared" si="33"/>
        <v>-6.3145202589671978E-4</v>
      </c>
    </row>
    <row r="2109" spans="2:8" x14ac:dyDescent="0.2">
      <c r="B2109" s="5">
        <v>44329</v>
      </c>
      <c r="C2109" s="6" t="s">
        <v>19</v>
      </c>
      <c r="D2109" s="7">
        <v>79.139999000000003</v>
      </c>
      <c r="E2109" s="7">
        <v>74.452544000000003</v>
      </c>
      <c r="F2109" s="7">
        <v>79.370002999999997</v>
      </c>
      <c r="G2109" s="7">
        <v>78.989998</v>
      </c>
      <c r="H2109" s="8">
        <f t="shared" si="33"/>
        <v>-1.2638124747971709E-4</v>
      </c>
    </row>
    <row r="2110" spans="2:8" x14ac:dyDescent="0.2">
      <c r="B2110" s="5">
        <v>44330</v>
      </c>
      <c r="C2110" s="6" t="s">
        <v>19</v>
      </c>
      <c r="D2110" s="7">
        <v>78.739998</v>
      </c>
      <c r="E2110" s="7">
        <v>74.076234999999997</v>
      </c>
      <c r="F2110" s="7">
        <v>79.050003000000004</v>
      </c>
      <c r="G2110" s="7">
        <v>78.069999999999993</v>
      </c>
      <c r="H2110" s="8">
        <f t="shared" si="33"/>
        <v>-5.0671635182574981E-3</v>
      </c>
    </row>
    <row r="2111" spans="2:8" x14ac:dyDescent="0.2">
      <c r="B2111" s="5">
        <v>44331</v>
      </c>
      <c r="C2111" s="6" t="s">
        <v>19</v>
      </c>
      <c r="D2111" s="7">
        <v>76.830001999999993</v>
      </c>
      <c r="E2111" s="7">
        <v>72.279368000000005</v>
      </c>
      <c r="F2111" s="7">
        <v>77.440002000000007</v>
      </c>
      <c r="G2111" s="7">
        <v>76.25</v>
      </c>
      <c r="H2111" s="8">
        <f t="shared" si="33"/>
        <v>-2.4556043700654784E-2</v>
      </c>
    </row>
    <row r="2112" spans="2:8" x14ac:dyDescent="0.2">
      <c r="B2112" s="5">
        <v>44332</v>
      </c>
      <c r="C2112" s="6" t="s">
        <v>19</v>
      </c>
      <c r="D2112" s="7">
        <v>77.010002</v>
      </c>
      <c r="E2112" s="7">
        <v>72.448706999999999</v>
      </c>
      <c r="F2112" s="7">
        <v>77.379997000000003</v>
      </c>
      <c r="G2112" s="7">
        <v>76.650002000000001</v>
      </c>
      <c r="H2112" s="8">
        <f t="shared" si="33"/>
        <v>2.3400999049557475E-3</v>
      </c>
    </row>
    <row r="2113" spans="2:8" x14ac:dyDescent="0.2">
      <c r="B2113" s="5">
        <v>44335</v>
      </c>
      <c r="C2113" s="6" t="s">
        <v>19</v>
      </c>
      <c r="D2113" s="7">
        <v>76.610000999999997</v>
      </c>
      <c r="E2113" s="7">
        <v>72.072396999999995</v>
      </c>
      <c r="F2113" s="7">
        <v>77.129997000000003</v>
      </c>
      <c r="G2113" s="7">
        <v>76.5</v>
      </c>
      <c r="H2113" s="8">
        <f t="shared" si="33"/>
        <v>-5.2076941020692009E-3</v>
      </c>
    </row>
    <row r="2114" spans="2:8" x14ac:dyDescent="0.2">
      <c r="B2114" s="5">
        <v>44336</v>
      </c>
      <c r="C2114" s="6" t="s">
        <v>19</v>
      </c>
      <c r="D2114" s="7">
        <v>75.690002000000007</v>
      </c>
      <c r="E2114" s="7">
        <v>71.206890000000001</v>
      </c>
      <c r="F2114" s="7">
        <v>76.370002999999997</v>
      </c>
      <c r="G2114" s="7">
        <v>75.519997000000004</v>
      </c>
      <c r="H2114" s="8">
        <f t="shared" si="33"/>
        <v>-1.2081544315506444E-2</v>
      </c>
    </row>
    <row r="2115" spans="2:8" x14ac:dyDescent="0.2">
      <c r="B2115" s="5">
        <v>44337</v>
      </c>
      <c r="C2115" s="6" t="s">
        <v>19</v>
      </c>
      <c r="D2115" s="7">
        <v>75.660004000000001</v>
      </c>
      <c r="E2115" s="7">
        <v>71.178668000000002</v>
      </c>
      <c r="F2115" s="7">
        <v>75.959998999999996</v>
      </c>
      <c r="G2115" s="7">
        <v>75.269997000000004</v>
      </c>
      <c r="H2115" s="8">
        <f t="shared" si="33"/>
        <v>-3.9641661367908863E-4</v>
      </c>
    </row>
    <row r="2116" spans="2:8" x14ac:dyDescent="0.2">
      <c r="B2116" s="5">
        <v>44338</v>
      </c>
      <c r="C2116" s="6" t="s">
        <v>19</v>
      </c>
      <c r="D2116" s="7">
        <v>75.389999000000003</v>
      </c>
      <c r="E2116" s="7">
        <v>70.924655999999999</v>
      </c>
      <c r="F2116" s="7">
        <v>75.919998000000007</v>
      </c>
      <c r="G2116" s="7">
        <v>75.239998</v>
      </c>
      <c r="H2116" s="8">
        <f t="shared" ref="H2116:H2179" si="34">IF(C2116=C2115, LN(E2116/E2115), "")</f>
        <v>-3.5750362960045834E-3</v>
      </c>
    </row>
    <row r="2117" spans="2:8" x14ac:dyDescent="0.2">
      <c r="B2117" s="5">
        <v>44339</v>
      </c>
      <c r="C2117" s="6" t="s">
        <v>19</v>
      </c>
      <c r="D2117" s="7">
        <v>75.610000999999997</v>
      </c>
      <c r="E2117" s="7">
        <v>71.131626999999995</v>
      </c>
      <c r="F2117" s="7">
        <v>75.75</v>
      </c>
      <c r="G2117" s="7">
        <v>75.430000000000007</v>
      </c>
      <c r="H2117" s="8">
        <f t="shared" si="34"/>
        <v>2.9139316062375621E-3</v>
      </c>
    </row>
    <row r="2118" spans="2:8" x14ac:dyDescent="0.2">
      <c r="B2118" s="5">
        <v>44343</v>
      </c>
      <c r="C2118" s="6" t="s">
        <v>19</v>
      </c>
      <c r="D2118" s="7">
        <v>75.589995999999999</v>
      </c>
      <c r="E2118" s="7">
        <v>71.112808000000001</v>
      </c>
      <c r="F2118" s="7">
        <v>75.809997999999993</v>
      </c>
      <c r="G2118" s="7">
        <v>75.290001000000004</v>
      </c>
      <c r="H2118" s="8">
        <f t="shared" si="34"/>
        <v>-2.6460086273034157E-4</v>
      </c>
    </row>
    <row r="2119" spans="2:8" x14ac:dyDescent="0.2">
      <c r="B2119" s="5">
        <v>44344</v>
      </c>
      <c r="C2119" s="6" t="s">
        <v>19</v>
      </c>
      <c r="D2119" s="7">
        <v>75.529999000000004</v>
      </c>
      <c r="E2119" s="7">
        <v>71.056364000000002</v>
      </c>
      <c r="F2119" s="7">
        <v>75.940002000000007</v>
      </c>
      <c r="G2119" s="7">
        <v>75.339995999999999</v>
      </c>
      <c r="H2119" s="8">
        <f t="shared" si="34"/>
        <v>-7.9403997605976629E-4</v>
      </c>
    </row>
    <row r="2120" spans="2:8" x14ac:dyDescent="0.2">
      <c r="B2120" s="5">
        <v>44345</v>
      </c>
      <c r="C2120" s="6" t="s">
        <v>19</v>
      </c>
      <c r="D2120" s="7">
        <v>75.980002999999996</v>
      </c>
      <c r="E2120" s="7">
        <v>71.479714999999999</v>
      </c>
      <c r="F2120" s="7">
        <v>76.190002000000007</v>
      </c>
      <c r="G2120" s="7">
        <v>75.569999999999993</v>
      </c>
      <c r="H2120" s="8">
        <f t="shared" si="34"/>
        <v>5.9402818972783406E-3</v>
      </c>
    </row>
    <row r="2121" spans="2:8" x14ac:dyDescent="0.2">
      <c r="B2121" s="5">
        <v>44346</v>
      </c>
      <c r="C2121" s="6" t="s">
        <v>19</v>
      </c>
      <c r="D2121" s="7">
        <v>76.769997000000004</v>
      </c>
      <c r="E2121" s="7">
        <v>72.222916999999995</v>
      </c>
      <c r="F2121" s="7">
        <v>76.809997999999993</v>
      </c>
      <c r="G2121" s="7">
        <v>76.010002</v>
      </c>
      <c r="H2121" s="8">
        <f t="shared" si="34"/>
        <v>1.0343702353179629E-2</v>
      </c>
    </row>
    <row r="2122" spans="2:8" x14ac:dyDescent="0.2">
      <c r="B2122" s="5">
        <v>44349</v>
      </c>
      <c r="C2122" s="6" t="s">
        <v>19</v>
      </c>
      <c r="D2122" s="7">
        <v>76.760002</v>
      </c>
      <c r="E2122" s="7">
        <v>72.213514000000004</v>
      </c>
      <c r="F2122" s="7">
        <v>77.110000999999997</v>
      </c>
      <c r="G2122" s="7">
        <v>76.470000999999996</v>
      </c>
      <c r="H2122" s="8">
        <f t="shared" si="34"/>
        <v>-1.3020260813947885E-4</v>
      </c>
    </row>
    <row r="2123" spans="2:8" x14ac:dyDescent="0.2">
      <c r="B2123" s="5">
        <v>44350</v>
      </c>
      <c r="C2123" s="6" t="s">
        <v>19</v>
      </c>
      <c r="D2123" s="7">
        <v>76.709998999999996</v>
      </c>
      <c r="E2123" s="7">
        <v>72.166472999999996</v>
      </c>
      <c r="F2123" s="7">
        <v>76.970000999999996</v>
      </c>
      <c r="G2123" s="7">
        <v>76.360000999999997</v>
      </c>
      <c r="H2123" s="8">
        <f t="shared" si="34"/>
        <v>-6.5162773098946243E-4</v>
      </c>
    </row>
    <row r="2124" spans="2:8" x14ac:dyDescent="0.2">
      <c r="B2124" s="5">
        <v>44351</v>
      </c>
      <c r="C2124" s="6" t="s">
        <v>19</v>
      </c>
      <c r="D2124" s="7">
        <v>77.129997000000003</v>
      </c>
      <c r="E2124" s="7">
        <v>72.561593999999999</v>
      </c>
      <c r="F2124" s="7">
        <v>77.300003000000004</v>
      </c>
      <c r="G2124" s="7">
        <v>76.529999000000004</v>
      </c>
      <c r="H2124" s="8">
        <f t="shared" si="34"/>
        <v>5.4601984239859716E-3</v>
      </c>
    </row>
    <row r="2125" spans="2:8" x14ac:dyDescent="0.2">
      <c r="B2125" s="5">
        <v>44352</v>
      </c>
      <c r="C2125" s="6" t="s">
        <v>19</v>
      </c>
      <c r="D2125" s="7">
        <v>77.319999999999993</v>
      </c>
      <c r="E2125" s="7">
        <v>72.740342999999996</v>
      </c>
      <c r="F2125" s="7">
        <v>77.440002000000007</v>
      </c>
      <c r="G2125" s="7">
        <v>76.870002999999997</v>
      </c>
      <c r="H2125" s="8">
        <f t="shared" si="34"/>
        <v>2.4603813804775681E-3</v>
      </c>
    </row>
    <row r="2126" spans="2:8" x14ac:dyDescent="0.2">
      <c r="B2126" s="5">
        <v>44353</v>
      </c>
      <c r="C2126" s="6" t="s">
        <v>19</v>
      </c>
      <c r="D2126" s="7">
        <v>77.209998999999996</v>
      </c>
      <c r="E2126" s="7">
        <v>72.636858000000004</v>
      </c>
      <c r="F2126" s="7">
        <v>77.589995999999999</v>
      </c>
      <c r="G2126" s="7">
        <v>77.069999999999993</v>
      </c>
      <c r="H2126" s="8">
        <f t="shared" si="34"/>
        <v>-1.4236760202731872E-3</v>
      </c>
    </row>
    <row r="2127" spans="2:8" x14ac:dyDescent="0.2">
      <c r="B2127" s="5">
        <v>44356</v>
      </c>
      <c r="C2127" s="6" t="s">
        <v>19</v>
      </c>
      <c r="D2127" s="7">
        <v>77.010002</v>
      </c>
      <c r="E2127" s="7">
        <v>72.448706999999999</v>
      </c>
      <c r="F2127" s="7">
        <v>77.760002</v>
      </c>
      <c r="G2127" s="7">
        <v>76.699996999999996</v>
      </c>
      <c r="H2127" s="8">
        <f t="shared" si="34"/>
        <v>-2.5936571357076115E-3</v>
      </c>
    </row>
    <row r="2128" spans="2:8" x14ac:dyDescent="0.2">
      <c r="B2128" s="5">
        <v>44357</v>
      </c>
      <c r="C2128" s="6" t="s">
        <v>19</v>
      </c>
      <c r="D2128" s="7">
        <v>76.620002999999997</v>
      </c>
      <c r="E2128" s="7">
        <v>72.081806999999998</v>
      </c>
      <c r="F2128" s="7">
        <v>76.940002000000007</v>
      </c>
      <c r="G2128" s="7">
        <v>76.510002</v>
      </c>
      <c r="H2128" s="8">
        <f t="shared" si="34"/>
        <v>-5.0771394633245684E-3</v>
      </c>
    </row>
    <row r="2129" spans="2:8" x14ac:dyDescent="0.2">
      <c r="B2129" s="5">
        <v>44358</v>
      </c>
      <c r="C2129" s="6" t="s">
        <v>19</v>
      </c>
      <c r="D2129" s="7">
        <v>76.160004000000001</v>
      </c>
      <c r="E2129" s="7">
        <v>71.649052999999995</v>
      </c>
      <c r="F2129" s="7">
        <v>76.739998</v>
      </c>
      <c r="G2129" s="7">
        <v>76.050003000000004</v>
      </c>
      <c r="H2129" s="8">
        <f t="shared" si="34"/>
        <v>-6.0217451936012091E-3</v>
      </c>
    </row>
    <row r="2130" spans="2:8" x14ac:dyDescent="0.2">
      <c r="B2130" s="5">
        <v>44359</v>
      </c>
      <c r="C2130" s="6" t="s">
        <v>19</v>
      </c>
      <c r="D2130" s="7">
        <v>75.730002999999996</v>
      </c>
      <c r="E2130" s="7">
        <v>71.244522000000003</v>
      </c>
      <c r="F2130" s="7">
        <v>76.190002000000007</v>
      </c>
      <c r="G2130" s="7">
        <v>75.580001999999993</v>
      </c>
      <c r="H2130" s="8">
        <f t="shared" si="34"/>
        <v>-5.6620051771282855E-3</v>
      </c>
    </row>
    <row r="2131" spans="2:8" x14ac:dyDescent="0.2">
      <c r="B2131" s="5">
        <v>44360</v>
      </c>
      <c r="C2131" s="6" t="s">
        <v>19</v>
      </c>
      <c r="D2131" s="7">
        <v>75.279999000000004</v>
      </c>
      <c r="E2131" s="7">
        <v>70.821171000000007</v>
      </c>
      <c r="F2131" s="7">
        <v>75.760002</v>
      </c>
      <c r="G2131" s="7">
        <v>75.120002999999997</v>
      </c>
      <c r="H2131" s="8">
        <f t="shared" si="34"/>
        <v>-5.9599505582796277E-3</v>
      </c>
    </row>
    <row r="2132" spans="2:8" x14ac:dyDescent="0.2">
      <c r="B2132" s="5">
        <v>44363</v>
      </c>
      <c r="C2132" s="6" t="s">
        <v>19</v>
      </c>
      <c r="D2132" s="7">
        <v>75.339995999999999</v>
      </c>
      <c r="E2132" s="7">
        <v>70.877615000000006</v>
      </c>
      <c r="F2132" s="7">
        <v>75.480002999999996</v>
      </c>
      <c r="G2132" s="7">
        <v>75.019997000000004</v>
      </c>
      <c r="H2132" s="8">
        <f t="shared" si="34"/>
        <v>7.9667588662867418E-4</v>
      </c>
    </row>
    <row r="2133" spans="2:8" x14ac:dyDescent="0.2">
      <c r="B2133" s="5">
        <v>44364</v>
      </c>
      <c r="C2133" s="6" t="s">
        <v>19</v>
      </c>
      <c r="D2133" s="7">
        <v>74.989998</v>
      </c>
      <c r="E2133" s="7">
        <v>70.548347000000007</v>
      </c>
      <c r="F2133" s="7">
        <v>75.419998000000007</v>
      </c>
      <c r="G2133" s="7">
        <v>74.919998000000007</v>
      </c>
      <c r="H2133" s="8">
        <f t="shared" si="34"/>
        <v>-4.6564094778619993E-3</v>
      </c>
    </row>
    <row r="2134" spans="2:8" x14ac:dyDescent="0.2">
      <c r="B2134" s="5">
        <v>44365</v>
      </c>
      <c r="C2134" s="6" t="s">
        <v>19</v>
      </c>
      <c r="D2134" s="7">
        <v>75.699996999999996</v>
      </c>
      <c r="E2134" s="7">
        <v>71.216292999999993</v>
      </c>
      <c r="F2134" s="7">
        <v>75.959998999999996</v>
      </c>
      <c r="G2134" s="7">
        <v>74.919998000000007</v>
      </c>
      <c r="H2134" s="8">
        <f t="shared" si="34"/>
        <v>9.4233786760467338E-3</v>
      </c>
    </row>
    <row r="2135" spans="2:8" x14ac:dyDescent="0.2">
      <c r="B2135" s="5">
        <v>44366</v>
      </c>
      <c r="C2135" s="6" t="s">
        <v>19</v>
      </c>
      <c r="D2135" s="7">
        <v>75.870002999999997</v>
      </c>
      <c r="E2135" s="7">
        <v>71.376228999999995</v>
      </c>
      <c r="F2135" s="7">
        <v>76.279999000000004</v>
      </c>
      <c r="G2135" s="7">
        <v>75.800003000000004</v>
      </c>
      <c r="H2135" s="8">
        <f t="shared" si="34"/>
        <v>2.243260233091082E-3</v>
      </c>
    </row>
    <row r="2136" spans="2:8" x14ac:dyDescent="0.2">
      <c r="B2136" s="5">
        <v>44367</v>
      </c>
      <c r="C2136" s="6" t="s">
        <v>19</v>
      </c>
      <c r="D2136" s="7">
        <v>75.680000000000007</v>
      </c>
      <c r="E2136" s="7">
        <v>71.197480999999996</v>
      </c>
      <c r="F2136" s="7">
        <v>76.169998000000007</v>
      </c>
      <c r="G2136" s="7">
        <v>75.120002999999997</v>
      </c>
      <c r="H2136" s="8">
        <f t="shared" si="34"/>
        <v>-2.5074481635283369E-3</v>
      </c>
    </row>
    <row r="2137" spans="2:8" x14ac:dyDescent="0.2">
      <c r="B2137" s="5">
        <v>44370</v>
      </c>
      <c r="C2137" s="6" t="s">
        <v>19</v>
      </c>
      <c r="D2137" s="7">
        <v>75.790001000000004</v>
      </c>
      <c r="E2137" s="7">
        <v>71.300966000000003</v>
      </c>
      <c r="F2137" s="7">
        <v>75.940002000000007</v>
      </c>
      <c r="G2137" s="7">
        <v>75.300003000000004</v>
      </c>
      <c r="H2137" s="8">
        <f t="shared" si="34"/>
        <v>1.4524371369807622E-3</v>
      </c>
    </row>
    <row r="2138" spans="2:8" x14ac:dyDescent="0.2">
      <c r="B2138" s="5">
        <v>44371</v>
      </c>
      <c r="C2138" s="6" t="s">
        <v>19</v>
      </c>
      <c r="D2138" s="7">
        <v>75.970000999999996</v>
      </c>
      <c r="E2138" s="7">
        <v>71.470304999999996</v>
      </c>
      <c r="F2138" s="7">
        <v>76.209998999999996</v>
      </c>
      <c r="G2138" s="7">
        <v>75.680000000000007</v>
      </c>
      <c r="H2138" s="8">
        <f t="shared" si="34"/>
        <v>2.3721730320487668E-3</v>
      </c>
    </row>
    <row r="2139" spans="2:8" x14ac:dyDescent="0.2">
      <c r="B2139" s="5">
        <v>44372</v>
      </c>
      <c r="C2139" s="6" t="s">
        <v>19</v>
      </c>
      <c r="D2139" s="7">
        <v>75.620002999999997</v>
      </c>
      <c r="E2139" s="7">
        <v>71.141036999999997</v>
      </c>
      <c r="F2139" s="7">
        <v>75.839995999999999</v>
      </c>
      <c r="G2139" s="7">
        <v>75.279999000000004</v>
      </c>
      <c r="H2139" s="8">
        <f t="shared" si="34"/>
        <v>-4.6177054429117174E-3</v>
      </c>
    </row>
    <row r="2140" spans="2:8" x14ac:dyDescent="0.2">
      <c r="B2140" s="5">
        <v>44373</v>
      </c>
      <c r="C2140" s="6" t="s">
        <v>19</v>
      </c>
      <c r="D2140" s="7">
        <v>74.910004000000001</v>
      </c>
      <c r="E2140" s="7">
        <v>70.473090999999997</v>
      </c>
      <c r="F2140" s="7">
        <v>75.610000999999997</v>
      </c>
      <c r="G2140" s="7">
        <v>74.699996999999996</v>
      </c>
      <c r="H2140" s="8">
        <f t="shared" si="34"/>
        <v>-9.4333942911287803E-3</v>
      </c>
    </row>
    <row r="2141" spans="2:8" x14ac:dyDescent="0.2">
      <c r="B2141" s="5">
        <v>44374</v>
      </c>
      <c r="C2141" s="6" t="s">
        <v>19</v>
      </c>
      <c r="D2141" s="7">
        <v>75.339995999999999</v>
      </c>
      <c r="E2141" s="7">
        <v>70.877615000000006</v>
      </c>
      <c r="F2141" s="7">
        <v>75.379997000000003</v>
      </c>
      <c r="G2141" s="7">
        <v>74.669998000000007</v>
      </c>
      <c r="H2141" s="8">
        <f t="shared" si="34"/>
        <v>5.7237082972634691E-3</v>
      </c>
    </row>
    <row r="2142" spans="2:8" x14ac:dyDescent="0.2">
      <c r="B2142" s="5">
        <v>44377</v>
      </c>
      <c r="C2142" s="6" t="s">
        <v>19</v>
      </c>
      <c r="D2142" s="7">
        <v>75.069999999999993</v>
      </c>
      <c r="E2142" s="7">
        <v>70.623609999999999</v>
      </c>
      <c r="F2142" s="7">
        <v>75.690002000000007</v>
      </c>
      <c r="G2142" s="7">
        <v>74.940002000000007</v>
      </c>
      <c r="H2142" s="8">
        <f t="shared" si="34"/>
        <v>-3.5901494538460497E-3</v>
      </c>
    </row>
    <row r="2143" spans="2:8" x14ac:dyDescent="0.2">
      <c r="B2143" s="5">
        <v>44378</v>
      </c>
      <c r="C2143" s="6" t="s">
        <v>19</v>
      </c>
      <c r="D2143" s="7">
        <v>75.279999000000004</v>
      </c>
      <c r="E2143" s="7">
        <v>70.821171000000007</v>
      </c>
      <c r="F2143" s="7">
        <v>75.419998000000007</v>
      </c>
      <c r="G2143" s="7">
        <v>74.75</v>
      </c>
      <c r="H2143" s="8">
        <f t="shared" si="34"/>
        <v>2.7934735672173624E-3</v>
      </c>
    </row>
    <row r="2144" spans="2:8" x14ac:dyDescent="0.2">
      <c r="B2144" s="5">
        <v>44379</v>
      </c>
      <c r="C2144" s="6" t="s">
        <v>19</v>
      </c>
      <c r="D2144" s="7">
        <v>75.620002999999997</v>
      </c>
      <c r="E2144" s="7">
        <v>71.141036999999997</v>
      </c>
      <c r="F2144" s="7">
        <v>75.900002000000001</v>
      </c>
      <c r="G2144" s="7">
        <v>75.25</v>
      </c>
      <c r="H2144" s="8">
        <f t="shared" si="34"/>
        <v>4.5063618804939178E-3</v>
      </c>
    </row>
    <row r="2145" spans="2:8" x14ac:dyDescent="0.2">
      <c r="B2145" s="5">
        <v>44380</v>
      </c>
      <c r="C2145" s="6" t="s">
        <v>19</v>
      </c>
      <c r="D2145" s="7">
        <v>75.75</v>
      </c>
      <c r="E2145" s="7">
        <v>71.263334</v>
      </c>
      <c r="F2145" s="7">
        <v>76.050003000000004</v>
      </c>
      <c r="G2145" s="7">
        <v>75.519997000000004</v>
      </c>
      <c r="H2145" s="8">
        <f t="shared" si="34"/>
        <v>1.717602194475968E-3</v>
      </c>
    </row>
    <row r="2146" spans="2:8" x14ac:dyDescent="0.2">
      <c r="B2146" s="5">
        <v>44384</v>
      </c>
      <c r="C2146" s="6" t="s">
        <v>19</v>
      </c>
      <c r="D2146" s="7">
        <v>76.069999999999993</v>
      </c>
      <c r="E2146" s="7">
        <v>71.56438</v>
      </c>
      <c r="F2146" s="7">
        <v>76.209998999999996</v>
      </c>
      <c r="G2146" s="7">
        <v>75.550003000000004</v>
      </c>
      <c r="H2146" s="8">
        <f t="shared" si="34"/>
        <v>4.2155186466655689E-3</v>
      </c>
    </row>
    <row r="2147" spans="2:8" x14ac:dyDescent="0.2">
      <c r="B2147" s="5">
        <v>44385</v>
      </c>
      <c r="C2147" s="6" t="s">
        <v>19</v>
      </c>
      <c r="D2147" s="7">
        <v>76.650002000000001</v>
      </c>
      <c r="E2147" s="7">
        <v>72.110028999999997</v>
      </c>
      <c r="F2147" s="7">
        <v>76.980002999999996</v>
      </c>
      <c r="G2147" s="7">
        <v>76.029999000000004</v>
      </c>
      <c r="H2147" s="8">
        <f t="shared" si="34"/>
        <v>7.5956689461019076E-3</v>
      </c>
    </row>
    <row r="2148" spans="2:8" x14ac:dyDescent="0.2">
      <c r="B2148" s="5">
        <v>44386</v>
      </c>
      <c r="C2148" s="6" t="s">
        <v>19</v>
      </c>
      <c r="D2148" s="7">
        <v>77.209998999999996</v>
      </c>
      <c r="E2148" s="7">
        <v>72.636858000000004</v>
      </c>
      <c r="F2148" s="7">
        <v>77.330001999999993</v>
      </c>
      <c r="G2148" s="7">
        <v>76.620002999999997</v>
      </c>
      <c r="H2148" s="8">
        <f t="shared" si="34"/>
        <v>7.2793458603039344E-3</v>
      </c>
    </row>
    <row r="2149" spans="2:8" x14ac:dyDescent="0.2">
      <c r="B2149" s="5">
        <v>44387</v>
      </c>
      <c r="C2149" s="6" t="s">
        <v>19</v>
      </c>
      <c r="D2149" s="7">
        <v>77.059997999999993</v>
      </c>
      <c r="E2149" s="7">
        <v>72.495740999999995</v>
      </c>
      <c r="F2149" s="7">
        <v>77.569999999999993</v>
      </c>
      <c r="G2149" s="7">
        <v>76.910004000000001</v>
      </c>
      <c r="H2149" s="8">
        <f t="shared" si="34"/>
        <v>-1.9446636447548891E-3</v>
      </c>
    </row>
    <row r="2150" spans="2:8" x14ac:dyDescent="0.2">
      <c r="B2150" s="5">
        <v>44388</v>
      </c>
      <c r="C2150" s="6" t="s">
        <v>19</v>
      </c>
      <c r="D2150" s="7">
        <v>76.819999999999993</v>
      </c>
      <c r="E2150" s="7">
        <v>72.269958000000003</v>
      </c>
      <c r="F2150" s="7">
        <v>76.970000999999996</v>
      </c>
      <c r="G2150" s="7">
        <v>76.559997999999993</v>
      </c>
      <c r="H2150" s="8">
        <f t="shared" si="34"/>
        <v>-3.1192911667828711E-3</v>
      </c>
    </row>
    <row r="2151" spans="2:8" x14ac:dyDescent="0.2">
      <c r="B2151" s="5">
        <v>44391</v>
      </c>
      <c r="C2151" s="6" t="s">
        <v>19</v>
      </c>
      <c r="D2151" s="7">
        <v>76.550003000000004</v>
      </c>
      <c r="E2151" s="7">
        <v>72.015952999999996</v>
      </c>
      <c r="F2151" s="7">
        <v>77.25</v>
      </c>
      <c r="G2151" s="7">
        <v>76.480002999999996</v>
      </c>
      <c r="H2151" s="8">
        <f t="shared" si="34"/>
        <v>-3.520860223099513E-3</v>
      </c>
    </row>
    <row r="2152" spans="2:8" x14ac:dyDescent="0.2">
      <c r="B2152" s="5">
        <v>44392</v>
      </c>
      <c r="C2152" s="6" t="s">
        <v>19</v>
      </c>
      <c r="D2152" s="7">
        <v>76.839995999999999</v>
      </c>
      <c r="E2152" s="7">
        <v>72.28877</v>
      </c>
      <c r="F2152" s="7">
        <v>76.930000000000007</v>
      </c>
      <c r="G2152" s="7">
        <v>76.559997999999993</v>
      </c>
      <c r="H2152" s="8">
        <f t="shared" si="34"/>
        <v>3.7811281483429177E-3</v>
      </c>
    </row>
    <row r="2153" spans="2:8" x14ac:dyDescent="0.2">
      <c r="B2153" s="5">
        <v>44393</v>
      </c>
      <c r="C2153" s="6" t="s">
        <v>19</v>
      </c>
      <c r="D2153" s="7">
        <v>76.860000999999997</v>
      </c>
      <c r="E2153" s="7">
        <v>72.307590000000005</v>
      </c>
      <c r="F2153" s="7">
        <v>77.050003000000004</v>
      </c>
      <c r="G2153" s="7">
        <v>76.699996999999996</v>
      </c>
      <c r="H2153" s="8">
        <f t="shared" si="34"/>
        <v>2.6031084193661876E-4</v>
      </c>
    </row>
    <row r="2154" spans="2:8" x14ac:dyDescent="0.2">
      <c r="B2154" s="5">
        <v>44394</v>
      </c>
      <c r="C2154" s="6" t="s">
        <v>19</v>
      </c>
      <c r="D2154" s="7">
        <v>76.610000999999997</v>
      </c>
      <c r="E2154" s="7">
        <v>72.072396999999995</v>
      </c>
      <c r="F2154" s="7">
        <v>77.050003000000004</v>
      </c>
      <c r="G2154" s="7">
        <v>76.440002000000007</v>
      </c>
      <c r="H2154" s="8">
        <f t="shared" si="34"/>
        <v>-3.2579751934188003E-3</v>
      </c>
    </row>
    <row r="2155" spans="2:8" x14ac:dyDescent="0.2">
      <c r="B2155" s="5">
        <v>44395</v>
      </c>
      <c r="C2155" s="6" t="s">
        <v>19</v>
      </c>
      <c r="D2155" s="7">
        <v>77.089995999999999</v>
      </c>
      <c r="E2155" s="7">
        <v>72.523962999999995</v>
      </c>
      <c r="F2155" s="7">
        <v>77.099997999999999</v>
      </c>
      <c r="G2155" s="7">
        <v>76.510002</v>
      </c>
      <c r="H2155" s="8">
        <f t="shared" si="34"/>
        <v>6.2459036730143774E-3</v>
      </c>
    </row>
    <row r="2156" spans="2:8" x14ac:dyDescent="0.2">
      <c r="B2156" s="5">
        <v>44398</v>
      </c>
      <c r="C2156" s="6" t="s">
        <v>19</v>
      </c>
      <c r="D2156" s="7">
        <v>76.769997000000004</v>
      </c>
      <c r="E2156" s="7">
        <v>72.222916999999995</v>
      </c>
      <c r="F2156" s="7">
        <v>76.910004000000001</v>
      </c>
      <c r="G2156" s="7">
        <v>76.480002999999996</v>
      </c>
      <c r="H2156" s="8">
        <f t="shared" si="34"/>
        <v>-4.1596258802989259E-3</v>
      </c>
    </row>
    <row r="2157" spans="2:8" x14ac:dyDescent="0.2">
      <c r="B2157" s="5">
        <v>44399</v>
      </c>
      <c r="C2157" s="6" t="s">
        <v>19</v>
      </c>
      <c r="D2157" s="7">
        <v>76.639999000000003</v>
      </c>
      <c r="E2157" s="7">
        <v>72.100618999999995</v>
      </c>
      <c r="F2157" s="7">
        <v>76.889999000000003</v>
      </c>
      <c r="G2157" s="7">
        <v>76.400002000000001</v>
      </c>
      <c r="H2157" s="8">
        <f t="shared" si="34"/>
        <v>-1.694775954944681E-3</v>
      </c>
    </row>
    <row r="2158" spans="2:8" x14ac:dyDescent="0.2">
      <c r="B2158" s="5">
        <v>44400</v>
      </c>
      <c r="C2158" s="6" t="s">
        <v>19</v>
      </c>
      <c r="D2158" s="7">
        <v>76.989998</v>
      </c>
      <c r="E2158" s="7">
        <v>72.429886999999994</v>
      </c>
      <c r="F2158" s="7">
        <v>77.059997999999993</v>
      </c>
      <c r="G2158" s="7">
        <v>76.589995999999999</v>
      </c>
      <c r="H2158" s="8">
        <f t="shared" si="34"/>
        <v>4.5563885267514929E-3</v>
      </c>
    </row>
    <row r="2159" spans="2:8" x14ac:dyDescent="0.2">
      <c r="B2159" s="5">
        <v>44401</v>
      </c>
      <c r="C2159" s="6" t="s">
        <v>19</v>
      </c>
      <c r="D2159" s="7">
        <v>76.349997999999999</v>
      </c>
      <c r="E2159" s="7">
        <v>71.827794999999995</v>
      </c>
      <c r="F2159" s="7">
        <v>76.790001000000004</v>
      </c>
      <c r="G2159" s="7">
        <v>76.190002000000007</v>
      </c>
      <c r="H2159" s="8">
        <f t="shared" si="34"/>
        <v>-8.347499943627025E-3</v>
      </c>
    </row>
    <row r="2160" spans="2:8" x14ac:dyDescent="0.2">
      <c r="B2160" s="5">
        <v>44402</v>
      </c>
      <c r="C2160" s="6" t="s">
        <v>19</v>
      </c>
      <c r="D2160" s="7">
        <v>75.970000999999996</v>
      </c>
      <c r="E2160" s="7">
        <v>71.470304999999996</v>
      </c>
      <c r="F2160" s="7">
        <v>76.360000999999997</v>
      </c>
      <c r="G2160" s="7">
        <v>75.800003000000004</v>
      </c>
      <c r="H2160" s="8">
        <f t="shared" si="34"/>
        <v>-4.9894693877542522E-3</v>
      </c>
    </row>
    <row r="2161" spans="2:8" x14ac:dyDescent="0.2">
      <c r="B2161" s="5">
        <v>44405</v>
      </c>
      <c r="C2161" s="6" t="s">
        <v>19</v>
      </c>
      <c r="D2161" s="7">
        <v>75.709998999999996</v>
      </c>
      <c r="E2161" s="7">
        <v>71.225702999999996</v>
      </c>
      <c r="F2161" s="7">
        <v>75.930000000000007</v>
      </c>
      <c r="G2161" s="7">
        <v>75.360000999999997</v>
      </c>
      <c r="H2161" s="8">
        <f t="shared" si="34"/>
        <v>-3.4282982824845373E-3</v>
      </c>
    </row>
    <row r="2162" spans="2:8" x14ac:dyDescent="0.2">
      <c r="B2162" s="5">
        <v>44406</v>
      </c>
      <c r="C2162" s="6" t="s">
        <v>19</v>
      </c>
      <c r="D2162" s="7">
        <v>75.440002000000007</v>
      </c>
      <c r="E2162" s="7">
        <v>70.971698000000004</v>
      </c>
      <c r="F2162" s="7">
        <v>76.010002</v>
      </c>
      <c r="G2162" s="7">
        <v>75.150002000000001</v>
      </c>
      <c r="H2162" s="8">
        <f t="shared" si="34"/>
        <v>-3.5725726120865702E-3</v>
      </c>
    </row>
    <row r="2163" spans="2:8" x14ac:dyDescent="0.2">
      <c r="B2163" s="5">
        <v>44407</v>
      </c>
      <c r="C2163" s="6" t="s">
        <v>19</v>
      </c>
      <c r="D2163" s="7">
        <v>74.779999000000004</v>
      </c>
      <c r="E2163" s="7">
        <v>70.350785999999999</v>
      </c>
      <c r="F2163" s="7">
        <v>75.919998000000007</v>
      </c>
      <c r="G2163" s="7">
        <v>74.669998000000007</v>
      </c>
      <c r="H2163" s="8">
        <f t="shared" si="34"/>
        <v>-8.7872216471731948E-3</v>
      </c>
    </row>
    <row r="2164" spans="2:8" x14ac:dyDescent="0.2">
      <c r="B2164" s="5">
        <v>44408</v>
      </c>
      <c r="C2164" s="6" t="s">
        <v>19</v>
      </c>
      <c r="D2164" s="7">
        <v>73.580001999999993</v>
      </c>
      <c r="E2164" s="7">
        <v>69.221864999999994</v>
      </c>
      <c r="F2164" s="7">
        <v>74.25</v>
      </c>
      <c r="G2164" s="7">
        <v>73.540001000000004</v>
      </c>
      <c r="H2164" s="8">
        <f t="shared" si="34"/>
        <v>-1.6177175281598431E-2</v>
      </c>
    </row>
    <row r="2165" spans="2:8" x14ac:dyDescent="0.2">
      <c r="B2165" s="5">
        <v>44409</v>
      </c>
      <c r="C2165" s="6" t="s">
        <v>19</v>
      </c>
      <c r="D2165" s="7">
        <v>73.540001000000004</v>
      </c>
      <c r="E2165" s="7">
        <v>69.184233000000006</v>
      </c>
      <c r="F2165" s="7">
        <v>73.879997000000003</v>
      </c>
      <c r="G2165" s="7">
        <v>73.220000999999996</v>
      </c>
      <c r="H2165" s="8">
        <f t="shared" si="34"/>
        <v>-5.4379108249022652E-4</v>
      </c>
    </row>
    <row r="2166" spans="2:8" x14ac:dyDescent="0.2">
      <c r="B2166" s="5">
        <v>44412</v>
      </c>
      <c r="C2166" s="6" t="s">
        <v>19</v>
      </c>
      <c r="D2166" s="7">
        <v>73.540001000000004</v>
      </c>
      <c r="E2166" s="7">
        <v>69.184233000000006</v>
      </c>
      <c r="F2166" s="7">
        <v>73.629997000000003</v>
      </c>
      <c r="G2166" s="7">
        <v>73.059997999999993</v>
      </c>
      <c r="H2166" s="8">
        <f t="shared" si="34"/>
        <v>0</v>
      </c>
    </row>
    <row r="2167" spans="2:8" x14ac:dyDescent="0.2">
      <c r="B2167" s="5">
        <v>44413</v>
      </c>
      <c r="C2167" s="6" t="s">
        <v>19</v>
      </c>
      <c r="D2167" s="7">
        <v>73.339995999999999</v>
      </c>
      <c r="E2167" s="7">
        <v>68.996075000000005</v>
      </c>
      <c r="F2167" s="7">
        <v>73.519997000000004</v>
      </c>
      <c r="G2167" s="7">
        <v>72.769997000000004</v>
      </c>
      <c r="H2167" s="8">
        <f t="shared" si="34"/>
        <v>-2.7233709204552781E-3</v>
      </c>
    </row>
    <row r="2168" spans="2:8" x14ac:dyDescent="0.2">
      <c r="B2168" s="5">
        <v>44414</v>
      </c>
      <c r="C2168" s="6" t="s">
        <v>19</v>
      </c>
      <c r="D2168" s="7">
        <v>74.199996999999996</v>
      </c>
      <c r="E2168" s="7">
        <v>70.265011000000001</v>
      </c>
      <c r="F2168" s="7">
        <v>74.290001000000004</v>
      </c>
      <c r="G2168" s="7">
        <v>73.180000000000007</v>
      </c>
      <c r="H2168" s="8">
        <f t="shared" si="34"/>
        <v>1.8224346181569817E-2</v>
      </c>
    </row>
    <row r="2169" spans="2:8" x14ac:dyDescent="0.2">
      <c r="B2169" s="5">
        <v>44415</v>
      </c>
      <c r="C2169" s="6" t="s">
        <v>19</v>
      </c>
      <c r="D2169" s="7">
        <v>73.949996999999996</v>
      </c>
      <c r="E2169" s="7">
        <v>70.028268999999995</v>
      </c>
      <c r="F2169" s="7">
        <v>74.809997999999993</v>
      </c>
      <c r="G2169" s="7">
        <v>73.760002</v>
      </c>
      <c r="H2169" s="8">
        <f t="shared" si="34"/>
        <v>-3.3749617189763391E-3</v>
      </c>
    </row>
    <row r="2170" spans="2:8" x14ac:dyDescent="0.2">
      <c r="B2170" s="5">
        <v>44416</v>
      </c>
      <c r="C2170" s="6" t="s">
        <v>19</v>
      </c>
      <c r="D2170" s="7">
        <v>74.669998000000007</v>
      </c>
      <c r="E2170" s="7">
        <v>70.710087000000001</v>
      </c>
      <c r="F2170" s="7">
        <v>74.730002999999996</v>
      </c>
      <c r="G2170" s="7">
        <v>73.849997999999999</v>
      </c>
      <c r="H2170" s="8">
        <f t="shared" si="34"/>
        <v>9.6892326090685221E-3</v>
      </c>
    </row>
    <row r="2171" spans="2:8" x14ac:dyDescent="0.2">
      <c r="B2171" s="5">
        <v>44419</v>
      </c>
      <c r="C2171" s="6" t="s">
        <v>19</v>
      </c>
      <c r="D2171" s="7">
        <v>74.360000999999997</v>
      </c>
      <c r="E2171" s="7">
        <v>70.416528999999997</v>
      </c>
      <c r="F2171" s="7">
        <v>74.599997999999999</v>
      </c>
      <c r="G2171" s="7">
        <v>74.019997000000004</v>
      </c>
      <c r="H2171" s="8">
        <f t="shared" si="34"/>
        <v>-4.160213455314539E-3</v>
      </c>
    </row>
    <row r="2172" spans="2:8" x14ac:dyDescent="0.2">
      <c r="B2172" s="5">
        <v>44420</v>
      </c>
      <c r="C2172" s="6" t="s">
        <v>19</v>
      </c>
      <c r="D2172" s="7">
        <v>74.220000999999996</v>
      </c>
      <c r="E2172" s="7">
        <v>70.283953999999994</v>
      </c>
      <c r="F2172" s="7">
        <v>74.440002000000007</v>
      </c>
      <c r="G2172" s="7">
        <v>74.010002</v>
      </c>
      <c r="H2172" s="8">
        <f t="shared" si="34"/>
        <v>-1.8845001297531879E-3</v>
      </c>
    </row>
    <row r="2173" spans="2:8" x14ac:dyDescent="0.2">
      <c r="B2173" s="5">
        <v>44421</v>
      </c>
      <c r="C2173" s="6" t="s">
        <v>19</v>
      </c>
      <c r="D2173" s="7">
        <v>74.029999000000004</v>
      </c>
      <c r="E2173" s="7">
        <v>70.104028</v>
      </c>
      <c r="F2173" s="7">
        <v>74.410004000000001</v>
      </c>
      <c r="G2173" s="7">
        <v>73.510002</v>
      </c>
      <c r="H2173" s="8">
        <f t="shared" si="34"/>
        <v>-2.5632692478577352E-3</v>
      </c>
    </row>
    <row r="2174" spans="2:8" x14ac:dyDescent="0.2">
      <c r="B2174" s="5">
        <v>44422</v>
      </c>
      <c r="C2174" s="6" t="s">
        <v>19</v>
      </c>
      <c r="D2174" s="7">
        <v>74.389999000000003</v>
      </c>
      <c r="E2174" s="7">
        <v>70.444936999999996</v>
      </c>
      <c r="F2174" s="7">
        <v>74.430000000000007</v>
      </c>
      <c r="G2174" s="7">
        <v>73.610000999999997</v>
      </c>
      <c r="H2174" s="8">
        <f t="shared" si="34"/>
        <v>4.8511160300607524E-3</v>
      </c>
    </row>
    <row r="2175" spans="2:8" x14ac:dyDescent="0.2">
      <c r="B2175" s="5">
        <v>44423</v>
      </c>
      <c r="C2175" s="6" t="s">
        <v>19</v>
      </c>
      <c r="D2175" s="7">
        <v>73.900002000000001</v>
      </c>
      <c r="E2175" s="7">
        <v>69.980924999999999</v>
      </c>
      <c r="F2175" s="7">
        <v>74.650002000000001</v>
      </c>
      <c r="G2175" s="7">
        <v>73.489998</v>
      </c>
      <c r="H2175" s="8">
        <f t="shared" si="34"/>
        <v>-6.6086642756388245E-3</v>
      </c>
    </row>
    <row r="2176" spans="2:8" x14ac:dyDescent="0.2">
      <c r="B2176" s="5">
        <v>44426</v>
      </c>
      <c r="C2176" s="6" t="s">
        <v>19</v>
      </c>
      <c r="D2176" s="7">
        <v>74.489998</v>
      </c>
      <c r="E2176" s="7">
        <v>70.539631999999997</v>
      </c>
      <c r="F2176" s="7">
        <v>74.680000000000007</v>
      </c>
      <c r="G2176" s="7">
        <v>74.050003000000004</v>
      </c>
      <c r="H2176" s="8">
        <f t="shared" si="34"/>
        <v>7.9520029815963941E-3</v>
      </c>
    </row>
    <row r="2177" spans="2:8" x14ac:dyDescent="0.2">
      <c r="B2177" s="5">
        <v>44427</v>
      </c>
      <c r="C2177" s="6" t="s">
        <v>19</v>
      </c>
      <c r="D2177" s="7">
        <v>74.879997000000003</v>
      </c>
      <c r="E2177" s="7">
        <v>70.908949000000007</v>
      </c>
      <c r="F2177" s="7">
        <v>74.940002000000007</v>
      </c>
      <c r="G2177" s="7">
        <v>74.139999000000003</v>
      </c>
      <c r="H2177" s="8">
        <f t="shared" si="34"/>
        <v>5.2219377051291663E-3</v>
      </c>
    </row>
    <row r="2178" spans="2:8" x14ac:dyDescent="0.2">
      <c r="B2178" s="5">
        <v>44428</v>
      </c>
      <c r="C2178" s="6" t="s">
        <v>19</v>
      </c>
      <c r="D2178" s="7">
        <v>74.959998999999996</v>
      </c>
      <c r="E2178" s="7">
        <v>70.984707999999998</v>
      </c>
      <c r="F2178" s="7">
        <v>75.050003000000004</v>
      </c>
      <c r="G2178" s="7">
        <v>74.510002</v>
      </c>
      <c r="H2178" s="8">
        <f t="shared" si="34"/>
        <v>1.0678279607482936E-3</v>
      </c>
    </row>
    <row r="2179" spans="2:8" x14ac:dyDescent="0.2">
      <c r="B2179" s="5">
        <v>44429</v>
      </c>
      <c r="C2179" s="6" t="s">
        <v>19</v>
      </c>
      <c r="D2179" s="7">
        <v>75.550003000000004</v>
      </c>
      <c r="E2179" s="7">
        <v>71.543423000000004</v>
      </c>
      <c r="F2179" s="7">
        <v>75.910004000000001</v>
      </c>
      <c r="G2179" s="7">
        <v>75</v>
      </c>
      <c r="H2179" s="8">
        <f t="shared" si="34"/>
        <v>7.8401064823832751E-3</v>
      </c>
    </row>
    <row r="2180" spans="2:8" x14ac:dyDescent="0.2">
      <c r="B2180" s="5">
        <v>44430</v>
      </c>
      <c r="C2180" s="6" t="s">
        <v>19</v>
      </c>
      <c r="D2180" s="7">
        <v>75.730002999999996</v>
      </c>
      <c r="E2180" s="7">
        <v>71.713877999999994</v>
      </c>
      <c r="F2180" s="7">
        <v>76.199996999999996</v>
      </c>
      <c r="G2180" s="7">
        <v>75.639999000000003</v>
      </c>
      <c r="H2180" s="8">
        <f t="shared" ref="H2180:H2243" si="35">IF(C2180=C2179, LN(E2180/E2179), "")</f>
        <v>2.3797053169457611E-3</v>
      </c>
    </row>
    <row r="2181" spans="2:8" x14ac:dyDescent="0.2">
      <c r="B2181" s="5">
        <v>44433</v>
      </c>
      <c r="C2181" s="6" t="s">
        <v>19</v>
      </c>
      <c r="D2181" s="7">
        <v>75.690002000000007</v>
      </c>
      <c r="E2181" s="7">
        <v>71.675998000000007</v>
      </c>
      <c r="F2181" s="7">
        <v>76.019997000000004</v>
      </c>
      <c r="G2181" s="7">
        <v>75.510002</v>
      </c>
      <c r="H2181" s="8">
        <f t="shared" si="35"/>
        <v>-5.2834972646433878E-4</v>
      </c>
    </row>
    <row r="2182" spans="2:8" x14ac:dyDescent="0.2">
      <c r="B2182" s="5">
        <v>44434</v>
      </c>
      <c r="C2182" s="6" t="s">
        <v>19</v>
      </c>
      <c r="D2182" s="7">
        <v>75.519997000000004</v>
      </c>
      <c r="E2182" s="7">
        <v>71.515007999999995</v>
      </c>
      <c r="F2182" s="7">
        <v>76.150002000000001</v>
      </c>
      <c r="G2182" s="7">
        <v>75.440002000000007</v>
      </c>
      <c r="H2182" s="8">
        <f t="shared" si="35"/>
        <v>-2.2486058633253091E-3</v>
      </c>
    </row>
    <row r="2183" spans="2:8" x14ac:dyDescent="0.2">
      <c r="B2183" s="5">
        <v>44435</v>
      </c>
      <c r="C2183" s="6" t="s">
        <v>19</v>
      </c>
      <c r="D2183" s="7">
        <v>75.849997999999999</v>
      </c>
      <c r="E2183" s="7">
        <v>71.827509000000006</v>
      </c>
      <c r="F2183" s="7">
        <v>75.860000999999997</v>
      </c>
      <c r="G2183" s="7">
        <v>75.440002000000007</v>
      </c>
      <c r="H2183" s="8">
        <f t="shared" si="35"/>
        <v>4.360206610436808E-3</v>
      </c>
    </row>
    <row r="2184" spans="2:8" x14ac:dyDescent="0.2">
      <c r="B2184" s="5">
        <v>44436</v>
      </c>
      <c r="C2184" s="6" t="s">
        <v>19</v>
      </c>
      <c r="D2184" s="7">
        <v>75.900002000000001</v>
      </c>
      <c r="E2184" s="7">
        <v>71.874860999999996</v>
      </c>
      <c r="F2184" s="7">
        <v>75.940002000000007</v>
      </c>
      <c r="G2184" s="7">
        <v>75.470000999999996</v>
      </c>
      <c r="H2184" s="8">
        <f t="shared" si="35"/>
        <v>6.5902882066327224E-4</v>
      </c>
    </row>
    <row r="2185" spans="2:8" x14ac:dyDescent="0.2">
      <c r="B2185" s="5">
        <v>44437</v>
      </c>
      <c r="C2185" s="6" t="s">
        <v>19</v>
      </c>
      <c r="D2185" s="7">
        <v>75.5</v>
      </c>
      <c r="E2185" s="7">
        <v>71.496071999999998</v>
      </c>
      <c r="F2185" s="7">
        <v>75.879997000000003</v>
      </c>
      <c r="G2185" s="7">
        <v>75.290001000000004</v>
      </c>
      <c r="H2185" s="8">
        <f t="shared" si="35"/>
        <v>-5.2840540746717894E-3</v>
      </c>
    </row>
    <row r="2186" spans="2:8" x14ac:dyDescent="0.2">
      <c r="B2186" s="5">
        <v>44441</v>
      </c>
      <c r="C2186" s="6" t="s">
        <v>19</v>
      </c>
      <c r="D2186" s="7">
        <v>75.75</v>
      </c>
      <c r="E2186" s="7">
        <v>71.732814000000005</v>
      </c>
      <c r="F2186" s="7">
        <v>75.940002000000007</v>
      </c>
      <c r="G2186" s="7">
        <v>75.410004000000001</v>
      </c>
      <c r="H2186" s="8">
        <f t="shared" si="35"/>
        <v>3.3057886884315197E-3</v>
      </c>
    </row>
    <row r="2187" spans="2:8" x14ac:dyDescent="0.2">
      <c r="B2187" s="5">
        <v>44442</v>
      </c>
      <c r="C2187" s="6" t="s">
        <v>19</v>
      </c>
      <c r="D2187" s="7">
        <v>76.010002</v>
      </c>
      <c r="E2187" s="7">
        <v>71.979028</v>
      </c>
      <c r="F2187" s="7">
        <v>76.330001999999993</v>
      </c>
      <c r="G2187" s="7">
        <v>75.879997000000003</v>
      </c>
      <c r="H2187" s="8">
        <f t="shared" si="35"/>
        <v>3.4264989923054258E-3</v>
      </c>
    </row>
    <row r="2188" spans="2:8" x14ac:dyDescent="0.2">
      <c r="B2188" s="5">
        <v>44443</v>
      </c>
      <c r="C2188" s="6" t="s">
        <v>19</v>
      </c>
      <c r="D2188" s="7">
        <v>76.559997999999993</v>
      </c>
      <c r="E2188" s="7">
        <v>72.499855999999994</v>
      </c>
      <c r="F2188" s="7">
        <v>76.599997999999999</v>
      </c>
      <c r="G2188" s="7">
        <v>76.110000999999997</v>
      </c>
      <c r="H2188" s="8">
        <f t="shared" si="35"/>
        <v>7.2097768430936481E-3</v>
      </c>
    </row>
    <row r="2189" spans="2:8" x14ac:dyDescent="0.2">
      <c r="B2189" s="5">
        <v>44444</v>
      </c>
      <c r="C2189" s="6" t="s">
        <v>19</v>
      </c>
      <c r="D2189" s="7">
        <v>77.510002</v>
      </c>
      <c r="E2189" s="7">
        <v>73.399478999999999</v>
      </c>
      <c r="F2189" s="7">
        <v>77.730002999999996</v>
      </c>
      <c r="G2189" s="7">
        <v>76.480002999999996</v>
      </c>
      <c r="H2189" s="8">
        <f t="shared" si="35"/>
        <v>1.2332261850875204E-2</v>
      </c>
    </row>
    <row r="2190" spans="2:8" x14ac:dyDescent="0.2">
      <c r="B2190" s="5">
        <v>44447</v>
      </c>
      <c r="C2190" s="6" t="s">
        <v>19</v>
      </c>
      <c r="D2190" s="7">
        <v>76.529999000000004</v>
      </c>
      <c r="E2190" s="7">
        <v>72.471447999999995</v>
      </c>
      <c r="F2190" s="7">
        <v>77.319999999999993</v>
      </c>
      <c r="G2190" s="7">
        <v>76.430000000000007</v>
      </c>
      <c r="H2190" s="8">
        <f t="shared" si="35"/>
        <v>-1.2724173899395029E-2</v>
      </c>
    </row>
    <row r="2191" spans="2:8" x14ac:dyDescent="0.2">
      <c r="B2191" s="5">
        <v>44448</v>
      </c>
      <c r="C2191" s="6" t="s">
        <v>19</v>
      </c>
      <c r="D2191" s="7">
        <v>76.739998</v>
      </c>
      <c r="E2191" s="7">
        <v>72.670310000000001</v>
      </c>
      <c r="F2191" s="7">
        <v>77</v>
      </c>
      <c r="G2191" s="7">
        <v>76.169998000000007</v>
      </c>
      <c r="H2191" s="8">
        <f t="shared" si="35"/>
        <v>2.740246875569802E-3</v>
      </c>
    </row>
    <row r="2192" spans="2:8" x14ac:dyDescent="0.2">
      <c r="B2192" s="5">
        <v>44449</v>
      </c>
      <c r="C2192" s="6" t="s">
        <v>19</v>
      </c>
      <c r="D2192" s="7">
        <v>76.510002</v>
      </c>
      <c r="E2192" s="7">
        <v>72.452511000000001</v>
      </c>
      <c r="F2192" s="7">
        <v>77.080001999999993</v>
      </c>
      <c r="G2192" s="7">
        <v>76.370002999999997</v>
      </c>
      <c r="H2192" s="8">
        <f t="shared" si="35"/>
        <v>-3.0015839276134361E-3</v>
      </c>
    </row>
    <row r="2193" spans="2:8" x14ac:dyDescent="0.2">
      <c r="B2193" s="5">
        <v>44450</v>
      </c>
      <c r="C2193" s="6" t="s">
        <v>19</v>
      </c>
      <c r="D2193" s="7">
        <v>76.099997999999999</v>
      </c>
      <c r="E2193" s="7">
        <v>72.064250999999999</v>
      </c>
      <c r="F2193" s="7">
        <v>76.440002000000007</v>
      </c>
      <c r="G2193" s="7">
        <v>76.089995999999999</v>
      </c>
      <c r="H2193" s="8">
        <f t="shared" si="35"/>
        <v>-5.3732304649941227E-3</v>
      </c>
    </row>
    <row r="2194" spans="2:8" x14ac:dyDescent="0.2">
      <c r="B2194" s="5">
        <v>44451</v>
      </c>
      <c r="C2194" s="6" t="s">
        <v>19</v>
      </c>
      <c r="D2194" s="7">
        <v>75.769997000000004</v>
      </c>
      <c r="E2194" s="7">
        <v>71.751750000000001</v>
      </c>
      <c r="F2194" s="7">
        <v>76.050003000000004</v>
      </c>
      <c r="G2194" s="7">
        <v>75.660004000000001</v>
      </c>
      <c r="H2194" s="8">
        <f t="shared" si="35"/>
        <v>-4.3458515000067343E-3</v>
      </c>
    </row>
    <row r="2195" spans="2:8" x14ac:dyDescent="0.2">
      <c r="B2195" s="5">
        <v>44454</v>
      </c>
      <c r="C2195" s="6" t="s">
        <v>19</v>
      </c>
      <c r="D2195" s="7">
        <v>75.809997999999993</v>
      </c>
      <c r="E2195" s="7">
        <v>71.789630000000002</v>
      </c>
      <c r="F2195" s="7">
        <v>75.889999000000003</v>
      </c>
      <c r="G2195" s="7">
        <v>75.610000999999997</v>
      </c>
      <c r="H2195" s="8">
        <f t="shared" si="35"/>
        <v>5.277920677554921E-4</v>
      </c>
    </row>
    <row r="2196" spans="2:8" x14ac:dyDescent="0.2">
      <c r="B2196" s="5">
        <v>44455</v>
      </c>
      <c r="C2196" s="6" t="s">
        <v>19</v>
      </c>
      <c r="D2196" s="7">
        <v>76.319999999999993</v>
      </c>
      <c r="E2196" s="7">
        <v>72.272585000000007</v>
      </c>
      <c r="F2196" s="7">
        <v>76.569999999999993</v>
      </c>
      <c r="G2196" s="7">
        <v>75.599997999999999</v>
      </c>
      <c r="H2196" s="8">
        <f t="shared" si="35"/>
        <v>6.7048366466134776E-3</v>
      </c>
    </row>
    <row r="2197" spans="2:8" x14ac:dyDescent="0.2">
      <c r="B2197" s="5">
        <v>44456</v>
      </c>
      <c r="C2197" s="6" t="s">
        <v>19</v>
      </c>
      <c r="D2197" s="7">
        <v>76.239998</v>
      </c>
      <c r="E2197" s="7">
        <v>72.196826000000001</v>
      </c>
      <c r="F2197" s="7">
        <v>76.470000999999996</v>
      </c>
      <c r="G2197" s="7">
        <v>76.010002</v>
      </c>
      <c r="H2197" s="8">
        <f t="shared" si="35"/>
        <v>-1.0487895869434056E-3</v>
      </c>
    </row>
    <row r="2198" spans="2:8" x14ac:dyDescent="0.2">
      <c r="B2198" s="5">
        <v>44457</v>
      </c>
      <c r="C2198" s="6" t="s">
        <v>19</v>
      </c>
      <c r="D2198" s="7">
        <v>76.220000999999996</v>
      </c>
      <c r="E2198" s="7">
        <v>72.177890000000005</v>
      </c>
      <c r="F2198" s="7">
        <v>76.580001999999993</v>
      </c>
      <c r="G2198" s="7">
        <v>75.910004000000001</v>
      </c>
      <c r="H2198" s="8">
        <f t="shared" si="35"/>
        <v>-2.6231740062540576E-4</v>
      </c>
    </row>
    <row r="2199" spans="2:8" x14ac:dyDescent="0.2">
      <c r="B2199" s="5">
        <v>44458</v>
      </c>
      <c r="C2199" s="6" t="s">
        <v>19</v>
      </c>
      <c r="D2199" s="7">
        <v>76.839995999999999</v>
      </c>
      <c r="E2199" s="7">
        <v>72.765005000000002</v>
      </c>
      <c r="F2199" s="7">
        <v>77.069999999999993</v>
      </c>
      <c r="G2199" s="7">
        <v>76.379997000000003</v>
      </c>
      <c r="H2199" s="8">
        <f t="shared" si="35"/>
        <v>8.1013727666457928E-3</v>
      </c>
    </row>
    <row r="2200" spans="2:8" x14ac:dyDescent="0.2">
      <c r="B2200" s="5">
        <v>44461</v>
      </c>
      <c r="C2200" s="6" t="s">
        <v>19</v>
      </c>
      <c r="D2200" s="7">
        <v>76.309997999999993</v>
      </c>
      <c r="E2200" s="7">
        <v>72.263114000000002</v>
      </c>
      <c r="F2200" s="7">
        <v>76.860000999999997</v>
      </c>
      <c r="G2200" s="7">
        <v>76.25</v>
      </c>
      <c r="H2200" s="8">
        <f t="shared" si="35"/>
        <v>-6.9213199072831102E-3</v>
      </c>
    </row>
    <row r="2201" spans="2:8" x14ac:dyDescent="0.2">
      <c r="B2201" s="5">
        <v>44462</v>
      </c>
      <c r="C2201" s="6" t="s">
        <v>19</v>
      </c>
      <c r="D2201" s="7">
        <v>75.599997999999999</v>
      </c>
      <c r="E2201" s="7">
        <v>71.590767</v>
      </c>
      <c r="F2201" s="7">
        <v>76.220000999999996</v>
      </c>
      <c r="G2201" s="7">
        <v>75.569999999999993</v>
      </c>
      <c r="H2201" s="8">
        <f t="shared" si="35"/>
        <v>-9.3477060348153371E-3</v>
      </c>
    </row>
    <row r="2202" spans="2:8" x14ac:dyDescent="0.2">
      <c r="B2202" s="5">
        <v>44463</v>
      </c>
      <c r="C2202" s="6" t="s">
        <v>19</v>
      </c>
      <c r="D2202" s="7">
        <v>77.080001999999993</v>
      </c>
      <c r="E2202" s="7">
        <v>72.992283</v>
      </c>
      <c r="F2202" s="7">
        <v>77.309997999999993</v>
      </c>
      <c r="G2202" s="7">
        <v>75.699996999999996</v>
      </c>
      <c r="H2202" s="8">
        <f t="shared" si="35"/>
        <v>1.938761009413871E-2</v>
      </c>
    </row>
    <row r="2203" spans="2:8" x14ac:dyDescent="0.2">
      <c r="B2203" s="5">
        <v>44464</v>
      </c>
      <c r="C2203" s="6" t="s">
        <v>19</v>
      </c>
      <c r="D2203" s="7">
        <v>76.120002999999997</v>
      </c>
      <c r="E2203" s="7">
        <v>72.083195000000003</v>
      </c>
      <c r="F2203" s="7">
        <v>77.050003000000004</v>
      </c>
      <c r="G2203" s="7">
        <v>76.120002999999997</v>
      </c>
      <c r="H2203" s="8">
        <f t="shared" si="35"/>
        <v>-1.2532785164788802E-2</v>
      </c>
    </row>
    <row r="2204" spans="2:8" x14ac:dyDescent="0.2">
      <c r="B2204" s="5">
        <v>44465</v>
      </c>
      <c r="C2204" s="6" t="s">
        <v>19</v>
      </c>
      <c r="D2204" s="7">
        <v>76.489998</v>
      </c>
      <c r="E2204" s="7">
        <v>72.433567999999994</v>
      </c>
      <c r="F2204" s="7">
        <v>76.569999999999993</v>
      </c>
      <c r="G2204" s="7">
        <v>75.860000999999997</v>
      </c>
      <c r="H2204" s="8">
        <f t="shared" si="35"/>
        <v>4.8489002828325167E-3</v>
      </c>
    </row>
    <row r="2205" spans="2:8" x14ac:dyDescent="0.2">
      <c r="B2205" s="5">
        <v>44468</v>
      </c>
      <c r="C2205" s="6" t="s">
        <v>19</v>
      </c>
      <c r="D2205" s="7">
        <v>76.080001999999993</v>
      </c>
      <c r="E2205" s="7">
        <v>72.045315000000002</v>
      </c>
      <c r="F2205" s="7">
        <v>76.25</v>
      </c>
      <c r="G2205" s="7">
        <v>75.650002000000001</v>
      </c>
      <c r="H2205" s="8">
        <f t="shared" si="35"/>
        <v>-5.3745423070536555E-3</v>
      </c>
    </row>
    <row r="2206" spans="2:8" x14ac:dyDescent="0.2">
      <c r="B2206" s="5">
        <v>44469</v>
      </c>
      <c r="C2206" s="6" t="s">
        <v>19</v>
      </c>
      <c r="D2206" s="7">
        <v>76.470000999999996</v>
      </c>
      <c r="E2206" s="7">
        <v>72.414631999999997</v>
      </c>
      <c r="F2206" s="7">
        <v>76.720000999999996</v>
      </c>
      <c r="G2206" s="7">
        <v>75.769997000000004</v>
      </c>
      <c r="H2206" s="8">
        <f t="shared" si="35"/>
        <v>5.1130823771702947E-3</v>
      </c>
    </row>
    <row r="2207" spans="2:8" x14ac:dyDescent="0.2">
      <c r="B2207" s="5">
        <v>44470</v>
      </c>
      <c r="C2207" s="6" t="s">
        <v>19</v>
      </c>
      <c r="D2207" s="7">
        <v>76.120002999999997</v>
      </c>
      <c r="E2207" s="7">
        <v>72.083195000000003</v>
      </c>
      <c r="F2207" s="7">
        <v>76.860000999999997</v>
      </c>
      <c r="G2207" s="7">
        <v>75.910004000000001</v>
      </c>
      <c r="H2207" s="8">
        <f t="shared" si="35"/>
        <v>-4.5874403529491022E-3</v>
      </c>
    </row>
    <row r="2208" spans="2:8" x14ac:dyDescent="0.2">
      <c r="B2208" s="5">
        <v>44471</v>
      </c>
      <c r="C2208" s="6" t="s">
        <v>19</v>
      </c>
      <c r="D2208" s="7">
        <v>76.230002999999996</v>
      </c>
      <c r="E2208" s="7">
        <v>72.187361999999993</v>
      </c>
      <c r="F2208" s="7">
        <v>76.910004000000001</v>
      </c>
      <c r="G2208" s="7">
        <v>75.959998999999996</v>
      </c>
      <c r="H2208" s="8">
        <f t="shared" si="35"/>
        <v>1.4440509590804467E-3</v>
      </c>
    </row>
    <row r="2209" spans="2:8" x14ac:dyDescent="0.2">
      <c r="B2209" s="5">
        <v>44472</v>
      </c>
      <c r="C2209" s="6" t="s">
        <v>19</v>
      </c>
      <c r="D2209" s="7">
        <v>77.319999999999993</v>
      </c>
      <c r="E2209" s="7">
        <v>73.219553000000005</v>
      </c>
      <c r="F2209" s="7">
        <v>77.480002999999996</v>
      </c>
      <c r="G2209" s="7">
        <v>76.529999000000004</v>
      </c>
      <c r="H2209" s="8">
        <f t="shared" si="35"/>
        <v>1.4197513758107303E-2</v>
      </c>
    </row>
    <row r="2210" spans="2:8" x14ac:dyDescent="0.2">
      <c r="B2210" s="5">
        <v>44475</v>
      </c>
      <c r="C2210" s="6" t="s">
        <v>19</v>
      </c>
      <c r="D2210" s="7">
        <v>77.349997999999999</v>
      </c>
      <c r="E2210" s="7">
        <v>73.247961000000004</v>
      </c>
      <c r="F2210" s="7">
        <v>77.919998000000007</v>
      </c>
      <c r="G2210" s="7">
        <v>76.989998</v>
      </c>
      <c r="H2210" s="8">
        <f t="shared" si="35"/>
        <v>3.8790854818793289E-4</v>
      </c>
    </row>
    <row r="2211" spans="2:8" x14ac:dyDescent="0.2">
      <c r="B2211" s="5">
        <v>44476</v>
      </c>
      <c r="C2211" s="6" t="s">
        <v>19</v>
      </c>
      <c r="D2211" s="7">
        <v>77.300003000000004</v>
      </c>
      <c r="E2211" s="7">
        <v>73.200616999999994</v>
      </c>
      <c r="F2211" s="7">
        <v>77.690002000000007</v>
      </c>
      <c r="G2211" s="7">
        <v>76.720000999999996</v>
      </c>
      <c r="H2211" s="8">
        <f t="shared" si="35"/>
        <v>-6.4656143877779787E-4</v>
      </c>
    </row>
    <row r="2212" spans="2:8" x14ac:dyDescent="0.2">
      <c r="B2212" s="5">
        <v>44477</v>
      </c>
      <c r="C2212" s="6" t="s">
        <v>19</v>
      </c>
      <c r="D2212" s="7">
        <v>78.239998</v>
      </c>
      <c r="E2212" s="7">
        <v>74.090761999999998</v>
      </c>
      <c r="F2212" s="7">
        <v>78.489998</v>
      </c>
      <c r="G2212" s="7">
        <v>76.809997999999993</v>
      </c>
      <c r="H2212" s="8">
        <f t="shared" si="35"/>
        <v>1.2087005270956817E-2</v>
      </c>
    </row>
    <row r="2213" spans="2:8" x14ac:dyDescent="0.2">
      <c r="B2213" s="5">
        <v>44478</v>
      </c>
      <c r="C2213" s="6" t="s">
        <v>19</v>
      </c>
      <c r="D2213" s="7">
        <v>77.860000999999997</v>
      </c>
      <c r="E2213" s="7">
        <v>73.730917000000005</v>
      </c>
      <c r="F2213" s="7">
        <v>78.830001999999993</v>
      </c>
      <c r="G2213" s="7">
        <v>77.660004000000001</v>
      </c>
      <c r="H2213" s="8">
        <f t="shared" si="35"/>
        <v>-4.8686459691063633E-3</v>
      </c>
    </row>
    <row r="2214" spans="2:8" x14ac:dyDescent="0.2">
      <c r="B2214" s="5">
        <v>44479</v>
      </c>
      <c r="C2214" s="6" t="s">
        <v>19</v>
      </c>
      <c r="D2214" s="7">
        <v>78.290001000000004</v>
      </c>
      <c r="E2214" s="7">
        <v>74.138113000000004</v>
      </c>
      <c r="F2214" s="7">
        <v>79.370002999999997</v>
      </c>
      <c r="G2214" s="7">
        <v>77.930000000000007</v>
      </c>
      <c r="H2214" s="8">
        <f t="shared" si="35"/>
        <v>5.5075363554856968E-3</v>
      </c>
    </row>
    <row r="2215" spans="2:8" x14ac:dyDescent="0.2">
      <c r="B2215" s="5">
        <v>44482</v>
      </c>
      <c r="C2215" s="6" t="s">
        <v>19</v>
      </c>
      <c r="D2215" s="7">
        <v>77.559997999999993</v>
      </c>
      <c r="E2215" s="7">
        <v>73.446822999999995</v>
      </c>
      <c r="F2215" s="7">
        <v>78.580001999999993</v>
      </c>
      <c r="G2215" s="7">
        <v>77.449996999999996</v>
      </c>
      <c r="H2215" s="8">
        <f t="shared" si="35"/>
        <v>-9.3680977806456789E-3</v>
      </c>
    </row>
    <row r="2216" spans="2:8" x14ac:dyDescent="0.2">
      <c r="B2216" s="5">
        <v>44483</v>
      </c>
      <c r="C2216" s="6" t="s">
        <v>19</v>
      </c>
      <c r="D2216" s="7">
        <v>77.980002999999996</v>
      </c>
      <c r="E2216" s="7">
        <v>73.844555</v>
      </c>
      <c r="F2216" s="7">
        <v>78.629997000000003</v>
      </c>
      <c r="G2216" s="7">
        <v>77.669998000000007</v>
      </c>
      <c r="H2216" s="8">
        <f t="shared" si="35"/>
        <v>5.4006279541100859E-3</v>
      </c>
    </row>
    <row r="2217" spans="2:8" x14ac:dyDescent="0.2">
      <c r="B2217" s="5">
        <v>44484</v>
      </c>
      <c r="C2217" s="6" t="s">
        <v>19</v>
      </c>
      <c r="D2217" s="7">
        <v>75.199996999999996</v>
      </c>
      <c r="E2217" s="7">
        <v>71.211978999999999</v>
      </c>
      <c r="F2217" s="7">
        <v>77.690002000000007</v>
      </c>
      <c r="G2217" s="7">
        <v>74.360000999999997</v>
      </c>
      <c r="H2217" s="8">
        <f t="shared" si="35"/>
        <v>-3.6301227075837571E-2</v>
      </c>
    </row>
    <row r="2218" spans="2:8" x14ac:dyDescent="0.2">
      <c r="B2218" s="5">
        <v>44485</v>
      </c>
      <c r="C2218" s="6" t="s">
        <v>19</v>
      </c>
      <c r="D2218" s="7">
        <v>73.819999999999993</v>
      </c>
      <c r="E2218" s="7">
        <v>69.905165999999994</v>
      </c>
      <c r="F2218" s="7">
        <v>74.069999999999993</v>
      </c>
      <c r="G2218" s="7">
        <v>72.610000999999997</v>
      </c>
      <c r="H2218" s="8">
        <f t="shared" si="35"/>
        <v>-1.8521496560172917E-2</v>
      </c>
    </row>
    <row r="2219" spans="2:8" x14ac:dyDescent="0.2">
      <c r="B2219" s="5">
        <v>44486</v>
      </c>
      <c r="C2219" s="6" t="s">
        <v>19</v>
      </c>
      <c r="D2219" s="7">
        <v>74.099997999999999</v>
      </c>
      <c r="E2219" s="7">
        <v>70.170316</v>
      </c>
      <c r="F2219" s="7">
        <v>74.5</v>
      </c>
      <c r="G2219" s="7">
        <v>73.029999000000004</v>
      </c>
      <c r="H2219" s="8">
        <f t="shared" si="35"/>
        <v>3.7858205147859965E-3</v>
      </c>
    </row>
    <row r="2220" spans="2:8" x14ac:dyDescent="0.2">
      <c r="B2220" s="5">
        <v>44489</v>
      </c>
      <c r="C2220" s="6" t="s">
        <v>19</v>
      </c>
      <c r="D2220" s="7">
        <v>75.139999000000003</v>
      </c>
      <c r="E2220" s="7">
        <v>71.155163000000002</v>
      </c>
      <c r="F2220" s="7">
        <v>75.220000999999996</v>
      </c>
      <c r="G2220" s="7">
        <v>73.919998000000007</v>
      </c>
      <c r="H2220" s="8">
        <f t="shared" si="35"/>
        <v>1.3937514303595759E-2</v>
      </c>
    </row>
    <row r="2221" spans="2:8" x14ac:dyDescent="0.2">
      <c r="B2221" s="5">
        <v>44490</v>
      </c>
      <c r="C2221" s="6" t="s">
        <v>19</v>
      </c>
      <c r="D2221" s="7">
        <v>76.019997000000004</v>
      </c>
      <c r="E2221" s="7">
        <v>71.988491999999994</v>
      </c>
      <c r="F2221" s="7">
        <v>76.199996999999996</v>
      </c>
      <c r="G2221" s="7">
        <v>75.010002</v>
      </c>
      <c r="H2221" s="8">
        <f t="shared" si="35"/>
        <v>1.164338600135088E-2</v>
      </c>
    </row>
    <row r="2222" spans="2:8" x14ac:dyDescent="0.2">
      <c r="B2222" s="5">
        <v>44491</v>
      </c>
      <c r="C2222" s="6" t="s">
        <v>19</v>
      </c>
      <c r="D2222" s="7">
        <v>76.029999000000004</v>
      </c>
      <c r="E2222" s="7">
        <v>71.997963999999996</v>
      </c>
      <c r="F2222" s="7">
        <v>76.660004000000001</v>
      </c>
      <c r="G2222" s="7">
        <v>76.010002</v>
      </c>
      <c r="H2222" s="8">
        <f t="shared" si="35"/>
        <v>1.315679304400625E-4</v>
      </c>
    </row>
    <row r="2223" spans="2:8" x14ac:dyDescent="0.2">
      <c r="B2223" s="5">
        <v>44492</v>
      </c>
      <c r="C2223" s="6" t="s">
        <v>19</v>
      </c>
      <c r="D2223" s="7">
        <v>76.25</v>
      </c>
      <c r="E2223" s="7">
        <v>72.206298000000004</v>
      </c>
      <c r="F2223" s="7">
        <v>76.650002000000001</v>
      </c>
      <c r="G2223" s="7">
        <v>75.779999000000004</v>
      </c>
      <c r="H2223" s="8">
        <f t="shared" si="35"/>
        <v>2.8894311729166485E-3</v>
      </c>
    </row>
    <row r="2224" spans="2:8" x14ac:dyDescent="0.2">
      <c r="B2224" s="5">
        <v>44493</v>
      </c>
      <c r="C2224" s="6" t="s">
        <v>19</v>
      </c>
      <c r="D2224" s="7">
        <v>76.379997000000003</v>
      </c>
      <c r="E2224" s="7">
        <v>72.329401000000004</v>
      </c>
      <c r="F2224" s="7">
        <v>76.5</v>
      </c>
      <c r="G2224" s="7">
        <v>75.5</v>
      </c>
      <c r="H2224" s="8">
        <f t="shared" si="35"/>
        <v>1.7034273279015152E-3</v>
      </c>
    </row>
    <row r="2225" spans="2:8" x14ac:dyDescent="0.2">
      <c r="B2225" s="5">
        <v>44496</v>
      </c>
      <c r="C2225" s="6" t="s">
        <v>19</v>
      </c>
      <c r="D2225" s="7">
        <v>76.589995999999999</v>
      </c>
      <c r="E2225" s="7">
        <v>72.528262999999995</v>
      </c>
      <c r="F2225" s="7">
        <v>76.980002999999996</v>
      </c>
      <c r="G2225" s="7">
        <v>76.309997999999993</v>
      </c>
      <c r="H2225" s="8">
        <f t="shared" si="35"/>
        <v>2.7456210383960656E-3</v>
      </c>
    </row>
    <row r="2226" spans="2:8" x14ac:dyDescent="0.2">
      <c r="B2226" s="5">
        <v>44497</v>
      </c>
      <c r="C2226" s="6" t="s">
        <v>19</v>
      </c>
      <c r="D2226" s="7">
        <v>76.349997999999999</v>
      </c>
      <c r="E2226" s="7">
        <v>72.300993000000005</v>
      </c>
      <c r="F2226" s="7">
        <v>76.800003000000004</v>
      </c>
      <c r="G2226" s="7">
        <v>76</v>
      </c>
      <c r="H2226" s="8">
        <f t="shared" si="35"/>
        <v>-3.138456867431234E-3</v>
      </c>
    </row>
    <row r="2227" spans="2:8" x14ac:dyDescent="0.2">
      <c r="B2227" s="5">
        <v>44498</v>
      </c>
      <c r="C2227" s="6" t="s">
        <v>19</v>
      </c>
      <c r="D2227" s="7">
        <v>76.389999000000003</v>
      </c>
      <c r="E2227" s="7">
        <v>72.338873000000007</v>
      </c>
      <c r="F2227" s="7">
        <v>76.639999000000003</v>
      </c>
      <c r="G2227" s="7">
        <v>75.970000999999996</v>
      </c>
      <c r="H2227" s="8">
        <f t="shared" si="35"/>
        <v>5.2378368306875943E-4</v>
      </c>
    </row>
    <row r="2228" spans="2:8" x14ac:dyDescent="0.2">
      <c r="B2228" s="5">
        <v>44499</v>
      </c>
      <c r="C2228" s="6" t="s">
        <v>19</v>
      </c>
      <c r="D2228" s="7">
        <v>76.449996999999996</v>
      </c>
      <c r="E2228" s="7">
        <v>72.395688000000007</v>
      </c>
      <c r="F2228" s="7">
        <v>76.599997999999999</v>
      </c>
      <c r="G2228" s="7">
        <v>75.980002999999996</v>
      </c>
      <c r="H2228" s="8">
        <f t="shared" si="35"/>
        <v>7.8509241366696259E-4</v>
      </c>
    </row>
    <row r="2229" spans="2:8" x14ac:dyDescent="0.2">
      <c r="B2229" s="5">
        <v>44500</v>
      </c>
      <c r="C2229" s="6" t="s">
        <v>19</v>
      </c>
      <c r="D2229" s="7">
        <v>76.269997000000004</v>
      </c>
      <c r="E2229" s="7">
        <v>72.225234</v>
      </c>
      <c r="F2229" s="7">
        <v>77.400002000000001</v>
      </c>
      <c r="G2229" s="7">
        <v>76.010002</v>
      </c>
      <c r="H2229" s="8">
        <f t="shared" si="35"/>
        <v>-2.3572533845322898E-3</v>
      </c>
    </row>
    <row r="2230" spans="2:8" x14ac:dyDescent="0.2">
      <c r="B2230" s="5">
        <v>44503</v>
      </c>
      <c r="C2230" s="6" t="s">
        <v>19</v>
      </c>
      <c r="D2230" s="7">
        <v>76.279999000000004</v>
      </c>
      <c r="E2230" s="7">
        <v>72.234706000000003</v>
      </c>
      <c r="F2230" s="7">
        <v>76.379997000000003</v>
      </c>
      <c r="G2230" s="7">
        <v>75.589995999999999</v>
      </c>
      <c r="H2230" s="8">
        <f t="shared" si="35"/>
        <v>1.3113670147681377E-4</v>
      </c>
    </row>
    <row r="2231" spans="2:8" x14ac:dyDescent="0.2">
      <c r="B2231" s="5">
        <v>44504</v>
      </c>
      <c r="C2231" s="6" t="s">
        <v>19</v>
      </c>
      <c r="D2231" s="7">
        <v>77.260002</v>
      </c>
      <c r="E2231" s="7">
        <v>73.162737000000007</v>
      </c>
      <c r="F2231" s="7">
        <v>77.370002999999997</v>
      </c>
      <c r="G2231" s="7">
        <v>76.279999000000004</v>
      </c>
      <c r="H2231" s="8">
        <f t="shared" si="35"/>
        <v>1.2765611052604224E-2</v>
      </c>
    </row>
    <row r="2232" spans="2:8" x14ac:dyDescent="0.2">
      <c r="B2232" s="5">
        <v>44505</v>
      </c>
      <c r="C2232" s="6" t="s">
        <v>19</v>
      </c>
      <c r="D2232" s="7">
        <v>77.699996999999996</v>
      </c>
      <c r="E2232" s="7">
        <v>73.579397999999998</v>
      </c>
      <c r="F2232" s="7">
        <v>78.230002999999996</v>
      </c>
      <c r="G2232" s="7">
        <v>77.300003000000004</v>
      </c>
      <c r="H2232" s="8">
        <f t="shared" si="35"/>
        <v>5.6788340955586979E-3</v>
      </c>
    </row>
    <row r="2233" spans="2:8" x14ac:dyDescent="0.2">
      <c r="B2233" s="5">
        <v>44506</v>
      </c>
      <c r="C2233" s="6" t="s">
        <v>19</v>
      </c>
      <c r="D2233" s="7">
        <v>77.809997999999993</v>
      </c>
      <c r="E2233" s="7">
        <v>73.683565000000002</v>
      </c>
      <c r="F2233" s="7">
        <v>78.180000000000007</v>
      </c>
      <c r="G2233" s="7">
        <v>77.169998000000007</v>
      </c>
      <c r="H2233" s="8">
        <f t="shared" si="35"/>
        <v>1.4147076121685434E-3</v>
      </c>
    </row>
    <row r="2234" spans="2:8" x14ac:dyDescent="0.2">
      <c r="B2234" s="5">
        <v>44507</v>
      </c>
      <c r="C2234" s="6" t="s">
        <v>19</v>
      </c>
      <c r="D2234" s="7">
        <v>78.769997000000004</v>
      </c>
      <c r="E2234" s="7">
        <v>74.592653999999996</v>
      </c>
      <c r="F2234" s="7">
        <v>79.080001999999993</v>
      </c>
      <c r="G2234" s="7">
        <v>77.610000999999997</v>
      </c>
      <c r="H2234" s="8">
        <f t="shared" si="35"/>
        <v>1.2262254826929693E-2</v>
      </c>
    </row>
    <row r="2235" spans="2:8" x14ac:dyDescent="0.2">
      <c r="B2235" s="5">
        <v>44510</v>
      </c>
      <c r="C2235" s="6" t="s">
        <v>19</v>
      </c>
      <c r="D2235" s="7">
        <v>79.440002000000007</v>
      </c>
      <c r="E2235" s="7">
        <v>75.227127999999993</v>
      </c>
      <c r="F2235" s="7">
        <v>80.129997000000003</v>
      </c>
      <c r="G2235" s="7">
        <v>78.419998000000007</v>
      </c>
      <c r="H2235" s="8">
        <f t="shared" si="35"/>
        <v>8.4698800727489587E-3</v>
      </c>
    </row>
    <row r="2236" spans="2:8" x14ac:dyDescent="0.2">
      <c r="B2236" s="5">
        <v>44511</v>
      </c>
      <c r="C2236" s="6" t="s">
        <v>19</v>
      </c>
      <c r="D2236" s="7">
        <v>79.010002</v>
      </c>
      <c r="E2236" s="7">
        <v>74.819930999999997</v>
      </c>
      <c r="F2236" s="7">
        <v>79.419998000000007</v>
      </c>
      <c r="G2236" s="7">
        <v>78.849997999999999</v>
      </c>
      <c r="H2236" s="8">
        <f t="shared" si="35"/>
        <v>-5.4276038776643106E-3</v>
      </c>
    </row>
    <row r="2237" spans="2:8" x14ac:dyDescent="0.2">
      <c r="B2237" s="5">
        <v>44512</v>
      </c>
      <c r="C2237" s="6" t="s">
        <v>19</v>
      </c>
      <c r="D2237" s="7">
        <v>79.199996999999996</v>
      </c>
      <c r="E2237" s="7">
        <v>74.999849999999995</v>
      </c>
      <c r="F2237" s="7">
        <v>79.440002000000007</v>
      </c>
      <c r="G2237" s="7">
        <v>78.650002000000001</v>
      </c>
      <c r="H2237" s="8">
        <f t="shared" si="35"/>
        <v>2.4018068280475002E-3</v>
      </c>
    </row>
    <row r="2238" spans="2:8" x14ac:dyDescent="0.2">
      <c r="B2238" s="5">
        <v>44513</v>
      </c>
      <c r="C2238" s="6" t="s">
        <v>19</v>
      </c>
      <c r="D2238" s="7">
        <v>82.940002000000007</v>
      </c>
      <c r="E2238" s="7">
        <v>78.541515000000004</v>
      </c>
      <c r="F2238" s="7">
        <v>83.059997999999993</v>
      </c>
      <c r="G2238" s="7">
        <v>80.860000999999997</v>
      </c>
      <c r="H2238" s="8">
        <f t="shared" si="35"/>
        <v>4.6141224963508004E-2</v>
      </c>
    </row>
    <row r="2239" spans="2:8" x14ac:dyDescent="0.2">
      <c r="B2239" s="5">
        <v>44514</v>
      </c>
      <c r="C2239" s="6" t="s">
        <v>19</v>
      </c>
      <c r="D2239" s="7">
        <v>82.959998999999996</v>
      </c>
      <c r="E2239" s="7">
        <v>78.560451</v>
      </c>
      <c r="F2239" s="7">
        <v>83.150002000000001</v>
      </c>
      <c r="G2239" s="7">
        <v>82.099997999999999</v>
      </c>
      <c r="H2239" s="8">
        <f t="shared" si="35"/>
        <v>2.4106636694403691E-4</v>
      </c>
    </row>
    <row r="2240" spans="2:8" x14ac:dyDescent="0.2">
      <c r="B2240" s="5">
        <v>44517</v>
      </c>
      <c r="C2240" s="6" t="s">
        <v>19</v>
      </c>
      <c r="D2240" s="7">
        <v>83.57</v>
      </c>
      <c r="E2240" s="7">
        <v>79.138102000000003</v>
      </c>
      <c r="F2240" s="7">
        <v>83.720000999999996</v>
      </c>
      <c r="G2240" s="7">
        <v>82.529999000000004</v>
      </c>
      <c r="H2240" s="8">
        <f t="shared" si="35"/>
        <v>7.3260479896593827E-3</v>
      </c>
    </row>
    <row r="2241" spans="2:8" x14ac:dyDescent="0.2">
      <c r="B2241" s="5">
        <v>44518</v>
      </c>
      <c r="C2241" s="6" t="s">
        <v>19</v>
      </c>
      <c r="D2241" s="7">
        <v>83.790001000000004</v>
      </c>
      <c r="E2241" s="7">
        <v>79.346435999999997</v>
      </c>
      <c r="F2241" s="7">
        <v>83.919998000000007</v>
      </c>
      <c r="G2241" s="7">
        <v>83.339995999999999</v>
      </c>
      <c r="H2241" s="8">
        <f t="shared" si="35"/>
        <v>2.6290781754528905E-3</v>
      </c>
    </row>
    <row r="2242" spans="2:8" x14ac:dyDescent="0.2">
      <c r="B2242" s="5">
        <v>44519</v>
      </c>
      <c r="C2242" s="6" t="s">
        <v>19</v>
      </c>
      <c r="D2242" s="7">
        <v>84.989998</v>
      </c>
      <c r="E2242" s="7">
        <v>80.482794999999996</v>
      </c>
      <c r="F2242" s="7">
        <v>85.639999000000003</v>
      </c>
      <c r="G2242" s="7">
        <v>83.919998000000007</v>
      </c>
      <c r="H2242" s="8">
        <f t="shared" si="35"/>
        <v>1.4219903843760678E-2</v>
      </c>
    </row>
    <row r="2243" spans="2:8" x14ac:dyDescent="0.2">
      <c r="B2243" s="5">
        <v>44520</v>
      </c>
      <c r="C2243" s="6" t="s">
        <v>19</v>
      </c>
      <c r="D2243" s="7">
        <v>84.580001999999993</v>
      </c>
      <c r="E2243" s="7">
        <v>80.094542000000004</v>
      </c>
      <c r="F2243" s="7">
        <v>85.290001000000004</v>
      </c>
      <c r="G2243" s="7">
        <v>84.040001000000004</v>
      </c>
      <c r="H2243" s="8">
        <f t="shared" si="35"/>
        <v>-4.835722946163655E-3</v>
      </c>
    </row>
    <row r="2244" spans="2:8" x14ac:dyDescent="0.2">
      <c r="B2244" s="5">
        <v>44521</v>
      </c>
      <c r="C2244" s="6" t="s">
        <v>19</v>
      </c>
      <c r="D2244" s="7">
        <v>84.650002000000001</v>
      </c>
      <c r="E2244" s="7">
        <v>80.160829000000007</v>
      </c>
      <c r="F2244" s="7">
        <v>85.440002000000007</v>
      </c>
      <c r="G2244" s="7">
        <v>84.580001999999993</v>
      </c>
      <c r="H2244" s="8">
        <f t="shared" ref="H2244:H2307" si="36">IF(C2244=C2243, LN(E2244/E2243), "")</f>
        <v>8.2726717197397881E-4</v>
      </c>
    </row>
    <row r="2245" spans="2:8" x14ac:dyDescent="0.2">
      <c r="B2245" s="5">
        <v>44524</v>
      </c>
      <c r="C2245" s="6" t="s">
        <v>19</v>
      </c>
      <c r="D2245" s="7">
        <v>85.400002000000001</v>
      </c>
      <c r="E2245" s="7">
        <v>80.871054999999998</v>
      </c>
      <c r="F2245" s="7">
        <v>85.610000999999997</v>
      </c>
      <c r="G2245" s="7">
        <v>84.769997000000004</v>
      </c>
      <c r="H2245" s="8">
        <f t="shared" si="36"/>
        <v>8.8209935519784621E-3</v>
      </c>
    </row>
    <row r="2246" spans="2:8" x14ac:dyDescent="0.2">
      <c r="B2246" s="5">
        <v>44525</v>
      </c>
      <c r="C2246" s="6" t="s">
        <v>19</v>
      </c>
      <c r="D2246" s="7">
        <v>84.949996999999996</v>
      </c>
      <c r="E2246" s="7">
        <v>80.444914999999995</v>
      </c>
      <c r="F2246" s="7">
        <v>85.510002</v>
      </c>
      <c r="G2246" s="7">
        <v>84.389999000000003</v>
      </c>
      <c r="H2246" s="8">
        <f t="shared" si="36"/>
        <v>-5.283308171521491E-3</v>
      </c>
    </row>
    <row r="2247" spans="2:8" x14ac:dyDescent="0.2">
      <c r="B2247" s="5">
        <v>44526</v>
      </c>
      <c r="C2247" s="6" t="s">
        <v>19</v>
      </c>
      <c r="D2247" s="7">
        <v>84.980002999999996</v>
      </c>
      <c r="E2247" s="7">
        <v>80.473330000000004</v>
      </c>
      <c r="F2247" s="7">
        <v>85.110000999999997</v>
      </c>
      <c r="G2247" s="7">
        <v>84.480002999999996</v>
      </c>
      <c r="H2247" s="8">
        <f t="shared" si="36"/>
        <v>3.5316070337880538E-4</v>
      </c>
    </row>
    <row r="2248" spans="2:8" x14ac:dyDescent="0.2">
      <c r="B2248" s="5">
        <v>44528</v>
      </c>
      <c r="C2248" s="6" t="s">
        <v>19</v>
      </c>
      <c r="D2248" s="7">
        <v>87.540001000000004</v>
      </c>
      <c r="E2248" s="7">
        <v>82.897565999999998</v>
      </c>
      <c r="F2248" s="7">
        <v>88.089995999999999</v>
      </c>
      <c r="G2248" s="7">
        <v>85.900002000000001</v>
      </c>
      <c r="H2248" s="8">
        <f t="shared" si="36"/>
        <v>2.9679875851421837E-2</v>
      </c>
    </row>
    <row r="2249" spans="2:8" x14ac:dyDescent="0.2">
      <c r="B2249" s="5">
        <v>44531</v>
      </c>
      <c r="C2249" s="6" t="s">
        <v>19</v>
      </c>
      <c r="D2249" s="7">
        <v>86.220000999999996</v>
      </c>
      <c r="E2249" s="7">
        <v>81.647568000000007</v>
      </c>
      <c r="F2249" s="7">
        <v>87.07</v>
      </c>
      <c r="G2249" s="7">
        <v>85.75</v>
      </c>
      <c r="H2249" s="8">
        <f t="shared" si="36"/>
        <v>-1.519366773237624E-2</v>
      </c>
    </row>
    <row r="2250" spans="2:8" x14ac:dyDescent="0.2">
      <c r="B2250" s="5">
        <v>44532</v>
      </c>
      <c r="C2250" s="6" t="s">
        <v>19</v>
      </c>
      <c r="D2250" s="7">
        <v>86.400002000000001</v>
      </c>
      <c r="E2250" s="7">
        <v>81.818022999999997</v>
      </c>
      <c r="F2250" s="7">
        <v>86.699996999999996</v>
      </c>
      <c r="G2250" s="7">
        <v>85.93</v>
      </c>
      <c r="H2250" s="8">
        <f t="shared" si="36"/>
        <v>2.0855161106177055E-3</v>
      </c>
    </row>
    <row r="2251" spans="2:8" x14ac:dyDescent="0.2">
      <c r="B2251" s="5">
        <v>44533</v>
      </c>
      <c r="C2251" s="6" t="s">
        <v>19</v>
      </c>
      <c r="D2251" s="7">
        <v>84.940002000000007</v>
      </c>
      <c r="E2251" s="7">
        <v>80.884810999999999</v>
      </c>
      <c r="F2251" s="7">
        <v>86</v>
      </c>
      <c r="G2251" s="7">
        <v>84.68</v>
      </c>
      <c r="H2251" s="8">
        <f t="shared" si="36"/>
        <v>-1.1471493284818285E-2</v>
      </c>
    </row>
    <row r="2252" spans="2:8" x14ac:dyDescent="0.2">
      <c r="B2252" s="5">
        <v>44534</v>
      </c>
      <c r="C2252" s="6" t="s">
        <v>19</v>
      </c>
      <c r="D2252" s="7">
        <v>84.760002</v>
      </c>
      <c r="E2252" s="7">
        <v>80.713403999999997</v>
      </c>
      <c r="F2252" s="7">
        <v>84.82</v>
      </c>
      <c r="G2252" s="7">
        <v>83.650002000000001</v>
      </c>
      <c r="H2252" s="8">
        <f t="shared" si="36"/>
        <v>-2.1213979904706939E-3</v>
      </c>
    </row>
    <row r="2253" spans="2:8" x14ac:dyDescent="0.2">
      <c r="B2253" s="5">
        <v>44535</v>
      </c>
      <c r="C2253" s="6" t="s">
        <v>19</v>
      </c>
      <c r="D2253" s="7">
        <v>84.120002999999997</v>
      </c>
      <c r="E2253" s="7">
        <v>80.103960000000001</v>
      </c>
      <c r="F2253" s="7">
        <v>84.82</v>
      </c>
      <c r="G2253" s="7">
        <v>83.510002</v>
      </c>
      <c r="H2253" s="8">
        <f t="shared" si="36"/>
        <v>-7.5793670831229981E-3</v>
      </c>
    </row>
    <row r="2254" spans="2:8" x14ac:dyDescent="0.2">
      <c r="B2254" s="5">
        <v>44538</v>
      </c>
      <c r="C2254" s="6" t="s">
        <v>19</v>
      </c>
      <c r="D2254" s="7">
        <v>84.230002999999996</v>
      </c>
      <c r="E2254" s="7">
        <v>80.208708999999999</v>
      </c>
      <c r="F2254" s="7">
        <v>84.669998000000007</v>
      </c>
      <c r="G2254" s="7">
        <v>83.849997999999999</v>
      </c>
      <c r="H2254" s="8">
        <f t="shared" si="36"/>
        <v>1.3068089448013387E-3</v>
      </c>
    </row>
    <row r="2255" spans="2:8" x14ac:dyDescent="0.2">
      <c r="B2255" s="5">
        <v>44539</v>
      </c>
      <c r="C2255" s="6" t="s">
        <v>19</v>
      </c>
      <c r="D2255" s="7">
        <v>83.559997999999993</v>
      </c>
      <c r="E2255" s="7">
        <v>79.570689999999999</v>
      </c>
      <c r="F2255" s="7">
        <v>84.209998999999996</v>
      </c>
      <c r="G2255" s="7">
        <v>82.650002000000001</v>
      </c>
      <c r="H2255" s="8">
        <f t="shared" si="36"/>
        <v>-7.9862910375859218E-3</v>
      </c>
    </row>
    <row r="2256" spans="2:8" x14ac:dyDescent="0.2">
      <c r="B2256" s="5">
        <v>44540</v>
      </c>
      <c r="C2256" s="6" t="s">
        <v>19</v>
      </c>
      <c r="D2256" s="7">
        <v>82.980002999999996</v>
      </c>
      <c r="E2256" s="7">
        <v>79.018386000000007</v>
      </c>
      <c r="F2256" s="7">
        <v>84.309997999999993</v>
      </c>
      <c r="G2256" s="7">
        <v>82.900002000000001</v>
      </c>
      <c r="H2256" s="8">
        <f t="shared" si="36"/>
        <v>-6.9652493959090362E-3</v>
      </c>
    </row>
    <row r="2257" spans="2:8" x14ac:dyDescent="0.2">
      <c r="B2257" s="5">
        <v>44541</v>
      </c>
      <c r="C2257" s="6" t="s">
        <v>19</v>
      </c>
      <c r="D2257" s="7">
        <v>83.830001999999993</v>
      </c>
      <c r="E2257" s="7">
        <v>79.827804</v>
      </c>
      <c r="F2257" s="7">
        <v>84.5</v>
      </c>
      <c r="G2257" s="7">
        <v>83.160004000000001</v>
      </c>
      <c r="H2257" s="8">
        <f t="shared" si="36"/>
        <v>1.0191305258035806E-2</v>
      </c>
    </row>
    <row r="2258" spans="2:8" x14ac:dyDescent="0.2">
      <c r="B2258" s="5">
        <v>44542</v>
      </c>
      <c r="C2258" s="6" t="s">
        <v>19</v>
      </c>
      <c r="D2258" s="7">
        <v>83.809997999999993</v>
      </c>
      <c r="E2258" s="7">
        <v>79.808755000000005</v>
      </c>
      <c r="F2258" s="7">
        <v>85</v>
      </c>
      <c r="G2258" s="7">
        <v>83.519997000000004</v>
      </c>
      <c r="H2258" s="8">
        <f t="shared" si="36"/>
        <v>-2.3865460656054903E-4</v>
      </c>
    </row>
    <row r="2259" spans="2:8" x14ac:dyDescent="0.2">
      <c r="B2259" s="5">
        <v>44545</v>
      </c>
      <c r="C2259" s="6" t="s">
        <v>19</v>
      </c>
      <c r="D2259" s="7">
        <v>83.940002000000007</v>
      </c>
      <c r="E2259" s="7">
        <v>79.932552999999999</v>
      </c>
      <c r="F2259" s="7">
        <v>84.699996999999996</v>
      </c>
      <c r="G2259" s="7">
        <v>83.050003000000004</v>
      </c>
      <c r="H2259" s="8">
        <f t="shared" si="36"/>
        <v>1.5499813584196555E-3</v>
      </c>
    </row>
    <row r="2260" spans="2:8" x14ac:dyDescent="0.2">
      <c r="B2260" s="5">
        <v>44546</v>
      </c>
      <c r="C2260" s="6" t="s">
        <v>19</v>
      </c>
      <c r="D2260" s="7">
        <v>82.959998999999996</v>
      </c>
      <c r="E2260" s="7">
        <v>78.999336999999997</v>
      </c>
      <c r="F2260" s="7">
        <v>84.760002</v>
      </c>
      <c r="G2260" s="7">
        <v>82.940002000000007</v>
      </c>
      <c r="H2260" s="8">
        <f t="shared" si="36"/>
        <v>-1.1743731548992557E-2</v>
      </c>
    </row>
    <row r="2261" spans="2:8" x14ac:dyDescent="0.2">
      <c r="B2261" s="5">
        <v>44547</v>
      </c>
      <c r="C2261" s="6" t="s">
        <v>19</v>
      </c>
      <c r="D2261" s="7">
        <v>84.230002999999996</v>
      </c>
      <c r="E2261" s="7">
        <v>80.208708999999999</v>
      </c>
      <c r="F2261" s="7">
        <v>84.260002</v>
      </c>
      <c r="G2261" s="7">
        <v>82.949996999999996</v>
      </c>
      <c r="H2261" s="8">
        <f t="shared" si="36"/>
        <v>1.5192639972592615E-2</v>
      </c>
    </row>
    <row r="2262" spans="2:8" x14ac:dyDescent="0.2">
      <c r="B2262" s="5">
        <v>44548</v>
      </c>
      <c r="C2262" s="6" t="s">
        <v>19</v>
      </c>
      <c r="D2262" s="7">
        <v>85.940002000000007</v>
      </c>
      <c r="E2262" s="7">
        <v>81.837069</v>
      </c>
      <c r="F2262" s="7">
        <v>85.949996999999996</v>
      </c>
      <c r="G2262" s="7">
        <v>84.279999000000004</v>
      </c>
      <c r="H2262" s="8">
        <f t="shared" si="36"/>
        <v>2.009820721971662E-2</v>
      </c>
    </row>
    <row r="2263" spans="2:8" x14ac:dyDescent="0.2">
      <c r="B2263" s="5">
        <v>44549</v>
      </c>
      <c r="C2263" s="6" t="s">
        <v>19</v>
      </c>
      <c r="D2263" s="7">
        <v>85.160004000000001</v>
      </c>
      <c r="E2263" s="7">
        <v>81.094308999999996</v>
      </c>
      <c r="F2263" s="7">
        <v>86.339995999999999</v>
      </c>
      <c r="G2263" s="7">
        <v>85.160004000000001</v>
      </c>
      <c r="H2263" s="8">
        <f t="shared" si="36"/>
        <v>-9.1175211862848972E-3</v>
      </c>
    </row>
    <row r="2264" spans="2:8" x14ac:dyDescent="0.2">
      <c r="B2264" s="5">
        <v>44552</v>
      </c>
      <c r="C2264" s="6" t="s">
        <v>19</v>
      </c>
      <c r="D2264" s="7">
        <v>86.379997000000003</v>
      </c>
      <c r="E2264" s="7">
        <v>82.256057999999996</v>
      </c>
      <c r="F2264" s="7">
        <v>86.400002000000001</v>
      </c>
      <c r="G2264" s="7">
        <v>85.290001000000004</v>
      </c>
      <c r="H2264" s="8">
        <f t="shared" si="36"/>
        <v>1.4224254395870294E-2</v>
      </c>
    </row>
    <row r="2265" spans="2:8" x14ac:dyDescent="0.2">
      <c r="B2265" s="5">
        <v>44553</v>
      </c>
      <c r="C2265" s="6" t="s">
        <v>19</v>
      </c>
      <c r="D2265" s="7">
        <v>86.660004000000001</v>
      </c>
      <c r="E2265" s="7">
        <v>82.522695999999996</v>
      </c>
      <c r="F2265" s="7">
        <v>87.080001999999993</v>
      </c>
      <c r="G2265" s="7">
        <v>86.360000999999997</v>
      </c>
      <c r="H2265" s="8">
        <f t="shared" si="36"/>
        <v>3.2363181084019031E-3</v>
      </c>
    </row>
    <row r="2266" spans="2:8" x14ac:dyDescent="0.2">
      <c r="B2266" s="5">
        <v>44554</v>
      </c>
      <c r="C2266" s="6" t="s">
        <v>19</v>
      </c>
      <c r="D2266" s="7">
        <v>86.43</v>
      </c>
      <c r="E2266" s="7">
        <v>82.303674000000001</v>
      </c>
      <c r="F2266" s="7">
        <v>87.07</v>
      </c>
      <c r="G2266" s="7">
        <v>86.389999000000003</v>
      </c>
      <c r="H2266" s="8">
        <f t="shared" si="36"/>
        <v>-2.6576102951331774E-3</v>
      </c>
    </row>
    <row r="2267" spans="2:8" x14ac:dyDescent="0.2">
      <c r="B2267" s="5">
        <v>44556</v>
      </c>
      <c r="C2267" s="6" t="s">
        <v>19</v>
      </c>
      <c r="D2267" s="7">
        <v>86.910004000000001</v>
      </c>
      <c r="E2267" s="7">
        <v>82.760761000000002</v>
      </c>
      <c r="F2267" s="7">
        <v>87.139999000000003</v>
      </c>
      <c r="G2267" s="7">
        <v>86.010002</v>
      </c>
      <c r="H2267" s="8">
        <f t="shared" si="36"/>
        <v>5.5382998565733426E-3</v>
      </c>
    </row>
    <row r="2268" spans="2:8" x14ac:dyDescent="0.2">
      <c r="B2268" s="5">
        <v>44559</v>
      </c>
      <c r="C2268" s="6" t="s">
        <v>19</v>
      </c>
      <c r="D2268" s="7">
        <v>86.639999000000003</v>
      </c>
      <c r="E2268" s="7">
        <v>82.503647000000001</v>
      </c>
      <c r="F2268" s="7">
        <v>87.07</v>
      </c>
      <c r="G2268" s="7">
        <v>86.400002000000001</v>
      </c>
      <c r="H2268" s="8">
        <f t="shared" si="36"/>
        <v>-3.1115496742961024E-3</v>
      </c>
    </row>
    <row r="2269" spans="2:8" x14ac:dyDescent="0.2">
      <c r="B2269" s="5">
        <v>44560</v>
      </c>
      <c r="C2269" s="6" t="s">
        <v>19</v>
      </c>
      <c r="D2269" s="7">
        <v>86.790001000000004</v>
      </c>
      <c r="E2269" s="7">
        <v>82.646486999999993</v>
      </c>
      <c r="F2269" s="7">
        <v>87.129997000000003</v>
      </c>
      <c r="G2269" s="7">
        <v>86.480002999999996</v>
      </c>
      <c r="H2269" s="8">
        <f t="shared" si="36"/>
        <v>1.7298204023023917E-3</v>
      </c>
    </row>
    <row r="2270" spans="2:8" x14ac:dyDescent="0.2">
      <c r="B2270" s="5">
        <v>44561</v>
      </c>
      <c r="C2270" s="6" t="s">
        <v>19</v>
      </c>
      <c r="D2270" s="7">
        <v>85.879997000000003</v>
      </c>
      <c r="E2270" s="7">
        <v>81.779928999999996</v>
      </c>
      <c r="F2270" s="7">
        <v>87.440002000000007</v>
      </c>
      <c r="G2270" s="7">
        <v>85.860000999999997</v>
      </c>
      <c r="H2270" s="8">
        <f t="shared" si="36"/>
        <v>-1.0540472073295087E-2</v>
      </c>
    </row>
    <row r="2271" spans="2:8" x14ac:dyDescent="0.2">
      <c r="B2271" s="5">
        <v>44563</v>
      </c>
      <c r="C2271" s="6" t="s">
        <v>19</v>
      </c>
      <c r="D2271" s="7">
        <v>85.900002000000001</v>
      </c>
      <c r="E2271" s="7">
        <v>81.798978000000005</v>
      </c>
      <c r="F2271" s="7">
        <v>86.720000999999996</v>
      </c>
      <c r="G2271" s="7">
        <v>85.550003000000004</v>
      </c>
      <c r="H2271" s="8">
        <f t="shared" si="36"/>
        <v>2.3290288993210864E-4</v>
      </c>
    </row>
    <row r="2272" spans="2:8" x14ac:dyDescent="0.2">
      <c r="B2272" s="5">
        <v>44566</v>
      </c>
      <c r="C2272" s="6" t="s">
        <v>19</v>
      </c>
      <c r="D2272" s="7">
        <v>85.650002000000001</v>
      </c>
      <c r="E2272" s="7">
        <v>81.560913999999997</v>
      </c>
      <c r="F2272" s="7">
        <v>86.32</v>
      </c>
      <c r="G2272" s="7">
        <v>85.510002</v>
      </c>
      <c r="H2272" s="8">
        <f t="shared" si="36"/>
        <v>-2.914597525897635E-3</v>
      </c>
    </row>
    <row r="2273" spans="2:8" x14ac:dyDescent="0.2">
      <c r="B2273" s="5">
        <v>44567</v>
      </c>
      <c r="C2273" s="6" t="s">
        <v>19</v>
      </c>
      <c r="D2273" s="7">
        <v>86.309997999999993</v>
      </c>
      <c r="E2273" s="7">
        <v>82.189400000000006</v>
      </c>
      <c r="F2273" s="7">
        <v>86.75</v>
      </c>
      <c r="G2273" s="7">
        <v>85.790001000000004</v>
      </c>
      <c r="H2273" s="8">
        <f t="shared" si="36"/>
        <v>7.6761878583682932E-3</v>
      </c>
    </row>
    <row r="2274" spans="2:8" x14ac:dyDescent="0.2">
      <c r="B2274" s="5">
        <v>44568</v>
      </c>
      <c r="C2274" s="6" t="s">
        <v>19</v>
      </c>
      <c r="D2274" s="7">
        <v>88.599997999999999</v>
      </c>
      <c r="E2274" s="7">
        <v>84.370071999999993</v>
      </c>
      <c r="F2274" s="7">
        <v>88.68</v>
      </c>
      <c r="G2274" s="7">
        <v>86.669998000000007</v>
      </c>
      <c r="H2274" s="8">
        <f t="shared" si="36"/>
        <v>2.6186401585483046E-2</v>
      </c>
    </row>
    <row r="2275" spans="2:8" x14ac:dyDescent="0.2">
      <c r="B2275" s="5">
        <v>44569</v>
      </c>
      <c r="C2275" s="6" t="s">
        <v>19</v>
      </c>
      <c r="D2275" s="7">
        <v>90.470000999999996</v>
      </c>
      <c r="E2275" s="7">
        <v>86.150797999999995</v>
      </c>
      <c r="F2275" s="7">
        <v>90.669998000000007</v>
      </c>
      <c r="G2275" s="7">
        <v>89.07</v>
      </c>
      <c r="H2275" s="8">
        <f t="shared" si="36"/>
        <v>2.088648428348551E-2</v>
      </c>
    </row>
    <row r="2276" spans="2:8" x14ac:dyDescent="0.2">
      <c r="B2276" s="5">
        <v>44570</v>
      </c>
      <c r="C2276" s="6" t="s">
        <v>19</v>
      </c>
      <c r="D2276" s="7">
        <v>89.349997999999999</v>
      </c>
      <c r="E2276" s="7">
        <v>85.084266</v>
      </c>
      <c r="F2276" s="7">
        <v>90.389999000000003</v>
      </c>
      <c r="G2276" s="7">
        <v>89.25</v>
      </c>
      <c r="H2276" s="8">
        <f t="shared" si="36"/>
        <v>-1.245709572582105E-2</v>
      </c>
    </row>
    <row r="2277" spans="2:8" x14ac:dyDescent="0.2">
      <c r="B2277" s="5">
        <v>44573</v>
      </c>
      <c r="C2277" s="6" t="s">
        <v>19</v>
      </c>
      <c r="D2277" s="7">
        <v>90.019997000000004</v>
      </c>
      <c r="E2277" s="7">
        <v>85.722277000000005</v>
      </c>
      <c r="F2277" s="7">
        <v>90.309997999999993</v>
      </c>
      <c r="G2277" s="7">
        <v>89.220000999999996</v>
      </c>
      <c r="H2277" s="8">
        <f t="shared" si="36"/>
        <v>7.4706033629581932E-3</v>
      </c>
    </row>
    <row r="2278" spans="2:8" x14ac:dyDescent="0.2">
      <c r="B2278" s="5">
        <v>44574</v>
      </c>
      <c r="C2278" s="6" t="s">
        <v>19</v>
      </c>
      <c r="D2278" s="7">
        <v>89.309997999999993</v>
      </c>
      <c r="E2278" s="7">
        <v>85.046175000000005</v>
      </c>
      <c r="F2278" s="7">
        <v>90.970000999999996</v>
      </c>
      <c r="G2278" s="7">
        <v>88.93</v>
      </c>
      <c r="H2278" s="8">
        <f t="shared" si="36"/>
        <v>-7.918389196140933E-3</v>
      </c>
    </row>
    <row r="2279" spans="2:8" x14ac:dyDescent="0.2">
      <c r="B2279" s="5">
        <v>44575</v>
      </c>
      <c r="C2279" s="6" t="s">
        <v>19</v>
      </c>
      <c r="D2279" s="7">
        <v>86.610000999999997</v>
      </c>
      <c r="E2279" s="7">
        <v>82.475081000000003</v>
      </c>
      <c r="F2279" s="7">
        <v>88.519997000000004</v>
      </c>
      <c r="G2279" s="7">
        <v>86.5</v>
      </c>
      <c r="H2279" s="8">
        <f t="shared" si="36"/>
        <v>-3.0698145055601554E-2</v>
      </c>
    </row>
    <row r="2280" spans="2:8" x14ac:dyDescent="0.2">
      <c r="B2280" s="5">
        <v>44576</v>
      </c>
      <c r="C2280" s="6" t="s">
        <v>19</v>
      </c>
      <c r="D2280" s="7">
        <v>87.379997000000003</v>
      </c>
      <c r="E2280" s="7">
        <v>83.208315999999996</v>
      </c>
      <c r="F2280" s="7">
        <v>87.779999000000004</v>
      </c>
      <c r="G2280" s="7">
        <v>86.699996999999996</v>
      </c>
      <c r="H2280" s="8">
        <f t="shared" si="36"/>
        <v>8.8510955254236332E-3</v>
      </c>
    </row>
    <row r="2281" spans="2:8" x14ac:dyDescent="0.2">
      <c r="B2281" s="5">
        <v>44577</v>
      </c>
      <c r="C2281" s="6" t="s">
        <v>19</v>
      </c>
      <c r="D2281" s="7">
        <v>86.769997000000004</v>
      </c>
      <c r="E2281" s="7">
        <v>82.627437999999998</v>
      </c>
      <c r="F2281" s="7">
        <v>87.459998999999996</v>
      </c>
      <c r="G2281" s="7">
        <v>86.230002999999996</v>
      </c>
      <c r="H2281" s="8">
        <f t="shared" si="36"/>
        <v>-7.0054902109792866E-3</v>
      </c>
    </row>
    <row r="2282" spans="2:8" x14ac:dyDescent="0.2">
      <c r="B2282" s="5">
        <v>44581</v>
      </c>
      <c r="C2282" s="6" t="s">
        <v>19</v>
      </c>
      <c r="D2282" s="7">
        <v>86.690002000000007</v>
      </c>
      <c r="E2282" s="7">
        <v>82.551263000000006</v>
      </c>
      <c r="F2282" s="7">
        <v>87.699996999999996</v>
      </c>
      <c r="G2282" s="7">
        <v>85.550003000000004</v>
      </c>
      <c r="H2282" s="8">
        <f t="shared" si="36"/>
        <v>-9.2233447701193638E-4</v>
      </c>
    </row>
    <row r="2283" spans="2:8" x14ac:dyDescent="0.2">
      <c r="B2283" s="5">
        <v>44582</v>
      </c>
      <c r="C2283" s="6" t="s">
        <v>19</v>
      </c>
      <c r="D2283" s="7">
        <v>86.639999000000003</v>
      </c>
      <c r="E2283" s="7">
        <v>82.503647000000001</v>
      </c>
      <c r="F2283" s="7">
        <v>86.910004000000001</v>
      </c>
      <c r="G2283" s="7">
        <v>85.709998999999996</v>
      </c>
      <c r="H2283" s="8">
        <f t="shared" si="36"/>
        <v>-5.7697164320568057E-4</v>
      </c>
    </row>
    <row r="2284" spans="2:8" x14ac:dyDescent="0.2">
      <c r="B2284" s="5">
        <v>44583</v>
      </c>
      <c r="C2284" s="6" t="s">
        <v>19</v>
      </c>
      <c r="D2284" s="7">
        <v>88.300003000000004</v>
      </c>
      <c r="E2284" s="7">
        <v>84.084399000000005</v>
      </c>
      <c r="F2284" s="7">
        <v>88.400002000000001</v>
      </c>
      <c r="G2284" s="7">
        <v>86.860000999999997</v>
      </c>
      <c r="H2284" s="8">
        <f t="shared" si="36"/>
        <v>1.897854599570142E-2</v>
      </c>
    </row>
    <row r="2285" spans="2:8" x14ac:dyDescent="0.2">
      <c r="B2285" s="5">
        <v>44584</v>
      </c>
      <c r="C2285" s="6" t="s">
        <v>19</v>
      </c>
      <c r="D2285" s="7">
        <v>88.510002</v>
      </c>
      <c r="E2285" s="7">
        <v>84.284373000000002</v>
      </c>
      <c r="F2285" s="7">
        <v>89.260002</v>
      </c>
      <c r="G2285" s="7">
        <v>87.889999000000003</v>
      </c>
      <c r="H2285" s="8">
        <f t="shared" si="36"/>
        <v>2.3754297386241277E-3</v>
      </c>
    </row>
    <row r="2286" spans="2:8" x14ac:dyDescent="0.2">
      <c r="B2286" s="5">
        <v>44587</v>
      </c>
      <c r="C2286" s="6" t="s">
        <v>19</v>
      </c>
      <c r="D2286" s="7">
        <v>88.629997000000003</v>
      </c>
      <c r="E2286" s="7">
        <v>84.398639000000003</v>
      </c>
      <c r="F2286" s="7">
        <v>89.160004000000001</v>
      </c>
      <c r="G2286" s="7">
        <v>88.120002999999997</v>
      </c>
      <c r="H2286" s="8">
        <f t="shared" si="36"/>
        <v>1.3548017209677762E-3</v>
      </c>
    </row>
    <row r="2287" spans="2:8" x14ac:dyDescent="0.2">
      <c r="B2287" s="5">
        <v>44588</v>
      </c>
      <c r="C2287" s="6" t="s">
        <v>19</v>
      </c>
      <c r="D2287" s="7">
        <v>87.529999000000004</v>
      </c>
      <c r="E2287" s="7">
        <v>83.351156000000003</v>
      </c>
      <c r="F2287" s="7">
        <v>88.459998999999996</v>
      </c>
      <c r="G2287" s="7">
        <v>87.260002</v>
      </c>
      <c r="H2287" s="8">
        <f t="shared" si="36"/>
        <v>-1.2488797552694636E-2</v>
      </c>
    </row>
    <row r="2288" spans="2:8" x14ac:dyDescent="0.2">
      <c r="B2288" s="5">
        <v>44589</v>
      </c>
      <c r="C2288" s="6" t="s">
        <v>19</v>
      </c>
      <c r="D2288" s="7">
        <v>86.82</v>
      </c>
      <c r="E2288" s="7">
        <v>82.675054000000003</v>
      </c>
      <c r="F2288" s="7">
        <v>88.230002999999996</v>
      </c>
      <c r="G2288" s="7">
        <v>86.769997000000004</v>
      </c>
      <c r="H2288" s="8">
        <f t="shared" si="36"/>
        <v>-8.1445662991740334E-3</v>
      </c>
    </row>
    <row r="2289" spans="2:8" x14ac:dyDescent="0.2">
      <c r="B2289" s="5">
        <v>44590</v>
      </c>
      <c r="C2289" s="6" t="s">
        <v>19</v>
      </c>
      <c r="D2289" s="7">
        <v>87.720000999999996</v>
      </c>
      <c r="E2289" s="7">
        <v>83.532088000000002</v>
      </c>
      <c r="F2289" s="7">
        <v>87.720000999999996</v>
      </c>
      <c r="G2289" s="7">
        <v>86.269997000000004</v>
      </c>
      <c r="H2289" s="8">
        <f t="shared" si="36"/>
        <v>1.0312933434851396E-2</v>
      </c>
    </row>
    <row r="2290" spans="2:8" x14ac:dyDescent="0.2">
      <c r="B2290" s="5">
        <v>44591</v>
      </c>
      <c r="C2290" s="6" t="s">
        <v>19</v>
      </c>
      <c r="D2290" s="7">
        <v>84.980002999999996</v>
      </c>
      <c r="E2290" s="7">
        <v>80.922901999999993</v>
      </c>
      <c r="F2290" s="7">
        <v>87.360000999999997</v>
      </c>
      <c r="G2290" s="7">
        <v>84.900002000000001</v>
      </c>
      <c r="H2290" s="8">
        <f t="shared" si="36"/>
        <v>-3.1733971225634323E-2</v>
      </c>
    </row>
    <row r="2291" spans="2:8" x14ac:dyDescent="0.2">
      <c r="B2291" s="5">
        <v>44594</v>
      </c>
      <c r="C2291" s="6" t="s">
        <v>19</v>
      </c>
      <c r="D2291" s="7">
        <v>85.709998999999996</v>
      </c>
      <c r="E2291" s="7">
        <v>81.618047000000004</v>
      </c>
      <c r="F2291" s="7">
        <v>85.870002999999997</v>
      </c>
      <c r="G2291" s="7">
        <v>83.93</v>
      </c>
      <c r="H2291" s="8">
        <f t="shared" si="36"/>
        <v>8.5535274957240347E-3</v>
      </c>
    </row>
    <row r="2292" spans="2:8" x14ac:dyDescent="0.2">
      <c r="B2292" s="5">
        <v>44595</v>
      </c>
      <c r="C2292" s="6" t="s">
        <v>19</v>
      </c>
      <c r="D2292" s="7">
        <v>86.190002000000007</v>
      </c>
      <c r="E2292" s="7">
        <v>82.075134000000006</v>
      </c>
      <c r="F2292" s="7">
        <v>86.529999000000004</v>
      </c>
      <c r="G2292" s="7">
        <v>85.660004000000001</v>
      </c>
      <c r="H2292" s="8">
        <f t="shared" si="36"/>
        <v>5.5846943068370838E-3</v>
      </c>
    </row>
    <row r="2293" spans="2:8" x14ac:dyDescent="0.2">
      <c r="B2293" s="5">
        <v>44596</v>
      </c>
      <c r="C2293" s="6" t="s">
        <v>19</v>
      </c>
      <c r="D2293" s="7">
        <v>86.650002000000001</v>
      </c>
      <c r="E2293" s="7">
        <v>82.513171999999997</v>
      </c>
      <c r="F2293" s="7">
        <v>87.040001000000004</v>
      </c>
      <c r="G2293" s="7">
        <v>86</v>
      </c>
      <c r="H2293" s="8">
        <f t="shared" si="36"/>
        <v>5.3228451629128469E-3</v>
      </c>
    </row>
    <row r="2294" spans="2:8" x14ac:dyDescent="0.2">
      <c r="B2294" s="5">
        <v>44597</v>
      </c>
      <c r="C2294" s="6" t="s">
        <v>19</v>
      </c>
      <c r="D2294" s="7">
        <v>87.279999000000004</v>
      </c>
      <c r="E2294" s="7">
        <v>83.113091999999995</v>
      </c>
      <c r="F2294" s="7">
        <v>87.360000999999997</v>
      </c>
      <c r="G2294" s="7">
        <v>86.559997999999993</v>
      </c>
      <c r="H2294" s="8">
        <f t="shared" si="36"/>
        <v>7.2442933765282779E-3</v>
      </c>
    </row>
    <row r="2295" spans="2:8" x14ac:dyDescent="0.2">
      <c r="B2295" s="5">
        <v>44598</v>
      </c>
      <c r="C2295" s="6" t="s">
        <v>19</v>
      </c>
      <c r="D2295" s="7">
        <v>87.330001999999993</v>
      </c>
      <c r="E2295" s="7">
        <v>83.160708</v>
      </c>
      <c r="F2295" s="7">
        <v>88</v>
      </c>
      <c r="G2295" s="7">
        <v>86.779999000000004</v>
      </c>
      <c r="H2295" s="8">
        <f t="shared" si="36"/>
        <v>5.7274208325833176E-4</v>
      </c>
    </row>
    <row r="2296" spans="2:8" x14ac:dyDescent="0.2">
      <c r="B2296" s="5">
        <v>44601</v>
      </c>
      <c r="C2296" s="6" t="s">
        <v>19</v>
      </c>
      <c r="D2296" s="7">
        <v>85.910004000000001</v>
      </c>
      <c r="E2296" s="7">
        <v>81.808503000000002</v>
      </c>
      <c r="F2296" s="7">
        <v>87.190002000000007</v>
      </c>
      <c r="G2296" s="7">
        <v>85.639999000000003</v>
      </c>
      <c r="H2296" s="8">
        <f t="shared" si="36"/>
        <v>-1.6393789800413412E-2</v>
      </c>
    </row>
    <row r="2297" spans="2:8" x14ac:dyDescent="0.2">
      <c r="B2297" s="5">
        <v>44602</v>
      </c>
      <c r="C2297" s="6" t="s">
        <v>19</v>
      </c>
      <c r="D2297" s="7">
        <v>87.290001000000004</v>
      </c>
      <c r="E2297" s="7">
        <v>83.122617000000005</v>
      </c>
      <c r="F2297" s="7">
        <v>87.410004000000001</v>
      </c>
      <c r="G2297" s="7">
        <v>86.419998000000007</v>
      </c>
      <c r="H2297" s="8">
        <f t="shared" si="36"/>
        <v>1.5935644034248842E-2</v>
      </c>
    </row>
    <row r="2298" spans="2:8" x14ac:dyDescent="0.2">
      <c r="B2298" s="5">
        <v>44603</v>
      </c>
      <c r="C2298" s="6" t="s">
        <v>19</v>
      </c>
      <c r="D2298" s="7">
        <v>86.339995999999999</v>
      </c>
      <c r="E2298" s="7">
        <v>82.217967000000002</v>
      </c>
      <c r="F2298" s="7">
        <v>87.120002999999997</v>
      </c>
      <c r="G2298" s="7">
        <v>85.919998000000007</v>
      </c>
      <c r="H2298" s="8">
        <f t="shared" si="36"/>
        <v>-1.0942976075843868E-2</v>
      </c>
    </row>
    <row r="2299" spans="2:8" x14ac:dyDescent="0.2">
      <c r="B2299" s="5">
        <v>44604</v>
      </c>
      <c r="C2299" s="6" t="s">
        <v>19</v>
      </c>
      <c r="D2299" s="7">
        <v>85.889999000000003</v>
      </c>
      <c r="E2299" s="7">
        <v>81.789454000000006</v>
      </c>
      <c r="F2299" s="7">
        <v>86.68</v>
      </c>
      <c r="G2299" s="7">
        <v>85.230002999999996</v>
      </c>
      <c r="H2299" s="8">
        <f t="shared" si="36"/>
        <v>-5.2255437281933338E-3</v>
      </c>
    </row>
    <row r="2300" spans="2:8" x14ac:dyDescent="0.2">
      <c r="B2300" s="5">
        <v>44605</v>
      </c>
      <c r="C2300" s="6" t="s">
        <v>19</v>
      </c>
      <c r="D2300" s="7">
        <v>85.809997999999993</v>
      </c>
      <c r="E2300" s="7">
        <v>81.713271000000006</v>
      </c>
      <c r="F2300" s="7">
        <v>86.160004000000001</v>
      </c>
      <c r="G2300" s="7">
        <v>85.32</v>
      </c>
      <c r="H2300" s="8">
        <f t="shared" si="36"/>
        <v>-9.3188667666783682E-4</v>
      </c>
    </row>
    <row r="2301" spans="2:8" x14ac:dyDescent="0.2">
      <c r="B2301" s="5">
        <v>44609</v>
      </c>
      <c r="C2301" s="6" t="s">
        <v>19</v>
      </c>
      <c r="D2301" s="7">
        <v>85.959998999999996</v>
      </c>
      <c r="E2301" s="7">
        <v>81.856110999999999</v>
      </c>
      <c r="F2301" s="7">
        <v>85.970000999999996</v>
      </c>
      <c r="G2301" s="7">
        <v>84.970000999999996</v>
      </c>
      <c r="H2301" s="8">
        <f t="shared" si="36"/>
        <v>1.7465375801179292E-3</v>
      </c>
    </row>
    <row r="2302" spans="2:8" x14ac:dyDescent="0.2">
      <c r="B2302" s="5">
        <v>44610</v>
      </c>
      <c r="C2302" s="6" t="s">
        <v>19</v>
      </c>
      <c r="D2302" s="7">
        <v>86.290001000000004</v>
      </c>
      <c r="E2302" s="7">
        <v>82.170357999999993</v>
      </c>
      <c r="F2302" s="7">
        <v>86.300003000000004</v>
      </c>
      <c r="G2302" s="7">
        <v>85.519997000000004</v>
      </c>
      <c r="H2302" s="8">
        <f t="shared" si="36"/>
        <v>3.8316667594968583E-3</v>
      </c>
    </row>
    <row r="2303" spans="2:8" x14ac:dyDescent="0.2">
      <c r="B2303" s="5">
        <v>44611</v>
      </c>
      <c r="C2303" s="6" t="s">
        <v>19</v>
      </c>
      <c r="D2303" s="7">
        <v>83.519997000000004</v>
      </c>
      <c r="E2303" s="7">
        <v>79.532599000000005</v>
      </c>
      <c r="F2303" s="7">
        <v>84.800003000000004</v>
      </c>
      <c r="G2303" s="7">
        <v>83.389999000000003</v>
      </c>
      <c r="H2303" s="8">
        <f t="shared" si="36"/>
        <v>-3.2627640827733249E-2</v>
      </c>
    </row>
    <row r="2304" spans="2:8" x14ac:dyDescent="0.2">
      <c r="B2304" s="5">
        <v>44612</v>
      </c>
      <c r="C2304" s="6" t="s">
        <v>19</v>
      </c>
      <c r="D2304" s="7">
        <v>84.300003000000004</v>
      </c>
      <c r="E2304" s="7">
        <v>80.275367000000003</v>
      </c>
      <c r="F2304" s="7">
        <v>84.379997000000003</v>
      </c>
      <c r="G2304" s="7">
        <v>82.550003000000004</v>
      </c>
      <c r="H2304" s="8">
        <f t="shared" si="36"/>
        <v>9.2958238225212993E-3</v>
      </c>
    </row>
    <row r="2305" spans="2:8" x14ac:dyDescent="0.2">
      <c r="B2305" s="5">
        <v>44615</v>
      </c>
      <c r="C2305" s="6" t="s">
        <v>19</v>
      </c>
      <c r="D2305" s="7">
        <v>84.599997999999999</v>
      </c>
      <c r="E2305" s="7">
        <v>80.561040000000006</v>
      </c>
      <c r="F2305" s="7">
        <v>84.860000999999997</v>
      </c>
      <c r="G2305" s="7">
        <v>84.230002999999996</v>
      </c>
      <c r="H2305" s="8">
        <f t="shared" si="36"/>
        <v>3.5523462099324768E-3</v>
      </c>
    </row>
    <row r="2306" spans="2:8" x14ac:dyDescent="0.2">
      <c r="B2306" s="5">
        <v>44616</v>
      </c>
      <c r="C2306" s="6" t="s">
        <v>19</v>
      </c>
      <c r="D2306" s="7">
        <v>84.57</v>
      </c>
      <c r="E2306" s="7">
        <v>80.532472999999996</v>
      </c>
      <c r="F2306" s="7">
        <v>84.82</v>
      </c>
      <c r="G2306" s="7">
        <v>83.919998000000007</v>
      </c>
      <c r="H2306" s="8">
        <f t="shared" si="36"/>
        <v>-3.5466357108318835E-4</v>
      </c>
    </row>
    <row r="2307" spans="2:8" x14ac:dyDescent="0.2">
      <c r="B2307" s="5">
        <v>44617</v>
      </c>
      <c r="C2307" s="6" t="s">
        <v>19</v>
      </c>
      <c r="D2307" s="7">
        <v>83.57</v>
      </c>
      <c r="E2307" s="7">
        <v>79.580214999999995</v>
      </c>
      <c r="F2307" s="7">
        <v>84.720000999999996</v>
      </c>
      <c r="G2307" s="7">
        <v>83.519997000000004</v>
      </c>
      <c r="H2307" s="8">
        <f t="shared" si="36"/>
        <v>-1.1894987709494077E-2</v>
      </c>
    </row>
    <row r="2308" spans="2:8" x14ac:dyDescent="0.2">
      <c r="B2308" s="5">
        <v>44618</v>
      </c>
      <c r="C2308" s="6" t="s">
        <v>19</v>
      </c>
      <c r="D2308" s="7">
        <v>83.800003000000004</v>
      </c>
      <c r="E2308" s="7">
        <v>79.799238000000003</v>
      </c>
      <c r="F2308" s="7">
        <v>83.860000999999997</v>
      </c>
      <c r="G2308" s="7">
        <v>83.269997000000004</v>
      </c>
      <c r="H2308" s="8">
        <f t="shared" ref="H2308:H2371" si="37">IF(C2308=C2307, LN(E2308/E2307), "")</f>
        <v>2.7484488590187135E-3</v>
      </c>
    </row>
    <row r="2309" spans="2:8" x14ac:dyDescent="0.2">
      <c r="B2309" s="5">
        <v>44619</v>
      </c>
      <c r="C2309" s="6" t="s">
        <v>19</v>
      </c>
      <c r="D2309" s="7">
        <v>83.93</v>
      </c>
      <c r="E2309" s="7">
        <v>79.923028000000002</v>
      </c>
      <c r="F2309" s="7">
        <v>84.160004000000001</v>
      </c>
      <c r="G2309" s="7">
        <v>83.400002000000001</v>
      </c>
      <c r="H2309" s="8">
        <f t="shared" si="37"/>
        <v>1.5500659724662915E-3</v>
      </c>
    </row>
    <row r="2310" spans="2:8" x14ac:dyDescent="0.2">
      <c r="B2310" s="5">
        <v>44622</v>
      </c>
      <c r="C2310" s="6" t="s">
        <v>19</v>
      </c>
      <c r="D2310" s="7">
        <v>83.959998999999996</v>
      </c>
      <c r="E2310" s="7">
        <v>79.951594999999998</v>
      </c>
      <c r="F2310" s="7">
        <v>84</v>
      </c>
      <c r="G2310" s="7">
        <v>83.199996999999996</v>
      </c>
      <c r="H2310" s="8">
        <f t="shared" si="37"/>
        <v>3.5736753923761797E-4</v>
      </c>
    </row>
    <row r="2311" spans="2:8" x14ac:dyDescent="0.2">
      <c r="B2311" s="5">
        <v>44623</v>
      </c>
      <c r="C2311" s="6" t="s">
        <v>19</v>
      </c>
      <c r="D2311" s="7">
        <v>83.370002999999997</v>
      </c>
      <c r="E2311" s="7">
        <v>79.389765999999995</v>
      </c>
      <c r="F2311" s="7">
        <v>83.82</v>
      </c>
      <c r="G2311" s="7">
        <v>83.169998000000007</v>
      </c>
      <c r="H2311" s="8">
        <f t="shared" si="37"/>
        <v>-7.0519207915105677E-3</v>
      </c>
    </row>
    <row r="2312" spans="2:8" x14ac:dyDescent="0.2">
      <c r="B2312" s="5">
        <v>44624</v>
      </c>
      <c r="C2312" s="6" t="s">
        <v>19</v>
      </c>
      <c r="D2312" s="7">
        <v>82.580001999999993</v>
      </c>
      <c r="E2312" s="7">
        <v>78.637480999999994</v>
      </c>
      <c r="F2312" s="7">
        <v>83.209998999999996</v>
      </c>
      <c r="G2312" s="7">
        <v>82.199996999999996</v>
      </c>
      <c r="H2312" s="8">
        <f t="shared" si="37"/>
        <v>-9.5210249770718864E-3</v>
      </c>
    </row>
    <row r="2313" spans="2:8" x14ac:dyDescent="0.2">
      <c r="B2313" s="5">
        <v>44625</v>
      </c>
      <c r="C2313" s="6" t="s">
        <v>19</v>
      </c>
      <c r="D2313" s="7">
        <v>83.57</v>
      </c>
      <c r="E2313" s="7">
        <v>79.580214999999995</v>
      </c>
      <c r="F2313" s="7">
        <v>83.870002999999997</v>
      </c>
      <c r="G2313" s="7">
        <v>82.959998999999996</v>
      </c>
      <c r="H2313" s="8">
        <f t="shared" si="37"/>
        <v>1.1917063397859959E-2</v>
      </c>
    </row>
    <row r="2314" spans="2:8" x14ac:dyDescent="0.2">
      <c r="B2314" s="5">
        <v>44626</v>
      </c>
      <c r="C2314" s="6" t="s">
        <v>19</v>
      </c>
      <c r="D2314" s="7">
        <v>82.589995999999999</v>
      </c>
      <c r="E2314" s="7">
        <v>78.646998999999994</v>
      </c>
      <c r="F2314" s="7">
        <v>83.099997999999999</v>
      </c>
      <c r="G2314" s="7">
        <v>82.379997000000003</v>
      </c>
      <c r="H2314" s="8">
        <f t="shared" si="37"/>
        <v>-1.1796034291725434E-2</v>
      </c>
    </row>
    <row r="2315" spans="2:8" x14ac:dyDescent="0.2">
      <c r="B2315" s="5">
        <v>44629</v>
      </c>
      <c r="C2315" s="6" t="s">
        <v>19</v>
      </c>
      <c r="D2315" s="7">
        <v>82.879997000000003</v>
      </c>
      <c r="E2315" s="7">
        <v>78.923153999999997</v>
      </c>
      <c r="F2315" s="7">
        <v>83.339995999999999</v>
      </c>
      <c r="G2315" s="7">
        <v>82.540001000000004</v>
      </c>
      <c r="H2315" s="8">
        <f t="shared" si="37"/>
        <v>3.5051724896406097E-3</v>
      </c>
    </row>
    <row r="2316" spans="2:8" x14ac:dyDescent="0.2">
      <c r="B2316" s="5">
        <v>44630</v>
      </c>
      <c r="C2316" s="6" t="s">
        <v>19</v>
      </c>
      <c r="D2316" s="7">
        <v>82.07</v>
      </c>
      <c r="E2316" s="7">
        <v>78.151827999999995</v>
      </c>
      <c r="F2316" s="7">
        <v>82.5</v>
      </c>
      <c r="G2316" s="7">
        <v>82.07</v>
      </c>
      <c r="H2316" s="8">
        <f t="shared" si="37"/>
        <v>-9.8211973680587625E-3</v>
      </c>
    </row>
    <row r="2317" spans="2:8" x14ac:dyDescent="0.2">
      <c r="B2317" s="5">
        <v>44631</v>
      </c>
      <c r="C2317" s="6" t="s">
        <v>19</v>
      </c>
      <c r="D2317" s="7">
        <v>80.690002000000007</v>
      </c>
      <c r="E2317" s="7">
        <v>77.299228999999997</v>
      </c>
      <c r="F2317" s="7">
        <v>81.970000999999996</v>
      </c>
      <c r="G2317" s="7">
        <v>80.540001000000004</v>
      </c>
      <c r="H2317" s="8">
        <f t="shared" si="37"/>
        <v>-1.0969466091974049E-2</v>
      </c>
    </row>
    <row r="2318" spans="2:8" x14ac:dyDescent="0.2">
      <c r="B2318" s="5">
        <v>44632</v>
      </c>
      <c r="C2318" s="6" t="s">
        <v>19</v>
      </c>
      <c r="D2318" s="7">
        <v>81.900002000000001</v>
      </c>
      <c r="E2318" s="7">
        <v>78.458381000000003</v>
      </c>
      <c r="F2318" s="7">
        <v>82.120002999999997</v>
      </c>
      <c r="G2318" s="7">
        <v>80.779999000000004</v>
      </c>
      <c r="H2318" s="8">
        <f t="shared" si="37"/>
        <v>1.4884324433324521E-2</v>
      </c>
    </row>
    <row r="2319" spans="2:8" x14ac:dyDescent="0.2">
      <c r="B2319" s="5">
        <v>44633</v>
      </c>
      <c r="C2319" s="6" t="s">
        <v>19</v>
      </c>
      <c r="D2319" s="7">
        <v>81.900002000000001</v>
      </c>
      <c r="E2319" s="7">
        <v>78.458381000000003</v>
      </c>
      <c r="F2319" s="7">
        <v>82.25</v>
      </c>
      <c r="G2319" s="7">
        <v>81.290001000000004</v>
      </c>
      <c r="H2319" s="8">
        <f t="shared" si="37"/>
        <v>0</v>
      </c>
    </row>
    <row r="2320" spans="2:8" x14ac:dyDescent="0.2">
      <c r="B2320" s="5">
        <v>44636</v>
      </c>
      <c r="C2320" s="6" t="s">
        <v>19</v>
      </c>
      <c r="D2320" s="7">
        <v>83.290001000000004</v>
      </c>
      <c r="E2320" s="7">
        <v>79.789968999999999</v>
      </c>
      <c r="F2320" s="7">
        <v>83.370002999999997</v>
      </c>
      <c r="G2320" s="7">
        <v>82.440002000000007</v>
      </c>
      <c r="H2320" s="8">
        <f t="shared" si="37"/>
        <v>1.6829488950069457E-2</v>
      </c>
    </row>
    <row r="2321" spans="2:8" x14ac:dyDescent="0.2">
      <c r="B2321" s="5">
        <v>44637</v>
      </c>
      <c r="C2321" s="6" t="s">
        <v>19</v>
      </c>
      <c r="D2321" s="7">
        <v>82.620002999999997</v>
      </c>
      <c r="E2321" s="7">
        <v>79.148126000000005</v>
      </c>
      <c r="F2321" s="7">
        <v>83.010002</v>
      </c>
      <c r="G2321" s="7">
        <v>82.239998</v>
      </c>
      <c r="H2321" s="8">
        <f t="shared" si="37"/>
        <v>-8.0766853170095767E-3</v>
      </c>
    </row>
    <row r="2322" spans="2:8" x14ac:dyDescent="0.2">
      <c r="B2322" s="5">
        <v>44638</v>
      </c>
      <c r="C2322" s="6" t="s">
        <v>19</v>
      </c>
      <c r="D2322" s="7">
        <v>82.529999000000004</v>
      </c>
      <c r="E2322" s="7">
        <v>79.061903999999998</v>
      </c>
      <c r="F2322" s="7">
        <v>82.959998999999996</v>
      </c>
      <c r="G2322" s="7">
        <v>81.160004000000001</v>
      </c>
      <c r="H2322" s="8">
        <f t="shared" si="37"/>
        <v>-1.0899689297348939E-3</v>
      </c>
    </row>
    <row r="2323" spans="2:8" x14ac:dyDescent="0.2">
      <c r="B2323" s="5">
        <v>44639</v>
      </c>
      <c r="C2323" s="6" t="s">
        <v>19</v>
      </c>
      <c r="D2323" s="7">
        <v>81.519997000000004</v>
      </c>
      <c r="E2323" s="7">
        <v>78.094345000000004</v>
      </c>
      <c r="F2323" s="7">
        <v>82.440002000000007</v>
      </c>
      <c r="G2323" s="7">
        <v>81.370002999999997</v>
      </c>
      <c r="H2323" s="8">
        <f t="shared" si="37"/>
        <v>-1.2313493499684844E-2</v>
      </c>
    </row>
    <row r="2324" spans="2:8" x14ac:dyDescent="0.2">
      <c r="B2324" s="5">
        <v>44640</v>
      </c>
      <c r="C2324" s="6" t="s">
        <v>19</v>
      </c>
      <c r="D2324" s="7">
        <v>83.239998</v>
      </c>
      <c r="E2324" s="7">
        <v>79.742068000000003</v>
      </c>
      <c r="F2324" s="7">
        <v>83.489998</v>
      </c>
      <c r="G2324" s="7">
        <v>81.709998999999996</v>
      </c>
      <c r="H2324" s="8">
        <f t="shared" si="37"/>
        <v>2.0879628849531883E-2</v>
      </c>
    </row>
    <row r="2325" spans="2:8" x14ac:dyDescent="0.2">
      <c r="B2325" s="5">
        <v>44643</v>
      </c>
      <c r="C2325" s="6" t="s">
        <v>19</v>
      </c>
      <c r="D2325" s="7">
        <v>83.309997999999993</v>
      </c>
      <c r="E2325" s="7">
        <v>79.809126000000006</v>
      </c>
      <c r="F2325" s="7">
        <v>83.900002000000001</v>
      </c>
      <c r="G2325" s="7">
        <v>83.120002999999997</v>
      </c>
      <c r="H2325" s="8">
        <f t="shared" si="37"/>
        <v>8.405829159573089E-4</v>
      </c>
    </row>
    <row r="2326" spans="2:8" x14ac:dyDescent="0.2">
      <c r="B2326" s="5">
        <v>44644</v>
      </c>
      <c r="C2326" s="6" t="s">
        <v>19</v>
      </c>
      <c r="D2326" s="7">
        <v>83.050003000000004</v>
      </c>
      <c r="E2326" s="7">
        <v>79.560057</v>
      </c>
      <c r="F2326" s="7">
        <v>83.709998999999996</v>
      </c>
      <c r="G2326" s="7">
        <v>82.959998999999996</v>
      </c>
      <c r="H2326" s="8">
        <f t="shared" si="37"/>
        <v>-3.1256883933721957E-3</v>
      </c>
    </row>
    <row r="2327" spans="2:8" x14ac:dyDescent="0.2">
      <c r="B2327" s="5">
        <v>44645</v>
      </c>
      <c r="C2327" s="6" t="s">
        <v>19</v>
      </c>
      <c r="D2327" s="7">
        <v>81.319999999999993</v>
      </c>
      <c r="E2327" s="7">
        <v>77.902752000000007</v>
      </c>
      <c r="F2327" s="7">
        <v>83.25</v>
      </c>
      <c r="G2327" s="7">
        <v>81.309997999999993</v>
      </c>
      <c r="H2327" s="8">
        <f t="shared" si="37"/>
        <v>-2.1050890830483233E-2</v>
      </c>
    </row>
    <row r="2328" spans="2:8" x14ac:dyDescent="0.2">
      <c r="B2328" s="5">
        <v>44646</v>
      </c>
      <c r="C2328" s="6" t="s">
        <v>19</v>
      </c>
      <c r="D2328" s="7">
        <v>81.889999000000003</v>
      </c>
      <c r="E2328" s="7">
        <v>78.448798999999994</v>
      </c>
      <c r="F2328" s="7">
        <v>82.309997999999993</v>
      </c>
      <c r="G2328" s="7">
        <v>80.650002000000001</v>
      </c>
      <c r="H2328" s="8">
        <f t="shared" si="37"/>
        <v>6.9848903523165549E-3</v>
      </c>
    </row>
    <row r="2329" spans="2:8" x14ac:dyDescent="0.2">
      <c r="B2329" s="5">
        <v>44647</v>
      </c>
      <c r="C2329" s="6" t="s">
        <v>19</v>
      </c>
      <c r="D2329" s="7">
        <v>81.349997999999999</v>
      </c>
      <c r="E2329" s="7">
        <v>77.931489999999997</v>
      </c>
      <c r="F2329" s="7">
        <v>82.18</v>
      </c>
      <c r="G2329" s="7">
        <v>81.25</v>
      </c>
      <c r="H2329" s="8">
        <f t="shared" si="37"/>
        <v>-6.6160625522523088E-3</v>
      </c>
    </row>
    <row r="2330" spans="2:8" x14ac:dyDescent="0.2">
      <c r="B2330" s="5">
        <v>44650</v>
      </c>
      <c r="C2330" s="6" t="s">
        <v>19</v>
      </c>
      <c r="D2330" s="7">
        <v>82.529999000000004</v>
      </c>
      <c r="E2330" s="7">
        <v>79.061903999999998</v>
      </c>
      <c r="F2330" s="7">
        <v>82.800003000000004</v>
      </c>
      <c r="G2330" s="7">
        <v>81.430000000000007</v>
      </c>
      <c r="H2330" s="8">
        <f t="shared" si="37"/>
        <v>1.4401033157986871E-2</v>
      </c>
    </row>
    <row r="2331" spans="2:8" x14ac:dyDescent="0.2">
      <c r="B2331" s="5">
        <v>44651</v>
      </c>
      <c r="C2331" s="6" t="s">
        <v>19</v>
      </c>
      <c r="D2331" s="7">
        <v>82.25</v>
      </c>
      <c r="E2331" s="7">
        <v>78.793672000000001</v>
      </c>
      <c r="F2331" s="7">
        <v>83.040001000000004</v>
      </c>
      <c r="G2331" s="7">
        <v>82.25</v>
      </c>
      <c r="H2331" s="8">
        <f t="shared" si="37"/>
        <v>-3.3984514827839559E-3</v>
      </c>
    </row>
    <row r="2332" spans="2:8" x14ac:dyDescent="0.2">
      <c r="B2332" s="5">
        <v>44652</v>
      </c>
      <c r="C2332" s="6" t="s">
        <v>19</v>
      </c>
      <c r="D2332" s="7">
        <v>80.709998999999996</v>
      </c>
      <c r="E2332" s="7">
        <v>77.318385000000006</v>
      </c>
      <c r="F2332" s="7">
        <v>82.279999000000004</v>
      </c>
      <c r="G2332" s="7">
        <v>80.430000000000007</v>
      </c>
      <c r="H2332" s="8">
        <f t="shared" si="37"/>
        <v>-1.8900922170666676E-2</v>
      </c>
    </row>
    <row r="2333" spans="2:8" x14ac:dyDescent="0.2">
      <c r="B2333" s="5">
        <v>44653</v>
      </c>
      <c r="C2333" s="6" t="s">
        <v>19</v>
      </c>
      <c r="D2333" s="7">
        <v>80.730002999999996</v>
      </c>
      <c r="E2333" s="7">
        <v>77.337548999999996</v>
      </c>
      <c r="F2333" s="7">
        <v>81.319999999999993</v>
      </c>
      <c r="G2333" s="7">
        <v>80.550003000000004</v>
      </c>
      <c r="H2333" s="8">
        <f t="shared" si="37"/>
        <v>2.478275434045921E-4</v>
      </c>
    </row>
    <row r="2334" spans="2:8" x14ac:dyDescent="0.2">
      <c r="B2334" s="5">
        <v>44657</v>
      </c>
      <c r="C2334" s="6" t="s">
        <v>19</v>
      </c>
      <c r="D2334" s="7">
        <v>80.989998</v>
      </c>
      <c r="E2334" s="7">
        <v>77.586618000000001</v>
      </c>
      <c r="F2334" s="7">
        <v>81.330001999999993</v>
      </c>
      <c r="G2334" s="7">
        <v>80.150002000000001</v>
      </c>
      <c r="H2334" s="8">
        <f t="shared" si="37"/>
        <v>3.2153694211616408E-3</v>
      </c>
    </row>
    <row r="2335" spans="2:8" x14ac:dyDescent="0.2">
      <c r="B2335" s="5">
        <v>44658</v>
      </c>
      <c r="C2335" s="6" t="s">
        <v>19</v>
      </c>
      <c r="D2335" s="7">
        <v>80.5</v>
      </c>
      <c r="E2335" s="7">
        <v>77.117210999999998</v>
      </c>
      <c r="F2335" s="7">
        <v>81.290001000000004</v>
      </c>
      <c r="G2335" s="7">
        <v>80.459998999999996</v>
      </c>
      <c r="H2335" s="8">
        <f t="shared" si="37"/>
        <v>-6.0684786353659634E-3</v>
      </c>
    </row>
    <row r="2336" spans="2:8" x14ac:dyDescent="0.2">
      <c r="B2336" s="5">
        <v>44659</v>
      </c>
      <c r="C2336" s="6" t="s">
        <v>19</v>
      </c>
      <c r="D2336" s="7">
        <v>81.029999000000004</v>
      </c>
      <c r="E2336" s="7">
        <v>77.624938</v>
      </c>
      <c r="F2336" s="7">
        <v>81.230002999999996</v>
      </c>
      <c r="G2336" s="7">
        <v>80.360000999999997</v>
      </c>
      <c r="H2336" s="8">
        <f t="shared" si="37"/>
        <v>6.5622563123139159E-3</v>
      </c>
    </row>
    <row r="2337" spans="2:8" x14ac:dyDescent="0.2">
      <c r="B2337" s="5">
        <v>44660</v>
      </c>
      <c r="C2337" s="6" t="s">
        <v>19</v>
      </c>
      <c r="D2337" s="7">
        <v>80.839995999999999</v>
      </c>
      <c r="E2337" s="7">
        <v>77.442920000000001</v>
      </c>
      <c r="F2337" s="7">
        <v>81.389999000000003</v>
      </c>
      <c r="G2337" s="7">
        <v>80.580001999999993</v>
      </c>
      <c r="H2337" s="8">
        <f t="shared" si="37"/>
        <v>-2.3475926725531654E-3</v>
      </c>
    </row>
    <row r="2338" spans="2:8" x14ac:dyDescent="0.2">
      <c r="B2338" s="5">
        <v>44661</v>
      </c>
      <c r="C2338" s="6" t="s">
        <v>19</v>
      </c>
      <c r="D2338" s="7">
        <v>80.650002000000001</v>
      </c>
      <c r="E2338" s="7">
        <v>77.260908999999998</v>
      </c>
      <c r="F2338" s="7">
        <v>81</v>
      </c>
      <c r="G2338" s="7">
        <v>80.550003000000004</v>
      </c>
      <c r="H2338" s="8">
        <f t="shared" si="37"/>
        <v>-2.3530262328392885E-3</v>
      </c>
    </row>
    <row r="2339" spans="2:8" x14ac:dyDescent="0.2">
      <c r="B2339" s="5">
        <v>44664</v>
      </c>
      <c r="C2339" s="6" t="s">
        <v>19</v>
      </c>
      <c r="D2339" s="7">
        <v>80.290001000000004</v>
      </c>
      <c r="E2339" s="7">
        <v>76.916036000000005</v>
      </c>
      <c r="F2339" s="7">
        <v>80.919998000000007</v>
      </c>
      <c r="G2339" s="7">
        <v>80.269997000000004</v>
      </c>
      <c r="H2339" s="8">
        <f t="shared" si="37"/>
        <v>-4.473737304884904E-3</v>
      </c>
    </row>
    <row r="2340" spans="2:8" x14ac:dyDescent="0.2">
      <c r="B2340" s="5">
        <v>44665</v>
      </c>
      <c r="C2340" s="6" t="s">
        <v>19</v>
      </c>
      <c r="D2340" s="7">
        <v>80.150002000000001</v>
      </c>
      <c r="E2340" s="7">
        <v>76.78192</v>
      </c>
      <c r="F2340" s="7">
        <v>80.419998000000007</v>
      </c>
      <c r="G2340" s="7">
        <v>79.680000000000007</v>
      </c>
      <c r="H2340" s="8">
        <f t="shared" si="37"/>
        <v>-1.7451895591847123E-3</v>
      </c>
    </row>
    <row r="2341" spans="2:8" x14ac:dyDescent="0.2">
      <c r="B2341" s="5">
        <v>44666</v>
      </c>
      <c r="C2341" s="6" t="s">
        <v>19</v>
      </c>
      <c r="D2341" s="7">
        <v>79.739998</v>
      </c>
      <c r="E2341" s="7">
        <v>76.389144999999999</v>
      </c>
      <c r="F2341" s="7">
        <v>80.980002999999996</v>
      </c>
      <c r="G2341" s="7">
        <v>79.650002000000001</v>
      </c>
      <c r="H2341" s="8">
        <f t="shared" si="37"/>
        <v>-5.1285908459472633E-3</v>
      </c>
    </row>
    <row r="2342" spans="2:8" x14ac:dyDescent="0.2">
      <c r="B2342" s="5">
        <v>44667</v>
      </c>
      <c r="C2342" s="6" t="s">
        <v>19</v>
      </c>
      <c r="D2342" s="7">
        <v>79.239998</v>
      </c>
      <c r="E2342" s="7">
        <v>75.910156999999998</v>
      </c>
      <c r="F2342" s="7">
        <v>79.889999000000003</v>
      </c>
      <c r="G2342" s="7">
        <v>79.129997000000003</v>
      </c>
      <c r="H2342" s="8">
        <f t="shared" si="37"/>
        <v>-6.290108660917562E-3</v>
      </c>
    </row>
    <row r="2343" spans="2:8" x14ac:dyDescent="0.2">
      <c r="B2343" s="5">
        <v>44668</v>
      </c>
      <c r="C2343" s="6" t="s">
        <v>19</v>
      </c>
      <c r="D2343" s="7">
        <v>77.879997000000003</v>
      </c>
      <c r="E2343" s="7">
        <v>74.607305999999994</v>
      </c>
      <c r="F2343" s="7">
        <v>79.150002000000001</v>
      </c>
      <c r="G2343" s="7">
        <v>77.550003000000004</v>
      </c>
      <c r="H2343" s="8">
        <f t="shared" si="37"/>
        <v>-1.7312058194073575E-2</v>
      </c>
    </row>
    <row r="2344" spans="2:8" x14ac:dyDescent="0.2">
      <c r="B2344" s="5">
        <v>44671</v>
      </c>
      <c r="C2344" s="6" t="s">
        <v>19</v>
      </c>
      <c r="D2344" s="7">
        <v>78.139999000000003</v>
      </c>
      <c r="E2344" s="7">
        <v>74.856382999999994</v>
      </c>
      <c r="F2344" s="7">
        <v>78.830001999999993</v>
      </c>
      <c r="G2344" s="7">
        <v>78.019997000000004</v>
      </c>
      <c r="H2344" s="8">
        <f t="shared" si="37"/>
        <v>3.3329463796825383E-3</v>
      </c>
    </row>
    <row r="2345" spans="2:8" x14ac:dyDescent="0.2">
      <c r="B2345" s="5">
        <v>44672</v>
      </c>
      <c r="C2345" s="6" t="s">
        <v>19</v>
      </c>
      <c r="D2345" s="7">
        <v>78.029999000000004</v>
      </c>
      <c r="E2345" s="7">
        <v>74.751003999999995</v>
      </c>
      <c r="F2345" s="7">
        <v>78.839995999999999</v>
      </c>
      <c r="G2345" s="7">
        <v>77.910004000000001</v>
      </c>
      <c r="H2345" s="8">
        <f t="shared" si="37"/>
        <v>-1.4087408321287527E-3</v>
      </c>
    </row>
    <row r="2346" spans="2:8" x14ac:dyDescent="0.2">
      <c r="B2346" s="5">
        <v>44673</v>
      </c>
      <c r="C2346" s="6" t="s">
        <v>19</v>
      </c>
      <c r="D2346" s="7">
        <v>78.430000000000007</v>
      </c>
      <c r="E2346" s="7">
        <v>75.134197</v>
      </c>
      <c r="F2346" s="7">
        <v>78.639999000000003</v>
      </c>
      <c r="G2346" s="7">
        <v>77.550003000000004</v>
      </c>
      <c r="H2346" s="8">
        <f t="shared" si="37"/>
        <v>5.1131643725629778E-3</v>
      </c>
    </row>
    <row r="2347" spans="2:8" x14ac:dyDescent="0.2">
      <c r="B2347" s="5">
        <v>44674</v>
      </c>
      <c r="C2347" s="6" t="s">
        <v>19</v>
      </c>
      <c r="D2347" s="7">
        <v>79.180000000000007</v>
      </c>
      <c r="E2347" s="7">
        <v>75.852680000000007</v>
      </c>
      <c r="F2347" s="7">
        <v>79.540001000000004</v>
      </c>
      <c r="G2347" s="7">
        <v>78.199996999999996</v>
      </c>
      <c r="H2347" s="8">
        <f t="shared" si="37"/>
        <v>9.5172300729338584E-3</v>
      </c>
    </row>
    <row r="2348" spans="2:8" x14ac:dyDescent="0.2">
      <c r="B2348" s="5">
        <v>44675</v>
      </c>
      <c r="C2348" s="6" t="s">
        <v>19</v>
      </c>
      <c r="D2348" s="7">
        <v>79.839995999999999</v>
      </c>
      <c r="E2348" s="7">
        <v>76.484942000000004</v>
      </c>
      <c r="F2348" s="7">
        <v>80.930000000000007</v>
      </c>
      <c r="G2348" s="7">
        <v>79.239998</v>
      </c>
      <c r="H2348" s="8">
        <f t="shared" si="37"/>
        <v>8.3008467920978081E-3</v>
      </c>
    </row>
    <row r="2349" spans="2:8" x14ac:dyDescent="0.2">
      <c r="B2349" s="5">
        <v>44678</v>
      </c>
      <c r="C2349" s="6" t="s">
        <v>19</v>
      </c>
      <c r="D2349" s="7">
        <v>79.370002999999997</v>
      </c>
      <c r="E2349" s="7">
        <v>76.034698000000006</v>
      </c>
      <c r="F2349" s="7">
        <v>79.860000999999997</v>
      </c>
      <c r="G2349" s="7">
        <v>79.290001000000004</v>
      </c>
      <c r="H2349" s="8">
        <f t="shared" si="37"/>
        <v>-5.9040961268488302E-3</v>
      </c>
    </row>
    <row r="2350" spans="2:8" x14ac:dyDescent="0.2">
      <c r="B2350" s="5">
        <v>44679</v>
      </c>
      <c r="C2350" s="6" t="s">
        <v>19</v>
      </c>
      <c r="D2350" s="7">
        <v>79.099997999999999</v>
      </c>
      <c r="E2350" s="7">
        <v>75.776039999999995</v>
      </c>
      <c r="F2350" s="7">
        <v>79.480002999999996</v>
      </c>
      <c r="G2350" s="7">
        <v>78.769997000000004</v>
      </c>
      <c r="H2350" s="8">
        <f t="shared" si="37"/>
        <v>-3.4076410364998711E-3</v>
      </c>
    </row>
    <row r="2351" spans="2:8" x14ac:dyDescent="0.2">
      <c r="B2351" s="5">
        <v>44680</v>
      </c>
      <c r="C2351" s="6" t="s">
        <v>19</v>
      </c>
      <c r="D2351" s="7">
        <v>77.879997000000003</v>
      </c>
      <c r="E2351" s="7">
        <v>74.607305999999994</v>
      </c>
      <c r="F2351" s="7">
        <v>78.790001000000004</v>
      </c>
      <c r="G2351" s="7">
        <v>77.790001000000004</v>
      </c>
      <c r="H2351" s="8">
        <f t="shared" si="37"/>
        <v>-1.5543709621799857E-2</v>
      </c>
    </row>
    <row r="2352" spans="2:8" x14ac:dyDescent="0.2">
      <c r="B2352" s="5">
        <v>44681</v>
      </c>
      <c r="C2352" s="6" t="s">
        <v>19</v>
      </c>
      <c r="D2352" s="7">
        <v>78.050003000000004</v>
      </c>
      <c r="E2352" s="7">
        <v>74.770167999999998</v>
      </c>
      <c r="F2352" s="7">
        <v>78.480002999999996</v>
      </c>
      <c r="G2352" s="7">
        <v>77.589995999999999</v>
      </c>
      <c r="H2352" s="8">
        <f t="shared" si="37"/>
        <v>2.1805438285958947E-3</v>
      </c>
    </row>
    <row r="2353" spans="2:8" x14ac:dyDescent="0.2">
      <c r="B2353" s="5">
        <v>44682</v>
      </c>
      <c r="C2353" s="6" t="s">
        <v>19</v>
      </c>
      <c r="D2353" s="7">
        <v>78.599997999999999</v>
      </c>
      <c r="E2353" s="7">
        <v>75.297050999999996</v>
      </c>
      <c r="F2353" s="7">
        <v>78.760002</v>
      </c>
      <c r="G2353" s="7">
        <v>78.169998000000007</v>
      </c>
      <c r="H2353" s="8">
        <f t="shared" si="37"/>
        <v>7.0219887925663978E-3</v>
      </c>
    </row>
    <row r="2354" spans="2:8" x14ac:dyDescent="0.2">
      <c r="B2354" s="5">
        <v>44685</v>
      </c>
      <c r="C2354" s="6" t="s">
        <v>19</v>
      </c>
      <c r="D2354" s="7">
        <v>79.180000000000007</v>
      </c>
      <c r="E2354" s="7">
        <v>75.852680000000007</v>
      </c>
      <c r="F2354" s="7">
        <v>79.550003000000004</v>
      </c>
      <c r="G2354" s="7">
        <v>78.459998999999996</v>
      </c>
      <c r="H2354" s="8">
        <f t="shared" si="37"/>
        <v>7.3520673718884934E-3</v>
      </c>
    </row>
    <row r="2355" spans="2:8" x14ac:dyDescent="0.2">
      <c r="B2355" s="5">
        <v>44686</v>
      </c>
      <c r="C2355" s="6" t="s">
        <v>19</v>
      </c>
      <c r="D2355" s="7">
        <v>78.129997000000003</v>
      </c>
      <c r="E2355" s="7">
        <v>74.846800999999999</v>
      </c>
      <c r="F2355" s="7">
        <v>79.010002</v>
      </c>
      <c r="G2355" s="7">
        <v>78.059997999999993</v>
      </c>
      <c r="H2355" s="8">
        <f t="shared" si="37"/>
        <v>-1.3349666922865735E-2</v>
      </c>
    </row>
    <row r="2356" spans="2:8" x14ac:dyDescent="0.2">
      <c r="B2356" s="5">
        <v>44687</v>
      </c>
      <c r="C2356" s="6" t="s">
        <v>19</v>
      </c>
      <c r="D2356" s="7">
        <v>77.650002000000001</v>
      </c>
      <c r="E2356" s="7">
        <v>74.856447000000003</v>
      </c>
      <c r="F2356" s="7">
        <v>78.120002999999997</v>
      </c>
      <c r="G2356" s="7">
        <v>77.169998000000007</v>
      </c>
      <c r="H2356" s="8">
        <f t="shared" si="37"/>
        <v>1.2886827964289914E-4</v>
      </c>
    </row>
    <row r="2357" spans="2:8" x14ac:dyDescent="0.2">
      <c r="B2357" s="5">
        <v>44688</v>
      </c>
      <c r="C2357" s="6" t="s">
        <v>19</v>
      </c>
      <c r="D2357" s="7">
        <v>78.029999000000004</v>
      </c>
      <c r="E2357" s="7">
        <v>75.222774000000001</v>
      </c>
      <c r="F2357" s="7">
        <v>78.339995999999999</v>
      </c>
      <c r="G2357" s="7">
        <v>77.300003000000004</v>
      </c>
      <c r="H2357" s="8">
        <f t="shared" si="37"/>
        <v>4.8817914309630577E-3</v>
      </c>
    </row>
    <row r="2358" spans="2:8" x14ac:dyDescent="0.2">
      <c r="B2358" s="5">
        <v>44689</v>
      </c>
      <c r="C2358" s="6" t="s">
        <v>19</v>
      </c>
      <c r="D2358" s="7">
        <v>78.529999000000004</v>
      </c>
      <c r="E2358" s="7">
        <v>75.704785000000001</v>
      </c>
      <c r="F2358" s="7">
        <v>79.25</v>
      </c>
      <c r="G2358" s="7">
        <v>78.400002000000001</v>
      </c>
      <c r="H2358" s="8">
        <f t="shared" si="37"/>
        <v>6.3873376334040019E-3</v>
      </c>
    </row>
    <row r="2359" spans="2:8" x14ac:dyDescent="0.2">
      <c r="B2359" s="5">
        <v>44692</v>
      </c>
      <c r="C2359" s="6" t="s">
        <v>19</v>
      </c>
      <c r="D2359" s="7">
        <v>78.099997999999999</v>
      </c>
      <c r="E2359" s="7">
        <v>75.290255000000002</v>
      </c>
      <c r="F2359" s="7">
        <v>78.610000999999997</v>
      </c>
      <c r="G2359" s="7">
        <v>78.029999000000004</v>
      </c>
      <c r="H2359" s="8">
        <f t="shared" si="37"/>
        <v>-5.490657725096138E-3</v>
      </c>
    </row>
    <row r="2360" spans="2:8" x14ac:dyDescent="0.2">
      <c r="B2360" s="5">
        <v>44693</v>
      </c>
      <c r="C2360" s="6" t="s">
        <v>19</v>
      </c>
      <c r="D2360" s="7">
        <v>78.959998999999996</v>
      </c>
      <c r="E2360" s="7">
        <v>76.119315999999998</v>
      </c>
      <c r="F2360" s="7">
        <v>79.480002999999996</v>
      </c>
      <c r="G2360" s="7">
        <v>77.870002999999997</v>
      </c>
      <c r="H2360" s="8">
        <f t="shared" si="37"/>
        <v>1.0951345815433396E-2</v>
      </c>
    </row>
    <row r="2361" spans="2:8" x14ac:dyDescent="0.2">
      <c r="B2361" s="5">
        <v>44694</v>
      </c>
      <c r="C2361" s="6" t="s">
        <v>19</v>
      </c>
      <c r="D2361" s="7">
        <v>78.160004000000001</v>
      </c>
      <c r="E2361" s="7">
        <v>75.348101</v>
      </c>
      <c r="F2361" s="7">
        <v>79.430000000000007</v>
      </c>
      <c r="G2361" s="7">
        <v>77.980002999999996</v>
      </c>
      <c r="H2361" s="8">
        <f t="shared" si="37"/>
        <v>-1.0183334209633191E-2</v>
      </c>
    </row>
    <row r="2362" spans="2:8" x14ac:dyDescent="0.2">
      <c r="B2362" s="5">
        <v>44695</v>
      </c>
      <c r="C2362" s="6" t="s">
        <v>19</v>
      </c>
      <c r="D2362" s="7">
        <v>78.720000999999996</v>
      </c>
      <c r="E2362" s="7">
        <v>75.887951999999999</v>
      </c>
      <c r="F2362" s="7">
        <v>78.769997000000004</v>
      </c>
      <c r="G2362" s="7">
        <v>78.019997000000004</v>
      </c>
      <c r="H2362" s="8">
        <f t="shared" si="37"/>
        <v>7.1392142578899243E-3</v>
      </c>
    </row>
    <row r="2363" spans="2:8" x14ac:dyDescent="0.2">
      <c r="B2363" s="5">
        <v>44696</v>
      </c>
      <c r="C2363" s="6" t="s">
        <v>19</v>
      </c>
      <c r="D2363" s="7">
        <v>79.239998</v>
      </c>
      <c r="E2363" s="7">
        <v>76.389240999999998</v>
      </c>
      <c r="F2363" s="7">
        <v>79.25</v>
      </c>
      <c r="G2363" s="7">
        <v>78.569999999999993</v>
      </c>
      <c r="H2363" s="8">
        <f t="shared" si="37"/>
        <v>6.5839250244719427E-3</v>
      </c>
    </row>
    <row r="2364" spans="2:8" x14ac:dyDescent="0.2">
      <c r="B2364" s="5">
        <v>44699</v>
      </c>
      <c r="C2364" s="6" t="s">
        <v>19</v>
      </c>
      <c r="D2364" s="7">
        <v>79.919998000000007</v>
      </c>
      <c r="E2364" s="7">
        <v>77.044777999999994</v>
      </c>
      <c r="F2364" s="7">
        <v>79.940002000000007</v>
      </c>
      <c r="G2364" s="7">
        <v>79.160004000000001</v>
      </c>
      <c r="H2364" s="8">
        <f t="shared" si="37"/>
        <v>8.544923648307598E-3</v>
      </c>
    </row>
    <row r="2365" spans="2:8" x14ac:dyDescent="0.2">
      <c r="B2365" s="5">
        <v>44700</v>
      </c>
      <c r="C2365" s="6" t="s">
        <v>19</v>
      </c>
      <c r="D2365" s="7">
        <v>76.430000000000007</v>
      </c>
      <c r="E2365" s="7">
        <v>73.680336999999994</v>
      </c>
      <c r="F2365" s="7">
        <v>78.360000999999997</v>
      </c>
      <c r="G2365" s="7">
        <v>76.230002999999996</v>
      </c>
      <c r="H2365" s="8">
        <f t="shared" si="37"/>
        <v>-4.4650819527354689E-2</v>
      </c>
    </row>
    <row r="2366" spans="2:8" x14ac:dyDescent="0.2">
      <c r="B2366" s="5">
        <v>44701</v>
      </c>
      <c r="C2366" s="6" t="s">
        <v>19</v>
      </c>
      <c r="D2366" s="7">
        <v>75.900002000000001</v>
      </c>
      <c r="E2366" s="7">
        <v>73.169405999999995</v>
      </c>
      <c r="F2366" s="7">
        <v>76.5</v>
      </c>
      <c r="G2366" s="7">
        <v>75.830001999999993</v>
      </c>
      <c r="H2366" s="8">
        <f t="shared" si="37"/>
        <v>-6.9585829875758645E-3</v>
      </c>
    </row>
    <row r="2367" spans="2:8" x14ac:dyDescent="0.2">
      <c r="B2367" s="5">
        <v>44702</v>
      </c>
      <c r="C2367" s="6" t="s">
        <v>19</v>
      </c>
      <c r="D2367" s="7">
        <v>76.110000999999997</v>
      </c>
      <c r="E2367" s="7">
        <v>73.371849999999995</v>
      </c>
      <c r="F2367" s="7">
        <v>76.419998000000007</v>
      </c>
      <c r="G2367" s="7">
        <v>75.559997999999993</v>
      </c>
      <c r="H2367" s="8">
        <f t="shared" si="37"/>
        <v>2.7629642916070355E-3</v>
      </c>
    </row>
    <row r="2368" spans="2:8" x14ac:dyDescent="0.2">
      <c r="B2368" s="5">
        <v>44703</v>
      </c>
      <c r="C2368" s="6" t="s">
        <v>19</v>
      </c>
      <c r="D2368" s="7">
        <v>75.860000999999997</v>
      </c>
      <c r="E2368" s="7">
        <v>73.130843999999996</v>
      </c>
      <c r="F2368" s="7">
        <v>76.379997000000003</v>
      </c>
      <c r="G2368" s="7">
        <v>75.860000999999997</v>
      </c>
      <c r="H2368" s="8">
        <f t="shared" si="37"/>
        <v>-3.290126765943775E-3</v>
      </c>
    </row>
    <row r="2369" spans="2:8" x14ac:dyDescent="0.2">
      <c r="B2369" s="5">
        <v>44707</v>
      </c>
      <c r="C2369" s="6" t="s">
        <v>19</v>
      </c>
      <c r="D2369" s="7">
        <v>74.900002000000001</v>
      </c>
      <c r="E2369" s="7">
        <v>72.205382</v>
      </c>
      <c r="F2369" s="7">
        <v>75.830001999999993</v>
      </c>
      <c r="G2369" s="7">
        <v>74.819999999999993</v>
      </c>
      <c r="H2369" s="8">
        <f t="shared" si="37"/>
        <v>-1.2735634250587333E-2</v>
      </c>
    </row>
    <row r="2370" spans="2:8" x14ac:dyDescent="0.2">
      <c r="B2370" s="5">
        <v>44708</v>
      </c>
      <c r="C2370" s="6" t="s">
        <v>19</v>
      </c>
      <c r="D2370" s="7">
        <v>75.190002000000007</v>
      </c>
      <c r="E2370" s="7">
        <v>72.484949999999998</v>
      </c>
      <c r="F2370" s="7">
        <v>75.510002</v>
      </c>
      <c r="G2370" s="7">
        <v>75</v>
      </c>
      <c r="H2370" s="8">
        <f t="shared" si="37"/>
        <v>3.8643680478515612E-3</v>
      </c>
    </row>
    <row r="2371" spans="2:8" x14ac:dyDescent="0.2">
      <c r="B2371" s="5">
        <v>44709</v>
      </c>
      <c r="C2371" s="6" t="s">
        <v>19</v>
      </c>
      <c r="D2371" s="7">
        <v>74.839995999999999</v>
      </c>
      <c r="E2371" s="7">
        <v>72.147535000000005</v>
      </c>
      <c r="F2371" s="7">
        <v>75.160004000000001</v>
      </c>
      <c r="G2371" s="7">
        <v>74.650002000000001</v>
      </c>
      <c r="H2371" s="8">
        <f t="shared" si="37"/>
        <v>-4.6658344026532465E-3</v>
      </c>
    </row>
    <row r="2372" spans="2:8" x14ac:dyDescent="0.2">
      <c r="B2372" s="5">
        <v>44710</v>
      </c>
      <c r="C2372" s="6" t="s">
        <v>19</v>
      </c>
      <c r="D2372" s="7">
        <v>74.269997000000004</v>
      </c>
      <c r="E2372" s="7">
        <v>71.598042000000007</v>
      </c>
      <c r="F2372" s="7">
        <v>74.879997000000003</v>
      </c>
      <c r="G2372" s="7">
        <v>74.150002000000001</v>
      </c>
      <c r="H2372" s="8">
        <f t="shared" ref="H2372:H2435" si="38">IF(C2372=C2371, LN(E2372/E2371), "")</f>
        <v>-7.6453924781141342E-3</v>
      </c>
    </row>
    <row r="2373" spans="2:8" x14ac:dyDescent="0.2">
      <c r="B2373" s="5">
        <v>44713</v>
      </c>
      <c r="C2373" s="6" t="s">
        <v>19</v>
      </c>
      <c r="D2373" s="7">
        <v>74.730002999999996</v>
      </c>
      <c r="E2373" s="7">
        <v>72.041499000000002</v>
      </c>
      <c r="F2373" s="7">
        <v>75.080001999999993</v>
      </c>
      <c r="G2373" s="7">
        <v>74.410004000000001</v>
      </c>
      <c r="H2373" s="8">
        <f t="shared" si="38"/>
        <v>6.1746007518166807E-3</v>
      </c>
    </row>
    <row r="2374" spans="2:8" x14ac:dyDescent="0.2">
      <c r="B2374" s="5">
        <v>44714</v>
      </c>
      <c r="C2374" s="6" t="s">
        <v>19</v>
      </c>
      <c r="D2374" s="7">
        <v>74.529999000000004</v>
      </c>
      <c r="E2374" s="7">
        <v>71.848690000000005</v>
      </c>
      <c r="F2374" s="7">
        <v>75</v>
      </c>
      <c r="G2374" s="7">
        <v>74.419998000000007</v>
      </c>
      <c r="H2374" s="8">
        <f t="shared" si="38"/>
        <v>-2.679948045632543E-3</v>
      </c>
    </row>
    <row r="2375" spans="2:8" x14ac:dyDescent="0.2">
      <c r="B2375" s="5">
        <v>44715</v>
      </c>
      <c r="C2375" s="6" t="s">
        <v>19</v>
      </c>
      <c r="D2375" s="7">
        <v>74.889999000000003</v>
      </c>
      <c r="E2375" s="7">
        <v>72.195739000000003</v>
      </c>
      <c r="F2375" s="7">
        <v>75.199996999999996</v>
      </c>
      <c r="G2375" s="7">
        <v>74.470000999999996</v>
      </c>
      <c r="H2375" s="8">
        <f t="shared" si="38"/>
        <v>4.8186476065822815E-3</v>
      </c>
    </row>
    <row r="2376" spans="2:8" x14ac:dyDescent="0.2">
      <c r="B2376" s="5">
        <v>44716</v>
      </c>
      <c r="C2376" s="6" t="s">
        <v>19</v>
      </c>
      <c r="D2376" s="7">
        <v>74.150002000000001</v>
      </c>
      <c r="E2376" s="7">
        <v>71.482364000000004</v>
      </c>
      <c r="F2376" s="7">
        <v>74.980002999999996</v>
      </c>
      <c r="G2376" s="7">
        <v>73.949996999999996</v>
      </c>
      <c r="H2376" s="8">
        <f t="shared" si="38"/>
        <v>-9.9302656043535054E-3</v>
      </c>
    </row>
    <row r="2377" spans="2:8" x14ac:dyDescent="0.2">
      <c r="B2377" s="5">
        <v>44717</v>
      </c>
      <c r="C2377" s="6" t="s">
        <v>19</v>
      </c>
      <c r="D2377" s="7">
        <v>73.059997999999993</v>
      </c>
      <c r="E2377" s="7">
        <v>70.431573999999998</v>
      </c>
      <c r="F2377" s="7">
        <v>74.269997000000004</v>
      </c>
      <c r="G2377" s="7">
        <v>72.980002999999996</v>
      </c>
      <c r="H2377" s="8">
        <f t="shared" si="38"/>
        <v>-1.4809104993716385E-2</v>
      </c>
    </row>
    <row r="2378" spans="2:8" x14ac:dyDescent="0.2">
      <c r="B2378" s="5">
        <v>44720</v>
      </c>
      <c r="C2378" s="6" t="s">
        <v>19</v>
      </c>
      <c r="D2378" s="7">
        <v>72.610000999999997</v>
      </c>
      <c r="E2378" s="7">
        <v>69.997765999999999</v>
      </c>
      <c r="F2378" s="7">
        <v>73.489998</v>
      </c>
      <c r="G2378" s="7">
        <v>72.599997999999999</v>
      </c>
      <c r="H2378" s="8">
        <f t="shared" si="38"/>
        <v>-6.1783296842897262E-3</v>
      </c>
    </row>
    <row r="2379" spans="2:8" x14ac:dyDescent="0.2">
      <c r="B2379" s="5">
        <v>44721</v>
      </c>
      <c r="C2379" s="6" t="s">
        <v>19</v>
      </c>
      <c r="D2379" s="7">
        <v>72.470000999999996</v>
      </c>
      <c r="E2379" s="7">
        <v>69.862803999999997</v>
      </c>
      <c r="F2379" s="7">
        <v>72.849997999999999</v>
      </c>
      <c r="G2379" s="7">
        <v>72.360000999999997</v>
      </c>
      <c r="H2379" s="8">
        <f t="shared" si="38"/>
        <v>-1.9299512634792725E-3</v>
      </c>
    </row>
    <row r="2380" spans="2:8" x14ac:dyDescent="0.2">
      <c r="B2380" s="5">
        <v>44722</v>
      </c>
      <c r="C2380" s="6" t="s">
        <v>19</v>
      </c>
      <c r="D2380" s="7">
        <v>72.930000000000007</v>
      </c>
      <c r="E2380" s="7">
        <v>70.306253999999996</v>
      </c>
      <c r="F2380" s="7">
        <v>73.330001999999993</v>
      </c>
      <c r="G2380" s="7">
        <v>72.339995999999999</v>
      </c>
      <c r="H2380" s="8">
        <f t="shared" si="38"/>
        <v>6.3273804620496395E-3</v>
      </c>
    </row>
    <row r="2381" spans="2:8" x14ac:dyDescent="0.2">
      <c r="B2381" s="5">
        <v>44723</v>
      </c>
      <c r="C2381" s="6" t="s">
        <v>19</v>
      </c>
      <c r="D2381" s="7">
        <v>72.940002000000007</v>
      </c>
      <c r="E2381" s="7">
        <v>70.315895999999995</v>
      </c>
      <c r="F2381" s="7">
        <v>73.669998000000007</v>
      </c>
      <c r="G2381" s="7">
        <v>72.839995999999999</v>
      </c>
      <c r="H2381" s="8">
        <f t="shared" si="38"/>
        <v>1.3713344611933887E-4</v>
      </c>
    </row>
    <row r="2382" spans="2:8" x14ac:dyDescent="0.2">
      <c r="B2382" s="5">
        <v>44724</v>
      </c>
      <c r="C2382" s="6" t="s">
        <v>19</v>
      </c>
      <c r="D2382" s="7">
        <v>72.430000000000007</v>
      </c>
      <c r="E2382" s="7">
        <v>69.824241999999998</v>
      </c>
      <c r="F2382" s="7">
        <v>72.900002000000001</v>
      </c>
      <c r="G2382" s="7">
        <v>72.400002000000001</v>
      </c>
      <c r="H2382" s="8">
        <f t="shared" si="38"/>
        <v>-7.01663383745137E-3</v>
      </c>
    </row>
    <row r="2383" spans="2:8" x14ac:dyDescent="0.2">
      <c r="B2383" s="5">
        <v>44727</v>
      </c>
      <c r="C2383" s="6" t="s">
        <v>19</v>
      </c>
      <c r="D2383" s="7">
        <v>71.930000000000007</v>
      </c>
      <c r="E2383" s="7">
        <v>69.342230000000001</v>
      </c>
      <c r="F2383" s="7">
        <v>72.400002000000001</v>
      </c>
      <c r="G2383" s="7">
        <v>71.699996999999996</v>
      </c>
      <c r="H2383" s="8">
        <f t="shared" si="38"/>
        <v>-6.9271559526723576E-3</v>
      </c>
    </row>
    <row r="2384" spans="2:8" x14ac:dyDescent="0.2">
      <c r="B2384" s="5">
        <v>44728</v>
      </c>
      <c r="C2384" s="6" t="s">
        <v>19</v>
      </c>
      <c r="D2384" s="7">
        <v>72.349997999999999</v>
      </c>
      <c r="E2384" s="7">
        <v>69.747118</v>
      </c>
      <c r="F2384" s="7">
        <v>72.580001999999993</v>
      </c>
      <c r="G2384" s="7">
        <v>71.720000999999996</v>
      </c>
      <c r="H2384" s="8">
        <f t="shared" si="38"/>
        <v>5.8220007424669455E-3</v>
      </c>
    </row>
    <row r="2385" spans="2:8" x14ac:dyDescent="0.2">
      <c r="B2385" s="5">
        <v>44729</v>
      </c>
      <c r="C2385" s="6" t="s">
        <v>19</v>
      </c>
      <c r="D2385" s="7">
        <v>72.730002999999996</v>
      </c>
      <c r="E2385" s="7">
        <v>70.113451999999995</v>
      </c>
      <c r="F2385" s="7">
        <v>72.900002000000001</v>
      </c>
      <c r="G2385" s="7">
        <v>72.339995999999999</v>
      </c>
      <c r="H2385" s="8">
        <f t="shared" si="38"/>
        <v>5.2385720687949822E-3</v>
      </c>
    </row>
    <row r="2386" spans="2:8" x14ac:dyDescent="0.2">
      <c r="B2386" s="5">
        <v>44730</v>
      </c>
      <c r="C2386" s="6" t="s">
        <v>19</v>
      </c>
      <c r="D2386" s="7">
        <v>72.980002999999996</v>
      </c>
      <c r="E2386" s="7">
        <v>70.354457999999994</v>
      </c>
      <c r="F2386" s="7">
        <v>73.480002999999996</v>
      </c>
      <c r="G2386" s="7">
        <v>72.739998</v>
      </c>
      <c r="H2386" s="8">
        <f t="shared" si="38"/>
        <v>3.4314775024109866E-3</v>
      </c>
    </row>
    <row r="2387" spans="2:8" x14ac:dyDescent="0.2">
      <c r="B2387" s="5">
        <v>44731</v>
      </c>
      <c r="C2387" s="6" t="s">
        <v>19</v>
      </c>
      <c r="D2387" s="7">
        <v>72.739998</v>
      </c>
      <c r="E2387" s="7">
        <v>70.123086999999998</v>
      </c>
      <c r="F2387" s="7">
        <v>73.220000999999996</v>
      </c>
      <c r="G2387" s="7">
        <v>72.699996999999996</v>
      </c>
      <c r="H2387" s="8">
        <f t="shared" si="38"/>
        <v>-3.2940668092512606E-3</v>
      </c>
    </row>
    <row r="2388" spans="2:8" x14ac:dyDescent="0.2">
      <c r="B2388" s="5">
        <v>44734</v>
      </c>
      <c r="C2388" s="6" t="s">
        <v>19</v>
      </c>
      <c r="D2388" s="7">
        <v>72.790001000000004</v>
      </c>
      <c r="E2388" s="7">
        <v>70.171290999999997</v>
      </c>
      <c r="F2388" s="7">
        <v>73.190002000000007</v>
      </c>
      <c r="G2388" s="7">
        <v>72.690002000000007</v>
      </c>
      <c r="H2388" s="8">
        <f t="shared" si="38"/>
        <v>6.8718365745089707E-4</v>
      </c>
    </row>
    <row r="2389" spans="2:8" x14ac:dyDescent="0.2">
      <c r="B2389" s="5">
        <v>44735</v>
      </c>
      <c r="C2389" s="6" t="s">
        <v>19</v>
      </c>
      <c r="D2389" s="7">
        <v>72.569999999999993</v>
      </c>
      <c r="E2389" s="7">
        <v>69.959204999999997</v>
      </c>
      <c r="F2389" s="7">
        <v>72.940002000000007</v>
      </c>
      <c r="G2389" s="7">
        <v>72.339995999999999</v>
      </c>
      <c r="H2389" s="8">
        <f t="shared" si="38"/>
        <v>-3.0269808213404959E-3</v>
      </c>
    </row>
    <row r="2390" spans="2:8" x14ac:dyDescent="0.2">
      <c r="B2390" s="5">
        <v>44736</v>
      </c>
      <c r="C2390" s="6" t="s">
        <v>19</v>
      </c>
      <c r="D2390" s="7">
        <v>72.379997000000003</v>
      </c>
      <c r="E2390" s="7">
        <v>69.776038</v>
      </c>
      <c r="F2390" s="7">
        <v>72.650002000000001</v>
      </c>
      <c r="G2390" s="7">
        <v>72.139999000000003</v>
      </c>
      <c r="H2390" s="8">
        <f t="shared" si="38"/>
        <v>-2.621630749346278E-3</v>
      </c>
    </row>
    <row r="2391" spans="2:8" x14ac:dyDescent="0.2">
      <c r="B2391" s="5">
        <v>44737</v>
      </c>
      <c r="C2391" s="6" t="s">
        <v>19</v>
      </c>
      <c r="D2391" s="7">
        <v>71.860000999999997</v>
      </c>
      <c r="E2391" s="7">
        <v>69.274749</v>
      </c>
      <c r="F2391" s="7">
        <v>72.629997000000003</v>
      </c>
      <c r="G2391" s="7">
        <v>71.830001999999993</v>
      </c>
      <c r="H2391" s="8">
        <f t="shared" si="38"/>
        <v>-7.2101881983539003E-3</v>
      </c>
    </row>
    <row r="2392" spans="2:8" x14ac:dyDescent="0.2">
      <c r="B2392" s="5">
        <v>44738</v>
      </c>
      <c r="C2392" s="6" t="s">
        <v>19</v>
      </c>
      <c r="D2392" s="7">
        <v>72.120002999999997</v>
      </c>
      <c r="E2392" s="7">
        <v>69.525396999999998</v>
      </c>
      <c r="F2392" s="7">
        <v>72.459998999999996</v>
      </c>
      <c r="G2392" s="7">
        <v>71.870002999999997</v>
      </c>
      <c r="H2392" s="8">
        <f t="shared" si="38"/>
        <v>3.6116427781503341E-3</v>
      </c>
    </row>
    <row r="2393" spans="2:8" x14ac:dyDescent="0.2">
      <c r="B2393" s="5">
        <v>44741</v>
      </c>
      <c r="C2393" s="6" t="s">
        <v>19</v>
      </c>
      <c r="D2393" s="7">
        <v>71.419998000000007</v>
      </c>
      <c r="E2393" s="7">
        <v>68.850576000000004</v>
      </c>
      <c r="F2393" s="7">
        <v>72</v>
      </c>
      <c r="G2393" s="7">
        <v>71.410004000000001</v>
      </c>
      <c r="H2393" s="8">
        <f t="shared" si="38"/>
        <v>-9.7535191271801869E-3</v>
      </c>
    </row>
    <row r="2394" spans="2:8" x14ac:dyDescent="0.2">
      <c r="B2394" s="5">
        <v>44742</v>
      </c>
      <c r="C2394" s="6" t="s">
        <v>19</v>
      </c>
      <c r="D2394" s="7">
        <v>70.930000000000007</v>
      </c>
      <c r="E2394" s="7">
        <v>68.378206000000006</v>
      </c>
      <c r="F2394" s="7">
        <v>71.809997999999993</v>
      </c>
      <c r="G2394" s="7">
        <v>70.779999000000004</v>
      </c>
      <c r="H2394" s="8">
        <f t="shared" si="38"/>
        <v>-6.8844430271936003E-3</v>
      </c>
    </row>
    <row r="2395" spans="2:8" x14ac:dyDescent="0.2">
      <c r="B2395" s="5">
        <v>44743</v>
      </c>
      <c r="C2395" s="6" t="s">
        <v>19</v>
      </c>
      <c r="D2395" s="7">
        <v>71.879997000000003</v>
      </c>
      <c r="E2395" s="7">
        <v>69.294026000000002</v>
      </c>
      <c r="F2395" s="7">
        <v>71.949996999999996</v>
      </c>
      <c r="G2395" s="7">
        <v>70.360000999999997</v>
      </c>
      <c r="H2395" s="8">
        <f t="shared" si="38"/>
        <v>1.330454944824873E-2</v>
      </c>
    </row>
    <row r="2396" spans="2:8" x14ac:dyDescent="0.2">
      <c r="B2396" s="5">
        <v>44744</v>
      </c>
      <c r="C2396" s="6" t="s">
        <v>19</v>
      </c>
      <c r="D2396" s="7">
        <v>71.860000999999997</v>
      </c>
      <c r="E2396" s="7">
        <v>69.274749</v>
      </c>
      <c r="F2396" s="7">
        <v>72.559997999999993</v>
      </c>
      <c r="G2396" s="7">
        <v>71.660004000000001</v>
      </c>
      <c r="H2396" s="8">
        <f t="shared" si="38"/>
        <v>-2.7823007202538281E-4</v>
      </c>
    </row>
    <row r="2397" spans="2:8" x14ac:dyDescent="0.2">
      <c r="B2397" s="5">
        <v>44748</v>
      </c>
      <c r="C2397" s="6" t="s">
        <v>19</v>
      </c>
      <c r="D2397" s="7">
        <v>72.529999000000004</v>
      </c>
      <c r="E2397" s="7">
        <v>69.920642999999998</v>
      </c>
      <c r="F2397" s="7">
        <v>72.690002000000007</v>
      </c>
      <c r="G2397" s="7">
        <v>71.379997000000003</v>
      </c>
      <c r="H2397" s="8">
        <f t="shared" si="38"/>
        <v>9.2804600274804718E-3</v>
      </c>
    </row>
    <row r="2398" spans="2:8" x14ac:dyDescent="0.2">
      <c r="B2398" s="5">
        <v>44749</v>
      </c>
      <c r="C2398" s="6" t="s">
        <v>19</v>
      </c>
      <c r="D2398" s="7">
        <v>73.790001000000004</v>
      </c>
      <c r="E2398" s="7">
        <v>71.135315000000006</v>
      </c>
      <c r="F2398" s="7">
        <v>73.860000999999997</v>
      </c>
      <c r="G2398" s="7">
        <v>72</v>
      </c>
      <c r="H2398" s="8">
        <f t="shared" si="38"/>
        <v>1.7222980763976235E-2</v>
      </c>
    </row>
    <row r="2399" spans="2:8" x14ac:dyDescent="0.2">
      <c r="B2399" s="5">
        <v>44750</v>
      </c>
      <c r="C2399" s="6" t="s">
        <v>19</v>
      </c>
      <c r="D2399" s="7">
        <v>73.059997999999993</v>
      </c>
      <c r="E2399" s="7">
        <v>70.431573999999998</v>
      </c>
      <c r="F2399" s="7">
        <v>73.589995999999999</v>
      </c>
      <c r="G2399" s="7">
        <v>72.900002000000001</v>
      </c>
      <c r="H2399" s="8">
        <f t="shared" si="38"/>
        <v>-9.9422513545647847E-3</v>
      </c>
    </row>
    <row r="2400" spans="2:8" x14ac:dyDescent="0.2">
      <c r="B2400" s="5">
        <v>44751</v>
      </c>
      <c r="C2400" s="6" t="s">
        <v>19</v>
      </c>
      <c r="D2400" s="7">
        <v>72.779999000000004</v>
      </c>
      <c r="E2400" s="7">
        <v>70.161648999999997</v>
      </c>
      <c r="F2400" s="7">
        <v>73.730002999999996</v>
      </c>
      <c r="G2400" s="7">
        <v>72.709998999999996</v>
      </c>
      <c r="H2400" s="8">
        <f t="shared" si="38"/>
        <v>-3.8398057301837212E-3</v>
      </c>
    </row>
    <row r="2401" spans="2:8" x14ac:dyDescent="0.2">
      <c r="B2401" s="5">
        <v>44752</v>
      </c>
      <c r="C2401" s="6" t="s">
        <v>19</v>
      </c>
      <c r="D2401" s="7">
        <v>73.120002999999997</v>
      </c>
      <c r="E2401" s="7">
        <v>70.489420999999993</v>
      </c>
      <c r="F2401" s="7">
        <v>73.550003000000004</v>
      </c>
      <c r="G2401" s="7">
        <v>73.080001999999993</v>
      </c>
      <c r="H2401" s="8">
        <f t="shared" si="38"/>
        <v>4.6607906125165251E-3</v>
      </c>
    </row>
    <row r="2402" spans="2:8" x14ac:dyDescent="0.2">
      <c r="B2402" s="5">
        <v>44755</v>
      </c>
      <c r="C2402" s="6" t="s">
        <v>19</v>
      </c>
      <c r="D2402" s="7">
        <v>73.879997000000003</v>
      </c>
      <c r="E2402" s="7">
        <v>71.222072999999995</v>
      </c>
      <c r="F2402" s="7">
        <v>74.110000999999997</v>
      </c>
      <c r="G2402" s="7">
        <v>73.510002</v>
      </c>
      <c r="H2402" s="8">
        <f t="shared" si="38"/>
        <v>1.0340142597453708E-2</v>
      </c>
    </row>
    <row r="2403" spans="2:8" x14ac:dyDescent="0.2">
      <c r="B2403" s="5">
        <v>44756</v>
      </c>
      <c r="C2403" s="6" t="s">
        <v>19</v>
      </c>
      <c r="D2403" s="7">
        <v>73.790001000000004</v>
      </c>
      <c r="E2403" s="7">
        <v>71.135315000000006</v>
      </c>
      <c r="F2403" s="7">
        <v>74.089995999999999</v>
      </c>
      <c r="G2403" s="7">
        <v>73.480002999999996</v>
      </c>
      <c r="H2403" s="8">
        <f t="shared" si="38"/>
        <v>-1.2188761252216044E-3</v>
      </c>
    </row>
    <row r="2404" spans="2:8" x14ac:dyDescent="0.2">
      <c r="B2404" s="5">
        <v>44757</v>
      </c>
      <c r="C2404" s="6" t="s">
        <v>19</v>
      </c>
      <c r="D2404" s="7">
        <v>73.650002000000001</v>
      </c>
      <c r="E2404" s="7">
        <v>71.000352000000007</v>
      </c>
      <c r="F2404" s="7">
        <v>73.900002000000001</v>
      </c>
      <c r="G2404" s="7">
        <v>73.190002000000007</v>
      </c>
      <c r="H2404" s="8">
        <f t="shared" si="38"/>
        <v>-1.8990735177227454E-3</v>
      </c>
    </row>
    <row r="2405" spans="2:8" x14ac:dyDescent="0.2">
      <c r="B2405" s="5">
        <v>44758</v>
      </c>
      <c r="C2405" s="6" t="s">
        <v>19</v>
      </c>
      <c r="D2405" s="7">
        <v>73.830001999999993</v>
      </c>
      <c r="E2405" s="7">
        <v>71.173877000000005</v>
      </c>
      <c r="F2405" s="7">
        <v>74.139999000000003</v>
      </c>
      <c r="G2405" s="7">
        <v>73.760002</v>
      </c>
      <c r="H2405" s="8">
        <f t="shared" si="38"/>
        <v>2.4410202521800688E-3</v>
      </c>
    </row>
    <row r="2406" spans="2:8" x14ac:dyDescent="0.2">
      <c r="B2406" s="5">
        <v>44759</v>
      </c>
      <c r="C2406" s="6" t="s">
        <v>19</v>
      </c>
      <c r="D2406" s="7">
        <v>73.389999000000003</v>
      </c>
      <c r="E2406" s="7">
        <v>70.749703999999994</v>
      </c>
      <c r="F2406" s="7">
        <v>74.069999999999993</v>
      </c>
      <c r="G2406" s="7">
        <v>73.309997999999993</v>
      </c>
      <c r="H2406" s="8">
        <f t="shared" si="38"/>
        <v>-5.9775022586728037E-3</v>
      </c>
    </row>
    <row r="2407" spans="2:8" x14ac:dyDescent="0.2">
      <c r="B2407" s="5">
        <v>44762</v>
      </c>
      <c r="C2407" s="6" t="s">
        <v>19</v>
      </c>
      <c r="D2407" s="7">
        <v>73.099997999999999</v>
      </c>
      <c r="E2407" s="7">
        <v>70.470135999999997</v>
      </c>
      <c r="F2407" s="7">
        <v>73.440002000000007</v>
      </c>
      <c r="G2407" s="7">
        <v>73.059997999999993</v>
      </c>
      <c r="H2407" s="8">
        <f t="shared" si="38"/>
        <v>-3.9593355326952261E-3</v>
      </c>
    </row>
    <row r="2408" spans="2:8" x14ac:dyDescent="0.2">
      <c r="B2408" s="5">
        <v>44763</v>
      </c>
      <c r="C2408" s="6" t="s">
        <v>19</v>
      </c>
      <c r="D2408" s="7">
        <v>72.739998</v>
      </c>
      <c r="E2408" s="7">
        <v>70.123086999999998</v>
      </c>
      <c r="F2408" s="7">
        <v>73.290001000000004</v>
      </c>
      <c r="G2408" s="7">
        <v>72.529999000000004</v>
      </c>
      <c r="H2408" s="8">
        <f t="shared" si="38"/>
        <v>-4.9369336229558893E-3</v>
      </c>
    </row>
    <row r="2409" spans="2:8" x14ac:dyDescent="0.2">
      <c r="B2409" s="5">
        <v>44764</v>
      </c>
      <c r="C2409" s="6" t="s">
        <v>19</v>
      </c>
      <c r="D2409" s="7">
        <v>73.160004000000001</v>
      </c>
      <c r="E2409" s="7">
        <v>70.527981999999994</v>
      </c>
      <c r="F2409" s="7">
        <v>73.819999999999993</v>
      </c>
      <c r="G2409" s="7">
        <v>72.779999000000004</v>
      </c>
      <c r="H2409" s="8">
        <f t="shared" si="38"/>
        <v>5.7574552592153739E-3</v>
      </c>
    </row>
    <row r="2410" spans="2:8" x14ac:dyDescent="0.2">
      <c r="B2410" s="5">
        <v>44765</v>
      </c>
      <c r="C2410" s="6" t="s">
        <v>19</v>
      </c>
      <c r="D2410" s="7">
        <v>72.510002</v>
      </c>
      <c r="E2410" s="7">
        <v>69.901365999999996</v>
      </c>
      <c r="F2410" s="7">
        <v>73.220000999999996</v>
      </c>
      <c r="G2410" s="7">
        <v>72.419998000000007</v>
      </c>
      <c r="H2410" s="8">
        <f t="shared" si="38"/>
        <v>-8.9243476206106159E-3</v>
      </c>
    </row>
    <row r="2411" spans="2:8" x14ac:dyDescent="0.2">
      <c r="B2411" s="5">
        <v>44766</v>
      </c>
      <c r="C2411" s="6" t="s">
        <v>19</v>
      </c>
      <c r="D2411" s="7">
        <v>71.580001999999993</v>
      </c>
      <c r="E2411" s="7">
        <v>69.004823000000002</v>
      </c>
      <c r="F2411" s="7">
        <v>72.559997999999993</v>
      </c>
      <c r="G2411" s="7">
        <v>71.5</v>
      </c>
      <c r="H2411" s="8">
        <f t="shared" si="38"/>
        <v>-1.2908790546771293E-2</v>
      </c>
    </row>
    <row r="2412" spans="2:8" x14ac:dyDescent="0.2">
      <c r="B2412" s="5">
        <v>44769</v>
      </c>
      <c r="C2412" s="6" t="s">
        <v>19</v>
      </c>
      <c r="D2412" s="7">
        <v>71.379997000000003</v>
      </c>
      <c r="E2412" s="7">
        <v>68.812021000000001</v>
      </c>
      <c r="F2412" s="7">
        <v>71.650002000000001</v>
      </c>
      <c r="G2412" s="7">
        <v>71.010002</v>
      </c>
      <c r="H2412" s="8">
        <f t="shared" si="38"/>
        <v>-2.7979471911187591E-3</v>
      </c>
    </row>
    <row r="2413" spans="2:8" x14ac:dyDescent="0.2">
      <c r="B2413" s="5">
        <v>44770</v>
      </c>
      <c r="C2413" s="6" t="s">
        <v>19</v>
      </c>
      <c r="D2413" s="7">
        <v>72.099997999999999</v>
      </c>
      <c r="E2413" s="7">
        <v>69.506112000000002</v>
      </c>
      <c r="F2413" s="7">
        <v>72.389999000000003</v>
      </c>
      <c r="G2413" s="7">
        <v>71.230002999999996</v>
      </c>
      <c r="H2413" s="8">
        <f t="shared" si="38"/>
        <v>1.0036237636003982E-2</v>
      </c>
    </row>
    <row r="2414" spans="2:8" x14ac:dyDescent="0.2">
      <c r="B2414" s="5">
        <v>44771</v>
      </c>
      <c r="C2414" s="6" t="s">
        <v>19</v>
      </c>
      <c r="D2414" s="7">
        <v>72.230002999999996</v>
      </c>
      <c r="E2414" s="7">
        <v>69.631439999999998</v>
      </c>
      <c r="F2414" s="7">
        <v>72.629997000000003</v>
      </c>
      <c r="G2414" s="7">
        <v>72.089995999999999</v>
      </c>
      <c r="H2414" s="8">
        <f t="shared" si="38"/>
        <v>1.8014983315922939E-3</v>
      </c>
    </row>
    <row r="2415" spans="2:8" x14ac:dyDescent="0.2">
      <c r="B2415" s="5">
        <v>44772</v>
      </c>
      <c r="C2415" s="6" t="s">
        <v>19</v>
      </c>
      <c r="D2415" s="7">
        <v>72.160004000000001</v>
      </c>
      <c r="E2415" s="7">
        <v>69.563958999999997</v>
      </c>
      <c r="F2415" s="7">
        <v>72.529999000000004</v>
      </c>
      <c r="G2415" s="7">
        <v>71.779999000000004</v>
      </c>
      <c r="H2415" s="8">
        <f t="shared" si="38"/>
        <v>-9.6958672156347969E-4</v>
      </c>
    </row>
    <row r="2416" spans="2:8" x14ac:dyDescent="0.2">
      <c r="B2416" s="5">
        <v>44773</v>
      </c>
      <c r="C2416" s="6" t="s">
        <v>19</v>
      </c>
      <c r="D2416" s="7">
        <v>71.980002999999996</v>
      </c>
      <c r="E2416" s="7">
        <v>69.390433999999999</v>
      </c>
      <c r="F2416" s="7">
        <v>72.489998</v>
      </c>
      <c r="G2416" s="7">
        <v>71.660004000000001</v>
      </c>
      <c r="H2416" s="8">
        <f t="shared" si="38"/>
        <v>-2.4975833646791691E-3</v>
      </c>
    </row>
    <row r="2417" spans="2:8" x14ac:dyDescent="0.2">
      <c r="B2417" s="5">
        <v>44776</v>
      </c>
      <c r="C2417" s="6" t="s">
        <v>19</v>
      </c>
      <c r="D2417" s="7">
        <v>72.180000000000007</v>
      </c>
      <c r="E2417" s="7">
        <v>69.583235999999999</v>
      </c>
      <c r="F2417" s="7">
        <v>72.379997000000003</v>
      </c>
      <c r="G2417" s="7">
        <v>71.839995999999999</v>
      </c>
      <c r="H2417" s="8">
        <f t="shared" si="38"/>
        <v>2.7746568640526306E-3</v>
      </c>
    </row>
    <row r="2418" spans="2:8" x14ac:dyDescent="0.2">
      <c r="B2418" s="5">
        <v>44777</v>
      </c>
      <c r="C2418" s="6" t="s">
        <v>19</v>
      </c>
      <c r="D2418" s="7">
        <v>72.25</v>
      </c>
      <c r="E2418" s="7">
        <v>69.650717</v>
      </c>
      <c r="F2418" s="7">
        <v>72.800003000000004</v>
      </c>
      <c r="G2418" s="7">
        <v>71.930000000000007</v>
      </c>
      <c r="H2418" s="8">
        <f t="shared" si="38"/>
        <v>9.6931824213368088E-4</v>
      </c>
    </row>
    <row r="2419" spans="2:8" x14ac:dyDescent="0.2">
      <c r="B2419" s="5">
        <v>44778</v>
      </c>
      <c r="C2419" s="6" t="s">
        <v>19</v>
      </c>
      <c r="D2419" s="7">
        <v>73.510002</v>
      </c>
      <c r="E2419" s="7">
        <v>71.349282000000002</v>
      </c>
      <c r="F2419" s="7">
        <v>73.690002000000007</v>
      </c>
      <c r="G2419" s="7">
        <v>72.25</v>
      </c>
      <c r="H2419" s="8">
        <f t="shared" si="38"/>
        <v>2.409428630122095E-2</v>
      </c>
    </row>
    <row r="2420" spans="2:8" x14ac:dyDescent="0.2">
      <c r="B2420" s="5">
        <v>44779</v>
      </c>
      <c r="C2420" s="6" t="s">
        <v>19</v>
      </c>
      <c r="D2420" s="7">
        <v>72.790001000000004</v>
      </c>
      <c r="E2420" s="7">
        <v>70.650443999999993</v>
      </c>
      <c r="F2420" s="7">
        <v>73.379997000000003</v>
      </c>
      <c r="G2420" s="7">
        <v>72.660004000000001</v>
      </c>
      <c r="H2420" s="8">
        <f t="shared" si="38"/>
        <v>-9.8428871909855466E-3</v>
      </c>
    </row>
    <row r="2421" spans="2:8" x14ac:dyDescent="0.2">
      <c r="B2421" s="5">
        <v>44780</v>
      </c>
      <c r="C2421" s="6" t="s">
        <v>19</v>
      </c>
      <c r="D2421" s="7">
        <v>71.25</v>
      </c>
      <c r="E2421" s="7">
        <v>69.155709000000002</v>
      </c>
      <c r="F2421" s="7">
        <v>72.830001999999993</v>
      </c>
      <c r="G2421" s="7">
        <v>71.169998000000007</v>
      </c>
      <c r="H2421" s="8">
        <f t="shared" si="38"/>
        <v>-2.1383779256015461E-2</v>
      </c>
    </row>
    <row r="2422" spans="2:8" x14ac:dyDescent="0.2">
      <c r="B2422" s="5">
        <v>44783</v>
      </c>
      <c r="C2422" s="6" t="s">
        <v>19</v>
      </c>
      <c r="D2422" s="7">
        <v>71.480002999999996</v>
      </c>
      <c r="E2422" s="7">
        <v>69.378951999999998</v>
      </c>
      <c r="F2422" s="7">
        <v>71.75</v>
      </c>
      <c r="G2422" s="7">
        <v>71.339995999999999</v>
      </c>
      <c r="H2422" s="8">
        <f t="shared" si="38"/>
        <v>3.2229218540415498E-3</v>
      </c>
    </row>
    <row r="2423" spans="2:8" x14ac:dyDescent="0.2">
      <c r="B2423" s="5">
        <v>44784</v>
      </c>
      <c r="C2423" s="6" t="s">
        <v>19</v>
      </c>
      <c r="D2423" s="7">
        <v>71.930000000000007</v>
      </c>
      <c r="E2423" s="7">
        <v>69.815721999999994</v>
      </c>
      <c r="F2423" s="7">
        <v>72.370002999999997</v>
      </c>
      <c r="G2423" s="7">
        <v>71.150002000000001</v>
      </c>
      <c r="H2423" s="8">
        <f t="shared" si="38"/>
        <v>6.2756917479380699E-3</v>
      </c>
    </row>
    <row r="2424" spans="2:8" x14ac:dyDescent="0.2">
      <c r="B2424" s="5">
        <v>44785</v>
      </c>
      <c r="C2424" s="6" t="s">
        <v>19</v>
      </c>
      <c r="D2424" s="7">
        <v>72.580001999999993</v>
      </c>
      <c r="E2424" s="7">
        <v>70.446618000000001</v>
      </c>
      <c r="F2424" s="7">
        <v>72.660004000000001</v>
      </c>
      <c r="G2424" s="7">
        <v>71.269997000000004</v>
      </c>
      <c r="H2424" s="8">
        <f t="shared" si="38"/>
        <v>8.9960035567792883E-3</v>
      </c>
    </row>
    <row r="2425" spans="2:8" x14ac:dyDescent="0.2">
      <c r="B2425" s="5">
        <v>44786</v>
      </c>
      <c r="C2425" s="6" t="s">
        <v>19</v>
      </c>
      <c r="D2425" s="7">
        <v>72.110000999999997</v>
      </c>
      <c r="E2425" s="7">
        <v>69.990431000000001</v>
      </c>
      <c r="F2425" s="7">
        <v>72.769997000000004</v>
      </c>
      <c r="G2425" s="7">
        <v>71.970000999999996</v>
      </c>
      <c r="H2425" s="8">
        <f t="shared" si="38"/>
        <v>-6.4966988095317563E-3</v>
      </c>
    </row>
    <row r="2426" spans="2:8" x14ac:dyDescent="0.2">
      <c r="B2426" s="5">
        <v>44787</v>
      </c>
      <c r="C2426" s="6" t="s">
        <v>19</v>
      </c>
      <c r="D2426" s="7">
        <v>72.379997000000003</v>
      </c>
      <c r="E2426" s="7">
        <v>70.252492000000004</v>
      </c>
      <c r="F2426" s="7">
        <v>72.599997999999999</v>
      </c>
      <c r="G2426" s="7">
        <v>72.040001000000004</v>
      </c>
      <c r="H2426" s="8">
        <f t="shared" si="38"/>
        <v>3.7372481892384243E-3</v>
      </c>
    </row>
    <row r="2427" spans="2:8" x14ac:dyDescent="0.2">
      <c r="B2427" s="5">
        <v>44790</v>
      </c>
      <c r="C2427" s="6" t="s">
        <v>19</v>
      </c>
      <c r="D2427" s="7">
        <v>71.910004000000001</v>
      </c>
      <c r="E2427" s="7">
        <v>69.796312999999998</v>
      </c>
      <c r="F2427" s="7">
        <v>72.230002999999996</v>
      </c>
      <c r="G2427" s="7">
        <v>71.760002</v>
      </c>
      <c r="H2427" s="8">
        <f t="shared" si="38"/>
        <v>-6.5145948706936112E-3</v>
      </c>
    </row>
    <row r="2428" spans="2:8" x14ac:dyDescent="0.2">
      <c r="B2428" s="5">
        <v>44791</v>
      </c>
      <c r="C2428" s="6" t="s">
        <v>19</v>
      </c>
      <c r="D2428" s="7">
        <v>69.480002999999996</v>
      </c>
      <c r="E2428" s="7">
        <v>67.437738999999993</v>
      </c>
      <c r="F2428" s="7">
        <v>70.5</v>
      </c>
      <c r="G2428" s="7">
        <v>69.239998</v>
      </c>
      <c r="H2428" s="8">
        <f t="shared" si="38"/>
        <v>-3.437639898929102E-2</v>
      </c>
    </row>
    <row r="2429" spans="2:8" x14ac:dyDescent="0.2">
      <c r="B2429" s="5">
        <v>44792</v>
      </c>
      <c r="C2429" s="6" t="s">
        <v>19</v>
      </c>
      <c r="D2429" s="7">
        <v>68.569999999999993</v>
      </c>
      <c r="E2429" s="7">
        <v>66.554484000000002</v>
      </c>
      <c r="F2429" s="7">
        <v>69.389999000000003</v>
      </c>
      <c r="G2429" s="7">
        <v>67.769997000000004</v>
      </c>
      <c r="H2429" s="8">
        <f t="shared" si="38"/>
        <v>-1.3183866551640125E-2</v>
      </c>
    </row>
    <row r="2430" spans="2:8" x14ac:dyDescent="0.2">
      <c r="B2430" s="5">
        <v>44793</v>
      </c>
      <c r="C2430" s="6" t="s">
        <v>19</v>
      </c>
      <c r="D2430" s="7">
        <v>68.430000000000007</v>
      </c>
      <c r="E2430" s="7">
        <v>66.418599</v>
      </c>
      <c r="F2430" s="7">
        <v>69.300003000000004</v>
      </c>
      <c r="G2430" s="7">
        <v>67.940002000000007</v>
      </c>
      <c r="H2430" s="8">
        <f t="shared" si="38"/>
        <v>-2.043797800800602E-3</v>
      </c>
    </row>
    <row r="2431" spans="2:8" x14ac:dyDescent="0.2">
      <c r="B2431" s="5">
        <v>44794</v>
      </c>
      <c r="C2431" s="6" t="s">
        <v>19</v>
      </c>
      <c r="D2431" s="7">
        <v>66.540001000000004</v>
      </c>
      <c r="E2431" s="7">
        <v>64.584153999999998</v>
      </c>
      <c r="F2431" s="7">
        <v>68.309997999999993</v>
      </c>
      <c r="G2431" s="7">
        <v>66.540001000000004</v>
      </c>
      <c r="H2431" s="8">
        <f t="shared" si="38"/>
        <v>-2.8008036100489023E-2</v>
      </c>
    </row>
    <row r="2432" spans="2:8" x14ac:dyDescent="0.2">
      <c r="B2432" s="5">
        <v>44797</v>
      </c>
      <c r="C2432" s="6" t="s">
        <v>19</v>
      </c>
      <c r="D2432" s="7">
        <v>63.950001</v>
      </c>
      <c r="E2432" s="7">
        <v>62.070283000000003</v>
      </c>
      <c r="F2432" s="7">
        <v>66.160004000000001</v>
      </c>
      <c r="G2432" s="7">
        <v>61.5</v>
      </c>
      <c r="H2432" s="8">
        <f t="shared" si="38"/>
        <v>-3.970174679776392E-2</v>
      </c>
    </row>
    <row r="2433" spans="2:8" x14ac:dyDescent="0.2">
      <c r="B2433" s="5">
        <v>44798</v>
      </c>
      <c r="C2433" s="6" t="s">
        <v>19</v>
      </c>
      <c r="D2433" s="7">
        <v>63.099997999999999</v>
      </c>
      <c r="E2433" s="7">
        <v>61.245265000000003</v>
      </c>
      <c r="F2433" s="7">
        <v>65.709998999999996</v>
      </c>
      <c r="G2433" s="7">
        <v>63</v>
      </c>
      <c r="H2433" s="8">
        <f t="shared" si="38"/>
        <v>-1.3380799469507368E-2</v>
      </c>
    </row>
    <row r="2434" spans="2:8" x14ac:dyDescent="0.2">
      <c r="B2434" s="5">
        <v>44799</v>
      </c>
      <c r="C2434" s="6" t="s">
        <v>19</v>
      </c>
      <c r="D2434" s="7">
        <v>64.830001999999993</v>
      </c>
      <c r="E2434" s="7">
        <v>62.924418000000003</v>
      </c>
      <c r="F2434" s="7">
        <v>64.849997999999999</v>
      </c>
      <c r="G2434" s="7">
        <v>63.02</v>
      </c>
      <c r="H2434" s="8">
        <f t="shared" si="38"/>
        <v>2.7047751558412575E-2</v>
      </c>
    </row>
    <row r="2435" spans="2:8" x14ac:dyDescent="0.2">
      <c r="B2435" s="5">
        <v>44800</v>
      </c>
      <c r="C2435" s="6" t="s">
        <v>19</v>
      </c>
      <c r="D2435" s="7">
        <v>66.080001999999993</v>
      </c>
      <c r="E2435" s="7">
        <v>64.137675999999999</v>
      </c>
      <c r="F2435" s="7">
        <v>66.180000000000007</v>
      </c>
      <c r="G2435" s="7">
        <v>64.949996999999996</v>
      </c>
      <c r="H2435" s="8">
        <f t="shared" si="38"/>
        <v>1.9097668496253571E-2</v>
      </c>
    </row>
    <row r="2436" spans="2:8" x14ac:dyDescent="0.2">
      <c r="B2436" s="5">
        <v>44801</v>
      </c>
      <c r="C2436" s="6" t="s">
        <v>19</v>
      </c>
      <c r="D2436" s="7">
        <v>64.940002000000007</v>
      </c>
      <c r="E2436" s="7">
        <v>63.031185000000001</v>
      </c>
      <c r="F2436" s="7">
        <v>66.120002999999997</v>
      </c>
      <c r="G2436" s="7">
        <v>64.449996999999996</v>
      </c>
      <c r="H2436" s="8">
        <f t="shared" ref="H2436:H2499" si="39">IF(C2436=C2435, LN(E2436/E2435), "")</f>
        <v>-1.7402356449334338E-2</v>
      </c>
    </row>
    <row r="2437" spans="2:8" x14ac:dyDescent="0.2">
      <c r="B2437" s="5">
        <v>44804</v>
      </c>
      <c r="C2437" s="6" t="s">
        <v>19</v>
      </c>
      <c r="D2437" s="7">
        <v>64.730002999999996</v>
      </c>
      <c r="E2437" s="7">
        <v>62.827359000000001</v>
      </c>
      <c r="F2437" s="7">
        <v>65</v>
      </c>
      <c r="G2437" s="7">
        <v>64.290001000000004</v>
      </c>
      <c r="H2437" s="8">
        <f t="shared" si="39"/>
        <v>-3.2389724482093023E-3</v>
      </c>
    </row>
    <row r="2438" spans="2:8" x14ac:dyDescent="0.2">
      <c r="B2438" s="5">
        <v>44805</v>
      </c>
      <c r="C2438" s="6" t="s">
        <v>19</v>
      </c>
      <c r="D2438" s="7">
        <v>63.82</v>
      </c>
      <c r="E2438" s="7">
        <v>61.944102999999998</v>
      </c>
      <c r="F2438" s="7">
        <v>64.319999999999993</v>
      </c>
      <c r="G2438" s="7">
        <v>63.27</v>
      </c>
      <c r="H2438" s="8">
        <f t="shared" si="39"/>
        <v>-1.4158217595998121E-2</v>
      </c>
    </row>
    <row r="2439" spans="2:8" x14ac:dyDescent="0.2">
      <c r="B2439" s="5">
        <v>44806</v>
      </c>
      <c r="C2439" s="6" t="s">
        <v>19</v>
      </c>
      <c r="D2439" s="7">
        <v>64.440002000000007</v>
      </c>
      <c r="E2439" s="7">
        <v>62.545881999999999</v>
      </c>
      <c r="F2439" s="7">
        <v>64.940002000000007</v>
      </c>
      <c r="G2439" s="7">
        <v>64.059997999999993</v>
      </c>
      <c r="H2439" s="8">
        <f t="shared" si="39"/>
        <v>9.6679855387055043E-3</v>
      </c>
    </row>
    <row r="2440" spans="2:8" x14ac:dyDescent="0.2">
      <c r="B2440" s="5">
        <v>44807</v>
      </c>
      <c r="C2440" s="6" t="s">
        <v>19</v>
      </c>
      <c r="D2440" s="7">
        <v>64.860000999999997</v>
      </c>
      <c r="E2440" s="7">
        <v>62.953535000000002</v>
      </c>
      <c r="F2440" s="7">
        <v>65.010002</v>
      </c>
      <c r="G2440" s="7">
        <v>64.389999000000003</v>
      </c>
      <c r="H2440" s="8">
        <f t="shared" si="39"/>
        <v>6.496515178850565E-3</v>
      </c>
    </row>
    <row r="2441" spans="2:8" x14ac:dyDescent="0.2">
      <c r="B2441" s="5">
        <v>44808</v>
      </c>
      <c r="C2441" s="6" t="s">
        <v>19</v>
      </c>
      <c r="D2441" s="7">
        <v>63.889999000000003</v>
      </c>
      <c r="E2441" s="7">
        <v>62.012045000000001</v>
      </c>
      <c r="F2441" s="7">
        <v>64.300003000000004</v>
      </c>
      <c r="G2441" s="7">
        <v>63.509998000000003</v>
      </c>
      <c r="H2441" s="8">
        <f t="shared" si="39"/>
        <v>-1.5068274222942954E-2</v>
      </c>
    </row>
    <row r="2442" spans="2:8" x14ac:dyDescent="0.2">
      <c r="B2442" s="5">
        <v>44812</v>
      </c>
      <c r="C2442" s="6" t="s">
        <v>19</v>
      </c>
      <c r="D2442" s="7">
        <v>66.379997000000003</v>
      </c>
      <c r="E2442" s="7">
        <v>64.428853000000004</v>
      </c>
      <c r="F2442" s="7">
        <v>66.5</v>
      </c>
      <c r="G2442" s="7">
        <v>65.180000000000007</v>
      </c>
      <c r="H2442" s="8">
        <f t="shared" si="39"/>
        <v>3.8232920356211224E-2</v>
      </c>
    </row>
    <row r="2443" spans="2:8" x14ac:dyDescent="0.2">
      <c r="B2443" s="5">
        <v>44813</v>
      </c>
      <c r="C2443" s="6" t="s">
        <v>19</v>
      </c>
      <c r="D2443" s="7">
        <v>65.120002999999997</v>
      </c>
      <c r="E2443" s="7">
        <v>63.205894000000001</v>
      </c>
      <c r="F2443" s="7">
        <v>67.010002</v>
      </c>
      <c r="G2443" s="7">
        <v>65.010002</v>
      </c>
      <c r="H2443" s="8">
        <f t="shared" si="39"/>
        <v>-1.9164004427977398E-2</v>
      </c>
    </row>
    <row r="2444" spans="2:8" x14ac:dyDescent="0.2">
      <c r="B2444" s="5">
        <v>44814</v>
      </c>
      <c r="C2444" s="6" t="s">
        <v>19</v>
      </c>
      <c r="D2444" s="7">
        <v>64.120002999999997</v>
      </c>
      <c r="E2444" s="7">
        <v>62.235287999999997</v>
      </c>
      <c r="F2444" s="7">
        <v>64.650002000000001</v>
      </c>
      <c r="G2444" s="7">
        <v>63.830002</v>
      </c>
      <c r="H2444" s="8">
        <f t="shared" si="39"/>
        <v>-1.5475386234739475E-2</v>
      </c>
    </row>
    <row r="2445" spans="2:8" x14ac:dyDescent="0.2">
      <c r="B2445" s="5">
        <v>44815</v>
      </c>
      <c r="C2445" s="6" t="s">
        <v>19</v>
      </c>
      <c r="D2445" s="7">
        <v>64.650002000000001</v>
      </c>
      <c r="E2445" s="7">
        <v>62.749707999999998</v>
      </c>
      <c r="F2445" s="7">
        <v>64.680000000000007</v>
      </c>
      <c r="G2445" s="7">
        <v>63.990001999999997</v>
      </c>
      <c r="H2445" s="8">
        <f t="shared" si="39"/>
        <v>8.2317545512649512E-3</v>
      </c>
    </row>
    <row r="2446" spans="2:8" x14ac:dyDescent="0.2">
      <c r="B2446" s="5">
        <v>44818</v>
      </c>
      <c r="C2446" s="6" t="s">
        <v>19</v>
      </c>
      <c r="D2446" s="7">
        <v>64.279999000000004</v>
      </c>
      <c r="E2446" s="7">
        <v>62.390580999999997</v>
      </c>
      <c r="F2446" s="7">
        <v>64.669998000000007</v>
      </c>
      <c r="G2446" s="7">
        <v>63.82</v>
      </c>
      <c r="H2446" s="8">
        <f t="shared" si="39"/>
        <v>-5.7396061454710176E-3</v>
      </c>
    </row>
    <row r="2447" spans="2:8" x14ac:dyDescent="0.2">
      <c r="B2447" s="5">
        <v>44819</v>
      </c>
      <c r="C2447" s="6" t="s">
        <v>19</v>
      </c>
      <c r="D2447" s="7">
        <v>64.319999999999993</v>
      </c>
      <c r="E2447" s="7">
        <v>62.429406</v>
      </c>
      <c r="F2447" s="7">
        <v>64.699996999999996</v>
      </c>
      <c r="G2447" s="7">
        <v>64.050003000000004</v>
      </c>
      <c r="H2447" s="8">
        <f t="shared" si="39"/>
        <v>6.2209590283201946E-4</v>
      </c>
    </row>
    <row r="2448" spans="2:8" x14ac:dyDescent="0.2">
      <c r="B2448" s="5">
        <v>44820</v>
      </c>
      <c r="C2448" s="6" t="s">
        <v>19</v>
      </c>
      <c r="D2448" s="7">
        <v>64.690002000000007</v>
      </c>
      <c r="E2448" s="7">
        <v>62.788533000000001</v>
      </c>
      <c r="F2448" s="7">
        <v>64.769997000000004</v>
      </c>
      <c r="G2448" s="7">
        <v>64.050003000000004</v>
      </c>
      <c r="H2448" s="8">
        <f t="shared" si="39"/>
        <v>5.7360468881834121E-3</v>
      </c>
    </row>
    <row r="2449" spans="2:8" x14ac:dyDescent="0.2">
      <c r="B2449" s="5">
        <v>44821</v>
      </c>
      <c r="C2449" s="6" t="s">
        <v>19</v>
      </c>
      <c r="D2449" s="7">
        <v>64.470000999999996</v>
      </c>
      <c r="E2449" s="7">
        <v>62.574998999999998</v>
      </c>
      <c r="F2449" s="7">
        <v>65.290001000000004</v>
      </c>
      <c r="G2449" s="7">
        <v>64.160004000000001</v>
      </c>
      <c r="H2449" s="8">
        <f t="shared" si="39"/>
        <v>-3.4066399231414942E-3</v>
      </c>
    </row>
    <row r="2450" spans="2:8" x14ac:dyDescent="0.2">
      <c r="B2450" s="5">
        <v>44822</v>
      </c>
      <c r="C2450" s="6" t="s">
        <v>19</v>
      </c>
      <c r="D2450" s="7">
        <v>63.34</v>
      </c>
      <c r="E2450" s="7">
        <v>61.478211999999999</v>
      </c>
      <c r="F2450" s="7">
        <v>64.230002999999996</v>
      </c>
      <c r="G2450" s="7">
        <v>63.259998000000003</v>
      </c>
      <c r="H2450" s="8">
        <f t="shared" si="39"/>
        <v>-1.7682985718024534E-2</v>
      </c>
    </row>
    <row r="2451" spans="2:8" x14ac:dyDescent="0.2">
      <c r="B2451" s="5">
        <v>44825</v>
      </c>
      <c r="C2451" s="6" t="s">
        <v>19</v>
      </c>
      <c r="D2451" s="7">
        <v>63.720001000000003</v>
      </c>
      <c r="E2451" s="7">
        <v>61.847043999999997</v>
      </c>
      <c r="F2451" s="7">
        <v>64</v>
      </c>
      <c r="G2451" s="7">
        <v>63.369999</v>
      </c>
      <c r="H2451" s="8">
        <f t="shared" si="39"/>
        <v>5.9814690296866018E-3</v>
      </c>
    </row>
    <row r="2452" spans="2:8" x14ac:dyDescent="0.2">
      <c r="B2452" s="5">
        <v>44826</v>
      </c>
      <c r="C2452" s="6" t="s">
        <v>19</v>
      </c>
      <c r="D2452" s="7">
        <v>63.59</v>
      </c>
      <c r="E2452" s="7">
        <v>61.720863999999999</v>
      </c>
      <c r="F2452" s="7">
        <v>63.82</v>
      </c>
      <c r="G2452" s="7">
        <v>62.919998</v>
      </c>
      <c r="H2452" s="8">
        <f t="shared" si="39"/>
        <v>-2.0422785478738407E-3</v>
      </c>
    </row>
    <row r="2453" spans="2:8" x14ac:dyDescent="0.2">
      <c r="B2453" s="5">
        <v>44827</v>
      </c>
      <c r="C2453" s="6" t="s">
        <v>19</v>
      </c>
      <c r="D2453" s="7">
        <v>63.720001000000003</v>
      </c>
      <c r="E2453" s="7">
        <v>61.847043999999997</v>
      </c>
      <c r="F2453" s="7">
        <v>63.93</v>
      </c>
      <c r="G2453" s="7">
        <v>63.119999</v>
      </c>
      <c r="H2453" s="8">
        <f t="shared" si="39"/>
        <v>2.0422785478739175E-3</v>
      </c>
    </row>
    <row r="2454" spans="2:8" x14ac:dyDescent="0.2">
      <c r="B2454" s="5">
        <v>44828</v>
      </c>
      <c r="C2454" s="6" t="s">
        <v>19</v>
      </c>
      <c r="D2454" s="7">
        <v>63.830002</v>
      </c>
      <c r="E2454" s="7">
        <v>61.953811000000002</v>
      </c>
      <c r="F2454" s="7">
        <v>63.98</v>
      </c>
      <c r="G2454" s="7">
        <v>63.299999</v>
      </c>
      <c r="H2454" s="8">
        <f t="shared" si="39"/>
        <v>1.7248188870637802E-3</v>
      </c>
    </row>
    <row r="2455" spans="2:8" x14ac:dyDescent="0.2">
      <c r="B2455" s="5">
        <v>44829</v>
      </c>
      <c r="C2455" s="6" t="s">
        <v>19</v>
      </c>
      <c r="D2455" s="7">
        <v>63.779998999999997</v>
      </c>
      <c r="E2455" s="7">
        <v>61.905278000000003</v>
      </c>
      <c r="F2455" s="7">
        <v>64.459998999999996</v>
      </c>
      <c r="G2455" s="7">
        <v>63.619999</v>
      </c>
      <c r="H2455" s="8">
        <f t="shared" si="39"/>
        <v>-7.8368092121039055E-4</v>
      </c>
    </row>
    <row r="2456" spans="2:8" x14ac:dyDescent="0.2">
      <c r="B2456" s="5">
        <v>44832</v>
      </c>
      <c r="C2456" s="6" t="s">
        <v>19</v>
      </c>
      <c r="D2456" s="7">
        <v>63.66</v>
      </c>
      <c r="E2456" s="7">
        <v>61.788806000000001</v>
      </c>
      <c r="F2456" s="7">
        <v>63.950001</v>
      </c>
      <c r="G2456" s="7">
        <v>63.48</v>
      </c>
      <c r="H2456" s="8">
        <f t="shared" si="39"/>
        <v>-1.883227243475391E-3</v>
      </c>
    </row>
    <row r="2457" spans="2:8" x14ac:dyDescent="0.2">
      <c r="B2457" s="5">
        <v>44833</v>
      </c>
      <c r="C2457" s="6" t="s">
        <v>19</v>
      </c>
      <c r="D2457" s="7">
        <v>63.779998999999997</v>
      </c>
      <c r="E2457" s="7">
        <v>61.905278000000003</v>
      </c>
      <c r="F2457" s="7">
        <v>64.040001000000004</v>
      </c>
      <c r="G2457" s="7">
        <v>63.23</v>
      </c>
      <c r="H2457" s="8">
        <f t="shared" si="39"/>
        <v>1.8832272434753938E-3</v>
      </c>
    </row>
    <row r="2458" spans="2:8" x14ac:dyDescent="0.2">
      <c r="B2458" s="5">
        <v>44834</v>
      </c>
      <c r="C2458" s="6" t="s">
        <v>19</v>
      </c>
      <c r="D2458" s="7">
        <v>64.839995999999999</v>
      </c>
      <c r="E2458" s="7">
        <v>62.934117999999998</v>
      </c>
      <c r="F2458" s="7">
        <v>64.940002000000007</v>
      </c>
      <c r="G2458" s="7">
        <v>63.93</v>
      </c>
      <c r="H2458" s="8">
        <f t="shared" si="39"/>
        <v>1.6482990571371873E-2</v>
      </c>
    </row>
    <row r="2459" spans="2:8" x14ac:dyDescent="0.2">
      <c r="B2459" s="5">
        <v>44835</v>
      </c>
      <c r="C2459" s="6" t="s">
        <v>19</v>
      </c>
      <c r="D2459" s="7">
        <v>64.269997000000004</v>
      </c>
      <c r="E2459" s="7">
        <v>62.380873000000001</v>
      </c>
      <c r="F2459" s="7">
        <v>64.940002000000007</v>
      </c>
      <c r="G2459" s="7">
        <v>63.880001</v>
      </c>
      <c r="H2459" s="8">
        <f t="shared" si="39"/>
        <v>-8.829727234021376E-3</v>
      </c>
    </row>
    <row r="2460" spans="2:8" x14ac:dyDescent="0.2">
      <c r="B2460" s="5">
        <v>44836</v>
      </c>
      <c r="C2460" s="6" t="s">
        <v>19</v>
      </c>
      <c r="D2460" s="7">
        <v>64.980002999999996</v>
      </c>
      <c r="E2460" s="7">
        <v>63.070010000000003</v>
      </c>
      <c r="F2460" s="7">
        <v>64.980002999999996</v>
      </c>
      <c r="G2460" s="7">
        <v>63.41</v>
      </c>
      <c r="H2460" s="8">
        <f t="shared" si="39"/>
        <v>1.0986673277654258E-2</v>
      </c>
    </row>
    <row r="2461" spans="2:8" x14ac:dyDescent="0.2">
      <c r="B2461" s="5">
        <v>44839</v>
      </c>
      <c r="C2461" s="6" t="s">
        <v>19</v>
      </c>
      <c r="D2461" s="7">
        <v>65.870002999999997</v>
      </c>
      <c r="E2461" s="7">
        <v>63.933849000000002</v>
      </c>
      <c r="F2461" s="7">
        <v>65.919998000000007</v>
      </c>
      <c r="G2461" s="7">
        <v>65.139999000000003</v>
      </c>
      <c r="H2461" s="8">
        <f t="shared" si="39"/>
        <v>1.3603560212596354E-2</v>
      </c>
    </row>
    <row r="2462" spans="2:8" x14ac:dyDescent="0.2">
      <c r="B2462" s="5">
        <v>44840</v>
      </c>
      <c r="C2462" s="6" t="s">
        <v>19</v>
      </c>
      <c r="D2462" s="7">
        <v>65.680000000000007</v>
      </c>
      <c r="E2462" s="7">
        <v>63.749431999999999</v>
      </c>
      <c r="F2462" s="7">
        <v>65.949996999999996</v>
      </c>
      <c r="G2462" s="7">
        <v>65.180000000000007</v>
      </c>
      <c r="H2462" s="8">
        <f t="shared" si="39"/>
        <v>-2.8886652472099191E-3</v>
      </c>
    </row>
    <row r="2463" spans="2:8" x14ac:dyDescent="0.2">
      <c r="B2463" s="5">
        <v>44841</v>
      </c>
      <c r="C2463" s="6" t="s">
        <v>19</v>
      </c>
      <c r="D2463" s="7">
        <v>66.360000999999997</v>
      </c>
      <c r="E2463" s="7">
        <v>64.409443999999993</v>
      </c>
      <c r="F2463" s="7">
        <v>66.360000999999997</v>
      </c>
      <c r="G2463" s="7">
        <v>65.769997000000004</v>
      </c>
      <c r="H2463" s="8">
        <f t="shared" si="39"/>
        <v>1.0299994126651233E-2</v>
      </c>
    </row>
    <row r="2464" spans="2:8" x14ac:dyDescent="0.2">
      <c r="B2464" s="5">
        <v>44842</v>
      </c>
      <c r="C2464" s="6" t="s">
        <v>19</v>
      </c>
      <c r="D2464" s="7">
        <v>66.879997000000003</v>
      </c>
      <c r="E2464" s="7">
        <v>64.914156000000006</v>
      </c>
      <c r="F2464" s="7">
        <v>66.989998</v>
      </c>
      <c r="G2464" s="7">
        <v>66.150002000000001</v>
      </c>
      <c r="H2464" s="8">
        <f t="shared" si="39"/>
        <v>7.805451788622568E-3</v>
      </c>
    </row>
    <row r="2465" spans="2:8" x14ac:dyDescent="0.2">
      <c r="B2465" s="5">
        <v>44843</v>
      </c>
      <c r="C2465" s="6" t="s">
        <v>19</v>
      </c>
      <c r="D2465" s="7">
        <v>66.690002000000007</v>
      </c>
      <c r="E2465" s="7">
        <v>64.729746000000006</v>
      </c>
      <c r="F2465" s="7">
        <v>67.019997000000004</v>
      </c>
      <c r="G2465" s="7">
        <v>66.510002</v>
      </c>
      <c r="H2465" s="8">
        <f t="shared" si="39"/>
        <v>-2.8448715524418988E-3</v>
      </c>
    </row>
    <row r="2466" spans="2:8" x14ac:dyDescent="0.2">
      <c r="B2466" s="5">
        <v>44846</v>
      </c>
      <c r="C2466" s="6" t="s">
        <v>19</v>
      </c>
      <c r="D2466" s="7">
        <v>66.930000000000007</v>
      </c>
      <c r="E2466" s="7">
        <v>64.962689999999995</v>
      </c>
      <c r="F2466" s="7">
        <v>67</v>
      </c>
      <c r="G2466" s="7">
        <v>66.580001999999993</v>
      </c>
      <c r="H2466" s="8">
        <f t="shared" si="39"/>
        <v>3.5922565368166873E-3</v>
      </c>
    </row>
    <row r="2467" spans="2:8" x14ac:dyDescent="0.2">
      <c r="B2467" s="5">
        <v>44847</v>
      </c>
      <c r="C2467" s="6" t="s">
        <v>19</v>
      </c>
      <c r="D2467" s="7">
        <v>66.730002999999996</v>
      </c>
      <c r="E2467" s="7">
        <v>64.768570999999994</v>
      </c>
      <c r="F2467" s="7">
        <v>66.940002000000007</v>
      </c>
      <c r="G2467" s="7">
        <v>66.260002</v>
      </c>
      <c r="H2467" s="8">
        <f t="shared" si="39"/>
        <v>-2.9926348264701719E-3</v>
      </c>
    </row>
    <row r="2468" spans="2:8" x14ac:dyDescent="0.2">
      <c r="B2468" s="5">
        <v>44848</v>
      </c>
      <c r="C2468" s="6" t="s">
        <v>19</v>
      </c>
      <c r="D2468" s="7">
        <v>60.029998999999997</v>
      </c>
      <c r="E2468" s="7">
        <v>58.265504</v>
      </c>
      <c r="F2468" s="7">
        <v>67.949996999999996</v>
      </c>
      <c r="G2468" s="7">
        <v>60.02</v>
      </c>
      <c r="H2468" s="8">
        <f t="shared" si="39"/>
        <v>-0.10581025014727249</v>
      </c>
    </row>
    <row r="2469" spans="2:8" x14ac:dyDescent="0.2">
      <c r="B2469" s="5">
        <v>44849</v>
      </c>
      <c r="C2469" s="6" t="s">
        <v>19</v>
      </c>
      <c r="D2469" s="7">
        <v>59.330002</v>
      </c>
      <c r="E2469" s="7">
        <v>57.586081999999998</v>
      </c>
      <c r="F2469" s="7">
        <v>60.470001000000003</v>
      </c>
      <c r="G2469" s="7">
        <v>58.610000999999997</v>
      </c>
      <c r="H2469" s="8">
        <f t="shared" si="39"/>
        <v>-1.1729313561128142E-2</v>
      </c>
    </row>
    <row r="2470" spans="2:8" x14ac:dyDescent="0.2">
      <c r="B2470" s="5">
        <v>44850</v>
      </c>
      <c r="C2470" s="6" t="s">
        <v>19</v>
      </c>
      <c r="D2470" s="7">
        <v>58.889999000000003</v>
      </c>
      <c r="E2470" s="7">
        <v>57.159013000000002</v>
      </c>
      <c r="F2470" s="7">
        <v>59.490001999999997</v>
      </c>
      <c r="G2470" s="7">
        <v>58.369999</v>
      </c>
      <c r="H2470" s="8">
        <f t="shared" si="39"/>
        <v>-7.4438209669185967E-3</v>
      </c>
    </row>
    <row r="2471" spans="2:8" x14ac:dyDescent="0.2">
      <c r="B2471" s="5">
        <v>44853</v>
      </c>
      <c r="C2471" s="6" t="s">
        <v>19</v>
      </c>
      <c r="D2471" s="7">
        <v>58.849997999999999</v>
      </c>
      <c r="E2471" s="7">
        <v>57.120187999999999</v>
      </c>
      <c r="F2471" s="7">
        <v>59.299999</v>
      </c>
      <c r="G2471" s="7">
        <v>58.5</v>
      </c>
      <c r="H2471" s="8">
        <f t="shared" si="39"/>
        <v>-6.7947625034156306E-4</v>
      </c>
    </row>
    <row r="2472" spans="2:8" x14ac:dyDescent="0.2">
      <c r="B2472" s="5">
        <v>44854</v>
      </c>
      <c r="C2472" s="6" t="s">
        <v>19</v>
      </c>
      <c r="D2472" s="7">
        <v>58.75</v>
      </c>
      <c r="E2472" s="7">
        <v>57.023128999999997</v>
      </c>
      <c r="F2472" s="7">
        <v>59</v>
      </c>
      <c r="G2472" s="7">
        <v>58.57</v>
      </c>
      <c r="H2472" s="8">
        <f t="shared" si="39"/>
        <v>-1.7006518812305276E-3</v>
      </c>
    </row>
    <row r="2473" spans="2:8" x14ac:dyDescent="0.2">
      <c r="B2473" s="5">
        <v>44855</v>
      </c>
      <c r="C2473" s="6" t="s">
        <v>19</v>
      </c>
      <c r="D2473" s="7">
        <v>58.639999000000003</v>
      </c>
      <c r="E2473" s="7">
        <v>56.916361000000002</v>
      </c>
      <c r="F2473" s="7">
        <v>59.040000999999997</v>
      </c>
      <c r="G2473" s="7">
        <v>58.57</v>
      </c>
      <c r="H2473" s="8">
        <f t="shared" si="39"/>
        <v>-1.87411811743696E-3</v>
      </c>
    </row>
    <row r="2474" spans="2:8" x14ac:dyDescent="0.2">
      <c r="B2474" s="5">
        <v>44856</v>
      </c>
      <c r="C2474" s="6" t="s">
        <v>19</v>
      </c>
      <c r="D2474" s="7">
        <v>58.900002000000001</v>
      </c>
      <c r="E2474" s="7">
        <v>57.168720999999998</v>
      </c>
      <c r="F2474" s="7">
        <v>59.959999000000003</v>
      </c>
      <c r="G2474" s="7">
        <v>58.639999000000003</v>
      </c>
      <c r="H2474" s="8">
        <f t="shared" si="39"/>
        <v>4.4240738084940388E-3</v>
      </c>
    </row>
    <row r="2475" spans="2:8" x14ac:dyDescent="0.2">
      <c r="B2475" s="5">
        <v>44857</v>
      </c>
      <c r="C2475" s="6" t="s">
        <v>19</v>
      </c>
      <c r="D2475" s="7">
        <v>58.299999</v>
      </c>
      <c r="E2475" s="7">
        <v>56.586354999999998</v>
      </c>
      <c r="F2475" s="7">
        <v>59.279998999999997</v>
      </c>
      <c r="G2475" s="7">
        <v>58.220001000000003</v>
      </c>
      <c r="H2475" s="8">
        <f t="shared" si="39"/>
        <v>-1.0239034745553497E-2</v>
      </c>
    </row>
    <row r="2476" spans="2:8" x14ac:dyDescent="0.2">
      <c r="B2476" s="5">
        <v>44860</v>
      </c>
      <c r="C2476" s="6" t="s">
        <v>19</v>
      </c>
      <c r="D2476" s="7">
        <v>58.02</v>
      </c>
      <c r="E2476" s="7">
        <v>56.314585999999998</v>
      </c>
      <c r="F2476" s="7">
        <v>58.450001</v>
      </c>
      <c r="G2476" s="7">
        <v>57.970001000000003</v>
      </c>
      <c r="H2476" s="8">
        <f t="shared" si="39"/>
        <v>-4.8143004390023801E-3</v>
      </c>
    </row>
    <row r="2477" spans="2:8" x14ac:dyDescent="0.2">
      <c r="B2477" s="5">
        <v>44861</v>
      </c>
      <c r="C2477" s="6" t="s">
        <v>19</v>
      </c>
      <c r="D2477" s="7">
        <v>57.48</v>
      </c>
      <c r="E2477" s="7">
        <v>55.790458000000001</v>
      </c>
      <c r="F2477" s="7">
        <v>58.040000999999997</v>
      </c>
      <c r="G2477" s="7">
        <v>57.380001</v>
      </c>
      <c r="H2477" s="8">
        <f t="shared" si="39"/>
        <v>-9.3507267874538367E-3</v>
      </c>
    </row>
    <row r="2478" spans="2:8" x14ac:dyDescent="0.2">
      <c r="B2478" s="5">
        <v>44862</v>
      </c>
      <c r="C2478" s="6" t="s">
        <v>19</v>
      </c>
      <c r="D2478" s="7">
        <v>57.639999000000003</v>
      </c>
      <c r="E2478" s="7">
        <v>55.945754999999998</v>
      </c>
      <c r="F2478" s="7">
        <v>57.720001000000003</v>
      </c>
      <c r="G2478" s="7">
        <v>57.16</v>
      </c>
      <c r="H2478" s="8">
        <f t="shared" si="39"/>
        <v>2.7797093856317579E-3</v>
      </c>
    </row>
    <row r="2479" spans="2:8" x14ac:dyDescent="0.2">
      <c r="B2479" s="5">
        <v>44863</v>
      </c>
      <c r="C2479" s="6" t="s">
        <v>19</v>
      </c>
      <c r="D2479" s="7">
        <v>57.959999000000003</v>
      </c>
      <c r="E2479" s="7">
        <v>56.256349</v>
      </c>
      <c r="F2479" s="7">
        <v>58.119999</v>
      </c>
      <c r="G2479" s="7">
        <v>57.48</v>
      </c>
      <c r="H2479" s="8">
        <f t="shared" si="39"/>
        <v>5.5363452602884547E-3</v>
      </c>
    </row>
    <row r="2480" spans="2:8" x14ac:dyDescent="0.2">
      <c r="B2480" s="5">
        <v>44864</v>
      </c>
      <c r="C2480" s="6" t="s">
        <v>19</v>
      </c>
      <c r="D2480" s="7">
        <v>57.240001999999997</v>
      </c>
      <c r="E2480" s="7">
        <v>55.557515000000002</v>
      </c>
      <c r="F2480" s="7">
        <v>58.119999</v>
      </c>
      <c r="G2480" s="7">
        <v>57.240001999999997</v>
      </c>
      <c r="H2480" s="8">
        <f t="shared" si="39"/>
        <v>-1.2500115362175435E-2</v>
      </c>
    </row>
    <row r="2481" spans="2:8" x14ac:dyDescent="0.2">
      <c r="B2481" s="5">
        <v>44867</v>
      </c>
      <c r="C2481" s="6" t="s">
        <v>19</v>
      </c>
      <c r="D2481" s="7">
        <v>57.610000999999997</v>
      </c>
      <c r="E2481" s="7">
        <v>55.916637999999999</v>
      </c>
      <c r="F2481" s="7">
        <v>57.610000999999997</v>
      </c>
      <c r="G2481" s="7">
        <v>56.77</v>
      </c>
      <c r="H2481" s="8">
        <f t="shared" si="39"/>
        <v>6.4431840518892241E-3</v>
      </c>
    </row>
    <row r="2482" spans="2:8" x14ac:dyDescent="0.2">
      <c r="B2482" s="5">
        <v>44868</v>
      </c>
      <c r="C2482" s="6" t="s">
        <v>19</v>
      </c>
      <c r="D2482" s="7">
        <v>58.110000999999997</v>
      </c>
      <c r="E2482" s="7">
        <v>56.401941000000001</v>
      </c>
      <c r="F2482" s="7">
        <v>58.330002</v>
      </c>
      <c r="G2482" s="7">
        <v>57.529998999999997</v>
      </c>
      <c r="H2482" s="8">
        <f t="shared" si="39"/>
        <v>8.6415982895615955E-3</v>
      </c>
    </row>
    <row r="2483" spans="2:8" x14ac:dyDescent="0.2">
      <c r="B2483" s="5">
        <v>44869</v>
      </c>
      <c r="C2483" s="6" t="s">
        <v>19</v>
      </c>
      <c r="D2483" s="7">
        <v>58.369999</v>
      </c>
      <c r="E2483" s="7">
        <v>56.654297</v>
      </c>
      <c r="F2483" s="7">
        <v>58.759998000000003</v>
      </c>
      <c r="G2483" s="7">
        <v>58.189999</v>
      </c>
      <c r="H2483" s="8">
        <f t="shared" si="39"/>
        <v>4.4642635130619571E-3</v>
      </c>
    </row>
    <row r="2484" spans="2:8" x14ac:dyDescent="0.2">
      <c r="B2484" s="5">
        <v>44870</v>
      </c>
      <c r="C2484" s="6" t="s">
        <v>19</v>
      </c>
      <c r="D2484" s="7">
        <v>58.610000999999997</v>
      </c>
      <c r="E2484" s="7">
        <v>56.887244000000003</v>
      </c>
      <c r="F2484" s="7">
        <v>58.98</v>
      </c>
      <c r="G2484" s="7">
        <v>58.419998</v>
      </c>
      <c r="H2484" s="8">
        <f t="shared" si="39"/>
        <v>4.103296904255504E-3</v>
      </c>
    </row>
    <row r="2485" spans="2:8" x14ac:dyDescent="0.2">
      <c r="B2485" s="5">
        <v>44871</v>
      </c>
      <c r="C2485" s="6" t="s">
        <v>19</v>
      </c>
      <c r="D2485" s="7">
        <v>58.779998999999997</v>
      </c>
      <c r="E2485" s="7">
        <v>57.052245999999997</v>
      </c>
      <c r="F2485" s="7">
        <v>59.200001</v>
      </c>
      <c r="G2485" s="7">
        <v>58.310001</v>
      </c>
      <c r="H2485" s="8">
        <f t="shared" si="39"/>
        <v>2.8963112849616913E-3</v>
      </c>
    </row>
    <row r="2486" spans="2:8" x14ac:dyDescent="0.2">
      <c r="B2486" s="5">
        <v>44874</v>
      </c>
      <c r="C2486" s="6" t="s">
        <v>19</v>
      </c>
      <c r="D2486" s="7">
        <v>58.490001999999997</v>
      </c>
      <c r="E2486" s="7">
        <v>56.770772999999998</v>
      </c>
      <c r="F2486" s="7">
        <v>58.779998999999997</v>
      </c>
      <c r="G2486" s="7">
        <v>58.02</v>
      </c>
      <c r="H2486" s="8">
        <f t="shared" si="39"/>
        <v>-4.9458110711353117E-3</v>
      </c>
    </row>
    <row r="2487" spans="2:8" x14ac:dyDescent="0.2">
      <c r="B2487" s="5">
        <v>44875</v>
      </c>
      <c r="C2487" s="6" t="s">
        <v>19</v>
      </c>
      <c r="D2487" s="7">
        <v>58.68</v>
      </c>
      <c r="E2487" s="7">
        <v>56.955187000000002</v>
      </c>
      <c r="F2487" s="7">
        <v>58.709999000000003</v>
      </c>
      <c r="G2487" s="7">
        <v>58.310001</v>
      </c>
      <c r="H2487" s="8">
        <f t="shared" si="39"/>
        <v>3.2431322037186922E-3</v>
      </c>
    </row>
    <row r="2488" spans="2:8" x14ac:dyDescent="0.2">
      <c r="B2488" s="5">
        <v>44876</v>
      </c>
      <c r="C2488" s="6" t="s">
        <v>19</v>
      </c>
      <c r="D2488" s="7">
        <v>57.580002</v>
      </c>
      <c r="E2488" s="7">
        <v>55.887521</v>
      </c>
      <c r="F2488" s="7">
        <v>58.73</v>
      </c>
      <c r="G2488" s="7">
        <v>57.470001000000003</v>
      </c>
      <c r="H2488" s="8">
        <f t="shared" si="39"/>
        <v>-1.8923648325420758E-2</v>
      </c>
    </row>
    <row r="2489" spans="2:8" x14ac:dyDescent="0.2">
      <c r="B2489" s="5">
        <v>44877</v>
      </c>
      <c r="C2489" s="6" t="s">
        <v>19</v>
      </c>
      <c r="D2489" s="7">
        <v>56.950001</v>
      </c>
      <c r="E2489" s="7">
        <v>55.276038</v>
      </c>
      <c r="F2489" s="7">
        <v>57.77</v>
      </c>
      <c r="G2489" s="7">
        <v>56.919998</v>
      </c>
      <c r="H2489" s="8">
        <f t="shared" si="39"/>
        <v>-1.1001611914596027E-2</v>
      </c>
    </row>
    <row r="2490" spans="2:8" x14ac:dyDescent="0.2">
      <c r="B2490" s="5">
        <v>44878</v>
      </c>
      <c r="C2490" s="6" t="s">
        <v>19</v>
      </c>
      <c r="D2490" s="7">
        <v>56.419998</v>
      </c>
      <c r="E2490" s="7">
        <v>54.761614000000002</v>
      </c>
      <c r="F2490" s="7">
        <v>57.060001</v>
      </c>
      <c r="G2490" s="7">
        <v>56.299999</v>
      </c>
      <c r="H2490" s="8">
        <f t="shared" si="39"/>
        <v>-9.350031345737515E-3</v>
      </c>
    </row>
    <row r="2491" spans="2:8" x14ac:dyDescent="0.2">
      <c r="B2491" s="5">
        <v>44881</v>
      </c>
      <c r="C2491" s="6" t="s">
        <v>19</v>
      </c>
      <c r="D2491" s="7">
        <v>57.869999</v>
      </c>
      <c r="E2491" s="7">
        <v>56.168993999999998</v>
      </c>
      <c r="F2491" s="7">
        <v>58.029998999999997</v>
      </c>
      <c r="G2491" s="7">
        <v>56.360000999999997</v>
      </c>
      <c r="H2491" s="8">
        <f t="shared" si="39"/>
        <v>2.5375422413071745E-2</v>
      </c>
    </row>
    <row r="2492" spans="2:8" x14ac:dyDescent="0.2">
      <c r="B2492" s="5">
        <v>44882</v>
      </c>
      <c r="C2492" s="6" t="s">
        <v>19</v>
      </c>
      <c r="D2492" s="7">
        <v>59.919998</v>
      </c>
      <c r="E2492" s="7">
        <v>58.158735999999998</v>
      </c>
      <c r="F2492" s="7">
        <v>60.900002000000001</v>
      </c>
      <c r="G2492" s="7">
        <v>59.200001</v>
      </c>
      <c r="H2492" s="8">
        <f t="shared" si="39"/>
        <v>3.4811203371532956E-2</v>
      </c>
    </row>
    <row r="2493" spans="2:8" x14ac:dyDescent="0.2">
      <c r="B2493" s="5">
        <v>44883</v>
      </c>
      <c r="C2493" s="6" t="s">
        <v>19</v>
      </c>
      <c r="D2493" s="7">
        <v>60.93</v>
      </c>
      <c r="E2493" s="7">
        <v>59.139051000000002</v>
      </c>
      <c r="F2493" s="7">
        <v>61.07</v>
      </c>
      <c r="G2493" s="7">
        <v>59.549999</v>
      </c>
      <c r="H2493" s="8">
        <f t="shared" si="39"/>
        <v>1.6715367787496445E-2</v>
      </c>
    </row>
    <row r="2494" spans="2:8" x14ac:dyDescent="0.2">
      <c r="B2494" s="5">
        <v>44884</v>
      </c>
      <c r="C2494" s="6" t="s">
        <v>19</v>
      </c>
      <c r="D2494" s="7">
        <v>60.700001</v>
      </c>
      <c r="E2494" s="7">
        <v>58.915812000000003</v>
      </c>
      <c r="F2494" s="7">
        <v>61.360000999999997</v>
      </c>
      <c r="G2494" s="7">
        <v>60.43</v>
      </c>
      <c r="H2494" s="8">
        <f t="shared" si="39"/>
        <v>-3.7819579882288424E-3</v>
      </c>
    </row>
    <row r="2495" spans="2:8" x14ac:dyDescent="0.2">
      <c r="B2495" s="5">
        <v>44885</v>
      </c>
      <c r="C2495" s="6" t="s">
        <v>19</v>
      </c>
      <c r="D2495" s="7">
        <v>60.07</v>
      </c>
      <c r="E2495" s="7">
        <v>58.304329000000003</v>
      </c>
      <c r="F2495" s="7">
        <v>61.470001000000003</v>
      </c>
      <c r="G2495" s="7">
        <v>60.02</v>
      </c>
      <c r="H2495" s="8">
        <f t="shared" si="39"/>
        <v>-1.0433165179318388E-2</v>
      </c>
    </row>
    <row r="2496" spans="2:8" x14ac:dyDescent="0.2">
      <c r="B2496" s="5">
        <v>44888</v>
      </c>
      <c r="C2496" s="6" t="s">
        <v>19</v>
      </c>
      <c r="D2496" s="7">
        <v>60.259998000000003</v>
      </c>
      <c r="E2496" s="7">
        <v>58.488742999999999</v>
      </c>
      <c r="F2496" s="7">
        <v>60.740001999999997</v>
      </c>
      <c r="G2496" s="7">
        <v>59.880001</v>
      </c>
      <c r="H2496" s="8">
        <f t="shared" si="39"/>
        <v>3.1579639117518439E-3</v>
      </c>
    </row>
    <row r="2497" spans="2:8" x14ac:dyDescent="0.2">
      <c r="B2497" s="5">
        <v>44889</v>
      </c>
      <c r="C2497" s="6" t="s">
        <v>19</v>
      </c>
      <c r="D2497" s="7">
        <v>59.919998</v>
      </c>
      <c r="E2497" s="7">
        <v>58.158735999999998</v>
      </c>
      <c r="F2497" s="7">
        <v>60.419998</v>
      </c>
      <c r="G2497" s="7">
        <v>59.860000999999997</v>
      </c>
      <c r="H2497" s="8">
        <f t="shared" si="39"/>
        <v>-5.6582085317010821E-3</v>
      </c>
    </row>
    <row r="2498" spans="2:8" x14ac:dyDescent="0.2">
      <c r="B2498" s="5">
        <v>44890</v>
      </c>
      <c r="C2498" s="6" t="s">
        <v>19</v>
      </c>
      <c r="D2498" s="7">
        <v>60.240001999999997</v>
      </c>
      <c r="E2498" s="7">
        <v>58.469334000000003</v>
      </c>
      <c r="F2498" s="7">
        <v>60.709999000000003</v>
      </c>
      <c r="G2498" s="7">
        <v>59.880001</v>
      </c>
      <c r="H2498" s="8">
        <f t="shared" si="39"/>
        <v>5.3263118268987173E-3</v>
      </c>
    </row>
    <row r="2499" spans="2:8" x14ac:dyDescent="0.2">
      <c r="B2499" s="5">
        <v>44892</v>
      </c>
      <c r="C2499" s="6" t="s">
        <v>19</v>
      </c>
      <c r="D2499" s="7">
        <v>59.889999000000003</v>
      </c>
      <c r="E2499" s="7">
        <v>58.129618999999998</v>
      </c>
      <c r="F2499" s="7">
        <v>60.689999</v>
      </c>
      <c r="G2499" s="7">
        <v>59.869999</v>
      </c>
      <c r="H2499" s="8">
        <f t="shared" si="39"/>
        <v>-5.8270842491843187E-3</v>
      </c>
    </row>
    <row r="2500" spans="2:8" x14ac:dyDescent="0.2">
      <c r="B2500" s="5">
        <v>44895</v>
      </c>
      <c r="C2500" s="6" t="s">
        <v>19</v>
      </c>
      <c r="D2500" s="7">
        <v>58.84</v>
      </c>
      <c r="E2500" s="7">
        <v>57.110483000000002</v>
      </c>
      <c r="F2500" s="7">
        <v>60.060001</v>
      </c>
      <c r="G2500" s="7">
        <v>58.73</v>
      </c>
      <c r="H2500" s="8">
        <f t="shared" ref="H2500:H2522" si="40">IF(C2500=C2499, LN(E2500/E2499), "")</f>
        <v>-1.7687637412886696E-2</v>
      </c>
    </row>
    <row r="2501" spans="2:8" x14ac:dyDescent="0.2">
      <c r="B2501" s="5">
        <v>44896</v>
      </c>
      <c r="C2501" s="6" t="s">
        <v>19</v>
      </c>
      <c r="D2501" s="7">
        <v>58.990001999999997</v>
      </c>
      <c r="E2501" s="7">
        <v>57.256076</v>
      </c>
      <c r="F2501" s="7">
        <v>59.290000999999997</v>
      </c>
      <c r="G2501" s="7">
        <v>58.650002000000001</v>
      </c>
      <c r="H2501" s="8">
        <f t="shared" si="40"/>
        <v>2.5460778032273092E-3</v>
      </c>
    </row>
    <row r="2502" spans="2:8" x14ac:dyDescent="0.2">
      <c r="B2502" s="5">
        <v>44897</v>
      </c>
      <c r="C2502" s="6" t="s">
        <v>19</v>
      </c>
      <c r="D2502" s="7">
        <v>58.349997999999999</v>
      </c>
      <c r="E2502" s="7">
        <v>57.109260999999996</v>
      </c>
      <c r="F2502" s="7">
        <v>59.290000999999997</v>
      </c>
      <c r="G2502" s="7">
        <v>58.32</v>
      </c>
      <c r="H2502" s="8">
        <f t="shared" si="40"/>
        <v>-2.5674751546352968E-3</v>
      </c>
    </row>
    <row r="2503" spans="2:8" x14ac:dyDescent="0.2">
      <c r="B2503" s="5">
        <v>44898</v>
      </c>
      <c r="C2503" s="6" t="s">
        <v>19</v>
      </c>
      <c r="D2503" s="7">
        <v>59.040000999999997</v>
      </c>
      <c r="E2503" s="7">
        <v>57.784590999999999</v>
      </c>
      <c r="F2503" s="7">
        <v>59.66</v>
      </c>
      <c r="G2503" s="7">
        <v>58.599997999999999</v>
      </c>
      <c r="H2503" s="8">
        <f t="shared" si="40"/>
        <v>1.1755855788363084E-2</v>
      </c>
    </row>
    <row r="2504" spans="2:8" x14ac:dyDescent="0.2">
      <c r="B2504" s="5">
        <v>44899</v>
      </c>
      <c r="C2504" s="6" t="s">
        <v>19</v>
      </c>
      <c r="D2504" s="7">
        <v>59.66</v>
      </c>
      <c r="E2504" s="7">
        <v>58.391406000000003</v>
      </c>
      <c r="F2504" s="7">
        <v>59.849997999999999</v>
      </c>
      <c r="G2504" s="7">
        <v>59.029998999999997</v>
      </c>
      <c r="H2504" s="8">
        <f t="shared" si="40"/>
        <v>1.0446573030255452E-2</v>
      </c>
    </row>
    <row r="2505" spans="2:8" x14ac:dyDescent="0.2">
      <c r="B2505" s="5">
        <v>44902</v>
      </c>
      <c r="C2505" s="6" t="s">
        <v>19</v>
      </c>
      <c r="D2505" s="7">
        <v>60.5</v>
      </c>
      <c r="E2505" s="7">
        <v>59.213545000000003</v>
      </c>
      <c r="F2505" s="7">
        <v>60.73</v>
      </c>
      <c r="G2505" s="7">
        <v>59.57</v>
      </c>
      <c r="H2505" s="8">
        <f t="shared" si="40"/>
        <v>1.3981594923550358E-2</v>
      </c>
    </row>
    <row r="2506" spans="2:8" x14ac:dyDescent="0.2">
      <c r="B2506" s="5">
        <v>44903</v>
      </c>
      <c r="C2506" s="6" t="s">
        <v>19</v>
      </c>
      <c r="D2506" s="7">
        <v>59.610000999999997</v>
      </c>
      <c r="E2506" s="7">
        <v>58.342469999999999</v>
      </c>
      <c r="F2506" s="7">
        <v>60.490001999999997</v>
      </c>
      <c r="G2506" s="7">
        <v>59.5</v>
      </c>
      <c r="H2506" s="8">
        <f t="shared" si="40"/>
        <v>-1.4820014832894156E-2</v>
      </c>
    </row>
    <row r="2507" spans="2:8" x14ac:dyDescent="0.2">
      <c r="B2507" s="5">
        <v>44904</v>
      </c>
      <c r="C2507" s="6" t="s">
        <v>19</v>
      </c>
      <c r="D2507" s="7">
        <v>59.130001</v>
      </c>
      <c r="E2507" s="7">
        <v>57.872677000000003</v>
      </c>
      <c r="F2507" s="7">
        <v>60.110000999999997</v>
      </c>
      <c r="G2507" s="7">
        <v>58.900002000000001</v>
      </c>
      <c r="H2507" s="8">
        <f t="shared" si="40"/>
        <v>-8.0849281899626358E-3</v>
      </c>
    </row>
    <row r="2508" spans="2:8" x14ac:dyDescent="0.2">
      <c r="B2508" s="5">
        <v>44905</v>
      </c>
      <c r="C2508" s="6" t="s">
        <v>19</v>
      </c>
      <c r="D2508" s="7">
        <v>59.560001</v>
      </c>
      <c r="E2508" s="7">
        <v>58.293534000000001</v>
      </c>
      <c r="F2508" s="7">
        <v>60.09</v>
      </c>
      <c r="G2508" s="7">
        <v>59.09</v>
      </c>
      <c r="H2508" s="8">
        <f t="shared" si="40"/>
        <v>7.2458047427733365E-3</v>
      </c>
    </row>
    <row r="2509" spans="2:8" x14ac:dyDescent="0.2">
      <c r="B2509" s="5">
        <v>44906</v>
      </c>
      <c r="C2509" s="6" t="s">
        <v>19</v>
      </c>
      <c r="D2509" s="7">
        <v>59.360000999999997</v>
      </c>
      <c r="E2509" s="7">
        <v>58.097785999999999</v>
      </c>
      <c r="F2509" s="7">
        <v>59.529998999999997</v>
      </c>
      <c r="G2509" s="7">
        <v>58.810001</v>
      </c>
      <c r="H2509" s="8">
        <f t="shared" si="40"/>
        <v>-3.3636216954478497E-3</v>
      </c>
    </row>
    <row r="2510" spans="2:8" x14ac:dyDescent="0.2">
      <c r="B2510" s="5">
        <v>44909</v>
      </c>
      <c r="C2510" s="6" t="s">
        <v>19</v>
      </c>
      <c r="D2510" s="7">
        <v>60.389999000000003</v>
      </c>
      <c r="E2510" s="7">
        <v>59.105882999999999</v>
      </c>
      <c r="F2510" s="7">
        <v>60.439999</v>
      </c>
      <c r="G2510" s="7">
        <v>59.07</v>
      </c>
      <c r="H2510" s="8">
        <f t="shared" si="40"/>
        <v>1.7202906185948465E-2</v>
      </c>
    </row>
    <row r="2511" spans="2:8" x14ac:dyDescent="0.2">
      <c r="B2511" s="5">
        <v>44910</v>
      </c>
      <c r="C2511" s="6" t="s">
        <v>19</v>
      </c>
      <c r="D2511" s="7">
        <v>59.639999000000003</v>
      </c>
      <c r="E2511" s="7">
        <v>58.371831</v>
      </c>
      <c r="F2511" s="7">
        <v>60.84</v>
      </c>
      <c r="G2511" s="7">
        <v>59.57</v>
      </c>
      <c r="H2511" s="8">
        <f t="shared" si="40"/>
        <v>-1.2497035027599527E-2</v>
      </c>
    </row>
    <row r="2512" spans="2:8" x14ac:dyDescent="0.2">
      <c r="B2512" s="5">
        <v>44911</v>
      </c>
      <c r="C2512" s="6" t="s">
        <v>19</v>
      </c>
      <c r="D2512" s="7">
        <v>60.299999</v>
      </c>
      <c r="E2512" s="7">
        <v>59.017797000000002</v>
      </c>
      <c r="F2512" s="7">
        <v>60.650002000000001</v>
      </c>
      <c r="G2512" s="7">
        <v>59.700001</v>
      </c>
      <c r="H2512" s="8">
        <f t="shared" si="40"/>
        <v>1.1005614910520259E-2</v>
      </c>
    </row>
    <row r="2513" spans="2:8" x14ac:dyDescent="0.2">
      <c r="B2513" s="5">
        <v>44912</v>
      </c>
      <c r="C2513" s="6" t="s">
        <v>19</v>
      </c>
      <c r="D2513" s="7">
        <v>58.98</v>
      </c>
      <c r="E2513" s="7">
        <v>57.725864999999999</v>
      </c>
      <c r="F2513" s="7">
        <v>60.330002</v>
      </c>
      <c r="G2513" s="7">
        <v>58.970001000000003</v>
      </c>
      <c r="H2513" s="8">
        <f t="shared" si="40"/>
        <v>-2.2133702517880705E-2</v>
      </c>
    </row>
    <row r="2514" spans="2:8" x14ac:dyDescent="0.2">
      <c r="B2514" s="5">
        <v>44913</v>
      </c>
      <c r="C2514" s="6" t="s">
        <v>19</v>
      </c>
      <c r="D2514" s="7">
        <v>58.849997999999999</v>
      </c>
      <c r="E2514" s="7">
        <v>57.598629000000003</v>
      </c>
      <c r="F2514" s="7">
        <v>59.400002000000001</v>
      </c>
      <c r="G2514" s="7">
        <v>58.75</v>
      </c>
      <c r="H2514" s="8">
        <f t="shared" si="40"/>
        <v>-2.2065746349721315E-3</v>
      </c>
    </row>
    <row r="2515" spans="2:8" x14ac:dyDescent="0.2">
      <c r="B2515" s="5">
        <v>44916</v>
      </c>
      <c r="C2515" s="6" t="s">
        <v>19</v>
      </c>
      <c r="D2515" s="7">
        <v>59.549999</v>
      </c>
      <c r="E2515" s="7">
        <v>58.283745000000003</v>
      </c>
      <c r="F2515" s="7">
        <v>59.580002</v>
      </c>
      <c r="G2515" s="7">
        <v>58.669998</v>
      </c>
      <c r="H2515" s="8">
        <f t="shared" si="40"/>
        <v>1.1824472678118828E-2</v>
      </c>
    </row>
    <row r="2516" spans="2:8" x14ac:dyDescent="0.2">
      <c r="B2516" s="5">
        <v>44917</v>
      </c>
      <c r="C2516" s="6" t="s">
        <v>19</v>
      </c>
      <c r="D2516" s="7">
        <v>60.540000999999997</v>
      </c>
      <c r="E2516" s="7">
        <v>59.252695000000003</v>
      </c>
      <c r="F2516" s="7">
        <v>60.700001</v>
      </c>
      <c r="G2516" s="7">
        <v>59.610000999999997</v>
      </c>
      <c r="H2516" s="8">
        <f t="shared" si="40"/>
        <v>1.6488026199529396E-2</v>
      </c>
    </row>
    <row r="2517" spans="2:8" x14ac:dyDescent="0.2">
      <c r="B2517" s="5">
        <v>44918</v>
      </c>
      <c r="C2517" s="6" t="s">
        <v>19</v>
      </c>
      <c r="D2517" s="7">
        <v>61.09</v>
      </c>
      <c r="E2517" s="7">
        <v>59.790999999999997</v>
      </c>
      <c r="F2517" s="7">
        <v>61.119999</v>
      </c>
      <c r="G2517" s="7">
        <v>60.439999</v>
      </c>
      <c r="H2517" s="8">
        <f t="shared" si="40"/>
        <v>9.043883744945809E-3</v>
      </c>
    </row>
    <row r="2518" spans="2:8" x14ac:dyDescent="0.2">
      <c r="B2518" s="5">
        <v>44919</v>
      </c>
      <c r="C2518" s="6" t="s">
        <v>19</v>
      </c>
      <c r="D2518" s="7">
        <v>60.830002</v>
      </c>
      <c r="E2518" s="7">
        <v>59.536529999999999</v>
      </c>
      <c r="F2518" s="7">
        <v>61.099997999999999</v>
      </c>
      <c r="G2518" s="7">
        <v>60.68</v>
      </c>
      <c r="H2518" s="8">
        <f t="shared" si="40"/>
        <v>-4.2650742163554073E-3</v>
      </c>
    </row>
    <row r="2519" spans="2:8" x14ac:dyDescent="0.2">
      <c r="B2519" s="5">
        <v>44923</v>
      </c>
      <c r="C2519" s="6" t="s">
        <v>19</v>
      </c>
      <c r="D2519" s="7">
        <v>60.75</v>
      </c>
      <c r="E2519" s="7">
        <v>59.458229000000003</v>
      </c>
      <c r="F2519" s="7">
        <v>60.970001000000003</v>
      </c>
      <c r="G2519" s="7">
        <v>60.5</v>
      </c>
      <c r="H2519" s="8">
        <f t="shared" si="40"/>
        <v>-1.3160413443286663E-3</v>
      </c>
    </row>
    <row r="2520" spans="2:8" x14ac:dyDescent="0.2">
      <c r="B2520" s="5">
        <v>44924</v>
      </c>
      <c r="C2520" s="6" t="s">
        <v>19</v>
      </c>
      <c r="D2520" s="7">
        <v>61.610000999999997</v>
      </c>
      <c r="E2520" s="7">
        <v>60.299942999999999</v>
      </c>
      <c r="F2520" s="7">
        <v>61.75</v>
      </c>
      <c r="G2520" s="7">
        <v>60.98</v>
      </c>
      <c r="H2520" s="8">
        <f t="shared" si="40"/>
        <v>1.4057126061912973E-2</v>
      </c>
    </row>
    <row r="2521" spans="2:8" x14ac:dyDescent="0.2">
      <c r="B2521" s="5">
        <v>44925</v>
      </c>
      <c r="C2521" s="6" t="s">
        <v>19</v>
      </c>
      <c r="D2521" s="7">
        <v>61.68</v>
      </c>
      <c r="E2521" s="7">
        <v>60.368454</v>
      </c>
      <c r="F2521" s="7">
        <v>61.869999</v>
      </c>
      <c r="G2521" s="7">
        <v>61.490001999999997</v>
      </c>
      <c r="H2521" s="8">
        <f t="shared" si="40"/>
        <v>1.1355252752982231E-3</v>
      </c>
    </row>
    <row r="2522" spans="2:8" x14ac:dyDescent="0.2">
      <c r="B2522" s="5">
        <v>44926</v>
      </c>
      <c r="C2522" s="6" t="s">
        <v>19</v>
      </c>
      <c r="D2522" s="7">
        <v>61.299999</v>
      </c>
      <c r="E2522" s="7">
        <v>59.996532999999999</v>
      </c>
      <c r="F2522" s="7">
        <v>61.720001000000003</v>
      </c>
      <c r="G2522" s="7">
        <v>61.169998</v>
      </c>
      <c r="H2522" s="8">
        <f t="shared" si="40"/>
        <v>-6.1799065151131134E-3</v>
      </c>
    </row>
  </sheetData>
  <pageMargins left="0.7" right="0.7" top="0.75" bottom="0.75" header="0.3" footer="0.3"/>
  <pageSetup scale="65" fitToHeight="0" orientation="landscape" r:id="rId1"/>
  <ignoredErrors>
    <ignoredError sqref="J18 J20 J27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BE57-B979-FF4C-91A0-2C0C30595E28}">
  <sheetPr>
    <pageSetUpPr fitToPage="1"/>
  </sheetPr>
  <dimension ref="B1:P2522"/>
  <sheetViews>
    <sheetView topLeftCell="J25" zoomScale="125" zoomScaleNormal="115" workbookViewId="0">
      <selection activeCell="L35" sqref="L35"/>
    </sheetView>
  </sheetViews>
  <sheetFormatPr baseColWidth="10" defaultColWidth="8.83203125" defaultRowHeight="15" x14ac:dyDescent="0.2"/>
  <cols>
    <col min="1" max="1" width="1.33203125" customWidth="1"/>
    <col min="2" max="2" width="12.83203125" style="5" customWidth="1"/>
    <col min="3" max="3" width="6" style="6" bestFit="1" customWidth="1"/>
    <col min="4" max="5" width="11" style="7" customWidth="1"/>
    <col min="6" max="7" width="11" style="7" bestFit="1" customWidth="1"/>
    <col min="8" max="8" width="13" style="6" customWidth="1"/>
    <col min="9" max="9" width="2.5" customWidth="1"/>
    <col min="10" max="10" width="43.1640625" customWidth="1"/>
    <col min="11" max="11" width="22.6640625" customWidth="1"/>
    <col min="12" max="12" width="13.5" customWidth="1"/>
    <col min="13" max="13" width="14" customWidth="1"/>
    <col min="14" max="14" width="19" customWidth="1"/>
    <col min="15" max="15" width="13.5" customWidth="1"/>
    <col min="16" max="16" width="14.5" customWidth="1"/>
  </cols>
  <sheetData>
    <row r="1" spans="2:16" x14ac:dyDescent="0.2">
      <c r="H1" s="9" t="s">
        <v>11</v>
      </c>
    </row>
    <row r="2" spans="2:16" x14ac:dyDescent="0.2">
      <c r="B2" s="1" t="s">
        <v>0</v>
      </c>
      <c r="C2" s="2" t="s">
        <v>1</v>
      </c>
      <c r="D2" s="3" t="s">
        <v>4</v>
      </c>
      <c r="E2" s="3" t="s">
        <v>5</v>
      </c>
      <c r="F2" s="3" t="s">
        <v>2</v>
      </c>
      <c r="G2" s="3" t="s">
        <v>3</v>
      </c>
      <c r="H2" s="4" t="s">
        <v>6</v>
      </c>
      <c r="J2" s="12"/>
      <c r="K2" s="12"/>
      <c r="L2" s="2"/>
      <c r="M2" s="2"/>
      <c r="N2" s="2"/>
    </row>
    <row r="3" spans="2:16" x14ac:dyDescent="0.2">
      <c r="B3" s="5">
        <v>44198</v>
      </c>
      <c r="C3" s="6" t="s">
        <v>15</v>
      </c>
      <c r="D3" s="7">
        <v>182.91999799999999</v>
      </c>
      <c r="E3" s="7">
        <v>173.980006</v>
      </c>
      <c r="F3" s="7">
        <v>184.070007</v>
      </c>
      <c r="G3" s="7">
        <v>182.479996</v>
      </c>
      <c r="H3" s="8"/>
      <c r="J3" s="11" t="s">
        <v>29</v>
      </c>
      <c r="K3" s="39" cm="1">
        <f t="array" ref="K3">_xlfn.STDEV.S(IF(C:C="BBB", H:H))</f>
        <v>0.259372804983516</v>
      </c>
      <c r="L3" s="9" t="s">
        <v>10</v>
      </c>
      <c r="M3" t="str">
        <f ca="1">_xlfn.FORMULATEXT(K3)</f>
        <v>=STDEV.S(IF(C:C="BBB", H:H))</v>
      </c>
    </row>
    <row r="4" spans="2:16" x14ac:dyDescent="0.2">
      <c r="B4" s="5">
        <v>44199</v>
      </c>
      <c r="C4" s="6" t="s">
        <v>15</v>
      </c>
      <c r="D4" s="7">
        <v>182.88999899999999</v>
      </c>
      <c r="E4" s="7">
        <v>173.95147299999999</v>
      </c>
      <c r="F4" s="7">
        <v>183.60000600000001</v>
      </c>
      <c r="G4" s="7">
        <v>182.63000500000001</v>
      </c>
      <c r="H4" s="8">
        <f t="shared" ref="H4:H67" si="0">(D4-D3)/D3</f>
        <v>-1.640006578176524E-4</v>
      </c>
      <c r="J4" s="11" t="s">
        <v>26</v>
      </c>
      <c r="K4" s="39">
        <f>AVERAGE(H:H)</f>
        <v>2.27890261871105E-3</v>
      </c>
      <c r="L4" s="9" t="s">
        <v>7</v>
      </c>
      <c r="M4" s="38">
        <f>(K6*M6+K7*M7+K8*M8)/K5</f>
        <v>0.12474126634745944</v>
      </c>
      <c r="N4" t="s">
        <v>54</v>
      </c>
    </row>
    <row r="5" spans="2:16" x14ac:dyDescent="0.2">
      <c r="B5" s="5">
        <v>44202</v>
      </c>
      <c r="C5" s="6" t="s">
        <v>15</v>
      </c>
      <c r="D5" s="7">
        <v>182.36000100000001</v>
      </c>
      <c r="E5" s="7">
        <v>173.44737799999999</v>
      </c>
      <c r="F5" s="7">
        <v>183.55999800000001</v>
      </c>
      <c r="G5" s="7">
        <v>182.08000200000001</v>
      </c>
      <c r="H5" s="8">
        <f t="shared" si="0"/>
        <v>-2.8979058608884227E-3</v>
      </c>
      <c r="J5" s="10" t="s">
        <v>53</v>
      </c>
      <c r="K5" s="37">
        <f>SUM(K6:K8)</f>
        <v>69965</v>
      </c>
      <c r="L5" s="10"/>
      <c r="M5" s="10"/>
    </row>
    <row r="6" spans="2:16" x14ac:dyDescent="0.2">
      <c r="B6" s="5">
        <v>44203</v>
      </c>
      <c r="C6" s="6" t="s">
        <v>15</v>
      </c>
      <c r="D6" s="7">
        <v>183.479996</v>
      </c>
      <c r="E6" s="7">
        <v>174.51263399999999</v>
      </c>
      <c r="F6" s="7">
        <v>183.78999300000001</v>
      </c>
      <c r="G6" s="7">
        <v>182.949997</v>
      </c>
      <c r="H6" s="8">
        <f t="shared" si="0"/>
        <v>6.1416702887602459E-3</v>
      </c>
      <c r="J6" s="15" t="s">
        <v>52</v>
      </c>
      <c r="K6" s="37">
        <v>29408</v>
      </c>
      <c r="L6" s="15" t="s">
        <v>51</v>
      </c>
      <c r="M6" s="15">
        <v>7.22E-2</v>
      </c>
    </row>
    <row r="7" spans="2:16" x14ac:dyDescent="0.2">
      <c r="B7" s="5">
        <v>44204</v>
      </c>
      <c r="C7" s="6" t="s">
        <v>15</v>
      </c>
      <c r="D7" s="7">
        <v>183.520004</v>
      </c>
      <c r="E7" s="7">
        <v>174.55068800000001</v>
      </c>
      <c r="F7" s="7">
        <v>183.83000200000001</v>
      </c>
      <c r="G7" s="7">
        <v>182.88999899999999</v>
      </c>
      <c r="H7" s="8">
        <f t="shared" si="0"/>
        <v>2.1805101848814225E-4</v>
      </c>
      <c r="J7" s="18" t="s">
        <v>50</v>
      </c>
      <c r="K7" s="37">
        <v>28572</v>
      </c>
      <c r="L7" s="18" t="s">
        <v>49</v>
      </c>
      <c r="M7" s="36">
        <f>14.83%</f>
        <v>0.14829999999999999</v>
      </c>
    </row>
    <row r="8" spans="2:16" x14ac:dyDescent="0.2">
      <c r="B8" s="5">
        <v>44205</v>
      </c>
      <c r="C8" s="6" t="s">
        <v>15</v>
      </c>
      <c r="D8" s="7">
        <v>183.63999899999999</v>
      </c>
      <c r="E8" s="7">
        <v>174.664818</v>
      </c>
      <c r="F8" s="7">
        <v>184.13000500000001</v>
      </c>
      <c r="G8" s="7">
        <v>182.800003</v>
      </c>
      <c r="H8" s="8">
        <f t="shared" si="0"/>
        <v>6.5385242689940625E-4</v>
      </c>
      <c r="J8" t="s">
        <v>48</v>
      </c>
      <c r="K8" s="35">
        <v>11985</v>
      </c>
      <c r="L8" t="s">
        <v>47</v>
      </c>
      <c r="M8" s="33">
        <v>0.19750000000000001</v>
      </c>
    </row>
    <row r="9" spans="2:16" x14ac:dyDescent="0.2">
      <c r="B9" s="5">
        <v>44206</v>
      </c>
      <c r="C9" s="6" t="s">
        <v>15</v>
      </c>
      <c r="D9" s="7">
        <v>184.13999899999999</v>
      </c>
      <c r="E9" s="7">
        <v>175.14038099999999</v>
      </c>
      <c r="F9" s="7">
        <v>184.220001</v>
      </c>
      <c r="G9" s="7">
        <v>183.009995</v>
      </c>
      <c r="H9" s="8">
        <f t="shared" si="0"/>
        <v>2.7227183768390242E-3</v>
      </c>
      <c r="J9" s="9" t="s">
        <v>28</v>
      </c>
      <c r="K9" s="6" t="s">
        <v>27</v>
      </c>
      <c r="L9" s="6"/>
      <c r="M9" s="6"/>
      <c r="N9" s="6"/>
      <c r="O9" s="6"/>
    </row>
    <row r="10" spans="2:16" ht="16" x14ac:dyDescent="0.2">
      <c r="B10" s="5">
        <v>44209</v>
      </c>
      <c r="C10" s="6" t="s">
        <v>15</v>
      </c>
      <c r="D10" s="7">
        <v>181.69000199999999</v>
      </c>
      <c r="E10" s="7">
        <v>172.810125</v>
      </c>
      <c r="F10" s="7">
        <v>184.179993</v>
      </c>
      <c r="G10" s="7">
        <v>181.33999600000001</v>
      </c>
      <c r="H10" s="8">
        <f t="shared" si="0"/>
        <v>-1.3305077730558673E-2</v>
      </c>
      <c r="J10" s="13" t="s">
        <v>9</v>
      </c>
      <c r="K10" s="2" t="s">
        <v>22</v>
      </c>
      <c r="L10" s="2" t="s">
        <v>21</v>
      </c>
      <c r="M10" s="2" t="s">
        <v>20</v>
      </c>
      <c r="N10" s="2" t="s">
        <v>23</v>
      </c>
      <c r="O10" s="2" t="s">
        <v>24</v>
      </c>
      <c r="P10" s="2" t="s">
        <v>25</v>
      </c>
    </row>
    <row r="11" spans="2:16" x14ac:dyDescent="0.2">
      <c r="B11" s="5">
        <v>44210</v>
      </c>
      <c r="C11" s="6" t="s">
        <v>15</v>
      </c>
      <c r="D11" s="7">
        <v>183.66999799999999</v>
      </c>
      <c r="E11" s="7">
        <v>174.69335100000001</v>
      </c>
      <c r="F11" s="7">
        <v>183.770004</v>
      </c>
      <c r="G11" s="7">
        <v>181.949997</v>
      </c>
      <c r="H11" s="8">
        <f t="shared" si="0"/>
        <v>1.0897660730941046E-2</v>
      </c>
      <c r="J11" s="5">
        <v>44229</v>
      </c>
      <c r="K11" s="14">
        <v>4.4200000000000003E-2</v>
      </c>
      <c r="L11" s="14">
        <v>-0.32579999999999998</v>
      </c>
      <c r="M11" s="15">
        <v>1.4352742154177469E-2</v>
      </c>
      <c r="N11" s="14">
        <v>-0.28689999999999999</v>
      </c>
      <c r="O11" s="15">
        <v>-0.11645651314446717</v>
      </c>
      <c r="P11" s="15">
        <v>2.0218082921265146E-2</v>
      </c>
    </row>
    <row r="12" spans="2:16" x14ac:dyDescent="0.2">
      <c r="B12" s="5">
        <v>44211</v>
      </c>
      <c r="C12" s="6" t="s">
        <v>15</v>
      </c>
      <c r="D12" s="7">
        <v>184.66000399999999</v>
      </c>
      <c r="E12" s="7">
        <v>175.63497100000001</v>
      </c>
      <c r="F12" s="7">
        <v>184.94000199999999</v>
      </c>
      <c r="G12" s="7">
        <v>183.71000699999999</v>
      </c>
      <c r="H12" s="8">
        <f t="shared" si="0"/>
        <v>5.3901345390116135E-3</v>
      </c>
      <c r="J12" s="5">
        <f t="shared" ref="J12:J17" si="1">J11+30</f>
        <v>44259</v>
      </c>
      <c r="K12" s="14">
        <v>6.2E-2</v>
      </c>
      <c r="L12" s="14">
        <v>0.1726</v>
      </c>
      <c r="M12" s="15">
        <v>-2.569709000633548E-2</v>
      </c>
      <c r="N12" s="14">
        <v>0.1235</v>
      </c>
      <c r="O12" s="15">
        <v>8.1952693217763314E-2</v>
      </c>
      <c r="P12" s="15">
        <v>-3.2236138017898978E-2</v>
      </c>
    </row>
    <row r="13" spans="2:16" x14ac:dyDescent="0.2">
      <c r="B13" s="5">
        <v>44212</v>
      </c>
      <c r="C13" s="6" t="s">
        <v>15</v>
      </c>
      <c r="D13" s="7">
        <v>184.41999799999999</v>
      </c>
      <c r="E13" s="7">
        <v>175.40669500000001</v>
      </c>
      <c r="F13" s="7">
        <v>184.66000399999999</v>
      </c>
      <c r="G13" s="7">
        <v>183.83000200000001</v>
      </c>
      <c r="H13" s="8">
        <f t="shared" si="0"/>
        <v>-1.299718373232538E-3</v>
      </c>
      <c r="J13" s="5">
        <f t="shared" si="1"/>
        <v>44289</v>
      </c>
      <c r="K13" s="14">
        <v>-3.3300000000000003E-2</v>
      </c>
      <c r="L13" s="14">
        <v>0.22439999999999999</v>
      </c>
      <c r="M13" s="15">
        <v>-3.3909214073539314E-2</v>
      </c>
      <c r="N13" s="14">
        <v>0.1183</v>
      </c>
      <c r="O13" s="15">
        <v>8.9772218896205111E-2</v>
      </c>
      <c r="P13" s="15">
        <v>-1.1769418157915485E-2</v>
      </c>
    </row>
    <row r="14" spans="2:16" x14ac:dyDescent="0.2">
      <c r="B14" s="5">
        <v>44213</v>
      </c>
      <c r="C14" s="6" t="s">
        <v>15</v>
      </c>
      <c r="D14" s="7">
        <v>183.63999899999999</v>
      </c>
      <c r="E14" s="7">
        <v>174.664818</v>
      </c>
      <c r="F14" s="7">
        <v>184.449997</v>
      </c>
      <c r="G14" s="7">
        <v>183.320007</v>
      </c>
      <c r="H14" s="8">
        <f t="shared" si="0"/>
        <v>-4.2294708191028376E-3</v>
      </c>
      <c r="J14" s="5">
        <f t="shared" si="1"/>
        <v>44319</v>
      </c>
      <c r="K14" s="14">
        <v>-7.7999999999999996E-3</v>
      </c>
      <c r="L14" s="14">
        <v>6.3299999999999995E-2</v>
      </c>
      <c r="M14" s="15">
        <v>9.7422599687483999E-2</v>
      </c>
      <c r="N14" s="14">
        <v>0.1229</v>
      </c>
      <c r="O14" s="15">
        <v>5.1720577031934709E-2</v>
      </c>
      <c r="P14" s="15">
        <v>-6.5644104445320803E-2</v>
      </c>
    </row>
    <row r="15" spans="2:16" x14ac:dyDescent="0.2">
      <c r="B15" s="5">
        <v>44217</v>
      </c>
      <c r="C15" s="6" t="s">
        <v>15</v>
      </c>
      <c r="D15" s="7">
        <v>184.179993</v>
      </c>
      <c r="E15" s="7">
        <v>175.17841999999999</v>
      </c>
      <c r="F15" s="7">
        <v>184.770004</v>
      </c>
      <c r="G15" s="7">
        <v>183.050003</v>
      </c>
      <c r="H15" s="8">
        <f t="shared" si="0"/>
        <v>2.9405031743656631E-3</v>
      </c>
      <c r="J15" s="5">
        <f t="shared" si="1"/>
        <v>44349</v>
      </c>
      <c r="K15" s="14">
        <v>-2.64E-2</v>
      </c>
      <c r="L15" s="14">
        <v>-0.1318</v>
      </c>
      <c r="M15" s="15">
        <v>-5.3593751701333639E-2</v>
      </c>
      <c r="N15" s="14">
        <v>-5.3600000000000002E-2</v>
      </c>
      <c r="O15" s="15">
        <v>1.9580735879086813E-4</v>
      </c>
      <c r="P15" s="15">
        <v>7.1383884897928077E-3</v>
      </c>
    </row>
    <row r="16" spans="2:16" x14ac:dyDescent="0.2">
      <c r="B16" s="5">
        <v>44218</v>
      </c>
      <c r="C16" s="6" t="s">
        <v>15</v>
      </c>
      <c r="D16" s="7">
        <v>184.300003</v>
      </c>
      <c r="E16" s="7">
        <v>175.292565</v>
      </c>
      <c r="F16" s="7">
        <v>184.570007</v>
      </c>
      <c r="G16" s="7">
        <v>183.91000399999999</v>
      </c>
      <c r="H16" s="8">
        <f t="shared" si="0"/>
        <v>6.5159085981726433E-4</v>
      </c>
      <c r="J16" s="5">
        <f t="shared" si="1"/>
        <v>44379</v>
      </c>
      <c r="K16" s="14">
        <v>2.93E-2</v>
      </c>
      <c r="L16" s="14">
        <v>0.1341</v>
      </c>
      <c r="M16" s="15">
        <v>2.3520273777690403E-2</v>
      </c>
      <c r="N16" s="14">
        <v>9.4000000000000004E-3</v>
      </c>
      <c r="O16" s="15">
        <v>7.1521949220993447E-2</v>
      </c>
      <c r="P16" s="15">
        <v>-2.4567097455173294E-2</v>
      </c>
    </row>
    <row r="17" spans="2:16" x14ac:dyDescent="0.2">
      <c r="B17" s="5">
        <v>44219</v>
      </c>
      <c r="C17" s="6" t="s">
        <v>15</v>
      </c>
      <c r="D17" s="7">
        <v>182.78999300000001</v>
      </c>
      <c r="E17" s="7">
        <v>173.85635500000001</v>
      </c>
      <c r="F17" s="7">
        <v>183.39999399999999</v>
      </c>
      <c r="G17" s="7">
        <v>181.820007</v>
      </c>
      <c r="H17" s="8">
        <f t="shared" si="0"/>
        <v>-8.1932174466649039E-3</v>
      </c>
      <c r="J17" s="5">
        <f t="shared" si="1"/>
        <v>44409</v>
      </c>
      <c r="K17" s="14">
        <v>2.5100000000000001E-2</v>
      </c>
      <c r="L17" s="14">
        <v>3.6799999999999999E-2</v>
      </c>
      <c r="M17" s="15">
        <v>5.3551808508723133E-4</v>
      </c>
      <c r="N17" s="14">
        <v>0.15590000000000001</v>
      </c>
      <c r="O17" s="15">
        <v>3.3009336702728598E-2</v>
      </c>
      <c r="P17" s="15">
        <v>-2.5762143917732521E-3</v>
      </c>
    </row>
    <row r="18" spans="2:16" x14ac:dyDescent="0.2">
      <c r="B18" s="5">
        <v>44220</v>
      </c>
      <c r="C18" s="6" t="s">
        <v>15</v>
      </c>
      <c r="D18" s="7">
        <v>178.88999899999999</v>
      </c>
      <c r="E18" s="7">
        <v>170.14696900000001</v>
      </c>
      <c r="F18" s="7">
        <v>181.66000399999999</v>
      </c>
      <c r="G18" s="7">
        <v>178.83000200000001</v>
      </c>
      <c r="H18" s="8">
        <f t="shared" si="0"/>
        <v>-2.1335927290067901E-2</v>
      </c>
      <c r="J18" s="5">
        <f>J17+31</f>
        <v>44440</v>
      </c>
      <c r="K18" s="14">
        <v>-3.56E-2</v>
      </c>
      <c r="L18" s="14">
        <v>0.17230000000000001</v>
      </c>
      <c r="M18" s="15">
        <v>5.6712162735877029E-2</v>
      </c>
      <c r="N18" s="14">
        <v>8.6400000000000005E-2</v>
      </c>
      <c r="O18" s="15">
        <v>3.5100067430831765E-2</v>
      </c>
      <c r="P18" s="15">
        <v>-2.0413259954032252E-2</v>
      </c>
    </row>
    <row r="19" spans="2:16" x14ac:dyDescent="0.2">
      <c r="B19" s="5">
        <v>44223</v>
      </c>
      <c r="C19" s="6" t="s">
        <v>15</v>
      </c>
      <c r="D19" s="7">
        <v>178.009995</v>
      </c>
      <c r="E19" s="7">
        <v>169.30997300000001</v>
      </c>
      <c r="F19" s="7">
        <v>179.520004</v>
      </c>
      <c r="G19" s="7">
        <v>177.11999499999999</v>
      </c>
      <c r="H19" s="8">
        <f t="shared" si="0"/>
        <v>-4.9192464918063165E-3</v>
      </c>
      <c r="J19" s="5">
        <f>J18+30</f>
        <v>44470</v>
      </c>
      <c r="K19" s="14">
        <v>1.1900000000000001E-2</v>
      </c>
      <c r="L19" s="14">
        <v>-0.1411</v>
      </c>
      <c r="M19" s="15">
        <v>3.6551899544807004E-2</v>
      </c>
      <c r="N19" s="14">
        <v>-0.12479999999999999</v>
      </c>
      <c r="O19" s="15">
        <v>-1.9959880537446347E-2</v>
      </c>
      <c r="P19" s="15">
        <v>-3.9569185962667073E-3</v>
      </c>
    </row>
    <row r="20" spans="2:16" x14ac:dyDescent="0.2">
      <c r="B20" s="5">
        <v>44224</v>
      </c>
      <c r="C20" s="6" t="s">
        <v>15</v>
      </c>
      <c r="D20" s="7">
        <v>179.070007</v>
      </c>
      <c r="E20" s="7">
        <v>170.31817899999999</v>
      </c>
      <c r="F20" s="7">
        <v>179.300003</v>
      </c>
      <c r="G20" s="7">
        <v>178.11999499999999</v>
      </c>
      <c r="H20" s="8">
        <f t="shared" si="0"/>
        <v>5.9547892240545278E-3</v>
      </c>
      <c r="J20" s="5">
        <f>J19+32</f>
        <v>44502</v>
      </c>
      <c r="K20" s="14">
        <v>9.35E-2</v>
      </c>
      <c r="L20" s="14">
        <v>0.1166</v>
      </c>
      <c r="M20" s="15">
        <v>0.12032647957186156</v>
      </c>
      <c r="N20" s="14">
        <v>0.1008</v>
      </c>
      <c r="O20" s="15">
        <v>5.5779077085757335E-2</v>
      </c>
      <c r="P20" s="15">
        <v>-2.3624944911999273E-2</v>
      </c>
    </row>
    <row r="21" spans="2:16" x14ac:dyDescent="0.2">
      <c r="B21" s="5">
        <v>44225</v>
      </c>
      <c r="C21" s="6" t="s">
        <v>15</v>
      </c>
      <c r="D21" s="7">
        <v>177.35000600000001</v>
      </c>
      <c r="E21" s="7">
        <v>168.682241</v>
      </c>
      <c r="F21" s="7">
        <v>178.550003</v>
      </c>
      <c r="G21" s="7">
        <v>176.88000500000001</v>
      </c>
      <c r="H21" s="8">
        <f t="shared" si="0"/>
        <v>-9.6051875398653237E-3</v>
      </c>
      <c r="J21" s="5">
        <f t="shared" ref="J21:J26" si="2">J20+30</f>
        <v>44532</v>
      </c>
      <c r="K21" s="14">
        <v>-1.54E-2</v>
      </c>
      <c r="L21" s="14">
        <v>-5.0900000000000001E-2</v>
      </c>
      <c r="M21" s="15">
        <v>-7.4760085199174653E-2</v>
      </c>
      <c r="N21" s="14">
        <v>3.2300000000000002E-2</v>
      </c>
      <c r="O21" s="15">
        <v>1.7614520614664245E-2</v>
      </c>
      <c r="P21" s="15">
        <v>4.0226418011678589E-2</v>
      </c>
    </row>
    <row r="22" spans="2:16" x14ac:dyDescent="0.2">
      <c r="B22" s="5">
        <v>44226</v>
      </c>
      <c r="C22" s="6" t="s">
        <v>15</v>
      </c>
      <c r="D22" s="7">
        <v>179.229996</v>
      </c>
      <c r="E22" s="7">
        <v>170.470348</v>
      </c>
      <c r="F22" s="7">
        <v>179.80999800000001</v>
      </c>
      <c r="G22" s="7">
        <v>178.259995</v>
      </c>
      <c r="H22" s="8">
        <f t="shared" si="0"/>
        <v>1.0600450726796096E-2</v>
      </c>
      <c r="J22" s="5">
        <f t="shared" si="2"/>
        <v>44562</v>
      </c>
      <c r="K22" s="14">
        <v>-4.0000000000000002E-4</v>
      </c>
      <c r="L22" s="14">
        <v>6.0999999999999999E-2</v>
      </c>
      <c r="M22" s="15">
        <v>-1.2660168335098573E-2</v>
      </c>
      <c r="N22" s="14">
        <v>0.1129</v>
      </c>
      <c r="O22" s="15">
        <v>-3.7675124192644176E-2</v>
      </c>
      <c r="P22" s="15">
        <v>1.5904095896311973E-2</v>
      </c>
    </row>
    <row r="23" spans="2:16" x14ac:dyDescent="0.2">
      <c r="B23" s="5">
        <v>44227</v>
      </c>
      <c r="C23" s="6" t="s">
        <v>15</v>
      </c>
      <c r="D23" s="7">
        <v>178.179993</v>
      </c>
      <c r="E23" s="7">
        <v>169.47166300000001</v>
      </c>
      <c r="F23" s="7">
        <v>179.28999300000001</v>
      </c>
      <c r="G23" s="7">
        <v>176.91999799999999</v>
      </c>
      <c r="H23" s="8">
        <f t="shared" si="0"/>
        <v>-5.8584111110508742E-3</v>
      </c>
      <c r="J23" s="5">
        <f t="shared" si="2"/>
        <v>44592</v>
      </c>
      <c r="K23" s="14">
        <v>1.2E-2</v>
      </c>
      <c r="L23" s="14">
        <v>5.0000000000000001E-3</v>
      </c>
      <c r="M23" s="15">
        <v>3.2223420464006412E-2</v>
      </c>
      <c r="N23" s="14">
        <v>4.8300000000000003E-2</v>
      </c>
      <c r="O23" s="15">
        <v>2.8114739638764777E-2</v>
      </c>
      <c r="P23" s="15">
        <v>8.0696127005014228E-3</v>
      </c>
    </row>
    <row r="24" spans="2:16" x14ac:dyDescent="0.2">
      <c r="B24" s="5">
        <v>44230</v>
      </c>
      <c r="C24" s="6" t="s">
        <v>15</v>
      </c>
      <c r="D24" s="7">
        <v>174.16999799999999</v>
      </c>
      <c r="E24" s="7">
        <v>165.65765200000001</v>
      </c>
      <c r="F24" s="7">
        <v>178.36999499999999</v>
      </c>
      <c r="G24" s="7">
        <v>173.83000200000001</v>
      </c>
      <c r="H24" s="8">
        <f t="shared" si="0"/>
        <v>-2.2505304509693205E-2</v>
      </c>
      <c r="J24" s="5">
        <f t="shared" si="2"/>
        <v>44622</v>
      </c>
      <c r="K24" s="14">
        <v>3.3500000000000002E-2</v>
      </c>
      <c r="L24" s="14">
        <v>0.12529999999999999</v>
      </c>
      <c r="M24" s="15">
        <v>-4.3960415752900004E-3</v>
      </c>
      <c r="N24" s="14">
        <v>0.13930000000000001</v>
      </c>
      <c r="O24" s="15">
        <v>5.713281587577692E-2</v>
      </c>
      <c r="P24" s="15">
        <v>6.7453884239092494E-3</v>
      </c>
    </row>
    <row r="25" spans="2:16" x14ac:dyDescent="0.2">
      <c r="B25" s="5">
        <v>44231</v>
      </c>
      <c r="C25" s="6" t="s">
        <v>15</v>
      </c>
      <c r="D25" s="7">
        <v>175.38999899999999</v>
      </c>
      <c r="E25" s="7">
        <v>166.818027</v>
      </c>
      <c r="F25" s="7">
        <v>175.83999600000001</v>
      </c>
      <c r="G25" s="7">
        <v>174.11000100000001</v>
      </c>
      <c r="H25" s="8">
        <f t="shared" si="0"/>
        <v>7.0046564506476968E-3</v>
      </c>
      <c r="J25" s="5">
        <f t="shared" si="2"/>
        <v>44652</v>
      </c>
      <c r="K25" s="14">
        <v>-3.5900000000000001E-2</v>
      </c>
      <c r="L25" s="14">
        <v>3.5299999999999998E-2</v>
      </c>
      <c r="M25" s="15">
        <v>5.7168648350093221E-2</v>
      </c>
      <c r="N25" s="14">
        <v>-2.5000000000000001E-3</v>
      </c>
      <c r="O25" s="15">
        <v>1.4651372417397389E-2</v>
      </c>
      <c r="P25" s="15">
        <v>6.7001928503993653E-3</v>
      </c>
    </row>
    <row r="26" spans="2:16" x14ac:dyDescent="0.2">
      <c r="B26" s="5">
        <v>44232</v>
      </c>
      <c r="C26" s="6" t="s">
        <v>15</v>
      </c>
      <c r="D26" s="7">
        <v>175.16999799999999</v>
      </c>
      <c r="E26" s="7">
        <v>166.608778</v>
      </c>
      <c r="F26" s="7">
        <v>175.55999800000001</v>
      </c>
      <c r="G26" s="7">
        <v>173.71000699999999</v>
      </c>
      <c r="H26" s="8">
        <f t="shared" si="0"/>
        <v>-1.2543531629759365E-3</v>
      </c>
      <c r="J26" s="5">
        <f t="shared" si="2"/>
        <v>44682</v>
      </c>
      <c r="K26" s="14">
        <v>-5.33E-2</v>
      </c>
      <c r="L26" s="14">
        <v>-0.1426</v>
      </c>
      <c r="M26" s="15">
        <v>3.0056873528762292E-2</v>
      </c>
      <c r="N26" s="14">
        <v>-0.11509999999999999</v>
      </c>
      <c r="O26" s="15">
        <v>-8.5531572706092185E-2</v>
      </c>
      <c r="P26" s="15">
        <v>5.5998443381972234E-2</v>
      </c>
    </row>
    <row r="27" spans="2:16" x14ac:dyDescent="0.2">
      <c r="B27" s="5">
        <v>44233</v>
      </c>
      <c r="C27" s="6" t="s">
        <v>15</v>
      </c>
      <c r="D27" s="7">
        <v>177.479996</v>
      </c>
      <c r="E27" s="7">
        <v>168.80587700000001</v>
      </c>
      <c r="F27" s="7">
        <v>177.479996</v>
      </c>
      <c r="G27" s="7">
        <v>175.220001</v>
      </c>
      <c r="H27" s="8">
        <f t="shared" si="0"/>
        <v>1.3187178320342319E-2</v>
      </c>
      <c r="J27" s="5">
        <f>J26+31</f>
        <v>44713</v>
      </c>
      <c r="K27" s="14">
        <v>-5.0500000000000003E-2</v>
      </c>
      <c r="L27" s="14">
        <v>-0.1195</v>
      </c>
      <c r="M27" s="15">
        <v>2.3280092217120345E-2</v>
      </c>
      <c r="N27" s="14">
        <v>-2.2499999999999999E-2</v>
      </c>
      <c r="O27" s="15">
        <v>-5.5388449179925643E-2</v>
      </c>
      <c r="P27" s="15">
        <v>-1.1111265329301307E-2</v>
      </c>
    </row>
    <row r="28" spans="2:16" x14ac:dyDescent="0.2">
      <c r="B28" s="5">
        <v>44234</v>
      </c>
      <c r="C28" s="6" t="s">
        <v>15</v>
      </c>
      <c r="D28" s="7">
        <v>179.679993</v>
      </c>
      <c r="E28" s="7">
        <v>170.89835199999999</v>
      </c>
      <c r="F28" s="7">
        <v>179.86999499999999</v>
      </c>
      <c r="G28" s="7">
        <v>177.729996</v>
      </c>
      <c r="H28" s="8">
        <f t="shared" si="0"/>
        <v>1.2395746278921463E-2</v>
      </c>
      <c r="J28" s="5">
        <f>J27+30</f>
        <v>44743</v>
      </c>
      <c r="K28" s="14">
        <v>2.7900000000000001E-2</v>
      </c>
      <c r="L28" s="14">
        <v>3.61E-2</v>
      </c>
      <c r="M28" s="15">
        <v>-3.8878882695081163E-2</v>
      </c>
      <c r="N28" s="14">
        <v>0.03</v>
      </c>
      <c r="O28" s="15">
        <v>-3.245713483947379E-3</v>
      </c>
      <c r="P28" s="15">
        <v>-1.8526466625374442E-2</v>
      </c>
    </row>
    <row r="29" spans="2:16" x14ac:dyDescent="0.2">
      <c r="B29" s="5">
        <v>44237</v>
      </c>
      <c r="C29" s="6" t="s">
        <v>15</v>
      </c>
      <c r="D29" s="7">
        <v>180.009995</v>
      </c>
      <c r="E29" s="7">
        <v>171.21222499999999</v>
      </c>
      <c r="F29" s="7">
        <v>180.070007</v>
      </c>
      <c r="G29" s="7">
        <v>179.21000699999999</v>
      </c>
      <c r="H29" s="8">
        <f t="shared" si="0"/>
        <v>1.8366095996008162E-3</v>
      </c>
      <c r="J29" s="9" t="s">
        <v>8</v>
      </c>
      <c r="K29" s="34">
        <f>_xlfn.STDEV.S(K11:K28)*SQRT(12)</f>
        <v>0.14034397519148806</v>
      </c>
      <c r="L29" t="str">
        <f ca="1">_xlfn.FORMULATEXT(K29)</f>
        <v>=STDEV.S(K11:K28)*SQRT(12)</v>
      </c>
    </row>
    <row r="30" spans="2:16" x14ac:dyDescent="0.2">
      <c r="B30" s="5">
        <v>44238</v>
      </c>
      <c r="C30" s="6" t="s">
        <v>15</v>
      </c>
      <c r="D30" s="7">
        <v>181.979996</v>
      </c>
      <c r="E30" s="7">
        <v>173.08594500000001</v>
      </c>
      <c r="F30" s="7">
        <v>182.44000199999999</v>
      </c>
      <c r="G30" s="7">
        <v>180.03999300000001</v>
      </c>
      <c r="H30" s="8">
        <f t="shared" si="0"/>
        <v>1.0943842312756002E-2</v>
      </c>
      <c r="J30" s="9" t="s">
        <v>12</v>
      </c>
      <c r="K30" s="34">
        <f>CORREL(M11:M28,O11:O28)</f>
        <v>3.6270181620982299E-2</v>
      </c>
      <c r="L30" t="str">
        <f ca="1">_xlfn.FORMULATEXT(K30)</f>
        <v>=CORREL(M11:M28,O11:O28)</v>
      </c>
      <c r="N30" t="s">
        <v>46</v>
      </c>
      <c r="O30" s="33">
        <v>1.4999999999999999E-2</v>
      </c>
    </row>
    <row r="31" spans="2:16" x14ac:dyDescent="0.2">
      <c r="B31" s="5">
        <v>44239</v>
      </c>
      <c r="C31" s="6" t="s">
        <v>15</v>
      </c>
      <c r="D31" s="7">
        <v>182.070007</v>
      </c>
      <c r="E31" s="7">
        <v>173.17155700000001</v>
      </c>
      <c r="F31" s="7">
        <v>182.83000200000001</v>
      </c>
      <c r="G31" s="7">
        <v>181.71000699999999</v>
      </c>
      <c r="H31" s="8">
        <f t="shared" si="0"/>
        <v>4.946202988157229E-4</v>
      </c>
      <c r="J31" s="9" t="s">
        <v>13</v>
      </c>
      <c r="K31" s="32">
        <f>_xlfn.NORM.DIST(0,O30,O31,TRUE)</f>
        <v>0.4012936743170763</v>
      </c>
      <c r="L31" s="31" t="str">
        <f ca="1">_xlfn.FORMULATEXT(K31)</f>
        <v>=NORM.DIST(0,O30,O31,TRUE)</v>
      </c>
      <c r="N31" t="s">
        <v>45</v>
      </c>
      <c r="O31" s="25">
        <v>0.06</v>
      </c>
    </row>
    <row r="32" spans="2:16" x14ac:dyDescent="0.2">
      <c r="B32" s="5">
        <v>44240</v>
      </c>
      <c r="C32" s="6" t="s">
        <v>15</v>
      </c>
      <c r="D32" s="7">
        <v>183.009995</v>
      </c>
      <c r="E32" s="7">
        <v>174.06560400000001</v>
      </c>
      <c r="F32" s="7">
        <v>183.199997</v>
      </c>
      <c r="G32" s="7">
        <v>180.83000200000001</v>
      </c>
      <c r="H32" s="8">
        <f t="shared" si="0"/>
        <v>5.1627833462982156E-3</v>
      </c>
      <c r="J32" s="9" t="s">
        <v>14</v>
      </c>
      <c r="K32" s="30"/>
      <c r="L32" t="e">
        <f ca="1">_xlfn.FORMULATEXT(K32)</f>
        <v>#N/A</v>
      </c>
    </row>
    <row r="33" spans="2:14" x14ac:dyDescent="0.2">
      <c r="B33" s="5">
        <v>44241</v>
      </c>
      <c r="C33" s="6" t="s">
        <v>15</v>
      </c>
      <c r="D33" s="7">
        <v>184.020004</v>
      </c>
      <c r="E33" s="7">
        <v>175.026251</v>
      </c>
      <c r="F33" s="7">
        <v>184.36000100000001</v>
      </c>
      <c r="G33" s="7">
        <v>182.66999799999999</v>
      </c>
      <c r="H33" s="8">
        <f t="shared" si="0"/>
        <v>5.5188734363934419E-3</v>
      </c>
      <c r="J33" s="9" t="s">
        <v>44</v>
      </c>
      <c r="K33" s="29">
        <f>_xlfn.NORM.INV(1-K49,K45*(1.13), K45*20%)</f>
        <v>34200.921500788405</v>
      </c>
      <c r="L33" t="str">
        <f ca="1">_xlfn.FORMULATEXT(K33)</f>
        <v>=NORM.INV(1-K49,K45*(1.13), K45*20%)</v>
      </c>
    </row>
    <row r="34" spans="2:14" x14ac:dyDescent="0.2">
      <c r="B34" s="5">
        <v>44245</v>
      </c>
      <c r="C34" s="6" t="s">
        <v>15</v>
      </c>
      <c r="D34" s="7">
        <v>184.240005</v>
      </c>
      <c r="E34" s="7">
        <v>175.2355</v>
      </c>
      <c r="F34" s="7">
        <v>184.490005</v>
      </c>
      <c r="G34" s="7">
        <v>183.64999399999999</v>
      </c>
      <c r="H34" s="8">
        <f t="shared" si="0"/>
        <v>1.1955276340500261E-3</v>
      </c>
      <c r="K34" t="s">
        <v>43</v>
      </c>
    </row>
    <row r="35" spans="2:14" x14ac:dyDescent="0.2">
      <c r="B35" s="5">
        <v>44246</v>
      </c>
      <c r="C35" s="6" t="s">
        <v>15</v>
      </c>
      <c r="D35" s="7">
        <v>183.020004</v>
      </c>
      <c r="E35" s="7">
        <v>174.07512399999999</v>
      </c>
      <c r="F35" s="7">
        <v>184.949997</v>
      </c>
      <c r="G35" s="7">
        <v>182.86999499999999</v>
      </c>
      <c r="H35" s="8">
        <f t="shared" si="0"/>
        <v>-6.6218029032293849E-3</v>
      </c>
      <c r="J35" s="28" t="s">
        <v>42</v>
      </c>
      <c r="K35" t="s">
        <v>41</v>
      </c>
    </row>
    <row r="36" spans="2:14" x14ac:dyDescent="0.2">
      <c r="B36" s="5">
        <v>44247</v>
      </c>
      <c r="C36" s="6" t="s">
        <v>15</v>
      </c>
      <c r="D36" s="7">
        <v>184.10000600000001</v>
      </c>
      <c r="E36" s="7">
        <v>175.10234299999999</v>
      </c>
      <c r="F36" s="7">
        <v>184.520004</v>
      </c>
      <c r="G36" s="7">
        <v>182.60000600000001</v>
      </c>
      <c r="H36" s="8">
        <f t="shared" si="0"/>
        <v>5.9010052256364687E-3</v>
      </c>
      <c r="J36" s="28" t="s">
        <v>40</v>
      </c>
      <c r="K36" t="s">
        <v>39</v>
      </c>
      <c r="L36">
        <v>67546</v>
      </c>
      <c r="M36" t="s">
        <v>36</v>
      </c>
      <c r="N36">
        <v>1.8495999999999999E-2</v>
      </c>
    </row>
    <row r="37" spans="2:14" x14ac:dyDescent="0.2">
      <c r="B37" s="5">
        <v>44248</v>
      </c>
      <c r="C37" s="6" t="s">
        <v>15</v>
      </c>
      <c r="D37" s="7">
        <v>183.88999899999999</v>
      </c>
      <c r="E37" s="7">
        <v>174.90260000000001</v>
      </c>
      <c r="F37" s="7">
        <v>184.88999899999999</v>
      </c>
      <c r="G37" s="7">
        <v>183.800003</v>
      </c>
      <c r="H37" s="8">
        <f t="shared" si="0"/>
        <v>-1.1407223962829132E-3</v>
      </c>
      <c r="J37" s="28" t="s">
        <v>38</v>
      </c>
      <c r="K37" t="s">
        <v>37</v>
      </c>
      <c r="L37">
        <v>47310</v>
      </c>
      <c r="M37" t="s">
        <v>36</v>
      </c>
      <c r="N37">
        <v>1.0201E-2</v>
      </c>
    </row>
    <row r="38" spans="2:14" x14ac:dyDescent="0.2">
      <c r="B38" s="5">
        <v>44251</v>
      </c>
      <c r="C38" s="6" t="s">
        <v>15</v>
      </c>
      <c r="D38" s="7">
        <v>184.91000399999999</v>
      </c>
      <c r="E38" s="7">
        <v>175.87275199999999</v>
      </c>
      <c r="F38" s="7">
        <v>186.14999399999999</v>
      </c>
      <c r="G38" s="7">
        <v>184.199997</v>
      </c>
      <c r="H38" s="8">
        <f t="shared" si="0"/>
        <v>5.5468214995204696E-3</v>
      </c>
      <c r="J38" s="27" t="s">
        <v>35</v>
      </c>
      <c r="K38" s="6"/>
    </row>
    <row r="39" spans="2:14" x14ac:dyDescent="0.2">
      <c r="B39" s="5">
        <v>44252</v>
      </c>
      <c r="C39" s="6" t="s">
        <v>15</v>
      </c>
      <c r="D39" s="7">
        <v>184.83999600000001</v>
      </c>
      <c r="E39" s="7">
        <v>175.80616699999999</v>
      </c>
      <c r="F39" s="7">
        <v>185.58999600000001</v>
      </c>
      <c r="G39" s="7">
        <v>184.229996</v>
      </c>
      <c r="H39" s="8">
        <f t="shared" si="0"/>
        <v>-3.7860580004082949E-4</v>
      </c>
      <c r="J39" s="7"/>
      <c r="K39" s="6"/>
      <c r="L39" t="s">
        <v>34</v>
      </c>
      <c r="M39">
        <v>-5.5999999999999999E-3</v>
      </c>
    </row>
    <row r="40" spans="2:14" x14ac:dyDescent="0.2">
      <c r="B40" s="5">
        <v>44253</v>
      </c>
      <c r="C40" s="6" t="s">
        <v>15</v>
      </c>
      <c r="D40" s="7">
        <v>184.85000600000001</v>
      </c>
      <c r="E40" s="7">
        <v>175.815687</v>
      </c>
      <c r="F40" s="7">
        <v>185.60000600000001</v>
      </c>
      <c r="G40" s="7">
        <v>184.33000200000001</v>
      </c>
      <c r="H40" s="8">
        <f t="shared" si="0"/>
        <v>5.4154945989038423E-5</v>
      </c>
      <c r="J40" s="7"/>
      <c r="K40" s="6"/>
    </row>
    <row r="41" spans="2:14" x14ac:dyDescent="0.2">
      <c r="B41" s="5">
        <v>44254</v>
      </c>
      <c r="C41" s="6" t="s">
        <v>15</v>
      </c>
      <c r="D41" s="7">
        <v>185.820007</v>
      </c>
      <c r="E41" s="7">
        <v>176.738281</v>
      </c>
      <c r="F41" s="7">
        <v>185.86999499999999</v>
      </c>
      <c r="G41" s="7">
        <v>184.36999499999999</v>
      </c>
      <c r="H41" s="8">
        <f t="shared" si="0"/>
        <v>5.2475032107924102E-3</v>
      </c>
      <c r="J41" s="7"/>
      <c r="K41" s="6"/>
      <c r="L41">
        <f>SUM(L36:L37)</f>
        <v>114856</v>
      </c>
    </row>
    <row r="42" spans="2:14" x14ac:dyDescent="0.2">
      <c r="B42" s="5">
        <v>44255</v>
      </c>
      <c r="C42" s="6" t="s">
        <v>15</v>
      </c>
      <c r="D42" s="7">
        <v>186.28999300000001</v>
      </c>
      <c r="E42" s="7">
        <v>177.18529699999999</v>
      </c>
      <c r="F42" s="7">
        <v>187.14999399999999</v>
      </c>
      <c r="G42" s="7">
        <v>185.050003</v>
      </c>
      <c r="H42" s="8">
        <f t="shared" si="0"/>
        <v>2.5292540216081565E-3</v>
      </c>
      <c r="J42" s="7"/>
      <c r="K42" s="6"/>
    </row>
    <row r="43" spans="2:14" x14ac:dyDescent="0.2">
      <c r="B43" s="5">
        <v>44258</v>
      </c>
      <c r="C43" s="6" t="s">
        <v>15</v>
      </c>
      <c r="D43" s="7">
        <v>184.979996</v>
      </c>
      <c r="E43" s="7">
        <v>175.939324</v>
      </c>
      <c r="F43" s="7">
        <v>185.449997</v>
      </c>
      <c r="G43" s="7">
        <v>183.75</v>
      </c>
      <c r="H43" s="8">
        <f t="shared" si="0"/>
        <v>-7.0320309690494742E-3</v>
      </c>
      <c r="J43" s="7"/>
      <c r="K43" s="6"/>
    </row>
    <row r="44" spans="2:14" x14ac:dyDescent="0.2">
      <c r="B44" s="5">
        <v>44259</v>
      </c>
      <c r="C44" s="6" t="s">
        <v>15</v>
      </c>
      <c r="D44" s="7">
        <v>187.58000200000001</v>
      </c>
      <c r="E44" s="7">
        <v>178.41225800000001</v>
      </c>
      <c r="F44" s="7">
        <v>187.979996</v>
      </c>
      <c r="G44" s="7">
        <v>186.75</v>
      </c>
      <c r="H44" s="8">
        <f t="shared" si="0"/>
        <v>1.40556063153986E-2</v>
      </c>
      <c r="J44" s="7"/>
      <c r="K44" s="6"/>
    </row>
    <row r="45" spans="2:14" x14ac:dyDescent="0.2">
      <c r="B45" s="5">
        <v>44260</v>
      </c>
      <c r="C45" s="6" t="s">
        <v>15</v>
      </c>
      <c r="D45" s="7">
        <v>187.75</v>
      </c>
      <c r="E45" s="7">
        <v>178.573947</v>
      </c>
      <c r="F45" s="7">
        <v>188.070007</v>
      </c>
      <c r="G45" s="7">
        <v>187.449997</v>
      </c>
      <c r="H45" s="8">
        <f t="shared" si="0"/>
        <v>9.0626931542517276E-4</v>
      </c>
      <c r="K45" s="26">
        <v>30000</v>
      </c>
    </row>
    <row r="46" spans="2:14" x14ac:dyDescent="0.2">
      <c r="B46" s="5">
        <v>44261</v>
      </c>
      <c r="C46" s="6" t="s">
        <v>15</v>
      </c>
      <c r="D46" s="7">
        <v>188.179993</v>
      </c>
      <c r="E46" s="7">
        <v>178.98292499999999</v>
      </c>
      <c r="F46" s="7">
        <v>188.61000100000001</v>
      </c>
      <c r="G46" s="7">
        <v>187.779999</v>
      </c>
      <c r="H46" s="8">
        <f t="shared" si="0"/>
        <v>2.2902423435419233E-3</v>
      </c>
      <c r="K46">
        <f>0.13*K45</f>
        <v>3900</v>
      </c>
      <c r="L46" t="s">
        <v>33</v>
      </c>
    </row>
    <row r="47" spans="2:14" x14ac:dyDescent="0.2">
      <c r="B47" s="5">
        <v>44262</v>
      </c>
      <c r="C47" s="6" t="s">
        <v>15</v>
      </c>
      <c r="D47" s="7">
        <v>188.259995</v>
      </c>
      <c r="E47" s="7">
        <v>179.05901700000001</v>
      </c>
      <c r="F47" s="7">
        <v>188.96000699999999</v>
      </c>
      <c r="G47" s="7">
        <v>187.429993</v>
      </c>
      <c r="H47" s="8">
        <f t="shared" si="0"/>
        <v>4.2513552437005062E-4</v>
      </c>
      <c r="K47">
        <f>0.2*K45</f>
        <v>6000</v>
      </c>
      <c r="L47" t="s">
        <v>32</v>
      </c>
    </row>
    <row r="48" spans="2:14" x14ac:dyDescent="0.2">
      <c r="B48" s="5">
        <v>44265</v>
      </c>
      <c r="C48" s="6" t="s">
        <v>15</v>
      </c>
      <c r="D48" s="7">
        <v>188.16000399999999</v>
      </c>
      <c r="E48" s="7">
        <v>178.96391299999999</v>
      </c>
      <c r="F48" s="7">
        <v>188.229996</v>
      </c>
      <c r="G48" s="7">
        <v>187.08000200000001</v>
      </c>
      <c r="H48" s="8">
        <f t="shared" si="0"/>
        <v>-5.311324904689232E-4</v>
      </c>
    </row>
    <row r="49" spans="2:11" x14ac:dyDescent="0.2">
      <c r="B49" s="5">
        <v>44266</v>
      </c>
      <c r="C49" s="6" t="s">
        <v>15</v>
      </c>
      <c r="D49" s="7">
        <v>187.229996</v>
      </c>
      <c r="E49" s="7">
        <v>178.07935800000001</v>
      </c>
      <c r="F49" s="7">
        <v>188.71000699999999</v>
      </c>
      <c r="G49" s="7">
        <v>186.800003</v>
      </c>
      <c r="H49" s="8">
        <f t="shared" si="0"/>
        <v>-4.9426444527498345E-3</v>
      </c>
      <c r="K49" s="25">
        <v>0.48</v>
      </c>
    </row>
    <row r="50" spans="2:11" x14ac:dyDescent="0.2">
      <c r="B50" s="5">
        <v>44267</v>
      </c>
      <c r="C50" s="6" t="s">
        <v>15</v>
      </c>
      <c r="D50" s="7">
        <v>187.279999</v>
      </c>
      <c r="E50" s="7">
        <v>178.12691699999999</v>
      </c>
      <c r="F50" s="7">
        <v>187.35000600000001</v>
      </c>
      <c r="G50" s="7">
        <v>185.89999399999999</v>
      </c>
      <c r="H50" s="8">
        <f t="shared" si="0"/>
        <v>2.6706724920297386E-4</v>
      </c>
    </row>
    <row r="51" spans="2:11" x14ac:dyDescent="0.2">
      <c r="B51" s="5">
        <v>44268</v>
      </c>
      <c r="C51" s="6" t="s">
        <v>15</v>
      </c>
      <c r="D51" s="7">
        <v>185.179993</v>
      </c>
      <c r="E51" s="7">
        <v>176.129546</v>
      </c>
      <c r="F51" s="7">
        <v>187.990005</v>
      </c>
      <c r="G51" s="7">
        <v>184.66000399999999</v>
      </c>
      <c r="H51" s="8">
        <f t="shared" si="0"/>
        <v>-1.121318886807559E-2</v>
      </c>
    </row>
    <row r="52" spans="2:11" x14ac:dyDescent="0.2">
      <c r="B52" s="5">
        <v>44269</v>
      </c>
      <c r="C52" s="6" t="s">
        <v>15</v>
      </c>
      <c r="D52" s="7">
        <v>184.66000399999999</v>
      </c>
      <c r="E52" s="7">
        <v>175.63497100000001</v>
      </c>
      <c r="F52" s="7">
        <v>185.800003</v>
      </c>
      <c r="G52" s="7">
        <v>184.44000199999999</v>
      </c>
      <c r="H52" s="8">
        <f t="shared" si="0"/>
        <v>-2.8080193306844418E-3</v>
      </c>
    </row>
    <row r="53" spans="2:11" x14ac:dyDescent="0.2">
      <c r="B53" s="5">
        <v>44272</v>
      </c>
      <c r="C53" s="6" t="s">
        <v>15</v>
      </c>
      <c r="D53" s="7">
        <v>186.33000200000001</v>
      </c>
      <c r="E53" s="7">
        <v>177.22335000000001</v>
      </c>
      <c r="F53" s="7">
        <v>186.770004</v>
      </c>
      <c r="G53" s="7">
        <v>185.509995</v>
      </c>
      <c r="H53" s="8">
        <f t="shared" si="0"/>
        <v>9.0436367585046799E-3</v>
      </c>
    </row>
    <row r="54" spans="2:11" x14ac:dyDescent="0.2">
      <c r="B54" s="5">
        <v>44273</v>
      </c>
      <c r="C54" s="6" t="s">
        <v>15</v>
      </c>
      <c r="D54" s="7">
        <v>187.66000399999999</v>
      </c>
      <c r="E54" s="7">
        <v>178.48835</v>
      </c>
      <c r="F54" s="7">
        <v>187.91000399999999</v>
      </c>
      <c r="G54" s="7">
        <v>186.509995</v>
      </c>
      <c r="H54" s="8">
        <f t="shared" si="0"/>
        <v>7.1378843220319347E-3</v>
      </c>
    </row>
    <row r="55" spans="2:11" x14ac:dyDescent="0.2">
      <c r="B55" s="5">
        <v>44274</v>
      </c>
      <c r="C55" s="6" t="s">
        <v>15</v>
      </c>
      <c r="D55" s="7">
        <v>186.66000399999999</v>
      </c>
      <c r="E55" s="7">
        <v>177.53722300000001</v>
      </c>
      <c r="F55" s="7">
        <v>187.94000199999999</v>
      </c>
      <c r="G55" s="7">
        <v>185.470001</v>
      </c>
      <c r="H55" s="8">
        <f t="shared" si="0"/>
        <v>-5.328785988942002E-3</v>
      </c>
    </row>
    <row r="56" spans="2:11" x14ac:dyDescent="0.2">
      <c r="B56" s="5">
        <v>44275</v>
      </c>
      <c r="C56" s="6" t="s">
        <v>15</v>
      </c>
      <c r="D56" s="7">
        <v>187.75</v>
      </c>
      <c r="E56" s="7">
        <v>178.573947</v>
      </c>
      <c r="F56" s="7">
        <v>187.88999899999999</v>
      </c>
      <c r="G56" s="7">
        <v>185.91999799999999</v>
      </c>
      <c r="H56" s="8">
        <f t="shared" si="0"/>
        <v>5.8394727131796994E-3</v>
      </c>
    </row>
    <row r="57" spans="2:11" x14ac:dyDescent="0.2">
      <c r="B57" s="5">
        <v>44276</v>
      </c>
      <c r="C57" s="6" t="s">
        <v>15</v>
      </c>
      <c r="D57" s="7">
        <v>186.199997</v>
      </c>
      <c r="E57" s="7">
        <v>177.881325</v>
      </c>
      <c r="F57" s="7">
        <v>189.020004</v>
      </c>
      <c r="G57" s="7">
        <v>186.029999</v>
      </c>
      <c r="H57" s="8">
        <f t="shared" si="0"/>
        <v>-8.2556750998668636E-3</v>
      </c>
    </row>
    <row r="58" spans="2:11" x14ac:dyDescent="0.2">
      <c r="B58" s="5">
        <v>44279</v>
      </c>
      <c r="C58" s="6" t="s">
        <v>15</v>
      </c>
      <c r="D58" s="7">
        <v>185.429993</v>
      </c>
      <c r="E58" s="7">
        <v>177.14572100000001</v>
      </c>
      <c r="F58" s="7">
        <v>187.070007</v>
      </c>
      <c r="G58" s="7">
        <v>184.61999499999999</v>
      </c>
      <c r="H58" s="8">
        <f t="shared" si="0"/>
        <v>-4.1353598947694945E-3</v>
      </c>
    </row>
    <row r="59" spans="2:11" x14ac:dyDescent="0.2">
      <c r="B59" s="5">
        <v>44280</v>
      </c>
      <c r="C59" s="6" t="s">
        <v>15</v>
      </c>
      <c r="D59" s="7">
        <v>186.30999800000001</v>
      </c>
      <c r="E59" s="7">
        <v>177.986411</v>
      </c>
      <c r="F59" s="7">
        <v>186.94000199999999</v>
      </c>
      <c r="G59" s="7">
        <v>185.270004</v>
      </c>
      <c r="H59" s="8">
        <f t="shared" si="0"/>
        <v>4.7457532935354816E-3</v>
      </c>
    </row>
    <row r="60" spans="2:11" x14ac:dyDescent="0.2">
      <c r="B60" s="5">
        <v>44281</v>
      </c>
      <c r="C60" s="6" t="s">
        <v>15</v>
      </c>
      <c r="D60" s="7">
        <v>184.970001</v>
      </c>
      <c r="E60" s="7">
        <v>176.70627999999999</v>
      </c>
      <c r="F60" s="7">
        <v>187.33999600000001</v>
      </c>
      <c r="G60" s="7">
        <v>184.91999799999999</v>
      </c>
      <c r="H60" s="8">
        <f t="shared" si="0"/>
        <v>-7.1922978604723664E-3</v>
      </c>
    </row>
    <row r="61" spans="2:11" x14ac:dyDescent="0.2">
      <c r="B61" s="5">
        <v>44282</v>
      </c>
      <c r="C61" s="6" t="s">
        <v>15</v>
      </c>
      <c r="D61" s="7">
        <v>184.58000200000001</v>
      </c>
      <c r="E61" s="7">
        <v>176.33370500000001</v>
      </c>
      <c r="F61" s="7">
        <v>185.33999600000001</v>
      </c>
      <c r="G61" s="7">
        <v>183.89999399999999</v>
      </c>
      <c r="H61" s="8">
        <f t="shared" si="0"/>
        <v>-2.1084446012409812E-3</v>
      </c>
    </row>
    <row r="62" spans="2:11" x14ac:dyDescent="0.2">
      <c r="B62" s="5">
        <v>44283</v>
      </c>
      <c r="C62" s="6" t="s">
        <v>15</v>
      </c>
      <c r="D62" s="7">
        <v>185.490005</v>
      </c>
      <c r="E62" s="7">
        <v>177.20305300000001</v>
      </c>
      <c r="F62" s="7">
        <v>186.41999799999999</v>
      </c>
      <c r="G62" s="7">
        <v>185</v>
      </c>
      <c r="H62" s="8">
        <f t="shared" si="0"/>
        <v>4.9301278044194029E-3</v>
      </c>
    </row>
    <row r="63" spans="2:11" x14ac:dyDescent="0.2">
      <c r="B63" s="5">
        <v>44286</v>
      </c>
      <c r="C63" s="6" t="s">
        <v>15</v>
      </c>
      <c r="D63" s="7">
        <v>187.009995</v>
      </c>
      <c r="E63" s="7">
        <v>178.655135</v>
      </c>
      <c r="F63" s="7">
        <v>187.300003</v>
      </c>
      <c r="G63" s="7">
        <v>185.520004</v>
      </c>
      <c r="H63" s="8">
        <f t="shared" si="0"/>
        <v>8.1944577013732204E-3</v>
      </c>
    </row>
    <row r="64" spans="2:11" x14ac:dyDescent="0.2">
      <c r="B64" s="5">
        <v>44287</v>
      </c>
      <c r="C64" s="6" t="s">
        <v>15</v>
      </c>
      <c r="D64" s="7">
        <v>188.25</v>
      </c>
      <c r="E64" s="7">
        <v>179.839742</v>
      </c>
      <c r="F64" s="7">
        <v>188.36000100000001</v>
      </c>
      <c r="G64" s="7">
        <v>187</v>
      </c>
      <c r="H64" s="8">
        <f t="shared" si="0"/>
        <v>6.6306883757736926E-3</v>
      </c>
    </row>
    <row r="65" spans="2:8" x14ac:dyDescent="0.2">
      <c r="B65" s="5">
        <v>44288</v>
      </c>
      <c r="C65" s="6" t="s">
        <v>15</v>
      </c>
      <c r="D65" s="7">
        <v>188.88000500000001</v>
      </c>
      <c r="E65" s="7">
        <v>180.44160099999999</v>
      </c>
      <c r="F65" s="7">
        <v>189.13000500000001</v>
      </c>
      <c r="G65" s="7">
        <v>188.13999899999999</v>
      </c>
      <c r="H65" s="8">
        <f t="shared" si="0"/>
        <v>3.3466401062417594E-3</v>
      </c>
    </row>
    <row r="66" spans="2:8" x14ac:dyDescent="0.2">
      <c r="B66" s="5">
        <v>44289</v>
      </c>
      <c r="C66" s="6" t="s">
        <v>15</v>
      </c>
      <c r="D66" s="7">
        <v>188.63000500000001</v>
      </c>
      <c r="E66" s="7">
        <v>180.20276999999999</v>
      </c>
      <c r="F66" s="7">
        <v>189.220001</v>
      </c>
      <c r="G66" s="7">
        <v>188.050003</v>
      </c>
      <c r="H66" s="8">
        <f t="shared" si="0"/>
        <v>-1.3235916633949686E-3</v>
      </c>
    </row>
    <row r="67" spans="2:8" x14ac:dyDescent="0.2">
      <c r="B67" s="5">
        <v>44290</v>
      </c>
      <c r="C67" s="6" t="s">
        <v>15</v>
      </c>
      <c r="D67" s="7">
        <v>186.39999399999999</v>
      </c>
      <c r="E67" s="7">
        <v>178.07238699999999</v>
      </c>
      <c r="F67" s="7">
        <v>189.699997</v>
      </c>
      <c r="G67" s="7">
        <v>186.10000600000001</v>
      </c>
      <c r="H67" s="8">
        <f t="shared" si="0"/>
        <v>-1.1822143566184069E-2</v>
      </c>
    </row>
    <row r="68" spans="2:8" x14ac:dyDescent="0.2">
      <c r="B68" s="5">
        <v>44293</v>
      </c>
      <c r="C68" s="6" t="s">
        <v>15</v>
      </c>
      <c r="D68" s="7">
        <v>184.33999600000001</v>
      </c>
      <c r="E68" s="7">
        <v>176.104422</v>
      </c>
      <c r="F68" s="7">
        <v>186.259995</v>
      </c>
      <c r="G68" s="7">
        <v>183.96000699999999</v>
      </c>
      <c r="H68" s="8">
        <f t="shared" ref="H68:H131" si="3">(D68-D67)/D67</f>
        <v>-1.1051491772043613E-2</v>
      </c>
    </row>
    <row r="69" spans="2:8" x14ac:dyDescent="0.2">
      <c r="B69" s="5">
        <v>44294</v>
      </c>
      <c r="C69" s="6" t="s">
        <v>15</v>
      </c>
      <c r="D69" s="7">
        <v>185.10000600000001</v>
      </c>
      <c r="E69" s="7">
        <v>176.830477</v>
      </c>
      <c r="F69" s="7">
        <v>185.39999399999999</v>
      </c>
      <c r="G69" s="7">
        <v>183.58999600000001</v>
      </c>
      <c r="H69" s="8">
        <f t="shared" si="3"/>
        <v>4.1228708717124746E-3</v>
      </c>
    </row>
    <row r="70" spans="2:8" x14ac:dyDescent="0.2">
      <c r="B70" s="5">
        <v>44295</v>
      </c>
      <c r="C70" s="6" t="s">
        <v>15</v>
      </c>
      <c r="D70" s="7">
        <v>187.08999600000001</v>
      </c>
      <c r="E70" s="7">
        <v>178.73156299999999</v>
      </c>
      <c r="F70" s="7">
        <v>187.14999399999999</v>
      </c>
      <c r="G70" s="7">
        <v>185.05999800000001</v>
      </c>
      <c r="H70" s="8">
        <f t="shared" si="3"/>
        <v>1.0750891061559478E-2</v>
      </c>
    </row>
    <row r="71" spans="2:8" x14ac:dyDescent="0.2">
      <c r="B71" s="5">
        <v>44296</v>
      </c>
      <c r="C71" s="6" t="s">
        <v>15</v>
      </c>
      <c r="D71" s="7">
        <v>183.16000399999999</v>
      </c>
      <c r="E71" s="7">
        <v>174.977146</v>
      </c>
      <c r="F71" s="7">
        <v>187.16999799999999</v>
      </c>
      <c r="G71" s="7">
        <v>182.929993</v>
      </c>
      <c r="H71" s="8">
        <f t="shared" si="3"/>
        <v>-2.10058906623742E-2</v>
      </c>
    </row>
    <row r="72" spans="2:8" x14ac:dyDescent="0.2">
      <c r="B72" s="5">
        <v>44297</v>
      </c>
      <c r="C72" s="6" t="s">
        <v>15</v>
      </c>
      <c r="D72" s="7">
        <v>181.509995</v>
      </c>
      <c r="E72" s="7">
        <v>173.40085300000001</v>
      </c>
      <c r="F72" s="7">
        <v>183.41999799999999</v>
      </c>
      <c r="G72" s="7">
        <v>181.30999800000001</v>
      </c>
      <c r="H72" s="8">
        <f t="shared" si="3"/>
        <v>-9.0085660841107158E-3</v>
      </c>
    </row>
    <row r="73" spans="2:8" x14ac:dyDescent="0.2">
      <c r="B73" s="5">
        <v>44300</v>
      </c>
      <c r="C73" s="6" t="s">
        <v>15</v>
      </c>
      <c r="D73" s="7">
        <v>182.94000199999999</v>
      </c>
      <c r="E73" s="7">
        <v>174.766974</v>
      </c>
      <c r="F73" s="7">
        <v>183.36999499999999</v>
      </c>
      <c r="G73" s="7">
        <v>181.44000199999999</v>
      </c>
      <c r="H73" s="8">
        <f t="shared" si="3"/>
        <v>7.8783925920993449E-3</v>
      </c>
    </row>
    <row r="74" spans="2:8" x14ac:dyDescent="0.2">
      <c r="B74" s="5">
        <v>44301</v>
      </c>
      <c r="C74" s="6" t="s">
        <v>15</v>
      </c>
      <c r="D74" s="7">
        <v>184.199997</v>
      </c>
      <c r="E74" s="7">
        <v>175.97067699999999</v>
      </c>
      <c r="F74" s="7">
        <v>184.33000200000001</v>
      </c>
      <c r="G74" s="7">
        <v>181.509995</v>
      </c>
      <c r="H74" s="8">
        <f t="shared" si="3"/>
        <v>6.8874766930417091E-3</v>
      </c>
    </row>
    <row r="75" spans="2:8" x14ac:dyDescent="0.2">
      <c r="B75" s="5">
        <v>44302</v>
      </c>
      <c r="C75" s="6" t="s">
        <v>15</v>
      </c>
      <c r="D75" s="7">
        <v>186.13000500000001</v>
      </c>
      <c r="E75" s="7">
        <v>177.81446</v>
      </c>
      <c r="F75" s="7">
        <v>186.13999899999999</v>
      </c>
      <c r="G75" s="7">
        <v>184.64999399999999</v>
      </c>
      <c r="H75" s="8">
        <f t="shared" si="3"/>
        <v>1.0477785186934693E-2</v>
      </c>
    </row>
    <row r="76" spans="2:8" x14ac:dyDescent="0.2">
      <c r="B76" s="5">
        <v>44303</v>
      </c>
      <c r="C76" s="6" t="s">
        <v>15</v>
      </c>
      <c r="D76" s="7">
        <v>186.38999899999999</v>
      </c>
      <c r="E76" s="7">
        <v>178.062839</v>
      </c>
      <c r="F76" s="7">
        <v>186.91000399999999</v>
      </c>
      <c r="G76" s="7">
        <v>185.55999800000001</v>
      </c>
      <c r="H76" s="8">
        <f t="shared" si="3"/>
        <v>1.3968408801148294E-3</v>
      </c>
    </row>
    <row r="77" spans="2:8" x14ac:dyDescent="0.2">
      <c r="B77" s="5">
        <v>44307</v>
      </c>
      <c r="C77" s="6" t="s">
        <v>15</v>
      </c>
      <c r="D77" s="7">
        <v>187.03999300000001</v>
      </c>
      <c r="E77" s="7">
        <v>178.68379300000001</v>
      </c>
      <c r="F77" s="7">
        <v>187.10000600000001</v>
      </c>
      <c r="G77" s="7">
        <v>186.21000699999999</v>
      </c>
      <c r="H77" s="8">
        <f t="shared" si="3"/>
        <v>3.4872793791904085E-3</v>
      </c>
    </row>
    <row r="78" spans="2:8" x14ac:dyDescent="0.2">
      <c r="B78" s="5">
        <v>44308</v>
      </c>
      <c r="C78" s="6" t="s">
        <v>15</v>
      </c>
      <c r="D78" s="7">
        <v>187.88999899999999</v>
      </c>
      <c r="E78" s="7">
        <v>179.495825</v>
      </c>
      <c r="F78" s="7">
        <v>188.39999399999999</v>
      </c>
      <c r="G78" s="7">
        <v>187.13000500000001</v>
      </c>
      <c r="H78" s="8">
        <f t="shared" si="3"/>
        <v>4.5445147124229153E-3</v>
      </c>
    </row>
    <row r="79" spans="2:8" x14ac:dyDescent="0.2">
      <c r="B79" s="5">
        <v>44309</v>
      </c>
      <c r="C79" s="6" t="s">
        <v>15</v>
      </c>
      <c r="D79" s="7">
        <v>187.449997</v>
      </c>
      <c r="E79" s="7">
        <v>179.07548</v>
      </c>
      <c r="F79" s="7">
        <v>187.91999799999999</v>
      </c>
      <c r="G79" s="7">
        <v>187.300003</v>
      </c>
      <c r="H79" s="8">
        <f t="shared" si="3"/>
        <v>-2.3418063885347761E-3</v>
      </c>
    </row>
    <row r="80" spans="2:8" x14ac:dyDescent="0.2">
      <c r="B80" s="5">
        <v>44310</v>
      </c>
      <c r="C80" s="6" t="s">
        <v>15</v>
      </c>
      <c r="D80" s="7">
        <v>187.83000200000001</v>
      </c>
      <c r="E80" s="7">
        <v>179.43850800000001</v>
      </c>
      <c r="F80" s="7">
        <v>188.38999899999999</v>
      </c>
      <c r="G80" s="7">
        <v>186.929993</v>
      </c>
      <c r="H80" s="8">
        <f t="shared" si="3"/>
        <v>2.0272339614922012E-3</v>
      </c>
    </row>
    <row r="81" spans="2:8" x14ac:dyDescent="0.2">
      <c r="B81" s="5">
        <v>44311</v>
      </c>
      <c r="C81" s="6" t="s">
        <v>15</v>
      </c>
      <c r="D81" s="7">
        <v>186.28999300000001</v>
      </c>
      <c r="E81" s="7">
        <v>177.96729999999999</v>
      </c>
      <c r="F81" s="7">
        <v>187.33000200000001</v>
      </c>
      <c r="G81" s="7">
        <v>185.86999499999999</v>
      </c>
      <c r="H81" s="8">
        <f t="shared" si="3"/>
        <v>-8.1989510919559996E-3</v>
      </c>
    </row>
    <row r="82" spans="2:8" x14ac:dyDescent="0.2">
      <c r="B82" s="5">
        <v>44314</v>
      </c>
      <c r="C82" s="6" t="s">
        <v>15</v>
      </c>
      <c r="D82" s="7">
        <v>186.88000500000001</v>
      </c>
      <c r="E82" s="7">
        <v>178.53095300000001</v>
      </c>
      <c r="F82" s="7">
        <v>187.69000199999999</v>
      </c>
      <c r="G82" s="7">
        <v>184.96000699999999</v>
      </c>
      <c r="H82" s="8">
        <f t="shared" si="3"/>
        <v>3.1671695859691266E-3</v>
      </c>
    </row>
    <row r="83" spans="2:8" x14ac:dyDescent="0.2">
      <c r="B83" s="5">
        <v>44315</v>
      </c>
      <c r="C83" s="6" t="s">
        <v>15</v>
      </c>
      <c r="D83" s="7">
        <v>187.75</v>
      </c>
      <c r="E83" s="7">
        <v>179.36207999999999</v>
      </c>
      <c r="F83" s="7">
        <v>188.03999300000001</v>
      </c>
      <c r="G83" s="7">
        <v>187.08000200000001</v>
      </c>
      <c r="H83" s="8">
        <f t="shared" si="3"/>
        <v>4.655366955924411E-3</v>
      </c>
    </row>
    <row r="84" spans="2:8" x14ac:dyDescent="0.2">
      <c r="B84" s="5">
        <v>44316</v>
      </c>
      <c r="C84" s="6" t="s">
        <v>15</v>
      </c>
      <c r="D84" s="7">
        <v>188.30999800000001</v>
      </c>
      <c r="E84" s="7">
        <v>179.89705900000001</v>
      </c>
      <c r="F84" s="7">
        <v>188.5</v>
      </c>
      <c r="G84" s="7">
        <v>187.179993</v>
      </c>
      <c r="H84" s="8">
        <f t="shared" si="3"/>
        <v>2.9826790945406516E-3</v>
      </c>
    </row>
    <row r="85" spans="2:8" x14ac:dyDescent="0.2">
      <c r="B85" s="5">
        <v>44317</v>
      </c>
      <c r="C85" s="6" t="s">
        <v>15</v>
      </c>
      <c r="D85" s="7">
        <v>188.33000200000001</v>
      </c>
      <c r="E85" s="7">
        <v>179.91616999999999</v>
      </c>
      <c r="F85" s="7">
        <v>188.83999600000001</v>
      </c>
      <c r="G85" s="7">
        <v>187.729996</v>
      </c>
      <c r="H85" s="8">
        <f t="shared" si="3"/>
        <v>1.062290914580124E-4</v>
      </c>
    </row>
    <row r="86" spans="2:8" x14ac:dyDescent="0.2">
      <c r="B86" s="5">
        <v>44318</v>
      </c>
      <c r="C86" s="6" t="s">
        <v>15</v>
      </c>
      <c r="D86" s="7">
        <v>188.05999800000001</v>
      </c>
      <c r="E86" s="7">
        <v>179.65822800000001</v>
      </c>
      <c r="F86" s="7">
        <v>189.13999899999999</v>
      </c>
      <c r="G86" s="7">
        <v>187.779999</v>
      </c>
      <c r="H86" s="8">
        <f t="shared" si="3"/>
        <v>-1.4336749170745515E-3</v>
      </c>
    </row>
    <row r="87" spans="2:8" x14ac:dyDescent="0.2">
      <c r="B87" s="5">
        <v>44321</v>
      </c>
      <c r="C87" s="6" t="s">
        <v>15</v>
      </c>
      <c r="D87" s="7">
        <v>188.41999799999999</v>
      </c>
      <c r="E87" s="7">
        <v>180.00214500000001</v>
      </c>
      <c r="F87" s="7">
        <v>188.550003</v>
      </c>
      <c r="G87" s="7">
        <v>186.61999499999999</v>
      </c>
      <c r="H87" s="8">
        <f t="shared" si="3"/>
        <v>1.9142826960999182E-3</v>
      </c>
    </row>
    <row r="88" spans="2:8" x14ac:dyDescent="0.2">
      <c r="B88" s="5">
        <v>44322</v>
      </c>
      <c r="C88" s="6" t="s">
        <v>15</v>
      </c>
      <c r="D88" s="7">
        <v>186.779999</v>
      </c>
      <c r="E88" s="7">
        <v>178.43541400000001</v>
      </c>
      <c r="F88" s="7">
        <v>188.13000500000001</v>
      </c>
      <c r="G88" s="7">
        <v>186.740005</v>
      </c>
      <c r="H88" s="8">
        <f t="shared" si="3"/>
        <v>-8.7039540250923308E-3</v>
      </c>
    </row>
    <row r="89" spans="2:8" x14ac:dyDescent="0.2">
      <c r="B89" s="5">
        <v>44323</v>
      </c>
      <c r="C89" s="6" t="s">
        <v>15</v>
      </c>
      <c r="D89" s="7">
        <v>187.88000500000001</v>
      </c>
      <c r="E89" s="7">
        <v>179.486277</v>
      </c>
      <c r="F89" s="7">
        <v>187.970001</v>
      </c>
      <c r="G89" s="7">
        <v>186.009995</v>
      </c>
      <c r="H89" s="8">
        <f t="shared" si="3"/>
        <v>5.8893136625405356E-3</v>
      </c>
    </row>
    <row r="90" spans="2:8" x14ac:dyDescent="0.2">
      <c r="B90" s="5">
        <v>44324</v>
      </c>
      <c r="C90" s="6" t="s">
        <v>15</v>
      </c>
      <c r="D90" s="7">
        <v>187.679993</v>
      </c>
      <c r="E90" s="7">
        <v>179.29519999999999</v>
      </c>
      <c r="F90" s="7">
        <v>189.050003</v>
      </c>
      <c r="G90" s="7">
        <v>187.08000200000001</v>
      </c>
      <c r="H90" s="8">
        <f t="shared" si="3"/>
        <v>-1.0645731034551291E-3</v>
      </c>
    </row>
    <row r="91" spans="2:8" x14ac:dyDescent="0.2">
      <c r="B91" s="5">
        <v>44325</v>
      </c>
      <c r="C91" s="6" t="s">
        <v>15</v>
      </c>
      <c r="D91" s="7">
        <v>187.96000699999999</v>
      </c>
      <c r="E91" s="7">
        <v>179.562704</v>
      </c>
      <c r="F91" s="7">
        <v>188.03999300000001</v>
      </c>
      <c r="G91" s="7">
        <v>186.83000200000001</v>
      </c>
      <c r="H91" s="8">
        <f t="shared" si="3"/>
        <v>1.4919757589717845E-3</v>
      </c>
    </row>
    <row r="92" spans="2:8" x14ac:dyDescent="0.2">
      <c r="B92" s="5">
        <v>44328</v>
      </c>
      <c r="C92" s="6" t="s">
        <v>15</v>
      </c>
      <c r="D92" s="7">
        <v>189.78999300000001</v>
      </c>
      <c r="E92" s="7">
        <v>181.310934</v>
      </c>
      <c r="F92" s="7">
        <v>189.88000500000001</v>
      </c>
      <c r="G92" s="7">
        <v>188</v>
      </c>
      <c r="H92" s="8">
        <f t="shared" si="3"/>
        <v>9.736039220300835E-3</v>
      </c>
    </row>
    <row r="93" spans="2:8" x14ac:dyDescent="0.2">
      <c r="B93" s="5">
        <v>44329</v>
      </c>
      <c r="C93" s="6" t="s">
        <v>15</v>
      </c>
      <c r="D93" s="7">
        <v>189.96000699999999</v>
      </c>
      <c r="E93" s="7">
        <v>181.47335200000001</v>
      </c>
      <c r="F93" s="7">
        <v>190.41999799999999</v>
      </c>
      <c r="G93" s="7">
        <v>189.770004</v>
      </c>
      <c r="H93" s="8">
        <f t="shared" si="3"/>
        <v>8.9580065477941481E-4</v>
      </c>
    </row>
    <row r="94" spans="2:8" x14ac:dyDescent="0.2">
      <c r="B94" s="5">
        <v>44330</v>
      </c>
      <c r="C94" s="6" t="s">
        <v>15</v>
      </c>
      <c r="D94" s="7">
        <v>189.05999800000001</v>
      </c>
      <c r="E94" s="7">
        <v>180.613552</v>
      </c>
      <c r="F94" s="7">
        <v>189.88000500000001</v>
      </c>
      <c r="G94" s="7">
        <v>188.78999300000001</v>
      </c>
      <c r="H94" s="8">
        <f t="shared" si="3"/>
        <v>-4.737886748972288E-3</v>
      </c>
    </row>
    <row r="95" spans="2:8" x14ac:dyDescent="0.2">
      <c r="B95" s="5">
        <v>44331</v>
      </c>
      <c r="C95" s="6" t="s">
        <v>15</v>
      </c>
      <c r="D95" s="7">
        <v>187.39999399999999</v>
      </c>
      <c r="E95" s="7">
        <v>179.02771100000001</v>
      </c>
      <c r="F95" s="7">
        <v>188.720001</v>
      </c>
      <c r="G95" s="7">
        <v>186.479996</v>
      </c>
      <c r="H95" s="8">
        <f t="shared" si="3"/>
        <v>-8.7803026423390468E-3</v>
      </c>
    </row>
    <row r="96" spans="2:8" x14ac:dyDescent="0.2">
      <c r="B96" s="5">
        <v>44332</v>
      </c>
      <c r="C96" s="6" t="s">
        <v>15</v>
      </c>
      <c r="D96" s="7">
        <v>188.050003</v>
      </c>
      <c r="E96" s="7">
        <v>179.64868000000001</v>
      </c>
      <c r="F96" s="7">
        <v>188.13000500000001</v>
      </c>
      <c r="G96" s="7">
        <v>186.720001</v>
      </c>
      <c r="H96" s="8">
        <f t="shared" si="3"/>
        <v>3.468564678822836E-3</v>
      </c>
    </row>
    <row r="97" spans="2:8" x14ac:dyDescent="0.2">
      <c r="B97" s="5">
        <v>44335</v>
      </c>
      <c r="C97" s="6" t="s">
        <v>15</v>
      </c>
      <c r="D97" s="7">
        <v>188.740005</v>
      </c>
      <c r="E97" s="7">
        <v>180.30785599999999</v>
      </c>
      <c r="F97" s="7">
        <v>188.88999899999999</v>
      </c>
      <c r="G97" s="7">
        <v>187.520004</v>
      </c>
      <c r="H97" s="8">
        <f t="shared" si="3"/>
        <v>3.6692474820114343E-3</v>
      </c>
    </row>
    <row r="98" spans="2:8" x14ac:dyDescent="0.2">
      <c r="B98" s="5">
        <v>44336</v>
      </c>
      <c r="C98" s="6" t="s">
        <v>15</v>
      </c>
      <c r="D98" s="7">
        <v>187.550003</v>
      </c>
      <c r="E98" s="7">
        <v>179.171018</v>
      </c>
      <c r="F98" s="7">
        <v>188.66999799999999</v>
      </c>
      <c r="G98" s="7">
        <v>187.070007</v>
      </c>
      <c r="H98" s="8">
        <f t="shared" si="3"/>
        <v>-6.3049802292841559E-3</v>
      </c>
    </row>
    <row r="99" spans="2:8" x14ac:dyDescent="0.2">
      <c r="B99" s="5">
        <v>44337</v>
      </c>
      <c r="C99" s="6" t="s">
        <v>15</v>
      </c>
      <c r="D99" s="7">
        <v>189.13000500000001</v>
      </c>
      <c r="E99" s="7">
        <v>180.680432</v>
      </c>
      <c r="F99" s="7">
        <v>189.220001</v>
      </c>
      <c r="G99" s="7">
        <v>188.05999800000001</v>
      </c>
      <c r="H99" s="8">
        <f t="shared" si="3"/>
        <v>8.4244306836934978E-3</v>
      </c>
    </row>
    <row r="100" spans="2:8" x14ac:dyDescent="0.2">
      <c r="B100" s="5">
        <v>44338</v>
      </c>
      <c r="C100" s="6" t="s">
        <v>15</v>
      </c>
      <c r="D100" s="7">
        <v>189.58999600000001</v>
      </c>
      <c r="E100" s="7">
        <v>181.11987300000001</v>
      </c>
      <c r="F100" s="7">
        <v>189.979996</v>
      </c>
      <c r="G100" s="7">
        <v>188.86000100000001</v>
      </c>
      <c r="H100" s="8">
        <f t="shared" si="3"/>
        <v>2.4321418486717762E-3</v>
      </c>
    </row>
    <row r="101" spans="2:8" x14ac:dyDescent="0.2">
      <c r="B101" s="5">
        <v>44339</v>
      </c>
      <c r="C101" s="6" t="s">
        <v>15</v>
      </c>
      <c r="D101" s="7">
        <v>190.35000600000001</v>
      </c>
      <c r="E101" s="7">
        <v>181.84592799999999</v>
      </c>
      <c r="F101" s="7">
        <v>190.479996</v>
      </c>
      <c r="G101" s="7">
        <v>189.58999600000001</v>
      </c>
      <c r="H101" s="8">
        <f t="shared" si="3"/>
        <v>4.0087030752402886E-3</v>
      </c>
    </row>
    <row r="102" spans="2:8" x14ac:dyDescent="0.2">
      <c r="B102" s="5">
        <v>44343</v>
      </c>
      <c r="C102" s="6" t="s">
        <v>15</v>
      </c>
      <c r="D102" s="7">
        <v>191.520004</v>
      </c>
      <c r="E102" s="7">
        <v>182.96365499999999</v>
      </c>
      <c r="F102" s="7">
        <v>191.58000200000001</v>
      </c>
      <c r="G102" s="7">
        <v>190.949997</v>
      </c>
      <c r="H102" s="8">
        <f t="shared" si="3"/>
        <v>6.1465614033129716E-3</v>
      </c>
    </row>
    <row r="103" spans="2:8" x14ac:dyDescent="0.2">
      <c r="B103" s="5">
        <v>44344</v>
      </c>
      <c r="C103" s="6" t="s">
        <v>15</v>
      </c>
      <c r="D103" s="7">
        <v>191.38000500000001</v>
      </c>
      <c r="E103" s="7">
        <v>182.82991100000001</v>
      </c>
      <c r="F103" s="7">
        <v>191.820007</v>
      </c>
      <c r="G103" s="7">
        <v>191.05999800000001</v>
      </c>
      <c r="H103" s="8">
        <f t="shared" si="3"/>
        <v>-7.3098891539282178E-4</v>
      </c>
    </row>
    <row r="104" spans="2:8" x14ac:dyDescent="0.2">
      <c r="B104" s="5">
        <v>44345</v>
      </c>
      <c r="C104" s="6" t="s">
        <v>15</v>
      </c>
      <c r="D104" s="7">
        <v>192.36999499999999</v>
      </c>
      <c r="E104" s="7">
        <v>183.77567199999999</v>
      </c>
      <c r="F104" s="7">
        <v>192.39999399999999</v>
      </c>
      <c r="G104" s="7">
        <v>191.33000200000001</v>
      </c>
      <c r="H104" s="8">
        <f t="shared" si="3"/>
        <v>5.1729019444846256E-3</v>
      </c>
    </row>
    <row r="105" spans="2:8" x14ac:dyDescent="0.2">
      <c r="B105" s="5">
        <v>44346</v>
      </c>
      <c r="C105" s="6" t="s">
        <v>15</v>
      </c>
      <c r="D105" s="7">
        <v>192.679993</v>
      </c>
      <c r="E105" s="7">
        <v>184.07182</v>
      </c>
      <c r="F105" s="7">
        <v>192.800003</v>
      </c>
      <c r="G105" s="7">
        <v>192.029999</v>
      </c>
      <c r="H105" s="8">
        <f t="shared" si="3"/>
        <v>1.6114675264196339E-3</v>
      </c>
    </row>
    <row r="106" spans="2:8" x14ac:dyDescent="0.2">
      <c r="B106" s="5">
        <v>44349</v>
      </c>
      <c r="C106" s="6" t="s">
        <v>15</v>
      </c>
      <c r="D106" s="7">
        <v>192.89999399999999</v>
      </c>
      <c r="E106" s="7">
        <v>184.281993</v>
      </c>
      <c r="F106" s="7">
        <v>192.990005</v>
      </c>
      <c r="G106" s="7">
        <v>191.970001</v>
      </c>
      <c r="H106" s="8">
        <f t="shared" si="3"/>
        <v>1.1417947269698953E-3</v>
      </c>
    </row>
    <row r="107" spans="2:8" x14ac:dyDescent="0.2">
      <c r="B107" s="5">
        <v>44350</v>
      </c>
      <c r="C107" s="6" t="s">
        <v>15</v>
      </c>
      <c r="D107" s="7">
        <v>192.800003</v>
      </c>
      <c r="E107" s="7">
        <v>184.18646899999999</v>
      </c>
      <c r="F107" s="7">
        <v>192.89999399999999</v>
      </c>
      <c r="G107" s="7">
        <v>192.25</v>
      </c>
      <c r="H107" s="8">
        <f t="shared" si="3"/>
        <v>-5.1835667760564378E-4</v>
      </c>
    </row>
    <row r="108" spans="2:8" x14ac:dyDescent="0.2">
      <c r="B108" s="5">
        <v>44351</v>
      </c>
      <c r="C108" s="6" t="s">
        <v>15</v>
      </c>
      <c r="D108" s="7">
        <v>193.19000199999999</v>
      </c>
      <c r="E108" s="7">
        <v>184.559045</v>
      </c>
      <c r="F108" s="7">
        <v>193.300003</v>
      </c>
      <c r="G108" s="7">
        <v>192.270004</v>
      </c>
      <c r="H108" s="8">
        <f t="shared" si="3"/>
        <v>2.0228163585660776E-3</v>
      </c>
    </row>
    <row r="109" spans="2:8" x14ac:dyDescent="0.2">
      <c r="B109" s="5">
        <v>44352</v>
      </c>
      <c r="C109" s="6" t="s">
        <v>15</v>
      </c>
      <c r="D109" s="7">
        <v>194.449997</v>
      </c>
      <c r="E109" s="7">
        <v>185.76274799999999</v>
      </c>
      <c r="F109" s="7">
        <v>194.64999399999999</v>
      </c>
      <c r="G109" s="7">
        <v>192.699997</v>
      </c>
      <c r="H109" s="8">
        <f t="shared" si="3"/>
        <v>6.5220507632688133E-3</v>
      </c>
    </row>
    <row r="110" spans="2:8" x14ac:dyDescent="0.2">
      <c r="B110" s="5">
        <v>44353</v>
      </c>
      <c r="C110" s="6" t="s">
        <v>15</v>
      </c>
      <c r="D110" s="7">
        <v>195.38000500000001</v>
      </c>
      <c r="E110" s="7">
        <v>186.651207</v>
      </c>
      <c r="F110" s="7">
        <v>195.429993</v>
      </c>
      <c r="G110" s="7">
        <v>194.779999</v>
      </c>
      <c r="H110" s="8">
        <f t="shared" si="3"/>
        <v>4.7827617091709962E-3</v>
      </c>
    </row>
    <row r="111" spans="2:8" x14ac:dyDescent="0.2">
      <c r="B111" s="5">
        <v>44356</v>
      </c>
      <c r="C111" s="6" t="s">
        <v>15</v>
      </c>
      <c r="D111" s="7">
        <v>195.58000200000001</v>
      </c>
      <c r="E111" s="7">
        <v>186.84226899999999</v>
      </c>
      <c r="F111" s="7">
        <v>196.050003</v>
      </c>
      <c r="G111" s="7">
        <v>195.16999799999999</v>
      </c>
      <c r="H111" s="8">
        <f t="shared" si="3"/>
        <v>1.0236308469743164E-3</v>
      </c>
    </row>
    <row r="112" spans="2:8" x14ac:dyDescent="0.2">
      <c r="B112" s="5">
        <v>44357</v>
      </c>
      <c r="C112" s="6" t="s">
        <v>15</v>
      </c>
      <c r="D112" s="7">
        <v>195.60000600000001</v>
      </c>
      <c r="E112" s="7">
        <v>186.861379</v>
      </c>
      <c r="F112" s="7">
        <v>195.63999899999999</v>
      </c>
      <c r="G112" s="7">
        <v>194.91999799999999</v>
      </c>
      <c r="H112" s="8">
        <f t="shared" si="3"/>
        <v>1.0228039572266766E-4</v>
      </c>
    </row>
    <row r="113" spans="2:8" x14ac:dyDescent="0.2">
      <c r="B113" s="5">
        <v>44358</v>
      </c>
      <c r="C113" s="6" t="s">
        <v>15</v>
      </c>
      <c r="D113" s="7">
        <v>194.91999799999999</v>
      </c>
      <c r="E113" s="7">
        <v>186.21175099999999</v>
      </c>
      <c r="F113" s="7">
        <v>195.11999499999999</v>
      </c>
      <c r="G113" s="7">
        <v>194.479996</v>
      </c>
      <c r="H113" s="8">
        <f t="shared" si="3"/>
        <v>-3.4765234107406676E-3</v>
      </c>
    </row>
    <row r="114" spans="2:8" x14ac:dyDescent="0.2">
      <c r="B114" s="5">
        <v>44359</v>
      </c>
      <c r="C114" s="6" t="s">
        <v>15</v>
      </c>
      <c r="D114" s="7">
        <v>193.53999300000001</v>
      </c>
      <c r="E114" s="7">
        <v>184.89339899999999</v>
      </c>
      <c r="F114" s="7">
        <v>194.800003</v>
      </c>
      <c r="G114" s="7">
        <v>193.11000100000001</v>
      </c>
      <c r="H114" s="8">
        <f t="shared" si="3"/>
        <v>-7.079853345781293E-3</v>
      </c>
    </row>
    <row r="115" spans="2:8" x14ac:dyDescent="0.2">
      <c r="B115" s="5">
        <v>44360</v>
      </c>
      <c r="C115" s="6" t="s">
        <v>15</v>
      </c>
      <c r="D115" s="7">
        <v>194.13000500000001</v>
      </c>
      <c r="E115" s="7">
        <v>185.457052</v>
      </c>
      <c r="F115" s="7">
        <v>194.320007</v>
      </c>
      <c r="G115" s="7">
        <v>193.300003</v>
      </c>
      <c r="H115" s="8">
        <f t="shared" si="3"/>
        <v>3.048527546448767E-3</v>
      </c>
    </row>
    <row r="116" spans="2:8" x14ac:dyDescent="0.2">
      <c r="B116" s="5">
        <v>44363</v>
      </c>
      <c r="C116" s="6" t="s">
        <v>15</v>
      </c>
      <c r="D116" s="7">
        <v>194.28999300000001</v>
      </c>
      <c r="E116" s="7">
        <v>185.609892</v>
      </c>
      <c r="F116" s="7">
        <v>194.699997</v>
      </c>
      <c r="G116" s="7">
        <v>193.66000399999999</v>
      </c>
      <c r="H116" s="8">
        <f t="shared" si="3"/>
        <v>8.2412814031503502E-4</v>
      </c>
    </row>
    <row r="117" spans="2:8" x14ac:dyDescent="0.2">
      <c r="B117" s="5">
        <v>44364</v>
      </c>
      <c r="C117" s="6" t="s">
        <v>15</v>
      </c>
      <c r="D117" s="7">
        <v>194.83000200000001</v>
      </c>
      <c r="E117" s="7">
        <v>186.125776</v>
      </c>
      <c r="F117" s="7">
        <v>194.970001</v>
      </c>
      <c r="G117" s="7">
        <v>193.80999800000001</v>
      </c>
      <c r="H117" s="8">
        <f t="shared" si="3"/>
        <v>2.7793968781500635E-3</v>
      </c>
    </row>
    <row r="118" spans="2:8" x14ac:dyDescent="0.2">
      <c r="B118" s="5">
        <v>44365</v>
      </c>
      <c r="C118" s="6" t="s">
        <v>15</v>
      </c>
      <c r="D118" s="7">
        <v>196.259995</v>
      </c>
      <c r="E118" s="7">
        <v>187.491882</v>
      </c>
      <c r="F118" s="7">
        <v>196.36999499999999</v>
      </c>
      <c r="G118" s="7">
        <v>194.39999399999999</v>
      </c>
      <c r="H118" s="8">
        <f t="shared" si="3"/>
        <v>7.339696070012852E-3</v>
      </c>
    </row>
    <row r="119" spans="2:8" x14ac:dyDescent="0.2">
      <c r="B119" s="5">
        <v>44366</v>
      </c>
      <c r="C119" s="6" t="s">
        <v>15</v>
      </c>
      <c r="D119" s="7">
        <v>196.479996</v>
      </c>
      <c r="E119" s="7">
        <v>187.702054</v>
      </c>
      <c r="F119" s="7">
        <v>196.60000600000001</v>
      </c>
      <c r="G119" s="7">
        <v>195.800003</v>
      </c>
      <c r="H119" s="8">
        <f t="shared" si="3"/>
        <v>1.1209671130379694E-3</v>
      </c>
    </row>
    <row r="120" spans="2:8" x14ac:dyDescent="0.2">
      <c r="B120" s="5">
        <v>44367</v>
      </c>
      <c r="C120" s="6" t="s">
        <v>15</v>
      </c>
      <c r="D120" s="7">
        <v>195.94000199999999</v>
      </c>
      <c r="E120" s="7">
        <v>188.08315099999999</v>
      </c>
      <c r="F120" s="7">
        <v>196.10000600000001</v>
      </c>
      <c r="G120" s="7">
        <v>195.699997</v>
      </c>
      <c r="H120" s="8">
        <f t="shared" si="3"/>
        <v>-2.7483408539972038E-3</v>
      </c>
    </row>
    <row r="121" spans="2:8" x14ac:dyDescent="0.2">
      <c r="B121" s="5">
        <v>44370</v>
      </c>
      <c r="C121" s="6" t="s">
        <v>15</v>
      </c>
      <c r="D121" s="7">
        <v>195.88000500000001</v>
      </c>
      <c r="E121" s="7">
        <v>188.02555899999999</v>
      </c>
      <c r="F121" s="7">
        <v>196.050003</v>
      </c>
      <c r="G121" s="7">
        <v>195.520004</v>
      </c>
      <c r="H121" s="8">
        <f t="shared" si="3"/>
        <v>-3.0620087469419047E-4</v>
      </c>
    </row>
    <row r="122" spans="2:8" x14ac:dyDescent="0.2">
      <c r="B122" s="5">
        <v>44371</v>
      </c>
      <c r="C122" s="6" t="s">
        <v>15</v>
      </c>
      <c r="D122" s="7">
        <v>194.699997</v>
      </c>
      <c r="E122" s="7">
        <v>186.89286799999999</v>
      </c>
      <c r="F122" s="7">
        <v>196.5</v>
      </c>
      <c r="G122" s="7">
        <v>194.479996</v>
      </c>
      <c r="H122" s="8">
        <f t="shared" si="3"/>
        <v>-6.0241370731025611E-3</v>
      </c>
    </row>
    <row r="123" spans="2:8" x14ac:dyDescent="0.2">
      <c r="B123" s="5">
        <v>44372</v>
      </c>
      <c r="C123" s="6" t="s">
        <v>15</v>
      </c>
      <c r="D123" s="7">
        <v>195.58000200000001</v>
      </c>
      <c r="E123" s="7">
        <v>187.73758599999999</v>
      </c>
      <c r="F123" s="7">
        <v>195.779999</v>
      </c>
      <c r="G123" s="7">
        <v>194.25</v>
      </c>
      <c r="H123" s="8">
        <f t="shared" si="3"/>
        <v>4.5197997614761709E-3</v>
      </c>
    </row>
    <row r="124" spans="2:8" x14ac:dyDescent="0.2">
      <c r="B124" s="5">
        <v>44373</v>
      </c>
      <c r="C124" s="6" t="s">
        <v>15</v>
      </c>
      <c r="D124" s="7">
        <v>195.44000199999999</v>
      </c>
      <c r="E124" s="7">
        <v>187.60319999999999</v>
      </c>
      <c r="F124" s="7">
        <v>195.63000500000001</v>
      </c>
      <c r="G124" s="7">
        <v>194.13000500000001</v>
      </c>
      <c r="H124" s="8">
        <f t="shared" si="3"/>
        <v>-7.1581960613751694E-4</v>
      </c>
    </row>
    <row r="125" spans="2:8" x14ac:dyDescent="0.2">
      <c r="B125" s="5">
        <v>44374</v>
      </c>
      <c r="C125" s="6" t="s">
        <v>15</v>
      </c>
      <c r="D125" s="7">
        <v>195.820007</v>
      </c>
      <c r="E125" s="7">
        <v>187.96796800000001</v>
      </c>
      <c r="F125" s="7">
        <v>195.88000500000001</v>
      </c>
      <c r="G125" s="7">
        <v>194.88999899999999</v>
      </c>
      <c r="H125" s="8">
        <f t="shared" si="3"/>
        <v>1.9443563042944058E-3</v>
      </c>
    </row>
    <row r="126" spans="2:8" x14ac:dyDescent="0.2">
      <c r="B126" s="5">
        <v>44377</v>
      </c>
      <c r="C126" s="6" t="s">
        <v>15</v>
      </c>
      <c r="D126" s="7">
        <v>195.720001</v>
      </c>
      <c r="E126" s="7">
        <v>187.871972</v>
      </c>
      <c r="F126" s="7">
        <v>196.16999799999999</v>
      </c>
      <c r="G126" s="7">
        <v>195.529999</v>
      </c>
      <c r="H126" s="8">
        <f t="shared" si="3"/>
        <v>-5.107036892303226E-4</v>
      </c>
    </row>
    <row r="127" spans="2:8" x14ac:dyDescent="0.2">
      <c r="B127" s="5">
        <v>44378</v>
      </c>
      <c r="C127" s="6" t="s">
        <v>15</v>
      </c>
      <c r="D127" s="7">
        <v>197.029999</v>
      </c>
      <c r="E127" s="7">
        <v>189.12944100000001</v>
      </c>
      <c r="F127" s="7">
        <v>197.63000500000001</v>
      </c>
      <c r="G127" s="7">
        <v>196.13000500000001</v>
      </c>
      <c r="H127" s="8">
        <f t="shared" si="3"/>
        <v>6.6932249811300958E-3</v>
      </c>
    </row>
    <row r="128" spans="2:8" x14ac:dyDescent="0.2">
      <c r="B128" s="5">
        <v>44379</v>
      </c>
      <c r="C128" s="6" t="s">
        <v>15</v>
      </c>
      <c r="D128" s="7">
        <v>197.229996</v>
      </c>
      <c r="E128" s="7">
        <v>189.32141799999999</v>
      </c>
      <c r="F128" s="7">
        <v>197.479996</v>
      </c>
      <c r="G128" s="7">
        <v>196.96000699999999</v>
      </c>
      <c r="H128" s="8">
        <f t="shared" si="3"/>
        <v>1.0150586256664205E-3</v>
      </c>
    </row>
    <row r="129" spans="2:8" x14ac:dyDescent="0.2">
      <c r="B129" s="5">
        <v>44380</v>
      </c>
      <c r="C129" s="6" t="s">
        <v>15</v>
      </c>
      <c r="D129" s="7">
        <v>198.199997</v>
      </c>
      <c r="E129" s="7">
        <v>190.25252399999999</v>
      </c>
      <c r="F129" s="7">
        <v>198.28999300000001</v>
      </c>
      <c r="G129" s="7">
        <v>197.63999899999999</v>
      </c>
      <c r="H129" s="8">
        <f t="shared" si="3"/>
        <v>4.9181210752546802E-3</v>
      </c>
    </row>
    <row r="130" spans="2:8" x14ac:dyDescent="0.2">
      <c r="B130" s="5">
        <v>44384</v>
      </c>
      <c r="C130" s="6" t="s">
        <v>15</v>
      </c>
      <c r="D130" s="7">
        <v>197.509995</v>
      </c>
      <c r="E130" s="7">
        <v>189.59018900000001</v>
      </c>
      <c r="F130" s="7">
        <v>197.979996</v>
      </c>
      <c r="G130" s="7">
        <v>197.220001</v>
      </c>
      <c r="H130" s="8">
        <f t="shared" si="3"/>
        <v>-3.48134213140272E-3</v>
      </c>
    </row>
    <row r="131" spans="2:8" x14ac:dyDescent="0.2">
      <c r="B131" s="5">
        <v>44385</v>
      </c>
      <c r="C131" s="6" t="s">
        <v>15</v>
      </c>
      <c r="D131" s="7">
        <v>196.240005</v>
      </c>
      <c r="E131" s="7">
        <v>188.37112500000001</v>
      </c>
      <c r="F131" s="7">
        <v>197.220001</v>
      </c>
      <c r="G131" s="7">
        <v>195.759995</v>
      </c>
      <c r="H131" s="8">
        <f t="shared" si="3"/>
        <v>-6.4300037069010456E-3</v>
      </c>
    </row>
    <row r="132" spans="2:8" x14ac:dyDescent="0.2">
      <c r="B132" s="5">
        <v>44386</v>
      </c>
      <c r="C132" s="6" t="s">
        <v>15</v>
      </c>
      <c r="D132" s="7">
        <v>197.11999499999999</v>
      </c>
      <c r="E132" s="7">
        <v>189.21582799999999</v>
      </c>
      <c r="F132" s="7">
        <v>197.300003</v>
      </c>
      <c r="G132" s="7">
        <v>196.30999800000001</v>
      </c>
      <c r="H132" s="8">
        <f t="shared" ref="H132:H195" si="4">(D132-D131)/D131</f>
        <v>4.4842538604704593E-3</v>
      </c>
    </row>
    <row r="133" spans="2:8" x14ac:dyDescent="0.2">
      <c r="B133" s="5">
        <v>44387</v>
      </c>
      <c r="C133" s="6" t="s">
        <v>15</v>
      </c>
      <c r="D133" s="7">
        <v>196.33999600000001</v>
      </c>
      <c r="E133" s="7">
        <v>188.467106</v>
      </c>
      <c r="F133" s="7">
        <v>196.86000100000001</v>
      </c>
      <c r="G133" s="7">
        <v>195.05999800000001</v>
      </c>
      <c r="H133" s="8">
        <f t="shared" si="4"/>
        <v>-3.9569755467981586E-3</v>
      </c>
    </row>
    <row r="134" spans="2:8" x14ac:dyDescent="0.2">
      <c r="B134" s="5">
        <v>44388</v>
      </c>
      <c r="C134" s="6" t="s">
        <v>15</v>
      </c>
      <c r="D134" s="7">
        <v>196.61000100000001</v>
      </c>
      <c r="E134" s="7">
        <v>188.72628399999999</v>
      </c>
      <c r="F134" s="7">
        <v>196.75</v>
      </c>
      <c r="G134" s="7">
        <v>195.779999</v>
      </c>
      <c r="H134" s="8">
        <f t="shared" si="4"/>
        <v>1.3751910232288973E-3</v>
      </c>
    </row>
    <row r="135" spans="2:8" x14ac:dyDescent="0.2">
      <c r="B135" s="5">
        <v>44391</v>
      </c>
      <c r="C135" s="6" t="s">
        <v>15</v>
      </c>
      <c r="D135" s="7">
        <v>197.60000600000001</v>
      </c>
      <c r="E135" s="7">
        <v>189.676592</v>
      </c>
      <c r="F135" s="7">
        <v>197.86000100000001</v>
      </c>
      <c r="G135" s="7">
        <v>197.44000199999999</v>
      </c>
      <c r="H135" s="8">
        <f t="shared" si="4"/>
        <v>5.0353745738498648E-3</v>
      </c>
    </row>
    <row r="136" spans="2:8" x14ac:dyDescent="0.2">
      <c r="B136" s="5">
        <v>44392</v>
      </c>
      <c r="C136" s="6" t="s">
        <v>15</v>
      </c>
      <c r="D136" s="7">
        <v>197.229996</v>
      </c>
      <c r="E136" s="7">
        <v>189.32141799999999</v>
      </c>
      <c r="F136" s="7">
        <v>198.10000600000001</v>
      </c>
      <c r="G136" s="7">
        <v>196.36000100000001</v>
      </c>
      <c r="H136" s="8">
        <f t="shared" si="4"/>
        <v>-1.8725201860571184E-3</v>
      </c>
    </row>
    <row r="137" spans="2:8" x14ac:dyDescent="0.2">
      <c r="B137" s="5">
        <v>44393</v>
      </c>
      <c r="C137" s="6" t="s">
        <v>15</v>
      </c>
      <c r="D137" s="7">
        <v>197.96000699999999</v>
      </c>
      <c r="E137" s="7">
        <v>190.02215699999999</v>
      </c>
      <c r="F137" s="7">
        <v>198.259995</v>
      </c>
      <c r="G137" s="7">
        <v>197.41999799999999</v>
      </c>
      <c r="H137" s="8">
        <f t="shared" si="4"/>
        <v>3.701318332937503E-3</v>
      </c>
    </row>
    <row r="138" spans="2:8" x14ac:dyDescent="0.2">
      <c r="B138" s="5">
        <v>44394</v>
      </c>
      <c r="C138" s="6" t="s">
        <v>15</v>
      </c>
      <c r="D138" s="7">
        <v>195.71000699999999</v>
      </c>
      <c r="E138" s="7">
        <v>187.86237800000001</v>
      </c>
      <c r="F138" s="7">
        <v>198.10000600000001</v>
      </c>
      <c r="G138" s="7">
        <v>195.429993</v>
      </c>
      <c r="H138" s="8">
        <f t="shared" si="4"/>
        <v>-1.1365932109711433E-2</v>
      </c>
    </row>
    <row r="139" spans="2:8" x14ac:dyDescent="0.2">
      <c r="B139" s="5">
        <v>44395</v>
      </c>
      <c r="C139" s="6" t="s">
        <v>15</v>
      </c>
      <c r="D139" s="7">
        <v>197.71000699999999</v>
      </c>
      <c r="E139" s="7">
        <v>189.78218100000001</v>
      </c>
      <c r="F139" s="7">
        <v>197.91000399999999</v>
      </c>
      <c r="G139" s="7">
        <v>196.240005</v>
      </c>
      <c r="H139" s="8">
        <f t="shared" si="4"/>
        <v>1.0219201514820855E-2</v>
      </c>
    </row>
    <row r="140" spans="2:8" x14ac:dyDescent="0.2">
      <c r="B140" s="5">
        <v>44398</v>
      </c>
      <c r="C140" s="6" t="s">
        <v>15</v>
      </c>
      <c r="D140" s="7">
        <v>197.33999600000001</v>
      </c>
      <c r="E140" s="7">
        <v>189.427008</v>
      </c>
      <c r="F140" s="7">
        <v>197.5</v>
      </c>
      <c r="G140" s="7">
        <v>196.429993</v>
      </c>
      <c r="H140" s="8">
        <f t="shared" si="4"/>
        <v>-1.8714834196529911E-3</v>
      </c>
    </row>
    <row r="141" spans="2:8" x14ac:dyDescent="0.2">
      <c r="B141" s="5">
        <v>44399</v>
      </c>
      <c r="C141" s="6" t="s">
        <v>15</v>
      </c>
      <c r="D141" s="7">
        <v>198.199997</v>
      </c>
      <c r="E141" s="7">
        <v>190.25252399999999</v>
      </c>
      <c r="F141" s="7">
        <v>198.55999800000001</v>
      </c>
      <c r="G141" s="7">
        <v>197.86999499999999</v>
      </c>
      <c r="H141" s="8">
        <f t="shared" si="4"/>
        <v>4.3579660354304594E-3</v>
      </c>
    </row>
    <row r="142" spans="2:8" x14ac:dyDescent="0.2">
      <c r="B142" s="5">
        <v>44400</v>
      </c>
      <c r="C142" s="6" t="s">
        <v>15</v>
      </c>
      <c r="D142" s="7">
        <v>198.63999899999999</v>
      </c>
      <c r="E142" s="7">
        <v>190.67488299999999</v>
      </c>
      <c r="F142" s="7">
        <v>198.85000600000001</v>
      </c>
      <c r="G142" s="7">
        <v>198.10000600000001</v>
      </c>
      <c r="H142" s="8">
        <f t="shared" si="4"/>
        <v>2.2199899427848765E-3</v>
      </c>
    </row>
    <row r="143" spans="2:8" x14ac:dyDescent="0.2">
      <c r="B143" s="5">
        <v>44401</v>
      </c>
      <c r="C143" s="6" t="s">
        <v>15</v>
      </c>
      <c r="D143" s="7">
        <v>198.64999399999999</v>
      </c>
      <c r="E143" s="7">
        <v>190.68447699999999</v>
      </c>
      <c r="F143" s="7">
        <v>199.05999800000001</v>
      </c>
      <c r="G143" s="7">
        <v>198.449997</v>
      </c>
      <c r="H143" s="8">
        <f t="shared" si="4"/>
        <v>5.0317156918650253E-5</v>
      </c>
    </row>
    <row r="144" spans="2:8" x14ac:dyDescent="0.2">
      <c r="B144" s="5">
        <v>44402</v>
      </c>
      <c r="C144" s="6" t="s">
        <v>15</v>
      </c>
      <c r="D144" s="7">
        <v>197.720001</v>
      </c>
      <c r="E144" s="7">
        <v>189.791775</v>
      </c>
      <c r="F144" s="7">
        <v>198.259995</v>
      </c>
      <c r="G144" s="7">
        <v>197.33000200000001</v>
      </c>
      <c r="H144" s="8">
        <f t="shared" si="4"/>
        <v>-4.681565708982584E-3</v>
      </c>
    </row>
    <row r="145" spans="2:8" x14ac:dyDescent="0.2">
      <c r="B145" s="5">
        <v>44405</v>
      </c>
      <c r="C145" s="6" t="s">
        <v>15</v>
      </c>
      <c r="D145" s="7">
        <v>197.800003</v>
      </c>
      <c r="E145" s="7">
        <v>189.86856900000001</v>
      </c>
      <c r="F145" s="7">
        <v>198.08999600000001</v>
      </c>
      <c r="G145" s="7">
        <v>196.61999499999999</v>
      </c>
      <c r="H145" s="8">
        <f t="shared" si="4"/>
        <v>4.0462269671952641E-4</v>
      </c>
    </row>
    <row r="146" spans="2:8" x14ac:dyDescent="0.2">
      <c r="B146" s="5">
        <v>44406</v>
      </c>
      <c r="C146" s="6" t="s">
        <v>15</v>
      </c>
      <c r="D146" s="7">
        <v>196.949997</v>
      </c>
      <c r="E146" s="7">
        <v>189.05264700000001</v>
      </c>
      <c r="F146" s="7">
        <v>198.449997</v>
      </c>
      <c r="G146" s="7">
        <v>196.91999799999999</v>
      </c>
      <c r="H146" s="8">
        <f t="shared" si="4"/>
        <v>-4.2973002381602975E-3</v>
      </c>
    </row>
    <row r="147" spans="2:8" x14ac:dyDescent="0.2">
      <c r="B147" s="5">
        <v>44407</v>
      </c>
      <c r="C147" s="6" t="s">
        <v>15</v>
      </c>
      <c r="D147" s="7">
        <v>196.979996</v>
      </c>
      <c r="E147" s="7">
        <v>189.08144300000001</v>
      </c>
      <c r="F147" s="7">
        <v>197.91000399999999</v>
      </c>
      <c r="G147" s="7">
        <v>196.16000399999999</v>
      </c>
      <c r="H147" s="8">
        <f t="shared" si="4"/>
        <v>1.5231784948950094E-4</v>
      </c>
    </row>
    <row r="148" spans="2:8" x14ac:dyDescent="0.2">
      <c r="B148" s="5">
        <v>44408</v>
      </c>
      <c r="C148" s="6" t="s">
        <v>15</v>
      </c>
      <c r="D148" s="7">
        <v>193.08999600000001</v>
      </c>
      <c r="E148" s="7">
        <v>185.34742499999999</v>
      </c>
      <c r="F148" s="7">
        <v>195.779999</v>
      </c>
      <c r="G148" s="7">
        <v>192.970001</v>
      </c>
      <c r="H148" s="8">
        <f t="shared" si="4"/>
        <v>-1.9748198187596603E-2</v>
      </c>
    </row>
    <row r="149" spans="2:8" x14ac:dyDescent="0.2">
      <c r="B149" s="5">
        <v>44409</v>
      </c>
      <c r="C149" s="6" t="s">
        <v>15</v>
      </c>
      <c r="D149" s="7">
        <v>192.5</v>
      </c>
      <c r="E149" s="7">
        <v>184.78108700000001</v>
      </c>
      <c r="F149" s="7">
        <v>193.759995</v>
      </c>
      <c r="G149" s="7">
        <v>191.570007</v>
      </c>
      <c r="H149" s="8">
        <f t="shared" si="4"/>
        <v>-3.0555492890476494E-3</v>
      </c>
    </row>
    <row r="150" spans="2:8" x14ac:dyDescent="0.2">
      <c r="B150" s="5">
        <v>44412</v>
      </c>
      <c r="C150" s="6" t="s">
        <v>15</v>
      </c>
      <c r="D150" s="7">
        <v>193.88999899999999</v>
      </c>
      <c r="E150" s="7">
        <v>186.11535000000001</v>
      </c>
      <c r="F150" s="7">
        <v>194.300003</v>
      </c>
      <c r="G150" s="7">
        <v>192.050003</v>
      </c>
      <c r="H150" s="8">
        <f t="shared" si="4"/>
        <v>7.2207740259739679E-3</v>
      </c>
    </row>
    <row r="151" spans="2:8" x14ac:dyDescent="0.2">
      <c r="B151" s="5">
        <v>44413</v>
      </c>
      <c r="C151" s="6" t="s">
        <v>15</v>
      </c>
      <c r="D151" s="7">
        <v>192.009995</v>
      </c>
      <c r="E151" s="7">
        <v>184.31073000000001</v>
      </c>
      <c r="F151" s="7">
        <v>193.60000600000001</v>
      </c>
      <c r="G151" s="7">
        <v>191.30999800000001</v>
      </c>
      <c r="H151" s="8">
        <f t="shared" si="4"/>
        <v>-9.6962401861685789E-3</v>
      </c>
    </row>
    <row r="152" spans="2:8" x14ac:dyDescent="0.2">
      <c r="B152" s="5">
        <v>44414</v>
      </c>
      <c r="C152" s="6" t="s">
        <v>15</v>
      </c>
      <c r="D152" s="7">
        <v>192.070007</v>
      </c>
      <c r="E152" s="7">
        <v>184.368336</v>
      </c>
      <c r="F152" s="7">
        <v>192.88999899999999</v>
      </c>
      <c r="G152" s="7">
        <v>191.08000200000001</v>
      </c>
      <c r="H152" s="8">
        <f t="shared" si="4"/>
        <v>3.1254622968976382E-4</v>
      </c>
    </row>
    <row r="153" spans="2:8" x14ac:dyDescent="0.2">
      <c r="B153" s="5">
        <v>44415</v>
      </c>
      <c r="C153" s="6" t="s">
        <v>15</v>
      </c>
      <c r="D153" s="7">
        <v>191.029999</v>
      </c>
      <c r="E153" s="7">
        <v>183.37003000000001</v>
      </c>
      <c r="F153" s="7">
        <v>193.13000500000001</v>
      </c>
      <c r="G153" s="7">
        <v>190.550003</v>
      </c>
      <c r="H153" s="8">
        <f t="shared" si="4"/>
        <v>-5.4147340141451668E-3</v>
      </c>
    </row>
    <row r="154" spans="2:8" x14ac:dyDescent="0.2">
      <c r="B154" s="5">
        <v>44416</v>
      </c>
      <c r="C154" s="6" t="s">
        <v>15</v>
      </c>
      <c r="D154" s="7">
        <v>193.240005</v>
      </c>
      <c r="E154" s="7">
        <v>185.49141900000001</v>
      </c>
      <c r="F154" s="7">
        <v>193.36999499999999</v>
      </c>
      <c r="G154" s="7">
        <v>190.949997</v>
      </c>
      <c r="H154" s="8">
        <f t="shared" si="4"/>
        <v>1.156889499852844E-2</v>
      </c>
    </row>
    <row r="155" spans="2:8" x14ac:dyDescent="0.2">
      <c r="B155" s="5">
        <v>44419</v>
      </c>
      <c r="C155" s="6" t="s">
        <v>15</v>
      </c>
      <c r="D155" s="7">
        <v>193.800003</v>
      </c>
      <c r="E155" s="7">
        <v>186.02896200000001</v>
      </c>
      <c r="F155" s="7">
        <v>194.66000399999999</v>
      </c>
      <c r="G155" s="7">
        <v>193.71000699999999</v>
      </c>
      <c r="H155" s="8">
        <f t="shared" si="4"/>
        <v>2.8979403100305619E-3</v>
      </c>
    </row>
    <row r="156" spans="2:8" x14ac:dyDescent="0.2">
      <c r="B156" s="5">
        <v>44420</v>
      </c>
      <c r="C156" s="6" t="s">
        <v>15</v>
      </c>
      <c r="D156" s="7">
        <v>193.529999</v>
      </c>
      <c r="E156" s="7">
        <v>185.76978500000001</v>
      </c>
      <c r="F156" s="7">
        <v>194.14999399999999</v>
      </c>
      <c r="G156" s="7">
        <v>192.94000199999999</v>
      </c>
      <c r="H156" s="8">
        <f t="shared" si="4"/>
        <v>-1.393209472757336E-3</v>
      </c>
    </row>
    <row r="157" spans="2:8" x14ac:dyDescent="0.2">
      <c r="B157" s="5">
        <v>44421</v>
      </c>
      <c r="C157" s="6" t="s">
        <v>15</v>
      </c>
      <c r="D157" s="7">
        <v>194.83999600000001</v>
      </c>
      <c r="E157" s="7">
        <v>187.027253</v>
      </c>
      <c r="F157" s="7">
        <v>195.05999800000001</v>
      </c>
      <c r="G157" s="7">
        <v>193.96000699999999</v>
      </c>
      <c r="H157" s="8">
        <f t="shared" si="4"/>
        <v>6.7689609195937103E-3</v>
      </c>
    </row>
    <row r="158" spans="2:8" x14ac:dyDescent="0.2">
      <c r="B158" s="5">
        <v>44422</v>
      </c>
      <c r="C158" s="6" t="s">
        <v>15</v>
      </c>
      <c r="D158" s="7">
        <v>195.759995</v>
      </c>
      <c r="E158" s="7">
        <v>187.91036099999999</v>
      </c>
      <c r="F158" s="7">
        <v>195.759995</v>
      </c>
      <c r="G158" s="7">
        <v>194.979996</v>
      </c>
      <c r="H158" s="8">
        <f t="shared" si="4"/>
        <v>4.7218179988054911E-3</v>
      </c>
    </row>
    <row r="159" spans="2:8" x14ac:dyDescent="0.2">
      <c r="B159" s="5">
        <v>44423</v>
      </c>
      <c r="C159" s="6" t="s">
        <v>15</v>
      </c>
      <c r="D159" s="7">
        <v>195.720001</v>
      </c>
      <c r="E159" s="7">
        <v>187.871972</v>
      </c>
      <c r="F159" s="7">
        <v>196.64999399999999</v>
      </c>
      <c r="G159" s="7">
        <v>194.30999800000001</v>
      </c>
      <c r="H159" s="8">
        <f t="shared" si="4"/>
        <v>-2.0430119034283377E-4</v>
      </c>
    </row>
    <row r="160" spans="2:8" x14ac:dyDescent="0.2">
      <c r="B160" s="5">
        <v>44426</v>
      </c>
      <c r="C160" s="6" t="s">
        <v>15</v>
      </c>
      <c r="D160" s="7">
        <v>197.36000100000001</v>
      </c>
      <c r="E160" s="7">
        <v>189.44621000000001</v>
      </c>
      <c r="F160" s="7">
        <v>197.449997</v>
      </c>
      <c r="G160" s="7">
        <v>196.69000199999999</v>
      </c>
      <c r="H160" s="8">
        <f t="shared" si="4"/>
        <v>8.3793173493802234E-3</v>
      </c>
    </row>
    <row r="161" spans="2:8" x14ac:dyDescent="0.2">
      <c r="B161" s="5">
        <v>44427</v>
      </c>
      <c r="C161" s="6" t="s">
        <v>15</v>
      </c>
      <c r="D161" s="7">
        <v>198.38999899999999</v>
      </c>
      <c r="E161" s="7">
        <v>190.43490800000001</v>
      </c>
      <c r="F161" s="7">
        <v>198.53999300000001</v>
      </c>
      <c r="G161" s="7">
        <v>197.44000199999999</v>
      </c>
      <c r="H161" s="8">
        <f t="shared" si="4"/>
        <v>5.2188791790692066E-3</v>
      </c>
    </row>
    <row r="162" spans="2:8" x14ac:dyDescent="0.2">
      <c r="B162" s="5">
        <v>44428</v>
      </c>
      <c r="C162" s="6" t="s">
        <v>15</v>
      </c>
      <c r="D162" s="7">
        <v>198.91999799999999</v>
      </c>
      <c r="E162" s="7">
        <v>190.94365400000001</v>
      </c>
      <c r="F162" s="7">
        <v>199.16000399999999</v>
      </c>
      <c r="G162" s="7">
        <v>198.08000200000001</v>
      </c>
      <c r="H162" s="8">
        <f t="shared" si="4"/>
        <v>2.6715005931322359E-3</v>
      </c>
    </row>
    <row r="163" spans="2:8" x14ac:dyDescent="0.2">
      <c r="B163" s="5">
        <v>44429</v>
      </c>
      <c r="C163" s="6" t="s">
        <v>15</v>
      </c>
      <c r="D163" s="7">
        <v>199.5</v>
      </c>
      <c r="E163" s="7">
        <v>191.50039899999999</v>
      </c>
      <c r="F163" s="7">
        <v>199.759995</v>
      </c>
      <c r="G163" s="7">
        <v>198.929993</v>
      </c>
      <c r="H163" s="8">
        <f t="shared" si="4"/>
        <v>2.9157551067339519E-3</v>
      </c>
    </row>
    <row r="164" spans="2:8" x14ac:dyDescent="0.2">
      <c r="B164" s="5">
        <v>44430</v>
      </c>
      <c r="C164" s="6" t="s">
        <v>15</v>
      </c>
      <c r="D164" s="7">
        <v>199.19000199999999</v>
      </c>
      <c r="E164" s="7">
        <v>191.202832</v>
      </c>
      <c r="F164" s="7">
        <v>199.69000199999999</v>
      </c>
      <c r="G164" s="7">
        <v>198.740005</v>
      </c>
      <c r="H164" s="8">
        <f t="shared" si="4"/>
        <v>-1.5538746867168286E-3</v>
      </c>
    </row>
    <row r="165" spans="2:8" x14ac:dyDescent="0.2">
      <c r="B165" s="5">
        <v>44433</v>
      </c>
      <c r="C165" s="6" t="s">
        <v>15</v>
      </c>
      <c r="D165" s="7">
        <v>200.199997</v>
      </c>
      <c r="E165" s="7">
        <v>192.172327</v>
      </c>
      <c r="F165" s="7">
        <v>200.58999600000001</v>
      </c>
      <c r="G165" s="7">
        <v>199.14999399999999</v>
      </c>
      <c r="H165" s="8">
        <f t="shared" si="4"/>
        <v>5.0705105168883102E-3</v>
      </c>
    </row>
    <row r="166" spans="2:8" x14ac:dyDescent="0.2">
      <c r="B166" s="5">
        <v>44434</v>
      </c>
      <c r="C166" s="6" t="s">
        <v>15</v>
      </c>
      <c r="D166" s="7">
        <v>200.33000200000001</v>
      </c>
      <c r="E166" s="7">
        <v>192.29711900000001</v>
      </c>
      <c r="F166" s="7">
        <v>200.820007</v>
      </c>
      <c r="G166" s="7">
        <v>200.279999</v>
      </c>
      <c r="H166" s="8">
        <f t="shared" si="4"/>
        <v>6.4937563410658419E-4</v>
      </c>
    </row>
    <row r="167" spans="2:8" x14ac:dyDescent="0.2">
      <c r="B167" s="5">
        <v>44435</v>
      </c>
      <c r="C167" s="6" t="s">
        <v>15</v>
      </c>
      <c r="D167" s="7">
        <v>200.25</v>
      </c>
      <c r="E167" s="7">
        <v>192.220325</v>
      </c>
      <c r="F167" s="7">
        <v>200.570007</v>
      </c>
      <c r="G167" s="7">
        <v>199.94000199999999</v>
      </c>
      <c r="H167" s="8">
        <f t="shared" si="4"/>
        <v>-3.9935106674639502E-4</v>
      </c>
    </row>
    <row r="168" spans="2:8" x14ac:dyDescent="0.2">
      <c r="B168" s="5">
        <v>44436</v>
      </c>
      <c r="C168" s="6" t="s">
        <v>15</v>
      </c>
      <c r="D168" s="7">
        <v>200.13999899999999</v>
      </c>
      <c r="E168" s="7">
        <v>192.11473599999999</v>
      </c>
      <c r="F168" s="7">
        <v>200.270004</v>
      </c>
      <c r="G168" s="7">
        <v>199.38999899999999</v>
      </c>
      <c r="H168" s="8">
        <f t="shared" si="4"/>
        <v>-5.4931835205998059E-4</v>
      </c>
    </row>
    <row r="169" spans="2:8" x14ac:dyDescent="0.2">
      <c r="B169" s="5">
        <v>44437</v>
      </c>
      <c r="C169" s="6" t="s">
        <v>15</v>
      </c>
      <c r="D169" s="7">
        <v>200.71000699999999</v>
      </c>
      <c r="E169" s="7">
        <v>192.66188700000001</v>
      </c>
      <c r="F169" s="7">
        <v>200.729996</v>
      </c>
      <c r="G169" s="7">
        <v>199.820007</v>
      </c>
      <c r="H169" s="8">
        <f t="shared" si="4"/>
        <v>2.8480463817729981E-3</v>
      </c>
    </row>
    <row r="170" spans="2:8" x14ac:dyDescent="0.2">
      <c r="B170" s="5">
        <v>44441</v>
      </c>
      <c r="C170" s="6" t="s">
        <v>15</v>
      </c>
      <c r="D170" s="7">
        <v>200.61000100000001</v>
      </c>
      <c r="E170" s="7">
        <v>192.56589099999999</v>
      </c>
      <c r="F170" s="7">
        <v>201</v>
      </c>
      <c r="G170" s="7">
        <v>199.86000100000001</v>
      </c>
      <c r="H170" s="8">
        <f t="shared" si="4"/>
        <v>-4.9826115545887641E-4</v>
      </c>
    </row>
    <row r="171" spans="2:8" x14ac:dyDescent="0.2">
      <c r="B171" s="5">
        <v>44442</v>
      </c>
      <c r="C171" s="6" t="s">
        <v>15</v>
      </c>
      <c r="D171" s="7">
        <v>200.5</v>
      </c>
      <c r="E171" s="7">
        <v>192.46030099999999</v>
      </c>
      <c r="F171" s="7">
        <v>201.41000399999999</v>
      </c>
      <c r="G171" s="7">
        <v>200.220001</v>
      </c>
      <c r="H171" s="8">
        <f t="shared" si="4"/>
        <v>-5.4833258288060674E-4</v>
      </c>
    </row>
    <row r="172" spans="2:8" x14ac:dyDescent="0.2">
      <c r="B172" s="5">
        <v>44443</v>
      </c>
      <c r="C172" s="6" t="s">
        <v>15</v>
      </c>
      <c r="D172" s="7">
        <v>200.21000699999999</v>
      </c>
      <c r="E172" s="7">
        <v>192.18193600000001</v>
      </c>
      <c r="F172" s="7">
        <v>201.58000200000001</v>
      </c>
      <c r="G172" s="7">
        <v>199.66000399999999</v>
      </c>
      <c r="H172" s="8">
        <f t="shared" si="4"/>
        <v>-1.4463491271820934E-3</v>
      </c>
    </row>
    <row r="173" spans="2:8" x14ac:dyDescent="0.2">
      <c r="B173" s="5">
        <v>44444</v>
      </c>
      <c r="C173" s="6" t="s">
        <v>15</v>
      </c>
      <c r="D173" s="7">
        <v>201.11000100000001</v>
      </c>
      <c r="E173" s="7">
        <v>193.04584199999999</v>
      </c>
      <c r="F173" s="7">
        <v>201.19000199999999</v>
      </c>
      <c r="G173" s="7">
        <v>199.41000399999999</v>
      </c>
      <c r="H173" s="8">
        <f t="shared" si="4"/>
        <v>4.4952498303444987E-3</v>
      </c>
    </row>
    <row r="174" spans="2:8" x14ac:dyDescent="0.2">
      <c r="B174" s="5">
        <v>44447</v>
      </c>
      <c r="C174" s="6" t="s">
        <v>15</v>
      </c>
      <c r="D174" s="7">
        <v>200.58999600000001</v>
      </c>
      <c r="E174" s="7">
        <v>192.54668899999999</v>
      </c>
      <c r="F174" s="7">
        <v>201.21000699999999</v>
      </c>
      <c r="G174" s="7">
        <v>200</v>
      </c>
      <c r="H174" s="8">
        <f t="shared" si="4"/>
        <v>-2.5856744936319583E-3</v>
      </c>
    </row>
    <row r="175" spans="2:8" x14ac:dyDescent="0.2">
      <c r="B175" s="5">
        <v>44448</v>
      </c>
      <c r="C175" s="6" t="s">
        <v>15</v>
      </c>
      <c r="D175" s="7">
        <v>199.320007</v>
      </c>
      <c r="E175" s="7">
        <v>191.32762399999999</v>
      </c>
      <c r="F175" s="7">
        <v>200.550003</v>
      </c>
      <c r="G175" s="7">
        <v>198.91000399999999</v>
      </c>
      <c r="H175" s="8">
        <f t="shared" si="4"/>
        <v>-6.3312678863606409E-3</v>
      </c>
    </row>
    <row r="176" spans="2:8" x14ac:dyDescent="0.2">
      <c r="B176" s="5">
        <v>44449</v>
      </c>
      <c r="C176" s="6" t="s">
        <v>15</v>
      </c>
      <c r="D176" s="7">
        <v>200.070007</v>
      </c>
      <c r="E176" s="7">
        <v>192.04755</v>
      </c>
      <c r="F176" s="7">
        <v>200.199997</v>
      </c>
      <c r="G176" s="7">
        <v>198.770004</v>
      </c>
      <c r="H176" s="8">
        <f t="shared" si="4"/>
        <v>3.7627933657457678E-3</v>
      </c>
    </row>
    <row r="177" spans="2:8" x14ac:dyDescent="0.2">
      <c r="B177" s="5">
        <v>44450</v>
      </c>
      <c r="C177" s="6" t="s">
        <v>15</v>
      </c>
      <c r="D177" s="7">
        <v>200.300003</v>
      </c>
      <c r="E177" s="7">
        <v>192.26832300000001</v>
      </c>
      <c r="F177" s="7">
        <v>200.33000200000001</v>
      </c>
      <c r="G177" s="7">
        <v>199.11999499999999</v>
      </c>
      <c r="H177" s="8">
        <f t="shared" si="4"/>
        <v>1.1495776076021224E-3</v>
      </c>
    </row>
    <row r="178" spans="2:8" x14ac:dyDescent="0.2">
      <c r="B178" s="5">
        <v>44451</v>
      </c>
      <c r="C178" s="6" t="s">
        <v>15</v>
      </c>
      <c r="D178" s="7">
        <v>199.13000500000001</v>
      </c>
      <c r="E178" s="7">
        <v>191.14524</v>
      </c>
      <c r="F178" s="7">
        <v>200.11999499999999</v>
      </c>
      <c r="G178" s="7">
        <v>198.55999800000001</v>
      </c>
      <c r="H178" s="8">
        <f t="shared" si="4"/>
        <v>-5.8412280702761273E-3</v>
      </c>
    </row>
    <row r="179" spans="2:8" x14ac:dyDescent="0.2">
      <c r="B179" s="5">
        <v>44454</v>
      </c>
      <c r="C179" s="6" t="s">
        <v>15</v>
      </c>
      <c r="D179" s="7">
        <v>198.979996</v>
      </c>
      <c r="E179" s="7">
        <v>191.00124600000001</v>
      </c>
      <c r="F179" s="7">
        <v>199.320007</v>
      </c>
      <c r="G179" s="7">
        <v>198.38000500000001</v>
      </c>
      <c r="H179" s="8">
        <f t="shared" si="4"/>
        <v>-7.5332193156933517E-4</v>
      </c>
    </row>
    <row r="180" spans="2:8" x14ac:dyDescent="0.2">
      <c r="B180" s="5">
        <v>44455</v>
      </c>
      <c r="C180" s="6" t="s">
        <v>15</v>
      </c>
      <c r="D180" s="7">
        <v>200.479996</v>
      </c>
      <c r="E180" s="7">
        <v>192.44109900000001</v>
      </c>
      <c r="F180" s="7">
        <v>200.83999600000001</v>
      </c>
      <c r="G180" s="7">
        <v>198.5</v>
      </c>
      <c r="H180" s="8">
        <f t="shared" si="4"/>
        <v>7.5384462265241977E-3</v>
      </c>
    </row>
    <row r="181" spans="2:8" x14ac:dyDescent="0.2">
      <c r="B181" s="5">
        <v>44456</v>
      </c>
      <c r="C181" s="6" t="s">
        <v>15</v>
      </c>
      <c r="D181" s="7">
        <v>200.75</v>
      </c>
      <c r="E181" s="7">
        <v>192.700276</v>
      </c>
      <c r="F181" s="7">
        <v>201.679993</v>
      </c>
      <c r="G181" s="7">
        <v>199.75</v>
      </c>
      <c r="H181" s="8">
        <f t="shared" si="4"/>
        <v>1.3467877363684711E-3</v>
      </c>
    </row>
    <row r="182" spans="2:8" x14ac:dyDescent="0.2">
      <c r="B182" s="5">
        <v>44457</v>
      </c>
      <c r="C182" s="6" t="s">
        <v>15</v>
      </c>
      <c r="D182" s="7">
        <v>201.820007</v>
      </c>
      <c r="E182" s="7">
        <v>193.72737799999999</v>
      </c>
      <c r="F182" s="7">
        <v>201.85000600000001</v>
      </c>
      <c r="G182" s="7">
        <v>201.10000600000001</v>
      </c>
      <c r="H182" s="8">
        <f t="shared" si="4"/>
        <v>5.3300473225404927E-3</v>
      </c>
    </row>
    <row r="183" spans="2:8" x14ac:dyDescent="0.2">
      <c r="B183" s="5">
        <v>44458</v>
      </c>
      <c r="C183" s="6" t="s">
        <v>15</v>
      </c>
      <c r="D183" s="7">
        <v>200.699997</v>
      </c>
      <c r="E183" s="7">
        <v>193.55281500000001</v>
      </c>
      <c r="F183" s="7">
        <v>201.89999399999999</v>
      </c>
      <c r="G183" s="7">
        <v>200.28999300000001</v>
      </c>
      <c r="H183" s="8">
        <f t="shared" si="4"/>
        <v>-5.549548910678651E-3</v>
      </c>
    </row>
    <row r="184" spans="2:8" x14ac:dyDescent="0.2">
      <c r="B184" s="5">
        <v>44461</v>
      </c>
      <c r="C184" s="6" t="s">
        <v>15</v>
      </c>
      <c r="D184" s="7">
        <v>199.14999399999999</v>
      </c>
      <c r="E184" s="7">
        <v>192.058009</v>
      </c>
      <c r="F184" s="7">
        <v>200.38000500000001</v>
      </c>
      <c r="G184" s="7">
        <v>198.729996</v>
      </c>
      <c r="H184" s="8">
        <f t="shared" si="4"/>
        <v>-7.7229846695015337E-3</v>
      </c>
    </row>
    <row r="185" spans="2:8" x14ac:dyDescent="0.2">
      <c r="B185" s="5">
        <v>44462</v>
      </c>
      <c r="C185" s="6" t="s">
        <v>15</v>
      </c>
      <c r="D185" s="7">
        <v>198.009995</v>
      </c>
      <c r="E185" s="7">
        <v>190.958607</v>
      </c>
      <c r="F185" s="7">
        <v>199.259995</v>
      </c>
      <c r="G185" s="7">
        <v>197.949997</v>
      </c>
      <c r="H185" s="8">
        <f t="shared" si="4"/>
        <v>-5.7243235468035659E-3</v>
      </c>
    </row>
    <row r="186" spans="2:8" x14ac:dyDescent="0.2">
      <c r="B186" s="5">
        <v>44463</v>
      </c>
      <c r="C186" s="6" t="s">
        <v>15</v>
      </c>
      <c r="D186" s="7">
        <v>199.55999800000001</v>
      </c>
      <c r="E186" s="7">
        <v>192.45341199999999</v>
      </c>
      <c r="F186" s="7">
        <v>199.69000199999999</v>
      </c>
      <c r="G186" s="7">
        <v>197.520004</v>
      </c>
      <c r="H186" s="8">
        <f t="shared" si="4"/>
        <v>7.8279028288445931E-3</v>
      </c>
    </row>
    <row r="187" spans="2:8" x14ac:dyDescent="0.2">
      <c r="B187" s="5">
        <v>44464</v>
      </c>
      <c r="C187" s="6" t="s">
        <v>15</v>
      </c>
      <c r="D187" s="7">
        <v>196.33999600000001</v>
      </c>
      <c r="E187" s="7">
        <v>189.34807900000001</v>
      </c>
      <c r="F187" s="7">
        <v>199.050003</v>
      </c>
      <c r="G187" s="7">
        <v>196.270004</v>
      </c>
      <c r="H187" s="8">
        <f t="shared" si="4"/>
        <v>-1.6135508279570106E-2</v>
      </c>
    </row>
    <row r="188" spans="2:8" x14ac:dyDescent="0.2">
      <c r="B188" s="5">
        <v>44465</v>
      </c>
      <c r="C188" s="6" t="s">
        <v>15</v>
      </c>
      <c r="D188" s="7">
        <v>197.89999399999999</v>
      </c>
      <c r="E188" s="7">
        <v>190.85252299999999</v>
      </c>
      <c r="F188" s="7">
        <v>198.38999899999999</v>
      </c>
      <c r="G188" s="7">
        <v>196.41999799999999</v>
      </c>
      <c r="H188" s="8">
        <f t="shared" si="4"/>
        <v>7.9453908107443311E-3</v>
      </c>
    </row>
    <row r="189" spans="2:8" x14ac:dyDescent="0.2">
      <c r="B189" s="5">
        <v>44468</v>
      </c>
      <c r="C189" s="6" t="s">
        <v>15</v>
      </c>
      <c r="D189" s="7">
        <v>197.53999300000001</v>
      </c>
      <c r="E189" s="7">
        <v>190.50534300000001</v>
      </c>
      <c r="F189" s="7">
        <v>197.88999899999999</v>
      </c>
      <c r="G189" s="7">
        <v>196.050003</v>
      </c>
      <c r="H189" s="8">
        <f t="shared" si="4"/>
        <v>-1.8191056640455619E-3</v>
      </c>
    </row>
    <row r="190" spans="2:8" x14ac:dyDescent="0.2">
      <c r="B190" s="5">
        <v>44469</v>
      </c>
      <c r="C190" s="6" t="s">
        <v>15</v>
      </c>
      <c r="D190" s="7">
        <v>197.020004</v>
      </c>
      <c r="E190" s="7">
        <v>190.003871</v>
      </c>
      <c r="F190" s="7">
        <v>198.300003</v>
      </c>
      <c r="G190" s="7">
        <v>196.61000100000001</v>
      </c>
      <c r="H190" s="8">
        <f t="shared" si="4"/>
        <v>-2.6323226608599179E-3</v>
      </c>
    </row>
    <row r="191" spans="2:8" x14ac:dyDescent="0.2">
      <c r="B191" s="5">
        <v>44470</v>
      </c>
      <c r="C191" s="6" t="s">
        <v>15</v>
      </c>
      <c r="D191" s="7">
        <v>194.35000600000001</v>
      </c>
      <c r="E191" s="7">
        <v>187.428955</v>
      </c>
      <c r="F191" s="7">
        <v>196.770004</v>
      </c>
      <c r="G191" s="7">
        <v>193.91000399999999</v>
      </c>
      <c r="H191" s="8">
        <f t="shared" si="4"/>
        <v>-1.3551913236180792E-2</v>
      </c>
    </row>
    <row r="192" spans="2:8" x14ac:dyDescent="0.2">
      <c r="B192" s="5">
        <v>44471</v>
      </c>
      <c r="C192" s="6" t="s">
        <v>15</v>
      </c>
      <c r="D192" s="7">
        <v>194.38000500000001</v>
      </c>
      <c r="E192" s="7">
        <v>187.457886</v>
      </c>
      <c r="F192" s="7">
        <v>195.05999800000001</v>
      </c>
      <c r="G192" s="7">
        <v>192.35000600000001</v>
      </c>
      <c r="H192" s="8">
        <f t="shared" si="4"/>
        <v>1.5435553935616374E-4</v>
      </c>
    </row>
    <row r="193" spans="2:8" x14ac:dyDescent="0.2">
      <c r="B193" s="5">
        <v>44472</v>
      </c>
      <c r="C193" s="6" t="s">
        <v>15</v>
      </c>
      <c r="D193" s="7">
        <v>196.520004</v>
      </c>
      <c r="E193" s="7">
        <v>189.52167700000001</v>
      </c>
      <c r="F193" s="7">
        <v>196.94000199999999</v>
      </c>
      <c r="G193" s="7">
        <v>195.08000200000001</v>
      </c>
      <c r="H193" s="8">
        <f t="shared" si="4"/>
        <v>1.1009357675446035E-2</v>
      </c>
    </row>
    <row r="194" spans="2:8" x14ac:dyDescent="0.2">
      <c r="B194" s="5">
        <v>44475</v>
      </c>
      <c r="C194" s="6" t="s">
        <v>15</v>
      </c>
      <c r="D194" s="7">
        <v>196.28999300000001</v>
      </c>
      <c r="E194" s="7">
        <v>189.299857</v>
      </c>
      <c r="F194" s="7">
        <v>197.60000600000001</v>
      </c>
      <c r="G194" s="7">
        <v>195.58000200000001</v>
      </c>
      <c r="H194" s="8">
        <f t="shared" si="4"/>
        <v>-1.1704202896311278E-3</v>
      </c>
    </row>
    <row r="195" spans="2:8" x14ac:dyDescent="0.2">
      <c r="B195" s="5">
        <v>44476</v>
      </c>
      <c r="C195" s="6" t="s">
        <v>15</v>
      </c>
      <c r="D195" s="7">
        <v>193.259995</v>
      </c>
      <c r="E195" s="7">
        <v>186.37775999999999</v>
      </c>
      <c r="F195" s="7">
        <v>195.720001</v>
      </c>
      <c r="G195" s="7">
        <v>193.220001</v>
      </c>
      <c r="H195" s="8">
        <f t="shared" si="4"/>
        <v>-1.5436334546101931E-2</v>
      </c>
    </row>
    <row r="196" spans="2:8" x14ac:dyDescent="0.2">
      <c r="B196" s="5">
        <v>44477</v>
      </c>
      <c r="C196" s="6" t="s">
        <v>15</v>
      </c>
      <c r="D196" s="7">
        <v>196.63999899999999</v>
      </c>
      <c r="E196" s="7">
        <v>189.63739899999999</v>
      </c>
      <c r="F196" s="7">
        <v>196.91999799999999</v>
      </c>
      <c r="G196" s="7">
        <v>192.36000100000001</v>
      </c>
      <c r="H196" s="8">
        <f t="shared" ref="H196:H259" si="5">(D196-D195)/D195</f>
        <v>1.7489413678190281E-2</v>
      </c>
    </row>
    <row r="197" spans="2:8" x14ac:dyDescent="0.2">
      <c r="B197" s="5">
        <v>44478</v>
      </c>
      <c r="C197" s="6" t="s">
        <v>15</v>
      </c>
      <c r="D197" s="7">
        <v>192.740005</v>
      </c>
      <c r="E197" s="7">
        <v>185.87628900000001</v>
      </c>
      <c r="F197" s="7">
        <v>196.60000600000001</v>
      </c>
      <c r="G197" s="7">
        <v>192.58000200000001</v>
      </c>
      <c r="H197" s="8">
        <f t="shared" si="5"/>
        <v>-1.9833167309973351E-2</v>
      </c>
    </row>
    <row r="198" spans="2:8" x14ac:dyDescent="0.2">
      <c r="B198" s="5">
        <v>44479</v>
      </c>
      <c r="C198" s="6" t="s">
        <v>15</v>
      </c>
      <c r="D198" s="7">
        <v>190.53999300000001</v>
      </c>
      <c r="E198" s="7">
        <v>183.75462200000001</v>
      </c>
      <c r="F198" s="7">
        <v>193.64999399999999</v>
      </c>
      <c r="G198" s="7">
        <v>190.490005</v>
      </c>
      <c r="H198" s="8">
        <f t="shared" si="5"/>
        <v>-1.141440252634624E-2</v>
      </c>
    </row>
    <row r="199" spans="2:8" x14ac:dyDescent="0.2">
      <c r="B199" s="5">
        <v>44482</v>
      </c>
      <c r="C199" s="6" t="s">
        <v>15</v>
      </c>
      <c r="D199" s="7">
        <v>187.41000399999999</v>
      </c>
      <c r="E199" s="7">
        <v>180.73609500000001</v>
      </c>
      <c r="F199" s="7">
        <v>191.14999399999999</v>
      </c>
      <c r="G199" s="7">
        <v>187.300003</v>
      </c>
      <c r="H199" s="8">
        <f t="shared" si="5"/>
        <v>-1.6426939828847496E-2</v>
      </c>
    </row>
    <row r="200" spans="2:8" x14ac:dyDescent="0.2">
      <c r="B200" s="5">
        <v>44483</v>
      </c>
      <c r="C200" s="6" t="s">
        <v>15</v>
      </c>
      <c r="D200" s="7">
        <v>187.699997</v>
      </c>
      <c r="E200" s="7">
        <v>181.015761</v>
      </c>
      <c r="F200" s="7">
        <v>189.820007</v>
      </c>
      <c r="G200" s="7">
        <v>187.03999300000001</v>
      </c>
      <c r="H200" s="8">
        <f t="shared" si="5"/>
        <v>1.5473720389014545E-3</v>
      </c>
    </row>
    <row r="201" spans="2:8" x14ac:dyDescent="0.2">
      <c r="B201" s="5">
        <v>44484</v>
      </c>
      <c r="C201" s="6" t="s">
        <v>15</v>
      </c>
      <c r="D201" s="7">
        <v>186.429993</v>
      </c>
      <c r="E201" s="7">
        <v>179.79098400000001</v>
      </c>
      <c r="F201" s="7">
        <v>187.69000199999999</v>
      </c>
      <c r="G201" s="7">
        <v>181.91999799999999</v>
      </c>
      <c r="H201" s="8">
        <f t="shared" si="5"/>
        <v>-6.7661375615259076E-3</v>
      </c>
    </row>
    <row r="202" spans="2:8" x14ac:dyDescent="0.2">
      <c r="B202" s="5">
        <v>44485</v>
      </c>
      <c r="C202" s="6" t="s">
        <v>15</v>
      </c>
      <c r="D202" s="7">
        <v>186.270004</v>
      </c>
      <c r="E202" s="7">
        <v>179.63669300000001</v>
      </c>
      <c r="F202" s="7">
        <v>187.58000200000001</v>
      </c>
      <c r="G202" s="7">
        <v>182.88999899999999</v>
      </c>
      <c r="H202" s="8">
        <f t="shared" si="5"/>
        <v>-8.5817200025317783E-4</v>
      </c>
    </row>
    <row r="203" spans="2:8" x14ac:dyDescent="0.2">
      <c r="B203" s="5">
        <v>44486</v>
      </c>
      <c r="C203" s="6" t="s">
        <v>15</v>
      </c>
      <c r="D203" s="7">
        <v>188.470001</v>
      </c>
      <c r="E203" s="7">
        <v>181.75834499999999</v>
      </c>
      <c r="F203" s="7">
        <v>189.75</v>
      </c>
      <c r="G203" s="7">
        <v>187.61999499999999</v>
      </c>
      <c r="H203" s="8">
        <f t="shared" si="5"/>
        <v>1.1810795902490002E-2</v>
      </c>
    </row>
    <row r="204" spans="2:8" x14ac:dyDescent="0.2">
      <c r="B204" s="5">
        <v>44489</v>
      </c>
      <c r="C204" s="6" t="s">
        <v>15</v>
      </c>
      <c r="D204" s="7">
        <v>190.300003</v>
      </c>
      <c r="E204" s="7">
        <v>183.523178</v>
      </c>
      <c r="F204" s="7">
        <v>190.449997</v>
      </c>
      <c r="G204" s="7">
        <v>188.070007</v>
      </c>
      <c r="H204" s="8">
        <f t="shared" si="5"/>
        <v>9.7097786931088712E-3</v>
      </c>
    </row>
    <row r="205" spans="2:8" x14ac:dyDescent="0.2">
      <c r="B205" s="5">
        <v>44490</v>
      </c>
      <c r="C205" s="6" t="s">
        <v>15</v>
      </c>
      <c r="D205" s="7">
        <v>194.070007</v>
      </c>
      <c r="E205" s="7">
        <v>187.158928</v>
      </c>
      <c r="F205" s="7">
        <v>194.199997</v>
      </c>
      <c r="G205" s="7">
        <v>191.479996</v>
      </c>
      <c r="H205" s="8">
        <f t="shared" si="5"/>
        <v>1.9810845720270431E-2</v>
      </c>
    </row>
    <row r="206" spans="2:8" x14ac:dyDescent="0.2">
      <c r="B206" s="5">
        <v>44491</v>
      </c>
      <c r="C206" s="6" t="s">
        <v>15</v>
      </c>
      <c r="D206" s="7">
        <v>192.69000199999999</v>
      </c>
      <c r="E206" s="7">
        <v>185.82806600000001</v>
      </c>
      <c r="F206" s="7">
        <v>194.91000399999999</v>
      </c>
      <c r="G206" s="7">
        <v>192.61000100000001</v>
      </c>
      <c r="H206" s="8">
        <f t="shared" si="5"/>
        <v>-7.11086180359653E-3</v>
      </c>
    </row>
    <row r="207" spans="2:8" x14ac:dyDescent="0.2">
      <c r="B207" s="5">
        <v>44492</v>
      </c>
      <c r="C207" s="6" t="s">
        <v>15</v>
      </c>
      <c r="D207" s="7">
        <v>194.929993</v>
      </c>
      <c r="E207" s="7">
        <v>187.98828800000001</v>
      </c>
      <c r="F207" s="7">
        <v>196.199997</v>
      </c>
      <c r="G207" s="7">
        <v>194.259995</v>
      </c>
      <c r="H207" s="8">
        <f t="shared" si="5"/>
        <v>1.1624842891433482E-2</v>
      </c>
    </row>
    <row r="208" spans="2:8" x14ac:dyDescent="0.2">
      <c r="B208" s="5">
        <v>44493</v>
      </c>
      <c r="C208" s="6" t="s">
        <v>15</v>
      </c>
      <c r="D208" s="7">
        <v>196.429993</v>
      </c>
      <c r="E208" s="7">
        <v>189.43487099999999</v>
      </c>
      <c r="F208" s="7">
        <v>196.490005</v>
      </c>
      <c r="G208" s="7">
        <v>194.490005</v>
      </c>
      <c r="H208" s="8">
        <f t="shared" si="5"/>
        <v>7.6950703014697181E-3</v>
      </c>
    </row>
    <row r="209" spans="2:8" x14ac:dyDescent="0.2">
      <c r="B209" s="5">
        <v>44496</v>
      </c>
      <c r="C209" s="6" t="s">
        <v>15</v>
      </c>
      <c r="D209" s="7">
        <v>196.16000399999999</v>
      </c>
      <c r="E209" s="7">
        <v>189.174496</v>
      </c>
      <c r="F209" s="7">
        <v>196.449997</v>
      </c>
      <c r="G209" s="7">
        <v>195.029999</v>
      </c>
      <c r="H209" s="8">
        <f t="shared" si="5"/>
        <v>-1.3744795073123563E-3</v>
      </c>
    </row>
    <row r="210" spans="2:8" x14ac:dyDescent="0.2">
      <c r="B210" s="5">
        <v>44497</v>
      </c>
      <c r="C210" s="6" t="s">
        <v>15</v>
      </c>
      <c r="D210" s="7">
        <v>198.41000399999999</v>
      </c>
      <c r="E210" s="7">
        <v>191.344371</v>
      </c>
      <c r="F210" s="7">
        <v>198.41999799999999</v>
      </c>
      <c r="G210" s="7">
        <v>196.729996</v>
      </c>
      <c r="H210" s="8">
        <f t="shared" si="5"/>
        <v>1.147022815109649E-2</v>
      </c>
    </row>
    <row r="211" spans="2:8" x14ac:dyDescent="0.2">
      <c r="B211" s="5">
        <v>44498</v>
      </c>
      <c r="C211" s="6" t="s">
        <v>15</v>
      </c>
      <c r="D211" s="7">
        <v>198.11000100000001</v>
      </c>
      <c r="E211" s="7">
        <v>191.05505199999999</v>
      </c>
      <c r="F211" s="7">
        <v>199.11999499999999</v>
      </c>
      <c r="G211" s="7">
        <v>196.800003</v>
      </c>
      <c r="H211" s="8">
        <f t="shared" si="5"/>
        <v>-1.5120356532021208E-3</v>
      </c>
    </row>
    <row r="212" spans="2:8" x14ac:dyDescent="0.2">
      <c r="B212" s="5">
        <v>44499</v>
      </c>
      <c r="C212" s="6" t="s">
        <v>15</v>
      </c>
      <c r="D212" s="7">
        <v>199.38000500000001</v>
      </c>
      <c r="E212" s="7">
        <v>192.27982900000001</v>
      </c>
      <c r="F212" s="7">
        <v>199.949997</v>
      </c>
      <c r="G212" s="7">
        <v>197.39999399999999</v>
      </c>
      <c r="H212" s="8">
        <f t="shared" si="5"/>
        <v>6.4106001392630349E-3</v>
      </c>
    </row>
    <row r="213" spans="2:8" x14ac:dyDescent="0.2">
      <c r="B213" s="5">
        <v>44500</v>
      </c>
      <c r="C213" s="6" t="s">
        <v>15</v>
      </c>
      <c r="D213" s="7">
        <v>201.66000399999999</v>
      </c>
      <c r="E213" s="7">
        <v>194.478634</v>
      </c>
      <c r="F213" s="7">
        <v>201.820007</v>
      </c>
      <c r="G213" s="7">
        <v>200.770004</v>
      </c>
      <c r="H213" s="8">
        <f t="shared" si="5"/>
        <v>1.1435444592350045E-2</v>
      </c>
    </row>
    <row r="214" spans="2:8" x14ac:dyDescent="0.2">
      <c r="B214" s="5">
        <v>44503</v>
      </c>
      <c r="C214" s="6" t="s">
        <v>15</v>
      </c>
      <c r="D214" s="7">
        <v>201.770004</v>
      </c>
      <c r="E214" s="7">
        <v>194.58471800000001</v>
      </c>
      <c r="F214" s="7">
        <v>202.449997</v>
      </c>
      <c r="G214" s="7">
        <v>201.30999800000001</v>
      </c>
      <c r="H214" s="8">
        <f t="shared" si="5"/>
        <v>5.4547256678629072E-4</v>
      </c>
    </row>
    <row r="215" spans="2:8" x14ac:dyDescent="0.2">
      <c r="B215" s="5">
        <v>44504</v>
      </c>
      <c r="C215" s="6" t="s">
        <v>15</v>
      </c>
      <c r="D215" s="7">
        <v>201.070007</v>
      </c>
      <c r="E215" s="7">
        <v>193.909649</v>
      </c>
      <c r="F215" s="7">
        <v>201.60000600000001</v>
      </c>
      <c r="G215" s="7">
        <v>200.05999800000001</v>
      </c>
      <c r="H215" s="8">
        <f t="shared" si="5"/>
        <v>-3.4692817868011549E-3</v>
      </c>
    </row>
    <row r="216" spans="2:8" x14ac:dyDescent="0.2">
      <c r="B216" s="5">
        <v>44505</v>
      </c>
      <c r="C216" s="6" t="s">
        <v>15</v>
      </c>
      <c r="D216" s="7">
        <v>202.33999600000001</v>
      </c>
      <c r="E216" s="7">
        <v>195.134412</v>
      </c>
      <c r="F216" s="7">
        <v>202.58999600000001</v>
      </c>
      <c r="G216" s="7">
        <v>201.449997</v>
      </c>
      <c r="H216" s="8">
        <f t="shared" si="5"/>
        <v>6.3161533584668826E-3</v>
      </c>
    </row>
    <row r="217" spans="2:8" x14ac:dyDescent="0.2">
      <c r="B217" s="5">
        <v>44506</v>
      </c>
      <c r="C217" s="6" t="s">
        <v>15</v>
      </c>
      <c r="D217" s="7">
        <v>203.14999399999999</v>
      </c>
      <c r="E217" s="7">
        <v>195.91556399999999</v>
      </c>
      <c r="F217" s="7">
        <v>203.259995</v>
      </c>
      <c r="G217" s="7">
        <v>201.63999899999999</v>
      </c>
      <c r="H217" s="8">
        <f t="shared" si="5"/>
        <v>4.003153187766095E-3</v>
      </c>
    </row>
    <row r="218" spans="2:8" x14ac:dyDescent="0.2">
      <c r="B218" s="5">
        <v>44507</v>
      </c>
      <c r="C218" s="6" t="s">
        <v>15</v>
      </c>
      <c r="D218" s="7">
        <v>203.33999600000001</v>
      </c>
      <c r="E218" s="7">
        <v>196.09880000000001</v>
      </c>
      <c r="F218" s="7">
        <v>203.60000600000001</v>
      </c>
      <c r="G218" s="7">
        <v>202.61000100000001</v>
      </c>
      <c r="H218" s="8">
        <f t="shared" si="5"/>
        <v>9.3527937785723542E-4</v>
      </c>
    </row>
    <row r="219" spans="2:8" x14ac:dyDescent="0.2">
      <c r="B219" s="5">
        <v>44510</v>
      </c>
      <c r="C219" s="6" t="s">
        <v>15</v>
      </c>
      <c r="D219" s="7">
        <v>203.979996</v>
      </c>
      <c r="E219" s="7">
        <v>196.71600900000001</v>
      </c>
      <c r="F219" s="7">
        <v>204.03999300000001</v>
      </c>
      <c r="G219" s="7">
        <v>203.13000500000001</v>
      </c>
      <c r="H219" s="8">
        <f t="shared" si="5"/>
        <v>3.147437850839666E-3</v>
      </c>
    </row>
    <row r="220" spans="2:8" x14ac:dyDescent="0.2">
      <c r="B220" s="5">
        <v>44511</v>
      </c>
      <c r="C220" s="6" t="s">
        <v>15</v>
      </c>
      <c r="D220" s="7">
        <v>204.179993</v>
      </c>
      <c r="E220" s="7">
        <v>196.908883</v>
      </c>
      <c r="F220" s="7">
        <v>204.30999800000001</v>
      </c>
      <c r="G220" s="7">
        <v>203.64999399999999</v>
      </c>
      <c r="H220" s="8">
        <f t="shared" si="5"/>
        <v>9.8047359506760754E-4</v>
      </c>
    </row>
    <row r="221" spans="2:8" x14ac:dyDescent="0.2">
      <c r="B221" s="5">
        <v>44512</v>
      </c>
      <c r="C221" s="6" t="s">
        <v>15</v>
      </c>
      <c r="D221" s="7">
        <v>203.96000699999999</v>
      </c>
      <c r="E221" s="7">
        <v>196.696731</v>
      </c>
      <c r="F221" s="7">
        <v>204.240005</v>
      </c>
      <c r="G221" s="7">
        <v>203.30999800000001</v>
      </c>
      <c r="H221" s="8">
        <f t="shared" si="5"/>
        <v>-1.0774121243113462E-3</v>
      </c>
    </row>
    <row r="222" spans="2:8" x14ac:dyDescent="0.2">
      <c r="B222" s="5">
        <v>44513</v>
      </c>
      <c r="C222" s="6" t="s">
        <v>15</v>
      </c>
      <c r="D222" s="7">
        <v>204.19000199999999</v>
      </c>
      <c r="E222" s="7">
        <v>196.91853699999999</v>
      </c>
      <c r="F222" s="7">
        <v>204.83000200000001</v>
      </c>
      <c r="G222" s="7">
        <v>203.21000699999999</v>
      </c>
      <c r="H222" s="8">
        <f t="shared" si="5"/>
        <v>1.1276475392550972E-3</v>
      </c>
    </row>
    <row r="223" spans="2:8" x14ac:dyDescent="0.2">
      <c r="B223" s="5">
        <v>44514</v>
      </c>
      <c r="C223" s="6" t="s">
        <v>15</v>
      </c>
      <c r="D223" s="7">
        <v>204.240005</v>
      </c>
      <c r="E223" s="7">
        <v>196.966759</v>
      </c>
      <c r="F223" s="7">
        <v>204.490005</v>
      </c>
      <c r="G223" s="7">
        <v>203.720001</v>
      </c>
      <c r="H223" s="8">
        <f t="shared" si="5"/>
        <v>2.4488466384364792E-4</v>
      </c>
    </row>
    <row r="224" spans="2:8" x14ac:dyDescent="0.2">
      <c r="B224" s="5">
        <v>44517</v>
      </c>
      <c r="C224" s="6" t="s">
        <v>15</v>
      </c>
      <c r="D224" s="7">
        <v>204.36999499999999</v>
      </c>
      <c r="E224" s="7">
        <v>197.09211999999999</v>
      </c>
      <c r="F224" s="7">
        <v>204.58000200000001</v>
      </c>
      <c r="G224" s="7">
        <v>203.64999399999999</v>
      </c>
      <c r="H224" s="8">
        <f t="shared" si="5"/>
        <v>6.3645709370205056E-4</v>
      </c>
    </row>
    <row r="225" spans="2:8" x14ac:dyDescent="0.2">
      <c r="B225" s="5">
        <v>44518</v>
      </c>
      <c r="C225" s="6" t="s">
        <v>15</v>
      </c>
      <c r="D225" s="7">
        <v>205.550003</v>
      </c>
      <c r="E225" s="7">
        <v>198.23010600000001</v>
      </c>
      <c r="F225" s="7">
        <v>205.91999799999999</v>
      </c>
      <c r="G225" s="7">
        <v>204.44000199999999</v>
      </c>
      <c r="H225" s="8">
        <f t="shared" si="5"/>
        <v>5.7738808478221817E-3</v>
      </c>
    </row>
    <row r="226" spans="2:8" x14ac:dyDescent="0.2">
      <c r="B226" s="5">
        <v>44519</v>
      </c>
      <c r="C226" s="6" t="s">
        <v>15</v>
      </c>
      <c r="D226" s="7">
        <v>205.220001</v>
      </c>
      <c r="E226" s="7">
        <v>197.911856</v>
      </c>
      <c r="F226" s="7">
        <v>205.550003</v>
      </c>
      <c r="G226" s="7">
        <v>204.300003</v>
      </c>
      <c r="H226" s="8">
        <f t="shared" si="5"/>
        <v>-1.6054585024744925E-3</v>
      </c>
    </row>
    <row r="227" spans="2:8" x14ac:dyDescent="0.2">
      <c r="B227" s="5">
        <v>44520</v>
      </c>
      <c r="C227" s="6" t="s">
        <v>15</v>
      </c>
      <c r="D227" s="7">
        <v>205.58000200000001</v>
      </c>
      <c r="E227" s="7">
        <v>198.25903600000001</v>
      </c>
      <c r="F227" s="7">
        <v>205.71000699999999</v>
      </c>
      <c r="G227" s="7">
        <v>204.179993</v>
      </c>
      <c r="H227" s="8">
        <f t="shared" si="5"/>
        <v>1.7542198530639862E-3</v>
      </c>
    </row>
    <row r="228" spans="2:8" x14ac:dyDescent="0.2">
      <c r="B228" s="5">
        <v>44521</v>
      </c>
      <c r="C228" s="6" t="s">
        <v>15</v>
      </c>
      <c r="D228" s="7">
        <v>206.679993</v>
      </c>
      <c r="E228" s="7">
        <v>199.31985499999999</v>
      </c>
      <c r="F228" s="7">
        <v>207.83999600000001</v>
      </c>
      <c r="G228" s="7">
        <v>205.979996</v>
      </c>
      <c r="H228" s="8">
        <f t="shared" si="5"/>
        <v>5.3506712194700172E-3</v>
      </c>
    </row>
    <row r="229" spans="2:8" x14ac:dyDescent="0.2">
      <c r="B229" s="5">
        <v>44524</v>
      </c>
      <c r="C229" s="6" t="s">
        <v>15</v>
      </c>
      <c r="D229" s="7">
        <v>207.259995</v>
      </c>
      <c r="E229" s="7">
        <v>199.87920199999999</v>
      </c>
      <c r="F229" s="7">
        <v>207.38999899999999</v>
      </c>
      <c r="G229" s="7">
        <v>206.91000399999999</v>
      </c>
      <c r="H229" s="8">
        <f t="shared" si="5"/>
        <v>2.8062803350298519E-3</v>
      </c>
    </row>
    <row r="230" spans="2:8" x14ac:dyDescent="0.2">
      <c r="B230" s="5">
        <v>44525</v>
      </c>
      <c r="C230" s="6" t="s">
        <v>15</v>
      </c>
      <c r="D230" s="7">
        <v>207.11000100000001</v>
      </c>
      <c r="E230" s="7">
        <v>199.73455000000001</v>
      </c>
      <c r="F230" s="7">
        <v>207.78999300000001</v>
      </c>
      <c r="G230" s="7">
        <v>206.800003</v>
      </c>
      <c r="H230" s="8">
        <f t="shared" si="5"/>
        <v>-7.2369971831752868E-4</v>
      </c>
    </row>
    <row r="231" spans="2:8" x14ac:dyDescent="0.2">
      <c r="B231" s="5">
        <v>44526</v>
      </c>
      <c r="C231" s="6" t="s">
        <v>15</v>
      </c>
      <c r="D231" s="7">
        <v>207.63999899999999</v>
      </c>
      <c r="E231" s="7">
        <v>200.24567500000001</v>
      </c>
      <c r="F231" s="7">
        <v>207.759995</v>
      </c>
      <c r="G231" s="7">
        <v>207.029999</v>
      </c>
      <c r="H231" s="8">
        <f t="shared" si="5"/>
        <v>2.5590169351598704E-3</v>
      </c>
    </row>
    <row r="232" spans="2:8" x14ac:dyDescent="0.2">
      <c r="B232" s="5">
        <v>44528</v>
      </c>
      <c r="C232" s="6" t="s">
        <v>15</v>
      </c>
      <c r="D232" s="7">
        <v>207.199997</v>
      </c>
      <c r="E232" s="7">
        <v>199.82134199999999</v>
      </c>
      <c r="F232" s="7">
        <v>207.86999499999999</v>
      </c>
      <c r="G232" s="7">
        <v>206.91000399999999</v>
      </c>
      <c r="H232" s="8">
        <f t="shared" si="5"/>
        <v>-2.119061848001611E-3</v>
      </c>
    </row>
    <row r="233" spans="2:8" x14ac:dyDescent="0.2">
      <c r="B233" s="5">
        <v>44531</v>
      </c>
      <c r="C233" s="6" t="s">
        <v>15</v>
      </c>
      <c r="D233" s="7">
        <v>205.759995</v>
      </c>
      <c r="E233" s="7">
        <v>198.43261899999999</v>
      </c>
      <c r="F233" s="7">
        <v>206.53999300000001</v>
      </c>
      <c r="G233" s="7">
        <v>205.38000500000001</v>
      </c>
      <c r="H233" s="8">
        <f t="shared" si="5"/>
        <v>-6.949816702941326E-3</v>
      </c>
    </row>
    <row r="234" spans="2:8" x14ac:dyDescent="0.2">
      <c r="B234" s="5">
        <v>44532</v>
      </c>
      <c r="C234" s="6" t="s">
        <v>15</v>
      </c>
      <c r="D234" s="7">
        <v>207.08999600000001</v>
      </c>
      <c r="E234" s="7">
        <v>199.71525800000001</v>
      </c>
      <c r="F234" s="7">
        <v>207.33999600000001</v>
      </c>
      <c r="G234" s="7">
        <v>205.779999</v>
      </c>
      <c r="H234" s="8">
        <f t="shared" si="5"/>
        <v>6.4638463856883837E-3</v>
      </c>
    </row>
    <row r="235" spans="2:8" x14ac:dyDescent="0.2">
      <c r="B235" s="5">
        <v>44533</v>
      </c>
      <c r="C235" s="6" t="s">
        <v>15</v>
      </c>
      <c r="D235" s="7">
        <v>207.88999899999999</v>
      </c>
      <c r="E235" s="7">
        <v>200.486772</v>
      </c>
      <c r="F235" s="7">
        <v>208.14999399999999</v>
      </c>
      <c r="G235" s="7">
        <v>207.10000600000001</v>
      </c>
      <c r="H235" s="8">
        <f t="shared" si="5"/>
        <v>3.8630692715836226E-3</v>
      </c>
    </row>
    <row r="236" spans="2:8" x14ac:dyDescent="0.2">
      <c r="B236" s="5">
        <v>44534</v>
      </c>
      <c r="C236" s="6" t="s">
        <v>15</v>
      </c>
      <c r="D236" s="7">
        <v>207.66000399999999</v>
      </c>
      <c r="E236" s="7">
        <v>200.26496700000001</v>
      </c>
      <c r="F236" s="7">
        <v>208.270004</v>
      </c>
      <c r="G236" s="7">
        <v>206.699997</v>
      </c>
      <c r="H236" s="8">
        <f t="shared" si="5"/>
        <v>-1.1063302761380185E-3</v>
      </c>
    </row>
    <row r="237" spans="2:8" x14ac:dyDescent="0.2">
      <c r="B237" s="5">
        <v>44535</v>
      </c>
      <c r="C237" s="6" t="s">
        <v>15</v>
      </c>
      <c r="D237" s="7">
        <v>208</v>
      </c>
      <c r="E237" s="7">
        <v>200.59285499999999</v>
      </c>
      <c r="F237" s="7">
        <v>208.470001</v>
      </c>
      <c r="G237" s="7">
        <v>207.550003</v>
      </c>
      <c r="H237" s="8">
        <f t="shared" si="5"/>
        <v>1.6372724330681104E-3</v>
      </c>
    </row>
    <row r="238" spans="2:8" x14ac:dyDescent="0.2">
      <c r="B238" s="5">
        <v>44538</v>
      </c>
      <c r="C238" s="6" t="s">
        <v>15</v>
      </c>
      <c r="D238" s="7">
        <v>206.61000100000001</v>
      </c>
      <c r="E238" s="7">
        <v>199.25235599999999</v>
      </c>
      <c r="F238" s="7">
        <v>208.11999499999999</v>
      </c>
      <c r="G238" s="7">
        <v>205.929993</v>
      </c>
      <c r="H238" s="8">
        <f t="shared" si="5"/>
        <v>-6.6826874999999465E-3</v>
      </c>
    </row>
    <row r="239" spans="2:8" x14ac:dyDescent="0.2">
      <c r="B239" s="5">
        <v>44539</v>
      </c>
      <c r="C239" s="6" t="s">
        <v>15</v>
      </c>
      <c r="D239" s="7">
        <v>206.470001</v>
      </c>
      <c r="E239" s="7">
        <v>199.11734200000001</v>
      </c>
      <c r="F239" s="7">
        <v>206.60000600000001</v>
      </c>
      <c r="G239" s="7">
        <v>203.91000399999999</v>
      </c>
      <c r="H239" s="8">
        <f t="shared" si="5"/>
        <v>-6.7760514651957616E-4</v>
      </c>
    </row>
    <row r="240" spans="2:8" x14ac:dyDescent="0.2">
      <c r="B240" s="5">
        <v>44540</v>
      </c>
      <c r="C240" s="6" t="s">
        <v>15</v>
      </c>
      <c r="D240" s="7">
        <v>203.16000399999999</v>
      </c>
      <c r="E240" s="7">
        <v>195.925218</v>
      </c>
      <c r="F240" s="7">
        <v>205.979996</v>
      </c>
      <c r="G240" s="7">
        <v>202.929993</v>
      </c>
      <c r="H240" s="8">
        <f t="shared" si="5"/>
        <v>-1.6031370097198818E-2</v>
      </c>
    </row>
    <row r="241" spans="2:8" x14ac:dyDescent="0.2">
      <c r="B241" s="5">
        <v>44541</v>
      </c>
      <c r="C241" s="6" t="s">
        <v>15</v>
      </c>
      <c r="D241" s="7">
        <v>204.19000199999999</v>
      </c>
      <c r="E241" s="7">
        <v>196.91853699999999</v>
      </c>
      <c r="F241" s="7">
        <v>206.19000199999999</v>
      </c>
      <c r="G241" s="7">
        <v>203.71000699999999</v>
      </c>
      <c r="H241" s="8">
        <f t="shared" si="5"/>
        <v>5.0698857044716647E-3</v>
      </c>
    </row>
    <row r="242" spans="2:8" x14ac:dyDescent="0.2">
      <c r="B242" s="5">
        <v>44542</v>
      </c>
      <c r="C242" s="6" t="s">
        <v>15</v>
      </c>
      <c r="D242" s="7">
        <v>200.88999899999999</v>
      </c>
      <c r="E242" s="7">
        <v>193.736051</v>
      </c>
      <c r="F242" s="7">
        <v>203.820007</v>
      </c>
      <c r="G242" s="7">
        <v>200.85000600000001</v>
      </c>
      <c r="H242" s="8">
        <f t="shared" si="5"/>
        <v>-1.6161432820790137E-2</v>
      </c>
    </row>
    <row r="243" spans="2:8" x14ac:dyDescent="0.2">
      <c r="B243" s="5">
        <v>44545</v>
      </c>
      <c r="C243" s="6" t="s">
        <v>15</v>
      </c>
      <c r="D243" s="7">
        <v>199.509995</v>
      </c>
      <c r="E243" s="7">
        <v>192.40519</v>
      </c>
      <c r="F243" s="7">
        <v>202.529999</v>
      </c>
      <c r="G243" s="7">
        <v>198.779999</v>
      </c>
      <c r="H243" s="8">
        <f t="shared" si="5"/>
        <v>-6.8694509774973192E-3</v>
      </c>
    </row>
    <row r="244" spans="2:8" x14ac:dyDescent="0.2">
      <c r="B244" s="5">
        <v>44546</v>
      </c>
      <c r="C244" s="6" t="s">
        <v>15</v>
      </c>
      <c r="D244" s="7">
        <v>197.91000399999999</v>
      </c>
      <c r="E244" s="7">
        <v>190.862177</v>
      </c>
      <c r="F244" s="7">
        <v>202.39999399999999</v>
      </c>
      <c r="G244" s="7">
        <v>197.86000100000001</v>
      </c>
      <c r="H244" s="8">
        <f t="shared" si="5"/>
        <v>-8.0196032283997454E-3</v>
      </c>
    </row>
    <row r="245" spans="2:8" x14ac:dyDescent="0.2">
      <c r="B245" s="5">
        <v>44547</v>
      </c>
      <c r="C245" s="6" t="s">
        <v>15</v>
      </c>
      <c r="D245" s="7">
        <v>201.78999300000001</v>
      </c>
      <c r="E245" s="7">
        <v>194.603995</v>
      </c>
      <c r="F245" s="7">
        <v>202.33999600000001</v>
      </c>
      <c r="G245" s="7">
        <v>198.28999300000001</v>
      </c>
      <c r="H245" s="8">
        <f t="shared" si="5"/>
        <v>1.9604814923858137E-2</v>
      </c>
    </row>
    <row r="246" spans="2:8" x14ac:dyDescent="0.2">
      <c r="B246" s="5">
        <v>44548</v>
      </c>
      <c r="C246" s="6" t="s">
        <v>15</v>
      </c>
      <c r="D246" s="7">
        <v>206.779999</v>
      </c>
      <c r="E246" s="7">
        <v>199.41630000000001</v>
      </c>
      <c r="F246" s="7">
        <v>212.970001</v>
      </c>
      <c r="G246" s="7">
        <v>203.91999799999999</v>
      </c>
      <c r="H246" s="8">
        <f t="shared" si="5"/>
        <v>2.4728708920664831E-2</v>
      </c>
    </row>
    <row r="247" spans="2:8" x14ac:dyDescent="0.2">
      <c r="B247" s="5">
        <v>44549</v>
      </c>
      <c r="C247" s="6" t="s">
        <v>15</v>
      </c>
      <c r="D247" s="7">
        <v>206.520004</v>
      </c>
      <c r="E247" s="7">
        <v>200.26479499999999</v>
      </c>
      <c r="F247" s="7">
        <v>207.33000200000001</v>
      </c>
      <c r="G247" s="7">
        <v>205.61000100000001</v>
      </c>
      <c r="H247" s="8">
        <f t="shared" si="5"/>
        <v>-1.2573508137022648E-3</v>
      </c>
    </row>
    <row r="248" spans="2:8" x14ac:dyDescent="0.2">
      <c r="B248" s="5">
        <v>44552</v>
      </c>
      <c r="C248" s="6" t="s">
        <v>15</v>
      </c>
      <c r="D248" s="7">
        <v>207.470001</v>
      </c>
      <c r="E248" s="7">
        <v>201.18601799999999</v>
      </c>
      <c r="F248" s="7">
        <v>207.470001</v>
      </c>
      <c r="G248" s="7">
        <v>206.46000699999999</v>
      </c>
      <c r="H248" s="8">
        <f t="shared" si="5"/>
        <v>4.600024121634223E-3</v>
      </c>
    </row>
    <row r="249" spans="2:8" x14ac:dyDescent="0.2">
      <c r="B249" s="5">
        <v>44553</v>
      </c>
      <c r="C249" s="6" t="s">
        <v>15</v>
      </c>
      <c r="D249" s="7">
        <v>207.75</v>
      </c>
      <c r="E249" s="7">
        <v>201.457536</v>
      </c>
      <c r="F249" s="7">
        <v>208.229996</v>
      </c>
      <c r="G249" s="7">
        <v>207.39999399999999</v>
      </c>
      <c r="H249" s="8">
        <f t="shared" si="5"/>
        <v>1.3495878857204212E-3</v>
      </c>
    </row>
    <row r="250" spans="2:8" x14ac:dyDescent="0.2">
      <c r="B250" s="5">
        <v>44554</v>
      </c>
      <c r="C250" s="6" t="s">
        <v>15</v>
      </c>
      <c r="D250" s="7">
        <v>207.770004</v>
      </c>
      <c r="E250" s="7">
        <v>201.476934</v>
      </c>
      <c r="F250" s="7">
        <v>208.33999600000001</v>
      </c>
      <c r="G250" s="7">
        <v>207.720001</v>
      </c>
      <c r="H250" s="8">
        <f t="shared" si="5"/>
        <v>9.6288808664260565E-5</v>
      </c>
    </row>
    <row r="251" spans="2:8" x14ac:dyDescent="0.2">
      <c r="B251" s="5">
        <v>44556</v>
      </c>
      <c r="C251" s="6" t="s">
        <v>15</v>
      </c>
      <c r="D251" s="7">
        <v>208.44000199999999</v>
      </c>
      <c r="E251" s="7">
        <v>202.12663900000001</v>
      </c>
      <c r="F251" s="7">
        <v>208.85000600000001</v>
      </c>
      <c r="G251" s="7">
        <v>208.25</v>
      </c>
      <c r="H251" s="8">
        <f t="shared" si="5"/>
        <v>3.2247099538006098E-3</v>
      </c>
    </row>
    <row r="252" spans="2:8" x14ac:dyDescent="0.2">
      <c r="B252" s="5">
        <v>44559</v>
      </c>
      <c r="C252" s="6" t="s">
        <v>15</v>
      </c>
      <c r="D252" s="7">
        <v>208.720001</v>
      </c>
      <c r="E252" s="7">
        <v>202.398157</v>
      </c>
      <c r="F252" s="7">
        <v>208.970001</v>
      </c>
      <c r="G252" s="7">
        <v>208.13999899999999</v>
      </c>
      <c r="H252" s="8">
        <f t="shared" si="5"/>
        <v>1.3433074137084477E-3</v>
      </c>
    </row>
    <row r="253" spans="2:8" x14ac:dyDescent="0.2">
      <c r="B253" s="5">
        <v>44560</v>
      </c>
      <c r="C253" s="6" t="s">
        <v>15</v>
      </c>
      <c r="D253" s="7">
        <v>207.60000600000001</v>
      </c>
      <c r="E253" s="7">
        <v>201.312085</v>
      </c>
      <c r="F253" s="7">
        <v>208.36999499999999</v>
      </c>
      <c r="G253" s="7">
        <v>207.509995</v>
      </c>
      <c r="H253" s="8">
        <f t="shared" si="5"/>
        <v>-5.3660166473455924E-3</v>
      </c>
    </row>
    <row r="254" spans="2:8" x14ac:dyDescent="0.2">
      <c r="B254" s="5">
        <v>44561</v>
      </c>
      <c r="C254" s="6" t="s">
        <v>15</v>
      </c>
      <c r="D254" s="7">
        <v>205.53999300000001</v>
      </c>
      <c r="E254" s="7">
        <v>199.31446700000001</v>
      </c>
      <c r="F254" s="7">
        <v>208.19000199999999</v>
      </c>
      <c r="G254" s="7">
        <v>205.38999899999999</v>
      </c>
      <c r="H254" s="8">
        <f t="shared" si="5"/>
        <v>-9.9229910426881091E-3</v>
      </c>
    </row>
    <row r="255" spans="2:8" x14ac:dyDescent="0.2">
      <c r="B255" s="5">
        <v>44563</v>
      </c>
      <c r="C255" s="6" t="s">
        <v>15</v>
      </c>
      <c r="D255" s="7">
        <v>205.429993</v>
      </c>
      <c r="E255" s="7">
        <v>199.207798</v>
      </c>
      <c r="F255" s="7">
        <v>206.88000500000001</v>
      </c>
      <c r="G255" s="7">
        <v>204.179993</v>
      </c>
      <c r="H255" s="8">
        <f t="shared" si="5"/>
        <v>-5.3517565313925854E-4</v>
      </c>
    </row>
    <row r="256" spans="2:8" x14ac:dyDescent="0.2">
      <c r="B256" s="5">
        <v>44566</v>
      </c>
      <c r="C256" s="6" t="s">
        <v>15</v>
      </c>
      <c r="D256" s="7">
        <v>201.720001</v>
      </c>
      <c r="E256" s="7">
        <v>195.61017699999999</v>
      </c>
      <c r="F256" s="7">
        <v>204.36999499999999</v>
      </c>
      <c r="G256" s="7">
        <v>201.35000600000001</v>
      </c>
      <c r="H256" s="8">
        <f t="shared" si="5"/>
        <v>-1.8059641368921235E-2</v>
      </c>
    </row>
    <row r="257" spans="2:8" x14ac:dyDescent="0.2">
      <c r="B257" s="5">
        <v>44567</v>
      </c>
      <c r="C257" s="6" t="s">
        <v>15</v>
      </c>
      <c r="D257" s="7">
        <v>199.820007</v>
      </c>
      <c r="E257" s="7">
        <v>193.767732</v>
      </c>
      <c r="F257" s="7">
        <v>202.720001</v>
      </c>
      <c r="G257" s="7">
        <v>198.86000100000001</v>
      </c>
      <c r="H257" s="8">
        <f t="shared" si="5"/>
        <v>-9.4189668380974898E-3</v>
      </c>
    </row>
    <row r="258" spans="2:8" x14ac:dyDescent="0.2">
      <c r="B258" s="5">
        <v>44568</v>
      </c>
      <c r="C258" s="6" t="s">
        <v>15</v>
      </c>
      <c r="D258" s="7">
        <v>202.30999800000001</v>
      </c>
      <c r="E258" s="7">
        <v>196.18230399999999</v>
      </c>
      <c r="F258" s="7">
        <v>202.720001</v>
      </c>
      <c r="G258" s="7">
        <v>200.88000500000001</v>
      </c>
      <c r="H258" s="8">
        <f t="shared" si="5"/>
        <v>1.2461169616513943E-2</v>
      </c>
    </row>
    <row r="259" spans="2:8" x14ac:dyDescent="0.2">
      <c r="B259" s="5">
        <v>44569</v>
      </c>
      <c r="C259" s="6" t="s">
        <v>15</v>
      </c>
      <c r="D259" s="7">
        <v>205.89999399999999</v>
      </c>
      <c r="E259" s="7">
        <v>199.66356400000001</v>
      </c>
      <c r="F259" s="7">
        <v>206.16000399999999</v>
      </c>
      <c r="G259" s="7">
        <v>203.990005</v>
      </c>
      <c r="H259" s="8">
        <f t="shared" si="5"/>
        <v>1.7745025137116482E-2</v>
      </c>
    </row>
    <row r="260" spans="2:8" x14ac:dyDescent="0.2">
      <c r="B260" s="5">
        <v>44570</v>
      </c>
      <c r="C260" s="6" t="s">
        <v>15</v>
      </c>
      <c r="D260" s="7">
        <v>204.25</v>
      </c>
      <c r="E260" s="7">
        <v>198.063546</v>
      </c>
      <c r="F260" s="7">
        <v>206.41999799999999</v>
      </c>
      <c r="G260" s="7">
        <v>203.509995</v>
      </c>
      <c r="H260" s="8">
        <f t="shared" ref="H260:H323" si="6">(D260-D259)/D259</f>
        <v>-8.0135699275444977E-3</v>
      </c>
    </row>
    <row r="261" spans="2:8" x14ac:dyDescent="0.2">
      <c r="B261" s="5">
        <v>44573</v>
      </c>
      <c r="C261" s="6" t="s">
        <v>15</v>
      </c>
      <c r="D261" s="7">
        <v>202.64999399999999</v>
      </c>
      <c r="E261" s="7">
        <v>196.512002</v>
      </c>
      <c r="F261" s="7">
        <v>204.60000600000001</v>
      </c>
      <c r="G261" s="7">
        <v>201.91999799999999</v>
      </c>
      <c r="H261" s="8">
        <f t="shared" si="6"/>
        <v>-7.8335667074663773E-3</v>
      </c>
    </row>
    <row r="262" spans="2:8" x14ac:dyDescent="0.2">
      <c r="B262" s="5">
        <v>44574</v>
      </c>
      <c r="C262" s="6" t="s">
        <v>15</v>
      </c>
      <c r="D262" s="7">
        <v>202.08000200000001</v>
      </c>
      <c r="E262" s="7">
        <v>195.95927399999999</v>
      </c>
      <c r="F262" s="7">
        <v>205.479996</v>
      </c>
      <c r="G262" s="7">
        <v>200.509995</v>
      </c>
      <c r="H262" s="8">
        <f t="shared" si="6"/>
        <v>-2.8126919164872268E-3</v>
      </c>
    </row>
    <row r="263" spans="2:8" x14ac:dyDescent="0.2">
      <c r="B263" s="5">
        <v>44575</v>
      </c>
      <c r="C263" s="6" t="s">
        <v>15</v>
      </c>
      <c r="D263" s="7">
        <v>200.86000100000001</v>
      </c>
      <c r="E263" s="7">
        <v>194.77622500000001</v>
      </c>
      <c r="F263" s="7">
        <v>201.10000600000001</v>
      </c>
      <c r="G263" s="7">
        <v>198.570007</v>
      </c>
      <c r="H263" s="8">
        <f t="shared" si="6"/>
        <v>-6.0372178737408974E-3</v>
      </c>
    </row>
    <row r="264" spans="2:8" x14ac:dyDescent="0.2">
      <c r="B264" s="5">
        <v>44576</v>
      </c>
      <c r="C264" s="6" t="s">
        <v>15</v>
      </c>
      <c r="D264" s="7">
        <v>199.020004</v>
      </c>
      <c r="E264" s="7">
        <v>192.99196000000001</v>
      </c>
      <c r="F264" s="7">
        <v>202.009995</v>
      </c>
      <c r="G264" s="7">
        <v>198.88000500000001</v>
      </c>
      <c r="H264" s="8">
        <f t="shared" si="6"/>
        <v>-9.1605943982844586E-3</v>
      </c>
    </row>
    <row r="265" spans="2:8" x14ac:dyDescent="0.2">
      <c r="B265" s="5">
        <v>44577</v>
      </c>
      <c r="C265" s="6" t="s">
        <v>15</v>
      </c>
      <c r="D265" s="7">
        <v>201.63000500000001</v>
      </c>
      <c r="E265" s="7">
        <v>195.522907</v>
      </c>
      <c r="F265" s="7">
        <v>201.820007</v>
      </c>
      <c r="G265" s="7">
        <v>198.550003</v>
      </c>
      <c r="H265" s="8">
        <f t="shared" si="6"/>
        <v>1.3114264634423438E-2</v>
      </c>
    </row>
    <row r="266" spans="2:8" x14ac:dyDescent="0.2">
      <c r="B266" s="5">
        <v>44581</v>
      </c>
      <c r="C266" s="6" t="s">
        <v>15</v>
      </c>
      <c r="D266" s="7">
        <v>202.05999800000001</v>
      </c>
      <c r="E266" s="7">
        <v>195.939876</v>
      </c>
      <c r="F266" s="7">
        <v>202.720001</v>
      </c>
      <c r="G266" s="7">
        <v>200.16999799999999</v>
      </c>
      <c r="H266" s="8">
        <f t="shared" si="6"/>
        <v>2.132584383956128E-3</v>
      </c>
    </row>
    <row r="267" spans="2:8" x14ac:dyDescent="0.2">
      <c r="B267" s="5">
        <v>44582</v>
      </c>
      <c r="C267" s="6" t="s">
        <v>15</v>
      </c>
      <c r="D267" s="7">
        <v>203.08000200000001</v>
      </c>
      <c r="E267" s="7">
        <v>196.92898500000001</v>
      </c>
      <c r="F267" s="7">
        <v>203.66000399999999</v>
      </c>
      <c r="G267" s="7">
        <v>200.94000199999999</v>
      </c>
      <c r="H267" s="8">
        <f t="shared" si="6"/>
        <v>5.0480253889738239E-3</v>
      </c>
    </row>
    <row r="268" spans="2:8" x14ac:dyDescent="0.2">
      <c r="B268" s="5">
        <v>44583</v>
      </c>
      <c r="C268" s="6" t="s">
        <v>15</v>
      </c>
      <c r="D268" s="7">
        <v>206.10000600000001</v>
      </c>
      <c r="E268" s="7">
        <v>199.857518</v>
      </c>
      <c r="F268" s="7">
        <v>206.259995</v>
      </c>
      <c r="G268" s="7">
        <v>202.33000200000001</v>
      </c>
      <c r="H268" s="8">
        <f t="shared" si="6"/>
        <v>1.4871006353446854E-2</v>
      </c>
    </row>
    <row r="269" spans="2:8" x14ac:dyDescent="0.2">
      <c r="B269" s="5">
        <v>44584</v>
      </c>
      <c r="C269" s="6" t="s">
        <v>15</v>
      </c>
      <c r="D269" s="7">
        <v>204.970001</v>
      </c>
      <c r="E269" s="7">
        <v>198.76173900000001</v>
      </c>
      <c r="F269" s="7">
        <v>206.10000600000001</v>
      </c>
      <c r="G269" s="7">
        <v>204.80999800000001</v>
      </c>
      <c r="H269" s="8">
        <f t="shared" si="6"/>
        <v>-5.4827994522232632E-3</v>
      </c>
    </row>
    <row r="270" spans="2:8" x14ac:dyDescent="0.2">
      <c r="B270" s="5">
        <v>44587</v>
      </c>
      <c r="C270" s="6" t="s">
        <v>15</v>
      </c>
      <c r="D270" s="7">
        <v>205.449997</v>
      </c>
      <c r="E270" s="7">
        <v>199.22719699999999</v>
      </c>
      <c r="F270" s="7">
        <v>205.55999800000001</v>
      </c>
      <c r="G270" s="7">
        <v>203.85000600000001</v>
      </c>
      <c r="H270" s="8">
        <f t="shared" si="6"/>
        <v>2.3417865914924785E-3</v>
      </c>
    </row>
    <row r="271" spans="2:8" x14ac:dyDescent="0.2">
      <c r="B271" s="5">
        <v>44588</v>
      </c>
      <c r="C271" s="6" t="s">
        <v>15</v>
      </c>
      <c r="D271" s="7">
        <v>202.740005</v>
      </c>
      <c r="E271" s="7">
        <v>196.599287</v>
      </c>
      <c r="F271" s="7">
        <v>204.11999499999999</v>
      </c>
      <c r="G271" s="7">
        <v>201.740005</v>
      </c>
      <c r="H271" s="8">
        <f t="shared" si="6"/>
        <v>-1.3190518566909493E-2</v>
      </c>
    </row>
    <row r="272" spans="2:8" x14ac:dyDescent="0.2">
      <c r="B272" s="5">
        <v>44589</v>
      </c>
      <c r="C272" s="6" t="s">
        <v>15</v>
      </c>
      <c r="D272" s="7">
        <v>200.13999899999999</v>
      </c>
      <c r="E272" s="7">
        <v>194.07803200000001</v>
      </c>
      <c r="F272" s="7">
        <v>204.28999300000001</v>
      </c>
      <c r="G272" s="7">
        <v>199.91000399999999</v>
      </c>
      <c r="H272" s="8">
        <f t="shared" si="6"/>
        <v>-1.2824336272458943E-2</v>
      </c>
    </row>
    <row r="273" spans="2:8" x14ac:dyDescent="0.2">
      <c r="B273" s="5">
        <v>44590</v>
      </c>
      <c r="C273" s="6" t="s">
        <v>15</v>
      </c>
      <c r="D273" s="7">
        <v>201.990005</v>
      </c>
      <c r="E273" s="7">
        <v>195.872004</v>
      </c>
      <c r="F273" s="7">
        <v>202.300003</v>
      </c>
      <c r="G273" s="7">
        <v>198.679993</v>
      </c>
      <c r="H273" s="8">
        <f t="shared" si="6"/>
        <v>9.2435595545296654E-3</v>
      </c>
    </row>
    <row r="274" spans="2:8" x14ac:dyDescent="0.2">
      <c r="B274" s="5">
        <v>44591</v>
      </c>
      <c r="C274" s="6" t="s">
        <v>15</v>
      </c>
      <c r="D274" s="7">
        <v>199.449997</v>
      </c>
      <c r="E274" s="7">
        <v>193.408928</v>
      </c>
      <c r="F274" s="7">
        <v>202.16999799999999</v>
      </c>
      <c r="G274" s="7">
        <v>199.13000500000001</v>
      </c>
      <c r="H274" s="8">
        <f t="shared" si="6"/>
        <v>-1.257491923919701E-2</v>
      </c>
    </row>
    <row r="275" spans="2:8" x14ac:dyDescent="0.2">
      <c r="B275" s="5">
        <v>44594</v>
      </c>
      <c r="C275" s="6" t="s">
        <v>15</v>
      </c>
      <c r="D275" s="7">
        <v>201.91999799999999</v>
      </c>
      <c r="E275" s="7">
        <v>195.80411699999999</v>
      </c>
      <c r="F275" s="7">
        <v>202.029999</v>
      </c>
      <c r="G275" s="7">
        <v>197.86000100000001</v>
      </c>
      <c r="H275" s="8">
        <f t="shared" si="6"/>
        <v>1.2384061354485738E-2</v>
      </c>
    </row>
    <row r="276" spans="2:8" x14ac:dyDescent="0.2">
      <c r="B276" s="5">
        <v>44595</v>
      </c>
      <c r="C276" s="6" t="s">
        <v>15</v>
      </c>
      <c r="D276" s="7">
        <v>204.83999600000001</v>
      </c>
      <c r="E276" s="7">
        <v>198.635672</v>
      </c>
      <c r="F276" s="7">
        <v>204.85000600000001</v>
      </c>
      <c r="G276" s="7">
        <v>202.550003</v>
      </c>
      <c r="H276" s="8">
        <f t="shared" si="6"/>
        <v>1.4461162980003699E-2</v>
      </c>
    </row>
    <row r="277" spans="2:8" x14ac:dyDescent="0.2">
      <c r="B277" s="5">
        <v>44596</v>
      </c>
      <c r="C277" s="6" t="s">
        <v>15</v>
      </c>
      <c r="D277" s="7">
        <v>204.05999800000001</v>
      </c>
      <c r="E277" s="7">
        <v>197.87929800000001</v>
      </c>
      <c r="F277" s="7">
        <v>205.38000500000001</v>
      </c>
      <c r="G277" s="7">
        <v>203.509995</v>
      </c>
      <c r="H277" s="8">
        <f t="shared" si="6"/>
        <v>-3.8078403399305189E-3</v>
      </c>
    </row>
    <row r="278" spans="2:8" x14ac:dyDescent="0.2">
      <c r="B278" s="5">
        <v>44597</v>
      </c>
      <c r="C278" s="6" t="s">
        <v>15</v>
      </c>
      <c r="D278" s="7">
        <v>206.11999499999999</v>
      </c>
      <c r="E278" s="7">
        <v>199.876901</v>
      </c>
      <c r="F278" s="7">
        <v>206.300003</v>
      </c>
      <c r="G278" s="7">
        <v>204.770004</v>
      </c>
      <c r="H278" s="8">
        <f t="shared" si="6"/>
        <v>1.0095055474811782E-2</v>
      </c>
    </row>
    <row r="279" spans="2:8" x14ac:dyDescent="0.2">
      <c r="B279" s="5">
        <v>44598</v>
      </c>
      <c r="C279" s="6" t="s">
        <v>15</v>
      </c>
      <c r="D279" s="7">
        <v>205.550003</v>
      </c>
      <c r="E279" s="7">
        <v>199.324174</v>
      </c>
      <c r="F279" s="7">
        <v>207.240005</v>
      </c>
      <c r="G279" s="7">
        <v>204.91999799999999</v>
      </c>
      <c r="H279" s="8">
        <f t="shared" si="6"/>
        <v>-2.76534064538467E-3</v>
      </c>
    </row>
    <row r="280" spans="2:8" x14ac:dyDescent="0.2">
      <c r="B280" s="5">
        <v>44601</v>
      </c>
      <c r="C280" s="6" t="s">
        <v>15</v>
      </c>
      <c r="D280" s="7">
        <v>204.63000500000001</v>
      </c>
      <c r="E280" s="7">
        <v>198.432041</v>
      </c>
      <c r="F280" s="7">
        <v>205.63999899999999</v>
      </c>
      <c r="G280" s="7">
        <v>204.13999899999999</v>
      </c>
      <c r="H280" s="8">
        <f t="shared" si="6"/>
        <v>-4.475786847835719E-3</v>
      </c>
    </row>
    <row r="281" spans="2:8" x14ac:dyDescent="0.2">
      <c r="B281" s="5">
        <v>44602</v>
      </c>
      <c r="C281" s="6" t="s">
        <v>15</v>
      </c>
      <c r="D281" s="7">
        <v>206.80999800000001</v>
      </c>
      <c r="E281" s="7">
        <v>200.54600500000001</v>
      </c>
      <c r="F281" s="7">
        <v>207.11999499999999</v>
      </c>
      <c r="G281" s="7">
        <v>204.679993</v>
      </c>
      <c r="H281" s="8">
        <f t="shared" si="6"/>
        <v>1.0653339914642507E-2</v>
      </c>
    </row>
    <row r="282" spans="2:8" x14ac:dyDescent="0.2">
      <c r="B282" s="5">
        <v>44603</v>
      </c>
      <c r="C282" s="6" t="s">
        <v>15</v>
      </c>
      <c r="D282" s="7">
        <v>206.929993</v>
      </c>
      <c r="E282" s="7">
        <v>200.66236499999999</v>
      </c>
      <c r="F282" s="7">
        <v>207.449997</v>
      </c>
      <c r="G282" s="7">
        <v>205.83000200000001</v>
      </c>
      <c r="H282" s="8">
        <f t="shared" si="6"/>
        <v>5.8021856370787613E-4</v>
      </c>
    </row>
    <row r="283" spans="2:8" x14ac:dyDescent="0.2">
      <c r="B283" s="5">
        <v>44604</v>
      </c>
      <c r="C283" s="6" t="s">
        <v>15</v>
      </c>
      <c r="D283" s="7">
        <v>208.91999799999999</v>
      </c>
      <c r="E283" s="7">
        <v>202.592096</v>
      </c>
      <c r="F283" s="7">
        <v>208.990005</v>
      </c>
      <c r="G283" s="7">
        <v>206.970001</v>
      </c>
      <c r="H283" s="8">
        <f t="shared" si="6"/>
        <v>9.6168031088658887E-3</v>
      </c>
    </row>
    <row r="284" spans="2:8" x14ac:dyDescent="0.2">
      <c r="B284" s="5">
        <v>44605</v>
      </c>
      <c r="C284" s="6" t="s">
        <v>15</v>
      </c>
      <c r="D284" s="7">
        <v>209.779999</v>
      </c>
      <c r="E284" s="7">
        <v>203.42604900000001</v>
      </c>
      <c r="F284" s="7">
        <v>209.83999600000001</v>
      </c>
      <c r="G284" s="7">
        <v>208.759995</v>
      </c>
      <c r="H284" s="8">
        <f t="shared" si="6"/>
        <v>4.1164130204520257E-3</v>
      </c>
    </row>
    <row r="285" spans="2:8" x14ac:dyDescent="0.2">
      <c r="B285" s="5">
        <v>44609</v>
      </c>
      <c r="C285" s="6" t="s">
        <v>15</v>
      </c>
      <c r="D285" s="7">
        <v>210.11000100000001</v>
      </c>
      <c r="E285" s="7">
        <v>203.74605500000001</v>
      </c>
      <c r="F285" s="7">
        <v>210.320007</v>
      </c>
      <c r="G285" s="7">
        <v>209.10000600000001</v>
      </c>
      <c r="H285" s="8">
        <f t="shared" si="6"/>
        <v>1.5730860976885001E-3</v>
      </c>
    </row>
    <row r="286" spans="2:8" x14ac:dyDescent="0.2">
      <c r="B286" s="5">
        <v>44610</v>
      </c>
      <c r="C286" s="6" t="s">
        <v>15</v>
      </c>
      <c r="D286" s="7">
        <v>210.13000500000001</v>
      </c>
      <c r="E286" s="7">
        <v>203.76545400000001</v>
      </c>
      <c r="F286" s="7">
        <v>210.220001</v>
      </c>
      <c r="G286" s="7">
        <v>209.33999600000001</v>
      </c>
      <c r="H286" s="8">
        <f t="shared" si="6"/>
        <v>9.5207271928003713E-5</v>
      </c>
    </row>
    <row r="287" spans="2:8" x14ac:dyDescent="0.2">
      <c r="B287" s="5">
        <v>44611</v>
      </c>
      <c r="C287" s="6" t="s">
        <v>15</v>
      </c>
      <c r="D287" s="7">
        <v>209.979996</v>
      </c>
      <c r="E287" s="7">
        <v>203.61998800000001</v>
      </c>
      <c r="F287" s="7">
        <v>210.41999799999999</v>
      </c>
      <c r="G287" s="7">
        <v>209.240005</v>
      </c>
      <c r="H287" s="8">
        <f t="shared" si="6"/>
        <v>-7.1388662461608645E-4</v>
      </c>
    </row>
    <row r="288" spans="2:8" x14ac:dyDescent="0.2">
      <c r="B288" s="5">
        <v>44612</v>
      </c>
      <c r="C288" s="6" t="s">
        <v>15</v>
      </c>
      <c r="D288" s="7">
        <v>211.240005</v>
      </c>
      <c r="E288" s="7">
        <v>204.84183400000001</v>
      </c>
      <c r="F288" s="7">
        <v>211.33000200000001</v>
      </c>
      <c r="G288" s="7">
        <v>208.729996</v>
      </c>
      <c r="H288" s="8">
        <f t="shared" si="6"/>
        <v>6.0006144585315483E-3</v>
      </c>
    </row>
    <row r="289" spans="2:8" x14ac:dyDescent="0.2">
      <c r="B289" s="5">
        <v>44615</v>
      </c>
      <c r="C289" s="6" t="s">
        <v>15</v>
      </c>
      <c r="D289" s="7">
        <v>211.21000699999999</v>
      </c>
      <c r="E289" s="7">
        <v>204.81274400000001</v>
      </c>
      <c r="F289" s="7">
        <v>211.21000699999999</v>
      </c>
      <c r="G289" s="7">
        <v>210.479996</v>
      </c>
      <c r="H289" s="8">
        <f t="shared" si="6"/>
        <v>-1.4200908582636223E-4</v>
      </c>
    </row>
    <row r="290" spans="2:8" x14ac:dyDescent="0.2">
      <c r="B290" s="5">
        <v>44616</v>
      </c>
      <c r="C290" s="6" t="s">
        <v>15</v>
      </c>
      <c r="D290" s="7">
        <v>211.80999800000001</v>
      </c>
      <c r="E290" s="7">
        <v>205.39456100000001</v>
      </c>
      <c r="F290" s="7">
        <v>212.050003</v>
      </c>
      <c r="G290" s="7">
        <v>210.759995</v>
      </c>
      <c r="H290" s="8">
        <f t="shared" si="6"/>
        <v>2.8407318787694422E-3</v>
      </c>
    </row>
    <row r="291" spans="2:8" x14ac:dyDescent="0.2">
      <c r="B291" s="5">
        <v>44617</v>
      </c>
      <c r="C291" s="6" t="s">
        <v>15</v>
      </c>
      <c r="D291" s="7">
        <v>211.63000500000001</v>
      </c>
      <c r="E291" s="7">
        <v>205.220021</v>
      </c>
      <c r="F291" s="7">
        <v>212.240005</v>
      </c>
      <c r="G291" s="7">
        <v>211.220001</v>
      </c>
      <c r="H291" s="8">
        <f t="shared" si="6"/>
        <v>-8.4978519285947994E-4</v>
      </c>
    </row>
    <row r="292" spans="2:8" x14ac:dyDescent="0.2">
      <c r="B292" s="5">
        <v>44618</v>
      </c>
      <c r="C292" s="6" t="s">
        <v>15</v>
      </c>
      <c r="D292" s="7">
        <v>211.38000500000001</v>
      </c>
      <c r="E292" s="7">
        <v>204.97759300000001</v>
      </c>
      <c r="F292" s="7">
        <v>211.71000699999999</v>
      </c>
      <c r="G292" s="7">
        <v>210.64999399999999</v>
      </c>
      <c r="H292" s="8">
        <f t="shared" si="6"/>
        <v>-1.1813069701529326E-3</v>
      </c>
    </row>
    <row r="293" spans="2:8" x14ac:dyDescent="0.2">
      <c r="B293" s="5">
        <v>44619</v>
      </c>
      <c r="C293" s="6" t="s">
        <v>15</v>
      </c>
      <c r="D293" s="7">
        <v>210.66000399999999</v>
      </c>
      <c r="E293" s="7">
        <v>204.27939900000001</v>
      </c>
      <c r="F293" s="7">
        <v>211.58000200000001</v>
      </c>
      <c r="G293" s="7">
        <v>210.60000600000001</v>
      </c>
      <c r="H293" s="8">
        <f t="shared" si="6"/>
        <v>-3.4061925582792221E-3</v>
      </c>
    </row>
    <row r="294" spans="2:8" x14ac:dyDescent="0.2">
      <c r="B294" s="5">
        <v>44622</v>
      </c>
      <c r="C294" s="6" t="s">
        <v>15</v>
      </c>
      <c r="D294" s="7">
        <v>211.990005</v>
      </c>
      <c r="E294" s="7">
        <v>205.56911700000001</v>
      </c>
      <c r="F294" s="7">
        <v>212.05999800000001</v>
      </c>
      <c r="G294" s="7">
        <v>210.720001</v>
      </c>
      <c r="H294" s="8">
        <f t="shared" si="6"/>
        <v>6.3134955603628019E-3</v>
      </c>
    </row>
    <row r="295" spans="2:8" x14ac:dyDescent="0.2">
      <c r="B295" s="5">
        <v>44623</v>
      </c>
      <c r="C295" s="6" t="s">
        <v>15</v>
      </c>
      <c r="D295" s="7">
        <v>211.11999499999999</v>
      </c>
      <c r="E295" s="7">
        <v>204.725458</v>
      </c>
      <c r="F295" s="7">
        <v>212.050003</v>
      </c>
      <c r="G295" s="7">
        <v>210.08000200000001</v>
      </c>
      <c r="H295" s="8">
        <f t="shared" si="6"/>
        <v>-4.1040142435017522E-3</v>
      </c>
    </row>
    <row r="296" spans="2:8" x14ac:dyDescent="0.2">
      <c r="B296" s="5">
        <v>44624</v>
      </c>
      <c r="C296" s="6" t="s">
        <v>15</v>
      </c>
      <c r="D296" s="7">
        <v>210.229996</v>
      </c>
      <c r="E296" s="7">
        <v>203.862416</v>
      </c>
      <c r="F296" s="7">
        <v>210.490005</v>
      </c>
      <c r="G296" s="7">
        <v>209.05999800000001</v>
      </c>
      <c r="H296" s="8">
        <f t="shared" si="6"/>
        <v>-4.2156073374290714E-3</v>
      </c>
    </row>
    <row r="297" spans="2:8" x14ac:dyDescent="0.2">
      <c r="B297" s="5">
        <v>44625</v>
      </c>
      <c r="C297" s="6" t="s">
        <v>15</v>
      </c>
      <c r="D297" s="7">
        <v>210.46000699999999</v>
      </c>
      <c r="E297" s="7">
        <v>204.08546000000001</v>
      </c>
      <c r="F297" s="7">
        <v>210.800003</v>
      </c>
      <c r="G297" s="7">
        <v>209.85000600000001</v>
      </c>
      <c r="H297" s="8">
        <f t="shared" si="6"/>
        <v>1.094092205567042E-3</v>
      </c>
    </row>
    <row r="298" spans="2:8" x14ac:dyDescent="0.2">
      <c r="B298" s="5">
        <v>44626</v>
      </c>
      <c r="C298" s="6" t="s">
        <v>15</v>
      </c>
      <c r="D298" s="7">
        <v>207.5</v>
      </c>
      <c r="E298" s="7">
        <v>201.21510799999999</v>
      </c>
      <c r="F298" s="7">
        <v>209.94000199999999</v>
      </c>
      <c r="G298" s="7">
        <v>207.10000600000001</v>
      </c>
      <c r="H298" s="8">
        <f t="shared" si="6"/>
        <v>-1.4064463088229348E-2</v>
      </c>
    </row>
    <row r="299" spans="2:8" x14ac:dyDescent="0.2">
      <c r="B299" s="5">
        <v>44629</v>
      </c>
      <c r="C299" s="6" t="s">
        <v>15</v>
      </c>
      <c r="D299" s="7">
        <v>208.36000100000001</v>
      </c>
      <c r="E299" s="7">
        <v>202.04906</v>
      </c>
      <c r="F299" s="7">
        <v>208.78999300000001</v>
      </c>
      <c r="G299" s="7">
        <v>207.550003</v>
      </c>
      <c r="H299" s="8">
        <f t="shared" si="6"/>
        <v>4.1445831325301738E-3</v>
      </c>
    </row>
    <row r="300" spans="2:8" x14ac:dyDescent="0.2">
      <c r="B300" s="5">
        <v>44630</v>
      </c>
      <c r="C300" s="6" t="s">
        <v>15</v>
      </c>
      <c r="D300" s="7">
        <v>204.979996</v>
      </c>
      <c r="E300" s="7">
        <v>198.77143100000001</v>
      </c>
      <c r="F300" s="7">
        <v>206.80999800000001</v>
      </c>
      <c r="G300" s="7">
        <v>204.929993</v>
      </c>
      <c r="H300" s="8">
        <f t="shared" si="6"/>
        <v>-1.6221947512853059E-2</v>
      </c>
    </row>
    <row r="301" spans="2:8" x14ac:dyDescent="0.2">
      <c r="B301" s="5">
        <v>44631</v>
      </c>
      <c r="C301" s="6" t="s">
        <v>15</v>
      </c>
      <c r="D301" s="7">
        <v>204.5</v>
      </c>
      <c r="E301" s="7">
        <v>198.30597399999999</v>
      </c>
      <c r="F301" s="7">
        <v>205.5</v>
      </c>
      <c r="G301" s="7">
        <v>204.39999399999999</v>
      </c>
      <c r="H301" s="8">
        <f t="shared" si="6"/>
        <v>-2.3416724039744827E-3</v>
      </c>
    </row>
    <row r="302" spans="2:8" x14ac:dyDescent="0.2">
      <c r="B302" s="5">
        <v>44632</v>
      </c>
      <c r="C302" s="6" t="s">
        <v>15</v>
      </c>
      <c r="D302" s="7">
        <v>207.10000600000001</v>
      </c>
      <c r="E302" s="7">
        <v>200.82722899999999</v>
      </c>
      <c r="F302" s="7">
        <v>207.179993</v>
      </c>
      <c r="G302" s="7">
        <v>205.199997</v>
      </c>
      <c r="H302" s="8">
        <f t="shared" si="6"/>
        <v>1.2713965770171186E-2</v>
      </c>
    </row>
    <row r="303" spans="2:8" x14ac:dyDescent="0.2">
      <c r="B303" s="5">
        <v>44633</v>
      </c>
      <c r="C303" s="6" t="s">
        <v>15</v>
      </c>
      <c r="D303" s="7">
        <v>205.83000200000001</v>
      </c>
      <c r="E303" s="7">
        <v>199.59569200000001</v>
      </c>
      <c r="F303" s="7">
        <v>207.929993</v>
      </c>
      <c r="G303" s="7">
        <v>204.58000200000001</v>
      </c>
      <c r="H303" s="8">
        <f t="shared" si="6"/>
        <v>-6.132322371830352E-3</v>
      </c>
    </row>
    <row r="304" spans="2:8" x14ac:dyDescent="0.2">
      <c r="B304" s="5">
        <v>44636</v>
      </c>
      <c r="C304" s="6" t="s">
        <v>15</v>
      </c>
      <c r="D304" s="7">
        <v>208.58000200000001</v>
      </c>
      <c r="E304" s="7">
        <v>202.26239799999999</v>
      </c>
      <c r="F304" s="7">
        <v>208.69000199999999</v>
      </c>
      <c r="G304" s="7">
        <v>205.86000100000001</v>
      </c>
      <c r="H304" s="8">
        <f t="shared" si="6"/>
        <v>1.3360540121842878E-2</v>
      </c>
    </row>
    <row r="305" spans="2:8" x14ac:dyDescent="0.2">
      <c r="B305" s="5">
        <v>44637</v>
      </c>
      <c r="C305" s="6" t="s">
        <v>15</v>
      </c>
      <c r="D305" s="7">
        <v>207.96000699999999</v>
      </c>
      <c r="E305" s="7">
        <v>201.661182</v>
      </c>
      <c r="F305" s="7">
        <v>208.41999799999999</v>
      </c>
      <c r="G305" s="7">
        <v>206.979996</v>
      </c>
      <c r="H305" s="8">
        <f t="shared" si="6"/>
        <v>-2.9724565828703805E-3</v>
      </c>
    </row>
    <row r="306" spans="2:8" x14ac:dyDescent="0.2">
      <c r="B306" s="5">
        <v>44638</v>
      </c>
      <c r="C306" s="6" t="s">
        <v>15</v>
      </c>
      <c r="D306" s="7">
        <v>210.46000699999999</v>
      </c>
      <c r="E306" s="7">
        <v>204.08546000000001</v>
      </c>
      <c r="F306" s="7">
        <v>211.270004</v>
      </c>
      <c r="G306" s="7">
        <v>206.61999499999999</v>
      </c>
      <c r="H306" s="8">
        <f t="shared" si="6"/>
        <v>1.2021542199698041E-2</v>
      </c>
    </row>
    <row r="307" spans="2:8" x14ac:dyDescent="0.2">
      <c r="B307" s="5">
        <v>44639</v>
      </c>
      <c r="C307" s="6" t="s">
        <v>15</v>
      </c>
      <c r="D307" s="7">
        <v>209.5</v>
      </c>
      <c r="E307" s="7">
        <v>203.15453099999999</v>
      </c>
      <c r="F307" s="7">
        <v>210.470001</v>
      </c>
      <c r="G307" s="7">
        <v>209.029999</v>
      </c>
      <c r="H307" s="8">
        <f t="shared" si="6"/>
        <v>-4.5614699613689092E-3</v>
      </c>
    </row>
    <row r="308" spans="2:8" x14ac:dyDescent="0.2">
      <c r="B308" s="5">
        <v>44640</v>
      </c>
      <c r="C308" s="6" t="s">
        <v>15</v>
      </c>
      <c r="D308" s="7">
        <v>210.41000399999999</v>
      </c>
      <c r="E308" s="7">
        <v>204.94774100000001</v>
      </c>
      <c r="F308" s="7">
        <v>211.020004</v>
      </c>
      <c r="G308" s="7">
        <v>209.490005</v>
      </c>
      <c r="H308" s="8">
        <f t="shared" si="6"/>
        <v>4.343694510739792E-3</v>
      </c>
    </row>
    <row r="309" spans="2:8" x14ac:dyDescent="0.2">
      <c r="B309" s="5">
        <v>44643</v>
      </c>
      <c r="C309" s="6" t="s">
        <v>15</v>
      </c>
      <c r="D309" s="7">
        <v>210</v>
      </c>
      <c r="E309" s="7">
        <v>204.548382</v>
      </c>
      <c r="F309" s="7">
        <v>211.11000100000001</v>
      </c>
      <c r="G309" s="7">
        <v>210</v>
      </c>
      <c r="H309" s="8">
        <f t="shared" si="6"/>
        <v>-1.9485955620246389E-3</v>
      </c>
    </row>
    <row r="310" spans="2:8" x14ac:dyDescent="0.2">
      <c r="B310" s="5">
        <v>44644</v>
      </c>
      <c r="C310" s="6" t="s">
        <v>15</v>
      </c>
      <c r="D310" s="7">
        <v>208.820007</v>
      </c>
      <c r="E310" s="7">
        <v>203.399022</v>
      </c>
      <c r="F310" s="7">
        <v>210.39999399999999</v>
      </c>
      <c r="G310" s="7">
        <v>208.740005</v>
      </c>
      <c r="H310" s="8">
        <f t="shared" si="6"/>
        <v>-5.6190142857142668E-3</v>
      </c>
    </row>
    <row r="311" spans="2:8" x14ac:dyDescent="0.2">
      <c r="B311" s="5">
        <v>44645</v>
      </c>
      <c r="C311" s="6" t="s">
        <v>15</v>
      </c>
      <c r="D311" s="7">
        <v>205.759995</v>
      </c>
      <c r="E311" s="7">
        <v>200.41844699999999</v>
      </c>
      <c r="F311" s="7">
        <v>209.35000600000001</v>
      </c>
      <c r="G311" s="7">
        <v>205.71000699999999</v>
      </c>
      <c r="H311" s="8">
        <f t="shared" si="6"/>
        <v>-1.4653825770631261E-2</v>
      </c>
    </row>
    <row r="312" spans="2:8" x14ac:dyDescent="0.2">
      <c r="B312" s="5">
        <v>44646</v>
      </c>
      <c r="C312" s="6" t="s">
        <v>15</v>
      </c>
      <c r="D312" s="7">
        <v>205.270004</v>
      </c>
      <c r="E312" s="7">
        <v>199.94117700000001</v>
      </c>
      <c r="F312" s="7">
        <v>206.36999499999999</v>
      </c>
      <c r="G312" s="7">
        <v>204.11999499999999</v>
      </c>
      <c r="H312" s="8">
        <f t="shared" si="6"/>
        <v>-2.3813715586453207E-3</v>
      </c>
    </row>
    <row r="313" spans="2:8" x14ac:dyDescent="0.2">
      <c r="B313" s="5">
        <v>44647</v>
      </c>
      <c r="C313" s="6" t="s">
        <v>15</v>
      </c>
      <c r="D313" s="7">
        <v>205.740005</v>
      </c>
      <c r="E313" s="7">
        <v>200.398977</v>
      </c>
      <c r="F313" s="7">
        <v>205.949997</v>
      </c>
      <c r="G313" s="7">
        <v>204.89999399999999</v>
      </c>
      <c r="H313" s="8">
        <f t="shared" si="6"/>
        <v>2.2896720945160421E-3</v>
      </c>
    </row>
    <row r="314" spans="2:8" x14ac:dyDescent="0.2">
      <c r="B314" s="5">
        <v>44650</v>
      </c>
      <c r="C314" s="6" t="s">
        <v>15</v>
      </c>
      <c r="D314" s="7">
        <v>208.25</v>
      </c>
      <c r="E314" s="7">
        <v>202.84381200000001</v>
      </c>
      <c r="F314" s="7">
        <v>208.61000100000001</v>
      </c>
      <c r="G314" s="7">
        <v>206.96000699999999</v>
      </c>
      <c r="H314" s="8">
        <f t="shared" si="6"/>
        <v>1.2199839306896117E-2</v>
      </c>
    </row>
    <row r="315" spans="2:8" x14ac:dyDescent="0.2">
      <c r="B315" s="5">
        <v>44651</v>
      </c>
      <c r="C315" s="6" t="s">
        <v>15</v>
      </c>
      <c r="D315" s="7">
        <v>206.429993</v>
      </c>
      <c r="E315" s="7">
        <v>201.07105200000001</v>
      </c>
      <c r="F315" s="7">
        <v>208.10000600000001</v>
      </c>
      <c r="G315" s="7">
        <v>206.36000100000001</v>
      </c>
      <c r="H315" s="8">
        <f t="shared" si="6"/>
        <v>-8.7395294117647241E-3</v>
      </c>
    </row>
    <row r="316" spans="2:8" x14ac:dyDescent="0.2">
      <c r="B316" s="5">
        <v>44652</v>
      </c>
      <c r="C316" s="6" t="s">
        <v>15</v>
      </c>
      <c r="D316" s="7">
        <v>205.699997</v>
      </c>
      <c r="E316" s="7">
        <v>200.360007</v>
      </c>
      <c r="F316" s="7">
        <v>206.41999799999999</v>
      </c>
      <c r="G316" s="7">
        <v>204.509995</v>
      </c>
      <c r="H316" s="8">
        <f t="shared" si="6"/>
        <v>-3.5362884500993994E-3</v>
      </c>
    </row>
    <row r="317" spans="2:8" x14ac:dyDescent="0.2">
      <c r="B317" s="5">
        <v>44653</v>
      </c>
      <c r="C317" s="6" t="s">
        <v>15</v>
      </c>
      <c r="D317" s="7">
        <v>206.44000199999999</v>
      </c>
      <c r="E317" s="7">
        <v>201.08080200000001</v>
      </c>
      <c r="F317" s="7">
        <v>206.979996</v>
      </c>
      <c r="G317" s="7">
        <v>205.39999399999999</v>
      </c>
      <c r="H317" s="8">
        <f t="shared" si="6"/>
        <v>3.5974964063805819E-3</v>
      </c>
    </row>
    <row r="318" spans="2:8" x14ac:dyDescent="0.2">
      <c r="B318" s="5">
        <v>44657</v>
      </c>
      <c r="C318" s="6" t="s">
        <v>15</v>
      </c>
      <c r="D318" s="7">
        <v>207.83000200000001</v>
      </c>
      <c r="E318" s="7">
        <v>202.43471700000001</v>
      </c>
      <c r="F318" s="7">
        <v>208.449997</v>
      </c>
      <c r="G318" s="7">
        <v>205.21000699999999</v>
      </c>
      <c r="H318" s="8">
        <f t="shared" si="6"/>
        <v>6.7331911767759762E-3</v>
      </c>
    </row>
    <row r="319" spans="2:8" x14ac:dyDescent="0.2">
      <c r="B319" s="5">
        <v>44658</v>
      </c>
      <c r="C319" s="6" t="s">
        <v>15</v>
      </c>
      <c r="D319" s="7">
        <v>207.279999</v>
      </c>
      <c r="E319" s="7">
        <v>201.89899199999999</v>
      </c>
      <c r="F319" s="7">
        <v>208.759995</v>
      </c>
      <c r="G319" s="7">
        <v>207.240005</v>
      </c>
      <c r="H319" s="8">
        <f t="shared" si="6"/>
        <v>-2.6464080965557793E-3</v>
      </c>
    </row>
    <row r="320" spans="2:8" x14ac:dyDescent="0.2">
      <c r="B320" s="5">
        <v>44659</v>
      </c>
      <c r="C320" s="6" t="s">
        <v>15</v>
      </c>
      <c r="D320" s="7">
        <v>207.979996</v>
      </c>
      <c r="E320" s="7">
        <v>202.580817</v>
      </c>
      <c r="F320" s="7">
        <v>208.509995</v>
      </c>
      <c r="G320" s="7">
        <v>207.08000200000001</v>
      </c>
      <c r="H320" s="8">
        <f t="shared" si="6"/>
        <v>3.3770600317302984E-3</v>
      </c>
    </row>
    <row r="321" spans="2:8" x14ac:dyDescent="0.2">
      <c r="B321" s="5">
        <v>44660</v>
      </c>
      <c r="C321" s="6" t="s">
        <v>15</v>
      </c>
      <c r="D321" s="7">
        <v>208.89999399999999</v>
      </c>
      <c r="E321" s="7">
        <v>203.47693200000001</v>
      </c>
      <c r="F321" s="7">
        <v>209.179993</v>
      </c>
      <c r="G321" s="7">
        <v>207.19000199999999</v>
      </c>
      <c r="H321" s="8">
        <f t="shared" si="6"/>
        <v>4.4234927285987284E-3</v>
      </c>
    </row>
    <row r="322" spans="2:8" x14ac:dyDescent="0.2">
      <c r="B322" s="5">
        <v>44661</v>
      </c>
      <c r="C322" s="6" t="s">
        <v>15</v>
      </c>
      <c r="D322" s="7">
        <v>210.03999300000001</v>
      </c>
      <c r="E322" s="7">
        <v>204.58733699999999</v>
      </c>
      <c r="F322" s="7">
        <v>210.08999600000001</v>
      </c>
      <c r="G322" s="7">
        <v>208.96000699999999</v>
      </c>
      <c r="H322" s="8">
        <f t="shared" si="6"/>
        <v>5.4571519039872127E-3</v>
      </c>
    </row>
    <row r="323" spans="2:8" x14ac:dyDescent="0.2">
      <c r="B323" s="5">
        <v>44664</v>
      </c>
      <c r="C323" s="6" t="s">
        <v>15</v>
      </c>
      <c r="D323" s="7">
        <v>209.08999600000001</v>
      </c>
      <c r="E323" s="7">
        <v>203.662002</v>
      </c>
      <c r="F323" s="7">
        <v>210.63000500000001</v>
      </c>
      <c r="G323" s="7">
        <v>209.029999</v>
      </c>
      <c r="H323" s="8">
        <f t="shared" si="6"/>
        <v>-4.5229338776448932E-3</v>
      </c>
    </row>
    <row r="324" spans="2:8" x14ac:dyDescent="0.2">
      <c r="B324" s="5">
        <v>44665</v>
      </c>
      <c r="C324" s="6" t="s">
        <v>15</v>
      </c>
      <c r="D324" s="7">
        <v>209.490005</v>
      </c>
      <c r="E324" s="7">
        <v>204.051627</v>
      </c>
      <c r="F324" s="7">
        <v>209.71000699999999</v>
      </c>
      <c r="G324" s="7">
        <v>208.10000600000001</v>
      </c>
      <c r="H324" s="8">
        <f t="shared" ref="H324:H387" si="7">(D324-D323)/D323</f>
        <v>1.9130948761411949E-3</v>
      </c>
    </row>
    <row r="325" spans="2:8" x14ac:dyDescent="0.2">
      <c r="B325" s="5">
        <v>44666</v>
      </c>
      <c r="C325" s="6" t="s">
        <v>15</v>
      </c>
      <c r="D325" s="7">
        <v>210.429993</v>
      </c>
      <c r="E325" s="7">
        <v>204.96721199999999</v>
      </c>
      <c r="F325" s="7">
        <v>211.03999300000001</v>
      </c>
      <c r="G325" s="7">
        <v>209.949997</v>
      </c>
      <c r="H325" s="8">
        <f t="shared" si="7"/>
        <v>4.4870303000851984E-3</v>
      </c>
    </row>
    <row r="326" spans="2:8" x14ac:dyDescent="0.2">
      <c r="B326" s="5">
        <v>44667</v>
      </c>
      <c r="C326" s="6" t="s">
        <v>15</v>
      </c>
      <c r="D326" s="7">
        <v>210.36999499999999</v>
      </c>
      <c r="E326" s="7">
        <v>204.908772</v>
      </c>
      <c r="F326" s="7">
        <v>210.979996</v>
      </c>
      <c r="G326" s="7">
        <v>209.78999300000001</v>
      </c>
      <c r="H326" s="8">
        <f t="shared" si="7"/>
        <v>-2.8512095231599102E-4</v>
      </c>
    </row>
    <row r="327" spans="2:8" x14ac:dyDescent="0.2">
      <c r="B327" s="5">
        <v>44668</v>
      </c>
      <c r="C327" s="6" t="s">
        <v>15</v>
      </c>
      <c r="D327" s="7">
        <v>207.949997</v>
      </c>
      <c r="E327" s="7">
        <v>202.55159699999999</v>
      </c>
      <c r="F327" s="7">
        <v>209.229996</v>
      </c>
      <c r="G327" s="7">
        <v>207.009995</v>
      </c>
      <c r="H327" s="8">
        <f t="shared" si="7"/>
        <v>-1.150353214582713E-2</v>
      </c>
    </row>
    <row r="328" spans="2:8" x14ac:dyDescent="0.2">
      <c r="B328" s="5">
        <v>44671</v>
      </c>
      <c r="C328" s="6" t="s">
        <v>15</v>
      </c>
      <c r="D328" s="7">
        <v>209.85000600000001</v>
      </c>
      <c r="E328" s="7">
        <v>204.40228200000001</v>
      </c>
      <c r="F328" s="7">
        <v>210.25</v>
      </c>
      <c r="G328" s="7">
        <v>208.96000699999999</v>
      </c>
      <c r="H328" s="8">
        <f t="shared" si="7"/>
        <v>9.1368551450376374E-3</v>
      </c>
    </row>
    <row r="329" spans="2:8" x14ac:dyDescent="0.2">
      <c r="B329" s="5">
        <v>44672</v>
      </c>
      <c r="C329" s="6" t="s">
        <v>15</v>
      </c>
      <c r="D329" s="7">
        <v>209.60000600000001</v>
      </c>
      <c r="E329" s="7">
        <v>204.158772</v>
      </c>
      <c r="F329" s="7">
        <v>210.86000100000001</v>
      </c>
      <c r="G329" s="7">
        <v>209.240005</v>
      </c>
      <c r="H329" s="8">
        <f t="shared" si="7"/>
        <v>-1.1913271043699661E-3</v>
      </c>
    </row>
    <row r="330" spans="2:8" x14ac:dyDescent="0.2">
      <c r="B330" s="5">
        <v>44673</v>
      </c>
      <c r="C330" s="6" t="s">
        <v>15</v>
      </c>
      <c r="D330" s="7">
        <v>210.63000500000001</v>
      </c>
      <c r="E330" s="7">
        <v>205.16203100000001</v>
      </c>
      <c r="F330" s="7">
        <v>210.85000600000001</v>
      </c>
      <c r="G330" s="7">
        <v>208.89999399999999</v>
      </c>
      <c r="H330" s="8">
        <f t="shared" si="7"/>
        <v>4.9141172257409363E-3</v>
      </c>
    </row>
    <row r="331" spans="2:8" x14ac:dyDescent="0.2">
      <c r="B331" s="5">
        <v>44674</v>
      </c>
      <c r="C331" s="6" t="s">
        <v>15</v>
      </c>
      <c r="D331" s="7">
        <v>211.16000399999999</v>
      </c>
      <c r="E331" s="7">
        <v>205.678271</v>
      </c>
      <c r="F331" s="7">
        <v>211.94000199999999</v>
      </c>
      <c r="G331" s="7">
        <v>210.009995</v>
      </c>
      <c r="H331" s="8">
        <f t="shared" si="7"/>
        <v>2.5162559341912146E-3</v>
      </c>
    </row>
    <row r="332" spans="2:8" x14ac:dyDescent="0.2">
      <c r="B332" s="5">
        <v>44675</v>
      </c>
      <c r="C332" s="6" t="s">
        <v>15</v>
      </c>
      <c r="D332" s="7">
        <v>211.64999399999999</v>
      </c>
      <c r="E332" s="7">
        <v>206.155541</v>
      </c>
      <c r="F332" s="7">
        <v>211.970001</v>
      </c>
      <c r="G332" s="7">
        <v>211.11000100000001</v>
      </c>
      <c r="H332" s="8">
        <f t="shared" si="7"/>
        <v>2.3204678476895935E-3</v>
      </c>
    </row>
    <row r="333" spans="2:8" x14ac:dyDescent="0.2">
      <c r="B333" s="5">
        <v>44678</v>
      </c>
      <c r="C333" s="6" t="s">
        <v>15</v>
      </c>
      <c r="D333" s="7">
        <v>210.770004</v>
      </c>
      <c r="E333" s="7">
        <v>205.298396</v>
      </c>
      <c r="F333" s="7">
        <v>212.479996</v>
      </c>
      <c r="G333" s="7">
        <v>210.53999300000001</v>
      </c>
      <c r="H333" s="8">
        <f t="shared" si="7"/>
        <v>-4.1577605714460467E-3</v>
      </c>
    </row>
    <row r="334" spans="2:8" x14ac:dyDescent="0.2">
      <c r="B334" s="5">
        <v>44679</v>
      </c>
      <c r="C334" s="6" t="s">
        <v>15</v>
      </c>
      <c r="D334" s="7">
        <v>211.44000199999999</v>
      </c>
      <c r="E334" s="7">
        <v>205.95100099999999</v>
      </c>
      <c r="F334" s="7">
        <v>211.5</v>
      </c>
      <c r="G334" s="7">
        <v>209.33000200000001</v>
      </c>
      <c r="H334" s="8">
        <f t="shared" si="7"/>
        <v>3.1788109659095158E-3</v>
      </c>
    </row>
    <row r="335" spans="2:8" x14ac:dyDescent="0.2">
      <c r="B335" s="5">
        <v>44680</v>
      </c>
      <c r="C335" s="6" t="s">
        <v>15</v>
      </c>
      <c r="D335" s="7">
        <v>210.570007</v>
      </c>
      <c r="E335" s="7">
        <v>205.10359099999999</v>
      </c>
      <c r="F335" s="7">
        <v>211.28999300000001</v>
      </c>
      <c r="G335" s="7">
        <v>209.60000600000001</v>
      </c>
      <c r="H335" s="8">
        <f t="shared" si="7"/>
        <v>-4.1146187654689335E-3</v>
      </c>
    </row>
    <row r="336" spans="2:8" x14ac:dyDescent="0.2">
      <c r="B336" s="5">
        <v>44681</v>
      </c>
      <c r="C336" s="6" t="s">
        <v>15</v>
      </c>
      <c r="D336" s="7">
        <v>208.46000699999999</v>
      </c>
      <c r="E336" s="7">
        <v>203.04836700000001</v>
      </c>
      <c r="F336" s="7">
        <v>210.35000600000001</v>
      </c>
      <c r="G336" s="7">
        <v>207.61999499999999</v>
      </c>
      <c r="H336" s="8">
        <f t="shared" si="7"/>
        <v>-1.0020420429581947E-2</v>
      </c>
    </row>
    <row r="337" spans="2:8" x14ac:dyDescent="0.2">
      <c r="B337" s="5">
        <v>44682</v>
      </c>
      <c r="C337" s="6" t="s">
        <v>15</v>
      </c>
      <c r="D337" s="7">
        <v>210.720001</v>
      </c>
      <c r="E337" s="7">
        <v>205.24969100000001</v>
      </c>
      <c r="F337" s="7">
        <v>210.770004</v>
      </c>
      <c r="G337" s="7">
        <v>209.279999</v>
      </c>
      <c r="H337" s="8">
        <f t="shared" si="7"/>
        <v>1.0841379277129191E-2</v>
      </c>
    </row>
    <row r="338" spans="2:8" x14ac:dyDescent="0.2">
      <c r="B338" s="5">
        <v>44685</v>
      </c>
      <c r="C338" s="6" t="s">
        <v>15</v>
      </c>
      <c r="D338" s="7">
        <v>211.320007</v>
      </c>
      <c r="E338" s="7">
        <v>205.83412100000001</v>
      </c>
      <c r="F338" s="7">
        <v>212.020004</v>
      </c>
      <c r="G338" s="7">
        <v>211.10000600000001</v>
      </c>
      <c r="H338" s="8">
        <f t="shared" si="7"/>
        <v>2.847408870314155E-3</v>
      </c>
    </row>
    <row r="339" spans="2:8" x14ac:dyDescent="0.2">
      <c r="B339" s="5">
        <v>44686</v>
      </c>
      <c r="C339" s="6" t="s">
        <v>15</v>
      </c>
      <c r="D339" s="7">
        <v>208.89999399999999</v>
      </c>
      <c r="E339" s="7">
        <v>203.47693200000001</v>
      </c>
      <c r="F339" s="7">
        <v>211.46000699999999</v>
      </c>
      <c r="G339" s="7">
        <v>208.729996</v>
      </c>
      <c r="H339" s="8">
        <f t="shared" si="7"/>
        <v>-1.1451887752398245E-2</v>
      </c>
    </row>
    <row r="340" spans="2:8" x14ac:dyDescent="0.2">
      <c r="B340" s="5">
        <v>44687</v>
      </c>
      <c r="C340" s="6" t="s">
        <v>15</v>
      </c>
      <c r="D340" s="7">
        <v>208.03999300000001</v>
      </c>
      <c r="E340" s="7">
        <v>202.63925699999999</v>
      </c>
      <c r="F340" s="7">
        <v>209.929993</v>
      </c>
      <c r="G340" s="7">
        <v>206.759995</v>
      </c>
      <c r="H340" s="8">
        <f t="shared" si="7"/>
        <v>-4.1168072029718807E-3</v>
      </c>
    </row>
    <row r="341" spans="2:8" x14ac:dyDescent="0.2">
      <c r="B341" s="5">
        <v>44688</v>
      </c>
      <c r="C341" s="6" t="s">
        <v>15</v>
      </c>
      <c r="D341" s="7">
        <v>208.86999499999999</v>
      </c>
      <c r="E341" s="7">
        <v>203.447712</v>
      </c>
      <c r="F341" s="7">
        <v>209.38000500000001</v>
      </c>
      <c r="G341" s="7">
        <v>207.520004</v>
      </c>
      <c r="H341" s="8">
        <f t="shared" si="7"/>
        <v>3.9896271290490717E-3</v>
      </c>
    </row>
    <row r="342" spans="2:8" x14ac:dyDescent="0.2">
      <c r="B342" s="5">
        <v>44689</v>
      </c>
      <c r="C342" s="6" t="s">
        <v>15</v>
      </c>
      <c r="D342" s="7">
        <v>211.61999499999999</v>
      </c>
      <c r="E342" s="7">
        <v>206.12632099999999</v>
      </c>
      <c r="F342" s="7">
        <v>211.86000100000001</v>
      </c>
      <c r="G342" s="7">
        <v>210.779999</v>
      </c>
      <c r="H342" s="8">
        <f t="shared" si="7"/>
        <v>1.316608448235947E-2</v>
      </c>
    </row>
    <row r="343" spans="2:8" x14ac:dyDescent="0.2">
      <c r="B343" s="5">
        <v>44692</v>
      </c>
      <c r="C343" s="6" t="s">
        <v>15</v>
      </c>
      <c r="D343" s="7">
        <v>210.61000100000001</v>
      </c>
      <c r="E343" s="7">
        <v>205.14254700000001</v>
      </c>
      <c r="F343" s="7">
        <v>211.88999899999999</v>
      </c>
      <c r="G343" s="7">
        <v>210.520004</v>
      </c>
      <c r="H343" s="8">
        <f t="shared" si="7"/>
        <v>-4.7726775534607576E-3</v>
      </c>
    </row>
    <row r="344" spans="2:8" x14ac:dyDescent="0.2">
      <c r="B344" s="5">
        <v>44693</v>
      </c>
      <c r="C344" s="6" t="s">
        <v>15</v>
      </c>
      <c r="D344" s="7">
        <v>209.979996</v>
      </c>
      <c r="E344" s="7">
        <v>204.528897</v>
      </c>
      <c r="F344" s="7">
        <v>210.63000500000001</v>
      </c>
      <c r="G344" s="7">
        <v>208.61999499999999</v>
      </c>
      <c r="H344" s="8">
        <f t="shared" si="7"/>
        <v>-2.9913346802558118E-3</v>
      </c>
    </row>
    <row r="345" spans="2:8" x14ac:dyDescent="0.2">
      <c r="B345" s="5">
        <v>44694</v>
      </c>
      <c r="C345" s="6" t="s">
        <v>15</v>
      </c>
      <c r="D345" s="7">
        <v>210.020004</v>
      </c>
      <c r="E345" s="7">
        <v>204.56786700000001</v>
      </c>
      <c r="F345" s="7">
        <v>211.220001</v>
      </c>
      <c r="G345" s="7">
        <v>209.740005</v>
      </c>
      <c r="H345" s="8">
        <f t="shared" si="7"/>
        <v>1.905324352896943E-4</v>
      </c>
    </row>
    <row r="346" spans="2:8" x14ac:dyDescent="0.2">
      <c r="B346" s="5">
        <v>44695</v>
      </c>
      <c r="C346" s="6" t="s">
        <v>15</v>
      </c>
      <c r="D346" s="7">
        <v>212.21000699999999</v>
      </c>
      <c r="E346" s="7">
        <v>206.70101600000001</v>
      </c>
      <c r="F346" s="7">
        <v>212.320007</v>
      </c>
      <c r="G346" s="7">
        <v>210.91000399999999</v>
      </c>
      <c r="H346" s="8">
        <f t="shared" si="7"/>
        <v>1.0427592411625657E-2</v>
      </c>
    </row>
    <row r="347" spans="2:8" x14ac:dyDescent="0.2">
      <c r="B347" s="5">
        <v>44696</v>
      </c>
      <c r="C347" s="6" t="s">
        <v>15</v>
      </c>
      <c r="D347" s="7">
        <v>212.44000199999999</v>
      </c>
      <c r="E347" s="7">
        <v>206.92504099999999</v>
      </c>
      <c r="F347" s="7">
        <v>212.61000100000001</v>
      </c>
      <c r="G347" s="7">
        <v>211.86000100000001</v>
      </c>
      <c r="H347" s="8">
        <f t="shared" si="7"/>
        <v>1.0838084558378173E-3</v>
      </c>
    </row>
    <row r="348" spans="2:8" x14ac:dyDescent="0.2">
      <c r="B348" s="5">
        <v>44699</v>
      </c>
      <c r="C348" s="6" t="s">
        <v>15</v>
      </c>
      <c r="D348" s="7">
        <v>213.10000600000001</v>
      </c>
      <c r="E348" s="7">
        <v>207.56791100000001</v>
      </c>
      <c r="F348" s="7">
        <v>213.39999399999999</v>
      </c>
      <c r="G348" s="7">
        <v>212.16000399999999</v>
      </c>
      <c r="H348" s="8">
        <f t="shared" si="7"/>
        <v>3.106778355236576E-3</v>
      </c>
    </row>
    <row r="349" spans="2:8" x14ac:dyDescent="0.2">
      <c r="B349" s="5">
        <v>44700</v>
      </c>
      <c r="C349" s="6" t="s">
        <v>15</v>
      </c>
      <c r="D349" s="7">
        <v>213.029999</v>
      </c>
      <c r="E349" s="7">
        <v>207.49972099999999</v>
      </c>
      <c r="F349" s="7">
        <v>213.570007</v>
      </c>
      <c r="G349" s="7">
        <v>212.69000199999999</v>
      </c>
      <c r="H349" s="8">
        <f t="shared" si="7"/>
        <v>-3.2851711885922673E-4</v>
      </c>
    </row>
    <row r="350" spans="2:8" x14ac:dyDescent="0.2">
      <c r="B350" s="5">
        <v>44701</v>
      </c>
      <c r="C350" s="6" t="s">
        <v>15</v>
      </c>
      <c r="D350" s="7">
        <v>212.88000500000001</v>
      </c>
      <c r="E350" s="7">
        <v>207.353621</v>
      </c>
      <c r="F350" s="7">
        <v>213.779999</v>
      </c>
      <c r="G350" s="7">
        <v>212.5</v>
      </c>
      <c r="H350" s="8">
        <f t="shared" si="7"/>
        <v>-7.0409801766929746E-4</v>
      </c>
    </row>
    <row r="351" spans="2:8" x14ac:dyDescent="0.2">
      <c r="B351" s="5">
        <v>44702</v>
      </c>
      <c r="C351" s="6" t="s">
        <v>15</v>
      </c>
      <c r="D351" s="7">
        <v>213.5</v>
      </c>
      <c r="E351" s="7">
        <v>207.95752100000001</v>
      </c>
      <c r="F351" s="7">
        <v>213.75</v>
      </c>
      <c r="G351" s="7">
        <v>212.509995</v>
      </c>
      <c r="H351" s="8">
        <f t="shared" si="7"/>
        <v>2.9124153769161587E-3</v>
      </c>
    </row>
    <row r="352" spans="2:8" x14ac:dyDescent="0.2">
      <c r="B352" s="5">
        <v>44703</v>
      </c>
      <c r="C352" s="6" t="s">
        <v>15</v>
      </c>
      <c r="D352" s="7">
        <v>212.990005</v>
      </c>
      <c r="E352" s="7">
        <v>207.46076600000001</v>
      </c>
      <c r="F352" s="7">
        <v>213.53999300000001</v>
      </c>
      <c r="G352" s="7">
        <v>212.91000399999999</v>
      </c>
      <c r="H352" s="8">
        <f t="shared" si="7"/>
        <v>-2.3887353629976748E-3</v>
      </c>
    </row>
    <row r="353" spans="2:8" x14ac:dyDescent="0.2">
      <c r="B353" s="5">
        <v>44707</v>
      </c>
      <c r="C353" s="6" t="s">
        <v>15</v>
      </c>
      <c r="D353" s="7">
        <v>210.699997</v>
      </c>
      <c r="E353" s="7">
        <v>205.23020700000001</v>
      </c>
      <c r="F353" s="7">
        <v>212.91000399999999</v>
      </c>
      <c r="G353" s="7">
        <v>210.199997</v>
      </c>
      <c r="H353" s="8">
        <f t="shared" si="7"/>
        <v>-1.075171579060717E-2</v>
      </c>
    </row>
    <row r="354" spans="2:8" x14ac:dyDescent="0.2">
      <c r="B354" s="5">
        <v>44708</v>
      </c>
      <c r="C354" s="6" t="s">
        <v>15</v>
      </c>
      <c r="D354" s="7">
        <v>212.699997</v>
      </c>
      <c r="E354" s="7">
        <v>207.17828600000001</v>
      </c>
      <c r="F354" s="7">
        <v>212.979996</v>
      </c>
      <c r="G354" s="7">
        <v>210.759995</v>
      </c>
      <c r="H354" s="8">
        <f t="shared" si="7"/>
        <v>9.492169095759409E-3</v>
      </c>
    </row>
    <row r="355" spans="2:8" x14ac:dyDescent="0.2">
      <c r="B355" s="5">
        <v>44709</v>
      </c>
      <c r="C355" s="6" t="s">
        <v>15</v>
      </c>
      <c r="D355" s="7">
        <v>212.46000699999999</v>
      </c>
      <c r="E355" s="7">
        <v>206.944526</v>
      </c>
      <c r="F355" s="7">
        <v>212.58999600000001</v>
      </c>
      <c r="G355" s="7">
        <v>211.63000500000001</v>
      </c>
      <c r="H355" s="8">
        <f t="shared" si="7"/>
        <v>-1.1283027897739271E-3</v>
      </c>
    </row>
    <row r="356" spans="2:8" x14ac:dyDescent="0.2">
      <c r="B356" s="5">
        <v>44710</v>
      </c>
      <c r="C356" s="6" t="s">
        <v>15</v>
      </c>
      <c r="D356" s="7">
        <v>211.13999899999999</v>
      </c>
      <c r="E356" s="7">
        <v>205.65878599999999</v>
      </c>
      <c r="F356" s="7">
        <v>212.429993</v>
      </c>
      <c r="G356" s="7">
        <v>210.820007</v>
      </c>
      <c r="H356" s="8">
        <f t="shared" si="7"/>
        <v>-6.212971648824249E-3</v>
      </c>
    </row>
    <row r="357" spans="2:8" x14ac:dyDescent="0.2">
      <c r="B357" s="5">
        <v>44713</v>
      </c>
      <c r="C357" s="6" t="s">
        <v>15</v>
      </c>
      <c r="D357" s="7">
        <v>211.570007</v>
      </c>
      <c r="E357" s="7">
        <v>206.077631</v>
      </c>
      <c r="F357" s="7">
        <v>212.33999600000001</v>
      </c>
      <c r="G357" s="7">
        <v>210.61999499999999</v>
      </c>
      <c r="H357" s="8">
        <f t="shared" si="7"/>
        <v>2.036601316835353E-3</v>
      </c>
    </row>
    <row r="358" spans="2:8" x14ac:dyDescent="0.2">
      <c r="B358" s="5">
        <v>44714</v>
      </c>
      <c r="C358" s="6" t="s">
        <v>15</v>
      </c>
      <c r="D358" s="7">
        <v>211.36000100000001</v>
      </c>
      <c r="E358" s="7">
        <v>205.873076</v>
      </c>
      <c r="F358" s="7">
        <v>212.19000199999999</v>
      </c>
      <c r="G358" s="7">
        <v>210.270004</v>
      </c>
      <c r="H358" s="8">
        <f t="shared" si="7"/>
        <v>-9.9260761474566101E-4</v>
      </c>
    </row>
    <row r="359" spans="2:8" x14ac:dyDescent="0.2">
      <c r="B359" s="5">
        <v>44715</v>
      </c>
      <c r="C359" s="6" t="s">
        <v>15</v>
      </c>
      <c r="D359" s="7">
        <v>211.91999799999999</v>
      </c>
      <c r="E359" s="7">
        <v>206.41853599999999</v>
      </c>
      <c r="F359" s="7">
        <v>212.66999799999999</v>
      </c>
      <c r="G359" s="7">
        <v>211.33000200000001</v>
      </c>
      <c r="H359" s="8">
        <f t="shared" si="7"/>
        <v>2.6494937421957213E-3</v>
      </c>
    </row>
    <row r="360" spans="2:8" x14ac:dyDescent="0.2">
      <c r="B360" s="5">
        <v>44716</v>
      </c>
      <c r="C360" s="6" t="s">
        <v>15</v>
      </c>
      <c r="D360" s="7">
        <v>210.13000500000001</v>
      </c>
      <c r="E360" s="7">
        <v>204.67501200000001</v>
      </c>
      <c r="F360" s="7">
        <v>211.86000100000001</v>
      </c>
      <c r="G360" s="7">
        <v>209.75</v>
      </c>
      <c r="H360" s="8">
        <f t="shared" si="7"/>
        <v>-8.4465506648408965E-3</v>
      </c>
    </row>
    <row r="361" spans="2:8" x14ac:dyDescent="0.2">
      <c r="B361" s="5">
        <v>44717</v>
      </c>
      <c r="C361" s="6" t="s">
        <v>15</v>
      </c>
      <c r="D361" s="7">
        <v>209.770004</v>
      </c>
      <c r="E361" s="7">
        <v>204.32435699999999</v>
      </c>
      <c r="F361" s="7">
        <v>210.58000200000001</v>
      </c>
      <c r="G361" s="7">
        <v>208.979996</v>
      </c>
      <c r="H361" s="8">
        <f t="shared" si="7"/>
        <v>-1.7132298645308227E-3</v>
      </c>
    </row>
    <row r="362" spans="2:8" x14ac:dyDescent="0.2">
      <c r="B362" s="5">
        <v>44720</v>
      </c>
      <c r="C362" s="6" t="s">
        <v>15</v>
      </c>
      <c r="D362" s="7">
        <v>208.479996</v>
      </c>
      <c r="E362" s="7">
        <v>203.067837</v>
      </c>
      <c r="F362" s="7">
        <v>209.820007</v>
      </c>
      <c r="G362" s="7">
        <v>208.38999899999999</v>
      </c>
      <c r="H362" s="8">
        <f t="shared" si="7"/>
        <v>-6.1496304304785171E-3</v>
      </c>
    </row>
    <row r="363" spans="2:8" x14ac:dyDescent="0.2">
      <c r="B363" s="5">
        <v>44721</v>
      </c>
      <c r="C363" s="6" t="s">
        <v>15</v>
      </c>
      <c r="D363" s="7">
        <v>208.449997</v>
      </c>
      <c r="E363" s="7">
        <v>203.03861699999999</v>
      </c>
      <c r="F363" s="7">
        <v>209.10000600000001</v>
      </c>
      <c r="G363" s="7">
        <v>207.69000199999999</v>
      </c>
      <c r="H363" s="8">
        <f t="shared" si="7"/>
        <v>-1.4389390145615535E-4</v>
      </c>
    </row>
    <row r="364" spans="2:8" x14ac:dyDescent="0.2">
      <c r="B364" s="5">
        <v>44722</v>
      </c>
      <c r="C364" s="6" t="s">
        <v>15</v>
      </c>
      <c r="D364" s="7">
        <v>210.96000699999999</v>
      </c>
      <c r="E364" s="7">
        <v>205.48346599999999</v>
      </c>
      <c r="F364" s="7">
        <v>211.41000399999999</v>
      </c>
      <c r="G364" s="7">
        <v>209.300003</v>
      </c>
      <c r="H364" s="8">
        <f t="shared" si="7"/>
        <v>1.2041305042570925E-2</v>
      </c>
    </row>
    <row r="365" spans="2:8" x14ac:dyDescent="0.2">
      <c r="B365" s="5">
        <v>44723</v>
      </c>
      <c r="C365" s="6" t="s">
        <v>15</v>
      </c>
      <c r="D365" s="7">
        <v>211.63000500000001</v>
      </c>
      <c r="E365" s="7">
        <v>206.13607099999999</v>
      </c>
      <c r="F365" s="7">
        <v>212.08999600000001</v>
      </c>
      <c r="G365" s="7">
        <v>211.199997</v>
      </c>
      <c r="H365" s="8">
        <f t="shared" si="7"/>
        <v>3.1759479416400521E-3</v>
      </c>
    </row>
    <row r="366" spans="2:8" x14ac:dyDescent="0.2">
      <c r="B366" s="5">
        <v>44724</v>
      </c>
      <c r="C366" s="6" t="s">
        <v>15</v>
      </c>
      <c r="D366" s="7">
        <v>210.009995</v>
      </c>
      <c r="E366" s="7">
        <v>204.55811700000001</v>
      </c>
      <c r="F366" s="7">
        <v>211.479996</v>
      </c>
      <c r="G366" s="7">
        <v>209.679993</v>
      </c>
      <c r="H366" s="8">
        <f t="shared" si="7"/>
        <v>-7.6549164188698463E-3</v>
      </c>
    </row>
    <row r="367" spans="2:8" x14ac:dyDescent="0.2">
      <c r="B367" s="5">
        <v>44727</v>
      </c>
      <c r="C367" s="6" t="s">
        <v>15</v>
      </c>
      <c r="D367" s="7">
        <v>209.10000600000001</v>
      </c>
      <c r="E367" s="7">
        <v>203.671752</v>
      </c>
      <c r="F367" s="7">
        <v>209.449997</v>
      </c>
      <c r="G367" s="7">
        <v>207.78999300000001</v>
      </c>
      <c r="H367" s="8">
        <f t="shared" si="7"/>
        <v>-4.3330747186580143E-3</v>
      </c>
    </row>
    <row r="368" spans="2:8" x14ac:dyDescent="0.2">
      <c r="B368" s="5">
        <v>44728</v>
      </c>
      <c r="C368" s="6" t="s">
        <v>15</v>
      </c>
      <c r="D368" s="7">
        <v>210.25</v>
      </c>
      <c r="E368" s="7">
        <v>204.79189199999999</v>
      </c>
      <c r="F368" s="7">
        <v>210.35000600000001</v>
      </c>
      <c r="G368" s="7">
        <v>208.720001</v>
      </c>
      <c r="H368" s="8">
        <f t="shared" si="7"/>
        <v>5.4997320277455769E-3</v>
      </c>
    </row>
    <row r="369" spans="2:8" x14ac:dyDescent="0.2">
      <c r="B369" s="5">
        <v>44729</v>
      </c>
      <c r="C369" s="6" t="s">
        <v>15</v>
      </c>
      <c r="D369" s="7">
        <v>210.58999600000001</v>
      </c>
      <c r="E369" s="7">
        <v>205.123062</v>
      </c>
      <c r="F369" s="7">
        <v>211.320007</v>
      </c>
      <c r="G369" s="7">
        <v>209.36000100000001</v>
      </c>
      <c r="H369" s="8">
        <f t="shared" si="7"/>
        <v>1.6171034482759263E-3</v>
      </c>
    </row>
    <row r="370" spans="2:8" x14ac:dyDescent="0.2">
      <c r="B370" s="5">
        <v>44730</v>
      </c>
      <c r="C370" s="6" t="s">
        <v>15</v>
      </c>
      <c r="D370" s="7">
        <v>212.779999</v>
      </c>
      <c r="E370" s="7">
        <v>207.25621100000001</v>
      </c>
      <c r="F370" s="7">
        <v>213.33999600000001</v>
      </c>
      <c r="G370" s="7">
        <v>210.63000500000001</v>
      </c>
      <c r="H370" s="8">
        <f t="shared" si="7"/>
        <v>1.0399368638574788E-2</v>
      </c>
    </row>
    <row r="371" spans="2:8" x14ac:dyDescent="0.2">
      <c r="B371" s="5">
        <v>44731</v>
      </c>
      <c r="C371" s="6" t="s">
        <v>15</v>
      </c>
      <c r="D371" s="7">
        <v>210.80999800000001</v>
      </c>
      <c r="E371" s="7">
        <v>206.336164</v>
      </c>
      <c r="F371" s="7">
        <v>211.550003</v>
      </c>
      <c r="G371" s="7">
        <v>210.36000100000001</v>
      </c>
      <c r="H371" s="8">
        <f t="shared" si="7"/>
        <v>-9.2583936895309239E-3</v>
      </c>
    </row>
    <row r="372" spans="2:8" x14ac:dyDescent="0.2">
      <c r="B372" s="5">
        <v>44734</v>
      </c>
      <c r="C372" s="6" t="s">
        <v>15</v>
      </c>
      <c r="D372" s="7">
        <v>211.88999899999999</v>
      </c>
      <c r="E372" s="7">
        <v>207.393246</v>
      </c>
      <c r="F372" s="7">
        <v>212.58999600000001</v>
      </c>
      <c r="G372" s="7">
        <v>211.63999899999999</v>
      </c>
      <c r="H372" s="8">
        <f t="shared" si="7"/>
        <v>5.1231014195065906E-3</v>
      </c>
    </row>
    <row r="373" spans="2:8" x14ac:dyDescent="0.2">
      <c r="B373" s="5">
        <v>44735</v>
      </c>
      <c r="C373" s="6" t="s">
        <v>15</v>
      </c>
      <c r="D373" s="7">
        <v>212.050003</v>
      </c>
      <c r="E373" s="7">
        <v>207.54985400000001</v>
      </c>
      <c r="F373" s="7">
        <v>212.44000199999999</v>
      </c>
      <c r="G373" s="7">
        <v>211.570007</v>
      </c>
      <c r="H373" s="8">
        <f t="shared" si="7"/>
        <v>7.5512766414244457E-4</v>
      </c>
    </row>
    <row r="374" spans="2:8" x14ac:dyDescent="0.2">
      <c r="B374" s="5">
        <v>44736</v>
      </c>
      <c r="C374" s="6" t="s">
        <v>15</v>
      </c>
      <c r="D374" s="7">
        <v>210.509995</v>
      </c>
      <c r="E374" s="7">
        <v>206.04252700000001</v>
      </c>
      <c r="F374" s="7">
        <v>212.16999799999999</v>
      </c>
      <c r="G374" s="7">
        <v>210.470001</v>
      </c>
      <c r="H374" s="8">
        <f t="shared" si="7"/>
        <v>-7.2624757284252446E-3</v>
      </c>
    </row>
    <row r="375" spans="2:8" x14ac:dyDescent="0.2">
      <c r="B375" s="5">
        <v>44737</v>
      </c>
      <c r="C375" s="6" t="s">
        <v>15</v>
      </c>
      <c r="D375" s="7">
        <v>209.86000100000001</v>
      </c>
      <c r="E375" s="7">
        <v>205.406328</v>
      </c>
      <c r="F375" s="7">
        <v>211.25</v>
      </c>
      <c r="G375" s="7">
        <v>209.770004</v>
      </c>
      <c r="H375" s="8">
        <f t="shared" si="7"/>
        <v>-3.0877108709255938E-3</v>
      </c>
    </row>
    <row r="376" spans="2:8" x14ac:dyDescent="0.2">
      <c r="B376" s="5">
        <v>44738</v>
      </c>
      <c r="C376" s="6" t="s">
        <v>15</v>
      </c>
      <c r="D376" s="7">
        <v>209.820007</v>
      </c>
      <c r="E376" s="7">
        <v>205.36718300000001</v>
      </c>
      <c r="F376" s="7">
        <v>210.58000200000001</v>
      </c>
      <c r="G376" s="7">
        <v>209.16000399999999</v>
      </c>
      <c r="H376" s="8">
        <f t="shared" si="7"/>
        <v>-1.9057466791876738E-4</v>
      </c>
    </row>
    <row r="377" spans="2:8" x14ac:dyDescent="0.2">
      <c r="B377" s="5">
        <v>44741</v>
      </c>
      <c r="C377" s="6" t="s">
        <v>15</v>
      </c>
      <c r="D377" s="7">
        <v>205.41999799999999</v>
      </c>
      <c r="E377" s="7">
        <v>201.060551</v>
      </c>
      <c r="F377" s="7">
        <v>209.83000200000001</v>
      </c>
      <c r="G377" s="7">
        <v>205.33000200000001</v>
      </c>
      <c r="H377" s="8">
        <f t="shared" si="7"/>
        <v>-2.0970397737142443E-2</v>
      </c>
    </row>
    <row r="378" spans="2:8" x14ac:dyDescent="0.2">
      <c r="B378" s="5">
        <v>44742</v>
      </c>
      <c r="C378" s="6" t="s">
        <v>15</v>
      </c>
      <c r="D378" s="7">
        <v>205.85000600000001</v>
      </c>
      <c r="E378" s="7">
        <v>201.48143400000001</v>
      </c>
      <c r="F378" s="7">
        <v>207.320007</v>
      </c>
      <c r="G378" s="7">
        <v>205.279999</v>
      </c>
      <c r="H378" s="8">
        <f t="shared" si="7"/>
        <v>2.0933112851067941E-3</v>
      </c>
    </row>
    <row r="379" spans="2:8" x14ac:dyDescent="0.2">
      <c r="B379" s="5">
        <v>44743</v>
      </c>
      <c r="C379" s="6" t="s">
        <v>15</v>
      </c>
      <c r="D379" s="7">
        <v>207.5</v>
      </c>
      <c r="E379" s="7">
        <v>203.09641099999999</v>
      </c>
      <c r="F379" s="7">
        <v>208.029999</v>
      </c>
      <c r="G379" s="7">
        <v>206.55999800000001</v>
      </c>
      <c r="H379" s="8">
        <f t="shared" si="7"/>
        <v>8.0155159189064691E-3</v>
      </c>
    </row>
    <row r="380" spans="2:8" x14ac:dyDescent="0.2">
      <c r="B380" s="5">
        <v>44744</v>
      </c>
      <c r="C380" s="6" t="s">
        <v>15</v>
      </c>
      <c r="D380" s="7">
        <v>207.320007</v>
      </c>
      <c r="E380" s="7">
        <v>202.92023800000001</v>
      </c>
      <c r="F380" s="7">
        <v>208.270004</v>
      </c>
      <c r="G380" s="7">
        <v>206.80999800000001</v>
      </c>
      <c r="H380" s="8">
        <f t="shared" si="7"/>
        <v>-8.6743614457829429E-4</v>
      </c>
    </row>
    <row r="381" spans="2:8" x14ac:dyDescent="0.2">
      <c r="B381" s="5">
        <v>44748</v>
      </c>
      <c r="C381" s="6" t="s">
        <v>15</v>
      </c>
      <c r="D381" s="7">
        <v>206.720001</v>
      </c>
      <c r="E381" s="7">
        <v>202.332966</v>
      </c>
      <c r="F381" s="7">
        <v>207.64999399999999</v>
      </c>
      <c r="G381" s="7">
        <v>205.529999</v>
      </c>
      <c r="H381" s="8">
        <f t="shared" si="7"/>
        <v>-2.8941056325548337E-3</v>
      </c>
    </row>
    <row r="382" spans="2:8" x14ac:dyDescent="0.2">
      <c r="B382" s="5">
        <v>44749</v>
      </c>
      <c r="C382" s="6" t="s">
        <v>15</v>
      </c>
      <c r="D382" s="7">
        <v>208.009995</v>
      </c>
      <c r="E382" s="7">
        <v>203.595583</v>
      </c>
      <c r="F382" s="7">
        <v>208.16999799999999</v>
      </c>
      <c r="G382" s="7">
        <v>204.11000100000001</v>
      </c>
      <c r="H382" s="8">
        <f t="shared" si="7"/>
        <v>6.2402960224444233E-3</v>
      </c>
    </row>
    <row r="383" spans="2:8" x14ac:dyDescent="0.2">
      <c r="B383" s="5">
        <v>44750</v>
      </c>
      <c r="C383" s="6" t="s">
        <v>15</v>
      </c>
      <c r="D383" s="7">
        <v>204.529999</v>
      </c>
      <c r="E383" s="7">
        <v>200.18943999999999</v>
      </c>
      <c r="F383" s="7">
        <v>206.759995</v>
      </c>
      <c r="G383" s="7">
        <v>204.25</v>
      </c>
      <c r="H383" s="8">
        <f t="shared" si="7"/>
        <v>-1.6729946077831501E-2</v>
      </c>
    </row>
    <row r="384" spans="2:8" x14ac:dyDescent="0.2">
      <c r="B384" s="5">
        <v>44751</v>
      </c>
      <c r="C384" s="6" t="s">
        <v>15</v>
      </c>
      <c r="D384" s="7">
        <v>204.89999399999999</v>
      </c>
      <c r="E384" s="7">
        <v>200.55158299999999</v>
      </c>
      <c r="F384" s="7">
        <v>207.35000600000001</v>
      </c>
      <c r="G384" s="7">
        <v>204.770004</v>
      </c>
      <c r="H384" s="8">
        <f t="shared" si="7"/>
        <v>1.8090011333740277E-3</v>
      </c>
    </row>
    <row r="385" spans="2:8" x14ac:dyDescent="0.2">
      <c r="B385" s="5">
        <v>44752</v>
      </c>
      <c r="C385" s="6" t="s">
        <v>15</v>
      </c>
      <c r="D385" s="7">
        <v>207.479996</v>
      </c>
      <c r="E385" s="7">
        <v>203.076831</v>
      </c>
      <c r="F385" s="7">
        <v>207.979996</v>
      </c>
      <c r="G385" s="7">
        <v>204.949997</v>
      </c>
      <c r="H385" s="8">
        <f t="shared" si="7"/>
        <v>1.2591518182279731E-2</v>
      </c>
    </row>
    <row r="386" spans="2:8" x14ac:dyDescent="0.2">
      <c r="B386" s="5">
        <v>44755</v>
      </c>
      <c r="C386" s="6" t="s">
        <v>15</v>
      </c>
      <c r="D386" s="7">
        <v>209.759995</v>
      </c>
      <c r="E386" s="7">
        <v>205.30844400000001</v>
      </c>
      <c r="F386" s="7">
        <v>209.89999399999999</v>
      </c>
      <c r="G386" s="7">
        <v>208.94000199999999</v>
      </c>
      <c r="H386" s="8">
        <f t="shared" si="7"/>
        <v>1.0989006381126033E-2</v>
      </c>
    </row>
    <row r="387" spans="2:8" x14ac:dyDescent="0.2">
      <c r="B387" s="5">
        <v>44756</v>
      </c>
      <c r="C387" s="6" t="s">
        <v>15</v>
      </c>
      <c r="D387" s="7">
        <v>210.679993</v>
      </c>
      <c r="E387" s="7">
        <v>206.20891800000001</v>
      </c>
      <c r="F387" s="7">
        <v>211.050003</v>
      </c>
      <c r="G387" s="7">
        <v>209.64999399999999</v>
      </c>
      <c r="H387" s="8">
        <f t="shared" si="7"/>
        <v>4.3859554821213285E-3</v>
      </c>
    </row>
    <row r="388" spans="2:8" x14ac:dyDescent="0.2">
      <c r="B388" s="5">
        <v>44757</v>
      </c>
      <c r="C388" s="6" t="s">
        <v>15</v>
      </c>
      <c r="D388" s="7">
        <v>210.61000100000001</v>
      </c>
      <c r="E388" s="7">
        <v>206.140411</v>
      </c>
      <c r="F388" s="7">
        <v>211.279999</v>
      </c>
      <c r="G388" s="7">
        <v>210.03999300000001</v>
      </c>
      <c r="H388" s="8">
        <f t="shared" ref="H388:H451" si="8">(D388-D387)/D387</f>
        <v>-3.3221949081792951E-4</v>
      </c>
    </row>
    <row r="389" spans="2:8" x14ac:dyDescent="0.2">
      <c r="B389" s="5">
        <v>44758</v>
      </c>
      <c r="C389" s="6" t="s">
        <v>15</v>
      </c>
      <c r="D389" s="7">
        <v>212.300003</v>
      </c>
      <c r="E389" s="7">
        <v>207.79454799999999</v>
      </c>
      <c r="F389" s="7">
        <v>212.300003</v>
      </c>
      <c r="G389" s="7">
        <v>211.58000200000001</v>
      </c>
      <c r="H389" s="8">
        <f t="shared" si="8"/>
        <v>8.0243197947660258E-3</v>
      </c>
    </row>
    <row r="390" spans="2:8" x14ac:dyDescent="0.2">
      <c r="B390" s="5">
        <v>44759</v>
      </c>
      <c r="C390" s="6" t="s">
        <v>15</v>
      </c>
      <c r="D390" s="7">
        <v>212.470001</v>
      </c>
      <c r="E390" s="7">
        <v>207.960939</v>
      </c>
      <c r="F390" s="7">
        <v>212.550003</v>
      </c>
      <c r="G390" s="7">
        <v>211.800003</v>
      </c>
      <c r="H390" s="8">
        <f t="shared" si="8"/>
        <v>8.0074421854809178E-4</v>
      </c>
    </row>
    <row r="391" spans="2:8" x14ac:dyDescent="0.2">
      <c r="B391" s="5">
        <v>44762</v>
      </c>
      <c r="C391" s="6" t="s">
        <v>15</v>
      </c>
      <c r="D391" s="7">
        <v>212.58999600000001</v>
      </c>
      <c r="E391" s="7">
        <v>208.07838699999999</v>
      </c>
      <c r="F391" s="7">
        <v>213.179993</v>
      </c>
      <c r="G391" s="7">
        <v>212.21000699999999</v>
      </c>
      <c r="H391" s="8">
        <f t="shared" si="8"/>
        <v>5.6476208140092768E-4</v>
      </c>
    </row>
    <row r="392" spans="2:8" x14ac:dyDescent="0.2">
      <c r="B392" s="5">
        <v>44763</v>
      </c>
      <c r="C392" s="6" t="s">
        <v>15</v>
      </c>
      <c r="D392" s="7">
        <v>211.759995</v>
      </c>
      <c r="E392" s="7">
        <v>207.26599999999999</v>
      </c>
      <c r="F392" s="7">
        <v>212.740005</v>
      </c>
      <c r="G392" s="7">
        <v>211.38999899999999</v>
      </c>
      <c r="H392" s="8">
        <f t="shared" si="8"/>
        <v>-3.9042335745658038E-3</v>
      </c>
    </row>
    <row r="393" spans="2:8" x14ac:dyDescent="0.2">
      <c r="B393" s="5">
        <v>44764</v>
      </c>
      <c r="C393" s="6" t="s">
        <v>15</v>
      </c>
      <c r="D393" s="7">
        <v>211.36999499999999</v>
      </c>
      <c r="E393" s="7">
        <v>206.884277</v>
      </c>
      <c r="F393" s="7">
        <v>211.770004</v>
      </c>
      <c r="G393" s="7">
        <v>210.88999899999999</v>
      </c>
      <c r="H393" s="8">
        <f t="shared" si="8"/>
        <v>-1.8417076369878775E-3</v>
      </c>
    </row>
    <row r="394" spans="2:8" x14ac:dyDescent="0.2">
      <c r="B394" s="5">
        <v>44765</v>
      </c>
      <c r="C394" s="6" t="s">
        <v>15</v>
      </c>
      <c r="D394" s="7">
        <v>210.179993</v>
      </c>
      <c r="E394" s="7">
        <v>205.71952899999999</v>
      </c>
      <c r="F394" s="7">
        <v>211.64999399999999</v>
      </c>
      <c r="G394" s="7">
        <v>209.75</v>
      </c>
      <c r="H394" s="8">
        <f t="shared" si="8"/>
        <v>-5.6299476186295631E-3</v>
      </c>
    </row>
    <row r="395" spans="2:8" x14ac:dyDescent="0.2">
      <c r="B395" s="5">
        <v>44766</v>
      </c>
      <c r="C395" s="6" t="s">
        <v>15</v>
      </c>
      <c r="D395" s="7">
        <v>208</v>
      </c>
      <c r="E395" s="7">
        <v>203.58580000000001</v>
      </c>
      <c r="F395" s="7">
        <v>210.36999499999999</v>
      </c>
      <c r="G395" s="7">
        <v>207.60000600000001</v>
      </c>
      <c r="H395" s="8">
        <f t="shared" si="8"/>
        <v>-1.0372029082711008E-2</v>
      </c>
    </row>
    <row r="396" spans="2:8" x14ac:dyDescent="0.2">
      <c r="B396" s="5">
        <v>44769</v>
      </c>
      <c r="C396" s="6" t="s">
        <v>15</v>
      </c>
      <c r="D396" s="7">
        <v>206.78999300000001</v>
      </c>
      <c r="E396" s="7">
        <v>202.40147200000001</v>
      </c>
      <c r="F396" s="7">
        <v>207.550003</v>
      </c>
      <c r="G396" s="7">
        <v>206.259995</v>
      </c>
      <c r="H396" s="8">
        <f t="shared" si="8"/>
        <v>-5.8173413461537994E-3</v>
      </c>
    </row>
    <row r="397" spans="2:8" x14ac:dyDescent="0.2">
      <c r="B397" s="5">
        <v>44770</v>
      </c>
      <c r="C397" s="6" t="s">
        <v>15</v>
      </c>
      <c r="D397" s="7">
        <v>209.33000200000001</v>
      </c>
      <c r="E397" s="7">
        <v>204.88757699999999</v>
      </c>
      <c r="F397" s="7">
        <v>209.5</v>
      </c>
      <c r="G397" s="7">
        <v>206.800003</v>
      </c>
      <c r="H397" s="8">
        <f t="shared" si="8"/>
        <v>1.2283036345960887E-2</v>
      </c>
    </row>
    <row r="398" spans="2:8" x14ac:dyDescent="0.2">
      <c r="B398" s="5">
        <v>44771</v>
      </c>
      <c r="C398" s="6" t="s">
        <v>15</v>
      </c>
      <c r="D398" s="7">
        <v>210.770004</v>
      </c>
      <c r="E398" s="7">
        <v>206.29701900000001</v>
      </c>
      <c r="F398" s="7">
        <v>211.03999300000001</v>
      </c>
      <c r="G398" s="7">
        <v>209.30999800000001</v>
      </c>
      <c r="H398" s="8">
        <f t="shared" si="8"/>
        <v>6.8790999199435949E-3</v>
      </c>
    </row>
    <row r="399" spans="2:8" x14ac:dyDescent="0.2">
      <c r="B399" s="5">
        <v>44772</v>
      </c>
      <c r="C399" s="6" t="s">
        <v>15</v>
      </c>
      <c r="D399" s="7">
        <v>210.820007</v>
      </c>
      <c r="E399" s="7">
        <v>206.34596099999999</v>
      </c>
      <c r="F399" s="7">
        <v>211.020004</v>
      </c>
      <c r="G399" s="7">
        <v>209.41999799999999</v>
      </c>
      <c r="H399" s="8">
        <f t="shared" si="8"/>
        <v>2.3723964060846055E-4</v>
      </c>
    </row>
    <row r="400" spans="2:8" x14ac:dyDescent="0.2">
      <c r="B400" s="5">
        <v>44773</v>
      </c>
      <c r="C400" s="6" t="s">
        <v>15</v>
      </c>
      <c r="D400" s="7">
        <v>210.5</v>
      </c>
      <c r="E400" s="7">
        <v>206.03274500000001</v>
      </c>
      <c r="F400" s="7">
        <v>211.449997</v>
      </c>
      <c r="G400" s="7">
        <v>210.16000399999999</v>
      </c>
      <c r="H400" s="8">
        <f t="shared" si="8"/>
        <v>-1.5179157071178919E-3</v>
      </c>
    </row>
    <row r="401" spans="2:8" x14ac:dyDescent="0.2">
      <c r="B401" s="5">
        <v>44776</v>
      </c>
      <c r="C401" s="6" t="s">
        <v>15</v>
      </c>
      <c r="D401" s="7">
        <v>209.78999300000001</v>
      </c>
      <c r="E401" s="7">
        <v>205.337806</v>
      </c>
      <c r="F401" s="7">
        <v>210.529999</v>
      </c>
      <c r="G401" s="7">
        <v>208.64999399999999</v>
      </c>
      <c r="H401" s="8">
        <f t="shared" si="8"/>
        <v>-3.3729548693586238E-3</v>
      </c>
    </row>
    <row r="402" spans="2:8" x14ac:dyDescent="0.2">
      <c r="B402" s="5">
        <v>44777</v>
      </c>
      <c r="C402" s="6" t="s">
        <v>15</v>
      </c>
      <c r="D402" s="7">
        <v>209.38000500000001</v>
      </c>
      <c r="E402" s="7">
        <v>204.93651800000001</v>
      </c>
      <c r="F402" s="7">
        <v>210.25</v>
      </c>
      <c r="G402" s="7">
        <v>208.800003</v>
      </c>
      <c r="H402" s="8">
        <f t="shared" si="8"/>
        <v>-1.9542781528192263E-3</v>
      </c>
    </row>
    <row r="403" spans="2:8" x14ac:dyDescent="0.2">
      <c r="B403" s="5">
        <v>44778</v>
      </c>
      <c r="C403" s="6" t="s">
        <v>15</v>
      </c>
      <c r="D403" s="7">
        <v>210.070007</v>
      </c>
      <c r="E403" s="7">
        <v>205.61187799999999</v>
      </c>
      <c r="F403" s="7">
        <v>211.30999800000001</v>
      </c>
      <c r="G403" s="7">
        <v>209.729996</v>
      </c>
      <c r="H403" s="8">
        <f t="shared" si="8"/>
        <v>3.2954531642120873E-3</v>
      </c>
    </row>
    <row r="404" spans="2:8" x14ac:dyDescent="0.2">
      <c r="B404" s="5">
        <v>44779</v>
      </c>
      <c r="C404" s="6" t="s">
        <v>15</v>
      </c>
      <c r="D404" s="7">
        <v>208.35000600000001</v>
      </c>
      <c r="E404" s="7">
        <v>203.92837800000001</v>
      </c>
      <c r="F404" s="7">
        <v>210.41999799999999</v>
      </c>
      <c r="G404" s="7">
        <v>207.64999399999999</v>
      </c>
      <c r="H404" s="8">
        <f t="shared" si="8"/>
        <v>-8.1877514289795603E-3</v>
      </c>
    </row>
    <row r="405" spans="2:8" x14ac:dyDescent="0.2">
      <c r="B405" s="5">
        <v>44780</v>
      </c>
      <c r="C405" s="6" t="s">
        <v>15</v>
      </c>
      <c r="D405" s="7">
        <v>207.949997</v>
      </c>
      <c r="E405" s="7">
        <v>203.536858</v>
      </c>
      <c r="F405" s="7">
        <v>208.33999600000001</v>
      </c>
      <c r="G405" s="7">
        <v>206.86999499999999</v>
      </c>
      <c r="H405" s="8">
        <f t="shared" si="8"/>
        <v>-1.9198895535429521E-3</v>
      </c>
    </row>
    <row r="406" spans="2:8" x14ac:dyDescent="0.2">
      <c r="B406" s="5">
        <v>44783</v>
      </c>
      <c r="C406" s="6" t="s">
        <v>15</v>
      </c>
      <c r="D406" s="7">
        <v>210.570007</v>
      </c>
      <c r="E406" s="7">
        <v>206.10126700000001</v>
      </c>
      <c r="F406" s="7">
        <v>210.66999799999999</v>
      </c>
      <c r="G406" s="7">
        <v>209.279999</v>
      </c>
      <c r="H406" s="8">
        <f t="shared" si="8"/>
        <v>1.2599230766038472E-2</v>
      </c>
    </row>
    <row r="407" spans="2:8" x14ac:dyDescent="0.2">
      <c r="B407" s="5">
        <v>44784</v>
      </c>
      <c r="C407" s="6" t="s">
        <v>15</v>
      </c>
      <c r="D407" s="7">
        <v>208.66000399999999</v>
      </c>
      <c r="E407" s="7">
        <v>204.231797</v>
      </c>
      <c r="F407" s="7">
        <v>209.470001</v>
      </c>
      <c r="G407" s="7">
        <v>207.759995</v>
      </c>
      <c r="H407" s="8">
        <f t="shared" si="8"/>
        <v>-9.0706317923046724E-3</v>
      </c>
    </row>
    <row r="408" spans="2:8" x14ac:dyDescent="0.2">
      <c r="B408" s="5">
        <v>44785</v>
      </c>
      <c r="C408" s="6" t="s">
        <v>15</v>
      </c>
      <c r="D408" s="7">
        <v>208.91999799999999</v>
      </c>
      <c r="E408" s="7">
        <v>204.48627400000001</v>
      </c>
      <c r="F408" s="7">
        <v>209.13999899999999</v>
      </c>
      <c r="G408" s="7">
        <v>205.36000100000001</v>
      </c>
      <c r="H408" s="8">
        <f t="shared" si="8"/>
        <v>1.2460174207607419E-3</v>
      </c>
    </row>
    <row r="409" spans="2:8" x14ac:dyDescent="0.2">
      <c r="B409" s="5">
        <v>44786</v>
      </c>
      <c r="C409" s="6" t="s">
        <v>15</v>
      </c>
      <c r="D409" s="7">
        <v>208.66000399999999</v>
      </c>
      <c r="E409" s="7">
        <v>204.231797</v>
      </c>
      <c r="F409" s="7">
        <v>209.550003</v>
      </c>
      <c r="G409" s="7">
        <v>208.009995</v>
      </c>
      <c r="H409" s="8">
        <f t="shared" si="8"/>
        <v>-1.2444667934565366E-3</v>
      </c>
    </row>
    <row r="410" spans="2:8" x14ac:dyDescent="0.2">
      <c r="B410" s="5">
        <v>44787</v>
      </c>
      <c r="C410" s="6" t="s">
        <v>15</v>
      </c>
      <c r="D410" s="7">
        <v>209.41999799999999</v>
      </c>
      <c r="E410" s="7">
        <v>204.975663</v>
      </c>
      <c r="F410" s="7">
        <v>209.509995</v>
      </c>
      <c r="G410" s="7">
        <v>208.259995</v>
      </c>
      <c r="H410" s="8">
        <f t="shared" si="8"/>
        <v>3.6422600662847017E-3</v>
      </c>
    </row>
    <row r="411" spans="2:8" x14ac:dyDescent="0.2">
      <c r="B411" s="5">
        <v>44790</v>
      </c>
      <c r="C411" s="6" t="s">
        <v>15</v>
      </c>
      <c r="D411" s="7">
        <v>210.58999600000001</v>
      </c>
      <c r="E411" s="7">
        <v>206.12083100000001</v>
      </c>
      <c r="F411" s="7">
        <v>210.58999600000001</v>
      </c>
      <c r="G411" s="7">
        <v>208.16000399999999</v>
      </c>
      <c r="H411" s="8">
        <f t="shared" si="8"/>
        <v>5.5868494469187274E-3</v>
      </c>
    </row>
    <row r="412" spans="2:8" x14ac:dyDescent="0.2">
      <c r="B412" s="5">
        <v>44791</v>
      </c>
      <c r="C412" s="6" t="s">
        <v>15</v>
      </c>
      <c r="D412" s="7">
        <v>209.979996</v>
      </c>
      <c r="E412" s="7">
        <v>205.523776</v>
      </c>
      <c r="F412" s="7">
        <v>210.679993</v>
      </c>
      <c r="G412" s="7">
        <v>209.699997</v>
      </c>
      <c r="H412" s="8">
        <f t="shared" si="8"/>
        <v>-2.8966238263284528E-3</v>
      </c>
    </row>
    <row r="413" spans="2:8" x14ac:dyDescent="0.2">
      <c r="B413" s="5">
        <v>44792</v>
      </c>
      <c r="C413" s="6" t="s">
        <v>15</v>
      </c>
      <c r="D413" s="7">
        <v>208.320007</v>
      </c>
      <c r="E413" s="7">
        <v>203.89901599999999</v>
      </c>
      <c r="F413" s="7">
        <v>210.009995</v>
      </c>
      <c r="G413" s="7">
        <v>207.35000600000001</v>
      </c>
      <c r="H413" s="8">
        <f t="shared" si="8"/>
        <v>-7.9054625755874183E-3</v>
      </c>
    </row>
    <row r="414" spans="2:8" x14ac:dyDescent="0.2">
      <c r="B414" s="5">
        <v>44793</v>
      </c>
      <c r="C414" s="6" t="s">
        <v>15</v>
      </c>
      <c r="D414" s="7">
        <v>203.970001</v>
      </c>
      <c r="E414" s="7">
        <v>199.64132599999999</v>
      </c>
      <c r="F414" s="7">
        <v>208.28999300000001</v>
      </c>
      <c r="G414" s="7">
        <v>203.89999399999999</v>
      </c>
      <c r="H414" s="8">
        <f t="shared" si="8"/>
        <v>-2.0881364505714553E-2</v>
      </c>
    </row>
    <row r="415" spans="2:8" x14ac:dyDescent="0.2">
      <c r="B415" s="5">
        <v>44794</v>
      </c>
      <c r="C415" s="6" t="s">
        <v>15</v>
      </c>
      <c r="D415" s="7">
        <v>197.83000200000001</v>
      </c>
      <c r="E415" s="7">
        <v>193.631631</v>
      </c>
      <c r="F415" s="7">
        <v>203.94000199999999</v>
      </c>
      <c r="G415" s="7">
        <v>197.520004</v>
      </c>
      <c r="H415" s="8">
        <f t="shared" si="8"/>
        <v>-3.0102460998664156E-2</v>
      </c>
    </row>
    <row r="416" spans="2:8" x14ac:dyDescent="0.2">
      <c r="B416" s="5">
        <v>44797</v>
      </c>
      <c r="C416" s="6" t="s">
        <v>15</v>
      </c>
      <c r="D416" s="7">
        <v>189.5</v>
      </c>
      <c r="E416" s="7">
        <v>185.478409</v>
      </c>
      <c r="F416" s="7">
        <v>197.479996</v>
      </c>
      <c r="G416" s="7">
        <v>182.39999399999999</v>
      </c>
      <c r="H416" s="8">
        <f t="shared" si="8"/>
        <v>-4.2106869108761408E-2</v>
      </c>
    </row>
    <row r="417" spans="2:8" x14ac:dyDescent="0.2">
      <c r="B417" s="5">
        <v>44798</v>
      </c>
      <c r="C417" s="6" t="s">
        <v>15</v>
      </c>
      <c r="D417" s="7">
        <v>187.270004</v>
      </c>
      <c r="E417" s="7">
        <v>183.295739</v>
      </c>
      <c r="F417" s="7">
        <v>195.449997</v>
      </c>
      <c r="G417" s="7">
        <v>186.91999799999999</v>
      </c>
      <c r="H417" s="8">
        <f t="shared" si="8"/>
        <v>-1.1767788918205804E-2</v>
      </c>
    </row>
    <row r="418" spans="2:8" x14ac:dyDescent="0.2">
      <c r="B418" s="5">
        <v>44799</v>
      </c>
      <c r="C418" s="6" t="s">
        <v>15</v>
      </c>
      <c r="D418" s="7">
        <v>194.46000699999999</v>
      </c>
      <c r="E418" s="7">
        <v>190.33315400000001</v>
      </c>
      <c r="F418" s="7">
        <v>194.78999300000001</v>
      </c>
      <c r="G418" s="7">
        <v>188.36999499999999</v>
      </c>
      <c r="H418" s="8">
        <f t="shared" si="8"/>
        <v>3.8393778215543746E-2</v>
      </c>
    </row>
    <row r="419" spans="2:8" x14ac:dyDescent="0.2">
      <c r="B419" s="5">
        <v>44800</v>
      </c>
      <c r="C419" s="6" t="s">
        <v>15</v>
      </c>
      <c r="D419" s="7">
        <v>199.270004</v>
      </c>
      <c r="E419" s="7">
        <v>195.04107300000001</v>
      </c>
      <c r="F419" s="7">
        <v>199.41999799999999</v>
      </c>
      <c r="G419" s="7">
        <v>195.21000699999999</v>
      </c>
      <c r="H419" s="8">
        <f t="shared" si="8"/>
        <v>2.473514772628806E-2</v>
      </c>
    </row>
    <row r="420" spans="2:8" x14ac:dyDescent="0.2">
      <c r="B420" s="5">
        <v>44801</v>
      </c>
      <c r="C420" s="6" t="s">
        <v>15</v>
      </c>
      <c r="D420" s="7">
        <v>199.279999</v>
      </c>
      <c r="E420" s="7">
        <v>195.05085600000001</v>
      </c>
      <c r="F420" s="7">
        <v>199.83999600000001</v>
      </c>
      <c r="G420" s="7">
        <v>197.91999799999999</v>
      </c>
      <c r="H420" s="8">
        <f t="shared" si="8"/>
        <v>5.0158075974161813E-5</v>
      </c>
    </row>
    <row r="421" spans="2:8" x14ac:dyDescent="0.2">
      <c r="B421" s="5">
        <v>44804</v>
      </c>
      <c r="C421" s="6" t="s">
        <v>15</v>
      </c>
      <c r="D421" s="7">
        <v>197.66999799999999</v>
      </c>
      <c r="E421" s="7">
        <v>193.47502299999999</v>
      </c>
      <c r="F421" s="7">
        <v>199.13000500000001</v>
      </c>
      <c r="G421" s="7">
        <v>197.009995</v>
      </c>
      <c r="H421" s="8">
        <f t="shared" si="8"/>
        <v>-8.0790897635442636E-3</v>
      </c>
    </row>
    <row r="422" spans="2:8" x14ac:dyDescent="0.2">
      <c r="B422" s="5">
        <v>44805</v>
      </c>
      <c r="C422" s="6" t="s">
        <v>15</v>
      </c>
      <c r="D422" s="7">
        <v>191.770004</v>
      </c>
      <c r="E422" s="7">
        <v>187.70023900000001</v>
      </c>
      <c r="F422" s="7">
        <v>194.770004</v>
      </c>
      <c r="G422" s="7">
        <v>190.729996</v>
      </c>
      <c r="H422" s="8">
        <f t="shared" si="8"/>
        <v>-2.9847695956368617E-2</v>
      </c>
    </row>
    <row r="423" spans="2:8" x14ac:dyDescent="0.2">
      <c r="B423" s="5">
        <v>44806</v>
      </c>
      <c r="C423" s="6" t="s">
        <v>15</v>
      </c>
      <c r="D423" s="7">
        <v>195.41000399999999</v>
      </c>
      <c r="E423" s="7">
        <v>191.26299</v>
      </c>
      <c r="F423" s="7">
        <v>195.46000699999999</v>
      </c>
      <c r="G423" s="7">
        <v>192.41999799999999</v>
      </c>
      <c r="H423" s="8">
        <f t="shared" si="8"/>
        <v>1.8981070678811617E-2</v>
      </c>
    </row>
    <row r="424" spans="2:8" x14ac:dyDescent="0.2">
      <c r="B424" s="5">
        <v>44807</v>
      </c>
      <c r="C424" s="6" t="s">
        <v>15</v>
      </c>
      <c r="D424" s="7">
        <v>195.550003</v>
      </c>
      <c r="E424" s="7">
        <v>191.40001799999999</v>
      </c>
      <c r="F424" s="7">
        <v>198.050003</v>
      </c>
      <c r="G424" s="7">
        <v>194.96000699999999</v>
      </c>
      <c r="H424" s="8">
        <f t="shared" si="8"/>
        <v>7.1643721986729668E-4</v>
      </c>
    </row>
    <row r="425" spans="2:8" x14ac:dyDescent="0.2">
      <c r="B425" s="5">
        <v>44808</v>
      </c>
      <c r="C425" s="6" t="s">
        <v>15</v>
      </c>
      <c r="D425" s="7">
        <v>192.58999600000001</v>
      </c>
      <c r="E425" s="7">
        <v>188.50282899999999</v>
      </c>
      <c r="F425" s="7">
        <v>193.86000100000001</v>
      </c>
      <c r="G425" s="7">
        <v>191.61000100000001</v>
      </c>
      <c r="H425" s="8">
        <f t="shared" si="8"/>
        <v>-1.5136829223162887E-2</v>
      </c>
    </row>
    <row r="426" spans="2:8" x14ac:dyDescent="0.2">
      <c r="B426" s="5">
        <v>44812</v>
      </c>
      <c r="C426" s="6" t="s">
        <v>15</v>
      </c>
      <c r="D426" s="7">
        <v>197.429993</v>
      </c>
      <c r="E426" s="7">
        <v>193.24011100000001</v>
      </c>
      <c r="F426" s="7">
        <v>197.61000100000001</v>
      </c>
      <c r="G426" s="7">
        <v>195.16999799999999</v>
      </c>
      <c r="H426" s="8">
        <f t="shared" si="8"/>
        <v>2.5131092478967505E-2</v>
      </c>
    </row>
    <row r="427" spans="2:8" x14ac:dyDescent="0.2">
      <c r="B427" s="5">
        <v>44813</v>
      </c>
      <c r="C427" s="6" t="s">
        <v>15</v>
      </c>
      <c r="D427" s="7">
        <v>194.78999300000001</v>
      </c>
      <c r="E427" s="7">
        <v>190.656138</v>
      </c>
      <c r="F427" s="7">
        <v>199.470001</v>
      </c>
      <c r="G427" s="7">
        <v>194.35000600000001</v>
      </c>
      <c r="H427" s="8">
        <f t="shared" si="8"/>
        <v>-1.3371828463773416E-2</v>
      </c>
    </row>
    <row r="428" spans="2:8" x14ac:dyDescent="0.2">
      <c r="B428" s="5">
        <v>44814</v>
      </c>
      <c r="C428" s="6" t="s">
        <v>15</v>
      </c>
      <c r="D428" s="7">
        <v>195.85000600000001</v>
      </c>
      <c r="E428" s="7">
        <v>191.69365500000001</v>
      </c>
      <c r="F428" s="7">
        <v>197.220001</v>
      </c>
      <c r="G428" s="7">
        <v>194.25</v>
      </c>
      <c r="H428" s="8">
        <f t="shared" si="8"/>
        <v>5.4418247245380715E-3</v>
      </c>
    </row>
    <row r="429" spans="2:8" x14ac:dyDescent="0.2">
      <c r="B429" s="5">
        <v>44815</v>
      </c>
      <c r="C429" s="6" t="s">
        <v>15</v>
      </c>
      <c r="D429" s="7">
        <v>196.740005</v>
      </c>
      <c r="E429" s="7">
        <v>192.56476699999999</v>
      </c>
      <c r="F429" s="7">
        <v>196.820007</v>
      </c>
      <c r="G429" s="7">
        <v>194.529999</v>
      </c>
      <c r="H429" s="8">
        <f t="shared" si="8"/>
        <v>4.5442888574636492E-3</v>
      </c>
    </row>
    <row r="430" spans="2:8" x14ac:dyDescent="0.2">
      <c r="B430" s="5">
        <v>44818</v>
      </c>
      <c r="C430" s="6" t="s">
        <v>15</v>
      </c>
      <c r="D430" s="7">
        <v>196.009995</v>
      </c>
      <c r="E430" s="7">
        <v>191.85024799999999</v>
      </c>
      <c r="F430" s="7">
        <v>197.009995</v>
      </c>
      <c r="G430" s="7">
        <v>195.429993</v>
      </c>
      <c r="H430" s="8">
        <f t="shared" si="8"/>
        <v>-3.7105315718579603E-3</v>
      </c>
    </row>
    <row r="431" spans="2:8" x14ac:dyDescent="0.2">
      <c r="B431" s="5">
        <v>44819</v>
      </c>
      <c r="C431" s="6" t="s">
        <v>15</v>
      </c>
      <c r="D431" s="7">
        <v>198.449997</v>
      </c>
      <c r="E431" s="7">
        <v>194.23846800000001</v>
      </c>
      <c r="F431" s="7">
        <v>198.990005</v>
      </c>
      <c r="G431" s="7">
        <v>195.96000699999999</v>
      </c>
      <c r="H431" s="8">
        <f t="shared" si="8"/>
        <v>1.2448354993325686E-2</v>
      </c>
    </row>
    <row r="432" spans="2:8" x14ac:dyDescent="0.2">
      <c r="B432" s="5">
        <v>44820</v>
      </c>
      <c r="C432" s="6" t="s">
        <v>15</v>
      </c>
      <c r="D432" s="7">
        <v>200.179993</v>
      </c>
      <c r="E432" s="7">
        <v>195.93174999999999</v>
      </c>
      <c r="F432" s="7">
        <v>200.41000399999999</v>
      </c>
      <c r="G432" s="7">
        <v>198.41000399999999</v>
      </c>
      <c r="H432" s="8">
        <f t="shared" si="8"/>
        <v>8.7175410740872924E-3</v>
      </c>
    </row>
    <row r="433" spans="2:8" x14ac:dyDescent="0.2">
      <c r="B433" s="5">
        <v>44821</v>
      </c>
      <c r="C433" s="6" t="s">
        <v>15</v>
      </c>
      <c r="D433" s="7">
        <v>199.729996</v>
      </c>
      <c r="E433" s="7">
        <v>195.49130299999999</v>
      </c>
      <c r="F433" s="7">
        <v>202.88999899999999</v>
      </c>
      <c r="G433" s="7">
        <v>199.279999</v>
      </c>
      <c r="H433" s="8">
        <f t="shared" si="8"/>
        <v>-2.2479619129569866E-3</v>
      </c>
    </row>
    <row r="434" spans="2:8" x14ac:dyDescent="0.2">
      <c r="B434" s="5">
        <v>44822</v>
      </c>
      <c r="C434" s="6" t="s">
        <v>15</v>
      </c>
      <c r="D434" s="7">
        <v>195.449997</v>
      </c>
      <c r="E434" s="7">
        <v>192.296684</v>
      </c>
      <c r="F434" s="7">
        <v>198.679993</v>
      </c>
      <c r="G434" s="7">
        <v>194.96000699999999</v>
      </c>
      <c r="H434" s="8">
        <f t="shared" si="8"/>
        <v>-2.1428924476621949E-2</v>
      </c>
    </row>
    <row r="435" spans="2:8" x14ac:dyDescent="0.2">
      <c r="B435" s="5">
        <v>44825</v>
      </c>
      <c r="C435" s="6" t="s">
        <v>15</v>
      </c>
      <c r="D435" s="7">
        <v>196.46000699999999</v>
      </c>
      <c r="E435" s="7">
        <v>193.29039800000001</v>
      </c>
      <c r="F435" s="7">
        <v>197.679993</v>
      </c>
      <c r="G435" s="7">
        <v>195.21000699999999</v>
      </c>
      <c r="H435" s="8">
        <f t="shared" si="8"/>
        <v>5.1676132796256531E-3</v>
      </c>
    </row>
    <row r="436" spans="2:8" x14ac:dyDescent="0.2">
      <c r="B436" s="5">
        <v>44826</v>
      </c>
      <c r="C436" s="6" t="s">
        <v>15</v>
      </c>
      <c r="D436" s="7">
        <v>193.89999399999999</v>
      </c>
      <c r="E436" s="7">
        <v>190.77168800000001</v>
      </c>
      <c r="F436" s="7">
        <v>194.46000699999999</v>
      </c>
      <c r="G436" s="7">
        <v>192.55999800000001</v>
      </c>
      <c r="H436" s="8">
        <f t="shared" si="8"/>
        <v>-1.3030708076886091E-2</v>
      </c>
    </row>
    <row r="437" spans="2:8" x14ac:dyDescent="0.2">
      <c r="B437" s="5">
        <v>44827</v>
      </c>
      <c r="C437" s="6" t="s">
        <v>15</v>
      </c>
      <c r="D437" s="7">
        <v>193.60000600000001</v>
      </c>
      <c r="E437" s="7">
        <v>190.47654</v>
      </c>
      <c r="F437" s="7">
        <v>194.66999799999999</v>
      </c>
      <c r="G437" s="7">
        <v>192.91000399999999</v>
      </c>
      <c r="H437" s="8">
        <f t="shared" si="8"/>
        <v>-1.5471274331240301E-3</v>
      </c>
    </row>
    <row r="438" spans="2:8" x14ac:dyDescent="0.2">
      <c r="B438" s="5">
        <v>44828</v>
      </c>
      <c r="C438" s="6" t="s">
        <v>15</v>
      </c>
      <c r="D438" s="7">
        <v>192.89999399999999</v>
      </c>
      <c r="E438" s="7">
        <v>189.78782100000001</v>
      </c>
      <c r="F438" s="7">
        <v>193.449997</v>
      </c>
      <c r="G438" s="7">
        <v>190.55999800000001</v>
      </c>
      <c r="H438" s="8">
        <f t="shared" si="8"/>
        <v>-3.6157643507511829E-3</v>
      </c>
    </row>
    <row r="439" spans="2:8" x14ac:dyDescent="0.2">
      <c r="B439" s="5">
        <v>44829</v>
      </c>
      <c r="C439" s="6" t="s">
        <v>15</v>
      </c>
      <c r="D439" s="7">
        <v>192.86999499999999</v>
      </c>
      <c r="E439" s="7">
        <v>189.758307</v>
      </c>
      <c r="F439" s="7">
        <v>195</v>
      </c>
      <c r="G439" s="7">
        <v>191.80999800000001</v>
      </c>
      <c r="H439" s="8">
        <f t="shared" si="8"/>
        <v>-1.5551581613840621E-4</v>
      </c>
    </row>
    <row r="440" spans="2:8" x14ac:dyDescent="0.2">
      <c r="B440" s="5">
        <v>44832</v>
      </c>
      <c r="C440" s="6" t="s">
        <v>15</v>
      </c>
      <c r="D440" s="7">
        <v>188.009995</v>
      </c>
      <c r="E440" s="7">
        <v>184.97671500000001</v>
      </c>
      <c r="F440" s="7">
        <v>191.91000399999999</v>
      </c>
      <c r="G440" s="7">
        <v>187.63999899999999</v>
      </c>
      <c r="H440" s="8">
        <f t="shared" si="8"/>
        <v>-2.5198320765238705E-2</v>
      </c>
    </row>
    <row r="441" spans="2:8" x14ac:dyDescent="0.2">
      <c r="B441" s="5">
        <v>44833</v>
      </c>
      <c r="C441" s="6" t="s">
        <v>15</v>
      </c>
      <c r="D441" s="7">
        <v>188.11999499999999</v>
      </c>
      <c r="E441" s="7">
        <v>185.08494099999999</v>
      </c>
      <c r="F441" s="7">
        <v>189.740005</v>
      </c>
      <c r="G441" s="7">
        <v>186.929993</v>
      </c>
      <c r="H441" s="8">
        <f t="shared" si="8"/>
        <v>5.8507527751375786E-4</v>
      </c>
    </row>
    <row r="442" spans="2:8" x14ac:dyDescent="0.2">
      <c r="B442" s="5">
        <v>44834</v>
      </c>
      <c r="C442" s="6" t="s">
        <v>15</v>
      </c>
      <c r="D442" s="7">
        <v>191.63000500000001</v>
      </c>
      <c r="E442" s="7">
        <v>188.53832199999999</v>
      </c>
      <c r="F442" s="7">
        <v>191.83000200000001</v>
      </c>
      <c r="G442" s="7">
        <v>189.44000199999999</v>
      </c>
      <c r="H442" s="8">
        <f t="shared" si="8"/>
        <v>1.8658356864192042E-2</v>
      </c>
    </row>
    <row r="443" spans="2:8" x14ac:dyDescent="0.2">
      <c r="B443" s="5">
        <v>44835</v>
      </c>
      <c r="C443" s="6" t="s">
        <v>15</v>
      </c>
      <c r="D443" s="7">
        <v>192.13000500000001</v>
      </c>
      <c r="E443" s="7">
        <v>189.03025500000001</v>
      </c>
      <c r="F443" s="7">
        <v>192.490005</v>
      </c>
      <c r="G443" s="7">
        <v>189.820007</v>
      </c>
      <c r="H443" s="8">
        <f t="shared" si="8"/>
        <v>2.60919473440498E-3</v>
      </c>
    </row>
    <row r="444" spans="2:8" x14ac:dyDescent="0.2">
      <c r="B444" s="5">
        <v>44836</v>
      </c>
      <c r="C444" s="6" t="s">
        <v>15</v>
      </c>
      <c r="D444" s="7">
        <v>195</v>
      </c>
      <c r="E444" s="7">
        <v>191.85394700000001</v>
      </c>
      <c r="F444" s="7">
        <v>195.029999</v>
      </c>
      <c r="G444" s="7">
        <v>189.11999499999999</v>
      </c>
      <c r="H444" s="8">
        <f t="shared" si="8"/>
        <v>1.4937776116749638E-2</v>
      </c>
    </row>
    <row r="445" spans="2:8" x14ac:dyDescent="0.2">
      <c r="B445" s="5">
        <v>44839</v>
      </c>
      <c r="C445" s="6" t="s">
        <v>15</v>
      </c>
      <c r="D445" s="7">
        <v>198.470001</v>
      </c>
      <c r="E445" s="7">
        <v>195.26796400000001</v>
      </c>
      <c r="F445" s="7">
        <v>198.740005</v>
      </c>
      <c r="G445" s="7">
        <v>196.33000200000001</v>
      </c>
      <c r="H445" s="8">
        <f t="shared" si="8"/>
        <v>1.7794876923076904E-2</v>
      </c>
    </row>
    <row r="446" spans="2:8" x14ac:dyDescent="0.2">
      <c r="B446" s="5">
        <v>44840</v>
      </c>
      <c r="C446" s="6" t="s">
        <v>15</v>
      </c>
      <c r="D446" s="7">
        <v>197.78999300000001</v>
      </c>
      <c r="E446" s="7">
        <v>194.598927</v>
      </c>
      <c r="F446" s="7">
        <v>198.979996</v>
      </c>
      <c r="G446" s="7">
        <v>197</v>
      </c>
      <c r="H446" s="8">
        <f t="shared" si="8"/>
        <v>-3.4262508015001553E-3</v>
      </c>
    </row>
    <row r="447" spans="2:8" x14ac:dyDescent="0.2">
      <c r="B447" s="5">
        <v>44841</v>
      </c>
      <c r="C447" s="6" t="s">
        <v>15</v>
      </c>
      <c r="D447" s="7">
        <v>199.41000399999999</v>
      </c>
      <c r="E447" s="7">
        <v>196.192801</v>
      </c>
      <c r="F447" s="7">
        <v>199.83000200000001</v>
      </c>
      <c r="G447" s="7">
        <v>197.479996</v>
      </c>
      <c r="H447" s="8">
        <f t="shared" si="8"/>
        <v>8.1905609855599561E-3</v>
      </c>
    </row>
    <row r="448" spans="2:8" x14ac:dyDescent="0.2">
      <c r="B448" s="5">
        <v>44842</v>
      </c>
      <c r="C448" s="6" t="s">
        <v>15</v>
      </c>
      <c r="D448" s="7">
        <v>201.21000699999999</v>
      </c>
      <c r="E448" s="7">
        <v>197.963764</v>
      </c>
      <c r="F448" s="7">
        <v>201.550003</v>
      </c>
      <c r="G448" s="7">
        <v>198.58999600000001</v>
      </c>
      <c r="H448" s="8">
        <f t="shared" si="8"/>
        <v>9.0266434175489199E-3</v>
      </c>
    </row>
    <row r="449" spans="2:8" x14ac:dyDescent="0.2">
      <c r="B449" s="5">
        <v>44843</v>
      </c>
      <c r="C449" s="6" t="s">
        <v>15</v>
      </c>
      <c r="D449" s="7">
        <v>201.33000200000001</v>
      </c>
      <c r="E449" s="7">
        <v>198.08182300000001</v>
      </c>
      <c r="F449" s="7">
        <v>201.89999399999999</v>
      </c>
      <c r="G449" s="7">
        <v>200.58000200000001</v>
      </c>
      <c r="H449" s="8">
        <f t="shared" si="8"/>
        <v>5.963669590251402E-4</v>
      </c>
    </row>
    <row r="450" spans="2:8" x14ac:dyDescent="0.2">
      <c r="B450" s="5">
        <v>44846</v>
      </c>
      <c r="C450" s="6" t="s">
        <v>15</v>
      </c>
      <c r="D450" s="7">
        <v>201.520004</v>
      </c>
      <c r="E450" s="7">
        <v>198.26875999999999</v>
      </c>
      <c r="F450" s="7">
        <v>201.759995</v>
      </c>
      <c r="G450" s="7">
        <v>200.91000399999999</v>
      </c>
      <c r="H450" s="8">
        <f t="shared" si="8"/>
        <v>9.4373415840920058E-4</v>
      </c>
    </row>
    <row r="451" spans="2:8" x14ac:dyDescent="0.2">
      <c r="B451" s="5">
        <v>44847</v>
      </c>
      <c r="C451" s="6" t="s">
        <v>15</v>
      </c>
      <c r="D451" s="7">
        <v>200.25</v>
      </c>
      <c r="E451" s="7">
        <v>197.01924500000001</v>
      </c>
      <c r="F451" s="7">
        <v>202.16000399999999</v>
      </c>
      <c r="G451" s="7">
        <v>200.050003</v>
      </c>
      <c r="H451" s="8">
        <f t="shared" si="8"/>
        <v>-6.3021237335823006E-3</v>
      </c>
    </row>
    <row r="452" spans="2:8" x14ac:dyDescent="0.2">
      <c r="B452" s="5">
        <v>44848</v>
      </c>
      <c r="C452" s="6" t="s">
        <v>15</v>
      </c>
      <c r="D452" s="7">
        <v>199.28999300000001</v>
      </c>
      <c r="E452" s="7">
        <v>196.074727</v>
      </c>
      <c r="F452" s="7">
        <v>200.86999499999999</v>
      </c>
      <c r="G452" s="7">
        <v>198.94000199999999</v>
      </c>
      <c r="H452" s="8">
        <f t="shared" ref="H452:H515" si="9">(D452-D451)/D451</f>
        <v>-4.7940424469412749E-3</v>
      </c>
    </row>
    <row r="453" spans="2:8" x14ac:dyDescent="0.2">
      <c r="B453" s="5">
        <v>44849</v>
      </c>
      <c r="C453" s="6" t="s">
        <v>15</v>
      </c>
      <c r="D453" s="7">
        <v>202.35000600000001</v>
      </c>
      <c r="E453" s="7">
        <v>199.08537100000001</v>
      </c>
      <c r="F453" s="7">
        <v>202.36000100000001</v>
      </c>
      <c r="G453" s="7">
        <v>199.63999899999999</v>
      </c>
      <c r="H453" s="8">
        <f t="shared" si="9"/>
        <v>1.5354574276090209E-2</v>
      </c>
    </row>
    <row r="454" spans="2:8" x14ac:dyDescent="0.2">
      <c r="B454" s="5">
        <v>44850</v>
      </c>
      <c r="C454" s="6" t="s">
        <v>15</v>
      </c>
      <c r="D454" s="7">
        <v>203.270004</v>
      </c>
      <c r="E454" s="7">
        <v>199.99052599999999</v>
      </c>
      <c r="F454" s="7">
        <v>203.28999300000001</v>
      </c>
      <c r="G454" s="7">
        <v>201.91999799999999</v>
      </c>
      <c r="H454" s="8">
        <f t="shared" si="9"/>
        <v>4.5465676932077408E-3</v>
      </c>
    </row>
    <row r="455" spans="2:8" x14ac:dyDescent="0.2">
      <c r="B455" s="5">
        <v>44853</v>
      </c>
      <c r="C455" s="6" t="s">
        <v>15</v>
      </c>
      <c r="D455" s="7">
        <v>203.36999499999999</v>
      </c>
      <c r="E455" s="7">
        <v>200.08890400000001</v>
      </c>
      <c r="F455" s="7">
        <v>203.36999499999999</v>
      </c>
      <c r="G455" s="7">
        <v>202.13000500000001</v>
      </c>
      <c r="H455" s="8">
        <f t="shared" si="9"/>
        <v>4.919122252783968E-4</v>
      </c>
    </row>
    <row r="456" spans="2:8" x14ac:dyDescent="0.2">
      <c r="B456" s="5">
        <v>44854</v>
      </c>
      <c r="C456" s="6" t="s">
        <v>15</v>
      </c>
      <c r="D456" s="7">
        <v>203.11000100000001</v>
      </c>
      <c r="E456" s="7">
        <v>199.83310399999999</v>
      </c>
      <c r="F456" s="7">
        <v>203.83999600000001</v>
      </c>
      <c r="G456" s="7">
        <v>202.550003</v>
      </c>
      <c r="H456" s="8">
        <f t="shared" si="9"/>
        <v>-1.2784285115411329E-3</v>
      </c>
    </row>
    <row r="457" spans="2:8" x14ac:dyDescent="0.2">
      <c r="B457" s="5">
        <v>44855</v>
      </c>
      <c r="C457" s="6" t="s">
        <v>15</v>
      </c>
      <c r="D457" s="7">
        <v>201.85000600000001</v>
      </c>
      <c r="E457" s="7">
        <v>198.59343799999999</v>
      </c>
      <c r="F457" s="7">
        <v>203.78999300000001</v>
      </c>
      <c r="G457" s="7">
        <v>201.64999399999999</v>
      </c>
      <c r="H457" s="8">
        <f t="shared" si="9"/>
        <v>-6.2035103825340606E-3</v>
      </c>
    </row>
    <row r="458" spans="2:8" x14ac:dyDescent="0.2">
      <c r="B458" s="5">
        <v>44856</v>
      </c>
      <c r="C458" s="6" t="s">
        <v>15</v>
      </c>
      <c r="D458" s="7">
        <v>205.259995</v>
      </c>
      <c r="E458" s="7">
        <v>201.94841099999999</v>
      </c>
      <c r="F458" s="7">
        <v>205.509995</v>
      </c>
      <c r="G458" s="7">
        <v>201.85000600000001</v>
      </c>
      <c r="H458" s="8">
        <f t="shared" si="9"/>
        <v>1.6893677971949111E-2</v>
      </c>
    </row>
    <row r="459" spans="2:8" x14ac:dyDescent="0.2">
      <c r="B459" s="5">
        <v>44857</v>
      </c>
      <c r="C459" s="6" t="s">
        <v>15</v>
      </c>
      <c r="D459" s="7">
        <v>207.509995</v>
      </c>
      <c r="E459" s="7">
        <v>204.16211000000001</v>
      </c>
      <c r="F459" s="7">
        <v>207.949997</v>
      </c>
      <c r="G459" s="7">
        <v>206.300003</v>
      </c>
      <c r="H459" s="8">
        <f t="shared" si="9"/>
        <v>1.0961707370206259E-2</v>
      </c>
    </row>
    <row r="460" spans="2:8" x14ac:dyDescent="0.2">
      <c r="B460" s="5">
        <v>44860</v>
      </c>
      <c r="C460" s="6" t="s">
        <v>15</v>
      </c>
      <c r="D460" s="7">
        <v>207</v>
      </c>
      <c r="E460" s="7">
        <v>203.66034300000001</v>
      </c>
      <c r="F460" s="7">
        <v>207.36999499999999</v>
      </c>
      <c r="G460" s="7">
        <v>206.55999800000001</v>
      </c>
      <c r="H460" s="8">
        <f t="shared" si="9"/>
        <v>-2.4576888453011793E-3</v>
      </c>
    </row>
    <row r="461" spans="2:8" x14ac:dyDescent="0.2">
      <c r="B461" s="5">
        <v>44861</v>
      </c>
      <c r="C461" s="6" t="s">
        <v>15</v>
      </c>
      <c r="D461" s="7">
        <v>206.60000600000001</v>
      </c>
      <c r="E461" s="7">
        <v>203.26680300000001</v>
      </c>
      <c r="F461" s="7">
        <v>207</v>
      </c>
      <c r="G461" s="7">
        <v>205.78999300000001</v>
      </c>
      <c r="H461" s="8">
        <f t="shared" si="9"/>
        <v>-1.9323381642511711E-3</v>
      </c>
    </row>
    <row r="462" spans="2:8" x14ac:dyDescent="0.2">
      <c r="B462" s="5">
        <v>44862</v>
      </c>
      <c r="C462" s="6" t="s">
        <v>15</v>
      </c>
      <c r="D462" s="7">
        <v>208.949997</v>
      </c>
      <c r="E462" s="7">
        <v>205.57888</v>
      </c>
      <c r="F462" s="7">
        <v>208.979996</v>
      </c>
      <c r="G462" s="7">
        <v>206.21000699999999</v>
      </c>
      <c r="H462" s="8">
        <f t="shared" si="9"/>
        <v>1.1374593086894627E-2</v>
      </c>
    </row>
    <row r="463" spans="2:8" x14ac:dyDescent="0.2">
      <c r="B463" s="5">
        <v>44863</v>
      </c>
      <c r="C463" s="6" t="s">
        <v>15</v>
      </c>
      <c r="D463" s="7">
        <v>208.83000200000001</v>
      </c>
      <c r="E463" s="7">
        <v>205.46082100000001</v>
      </c>
      <c r="F463" s="7">
        <v>209.270004</v>
      </c>
      <c r="G463" s="7">
        <v>208.21000699999999</v>
      </c>
      <c r="H463" s="8">
        <f t="shared" si="9"/>
        <v>-5.7427615086296814E-4</v>
      </c>
    </row>
    <row r="464" spans="2:8" x14ac:dyDescent="0.2">
      <c r="B464" s="5">
        <v>44864</v>
      </c>
      <c r="C464" s="6" t="s">
        <v>15</v>
      </c>
      <c r="D464" s="7">
        <v>207.929993</v>
      </c>
      <c r="E464" s="7">
        <v>204.575332</v>
      </c>
      <c r="F464" s="7">
        <v>209.44000199999999</v>
      </c>
      <c r="G464" s="7">
        <v>207.740005</v>
      </c>
      <c r="H464" s="8">
        <f t="shared" si="9"/>
        <v>-4.3097686701167167E-3</v>
      </c>
    </row>
    <row r="465" spans="2:8" x14ac:dyDescent="0.2">
      <c r="B465" s="5">
        <v>44867</v>
      </c>
      <c r="C465" s="6" t="s">
        <v>15</v>
      </c>
      <c r="D465" s="7">
        <v>210.38999899999999</v>
      </c>
      <c r="E465" s="7">
        <v>206.99565000000001</v>
      </c>
      <c r="F465" s="7">
        <v>210.61999499999999</v>
      </c>
      <c r="G465" s="7">
        <v>208.16999799999999</v>
      </c>
      <c r="H465" s="8">
        <f t="shared" si="9"/>
        <v>1.1830933885521715E-2</v>
      </c>
    </row>
    <row r="466" spans="2:8" x14ac:dyDescent="0.2">
      <c r="B466" s="5">
        <v>44868</v>
      </c>
      <c r="C466" s="6" t="s">
        <v>15</v>
      </c>
      <c r="D466" s="7">
        <v>211</v>
      </c>
      <c r="E466" s="7">
        <v>207.595809</v>
      </c>
      <c r="F466" s="7">
        <v>211.66000399999999</v>
      </c>
      <c r="G466" s="7">
        <v>209.699997</v>
      </c>
      <c r="H466" s="8">
        <f t="shared" si="9"/>
        <v>2.8993821136907329E-3</v>
      </c>
    </row>
    <row r="467" spans="2:8" x14ac:dyDescent="0.2">
      <c r="B467" s="5">
        <v>44869</v>
      </c>
      <c r="C467" s="6" t="s">
        <v>15</v>
      </c>
      <c r="D467" s="7">
        <v>210.36000100000001</v>
      </c>
      <c r="E467" s="7">
        <v>206.96613500000001</v>
      </c>
      <c r="F467" s="7">
        <v>211.5</v>
      </c>
      <c r="G467" s="7">
        <v>209.720001</v>
      </c>
      <c r="H467" s="8">
        <f t="shared" si="9"/>
        <v>-3.0331706161136913E-3</v>
      </c>
    </row>
    <row r="468" spans="2:8" x14ac:dyDescent="0.2">
      <c r="B468" s="5">
        <v>44870</v>
      </c>
      <c r="C468" s="6" t="s">
        <v>15</v>
      </c>
      <c r="D468" s="7">
        <v>210.14999399999999</v>
      </c>
      <c r="E468" s="7">
        <v>206.75951699999999</v>
      </c>
      <c r="F468" s="7">
        <v>210.979996</v>
      </c>
      <c r="G468" s="7">
        <v>209.08999600000001</v>
      </c>
      <c r="H468" s="8">
        <f t="shared" si="9"/>
        <v>-9.9832191957452366E-4</v>
      </c>
    </row>
    <row r="469" spans="2:8" x14ac:dyDescent="0.2">
      <c r="B469" s="5">
        <v>44871</v>
      </c>
      <c r="C469" s="6" t="s">
        <v>15</v>
      </c>
      <c r="D469" s="7">
        <v>210.03999300000001</v>
      </c>
      <c r="E469" s="7">
        <v>206.65129099999999</v>
      </c>
      <c r="F469" s="7">
        <v>210.320007</v>
      </c>
      <c r="G469" s="7">
        <v>208.46000699999999</v>
      </c>
      <c r="H469" s="8">
        <f t="shared" si="9"/>
        <v>-5.234404146591729E-4</v>
      </c>
    </row>
    <row r="470" spans="2:8" x14ac:dyDescent="0.2">
      <c r="B470" s="5">
        <v>44874</v>
      </c>
      <c r="C470" s="6" t="s">
        <v>15</v>
      </c>
      <c r="D470" s="7">
        <v>208.08000200000001</v>
      </c>
      <c r="E470" s="7">
        <v>204.72292100000001</v>
      </c>
      <c r="F470" s="7">
        <v>209.490005</v>
      </c>
      <c r="G470" s="7">
        <v>206.949997</v>
      </c>
      <c r="H470" s="8">
        <f t="shared" si="9"/>
        <v>-9.3315133561254794E-3</v>
      </c>
    </row>
    <row r="471" spans="2:8" x14ac:dyDescent="0.2">
      <c r="B471" s="5">
        <v>44875</v>
      </c>
      <c r="C471" s="6" t="s">
        <v>15</v>
      </c>
      <c r="D471" s="7">
        <v>208.55999800000001</v>
      </c>
      <c r="E471" s="7">
        <v>205.19517300000001</v>
      </c>
      <c r="F471" s="7">
        <v>208.60000600000001</v>
      </c>
      <c r="G471" s="7">
        <v>207.19000199999999</v>
      </c>
      <c r="H471" s="8">
        <f t="shared" si="9"/>
        <v>2.306785829423434E-3</v>
      </c>
    </row>
    <row r="472" spans="2:8" x14ac:dyDescent="0.2">
      <c r="B472" s="5">
        <v>44876</v>
      </c>
      <c r="C472" s="6" t="s">
        <v>15</v>
      </c>
      <c r="D472" s="7">
        <v>207.740005</v>
      </c>
      <c r="E472" s="7">
        <v>204.38840999999999</v>
      </c>
      <c r="F472" s="7">
        <v>208.94000199999999</v>
      </c>
      <c r="G472" s="7">
        <v>207.66000399999999</v>
      </c>
      <c r="H472" s="8">
        <f t="shared" si="9"/>
        <v>-3.9316887603729781E-3</v>
      </c>
    </row>
    <row r="473" spans="2:8" x14ac:dyDescent="0.2">
      <c r="B473" s="5">
        <v>44877</v>
      </c>
      <c r="C473" s="6" t="s">
        <v>15</v>
      </c>
      <c r="D473" s="7">
        <v>204.83999600000001</v>
      </c>
      <c r="E473" s="7">
        <v>201.53518800000001</v>
      </c>
      <c r="F473" s="7">
        <v>207.05999800000001</v>
      </c>
      <c r="G473" s="7">
        <v>204.820007</v>
      </c>
      <c r="H473" s="8">
        <f t="shared" si="9"/>
        <v>-1.3959800376436802E-2</v>
      </c>
    </row>
    <row r="474" spans="2:8" x14ac:dyDescent="0.2">
      <c r="B474" s="5">
        <v>44878</v>
      </c>
      <c r="C474" s="6" t="s">
        <v>15</v>
      </c>
      <c r="D474" s="7">
        <v>202.53999300000001</v>
      </c>
      <c r="E474" s="7">
        <v>199.27229299999999</v>
      </c>
      <c r="F474" s="7">
        <v>204.66999799999999</v>
      </c>
      <c r="G474" s="7">
        <v>202.44000199999999</v>
      </c>
      <c r="H474" s="8">
        <f t="shared" si="9"/>
        <v>-1.1228290592233773E-2</v>
      </c>
    </row>
    <row r="475" spans="2:8" x14ac:dyDescent="0.2">
      <c r="B475" s="5">
        <v>44881</v>
      </c>
      <c r="C475" s="6" t="s">
        <v>15</v>
      </c>
      <c r="D475" s="7">
        <v>205.61999499999999</v>
      </c>
      <c r="E475" s="7">
        <v>202.302603</v>
      </c>
      <c r="F475" s="7">
        <v>205.69000199999999</v>
      </c>
      <c r="G475" s="7">
        <v>202.179993</v>
      </c>
      <c r="H475" s="8">
        <f t="shared" si="9"/>
        <v>1.5206883116659232E-2</v>
      </c>
    </row>
    <row r="476" spans="2:8" x14ac:dyDescent="0.2">
      <c r="B476" s="5">
        <v>44882</v>
      </c>
      <c r="C476" s="6" t="s">
        <v>15</v>
      </c>
      <c r="D476" s="7">
        <v>205.470001</v>
      </c>
      <c r="E476" s="7">
        <v>202.15502900000001</v>
      </c>
      <c r="F476" s="7">
        <v>207.03999300000001</v>
      </c>
      <c r="G476" s="7">
        <v>204.88000500000001</v>
      </c>
      <c r="H476" s="8">
        <f t="shared" si="9"/>
        <v>-7.294718589988898E-4</v>
      </c>
    </row>
    <row r="477" spans="2:8" x14ac:dyDescent="0.2">
      <c r="B477" s="5">
        <v>44883</v>
      </c>
      <c r="C477" s="6" t="s">
        <v>15</v>
      </c>
      <c r="D477" s="7">
        <v>208.729996</v>
      </c>
      <c r="E477" s="7">
        <v>205.36242799999999</v>
      </c>
      <c r="F477" s="7">
        <v>208.89999399999999</v>
      </c>
      <c r="G477" s="7">
        <v>205.990005</v>
      </c>
      <c r="H477" s="8">
        <f t="shared" si="9"/>
        <v>1.5866038760568281E-2</v>
      </c>
    </row>
    <row r="478" spans="2:8" x14ac:dyDescent="0.2">
      <c r="B478" s="5">
        <v>44884</v>
      </c>
      <c r="C478" s="6" t="s">
        <v>15</v>
      </c>
      <c r="D478" s="7">
        <v>208.550003</v>
      </c>
      <c r="E478" s="7">
        <v>205.185339</v>
      </c>
      <c r="F478" s="7">
        <v>209.050003</v>
      </c>
      <c r="G478" s="7">
        <v>208.199997</v>
      </c>
      <c r="H478" s="8">
        <f t="shared" si="9"/>
        <v>-8.623245506122468E-4</v>
      </c>
    </row>
    <row r="479" spans="2:8" x14ac:dyDescent="0.2">
      <c r="B479" s="5">
        <v>44885</v>
      </c>
      <c r="C479" s="6" t="s">
        <v>15</v>
      </c>
      <c r="D479" s="7">
        <v>209.30999800000001</v>
      </c>
      <c r="E479" s="7">
        <v>205.93307200000001</v>
      </c>
      <c r="F479" s="7">
        <v>210.11999499999999</v>
      </c>
      <c r="G479" s="7">
        <v>208.86000100000001</v>
      </c>
      <c r="H479" s="8">
        <f t="shared" si="9"/>
        <v>3.6441859940898849E-3</v>
      </c>
    </row>
    <row r="480" spans="2:8" x14ac:dyDescent="0.2">
      <c r="B480" s="5">
        <v>44888</v>
      </c>
      <c r="C480" s="6" t="s">
        <v>15</v>
      </c>
      <c r="D480" s="7">
        <v>209.070007</v>
      </c>
      <c r="E480" s="7">
        <v>205.69695400000001</v>
      </c>
      <c r="F480" s="7">
        <v>209.979996</v>
      </c>
      <c r="G480" s="7">
        <v>208.520004</v>
      </c>
      <c r="H480" s="8">
        <f t="shared" si="9"/>
        <v>-1.1465816362962432E-3</v>
      </c>
    </row>
    <row r="481" spans="2:8" x14ac:dyDescent="0.2">
      <c r="B481" s="5">
        <v>44889</v>
      </c>
      <c r="C481" s="6" t="s">
        <v>15</v>
      </c>
      <c r="D481" s="7">
        <v>209.35000600000001</v>
      </c>
      <c r="E481" s="7">
        <v>205.97243499999999</v>
      </c>
      <c r="F481" s="7">
        <v>209.83000200000001</v>
      </c>
      <c r="G481" s="7">
        <v>207.41000399999999</v>
      </c>
      <c r="H481" s="8">
        <f t="shared" si="9"/>
        <v>1.3392595332911796E-3</v>
      </c>
    </row>
    <row r="482" spans="2:8" x14ac:dyDescent="0.2">
      <c r="B482" s="5">
        <v>44890</v>
      </c>
      <c r="C482" s="6" t="s">
        <v>15</v>
      </c>
      <c r="D482" s="7">
        <v>209.320007</v>
      </c>
      <c r="E482" s="7">
        <v>205.94292100000001</v>
      </c>
      <c r="F482" s="7">
        <v>209.740005</v>
      </c>
      <c r="G482" s="7">
        <v>209.009995</v>
      </c>
      <c r="H482" s="8">
        <f t="shared" si="9"/>
        <v>-1.4329591182339713E-4</v>
      </c>
    </row>
    <row r="483" spans="2:8" x14ac:dyDescent="0.2">
      <c r="B483" s="5">
        <v>44892</v>
      </c>
      <c r="C483" s="6" t="s">
        <v>15</v>
      </c>
      <c r="D483" s="7">
        <v>209.55999800000001</v>
      </c>
      <c r="E483" s="7">
        <v>206.17903899999999</v>
      </c>
      <c r="F483" s="7">
        <v>209.800003</v>
      </c>
      <c r="G483" s="7">
        <v>208.86000100000001</v>
      </c>
      <c r="H483" s="8">
        <f t="shared" si="9"/>
        <v>1.1465268105021772E-3</v>
      </c>
    </row>
    <row r="484" spans="2:8" x14ac:dyDescent="0.2">
      <c r="B484" s="5">
        <v>44895</v>
      </c>
      <c r="C484" s="6" t="s">
        <v>15</v>
      </c>
      <c r="D484" s="7">
        <v>208.69000199999999</v>
      </c>
      <c r="E484" s="7">
        <v>205.32308</v>
      </c>
      <c r="F484" s="7">
        <v>209.88999899999999</v>
      </c>
      <c r="G484" s="7">
        <v>208.55999800000001</v>
      </c>
      <c r="H484" s="8">
        <f t="shared" si="9"/>
        <v>-4.1515365923987775E-3</v>
      </c>
    </row>
    <row r="485" spans="2:8" x14ac:dyDescent="0.2">
      <c r="B485" s="5">
        <v>44896</v>
      </c>
      <c r="C485" s="6" t="s">
        <v>15</v>
      </c>
      <c r="D485" s="7">
        <v>210.679993</v>
      </c>
      <c r="E485" s="7">
        <v>207.28096500000001</v>
      </c>
      <c r="F485" s="7">
        <v>210.820007</v>
      </c>
      <c r="G485" s="7">
        <v>209.11000100000001</v>
      </c>
      <c r="H485" s="8">
        <f t="shared" si="9"/>
        <v>9.5356317069756093E-3</v>
      </c>
    </row>
    <row r="486" spans="2:8" x14ac:dyDescent="0.2">
      <c r="B486" s="5">
        <v>44897</v>
      </c>
      <c r="C486" s="6" t="s">
        <v>15</v>
      </c>
      <c r="D486" s="7">
        <v>208.529999</v>
      </c>
      <c r="E486" s="7">
        <v>205.16565800000001</v>
      </c>
      <c r="F486" s="7">
        <v>211</v>
      </c>
      <c r="G486" s="7">
        <v>208.229996</v>
      </c>
      <c r="H486" s="8">
        <f t="shared" si="9"/>
        <v>-1.0205022173130567E-2</v>
      </c>
    </row>
    <row r="487" spans="2:8" x14ac:dyDescent="0.2">
      <c r="B487" s="5">
        <v>44898</v>
      </c>
      <c r="C487" s="6" t="s">
        <v>15</v>
      </c>
      <c r="D487" s="7">
        <v>205.61000100000001</v>
      </c>
      <c r="E487" s="7">
        <v>202.29276999999999</v>
      </c>
      <c r="F487" s="7">
        <v>209.14999399999999</v>
      </c>
      <c r="G487" s="7">
        <v>204.75</v>
      </c>
      <c r="H487" s="8">
        <f t="shared" si="9"/>
        <v>-1.4002771850586316E-2</v>
      </c>
    </row>
    <row r="488" spans="2:8" x14ac:dyDescent="0.2">
      <c r="B488" s="5">
        <v>44899</v>
      </c>
      <c r="C488" s="6" t="s">
        <v>15</v>
      </c>
      <c r="D488" s="7">
        <v>209.61999499999999</v>
      </c>
      <c r="E488" s="7">
        <v>206.238069</v>
      </c>
      <c r="F488" s="7">
        <v>209.970001</v>
      </c>
      <c r="G488" s="7">
        <v>205.61000100000001</v>
      </c>
      <c r="H488" s="8">
        <f t="shared" si="9"/>
        <v>1.9502913187573873E-2</v>
      </c>
    </row>
    <row r="489" spans="2:8" x14ac:dyDescent="0.2">
      <c r="B489" s="5">
        <v>44902</v>
      </c>
      <c r="C489" s="6" t="s">
        <v>15</v>
      </c>
      <c r="D489" s="7">
        <v>208.35000600000001</v>
      </c>
      <c r="E489" s="7">
        <v>204.98856900000001</v>
      </c>
      <c r="F489" s="7">
        <v>209.729996</v>
      </c>
      <c r="G489" s="7">
        <v>207.199997</v>
      </c>
      <c r="H489" s="8">
        <f t="shared" si="9"/>
        <v>-6.058529864958642E-3</v>
      </c>
    </row>
    <row r="490" spans="2:8" x14ac:dyDescent="0.2">
      <c r="B490" s="5">
        <v>44903</v>
      </c>
      <c r="C490" s="6" t="s">
        <v>15</v>
      </c>
      <c r="D490" s="7">
        <v>206.949997</v>
      </c>
      <c r="E490" s="7">
        <v>203.61114699999999</v>
      </c>
      <c r="F490" s="7">
        <v>208.28999300000001</v>
      </c>
      <c r="G490" s="7">
        <v>205.779999</v>
      </c>
      <c r="H490" s="8">
        <f t="shared" si="9"/>
        <v>-6.7195054460426141E-3</v>
      </c>
    </row>
    <row r="491" spans="2:8" x14ac:dyDescent="0.2">
      <c r="B491" s="5">
        <v>44904</v>
      </c>
      <c r="C491" s="6" t="s">
        <v>15</v>
      </c>
      <c r="D491" s="7">
        <v>205.33999600000001</v>
      </c>
      <c r="E491" s="7">
        <v>202.02712199999999</v>
      </c>
      <c r="F491" s="7">
        <v>208.679993</v>
      </c>
      <c r="G491" s="7">
        <v>204.179993</v>
      </c>
      <c r="H491" s="8">
        <f t="shared" si="9"/>
        <v>-7.7796618668227509E-3</v>
      </c>
    </row>
    <row r="492" spans="2:8" x14ac:dyDescent="0.2">
      <c r="B492" s="5">
        <v>44905</v>
      </c>
      <c r="C492" s="6" t="s">
        <v>15</v>
      </c>
      <c r="D492" s="7">
        <v>205.86999499999999</v>
      </c>
      <c r="E492" s="7">
        <v>202.54857000000001</v>
      </c>
      <c r="F492" s="7">
        <v>207.429993</v>
      </c>
      <c r="G492" s="7">
        <v>205.13999899999999</v>
      </c>
      <c r="H492" s="8">
        <f t="shared" si="9"/>
        <v>2.5810802100141037E-3</v>
      </c>
    </row>
    <row r="493" spans="2:8" x14ac:dyDescent="0.2">
      <c r="B493" s="5">
        <v>44906</v>
      </c>
      <c r="C493" s="6" t="s">
        <v>15</v>
      </c>
      <c r="D493" s="7">
        <v>201.88000500000001</v>
      </c>
      <c r="E493" s="7">
        <v>198.622952</v>
      </c>
      <c r="F493" s="7">
        <v>204.13999899999999</v>
      </c>
      <c r="G493" s="7">
        <v>201.509995</v>
      </c>
      <c r="H493" s="8">
        <f t="shared" si="9"/>
        <v>-1.9381114766141506E-2</v>
      </c>
    </row>
    <row r="494" spans="2:8" x14ac:dyDescent="0.2">
      <c r="B494" s="5">
        <v>44909</v>
      </c>
      <c r="C494" s="6" t="s">
        <v>15</v>
      </c>
      <c r="D494" s="7">
        <v>202.89999399999999</v>
      </c>
      <c r="E494" s="7">
        <v>199.626485</v>
      </c>
      <c r="F494" s="7">
        <v>203.050003</v>
      </c>
      <c r="G494" s="7">
        <v>199.949997</v>
      </c>
      <c r="H494" s="8">
        <f t="shared" si="9"/>
        <v>5.0524518265193281E-3</v>
      </c>
    </row>
    <row r="495" spans="2:8" x14ac:dyDescent="0.2">
      <c r="B495" s="5">
        <v>44910</v>
      </c>
      <c r="C495" s="6" t="s">
        <v>15</v>
      </c>
      <c r="D495" s="7">
        <v>205.029999</v>
      </c>
      <c r="E495" s="7">
        <v>201.72212500000001</v>
      </c>
      <c r="F495" s="7">
        <v>206.11000100000001</v>
      </c>
      <c r="G495" s="7">
        <v>202.86999499999999</v>
      </c>
      <c r="H495" s="8">
        <f t="shared" si="9"/>
        <v>1.0497807111812982E-2</v>
      </c>
    </row>
    <row r="496" spans="2:8" x14ac:dyDescent="0.2">
      <c r="B496" s="5">
        <v>44911</v>
      </c>
      <c r="C496" s="6" t="s">
        <v>15</v>
      </c>
      <c r="D496" s="7">
        <v>208.029999</v>
      </c>
      <c r="E496" s="7">
        <v>204.67372499999999</v>
      </c>
      <c r="F496" s="7">
        <v>208.38999899999999</v>
      </c>
      <c r="G496" s="7">
        <v>204.800003</v>
      </c>
      <c r="H496" s="8">
        <f t="shared" si="9"/>
        <v>1.4632005143793616E-2</v>
      </c>
    </row>
    <row r="497" spans="2:8" x14ac:dyDescent="0.2">
      <c r="B497" s="5">
        <v>44912</v>
      </c>
      <c r="C497" s="6" t="s">
        <v>15</v>
      </c>
      <c r="D497" s="7">
        <v>204.86000100000001</v>
      </c>
      <c r="E497" s="7">
        <v>201.55486999999999</v>
      </c>
      <c r="F497" s="7">
        <v>208.479996</v>
      </c>
      <c r="G497" s="7">
        <v>204.83999600000001</v>
      </c>
      <c r="H497" s="8">
        <f t="shared" si="9"/>
        <v>-1.5238177259232658E-2</v>
      </c>
    </row>
    <row r="498" spans="2:8" x14ac:dyDescent="0.2">
      <c r="B498" s="5">
        <v>44913</v>
      </c>
      <c r="C498" s="6" t="s">
        <v>15</v>
      </c>
      <c r="D498" s="7">
        <v>200.020004</v>
      </c>
      <c r="E498" s="7">
        <v>197.96416600000001</v>
      </c>
      <c r="F498" s="7">
        <v>202.929993</v>
      </c>
      <c r="G498" s="7">
        <v>199.83000200000001</v>
      </c>
      <c r="H498" s="8">
        <f t="shared" si="9"/>
        <v>-2.3625876092815263E-2</v>
      </c>
    </row>
    <row r="499" spans="2:8" x14ac:dyDescent="0.2">
      <c r="B499" s="5">
        <v>44916</v>
      </c>
      <c r="C499" s="6" t="s">
        <v>15</v>
      </c>
      <c r="D499" s="7">
        <v>201.66999799999999</v>
      </c>
      <c r="E499" s="7">
        <v>199.59720100000001</v>
      </c>
      <c r="F499" s="7">
        <v>201.88000500000001</v>
      </c>
      <c r="G499" s="7">
        <v>200.08999600000001</v>
      </c>
      <c r="H499" s="8">
        <f t="shared" si="9"/>
        <v>8.2491449205250103E-3</v>
      </c>
    </row>
    <row r="500" spans="2:8" x14ac:dyDescent="0.2">
      <c r="B500" s="5">
        <v>44917</v>
      </c>
      <c r="C500" s="6" t="s">
        <v>15</v>
      </c>
      <c r="D500" s="7">
        <v>203.5</v>
      </c>
      <c r="E500" s="7">
        <v>201.40839299999999</v>
      </c>
      <c r="F500" s="7">
        <v>203.85000600000001</v>
      </c>
      <c r="G500" s="7">
        <v>201.550003</v>
      </c>
      <c r="H500" s="8">
        <f t="shared" si="9"/>
        <v>9.074240185196052E-3</v>
      </c>
    </row>
    <row r="501" spans="2:8" x14ac:dyDescent="0.2">
      <c r="B501" s="5">
        <v>44918</v>
      </c>
      <c r="C501" s="6" t="s">
        <v>15</v>
      </c>
      <c r="D501" s="7">
        <v>206.020004</v>
      </c>
      <c r="E501" s="7">
        <v>203.90249700000001</v>
      </c>
      <c r="F501" s="7">
        <v>206.070007</v>
      </c>
      <c r="G501" s="7">
        <v>204.58000200000001</v>
      </c>
      <c r="H501" s="8">
        <f t="shared" si="9"/>
        <v>1.238331203931204E-2</v>
      </c>
    </row>
    <row r="502" spans="2:8" x14ac:dyDescent="0.2">
      <c r="B502" s="5">
        <v>44919</v>
      </c>
      <c r="C502" s="6" t="s">
        <v>15</v>
      </c>
      <c r="D502" s="7">
        <v>205.679993</v>
      </c>
      <c r="E502" s="7">
        <v>203.56598</v>
      </c>
      <c r="F502" s="7">
        <v>206.33000200000001</v>
      </c>
      <c r="G502" s="7">
        <v>205.41999799999999</v>
      </c>
      <c r="H502" s="8">
        <f t="shared" si="9"/>
        <v>-1.6503785719759721E-3</v>
      </c>
    </row>
    <row r="503" spans="2:8" x14ac:dyDescent="0.2">
      <c r="B503" s="5">
        <v>44923</v>
      </c>
      <c r="C503" s="6" t="s">
        <v>15</v>
      </c>
      <c r="D503" s="7">
        <v>205.21000699999999</v>
      </c>
      <c r="E503" s="7">
        <v>203.10082399999999</v>
      </c>
      <c r="F503" s="7">
        <v>205.259995</v>
      </c>
      <c r="G503" s="7">
        <v>203.94000199999999</v>
      </c>
      <c r="H503" s="8">
        <f t="shared" si="9"/>
        <v>-2.2850350836019612E-3</v>
      </c>
    </row>
    <row r="504" spans="2:8" x14ac:dyDescent="0.2">
      <c r="B504" s="5">
        <v>44924</v>
      </c>
      <c r="C504" s="6" t="s">
        <v>15</v>
      </c>
      <c r="D504" s="7">
        <v>207.39999399999999</v>
      </c>
      <c r="E504" s="7">
        <v>205.26830200000001</v>
      </c>
      <c r="F504" s="7">
        <v>207.78999300000001</v>
      </c>
      <c r="G504" s="7">
        <v>206.470001</v>
      </c>
      <c r="H504" s="8">
        <f t="shared" si="9"/>
        <v>1.0671930828402546E-2</v>
      </c>
    </row>
    <row r="505" spans="2:8" x14ac:dyDescent="0.2">
      <c r="B505" s="5">
        <v>44925</v>
      </c>
      <c r="C505" s="6" t="s">
        <v>15</v>
      </c>
      <c r="D505" s="7">
        <v>205.929993</v>
      </c>
      <c r="E505" s="7">
        <v>203.81341</v>
      </c>
      <c r="F505" s="7">
        <v>207.21000699999999</v>
      </c>
      <c r="G505" s="7">
        <v>205.759995</v>
      </c>
      <c r="H505" s="8">
        <f t="shared" si="9"/>
        <v>-7.0877581606872972E-3</v>
      </c>
    </row>
    <row r="506" spans="2:8" x14ac:dyDescent="0.2">
      <c r="B506" s="5">
        <v>44926</v>
      </c>
      <c r="C506" s="6" t="s">
        <v>15</v>
      </c>
      <c r="D506" s="7">
        <v>203.86999499999999</v>
      </c>
      <c r="E506" s="7">
        <v>201.774586</v>
      </c>
      <c r="F506" s="7">
        <v>205.88999899999999</v>
      </c>
      <c r="G506" s="7">
        <v>203.86999499999999</v>
      </c>
      <c r="H506" s="8">
        <f t="shared" si="9"/>
        <v>-1.0003389841323441E-2</v>
      </c>
    </row>
    <row r="507" spans="2:8" x14ac:dyDescent="0.2">
      <c r="B507" s="5">
        <v>44198</v>
      </c>
      <c r="C507" s="6" t="s">
        <v>16</v>
      </c>
      <c r="D507" s="7">
        <v>19.23</v>
      </c>
      <c r="E507" s="7">
        <v>19.23</v>
      </c>
      <c r="F507" s="7">
        <v>19.469999000000001</v>
      </c>
      <c r="G507" s="7">
        <v>19.219999000000001</v>
      </c>
      <c r="H507" s="8">
        <f t="shared" si="9"/>
        <v>-0.90567518285366122</v>
      </c>
    </row>
    <row r="508" spans="2:8" x14ac:dyDescent="0.2">
      <c r="B508" s="5">
        <v>44199</v>
      </c>
      <c r="C508" s="6" t="s">
        <v>16</v>
      </c>
      <c r="D508" s="7">
        <v>19.420000000000002</v>
      </c>
      <c r="E508" s="7">
        <v>19.420000000000002</v>
      </c>
      <c r="F508" s="7">
        <v>19.48</v>
      </c>
      <c r="G508" s="7">
        <v>19.32</v>
      </c>
      <c r="H508" s="8">
        <f t="shared" si="9"/>
        <v>9.8803952158086992E-3</v>
      </c>
    </row>
    <row r="509" spans="2:8" x14ac:dyDescent="0.2">
      <c r="B509" s="5">
        <v>44202</v>
      </c>
      <c r="C509" s="6" t="s">
        <v>16</v>
      </c>
      <c r="D509" s="7">
        <v>19.420000000000002</v>
      </c>
      <c r="E509" s="7">
        <v>19.420000000000002</v>
      </c>
      <c r="F509" s="7">
        <v>19.59</v>
      </c>
      <c r="G509" s="7">
        <v>19.25</v>
      </c>
      <c r="H509" s="8">
        <f t="shared" si="9"/>
        <v>0</v>
      </c>
    </row>
    <row r="510" spans="2:8" x14ac:dyDescent="0.2">
      <c r="B510" s="5">
        <v>44203</v>
      </c>
      <c r="C510" s="6" t="s">
        <v>16</v>
      </c>
      <c r="D510" s="7">
        <v>19.129999000000002</v>
      </c>
      <c r="E510" s="7">
        <v>19.129999000000002</v>
      </c>
      <c r="F510" s="7">
        <v>19.149999999999999</v>
      </c>
      <c r="G510" s="7">
        <v>18.899999999999999</v>
      </c>
      <c r="H510" s="8">
        <f t="shared" si="9"/>
        <v>-1.493311019567457E-2</v>
      </c>
    </row>
    <row r="511" spans="2:8" x14ac:dyDescent="0.2">
      <c r="B511" s="5">
        <v>44204</v>
      </c>
      <c r="C511" s="6" t="s">
        <v>16</v>
      </c>
      <c r="D511" s="7">
        <v>18.829999999999998</v>
      </c>
      <c r="E511" s="7">
        <v>18.829999999999998</v>
      </c>
      <c r="F511" s="7">
        <v>18.870000999999998</v>
      </c>
      <c r="G511" s="7">
        <v>18.610001</v>
      </c>
      <c r="H511" s="8">
        <f t="shared" si="9"/>
        <v>-1.5682123140727984E-2</v>
      </c>
    </row>
    <row r="512" spans="2:8" x14ac:dyDescent="0.2">
      <c r="B512" s="5">
        <v>44205</v>
      </c>
      <c r="C512" s="6" t="s">
        <v>16</v>
      </c>
      <c r="D512" s="7">
        <v>18.84</v>
      </c>
      <c r="E512" s="7">
        <v>18.84</v>
      </c>
      <c r="F512" s="7">
        <v>18.989999999999998</v>
      </c>
      <c r="G512" s="7">
        <v>18.68</v>
      </c>
      <c r="H512" s="8">
        <f t="shared" si="9"/>
        <v>5.3106744556566995E-4</v>
      </c>
    </row>
    <row r="513" spans="2:8" x14ac:dyDescent="0.2">
      <c r="B513" s="5">
        <v>44206</v>
      </c>
      <c r="C513" s="6" t="s">
        <v>16</v>
      </c>
      <c r="D513" s="7">
        <v>19.379999000000002</v>
      </c>
      <c r="E513" s="7">
        <v>19.379999000000002</v>
      </c>
      <c r="F513" s="7">
        <v>19.489999999999998</v>
      </c>
      <c r="G513" s="7">
        <v>19.25</v>
      </c>
      <c r="H513" s="8">
        <f t="shared" si="9"/>
        <v>2.866236730360943E-2</v>
      </c>
    </row>
    <row r="514" spans="2:8" x14ac:dyDescent="0.2">
      <c r="B514" s="5">
        <v>44209</v>
      </c>
      <c r="C514" s="6" t="s">
        <v>16</v>
      </c>
      <c r="D514" s="7">
        <v>19.68</v>
      </c>
      <c r="E514" s="7">
        <v>19.68</v>
      </c>
      <c r="F514" s="7">
        <v>19.700001</v>
      </c>
      <c r="G514" s="7">
        <v>19.290001</v>
      </c>
      <c r="H514" s="8">
        <f t="shared" si="9"/>
        <v>1.5479928559335745E-2</v>
      </c>
    </row>
    <row r="515" spans="2:8" x14ac:dyDescent="0.2">
      <c r="B515" s="5">
        <v>44210</v>
      </c>
      <c r="C515" s="6" t="s">
        <v>16</v>
      </c>
      <c r="D515" s="7">
        <v>19.420000000000002</v>
      </c>
      <c r="E515" s="7">
        <v>19.420000000000002</v>
      </c>
      <c r="F515" s="7">
        <v>19.84</v>
      </c>
      <c r="G515" s="7">
        <v>19.389999</v>
      </c>
      <c r="H515" s="8">
        <f t="shared" si="9"/>
        <v>-1.3211382113821037E-2</v>
      </c>
    </row>
    <row r="516" spans="2:8" x14ac:dyDescent="0.2">
      <c r="B516" s="5">
        <v>44211</v>
      </c>
      <c r="C516" s="6" t="s">
        <v>16</v>
      </c>
      <c r="D516" s="7">
        <v>19.399999999999999</v>
      </c>
      <c r="E516" s="7">
        <v>19.399999999999999</v>
      </c>
      <c r="F516" s="7">
        <v>19.459999</v>
      </c>
      <c r="G516" s="7">
        <v>19.239999999999998</v>
      </c>
      <c r="H516" s="8">
        <f t="shared" ref="H516:H579" si="10">(D516-D515)/D515</f>
        <v>-1.0298661174048982E-3</v>
      </c>
    </row>
    <row r="517" spans="2:8" x14ac:dyDescent="0.2">
      <c r="B517" s="5">
        <v>44212</v>
      </c>
      <c r="C517" s="6" t="s">
        <v>16</v>
      </c>
      <c r="D517" s="7">
        <v>19.350000000000001</v>
      </c>
      <c r="E517" s="7">
        <v>19.350000000000001</v>
      </c>
      <c r="F517" s="7">
        <v>19.440000999999999</v>
      </c>
      <c r="G517" s="7">
        <v>19.290001</v>
      </c>
      <c r="H517" s="8">
        <f t="shared" si="10"/>
        <v>-2.5773195876287198E-3</v>
      </c>
    </row>
    <row r="518" spans="2:8" x14ac:dyDescent="0.2">
      <c r="B518" s="5">
        <v>44213</v>
      </c>
      <c r="C518" s="6" t="s">
        <v>16</v>
      </c>
      <c r="D518" s="7">
        <v>19.510000000000002</v>
      </c>
      <c r="E518" s="7">
        <v>19.510000000000002</v>
      </c>
      <c r="F518" s="7">
        <v>19.66</v>
      </c>
      <c r="G518" s="7">
        <v>19.48</v>
      </c>
      <c r="H518" s="8">
        <f t="shared" si="10"/>
        <v>8.2687338501292052E-3</v>
      </c>
    </row>
    <row r="519" spans="2:8" x14ac:dyDescent="0.2">
      <c r="B519" s="5">
        <v>44217</v>
      </c>
      <c r="C519" s="6" t="s">
        <v>16</v>
      </c>
      <c r="D519" s="7">
        <v>19.170000000000002</v>
      </c>
      <c r="E519" s="7">
        <v>19.170000000000002</v>
      </c>
      <c r="F519" s="7">
        <v>19.200001</v>
      </c>
      <c r="G519" s="7">
        <v>19.02</v>
      </c>
      <c r="H519" s="8">
        <f t="shared" si="10"/>
        <v>-1.7426960533059959E-2</v>
      </c>
    </row>
    <row r="520" spans="2:8" x14ac:dyDescent="0.2">
      <c r="B520" s="5">
        <v>44218</v>
      </c>
      <c r="C520" s="6" t="s">
        <v>16</v>
      </c>
      <c r="D520" s="7">
        <v>19.030000999999999</v>
      </c>
      <c r="E520" s="7">
        <v>19.030000999999999</v>
      </c>
      <c r="F520" s="7">
        <v>19.18</v>
      </c>
      <c r="G520" s="7">
        <v>19.02</v>
      </c>
      <c r="H520" s="8">
        <f t="shared" si="10"/>
        <v>-7.3030255607722007E-3</v>
      </c>
    </row>
    <row r="521" spans="2:8" x14ac:dyDescent="0.2">
      <c r="B521" s="5">
        <v>44219</v>
      </c>
      <c r="C521" s="6" t="s">
        <v>16</v>
      </c>
      <c r="D521" s="7">
        <v>19.260000000000002</v>
      </c>
      <c r="E521" s="7">
        <v>19.260000000000002</v>
      </c>
      <c r="F521" s="7">
        <v>19.549999</v>
      </c>
      <c r="G521" s="7">
        <v>19.23</v>
      </c>
      <c r="H521" s="8">
        <f t="shared" si="10"/>
        <v>1.2086126532521094E-2</v>
      </c>
    </row>
    <row r="522" spans="2:8" x14ac:dyDescent="0.2">
      <c r="B522" s="5">
        <v>44220</v>
      </c>
      <c r="C522" s="6" t="s">
        <v>16</v>
      </c>
      <c r="D522" s="7">
        <v>19.16</v>
      </c>
      <c r="E522" s="7">
        <v>19.16</v>
      </c>
      <c r="F522" s="7">
        <v>19.459999</v>
      </c>
      <c r="G522" s="7">
        <v>18.989999999999998</v>
      </c>
      <c r="H522" s="8">
        <f t="shared" si="10"/>
        <v>-5.1921079958463867E-3</v>
      </c>
    </row>
    <row r="523" spans="2:8" x14ac:dyDescent="0.2">
      <c r="B523" s="5">
        <v>44223</v>
      </c>
      <c r="C523" s="6" t="s">
        <v>16</v>
      </c>
      <c r="D523" s="7">
        <v>18.889999</v>
      </c>
      <c r="E523" s="7">
        <v>18.889999</v>
      </c>
      <c r="F523" s="7">
        <v>19.149999999999999</v>
      </c>
      <c r="G523" s="7">
        <v>18.829999999999998</v>
      </c>
      <c r="H523" s="8">
        <f t="shared" si="10"/>
        <v>-1.4091910229645125E-2</v>
      </c>
    </row>
    <row r="524" spans="2:8" x14ac:dyDescent="0.2">
      <c r="B524" s="5">
        <v>44224</v>
      </c>
      <c r="C524" s="6" t="s">
        <v>16</v>
      </c>
      <c r="D524" s="7">
        <v>18.850000000000001</v>
      </c>
      <c r="E524" s="7">
        <v>18.850000000000001</v>
      </c>
      <c r="F524" s="7">
        <v>18.989999999999998</v>
      </c>
      <c r="G524" s="7">
        <v>18.739999999999998</v>
      </c>
      <c r="H524" s="8">
        <f t="shared" si="10"/>
        <v>-2.1174696727087237E-3</v>
      </c>
    </row>
    <row r="525" spans="2:8" x14ac:dyDescent="0.2">
      <c r="B525" s="5">
        <v>44225</v>
      </c>
      <c r="C525" s="6" t="s">
        <v>16</v>
      </c>
      <c r="D525" s="7">
        <v>19.02</v>
      </c>
      <c r="E525" s="7">
        <v>19.02</v>
      </c>
      <c r="F525" s="7">
        <v>19.18</v>
      </c>
      <c r="G525" s="7">
        <v>18.760000000000002</v>
      </c>
      <c r="H525" s="8">
        <f t="shared" si="10"/>
        <v>9.0185676392571957E-3</v>
      </c>
    </row>
    <row r="526" spans="2:8" x14ac:dyDescent="0.2">
      <c r="B526" s="5">
        <v>44226</v>
      </c>
      <c r="C526" s="6" t="s">
        <v>16</v>
      </c>
      <c r="D526" s="7">
        <v>18.489999999999998</v>
      </c>
      <c r="E526" s="7">
        <v>18.489999999999998</v>
      </c>
      <c r="F526" s="7">
        <v>18.540001</v>
      </c>
      <c r="G526" s="7">
        <v>18.389999</v>
      </c>
      <c r="H526" s="8">
        <f t="shared" si="10"/>
        <v>-2.7865404837013729E-2</v>
      </c>
    </row>
    <row r="527" spans="2:8" x14ac:dyDescent="0.2">
      <c r="B527" s="5">
        <v>44227</v>
      </c>
      <c r="C527" s="6" t="s">
        <v>16</v>
      </c>
      <c r="D527" s="7">
        <v>18.450001</v>
      </c>
      <c r="E527" s="7">
        <v>18.450001</v>
      </c>
      <c r="F527" s="7">
        <v>18.670000000000002</v>
      </c>
      <c r="G527" s="7">
        <v>18.389999</v>
      </c>
      <c r="H527" s="8">
        <f t="shared" si="10"/>
        <v>-2.1632774472686925E-3</v>
      </c>
    </row>
    <row r="528" spans="2:8" x14ac:dyDescent="0.2">
      <c r="B528" s="5">
        <v>44230</v>
      </c>
      <c r="C528" s="6" t="s">
        <v>16</v>
      </c>
      <c r="D528" s="7">
        <v>18.610001</v>
      </c>
      <c r="E528" s="7">
        <v>18.610001</v>
      </c>
      <c r="F528" s="7">
        <v>18.899999999999999</v>
      </c>
      <c r="G528" s="7">
        <v>18.579999999999998</v>
      </c>
      <c r="H528" s="8">
        <f t="shared" si="10"/>
        <v>8.6720862508354417E-3</v>
      </c>
    </row>
    <row r="529" spans="2:8" x14ac:dyDescent="0.2">
      <c r="B529" s="5">
        <v>44231</v>
      </c>
      <c r="C529" s="6" t="s">
        <v>16</v>
      </c>
      <c r="D529" s="7">
        <v>18.75</v>
      </c>
      <c r="E529" s="7">
        <v>18.75</v>
      </c>
      <c r="F529" s="7">
        <v>18.790001</v>
      </c>
      <c r="G529" s="7">
        <v>18.579999999999998</v>
      </c>
      <c r="H529" s="8">
        <f t="shared" si="10"/>
        <v>7.5227830455247982E-3</v>
      </c>
    </row>
    <row r="530" spans="2:8" x14ac:dyDescent="0.2">
      <c r="B530" s="5">
        <v>44232</v>
      </c>
      <c r="C530" s="6" t="s">
        <v>16</v>
      </c>
      <c r="D530" s="7">
        <v>19.07</v>
      </c>
      <c r="E530" s="7">
        <v>19.07</v>
      </c>
      <c r="F530" s="7">
        <v>19.209999</v>
      </c>
      <c r="G530" s="7">
        <v>19</v>
      </c>
      <c r="H530" s="8">
        <f t="shared" si="10"/>
        <v>1.7066666666666681E-2</v>
      </c>
    </row>
    <row r="531" spans="2:8" x14ac:dyDescent="0.2">
      <c r="B531" s="5">
        <v>44233</v>
      </c>
      <c r="C531" s="6" t="s">
        <v>16</v>
      </c>
      <c r="D531" s="7">
        <v>19.170000000000002</v>
      </c>
      <c r="E531" s="7">
        <v>19.170000000000002</v>
      </c>
      <c r="F531" s="7">
        <v>19.290001</v>
      </c>
      <c r="G531" s="7">
        <v>19.100000000000001</v>
      </c>
      <c r="H531" s="8">
        <f t="shared" si="10"/>
        <v>5.2438384897745896E-3</v>
      </c>
    </row>
    <row r="532" spans="2:8" x14ac:dyDescent="0.2">
      <c r="B532" s="5">
        <v>44234</v>
      </c>
      <c r="C532" s="6" t="s">
        <v>16</v>
      </c>
      <c r="D532" s="7">
        <v>19.27</v>
      </c>
      <c r="E532" s="7">
        <v>19.27</v>
      </c>
      <c r="F532" s="7">
        <v>19.280000999999999</v>
      </c>
      <c r="G532" s="7">
        <v>19.07</v>
      </c>
      <c r="H532" s="8">
        <f t="shared" si="10"/>
        <v>5.2164840897234149E-3</v>
      </c>
    </row>
    <row r="533" spans="2:8" x14ac:dyDescent="0.2">
      <c r="B533" s="5">
        <v>44237</v>
      </c>
      <c r="C533" s="6" t="s">
        <v>16</v>
      </c>
      <c r="D533" s="7">
        <v>19.290001</v>
      </c>
      <c r="E533" s="7">
        <v>19.290001</v>
      </c>
      <c r="F533" s="7">
        <v>19.510000000000002</v>
      </c>
      <c r="G533" s="7">
        <v>19.280000999999999</v>
      </c>
      <c r="H533" s="8">
        <f t="shared" si="10"/>
        <v>1.0379346133887184E-3</v>
      </c>
    </row>
    <row r="534" spans="2:8" x14ac:dyDescent="0.2">
      <c r="B534" s="5">
        <v>44238</v>
      </c>
      <c r="C534" s="6" t="s">
        <v>16</v>
      </c>
      <c r="D534" s="7">
        <v>19.450001</v>
      </c>
      <c r="E534" s="7">
        <v>19.450001</v>
      </c>
      <c r="F534" s="7">
        <v>19.540001</v>
      </c>
      <c r="G534" s="7">
        <v>19.25</v>
      </c>
      <c r="H534" s="8">
        <f t="shared" si="10"/>
        <v>8.2944526545125699E-3</v>
      </c>
    </row>
    <row r="535" spans="2:8" x14ac:dyDescent="0.2">
      <c r="B535" s="5">
        <v>44239</v>
      </c>
      <c r="C535" s="6" t="s">
        <v>16</v>
      </c>
      <c r="D535" s="7">
        <v>19.43</v>
      </c>
      <c r="E535" s="7">
        <v>19.43</v>
      </c>
      <c r="F535" s="7">
        <v>19.629999000000002</v>
      </c>
      <c r="G535" s="7">
        <v>19.420000000000002</v>
      </c>
      <c r="H535" s="8">
        <f t="shared" si="10"/>
        <v>-1.0283289959728331E-3</v>
      </c>
    </row>
    <row r="536" spans="2:8" x14ac:dyDescent="0.2">
      <c r="B536" s="5">
        <v>44240</v>
      </c>
      <c r="C536" s="6" t="s">
        <v>16</v>
      </c>
      <c r="D536" s="7">
        <v>19.739999999999998</v>
      </c>
      <c r="E536" s="7">
        <v>19.739999999999998</v>
      </c>
      <c r="F536" s="7">
        <v>19.760000000000002</v>
      </c>
      <c r="G536" s="7">
        <v>19.469999000000001</v>
      </c>
      <c r="H536" s="8">
        <f t="shared" si="10"/>
        <v>1.5954709212557833E-2</v>
      </c>
    </row>
    <row r="537" spans="2:8" x14ac:dyDescent="0.2">
      <c r="B537" s="5">
        <v>44241</v>
      </c>
      <c r="C537" s="6" t="s">
        <v>16</v>
      </c>
      <c r="D537" s="7">
        <v>20.65</v>
      </c>
      <c r="E537" s="7">
        <v>20.65</v>
      </c>
      <c r="F537" s="7">
        <v>20.65</v>
      </c>
      <c r="G537" s="7">
        <v>20.34</v>
      </c>
      <c r="H537" s="8">
        <f t="shared" si="10"/>
        <v>4.6099290780141855E-2</v>
      </c>
    </row>
    <row r="538" spans="2:8" x14ac:dyDescent="0.2">
      <c r="B538" s="5">
        <v>44245</v>
      </c>
      <c r="C538" s="6" t="s">
        <v>16</v>
      </c>
      <c r="D538" s="7">
        <v>21.129999000000002</v>
      </c>
      <c r="E538" s="7">
        <v>21.129999000000002</v>
      </c>
      <c r="F538" s="7">
        <v>21.129999000000002</v>
      </c>
      <c r="G538" s="7">
        <v>20.780000999999999</v>
      </c>
      <c r="H538" s="8">
        <f t="shared" si="10"/>
        <v>2.3244503631961403E-2</v>
      </c>
    </row>
    <row r="539" spans="2:8" x14ac:dyDescent="0.2">
      <c r="B539" s="5">
        <v>44246</v>
      </c>
      <c r="C539" s="6" t="s">
        <v>16</v>
      </c>
      <c r="D539" s="7">
        <v>20.629999000000002</v>
      </c>
      <c r="E539" s="7">
        <v>20.629999000000002</v>
      </c>
      <c r="F539" s="7">
        <v>21.049999</v>
      </c>
      <c r="G539" s="7">
        <v>20.559999000000001</v>
      </c>
      <c r="H539" s="8">
        <f t="shared" si="10"/>
        <v>-2.366303945400092E-2</v>
      </c>
    </row>
    <row r="540" spans="2:8" x14ac:dyDescent="0.2">
      <c r="B540" s="5">
        <v>44247</v>
      </c>
      <c r="C540" s="6" t="s">
        <v>16</v>
      </c>
      <c r="D540" s="7">
        <v>21</v>
      </c>
      <c r="E540" s="7">
        <v>21</v>
      </c>
      <c r="F540" s="7">
        <v>21.08</v>
      </c>
      <c r="G540" s="7">
        <v>20.790001</v>
      </c>
      <c r="H540" s="8">
        <f t="shared" si="10"/>
        <v>1.7935095391909541E-2</v>
      </c>
    </row>
    <row r="541" spans="2:8" x14ac:dyDescent="0.2">
      <c r="B541" s="5">
        <v>44248</v>
      </c>
      <c r="C541" s="6" t="s">
        <v>16</v>
      </c>
      <c r="D541" s="7">
        <v>20.969999000000001</v>
      </c>
      <c r="E541" s="7">
        <v>20.969999000000001</v>
      </c>
      <c r="F541" s="7">
        <v>21.139999</v>
      </c>
      <c r="G541" s="7">
        <v>20.84</v>
      </c>
      <c r="H541" s="8">
        <f t="shared" si="10"/>
        <v>-1.4286190476189816E-3</v>
      </c>
    </row>
    <row r="542" spans="2:8" x14ac:dyDescent="0.2">
      <c r="B542" s="5">
        <v>44251</v>
      </c>
      <c r="C542" s="6" t="s">
        <v>16</v>
      </c>
      <c r="D542" s="7">
        <v>21.18</v>
      </c>
      <c r="E542" s="7">
        <v>21.18</v>
      </c>
      <c r="F542" s="7">
        <v>21.299999</v>
      </c>
      <c r="G542" s="7">
        <v>21.15</v>
      </c>
      <c r="H542" s="8">
        <f t="shared" si="10"/>
        <v>1.0014354316373516E-2</v>
      </c>
    </row>
    <row r="543" spans="2:8" x14ac:dyDescent="0.2">
      <c r="B543" s="5">
        <v>44252</v>
      </c>
      <c r="C543" s="6" t="s">
        <v>16</v>
      </c>
      <c r="D543" s="7">
        <v>21.02</v>
      </c>
      <c r="E543" s="7">
        <v>21.02</v>
      </c>
      <c r="F543" s="7">
        <v>21.17</v>
      </c>
      <c r="G543" s="7">
        <v>20.93</v>
      </c>
      <c r="H543" s="8">
        <f t="shared" si="10"/>
        <v>-7.5542965061378723E-3</v>
      </c>
    </row>
    <row r="544" spans="2:8" x14ac:dyDescent="0.2">
      <c r="B544" s="5">
        <v>44253</v>
      </c>
      <c r="C544" s="6" t="s">
        <v>16</v>
      </c>
      <c r="D544" s="7">
        <v>20.420000000000002</v>
      </c>
      <c r="E544" s="7">
        <v>20.420000000000002</v>
      </c>
      <c r="F544" s="7">
        <v>20.780000999999999</v>
      </c>
      <c r="G544" s="7">
        <v>20.290001</v>
      </c>
      <c r="H544" s="8">
        <f t="shared" si="10"/>
        <v>-2.8544243577545095E-2</v>
      </c>
    </row>
    <row r="545" spans="2:8" x14ac:dyDescent="0.2">
      <c r="B545" s="5">
        <v>44254</v>
      </c>
      <c r="C545" s="6" t="s">
        <v>16</v>
      </c>
      <c r="D545" s="7">
        <v>20.459999</v>
      </c>
      <c r="E545" s="7">
        <v>20.459999</v>
      </c>
      <c r="F545" s="7">
        <v>20.620000999999998</v>
      </c>
      <c r="G545" s="7">
        <v>20.370000999999998</v>
      </c>
      <c r="H545" s="8">
        <f t="shared" si="10"/>
        <v>1.9588148873652357E-3</v>
      </c>
    </row>
    <row r="546" spans="2:8" x14ac:dyDescent="0.2">
      <c r="B546" s="5">
        <v>44255</v>
      </c>
      <c r="C546" s="6" t="s">
        <v>16</v>
      </c>
      <c r="D546" s="7">
        <v>20.350000000000001</v>
      </c>
      <c r="E546" s="7">
        <v>20.350000000000001</v>
      </c>
      <c r="F546" s="7">
        <v>20.540001</v>
      </c>
      <c r="G546" s="7">
        <v>20.280000999999999</v>
      </c>
      <c r="H546" s="8">
        <f t="shared" si="10"/>
        <v>-5.3762954729371397E-3</v>
      </c>
    </row>
    <row r="547" spans="2:8" x14ac:dyDescent="0.2">
      <c r="B547" s="5">
        <v>44258</v>
      </c>
      <c r="C547" s="6" t="s">
        <v>16</v>
      </c>
      <c r="D547" s="7">
        <v>20.620000999999998</v>
      </c>
      <c r="E547" s="7">
        <v>20.620000999999998</v>
      </c>
      <c r="F547" s="7">
        <v>20.83</v>
      </c>
      <c r="G547" s="7">
        <v>20.58</v>
      </c>
      <c r="H547" s="8">
        <f t="shared" si="10"/>
        <v>1.3267862407862261E-2</v>
      </c>
    </row>
    <row r="548" spans="2:8" x14ac:dyDescent="0.2">
      <c r="B548" s="5">
        <v>44259</v>
      </c>
      <c r="C548" s="6" t="s">
        <v>16</v>
      </c>
      <c r="D548" s="7">
        <v>20.370000999999998</v>
      </c>
      <c r="E548" s="7">
        <v>20.370000999999998</v>
      </c>
      <c r="F548" s="7">
        <v>20.469999000000001</v>
      </c>
      <c r="G548" s="7">
        <v>20.219999000000001</v>
      </c>
      <c r="H548" s="8">
        <f t="shared" si="10"/>
        <v>-1.2124150721428192E-2</v>
      </c>
    </row>
    <row r="549" spans="2:8" x14ac:dyDescent="0.2">
      <c r="B549" s="5">
        <v>44260</v>
      </c>
      <c r="C549" s="6" t="s">
        <v>16</v>
      </c>
      <c r="D549" s="7">
        <v>20.360001</v>
      </c>
      <c r="E549" s="7">
        <v>20.360001</v>
      </c>
      <c r="F549" s="7">
        <v>20.5</v>
      </c>
      <c r="G549" s="7">
        <v>20.34</v>
      </c>
      <c r="H549" s="8">
        <f t="shared" si="10"/>
        <v>-4.909179925910662E-4</v>
      </c>
    </row>
    <row r="550" spans="2:8" x14ac:dyDescent="0.2">
      <c r="B550" s="5">
        <v>44261</v>
      </c>
      <c r="C550" s="6" t="s">
        <v>16</v>
      </c>
      <c r="D550" s="7">
        <v>20.66</v>
      </c>
      <c r="E550" s="7">
        <v>20.66</v>
      </c>
      <c r="F550" s="7">
        <v>20.809999000000001</v>
      </c>
      <c r="G550" s="7">
        <v>20.5</v>
      </c>
      <c r="H550" s="8">
        <f t="shared" si="10"/>
        <v>1.4734724227174629E-2</v>
      </c>
    </row>
    <row r="551" spans="2:8" x14ac:dyDescent="0.2">
      <c r="B551" s="5">
        <v>44262</v>
      </c>
      <c r="C551" s="6" t="s">
        <v>16</v>
      </c>
      <c r="D551" s="7">
        <v>20.079999999999998</v>
      </c>
      <c r="E551" s="7">
        <v>20.079999999999998</v>
      </c>
      <c r="F551" s="7">
        <v>20.23</v>
      </c>
      <c r="G551" s="7">
        <v>19.959999</v>
      </c>
      <c r="H551" s="8">
        <f t="shared" si="10"/>
        <v>-2.807357212003881E-2</v>
      </c>
    </row>
    <row r="552" spans="2:8" x14ac:dyDescent="0.2">
      <c r="B552" s="5">
        <v>44265</v>
      </c>
      <c r="C552" s="6" t="s">
        <v>16</v>
      </c>
      <c r="D552" s="7">
        <v>20.010000000000002</v>
      </c>
      <c r="E552" s="7">
        <v>20.010000000000002</v>
      </c>
      <c r="F552" s="7">
        <v>20.170000000000002</v>
      </c>
      <c r="G552" s="7">
        <v>20</v>
      </c>
      <c r="H552" s="8">
        <f t="shared" si="10"/>
        <v>-3.4860557768922676E-3</v>
      </c>
    </row>
    <row r="553" spans="2:8" x14ac:dyDescent="0.2">
      <c r="B553" s="5">
        <v>44266</v>
      </c>
      <c r="C553" s="6" t="s">
        <v>16</v>
      </c>
      <c r="D553" s="7">
        <v>20.040001</v>
      </c>
      <c r="E553" s="7">
        <v>20.040001</v>
      </c>
      <c r="F553" s="7">
        <v>20.379999000000002</v>
      </c>
      <c r="G553" s="7">
        <v>19.870000999999998</v>
      </c>
      <c r="H553" s="8">
        <f t="shared" si="10"/>
        <v>1.499300349825018E-3</v>
      </c>
    </row>
    <row r="554" spans="2:8" x14ac:dyDescent="0.2">
      <c r="B554" s="5">
        <v>44267</v>
      </c>
      <c r="C554" s="6" t="s">
        <v>16</v>
      </c>
      <c r="D554" s="7">
        <v>20.469999000000001</v>
      </c>
      <c r="E554" s="7">
        <v>20.469999000000001</v>
      </c>
      <c r="F554" s="7">
        <v>20.610001</v>
      </c>
      <c r="G554" s="7">
        <v>20.190000999999999</v>
      </c>
      <c r="H554" s="8">
        <f t="shared" si="10"/>
        <v>2.1456984957236341E-2</v>
      </c>
    </row>
    <row r="555" spans="2:8" x14ac:dyDescent="0.2">
      <c r="B555" s="5">
        <v>44268</v>
      </c>
      <c r="C555" s="6" t="s">
        <v>16</v>
      </c>
      <c r="D555" s="7">
        <v>20.360001</v>
      </c>
      <c r="E555" s="7">
        <v>20.360001</v>
      </c>
      <c r="F555" s="7">
        <v>20.530000999999999</v>
      </c>
      <c r="G555" s="7">
        <v>20.34</v>
      </c>
      <c r="H555" s="8">
        <f t="shared" si="10"/>
        <v>-5.3736201941192536E-3</v>
      </c>
    </row>
    <row r="556" spans="2:8" x14ac:dyDescent="0.2">
      <c r="B556" s="5">
        <v>44269</v>
      </c>
      <c r="C556" s="6" t="s">
        <v>16</v>
      </c>
      <c r="D556" s="7">
        <v>20.620000999999998</v>
      </c>
      <c r="E556" s="7">
        <v>20.620000999999998</v>
      </c>
      <c r="F556" s="7">
        <v>20.92</v>
      </c>
      <c r="G556" s="7">
        <v>20.49</v>
      </c>
      <c r="H556" s="8">
        <f t="shared" si="10"/>
        <v>1.2770136897340918E-2</v>
      </c>
    </row>
    <row r="557" spans="2:8" x14ac:dyDescent="0.2">
      <c r="B557" s="5">
        <v>44272</v>
      </c>
      <c r="C557" s="6" t="s">
        <v>16</v>
      </c>
      <c r="D557" s="7">
        <v>20.329999999999998</v>
      </c>
      <c r="E557" s="7">
        <v>20.329999999999998</v>
      </c>
      <c r="F557" s="7">
        <v>20.620000999999998</v>
      </c>
      <c r="G557" s="7">
        <v>20.309999000000001</v>
      </c>
      <c r="H557" s="8">
        <f t="shared" si="10"/>
        <v>-1.4064063333459595E-2</v>
      </c>
    </row>
    <row r="558" spans="2:8" x14ac:dyDescent="0.2">
      <c r="B558" s="5">
        <v>44273</v>
      </c>
      <c r="C558" s="6" t="s">
        <v>16</v>
      </c>
      <c r="D558" s="7">
        <v>20.010000000000002</v>
      </c>
      <c r="E558" s="7">
        <v>20.010000000000002</v>
      </c>
      <c r="F558" s="7">
        <v>20.110001</v>
      </c>
      <c r="G558" s="7">
        <v>19.950001</v>
      </c>
      <c r="H558" s="8">
        <f t="shared" si="10"/>
        <v>-1.5740285292670769E-2</v>
      </c>
    </row>
    <row r="559" spans="2:8" x14ac:dyDescent="0.2">
      <c r="B559" s="5">
        <v>44274</v>
      </c>
      <c r="C559" s="6" t="s">
        <v>16</v>
      </c>
      <c r="D559" s="7">
        <v>19.790001</v>
      </c>
      <c r="E559" s="7">
        <v>19.790001</v>
      </c>
      <c r="F559" s="7">
        <v>20.100000000000001</v>
      </c>
      <c r="G559" s="7">
        <v>19.719999000000001</v>
      </c>
      <c r="H559" s="8">
        <f t="shared" si="10"/>
        <v>-1.0994452773613262E-2</v>
      </c>
    </row>
    <row r="560" spans="2:8" x14ac:dyDescent="0.2">
      <c r="B560" s="5">
        <v>44275</v>
      </c>
      <c r="C560" s="6" t="s">
        <v>16</v>
      </c>
      <c r="D560" s="7">
        <v>19.52</v>
      </c>
      <c r="E560" s="7">
        <v>19.52</v>
      </c>
      <c r="F560" s="7">
        <v>19.66</v>
      </c>
      <c r="G560" s="7">
        <v>19.489999999999998</v>
      </c>
      <c r="H560" s="8">
        <f t="shared" si="10"/>
        <v>-1.364330400993919E-2</v>
      </c>
    </row>
    <row r="561" spans="2:8" x14ac:dyDescent="0.2">
      <c r="B561" s="5">
        <v>44276</v>
      </c>
      <c r="C561" s="6" t="s">
        <v>16</v>
      </c>
      <c r="D561" s="7">
        <v>19.52</v>
      </c>
      <c r="E561" s="7">
        <v>19.52</v>
      </c>
      <c r="F561" s="7">
        <v>19.68</v>
      </c>
      <c r="G561" s="7">
        <v>19.489999999999998</v>
      </c>
      <c r="H561" s="8">
        <f t="shared" si="10"/>
        <v>0</v>
      </c>
    </row>
    <row r="562" spans="2:8" x14ac:dyDescent="0.2">
      <c r="B562" s="5">
        <v>44279</v>
      </c>
      <c r="C562" s="6" t="s">
        <v>16</v>
      </c>
      <c r="D562" s="7">
        <v>19.209999</v>
      </c>
      <c r="E562" s="7">
        <v>19.209999</v>
      </c>
      <c r="F562" s="7">
        <v>19.420000000000002</v>
      </c>
      <c r="G562" s="7">
        <v>19.16</v>
      </c>
      <c r="H562" s="8">
        <f t="shared" si="10"/>
        <v>-1.5881198770491791E-2</v>
      </c>
    </row>
    <row r="563" spans="2:8" x14ac:dyDescent="0.2">
      <c r="B563" s="5">
        <v>44280</v>
      </c>
      <c r="C563" s="6" t="s">
        <v>16</v>
      </c>
      <c r="D563" s="7">
        <v>19.219999000000001</v>
      </c>
      <c r="E563" s="7">
        <v>19.219999000000001</v>
      </c>
      <c r="F563" s="7">
        <v>19.399999999999999</v>
      </c>
      <c r="G563" s="7">
        <v>19.18</v>
      </c>
      <c r="H563" s="8">
        <f t="shared" si="10"/>
        <v>5.2056223428234235E-4</v>
      </c>
    </row>
    <row r="564" spans="2:8" x14ac:dyDescent="0.2">
      <c r="B564" s="5">
        <v>44281</v>
      </c>
      <c r="C564" s="6" t="s">
        <v>16</v>
      </c>
      <c r="D564" s="7">
        <v>19.02</v>
      </c>
      <c r="E564" s="7">
        <v>19.02</v>
      </c>
      <c r="F564" s="7">
        <v>19.260000000000002</v>
      </c>
      <c r="G564" s="7">
        <v>18.93</v>
      </c>
      <c r="H564" s="8">
        <f t="shared" si="10"/>
        <v>-1.0405775775534733E-2</v>
      </c>
    </row>
    <row r="565" spans="2:8" x14ac:dyDescent="0.2">
      <c r="B565" s="5">
        <v>44282</v>
      </c>
      <c r="C565" s="6" t="s">
        <v>16</v>
      </c>
      <c r="D565" s="7">
        <v>19</v>
      </c>
      <c r="E565" s="7">
        <v>19</v>
      </c>
      <c r="F565" s="7">
        <v>19.02</v>
      </c>
      <c r="G565" s="7">
        <v>18.870000999999998</v>
      </c>
      <c r="H565" s="8">
        <f t="shared" si="10"/>
        <v>-1.0515247108306822E-3</v>
      </c>
    </row>
    <row r="566" spans="2:8" x14ac:dyDescent="0.2">
      <c r="B566" s="5">
        <v>44283</v>
      </c>
      <c r="C566" s="6" t="s">
        <v>16</v>
      </c>
      <c r="D566" s="7">
        <v>19.059999000000001</v>
      </c>
      <c r="E566" s="7">
        <v>19.059999000000001</v>
      </c>
      <c r="F566" s="7">
        <v>19.129999000000002</v>
      </c>
      <c r="G566" s="7">
        <v>18.969999000000001</v>
      </c>
      <c r="H566" s="8">
        <f t="shared" si="10"/>
        <v>3.1578421052632236E-3</v>
      </c>
    </row>
    <row r="567" spans="2:8" x14ac:dyDescent="0.2">
      <c r="B567" s="5">
        <v>44286</v>
      </c>
      <c r="C567" s="6" t="s">
        <v>16</v>
      </c>
      <c r="D567" s="7">
        <v>19.040001</v>
      </c>
      <c r="E567" s="7">
        <v>19.040001</v>
      </c>
      <c r="F567" s="7">
        <v>19.129999000000002</v>
      </c>
      <c r="G567" s="7">
        <v>18.98</v>
      </c>
      <c r="H567" s="8">
        <f t="shared" si="10"/>
        <v>-1.0492130665904584E-3</v>
      </c>
    </row>
    <row r="568" spans="2:8" x14ac:dyDescent="0.2">
      <c r="B568" s="5">
        <v>44287</v>
      </c>
      <c r="C568" s="6" t="s">
        <v>16</v>
      </c>
      <c r="D568" s="7">
        <v>19.059999000000001</v>
      </c>
      <c r="E568" s="7">
        <v>19.059999000000001</v>
      </c>
      <c r="F568" s="7">
        <v>19.079999999999998</v>
      </c>
      <c r="G568" s="7">
        <v>18.93</v>
      </c>
      <c r="H568" s="8">
        <f t="shared" si="10"/>
        <v>1.0503150708868697E-3</v>
      </c>
    </row>
    <row r="569" spans="2:8" x14ac:dyDescent="0.2">
      <c r="B569" s="5">
        <v>44288</v>
      </c>
      <c r="C569" s="6" t="s">
        <v>16</v>
      </c>
      <c r="D569" s="7">
        <v>19.190000999999999</v>
      </c>
      <c r="E569" s="7">
        <v>19.190000999999999</v>
      </c>
      <c r="F569" s="7">
        <v>19.32</v>
      </c>
      <c r="G569" s="7">
        <v>19.18</v>
      </c>
      <c r="H569" s="8">
        <f t="shared" si="10"/>
        <v>6.8206719213362759E-3</v>
      </c>
    </row>
    <row r="570" spans="2:8" x14ac:dyDescent="0.2">
      <c r="B570" s="5">
        <v>44289</v>
      </c>
      <c r="C570" s="6" t="s">
        <v>16</v>
      </c>
      <c r="D570" s="7">
        <v>19.059999000000001</v>
      </c>
      <c r="E570" s="7">
        <v>19.059999000000001</v>
      </c>
      <c r="F570" s="7">
        <v>19.139999</v>
      </c>
      <c r="G570" s="7">
        <v>19.010000000000002</v>
      </c>
      <c r="H570" s="8">
        <f t="shared" si="10"/>
        <v>-6.7744655146186553E-3</v>
      </c>
    </row>
    <row r="571" spans="2:8" x14ac:dyDescent="0.2">
      <c r="B571" s="5">
        <v>44290</v>
      </c>
      <c r="C571" s="6" t="s">
        <v>16</v>
      </c>
      <c r="D571" s="7">
        <v>19.16</v>
      </c>
      <c r="E571" s="7">
        <v>19.16</v>
      </c>
      <c r="F571" s="7">
        <v>19.43</v>
      </c>
      <c r="G571" s="7">
        <v>19.079999999999998</v>
      </c>
      <c r="H571" s="8">
        <f t="shared" si="10"/>
        <v>5.246642457851068E-3</v>
      </c>
    </row>
    <row r="572" spans="2:8" x14ac:dyDescent="0.2">
      <c r="B572" s="5">
        <v>44293</v>
      </c>
      <c r="C572" s="6" t="s">
        <v>16</v>
      </c>
      <c r="D572" s="7">
        <v>19.129999000000002</v>
      </c>
      <c r="E572" s="7">
        <v>19.129999000000002</v>
      </c>
      <c r="F572" s="7">
        <v>19.25</v>
      </c>
      <c r="G572" s="7">
        <v>19.059999000000001</v>
      </c>
      <c r="H572" s="8">
        <f t="shared" si="10"/>
        <v>-1.5658141962420988E-3</v>
      </c>
    </row>
    <row r="573" spans="2:8" x14ac:dyDescent="0.2">
      <c r="B573" s="5">
        <v>44294</v>
      </c>
      <c r="C573" s="6" t="s">
        <v>16</v>
      </c>
      <c r="D573" s="7">
        <v>19.23</v>
      </c>
      <c r="E573" s="7">
        <v>19.23</v>
      </c>
      <c r="F573" s="7">
        <v>19.34</v>
      </c>
      <c r="G573" s="7">
        <v>19.209999</v>
      </c>
      <c r="H573" s="8">
        <f t="shared" si="10"/>
        <v>5.2274440787999461E-3</v>
      </c>
    </row>
    <row r="574" spans="2:8" x14ac:dyDescent="0.2">
      <c r="B574" s="5">
        <v>44295</v>
      </c>
      <c r="C574" s="6" t="s">
        <v>16</v>
      </c>
      <c r="D574" s="7">
        <v>19.110001</v>
      </c>
      <c r="E574" s="7">
        <v>19.110001</v>
      </c>
      <c r="F574" s="7">
        <v>19.18</v>
      </c>
      <c r="G574" s="7">
        <v>18.950001</v>
      </c>
      <c r="H574" s="8">
        <f t="shared" si="10"/>
        <v>-6.240197607904314E-3</v>
      </c>
    </row>
    <row r="575" spans="2:8" x14ac:dyDescent="0.2">
      <c r="B575" s="5">
        <v>44296</v>
      </c>
      <c r="C575" s="6" t="s">
        <v>16</v>
      </c>
      <c r="D575" s="7">
        <v>19.27</v>
      </c>
      <c r="E575" s="7">
        <v>19.27</v>
      </c>
      <c r="F575" s="7">
        <v>19.450001</v>
      </c>
      <c r="G575" s="7">
        <v>19.260000000000002</v>
      </c>
      <c r="H575" s="8">
        <f t="shared" si="10"/>
        <v>8.3725270344046088E-3</v>
      </c>
    </row>
    <row r="576" spans="2:8" x14ac:dyDescent="0.2">
      <c r="B576" s="5">
        <v>44297</v>
      </c>
      <c r="C576" s="6" t="s">
        <v>16</v>
      </c>
      <c r="D576" s="7">
        <v>19.190000999999999</v>
      </c>
      <c r="E576" s="7">
        <v>19.190000999999999</v>
      </c>
      <c r="F576" s="7">
        <v>19.290001</v>
      </c>
      <c r="G576" s="7">
        <v>19.170000000000002</v>
      </c>
      <c r="H576" s="8">
        <f t="shared" si="10"/>
        <v>-4.1514789828749777E-3</v>
      </c>
    </row>
    <row r="577" spans="2:8" x14ac:dyDescent="0.2">
      <c r="B577" s="5">
        <v>44300</v>
      </c>
      <c r="C577" s="6" t="s">
        <v>16</v>
      </c>
      <c r="D577" s="7">
        <v>19.209999</v>
      </c>
      <c r="E577" s="7">
        <v>19.209999</v>
      </c>
      <c r="F577" s="7">
        <v>19.32</v>
      </c>
      <c r="G577" s="7">
        <v>19.190000999999999</v>
      </c>
      <c r="H577" s="8">
        <f t="shared" si="10"/>
        <v>1.0421052088533541E-3</v>
      </c>
    </row>
    <row r="578" spans="2:8" x14ac:dyDescent="0.2">
      <c r="B578" s="5">
        <v>44301</v>
      </c>
      <c r="C578" s="6" t="s">
        <v>16</v>
      </c>
      <c r="D578" s="7">
        <v>18.879999000000002</v>
      </c>
      <c r="E578" s="7">
        <v>18.879999000000002</v>
      </c>
      <c r="F578" s="7">
        <v>18.889999</v>
      </c>
      <c r="G578" s="7">
        <v>18.670000000000002</v>
      </c>
      <c r="H578" s="8">
        <f t="shared" si="10"/>
        <v>-1.7178553731314525E-2</v>
      </c>
    </row>
    <row r="579" spans="2:8" x14ac:dyDescent="0.2">
      <c r="B579" s="5">
        <v>44302</v>
      </c>
      <c r="C579" s="6" t="s">
        <v>16</v>
      </c>
      <c r="D579" s="7">
        <v>18.879999000000002</v>
      </c>
      <c r="E579" s="7">
        <v>18.879999000000002</v>
      </c>
      <c r="F579" s="7">
        <v>18.93</v>
      </c>
      <c r="G579" s="7">
        <v>18.799999</v>
      </c>
      <c r="H579" s="8">
        <f t="shared" si="10"/>
        <v>0</v>
      </c>
    </row>
    <row r="580" spans="2:8" x14ac:dyDescent="0.2">
      <c r="B580" s="5">
        <v>44303</v>
      </c>
      <c r="C580" s="6" t="s">
        <v>16</v>
      </c>
      <c r="D580" s="7">
        <v>18.879999000000002</v>
      </c>
      <c r="E580" s="7">
        <v>18.879999000000002</v>
      </c>
      <c r="F580" s="7">
        <v>18.91</v>
      </c>
      <c r="G580" s="7">
        <v>18.809999000000001</v>
      </c>
      <c r="H580" s="8">
        <f t="shared" ref="H580:H643" si="11">(D580-D579)/D579</f>
        <v>0</v>
      </c>
    </row>
    <row r="581" spans="2:8" x14ac:dyDescent="0.2">
      <c r="B581" s="5">
        <v>44307</v>
      </c>
      <c r="C581" s="6" t="s">
        <v>16</v>
      </c>
      <c r="D581" s="7">
        <v>18.670000000000002</v>
      </c>
      <c r="E581" s="7">
        <v>18.670000000000002</v>
      </c>
      <c r="F581" s="7">
        <v>18.690000999999999</v>
      </c>
      <c r="G581" s="7">
        <v>18.600000000000001</v>
      </c>
      <c r="H581" s="8">
        <f t="shared" si="11"/>
        <v>-1.1122828978963389E-2</v>
      </c>
    </row>
    <row r="582" spans="2:8" x14ac:dyDescent="0.2">
      <c r="B582" s="5">
        <v>44308</v>
      </c>
      <c r="C582" s="6" t="s">
        <v>16</v>
      </c>
      <c r="D582" s="7">
        <v>18.709999</v>
      </c>
      <c r="E582" s="7">
        <v>18.709999</v>
      </c>
      <c r="F582" s="7">
        <v>18.719999000000001</v>
      </c>
      <c r="G582" s="7">
        <v>18.57</v>
      </c>
      <c r="H582" s="8">
        <f t="shared" si="11"/>
        <v>2.1424209962505685E-3</v>
      </c>
    </row>
    <row r="583" spans="2:8" x14ac:dyDescent="0.2">
      <c r="B583" s="5">
        <v>44309</v>
      </c>
      <c r="C583" s="6" t="s">
        <v>16</v>
      </c>
      <c r="D583" s="7">
        <v>18.690000999999999</v>
      </c>
      <c r="E583" s="7">
        <v>18.690000999999999</v>
      </c>
      <c r="F583" s="7">
        <v>18.75</v>
      </c>
      <c r="G583" s="7">
        <v>18.66</v>
      </c>
      <c r="H583" s="8">
        <f t="shared" si="11"/>
        <v>-1.0688402495372166E-3</v>
      </c>
    </row>
    <row r="584" spans="2:8" x14ac:dyDescent="0.2">
      <c r="B584" s="5">
        <v>44310</v>
      </c>
      <c r="C584" s="6" t="s">
        <v>16</v>
      </c>
      <c r="D584" s="7">
        <v>18.920000000000002</v>
      </c>
      <c r="E584" s="7">
        <v>18.920000000000002</v>
      </c>
      <c r="F584" s="7">
        <v>19.139999</v>
      </c>
      <c r="G584" s="7">
        <v>18.57</v>
      </c>
      <c r="H584" s="8">
        <f t="shared" si="11"/>
        <v>1.2305991850936924E-2</v>
      </c>
    </row>
    <row r="585" spans="2:8" x14ac:dyDescent="0.2">
      <c r="B585" s="5">
        <v>44311</v>
      </c>
      <c r="C585" s="6" t="s">
        <v>16</v>
      </c>
      <c r="D585" s="7">
        <v>18.940000999999999</v>
      </c>
      <c r="E585" s="7">
        <v>18.940000999999999</v>
      </c>
      <c r="F585" s="7">
        <v>19.030000999999999</v>
      </c>
      <c r="G585" s="7">
        <v>18.870000999999998</v>
      </c>
      <c r="H585" s="8">
        <f t="shared" si="11"/>
        <v>1.0571353065537551E-3</v>
      </c>
    </row>
    <row r="586" spans="2:8" x14ac:dyDescent="0.2">
      <c r="B586" s="5">
        <v>44314</v>
      </c>
      <c r="C586" s="6" t="s">
        <v>16</v>
      </c>
      <c r="D586" s="7">
        <v>18.850000000000001</v>
      </c>
      <c r="E586" s="7">
        <v>18.850000000000001</v>
      </c>
      <c r="F586" s="7">
        <v>18.870000999999998</v>
      </c>
      <c r="G586" s="7">
        <v>18.739999999999998</v>
      </c>
      <c r="H586" s="8">
        <f t="shared" si="11"/>
        <v>-4.7519004882838889E-3</v>
      </c>
    </row>
    <row r="587" spans="2:8" x14ac:dyDescent="0.2">
      <c r="B587" s="5">
        <v>44315</v>
      </c>
      <c r="C587" s="6" t="s">
        <v>16</v>
      </c>
      <c r="D587" s="7">
        <v>18.760000000000002</v>
      </c>
      <c r="E587" s="7">
        <v>18.760000000000002</v>
      </c>
      <c r="F587" s="7">
        <v>18.799999</v>
      </c>
      <c r="G587" s="7">
        <v>18.68</v>
      </c>
      <c r="H587" s="8">
        <f t="shared" si="11"/>
        <v>-4.7745358090185595E-3</v>
      </c>
    </row>
    <row r="588" spans="2:8" x14ac:dyDescent="0.2">
      <c r="B588" s="5">
        <v>44316</v>
      </c>
      <c r="C588" s="6" t="s">
        <v>16</v>
      </c>
      <c r="D588" s="7">
        <v>18.459999</v>
      </c>
      <c r="E588" s="7">
        <v>18.459999</v>
      </c>
      <c r="F588" s="7">
        <v>18.530000999999999</v>
      </c>
      <c r="G588" s="7">
        <v>18.32</v>
      </c>
      <c r="H588" s="8">
        <f t="shared" si="11"/>
        <v>-1.5991524520255956E-2</v>
      </c>
    </row>
    <row r="589" spans="2:8" x14ac:dyDescent="0.2">
      <c r="B589" s="5">
        <v>44317</v>
      </c>
      <c r="C589" s="6" t="s">
        <v>16</v>
      </c>
      <c r="D589" s="7">
        <v>18.350000000000001</v>
      </c>
      <c r="E589" s="7">
        <v>18.350000000000001</v>
      </c>
      <c r="F589" s="7">
        <v>18.389999</v>
      </c>
      <c r="G589" s="7">
        <v>18.16</v>
      </c>
      <c r="H589" s="8">
        <f t="shared" si="11"/>
        <v>-5.9587760541047917E-3</v>
      </c>
    </row>
    <row r="590" spans="2:8" x14ac:dyDescent="0.2">
      <c r="B590" s="5">
        <v>44318</v>
      </c>
      <c r="C590" s="6" t="s">
        <v>16</v>
      </c>
      <c r="D590" s="7">
        <v>18.690000999999999</v>
      </c>
      <c r="E590" s="7">
        <v>18.690000999999999</v>
      </c>
      <c r="F590" s="7">
        <v>18.920000000000002</v>
      </c>
      <c r="G590" s="7">
        <v>18.34</v>
      </c>
      <c r="H590" s="8">
        <f t="shared" si="11"/>
        <v>1.8528664850136094E-2</v>
      </c>
    </row>
    <row r="591" spans="2:8" x14ac:dyDescent="0.2">
      <c r="B591" s="5">
        <v>44321</v>
      </c>
      <c r="C591" s="6" t="s">
        <v>16</v>
      </c>
      <c r="D591" s="7">
        <v>18.84</v>
      </c>
      <c r="E591" s="7">
        <v>18.84</v>
      </c>
      <c r="F591" s="7">
        <v>18.899999999999999</v>
      </c>
      <c r="G591" s="7">
        <v>18.780000999999999</v>
      </c>
      <c r="H591" s="8">
        <f t="shared" si="11"/>
        <v>8.0256282490301159E-3</v>
      </c>
    </row>
    <row r="592" spans="2:8" x14ac:dyDescent="0.2">
      <c r="B592" s="5">
        <v>44322</v>
      </c>
      <c r="C592" s="6" t="s">
        <v>16</v>
      </c>
      <c r="D592" s="7">
        <v>18.799999</v>
      </c>
      <c r="E592" s="7">
        <v>18.799999</v>
      </c>
      <c r="F592" s="7">
        <v>18.899999999999999</v>
      </c>
      <c r="G592" s="7">
        <v>18.77</v>
      </c>
      <c r="H592" s="8">
        <f t="shared" si="11"/>
        <v>-2.123195329087058E-3</v>
      </c>
    </row>
    <row r="593" spans="2:8" x14ac:dyDescent="0.2">
      <c r="B593" s="5">
        <v>44323</v>
      </c>
      <c r="C593" s="6" t="s">
        <v>16</v>
      </c>
      <c r="D593" s="7">
        <v>18.57</v>
      </c>
      <c r="E593" s="7">
        <v>18.57</v>
      </c>
      <c r="F593" s="7">
        <v>18.760000000000002</v>
      </c>
      <c r="G593" s="7">
        <v>18.540001</v>
      </c>
      <c r="H593" s="8">
        <f t="shared" si="11"/>
        <v>-1.2233990012446246E-2</v>
      </c>
    </row>
    <row r="594" spans="2:8" x14ac:dyDescent="0.2">
      <c r="B594" s="5">
        <v>44324</v>
      </c>
      <c r="C594" s="6" t="s">
        <v>16</v>
      </c>
      <c r="D594" s="7">
        <v>18.440000999999999</v>
      </c>
      <c r="E594" s="7">
        <v>18.440000999999999</v>
      </c>
      <c r="F594" s="7">
        <v>18.530000999999999</v>
      </c>
      <c r="G594" s="7">
        <v>18.379999000000002</v>
      </c>
      <c r="H594" s="8">
        <f t="shared" si="11"/>
        <v>-7.0004846526656719E-3</v>
      </c>
    </row>
    <row r="595" spans="2:8" x14ac:dyDescent="0.2">
      <c r="B595" s="5">
        <v>44325</v>
      </c>
      <c r="C595" s="6" t="s">
        <v>16</v>
      </c>
      <c r="D595" s="7">
        <v>18.420000000000002</v>
      </c>
      <c r="E595" s="7">
        <v>18.420000000000002</v>
      </c>
      <c r="F595" s="7">
        <v>18.489999999999998</v>
      </c>
      <c r="G595" s="7">
        <v>18.309999000000001</v>
      </c>
      <c r="H595" s="8">
        <f t="shared" si="11"/>
        <v>-1.0846528695956715E-3</v>
      </c>
    </row>
    <row r="596" spans="2:8" x14ac:dyDescent="0.2">
      <c r="B596" s="5">
        <v>44328</v>
      </c>
      <c r="C596" s="6" t="s">
        <v>16</v>
      </c>
      <c r="D596" s="7">
        <v>18.780000999999999</v>
      </c>
      <c r="E596" s="7">
        <v>18.780000999999999</v>
      </c>
      <c r="F596" s="7">
        <v>18.889999</v>
      </c>
      <c r="G596" s="7">
        <v>18.75</v>
      </c>
      <c r="H596" s="8">
        <f t="shared" si="11"/>
        <v>1.9544028230184411E-2</v>
      </c>
    </row>
    <row r="597" spans="2:8" x14ac:dyDescent="0.2">
      <c r="B597" s="5">
        <v>44329</v>
      </c>
      <c r="C597" s="6" t="s">
        <v>16</v>
      </c>
      <c r="D597" s="7">
        <v>18.77</v>
      </c>
      <c r="E597" s="7">
        <v>18.77</v>
      </c>
      <c r="F597" s="7">
        <v>18.84</v>
      </c>
      <c r="G597" s="7">
        <v>18.739999999999998</v>
      </c>
      <c r="H597" s="8">
        <f t="shared" si="11"/>
        <v>-5.3253458293207965E-4</v>
      </c>
    </row>
    <row r="598" spans="2:8" x14ac:dyDescent="0.2">
      <c r="B598" s="5">
        <v>44330</v>
      </c>
      <c r="C598" s="6" t="s">
        <v>16</v>
      </c>
      <c r="D598" s="7">
        <v>19</v>
      </c>
      <c r="E598" s="7">
        <v>19</v>
      </c>
      <c r="F598" s="7">
        <v>19.079999999999998</v>
      </c>
      <c r="G598" s="7">
        <v>18.920000000000002</v>
      </c>
      <c r="H598" s="8">
        <f t="shared" si="11"/>
        <v>1.2253596164091659E-2</v>
      </c>
    </row>
    <row r="599" spans="2:8" x14ac:dyDescent="0.2">
      <c r="B599" s="5">
        <v>44331</v>
      </c>
      <c r="C599" s="6" t="s">
        <v>16</v>
      </c>
      <c r="D599" s="7">
        <v>18.739999999999998</v>
      </c>
      <c r="E599" s="7">
        <v>18.739999999999998</v>
      </c>
      <c r="F599" s="7">
        <v>18.860001</v>
      </c>
      <c r="G599" s="7">
        <v>18.68</v>
      </c>
      <c r="H599" s="8">
        <f t="shared" si="11"/>
        <v>-1.3684210526315872E-2</v>
      </c>
    </row>
    <row r="600" spans="2:8" x14ac:dyDescent="0.2">
      <c r="B600" s="5">
        <v>44332</v>
      </c>
      <c r="C600" s="6" t="s">
        <v>16</v>
      </c>
      <c r="D600" s="7">
        <v>18.610001</v>
      </c>
      <c r="E600" s="7">
        <v>18.610001</v>
      </c>
      <c r="F600" s="7">
        <v>18.66</v>
      </c>
      <c r="G600" s="7">
        <v>18.52</v>
      </c>
      <c r="H600" s="8">
        <f t="shared" si="11"/>
        <v>-6.9369797225185695E-3</v>
      </c>
    </row>
    <row r="601" spans="2:8" x14ac:dyDescent="0.2">
      <c r="B601" s="5">
        <v>44335</v>
      </c>
      <c r="C601" s="6" t="s">
        <v>16</v>
      </c>
      <c r="D601" s="7">
        <v>18.629999000000002</v>
      </c>
      <c r="E601" s="7">
        <v>18.629999000000002</v>
      </c>
      <c r="F601" s="7">
        <v>18.790001</v>
      </c>
      <c r="G601" s="7">
        <v>18.579999999999998</v>
      </c>
      <c r="H601" s="8">
        <f t="shared" si="11"/>
        <v>1.0745834994850924E-3</v>
      </c>
    </row>
    <row r="602" spans="2:8" x14ac:dyDescent="0.2">
      <c r="B602" s="5">
        <v>44336</v>
      </c>
      <c r="C602" s="6" t="s">
        <v>16</v>
      </c>
      <c r="D602" s="7">
        <v>18.649999999999999</v>
      </c>
      <c r="E602" s="7">
        <v>18.649999999999999</v>
      </c>
      <c r="F602" s="7">
        <v>18.700001</v>
      </c>
      <c r="G602" s="7">
        <v>18.510000000000002</v>
      </c>
      <c r="H602" s="8">
        <f t="shared" si="11"/>
        <v>1.0735910399134775E-3</v>
      </c>
    </row>
    <row r="603" spans="2:8" x14ac:dyDescent="0.2">
      <c r="B603" s="5">
        <v>44337</v>
      </c>
      <c r="C603" s="6" t="s">
        <v>16</v>
      </c>
      <c r="D603" s="7">
        <v>18.639999</v>
      </c>
      <c r="E603" s="7">
        <v>18.639999</v>
      </c>
      <c r="F603" s="7">
        <v>18.709999</v>
      </c>
      <c r="G603" s="7">
        <v>18.52</v>
      </c>
      <c r="H603" s="8">
        <f t="shared" si="11"/>
        <v>-5.3624664879351413E-4</v>
      </c>
    </row>
    <row r="604" spans="2:8" x14ac:dyDescent="0.2">
      <c r="B604" s="5">
        <v>44338</v>
      </c>
      <c r="C604" s="6" t="s">
        <v>16</v>
      </c>
      <c r="D604" s="7">
        <v>18.73</v>
      </c>
      <c r="E604" s="7">
        <v>18.73</v>
      </c>
      <c r="F604" s="7">
        <v>18.879999000000002</v>
      </c>
      <c r="G604" s="7">
        <v>18.709999</v>
      </c>
      <c r="H604" s="8">
        <f t="shared" si="11"/>
        <v>4.8283800873594948E-3</v>
      </c>
    </row>
    <row r="605" spans="2:8" x14ac:dyDescent="0.2">
      <c r="B605" s="5">
        <v>44339</v>
      </c>
      <c r="C605" s="6" t="s">
        <v>16</v>
      </c>
      <c r="D605" s="7">
        <v>18.66</v>
      </c>
      <c r="E605" s="7">
        <v>18.66</v>
      </c>
      <c r="F605" s="7">
        <v>18.719999000000001</v>
      </c>
      <c r="G605" s="7">
        <v>18.620000999999998</v>
      </c>
      <c r="H605" s="8">
        <f t="shared" si="11"/>
        <v>-3.7373198077949965E-3</v>
      </c>
    </row>
    <row r="606" spans="2:8" x14ac:dyDescent="0.2">
      <c r="B606" s="5">
        <v>44343</v>
      </c>
      <c r="C606" s="6" t="s">
        <v>16</v>
      </c>
      <c r="D606" s="7">
        <v>18.360001</v>
      </c>
      <c r="E606" s="7">
        <v>18.360001</v>
      </c>
      <c r="F606" s="7">
        <v>18.420000000000002</v>
      </c>
      <c r="G606" s="7">
        <v>18.290001</v>
      </c>
      <c r="H606" s="8">
        <f t="shared" si="11"/>
        <v>-1.6077116827438353E-2</v>
      </c>
    </row>
    <row r="607" spans="2:8" x14ac:dyDescent="0.2">
      <c r="B607" s="5">
        <v>44344</v>
      </c>
      <c r="C607" s="6" t="s">
        <v>16</v>
      </c>
      <c r="D607" s="7">
        <v>18.280000999999999</v>
      </c>
      <c r="E607" s="7">
        <v>18.280000999999999</v>
      </c>
      <c r="F607" s="7">
        <v>18.360001</v>
      </c>
      <c r="G607" s="7">
        <v>18.25</v>
      </c>
      <c r="H607" s="8">
        <f t="shared" si="11"/>
        <v>-4.3572982376200225E-3</v>
      </c>
    </row>
    <row r="608" spans="2:8" x14ac:dyDescent="0.2">
      <c r="B608" s="5">
        <v>44345</v>
      </c>
      <c r="C608" s="6" t="s">
        <v>16</v>
      </c>
      <c r="D608" s="7">
        <v>18.299999</v>
      </c>
      <c r="E608" s="7">
        <v>18.299999</v>
      </c>
      <c r="F608" s="7">
        <v>18.360001</v>
      </c>
      <c r="G608" s="7">
        <v>18.18</v>
      </c>
      <c r="H608" s="8">
        <f t="shared" si="11"/>
        <v>1.0939824346837329E-3</v>
      </c>
    </row>
    <row r="609" spans="2:8" x14ac:dyDescent="0.2">
      <c r="B609" s="5">
        <v>44346</v>
      </c>
      <c r="C609" s="6" t="s">
        <v>16</v>
      </c>
      <c r="D609" s="7">
        <v>18.079999999999998</v>
      </c>
      <c r="E609" s="7">
        <v>18.079999999999998</v>
      </c>
      <c r="F609" s="7">
        <v>18.290001</v>
      </c>
      <c r="G609" s="7">
        <v>17.91</v>
      </c>
      <c r="H609" s="8">
        <f t="shared" si="11"/>
        <v>-1.2021803935617777E-2</v>
      </c>
    </row>
    <row r="610" spans="2:8" x14ac:dyDescent="0.2">
      <c r="B610" s="5">
        <v>44349</v>
      </c>
      <c r="C610" s="6" t="s">
        <v>16</v>
      </c>
      <c r="D610" s="7">
        <v>18.02</v>
      </c>
      <c r="E610" s="7">
        <v>18.02</v>
      </c>
      <c r="F610" s="7">
        <v>18.139999</v>
      </c>
      <c r="G610" s="7">
        <v>17.98</v>
      </c>
      <c r="H610" s="8">
        <f t="shared" si="11"/>
        <v>-3.3185840707963899E-3</v>
      </c>
    </row>
    <row r="611" spans="2:8" x14ac:dyDescent="0.2">
      <c r="B611" s="5">
        <v>44350</v>
      </c>
      <c r="C611" s="6" t="s">
        <v>16</v>
      </c>
      <c r="D611" s="7">
        <v>18.100000000000001</v>
      </c>
      <c r="E611" s="7">
        <v>18.100000000000001</v>
      </c>
      <c r="F611" s="7">
        <v>18.110001</v>
      </c>
      <c r="G611" s="7">
        <v>18</v>
      </c>
      <c r="H611" s="8">
        <f t="shared" si="11"/>
        <v>4.4395116537181934E-3</v>
      </c>
    </row>
    <row r="612" spans="2:8" x14ac:dyDescent="0.2">
      <c r="B612" s="5">
        <v>44351</v>
      </c>
      <c r="C612" s="6" t="s">
        <v>16</v>
      </c>
      <c r="D612" s="7">
        <v>18.059999000000001</v>
      </c>
      <c r="E612" s="7">
        <v>18.059999000000001</v>
      </c>
      <c r="F612" s="7">
        <v>18.139999</v>
      </c>
      <c r="G612" s="7">
        <v>18.049999</v>
      </c>
      <c r="H612" s="8">
        <f t="shared" si="11"/>
        <v>-2.2100000000000097E-3</v>
      </c>
    </row>
    <row r="613" spans="2:8" x14ac:dyDescent="0.2">
      <c r="B613" s="5">
        <v>44352</v>
      </c>
      <c r="C613" s="6" t="s">
        <v>16</v>
      </c>
      <c r="D613" s="7">
        <v>18.260000000000002</v>
      </c>
      <c r="E613" s="7">
        <v>18.260000000000002</v>
      </c>
      <c r="F613" s="7">
        <v>18.360001</v>
      </c>
      <c r="G613" s="7">
        <v>18.23</v>
      </c>
      <c r="H613" s="8">
        <f t="shared" si="11"/>
        <v>1.1074253104886678E-2</v>
      </c>
    </row>
    <row r="614" spans="2:8" x14ac:dyDescent="0.2">
      <c r="B614" s="5">
        <v>44353</v>
      </c>
      <c r="C614" s="6" t="s">
        <v>16</v>
      </c>
      <c r="D614" s="7">
        <v>18.280000999999999</v>
      </c>
      <c r="E614" s="7">
        <v>18.280000999999999</v>
      </c>
      <c r="F614" s="7">
        <v>18.299999</v>
      </c>
      <c r="G614" s="7">
        <v>18.149999999999999</v>
      </c>
      <c r="H614" s="8">
        <f t="shared" si="11"/>
        <v>1.0953450164291922E-3</v>
      </c>
    </row>
    <row r="615" spans="2:8" x14ac:dyDescent="0.2">
      <c r="B615" s="5">
        <v>44356</v>
      </c>
      <c r="C615" s="6" t="s">
        <v>16</v>
      </c>
      <c r="D615" s="7">
        <v>18.32</v>
      </c>
      <c r="E615" s="7">
        <v>18.32</v>
      </c>
      <c r="F615" s="7">
        <v>18.370000999999998</v>
      </c>
      <c r="G615" s="7">
        <v>18.309999000000001</v>
      </c>
      <c r="H615" s="8">
        <f t="shared" si="11"/>
        <v>2.1881289831440203E-3</v>
      </c>
    </row>
    <row r="616" spans="2:8" x14ac:dyDescent="0.2">
      <c r="B616" s="5">
        <v>44357</v>
      </c>
      <c r="C616" s="6" t="s">
        <v>16</v>
      </c>
      <c r="D616" s="7">
        <v>18.459999</v>
      </c>
      <c r="E616" s="7">
        <v>18.459999</v>
      </c>
      <c r="F616" s="7">
        <v>18.48</v>
      </c>
      <c r="G616" s="7">
        <v>18.399999999999999</v>
      </c>
      <c r="H616" s="8">
        <f t="shared" si="11"/>
        <v>7.6418668122270493E-3</v>
      </c>
    </row>
    <row r="617" spans="2:8" x14ac:dyDescent="0.2">
      <c r="B617" s="5">
        <v>44358</v>
      </c>
      <c r="C617" s="6" t="s">
        <v>16</v>
      </c>
      <c r="D617" s="7">
        <v>18.459999</v>
      </c>
      <c r="E617" s="7">
        <v>18.459999</v>
      </c>
      <c r="F617" s="7">
        <v>18.5</v>
      </c>
      <c r="G617" s="7">
        <v>18.41</v>
      </c>
      <c r="H617" s="8">
        <f t="shared" si="11"/>
        <v>0</v>
      </c>
    </row>
    <row r="618" spans="2:8" x14ac:dyDescent="0.2">
      <c r="B618" s="5">
        <v>44359</v>
      </c>
      <c r="C618" s="6" t="s">
        <v>16</v>
      </c>
      <c r="D618" s="7">
        <v>18.760000000000002</v>
      </c>
      <c r="E618" s="7">
        <v>18.760000000000002</v>
      </c>
      <c r="F618" s="7">
        <v>18.799999</v>
      </c>
      <c r="G618" s="7">
        <v>18.52</v>
      </c>
      <c r="H618" s="8">
        <f t="shared" si="11"/>
        <v>1.6251409331062356E-2</v>
      </c>
    </row>
    <row r="619" spans="2:8" x14ac:dyDescent="0.2">
      <c r="B619" s="5">
        <v>44360</v>
      </c>
      <c r="C619" s="6" t="s">
        <v>16</v>
      </c>
      <c r="D619" s="7">
        <v>18.920000000000002</v>
      </c>
      <c r="E619" s="7">
        <v>18.920000000000002</v>
      </c>
      <c r="F619" s="7">
        <v>18.950001</v>
      </c>
      <c r="G619" s="7">
        <v>18.77</v>
      </c>
      <c r="H619" s="8">
        <f t="shared" si="11"/>
        <v>8.52878464818764E-3</v>
      </c>
    </row>
    <row r="620" spans="2:8" x14ac:dyDescent="0.2">
      <c r="B620" s="5">
        <v>44363</v>
      </c>
      <c r="C620" s="6" t="s">
        <v>16</v>
      </c>
      <c r="D620" s="7">
        <v>18.850000000000001</v>
      </c>
      <c r="E620" s="7">
        <v>18.850000000000001</v>
      </c>
      <c r="F620" s="7">
        <v>18.950001</v>
      </c>
      <c r="G620" s="7">
        <v>18.809999000000001</v>
      </c>
      <c r="H620" s="8">
        <f t="shared" si="11"/>
        <v>-3.6997885835095283E-3</v>
      </c>
    </row>
    <row r="621" spans="2:8" x14ac:dyDescent="0.2">
      <c r="B621" s="5">
        <v>44364</v>
      </c>
      <c r="C621" s="6" t="s">
        <v>16</v>
      </c>
      <c r="D621" s="7">
        <v>18.940000999999999</v>
      </c>
      <c r="E621" s="7">
        <v>18.940000999999999</v>
      </c>
      <c r="F621" s="7">
        <v>18.959999</v>
      </c>
      <c r="G621" s="7">
        <v>18.84</v>
      </c>
      <c r="H621" s="8">
        <f t="shared" si="11"/>
        <v>4.7745888594163035E-3</v>
      </c>
    </row>
    <row r="622" spans="2:8" x14ac:dyDescent="0.2">
      <c r="B622" s="5">
        <v>44365</v>
      </c>
      <c r="C622" s="6" t="s">
        <v>16</v>
      </c>
      <c r="D622" s="7">
        <v>19.049999</v>
      </c>
      <c r="E622" s="7">
        <v>19.049999</v>
      </c>
      <c r="F622" s="7">
        <v>19.07</v>
      </c>
      <c r="G622" s="7">
        <v>18.940000999999999</v>
      </c>
      <c r="H622" s="8">
        <f t="shared" si="11"/>
        <v>5.8077082466891595E-3</v>
      </c>
    </row>
    <row r="623" spans="2:8" x14ac:dyDescent="0.2">
      <c r="B623" s="5">
        <v>44366</v>
      </c>
      <c r="C623" s="6" t="s">
        <v>16</v>
      </c>
      <c r="D623" s="7">
        <v>19.920000000000002</v>
      </c>
      <c r="E623" s="7">
        <v>19.920000000000002</v>
      </c>
      <c r="F623" s="7">
        <v>20.100000000000001</v>
      </c>
      <c r="G623" s="7">
        <v>19.360001</v>
      </c>
      <c r="H623" s="8">
        <f t="shared" si="11"/>
        <v>4.5669346229362112E-2</v>
      </c>
    </row>
    <row r="624" spans="2:8" x14ac:dyDescent="0.2">
      <c r="B624" s="5">
        <v>44367</v>
      </c>
      <c r="C624" s="6" t="s">
        <v>16</v>
      </c>
      <c r="D624" s="7">
        <v>20.030000999999999</v>
      </c>
      <c r="E624" s="7">
        <v>20.030000999999999</v>
      </c>
      <c r="F624" s="7">
        <v>20.149999999999999</v>
      </c>
      <c r="G624" s="7">
        <v>19.940000999999999</v>
      </c>
      <c r="H624" s="8">
        <f t="shared" si="11"/>
        <v>5.5221385542167118E-3</v>
      </c>
    </row>
    <row r="625" spans="2:8" x14ac:dyDescent="0.2">
      <c r="B625" s="5">
        <v>44370</v>
      </c>
      <c r="C625" s="6" t="s">
        <v>16</v>
      </c>
      <c r="D625" s="7">
        <v>20.049999</v>
      </c>
      <c r="E625" s="7">
        <v>20.049999</v>
      </c>
      <c r="F625" s="7">
        <v>20.110001</v>
      </c>
      <c r="G625" s="7">
        <v>19.969999000000001</v>
      </c>
      <c r="H625" s="8">
        <f t="shared" si="11"/>
        <v>9.9840234656009617E-4</v>
      </c>
    </row>
    <row r="626" spans="2:8" x14ac:dyDescent="0.2">
      <c r="B626" s="5">
        <v>44371</v>
      </c>
      <c r="C626" s="6" t="s">
        <v>16</v>
      </c>
      <c r="D626" s="7">
        <v>20.079999999999998</v>
      </c>
      <c r="E626" s="7">
        <v>20.079999999999998</v>
      </c>
      <c r="F626" s="7">
        <v>20.23</v>
      </c>
      <c r="G626" s="7">
        <v>20.049999</v>
      </c>
      <c r="H626" s="8">
        <f t="shared" si="11"/>
        <v>1.4963093015614921E-3</v>
      </c>
    </row>
    <row r="627" spans="2:8" x14ac:dyDescent="0.2">
      <c r="B627" s="5">
        <v>44372</v>
      </c>
      <c r="C627" s="6" t="s">
        <v>16</v>
      </c>
      <c r="D627" s="7">
        <v>20.190000999999999</v>
      </c>
      <c r="E627" s="7">
        <v>20.190000999999999</v>
      </c>
      <c r="F627" s="7">
        <v>20.329999999999998</v>
      </c>
      <c r="G627" s="7">
        <v>20.129999000000002</v>
      </c>
      <c r="H627" s="8">
        <f t="shared" si="11"/>
        <v>5.478137450199227E-3</v>
      </c>
    </row>
    <row r="628" spans="2:8" x14ac:dyDescent="0.2">
      <c r="B628" s="5">
        <v>44373</v>
      </c>
      <c r="C628" s="6" t="s">
        <v>16</v>
      </c>
      <c r="D628" s="7">
        <v>20.239999999999998</v>
      </c>
      <c r="E628" s="7">
        <v>20.239999999999998</v>
      </c>
      <c r="F628" s="7">
        <v>20.290001</v>
      </c>
      <c r="G628" s="7">
        <v>20.139999</v>
      </c>
      <c r="H628" s="8">
        <f t="shared" si="11"/>
        <v>2.4764238496075204E-3</v>
      </c>
    </row>
    <row r="629" spans="2:8" x14ac:dyDescent="0.2">
      <c r="B629" s="5">
        <v>44374</v>
      </c>
      <c r="C629" s="6" t="s">
        <v>16</v>
      </c>
      <c r="D629" s="7">
        <v>20.170000000000002</v>
      </c>
      <c r="E629" s="7">
        <v>20.170000000000002</v>
      </c>
      <c r="F629" s="7">
        <v>20.309999000000001</v>
      </c>
      <c r="G629" s="7">
        <v>20.149999999999999</v>
      </c>
      <c r="H629" s="8">
        <f t="shared" si="11"/>
        <v>-3.4584980237152537E-3</v>
      </c>
    </row>
    <row r="630" spans="2:8" x14ac:dyDescent="0.2">
      <c r="B630" s="5">
        <v>44377</v>
      </c>
      <c r="C630" s="6" t="s">
        <v>16</v>
      </c>
      <c r="D630" s="7">
        <v>20.25</v>
      </c>
      <c r="E630" s="7">
        <v>20.25</v>
      </c>
      <c r="F630" s="7">
        <v>20.280000999999999</v>
      </c>
      <c r="G630" s="7">
        <v>19.93</v>
      </c>
      <c r="H630" s="8">
        <f t="shared" si="11"/>
        <v>3.9662865642041785E-3</v>
      </c>
    </row>
    <row r="631" spans="2:8" x14ac:dyDescent="0.2">
      <c r="B631" s="5">
        <v>44378</v>
      </c>
      <c r="C631" s="6" t="s">
        <v>16</v>
      </c>
      <c r="D631" s="7">
        <v>20.209999</v>
      </c>
      <c r="E631" s="7">
        <v>20.209999</v>
      </c>
      <c r="F631" s="7">
        <v>20.389999</v>
      </c>
      <c r="G631" s="7">
        <v>20.18</v>
      </c>
      <c r="H631" s="8">
        <f t="shared" si="11"/>
        <v>-1.9753580246913665E-3</v>
      </c>
    </row>
    <row r="632" spans="2:8" x14ac:dyDescent="0.2">
      <c r="B632" s="5">
        <v>44379</v>
      </c>
      <c r="C632" s="6" t="s">
        <v>16</v>
      </c>
      <c r="D632" s="7">
        <v>20.299999</v>
      </c>
      <c r="E632" s="7">
        <v>20.299999</v>
      </c>
      <c r="F632" s="7">
        <v>20.440000999999999</v>
      </c>
      <c r="G632" s="7">
        <v>20.27</v>
      </c>
      <c r="H632" s="8">
        <f t="shared" si="11"/>
        <v>4.4532411901653168E-3</v>
      </c>
    </row>
    <row r="633" spans="2:8" x14ac:dyDescent="0.2">
      <c r="B633" s="5">
        <v>44380</v>
      </c>
      <c r="C633" s="6" t="s">
        <v>16</v>
      </c>
      <c r="D633" s="7">
        <v>20.290001</v>
      </c>
      <c r="E633" s="7">
        <v>20.290001</v>
      </c>
      <c r="F633" s="7">
        <v>20.329999999999998</v>
      </c>
      <c r="G633" s="7">
        <v>20.18</v>
      </c>
      <c r="H633" s="8">
        <f t="shared" si="11"/>
        <v>-4.9251233953260328E-4</v>
      </c>
    </row>
    <row r="634" spans="2:8" x14ac:dyDescent="0.2">
      <c r="B634" s="5">
        <v>44384</v>
      </c>
      <c r="C634" s="6" t="s">
        <v>16</v>
      </c>
      <c r="D634" s="7">
        <v>20.170000000000002</v>
      </c>
      <c r="E634" s="7">
        <v>20.170000000000002</v>
      </c>
      <c r="F634" s="7">
        <v>20.170000000000002</v>
      </c>
      <c r="G634" s="7">
        <v>19.989999999999998</v>
      </c>
      <c r="H634" s="8">
        <f t="shared" si="11"/>
        <v>-5.9142924635636274E-3</v>
      </c>
    </row>
    <row r="635" spans="2:8" x14ac:dyDescent="0.2">
      <c r="B635" s="5">
        <v>44385</v>
      </c>
      <c r="C635" s="6" t="s">
        <v>16</v>
      </c>
      <c r="D635" s="7">
        <v>20.209999</v>
      </c>
      <c r="E635" s="7">
        <v>20.209999</v>
      </c>
      <c r="F635" s="7">
        <v>20.32</v>
      </c>
      <c r="G635" s="7">
        <v>20.07</v>
      </c>
      <c r="H635" s="8">
        <f t="shared" si="11"/>
        <v>1.9830937035199858E-3</v>
      </c>
    </row>
    <row r="636" spans="2:8" x14ac:dyDescent="0.2">
      <c r="B636" s="5">
        <v>44386</v>
      </c>
      <c r="C636" s="6" t="s">
        <v>16</v>
      </c>
      <c r="D636" s="7">
        <v>20.27</v>
      </c>
      <c r="E636" s="7">
        <v>20.27</v>
      </c>
      <c r="F636" s="7">
        <v>20.389999</v>
      </c>
      <c r="G636" s="7">
        <v>20.149999999999999</v>
      </c>
      <c r="H636" s="8">
        <f t="shared" si="11"/>
        <v>2.9688769405678719E-3</v>
      </c>
    </row>
    <row r="637" spans="2:8" x14ac:dyDescent="0.2">
      <c r="B637" s="5">
        <v>44387</v>
      </c>
      <c r="C637" s="6" t="s">
        <v>16</v>
      </c>
      <c r="D637" s="7">
        <v>20.52</v>
      </c>
      <c r="E637" s="7">
        <v>20.52</v>
      </c>
      <c r="F637" s="7">
        <v>20.639999</v>
      </c>
      <c r="G637" s="7">
        <v>20.51</v>
      </c>
      <c r="H637" s="8">
        <f t="shared" si="11"/>
        <v>1.23334977799704E-2</v>
      </c>
    </row>
    <row r="638" spans="2:8" x14ac:dyDescent="0.2">
      <c r="B638" s="5">
        <v>44388</v>
      </c>
      <c r="C638" s="6" t="s">
        <v>16</v>
      </c>
      <c r="D638" s="7">
        <v>20.57</v>
      </c>
      <c r="E638" s="7">
        <v>20.57</v>
      </c>
      <c r="F638" s="7">
        <v>20.610001</v>
      </c>
      <c r="G638" s="7">
        <v>20.5</v>
      </c>
      <c r="H638" s="8">
        <f t="shared" si="11"/>
        <v>2.4366471734893133E-3</v>
      </c>
    </row>
    <row r="639" spans="2:8" x14ac:dyDescent="0.2">
      <c r="B639" s="5">
        <v>44391</v>
      </c>
      <c r="C639" s="6" t="s">
        <v>16</v>
      </c>
      <c r="D639" s="7">
        <v>20.100000000000001</v>
      </c>
      <c r="E639" s="7">
        <v>20.100000000000001</v>
      </c>
      <c r="F639" s="7">
        <v>20.139999</v>
      </c>
      <c r="G639" s="7">
        <v>20.010000000000002</v>
      </c>
      <c r="H639" s="8">
        <f t="shared" si="11"/>
        <v>-2.2848808945065573E-2</v>
      </c>
    </row>
    <row r="640" spans="2:8" x14ac:dyDescent="0.2">
      <c r="B640" s="5">
        <v>44392</v>
      </c>
      <c r="C640" s="6" t="s">
        <v>16</v>
      </c>
      <c r="D640" s="7">
        <v>19.879999000000002</v>
      </c>
      <c r="E640" s="7">
        <v>19.879999000000002</v>
      </c>
      <c r="F640" s="7">
        <v>20.25</v>
      </c>
      <c r="G640" s="7">
        <v>19.84</v>
      </c>
      <c r="H640" s="8">
        <f t="shared" si="11"/>
        <v>-1.0945323383084571E-2</v>
      </c>
    </row>
    <row r="641" spans="2:8" x14ac:dyDescent="0.2">
      <c r="B641" s="5">
        <v>44393</v>
      </c>
      <c r="C641" s="6" t="s">
        <v>16</v>
      </c>
      <c r="D641" s="7">
        <v>19.91</v>
      </c>
      <c r="E641" s="7">
        <v>19.91</v>
      </c>
      <c r="F641" s="7">
        <v>20</v>
      </c>
      <c r="G641" s="7">
        <v>19.84</v>
      </c>
      <c r="H641" s="8">
        <f t="shared" si="11"/>
        <v>1.5091047036772289E-3</v>
      </c>
    </row>
    <row r="642" spans="2:8" x14ac:dyDescent="0.2">
      <c r="B642" s="5">
        <v>44394</v>
      </c>
      <c r="C642" s="6" t="s">
        <v>16</v>
      </c>
      <c r="D642" s="7">
        <v>20.290001</v>
      </c>
      <c r="E642" s="7">
        <v>20.290001</v>
      </c>
      <c r="F642" s="7">
        <v>20.399999999999999</v>
      </c>
      <c r="G642" s="7">
        <v>19.93</v>
      </c>
      <c r="H642" s="8">
        <f t="shared" si="11"/>
        <v>1.9085936715218486E-2</v>
      </c>
    </row>
    <row r="643" spans="2:8" x14ac:dyDescent="0.2">
      <c r="B643" s="5">
        <v>44395</v>
      </c>
      <c r="C643" s="6" t="s">
        <v>16</v>
      </c>
      <c r="D643" s="7">
        <v>20.02</v>
      </c>
      <c r="E643" s="7">
        <v>20.02</v>
      </c>
      <c r="F643" s="7">
        <v>20.079999999999998</v>
      </c>
      <c r="G643" s="7">
        <v>19.91</v>
      </c>
      <c r="H643" s="8">
        <f t="shared" si="11"/>
        <v>-1.3307096436318588E-2</v>
      </c>
    </row>
    <row r="644" spans="2:8" x14ac:dyDescent="0.2">
      <c r="B644" s="5">
        <v>44398</v>
      </c>
      <c r="C644" s="6" t="s">
        <v>16</v>
      </c>
      <c r="D644" s="7">
        <v>20.100000000000001</v>
      </c>
      <c r="E644" s="7">
        <v>20.100000000000001</v>
      </c>
      <c r="F644" s="7">
        <v>20.149999999999999</v>
      </c>
      <c r="G644" s="7">
        <v>20.040001</v>
      </c>
      <c r="H644" s="8">
        <f t="shared" ref="H644:H707" si="12">(D644-D643)/D643</f>
        <v>3.9960039960040879E-3</v>
      </c>
    </row>
    <row r="645" spans="2:8" x14ac:dyDescent="0.2">
      <c r="B645" s="5">
        <v>44399</v>
      </c>
      <c r="C645" s="6" t="s">
        <v>16</v>
      </c>
      <c r="D645" s="7">
        <v>20.100000000000001</v>
      </c>
      <c r="E645" s="7">
        <v>20.100000000000001</v>
      </c>
      <c r="F645" s="7">
        <v>20.239999999999998</v>
      </c>
      <c r="G645" s="7">
        <v>20.010000000000002</v>
      </c>
      <c r="H645" s="8">
        <f t="shared" si="12"/>
        <v>0</v>
      </c>
    </row>
    <row r="646" spans="2:8" x14ac:dyDescent="0.2">
      <c r="B646" s="5">
        <v>44400</v>
      </c>
      <c r="C646" s="6" t="s">
        <v>16</v>
      </c>
      <c r="D646" s="7">
        <v>20.079999999999998</v>
      </c>
      <c r="E646" s="7">
        <v>20.079999999999998</v>
      </c>
      <c r="F646" s="7">
        <v>20.18</v>
      </c>
      <c r="G646" s="7">
        <v>20.07</v>
      </c>
      <c r="H646" s="8">
        <f t="shared" si="12"/>
        <v>-9.9502487562204596E-4</v>
      </c>
    </row>
    <row r="647" spans="2:8" x14ac:dyDescent="0.2">
      <c r="B647" s="5">
        <v>44401</v>
      </c>
      <c r="C647" s="6" t="s">
        <v>16</v>
      </c>
      <c r="D647" s="7">
        <v>19.579999999999998</v>
      </c>
      <c r="E647" s="7">
        <v>19.579999999999998</v>
      </c>
      <c r="F647" s="7">
        <v>19.989999999999998</v>
      </c>
      <c r="G647" s="7">
        <v>19.5</v>
      </c>
      <c r="H647" s="8">
        <f t="shared" si="12"/>
        <v>-2.4900398406374504E-2</v>
      </c>
    </row>
    <row r="648" spans="2:8" x14ac:dyDescent="0.2">
      <c r="B648" s="5">
        <v>44402</v>
      </c>
      <c r="C648" s="6" t="s">
        <v>16</v>
      </c>
      <c r="D648" s="7">
        <v>19.870000999999998</v>
      </c>
      <c r="E648" s="7">
        <v>19.870000999999998</v>
      </c>
      <c r="F648" s="7">
        <v>19.899999999999999</v>
      </c>
      <c r="G648" s="7">
        <v>19.57</v>
      </c>
      <c r="H648" s="8">
        <f t="shared" si="12"/>
        <v>1.4811082737487243E-2</v>
      </c>
    </row>
    <row r="649" spans="2:8" x14ac:dyDescent="0.2">
      <c r="B649" s="5">
        <v>44405</v>
      </c>
      <c r="C649" s="6" t="s">
        <v>16</v>
      </c>
      <c r="D649" s="7">
        <v>19.809999000000001</v>
      </c>
      <c r="E649" s="7">
        <v>19.809999000000001</v>
      </c>
      <c r="F649" s="7">
        <v>19.870000999999998</v>
      </c>
      <c r="G649" s="7">
        <v>19.690000999999999</v>
      </c>
      <c r="H649" s="8">
        <f t="shared" si="12"/>
        <v>-3.01972808154349E-3</v>
      </c>
    </row>
    <row r="650" spans="2:8" x14ac:dyDescent="0.2">
      <c r="B650" s="5">
        <v>44406</v>
      </c>
      <c r="C650" s="6" t="s">
        <v>16</v>
      </c>
      <c r="D650" s="7">
        <v>19.780000999999999</v>
      </c>
      <c r="E650" s="7">
        <v>19.780000999999999</v>
      </c>
      <c r="F650" s="7">
        <v>19.870000999999998</v>
      </c>
      <c r="G650" s="7">
        <v>19.649999999999999</v>
      </c>
      <c r="H650" s="8">
        <f t="shared" si="12"/>
        <v>-1.5142857907263212E-3</v>
      </c>
    </row>
    <row r="651" spans="2:8" x14ac:dyDescent="0.2">
      <c r="B651" s="5">
        <v>44407</v>
      </c>
      <c r="C651" s="6" t="s">
        <v>16</v>
      </c>
      <c r="D651" s="7">
        <v>19.780000999999999</v>
      </c>
      <c r="E651" s="7">
        <v>19.780000999999999</v>
      </c>
      <c r="F651" s="7">
        <v>19.84</v>
      </c>
      <c r="G651" s="7">
        <v>19.66</v>
      </c>
      <c r="H651" s="8">
        <f t="shared" si="12"/>
        <v>0</v>
      </c>
    </row>
    <row r="652" spans="2:8" x14ac:dyDescent="0.2">
      <c r="B652" s="5">
        <v>44408</v>
      </c>
      <c r="C652" s="6" t="s">
        <v>16</v>
      </c>
      <c r="D652" s="7">
        <v>19.579999999999998</v>
      </c>
      <c r="E652" s="7">
        <v>19.579999999999998</v>
      </c>
      <c r="F652" s="7">
        <v>19.73</v>
      </c>
      <c r="G652" s="7">
        <v>19.52</v>
      </c>
      <c r="H652" s="8">
        <f t="shared" si="12"/>
        <v>-1.0111273502969E-2</v>
      </c>
    </row>
    <row r="653" spans="2:8" x14ac:dyDescent="0.2">
      <c r="B653" s="5">
        <v>44409</v>
      </c>
      <c r="C653" s="6" t="s">
        <v>16</v>
      </c>
      <c r="D653" s="7">
        <v>19.52</v>
      </c>
      <c r="E653" s="7">
        <v>19.52</v>
      </c>
      <c r="F653" s="7">
        <v>19.719999000000001</v>
      </c>
      <c r="G653" s="7">
        <v>19.43</v>
      </c>
      <c r="H653" s="8">
        <f t="shared" si="12"/>
        <v>-3.0643513789580554E-3</v>
      </c>
    </row>
    <row r="654" spans="2:8" x14ac:dyDescent="0.2">
      <c r="B654" s="5">
        <v>44412</v>
      </c>
      <c r="C654" s="6" t="s">
        <v>16</v>
      </c>
      <c r="D654" s="7">
        <v>19.399999999999999</v>
      </c>
      <c r="E654" s="7">
        <v>19.399999999999999</v>
      </c>
      <c r="F654" s="7">
        <v>19.579999999999998</v>
      </c>
      <c r="G654" s="7">
        <v>19.34</v>
      </c>
      <c r="H654" s="8">
        <f t="shared" si="12"/>
        <v>-6.1475409836066084E-3</v>
      </c>
    </row>
    <row r="655" spans="2:8" x14ac:dyDescent="0.2">
      <c r="B655" s="5">
        <v>44413</v>
      </c>
      <c r="C655" s="6" t="s">
        <v>16</v>
      </c>
      <c r="D655" s="7">
        <v>19.049999</v>
      </c>
      <c r="E655" s="7">
        <v>19.049999</v>
      </c>
      <c r="F655" s="7">
        <v>19.23</v>
      </c>
      <c r="G655" s="7">
        <v>18.98</v>
      </c>
      <c r="H655" s="8">
        <f t="shared" si="12"/>
        <v>-1.804128865979376E-2</v>
      </c>
    </row>
    <row r="656" spans="2:8" x14ac:dyDescent="0.2">
      <c r="B656" s="5">
        <v>44414</v>
      </c>
      <c r="C656" s="6" t="s">
        <v>16</v>
      </c>
      <c r="D656" s="7">
        <v>19.23</v>
      </c>
      <c r="E656" s="7">
        <v>19.23</v>
      </c>
      <c r="F656" s="7">
        <v>19.32</v>
      </c>
      <c r="G656" s="7">
        <v>19.18</v>
      </c>
      <c r="H656" s="8">
        <f t="shared" si="12"/>
        <v>9.4488718870799279E-3</v>
      </c>
    </row>
    <row r="657" spans="2:8" x14ac:dyDescent="0.2">
      <c r="B657" s="5">
        <v>44415</v>
      </c>
      <c r="C657" s="6" t="s">
        <v>16</v>
      </c>
      <c r="D657" s="7">
        <v>19.170000000000002</v>
      </c>
      <c r="E657" s="7">
        <v>19.170000000000002</v>
      </c>
      <c r="F657" s="7">
        <v>19.239999999999998</v>
      </c>
      <c r="G657" s="7">
        <v>19.110001</v>
      </c>
      <c r="H657" s="8">
        <f t="shared" si="12"/>
        <v>-3.120124804992133E-3</v>
      </c>
    </row>
    <row r="658" spans="2:8" x14ac:dyDescent="0.2">
      <c r="B658" s="5">
        <v>44416</v>
      </c>
      <c r="C658" s="6" t="s">
        <v>16</v>
      </c>
      <c r="D658" s="7">
        <v>19.190000999999999</v>
      </c>
      <c r="E658" s="7">
        <v>19.190000999999999</v>
      </c>
      <c r="F658" s="7">
        <v>19.239999999999998</v>
      </c>
      <c r="G658" s="7">
        <v>19.100000000000001</v>
      </c>
      <c r="H658" s="8">
        <f t="shared" si="12"/>
        <v>1.0433489827854484E-3</v>
      </c>
    </row>
    <row r="659" spans="2:8" x14ac:dyDescent="0.2">
      <c r="B659" s="5">
        <v>44419</v>
      </c>
      <c r="C659" s="6" t="s">
        <v>16</v>
      </c>
      <c r="D659" s="7">
        <v>19.23</v>
      </c>
      <c r="E659" s="7">
        <v>19.23</v>
      </c>
      <c r="F659" s="7">
        <v>19.299999</v>
      </c>
      <c r="G659" s="7">
        <v>19.139999</v>
      </c>
      <c r="H659" s="8">
        <f t="shared" si="12"/>
        <v>2.084366749121153E-3</v>
      </c>
    </row>
    <row r="660" spans="2:8" x14ac:dyDescent="0.2">
      <c r="B660" s="5">
        <v>44420</v>
      </c>
      <c r="C660" s="6" t="s">
        <v>16</v>
      </c>
      <c r="D660" s="7">
        <v>19.170000000000002</v>
      </c>
      <c r="E660" s="7">
        <v>19.170000000000002</v>
      </c>
      <c r="F660" s="7">
        <v>19.299999</v>
      </c>
      <c r="G660" s="7">
        <v>19.079999999999998</v>
      </c>
      <c r="H660" s="8">
        <f t="shared" si="12"/>
        <v>-3.120124804992133E-3</v>
      </c>
    </row>
    <row r="661" spans="2:8" x14ac:dyDescent="0.2">
      <c r="B661" s="5">
        <v>44421</v>
      </c>
      <c r="C661" s="6" t="s">
        <v>16</v>
      </c>
      <c r="D661" s="7">
        <v>19.040001</v>
      </c>
      <c r="E661" s="7">
        <v>19.040001</v>
      </c>
      <c r="F661" s="7">
        <v>19.209999</v>
      </c>
      <c r="G661" s="7">
        <v>18.91</v>
      </c>
      <c r="H661" s="8">
        <f t="shared" si="12"/>
        <v>-6.7813771517997662E-3</v>
      </c>
    </row>
    <row r="662" spans="2:8" x14ac:dyDescent="0.2">
      <c r="B662" s="5">
        <v>44422</v>
      </c>
      <c r="C662" s="6" t="s">
        <v>16</v>
      </c>
      <c r="D662" s="7">
        <v>19.100000000000001</v>
      </c>
      <c r="E662" s="7">
        <v>19.100000000000001</v>
      </c>
      <c r="F662" s="7">
        <v>19.18</v>
      </c>
      <c r="G662" s="7">
        <v>19.049999</v>
      </c>
      <c r="H662" s="8">
        <f t="shared" si="12"/>
        <v>3.1512078176887306E-3</v>
      </c>
    </row>
    <row r="663" spans="2:8" x14ac:dyDescent="0.2">
      <c r="B663" s="5">
        <v>44423</v>
      </c>
      <c r="C663" s="6" t="s">
        <v>16</v>
      </c>
      <c r="D663" s="7">
        <v>18.860001</v>
      </c>
      <c r="E663" s="7">
        <v>18.860001</v>
      </c>
      <c r="F663" s="7">
        <v>18.98</v>
      </c>
      <c r="G663" s="7">
        <v>18.739999999999998</v>
      </c>
      <c r="H663" s="8">
        <f t="shared" si="12"/>
        <v>-1.2565392670157117E-2</v>
      </c>
    </row>
    <row r="664" spans="2:8" x14ac:dyDescent="0.2">
      <c r="B664" s="5">
        <v>44426</v>
      </c>
      <c r="C664" s="6" t="s">
        <v>16</v>
      </c>
      <c r="D664" s="7">
        <v>18.870000999999998</v>
      </c>
      <c r="E664" s="7">
        <v>18.870000999999998</v>
      </c>
      <c r="F664" s="7">
        <v>18.899999999999999</v>
      </c>
      <c r="G664" s="7">
        <v>18.780000999999999</v>
      </c>
      <c r="H664" s="8">
        <f t="shared" si="12"/>
        <v>5.302226654175686E-4</v>
      </c>
    </row>
    <row r="665" spans="2:8" x14ac:dyDescent="0.2">
      <c r="B665" s="5">
        <v>44427</v>
      </c>
      <c r="C665" s="6" t="s">
        <v>16</v>
      </c>
      <c r="D665" s="7">
        <v>18.700001</v>
      </c>
      <c r="E665" s="7">
        <v>18.700001</v>
      </c>
      <c r="F665" s="7">
        <v>18.809999000000001</v>
      </c>
      <c r="G665" s="7">
        <v>18.610001</v>
      </c>
      <c r="H665" s="8">
        <f t="shared" si="12"/>
        <v>-9.0090085315839771E-3</v>
      </c>
    </row>
    <row r="666" spans="2:8" x14ac:dyDescent="0.2">
      <c r="B666" s="5">
        <v>44428</v>
      </c>
      <c r="C666" s="6" t="s">
        <v>16</v>
      </c>
      <c r="D666" s="7">
        <v>18.719999000000001</v>
      </c>
      <c r="E666" s="7">
        <v>18.719999000000001</v>
      </c>
      <c r="F666" s="7">
        <v>18.82</v>
      </c>
      <c r="G666" s="7">
        <v>18.639999</v>
      </c>
      <c r="H666" s="8">
        <f t="shared" si="12"/>
        <v>1.0694117075181477E-3</v>
      </c>
    </row>
    <row r="667" spans="2:8" x14ac:dyDescent="0.2">
      <c r="B667" s="5">
        <v>44429</v>
      </c>
      <c r="C667" s="6" t="s">
        <v>16</v>
      </c>
      <c r="D667" s="7">
        <v>18.690000999999999</v>
      </c>
      <c r="E667" s="7">
        <v>18.690000999999999</v>
      </c>
      <c r="F667" s="7">
        <v>18.719999000000001</v>
      </c>
      <c r="G667" s="7">
        <v>18.59</v>
      </c>
      <c r="H667" s="8">
        <f t="shared" si="12"/>
        <v>-1.6024573505587598E-3</v>
      </c>
    </row>
    <row r="668" spans="2:8" x14ac:dyDescent="0.2">
      <c r="B668" s="5">
        <v>44430</v>
      </c>
      <c r="C668" s="6" t="s">
        <v>16</v>
      </c>
      <c r="D668" s="7">
        <v>18.690000999999999</v>
      </c>
      <c r="E668" s="7">
        <v>18.690000999999999</v>
      </c>
      <c r="F668" s="7">
        <v>18.75</v>
      </c>
      <c r="G668" s="7">
        <v>18.540001</v>
      </c>
      <c r="H668" s="8">
        <f t="shared" si="12"/>
        <v>0</v>
      </c>
    </row>
    <row r="669" spans="2:8" x14ac:dyDescent="0.2">
      <c r="B669" s="5">
        <v>44433</v>
      </c>
      <c r="C669" s="6" t="s">
        <v>16</v>
      </c>
      <c r="D669" s="7">
        <v>18.600000000000001</v>
      </c>
      <c r="E669" s="7">
        <v>18.600000000000001</v>
      </c>
      <c r="F669" s="7">
        <v>18.649999999999999</v>
      </c>
      <c r="G669" s="7">
        <v>18.549999</v>
      </c>
      <c r="H669" s="8">
        <f t="shared" si="12"/>
        <v>-4.8154625566899298E-3</v>
      </c>
    </row>
    <row r="670" spans="2:8" x14ac:dyDescent="0.2">
      <c r="B670" s="5">
        <v>44434</v>
      </c>
      <c r="C670" s="6" t="s">
        <v>16</v>
      </c>
      <c r="D670" s="7">
        <v>18.629999000000002</v>
      </c>
      <c r="E670" s="7">
        <v>18.629999000000002</v>
      </c>
      <c r="F670" s="7">
        <v>18.809999000000001</v>
      </c>
      <c r="G670" s="7">
        <v>18.610001</v>
      </c>
      <c r="H670" s="8">
        <f t="shared" si="12"/>
        <v>1.6128494623655972E-3</v>
      </c>
    </row>
    <row r="671" spans="2:8" x14ac:dyDescent="0.2">
      <c r="B671" s="5">
        <v>44435</v>
      </c>
      <c r="C671" s="6" t="s">
        <v>16</v>
      </c>
      <c r="D671" s="7">
        <v>18.66</v>
      </c>
      <c r="E671" s="7">
        <v>18.66</v>
      </c>
      <c r="F671" s="7">
        <v>18.690000999999999</v>
      </c>
      <c r="G671" s="7">
        <v>18.549999</v>
      </c>
      <c r="H671" s="8">
        <f t="shared" si="12"/>
        <v>1.6103597214363033E-3</v>
      </c>
    </row>
    <row r="672" spans="2:8" x14ac:dyDescent="0.2">
      <c r="B672" s="5">
        <v>44436</v>
      </c>
      <c r="C672" s="6" t="s">
        <v>16</v>
      </c>
      <c r="D672" s="7">
        <v>18.739999999999998</v>
      </c>
      <c r="E672" s="7">
        <v>18.739999999999998</v>
      </c>
      <c r="F672" s="7">
        <v>18.870000999999998</v>
      </c>
      <c r="G672" s="7">
        <v>18.739999999999998</v>
      </c>
      <c r="H672" s="8">
        <f t="shared" si="12"/>
        <v>4.2872454448016238E-3</v>
      </c>
    </row>
    <row r="673" spans="2:8" x14ac:dyDescent="0.2">
      <c r="B673" s="5">
        <v>44437</v>
      </c>
      <c r="C673" s="6" t="s">
        <v>16</v>
      </c>
      <c r="D673" s="7">
        <v>18.709999</v>
      </c>
      <c r="E673" s="7">
        <v>18.709999</v>
      </c>
      <c r="F673" s="7">
        <v>18.850000000000001</v>
      </c>
      <c r="G673" s="7">
        <v>18.670000000000002</v>
      </c>
      <c r="H673" s="8">
        <f t="shared" si="12"/>
        <v>-1.6009071504801823E-3</v>
      </c>
    </row>
    <row r="674" spans="2:8" x14ac:dyDescent="0.2">
      <c r="B674" s="5">
        <v>44441</v>
      </c>
      <c r="C674" s="6" t="s">
        <v>16</v>
      </c>
      <c r="D674" s="7">
        <v>18.41</v>
      </c>
      <c r="E674" s="7">
        <v>18.41</v>
      </c>
      <c r="F674" s="7">
        <v>18.510000000000002</v>
      </c>
      <c r="G674" s="7">
        <v>18.32</v>
      </c>
      <c r="H674" s="8">
        <f t="shared" si="12"/>
        <v>-1.6034153716416536E-2</v>
      </c>
    </row>
    <row r="675" spans="2:8" x14ac:dyDescent="0.2">
      <c r="B675" s="5">
        <v>44442</v>
      </c>
      <c r="C675" s="6" t="s">
        <v>16</v>
      </c>
      <c r="D675" s="7">
        <v>18.43</v>
      </c>
      <c r="E675" s="7">
        <v>18.43</v>
      </c>
      <c r="F675" s="7">
        <v>18.440000999999999</v>
      </c>
      <c r="G675" s="7">
        <v>18.360001</v>
      </c>
      <c r="H675" s="8">
        <f t="shared" si="12"/>
        <v>1.0863661053774891E-3</v>
      </c>
    </row>
    <row r="676" spans="2:8" x14ac:dyDescent="0.2">
      <c r="B676" s="5">
        <v>44443</v>
      </c>
      <c r="C676" s="6" t="s">
        <v>16</v>
      </c>
      <c r="D676" s="7">
        <v>18.32</v>
      </c>
      <c r="E676" s="7">
        <v>18.32</v>
      </c>
      <c r="F676" s="7">
        <v>18.579999999999998</v>
      </c>
      <c r="G676" s="7">
        <v>18.260000000000002</v>
      </c>
      <c r="H676" s="8">
        <f t="shared" si="12"/>
        <v>-5.9685295713510274E-3</v>
      </c>
    </row>
    <row r="677" spans="2:8" x14ac:dyDescent="0.2">
      <c r="B677" s="5">
        <v>44444</v>
      </c>
      <c r="C677" s="6" t="s">
        <v>16</v>
      </c>
      <c r="D677" s="7">
        <v>18.420000000000002</v>
      </c>
      <c r="E677" s="7">
        <v>18.420000000000002</v>
      </c>
      <c r="F677" s="7">
        <v>18.43</v>
      </c>
      <c r="G677" s="7">
        <v>18.280000999999999</v>
      </c>
      <c r="H677" s="8">
        <f t="shared" si="12"/>
        <v>5.4585152838428725E-3</v>
      </c>
    </row>
    <row r="678" spans="2:8" x14ac:dyDescent="0.2">
      <c r="B678" s="5">
        <v>44447</v>
      </c>
      <c r="C678" s="6" t="s">
        <v>16</v>
      </c>
      <c r="D678" s="7">
        <v>18.260000000000002</v>
      </c>
      <c r="E678" s="7">
        <v>18.260000000000002</v>
      </c>
      <c r="F678" s="7">
        <v>18.370000999999998</v>
      </c>
      <c r="G678" s="7">
        <v>18.149999999999999</v>
      </c>
      <c r="H678" s="8">
        <f t="shared" si="12"/>
        <v>-8.6862106406080421E-3</v>
      </c>
    </row>
    <row r="679" spans="2:8" x14ac:dyDescent="0.2">
      <c r="B679" s="5">
        <v>44448</v>
      </c>
      <c r="C679" s="6" t="s">
        <v>16</v>
      </c>
      <c r="D679" s="7">
        <v>18.309999000000001</v>
      </c>
      <c r="E679" s="7">
        <v>18.309999000000001</v>
      </c>
      <c r="F679" s="7">
        <v>18.32</v>
      </c>
      <c r="G679" s="7">
        <v>18.110001</v>
      </c>
      <c r="H679" s="8">
        <f t="shared" si="12"/>
        <v>2.7381708652792812E-3</v>
      </c>
    </row>
    <row r="680" spans="2:8" x14ac:dyDescent="0.2">
      <c r="B680" s="5">
        <v>44449</v>
      </c>
      <c r="C680" s="6" t="s">
        <v>16</v>
      </c>
      <c r="D680" s="7">
        <v>18.239999999999998</v>
      </c>
      <c r="E680" s="7">
        <v>18.239999999999998</v>
      </c>
      <c r="F680" s="7">
        <v>18.290001</v>
      </c>
      <c r="G680" s="7">
        <v>18.120000999999998</v>
      </c>
      <c r="H680" s="8">
        <f t="shared" si="12"/>
        <v>-3.8229931088474009E-3</v>
      </c>
    </row>
    <row r="681" spans="2:8" x14ac:dyDescent="0.2">
      <c r="B681" s="5">
        <v>44450</v>
      </c>
      <c r="C681" s="6" t="s">
        <v>16</v>
      </c>
      <c r="D681" s="7">
        <v>17.959999</v>
      </c>
      <c r="E681" s="7">
        <v>17.959999</v>
      </c>
      <c r="F681" s="7">
        <v>17.969999000000001</v>
      </c>
      <c r="G681" s="7">
        <v>17.82</v>
      </c>
      <c r="H681" s="8">
        <f t="shared" si="12"/>
        <v>-1.5350932017543785E-2</v>
      </c>
    </row>
    <row r="682" spans="2:8" x14ac:dyDescent="0.2">
      <c r="B682" s="5">
        <v>44451</v>
      </c>
      <c r="C682" s="6" t="s">
        <v>16</v>
      </c>
      <c r="D682" s="7">
        <v>17.889999</v>
      </c>
      <c r="E682" s="7">
        <v>17.889999</v>
      </c>
      <c r="F682" s="7">
        <v>17.920000000000002</v>
      </c>
      <c r="G682" s="7">
        <v>17.760000000000002</v>
      </c>
      <c r="H682" s="8">
        <f t="shared" si="12"/>
        <v>-3.8975503283714152E-3</v>
      </c>
    </row>
    <row r="683" spans="2:8" x14ac:dyDescent="0.2">
      <c r="B683" s="5">
        <v>44454</v>
      </c>
      <c r="C683" s="6" t="s">
        <v>16</v>
      </c>
      <c r="D683" s="7">
        <v>17.920000000000002</v>
      </c>
      <c r="E683" s="7">
        <v>17.920000000000002</v>
      </c>
      <c r="F683" s="7">
        <v>17.940000999999999</v>
      </c>
      <c r="G683" s="7">
        <v>17.809999000000001</v>
      </c>
      <c r="H683" s="8">
        <f t="shared" si="12"/>
        <v>1.6769704682488896E-3</v>
      </c>
    </row>
    <row r="684" spans="2:8" x14ac:dyDescent="0.2">
      <c r="B684" s="5">
        <v>44455</v>
      </c>
      <c r="C684" s="6" t="s">
        <v>16</v>
      </c>
      <c r="D684" s="7">
        <v>17.950001</v>
      </c>
      <c r="E684" s="7">
        <v>17.950001</v>
      </c>
      <c r="F684" s="7">
        <v>18.120000999999998</v>
      </c>
      <c r="G684" s="7">
        <v>17.860001</v>
      </c>
      <c r="H684" s="8">
        <f t="shared" si="12"/>
        <v>1.6741629464284938E-3</v>
      </c>
    </row>
    <row r="685" spans="2:8" x14ac:dyDescent="0.2">
      <c r="B685" s="5">
        <v>44456</v>
      </c>
      <c r="C685" s="6" t="s">
        <v>16</v>
      </c>
      <c r="D685" s="7">
        <v>17.77</v>
      </c>
      <c r="E685" s="7">
        <v>17.77</v>
      </c>
      <c r="F685" s="7">
        <v>18.030000999999999</v>
      </c>
      <c r="G685" s="7">
        <v>17.739999999999998</v>
      </c>
      <c r="H685" s="8">
        <f t="shared" si="12"/>
        <v>-1.0027910304851834E-2</v>
      </c>
    </row>
    <row r="686" spans="2:8" x14ac:dyDescent="0.2">
      <c r="B686" s="5">
        <v>44457</v>
      </c>
      <c r="C686" s="6" t="s">
        <v>16</v>
      </c>
      <c r="D686" s="7">
        <v>17.77</v>
      </c>
      <c r="E686" s="7">
        <v>17.77</v>
      </c>
      <c r="F686" s="7">
        <v>17.870000999999998</v>
      </c>
      <c r="G686" s="7">
        <v>17.629999000000002</v>
      </c>
      <c r="H686" s="8">
        <f t="shared" si="12"/>
        <v>0</v>
      </c>
    </row>
    <row r="687" spans="2:8" x14ac:dyDescent="0.2">
      <c r="B687" s="5">
        <v>44458</v>
      </c>
      <c r="C687" s="6" t="s">
        <v>16</v>
      </c>
      <c r="D687" s="7">
        <v>17.190000999999999</v>
      </c>
      <c r="E687" s="7">
        <v>17.190000999999999</v>
      </c>
      <c r="F687" s="7">
        <v>17.639999</v>
      </c>
      <c r="G687" s="7">
        <v>17.079999999999998</v>
      </c>
      <c r="H687" s="8">
        <f t="shared" si="12"/>
        <v>-3.263922341024203E-2</v>
      </c>
    </row>
    <row r="688" spans="2:8" x14ac:dyDescent="0.2">
      <c r="B688" s="5">
        <v>44461</v>
      </c>
      <c r="C688" s="6" t="s">
        <v>16</v>
      </c>
      <c r="D688" s="7">
        <v>17.079999999999998</v>
      </c>
      <c r="E688" s="7">
        <v>17.079999999999998</v>
      </c>
      <c r="F688" s="7">
        <v>17.149999999999999</v>
      </c>
      <c r="G688" s="7">
        <v>16.899999999999999</v>
      </c>
      <c r="H688" s="8">
        <f t="shared" si="12"/>
        <v>-6.3991270273922882E-3</v>
      </c>
    </row>
    <row r="689" spans="2:8" x14ac:dyDescent="0.2">
      <c r="B689" s="5">
        <v>44462</v>
      </c>
      <c r="C689" s="6" t="s">
        <v>16</v>
      </c>
      <c r="D689" s="7">
        <v>17.07</v>
      </c>
      <c r="E689" s="7">
        <v>17.07</v>
      </c>
      <c r="F689" s="7">
        <v>17.129999000000002</v>
      </c>
      <c r="G689" s="7">
        <v>17</v>
      </c>
      <c r="H689" s="8">
        <f t="shared" si="12"/>
        <v>-5.8548009367669854E-4</v>
      </c>
    </row>
    <row r="690" spans="2:8" x14ac:dyDescent="0.2">
      <c r="B690" s="5">
        <v>44463</v>
      </c>
      <c r="C690" s="6" t="s">
        <v>16</v>
      </c>
      <c r="D690" s="7">
        <v>16.989999999999998</v>
      </c>
      <c r="E690" s="7">
        <v>16.989999999999998</v>
      </c>
      <c r="F690" s="7">
        <v>17.079999999999998</v>
      </c>
      <c r="G690" s="7">
        <v>16.82</v>
      </c>
      <c r="H690" s="8">
        <f t="shared" si="12"/>
        <v>-4.686584651435375E-3</v>
      </c>
    </row>
    <row r="691" spans="2:8" x14ac:dyDescent="0.2">
      <c r="B691" s="5">
        <v>44464</v>
      </c>
      <c r="C691" s="6" t="s">
        <v>16</v>
      </c>
      <c r="D691" s="7">
        <v>16.829999999999998</v>
      </c>
      <c r="E691" s="7">
        <v>16.829999999999998</v>
      </c>
      <c r="F691" s="7">
        <v>16.93</v>
      </c>
      <c r="G691" s="7">
        <v>16.620000999999998</v>
      </c>
      <c r="H691" s="8">
        <f t="shared" si="12"/>
        <v>-9.4173042966450952E-3</v>
      </c>
    </row>
    <row r="692" spans="2:8" x14ac:dyDescent="0.2">
      <c r="B692" s="5">
        <v>44465</v>
      </c>
      <c r="C692" s="6" t="s">
        <v>16</v>
      </c>
      <c r="D692" s="7">
        <v>16.899999999999999</v>
      </c>
      <c r="E692" s="7">
        <v>16.899999999999999</v>
      </c>
      <c r="F692" s="7">
        <v>16.91</v>
      </c>
      <c r="G692" s="7">
        <v>16.75</v>
      </c>
      <c r="H692" s="8">
        <f t="shared" si="12"/>
        <v>4.1592394533571178E-3</v>
      </c>
    </row>
    <row r="693" spans="2:8" x14ac:dyDescent="0.2">
      <c r="B693" s="5">
        <v>44468</v>
      </c>
      <c r="C693" s="6" t="s">
        <v>16</v>
      </c>
      <c r="D693" s="7">
        <v>16.780000999999999</v>
      </c>
      <c r="E693" s="7">
        <v>16.780000999999999</v>
      </c>
      <c r="F693" s="7">
        <v>16.879999000000002</v>
      </c>
      <c r="G693" s="7">
        <v>16.73</v>
      </c>
      <c r="H693" s="8">
        <f t="shared" si="12"/>
        <v>-7.1005325443786972E-3</v>
      </c>
    </row>
    <row r="694" spans="2:8" x14ac:dyDescent="0.2">
      <c r="B694" s="5">
        <v>44469</v>
      </c>
      <c r="C694" s="6" t="s">
        <v>16</v>
      </c>
      <c r="D694" s="7">
        <v>16.350000000000001</v>
      </c>
      <c r="E694" s="7">
        <v>16.350000000000001</v>
      </c>
      <c r="F694" s="7">
        <v>16.690000999999999</v>
      </c>
      <c r="G694" s="7">
        <v>16.18</v>
      </c>
      <c r="H694" s="8">
        <f t="shared" si="12"/>
        <v>-2.5625803002037796E-2</v>
      </c>
    </row>
    <row r="695" spans="2:8" x14ac:dyDescent="0.2">
      <c r="B695" s="5">
        <v>44470</v>
      </c>
      <c r="C695" s="6" t="s">
        <v>16</v>
      </c>
      <c r="D695" s="7">
        <v>16.48</v>
      </c>
      <c r="E695" s="7">
        <v>16.48</v>
      </c>
      <c r="F695" s="7">
        <v>16.73</v>
      </c>
      <c r="G695" s="7">
        <v>16.440000999999999</v>
      </c>
      <c r="H695" s="8">
        <f t="shared" si="12"/>
        <v>7.9510703363913759E-3</v>
      </c>
    </row>
    <row r="696" spans="2:8" x14ac:dyDescent="0.2">
      <c r="B696" s="5">
        <v>44471</v>
      </c>
      <c r="C696" s="6" t="s">
        <v>16</v>
      </c>
      <c r="D696" s="7">
        <v>16.41</v>
      </c>
      <c r="E696" s="7">
        <v>16.41</v>
      </c>
      <c r="F696" s="7">
        <v>16.450001</v>
      </c>
      <c r="G696" s="7">
        <v>16.25</v>
      </c>
      <c r="H696" s="8">
        <f t="shared" si="12"/>
        <v>-4.2475728155339978E-3</v>
      </c>
    </row>
    <row r="697" spans="2:8" x14ac:dyDescent="0.2">
      <c r="B697" s="5">
        <v>44472</v>
      </c>
      <c r="C697" s="6" t="s">
        <v>16</v>
      </c>
      <c r="D697" s="7">
        <v>16.120000999999998</v>
      </c>
      <c r="E697" s="7">
        <v>16.120000999999998</v>
      </c>
      <c r="F697" s="7">
        <v>16.290001</v>
      </c>
      <c r="G697" s="7">
        <v>16.040001</v>
      </c>
      <c r="H697" s="8">
        <f t="shared" si="12"/>
        <v>-1.7672090188909303E-2</v>
      </c>
    </row>
    <row r="698" spans="2:8" x14ac:dyDescent="0.2">
      <c r="B698" s="5">
        <v>44475</v>
      </c>
      <c r="C698" s="6" t="s">
        <v>16</v>
      </c>
      <c r="D698" s="7">
        <v>16.600000000000001</v>
      </c>
      <c r="E698" s="7">
        <v>16.600000000000001</v>
      </c>
      <c r="F698" s="7">
        <v>16.649999999999999</v>
      </c>
      <c r="G698" s="7">
        <v>16.309999000000001</v>
      </c>
      <c r="H698" s="8">
        <f t="shared" si="12"/>
        <v>2.9776611056041683E-2</v>
      </c>
    </row>
    <row r="699" spans="2:8" x14ac:dyDescent="0.2">
      <c r="B699" s="5">
        <v>44476</v>
      </c>
      <c r="C699" s="6" t="s">
        <v>16</v>
      </c>
      <c r="D699" s="7">
        <v>16.48</v>
      </c>
      <c r="E699" s="7">
        <v>16.48</v>
      </c>
      <c r="F699" s="7">
        <v>16.629999000000002</v>
      </c>
      <c r="G699" s="7">
        <v>16.389999</v>
      </c>
      <c r="H699" s="8">
        <f t="shared" si="12"/>
        <v>-7.2289156626506616E-3</v>
      </c>
    </row>
    <row r="700" spans="2:8" x14ac:dyDescent="0.2">
      <c r="B700" s="5">
        <v>44477</v>
      </c>
      <c r="C700" s="6" t="s">
        <v>16</v>
      </c>
      <c r="D700" s="7">
        <v>16.68</v>
      </c>
      <c r="E700" s="7">
        <v>16.68</v>
      </c>
      <c r="F700" s="7">
        <v>16.739999999999998</v>
      </c>
      <c r="G700" s="7">
        <v>16.350000000000001</v>
      </c>
      <c r="H700" s="8">
        <f t="shared" si="12"/>
        <v>1.2135922330097044E-2</v>
      </c>
    </row>
    <row r="701" spans="2:8" x14ac:dyDescent="0.2">
      <c r="B701" s="5">
        <v>44478</v>
      </c>
      <c r="C701" s="6" t="s">
        <v>16</v>
      </c>
      <c r="D701" s="7">
        <v>16.620000999999998</v>
      </c>
      <c r="E701" s="7">
        <v>16.620000999999998</v>
      </c>
      <c r="F701" s="7">
        <v>16.969999000000001</v>
      </c>
      <c r="G701" s="7">
        <v>16.610001</v>
      </c>
      <c r="H701" s="8">
        <f t="shared" si="12"/>
        <v>-3.5970623501199788E-3</v>
      </c>
    </row>
    <row r="702" spans="2:8" x14ac:dyDescent="0.2">
      <c r="B702" s="5">
        <v>44479</v>
      </c>
      <c r="C702" s="6" t="s">
        <v>16</v>
      </c>
      <c r="D702" s="7">
        <v>16.639999</v>
      </c>
      <c r="E702" s="7">
        <v>16.639999</v>
      </c>
      <c r="F702" s="7">
        <v>16.68</v>
      </c>
      <c r="G702" s="7">
        <v>16.530000999999999</v>
      </c>
      <c r="H702" s="8">
        <f t="shared" si="12"/>
        <v>1.2032490250753337E-3</v>
      </c>
    </row>
    <row r="703" spans="2:8" x14ac:dyDescent="0.2">
      <c r="B703" s="5">
        <v>44482</v>
      </c>
      <c r="C703" s="6" t="s">
        <v>16</v>
      </c>
      <c r="D703" s="7">
        <v>16.73</v>
      </c>
      <c r="E703" s="7">
        <v>16.73</v>
      </c>
      <c r="F703" s="7">
        <v>16.739999999999998</v>
      </c>
      <c r="G703" s="7">
        <v>16.57</v>
      </c>
      <c r="H703" s="8">
        <f t="shared" si="12"/>
        <v>5.4087142673506705E-3</v>
      </c>
    </row>
    <row r="704" spans="2:8" x14ac:dyDescent="0.2">
      <c r="B704" s="5">
        <v>44483</v>
      </c>
      <c r="C704" s="6" t="s">
        <v>16</v>
      </c>
      <c r="D704" s="7">
        <v>16.68</v>
      </c>
      <c r="E704" s="7">
        <v>16.68</v>
      </c>
      <c r="F704" s="7">
        <v>16.77</v>
      </c>
      <c r="G704" s="7">
        <v>16.610001</v>
      </c>
      <c r="H704" s="8">
        <f t="shared" si="12"/>
        <v>-2.988643156007215E-3</v>
      </c>
    </row>
    <row r="705" spans="2:8" x14ac:dyDescent="0.2">
      <c r="B705" s="5">
        <v>44484</v>
      </c>
      <c r="C705" s="6" t="s">
        <v>16</v>
      </c>
      <c r="D705" s="7">
        <v>16.709999</v>
      </c>
      <c r="E705" s="7">
        <v>16.709999</v>
      </c>
      <c r="F705" s="7">
        <v>17.09</v>
      </c>
      <c r="G705" s="7">
        <v>16.68</v>
      </c>
      <c r="H705" s="8">
        <f t="shared" si="12"/>
        <v>1.798501199040774E-3</v>
      </c>
    </row>
    <row r="706" spans="2:8" x14ac:dyDescent="0.2">
      <c r="B706" s="5">
        <v>44485</v>
      </c>
      <c r="C706" s="6" t="s">
        <v>16</v>
      </c>
      <c r="D706" s="7">
        <v>16.670000000000002</v>
      </c>
      <c r="E706" s="7">
        <v>16.670000000000002</v>
      </c>
      <c r="F706" s="7">
        <v>16.75</v>
      </c>
      <c r="G706" s="7">
        <v>16.5</v>
      </c>
      <c r="H706" s="8">
        <f t="shared" si="12"/>
        <v>-2.3937164807728666E-3</v>
      </c>
    </row>
    <row r="707" spans="2:8" x14ac:dyDescent="0.2">
      <c r="B707" s="5">
        <v>44486</v>
      </c>
      <c r="C707" s="6" t="s">
        <v>16</v>
      </c>
      <c r="D707" s="7">
        <v>16.579999999999998</v>
      </c>
      <c r="E707" s="7">
        <v>16.579999999999998</v>
      </c>
      <c r="F707" s="7">
        <v>16.66</v>
      </c>
      <c r="G707" s="7">
        <v>16.52</v>
      </c>
      <c r="H707" s="8">
        <f t="shared" si="12"/>
        <v>-5.3989202159570125E-3</v>
      </c>
    </row>
    <row r="708" spans="2:8" x14ac:dyDescent="0.2">
      <c r="B708" s="5">
        <v>44489</v>
      </c>
      <c r="C708" s="6" t="s">
        <v>16</v>
      </c>
      <c r="D708" s="7">
        <v>16.73</v>
      </c>
      <c r="E708" s="7">
        <v>16.73</v>
      </c>
      <c r="F708" s="7">
        <v>16.809999000000001</v>
      </c>
      <c r="G708" s="7">
        <v>16.629999000000002</v>
      </c>
      <c r="H708" s="8">
        <f t="shared" ref="H708:H771" si="13">(D708-D707)/D707</f>
        <v>9.0470446320869806E-3</v>
      </c>
    </row>
    <row r="709" spans="2:8" x14ac:dyDescent="0.2">
      <c r="B709" s="5">
        <v>44490</v>
      </c>
      <c r="C709" s="6" t="s">
        <v>16</v>
      </c>
      <c r="D709" s="7">
        <v>16.809999000000001</v>
      </c>
      <c r="E709" s="7">
        <v>16.809999000000001</v>
      </c>
      <c r="F709" s="7">
        <v>16.91</v>
      </c>
      <c r="G709" s="7">
        <v>16.77</v>
      </c>
      <c r="H709" s="8">
        <f t="shared" si="13"/>
        <v>4.7817692767484054E-3</v>
      </c>
    </row>
    <row r="710" spans="2:8" x14ac:dyDescent="0.2">
      <c r="B710" s="5">
        <v>44491</v>
      </c>
      <c r="C710" s="6" t="s">
        <v>16</v>
      </c>
      <c r="D710" s="7">
        <v>16.459999</v>
      </c>
      <c r="E710" s="7">
        <v>16.459999</v>
      </c>
      <c r="F710" s="7">
        <v>16.57</v>
      </c>
      <c r="G710" s="7">
        <v>16.420000000000002</v>
      </c>
      <c r="H710" s="8">
        <f t="shared" si="13"/>
        <v>-2.0820941155320793E-2</v>
      </c>
    </row>
    <row r="711" spans="2:8" x14ac:dyDescent="0.2">
      <c r="B711" s="5">
        <v>44492</v>
      </c>
      <c r="C711" s="6" t="s">
        <v>16</v>
      </c>
      <c r="D711" s="7">
        <v>16.5</v>
      </c>
      <c r="E711" s="7">
        <v>16.5</v>
      </c>
      <c r="F711" s="7">
        <v>16.549999</v>
      </c>
      <c r="G711" s="7">
        <v>16.399999999999999</v>
      </c>
      <c r="H711" s="8">
        <f t="shared" si="13"/>
        <v>2.4301945583350385E-3</v>
      </c>
    </row>
    <row r="712" spans="2:8" x14ac:dyDescent="0.2">
      <c r="B712" s="5">
        <v>44493</v>
      </c>
      <c r="C712" s="6" t="s">
        <v>16</v>
      </c>
      <c r="D712" s="7">
        <v>16.5</v>
      </c>
      <c r="E712" s="7">
        <v>16.5</v>
      </c>
      <c r="F712" s="7">
        <v>16.639999</v>
      </c>
      <c r="G712" s="7">
        <v>16.43</v>
      </c>
      <c r="H712" s="8">
        <f t="shared" si="13"/>
        <v>0</v>
      </c>
    </row>
    <row r="713" spans="2:8" x14ac:dyDescent="0.2">
      <c r="B713" s="5">
        <v>44496</v>
      </c>
      <c r="C713" s="6" t="s">
        <v>16</v>
      </c>
      <c r="D713" s="7">
        <v>16.420000000000002</v>
      </c>
      <c r="E713" s="7">
        <v>16.420000000000002</v>
      </c>
      <c r="F713" s="7">
        <v>16.530000999999999</v>
      </c>
      <c r="G713" s="7">
        <v>16.420000000000002</v>
      </c>
      <c r="H713" s="8">
        <f t="shared" si="13"/>
        <v>-4.8484848484847453E-3</v>
      </c>
    </row>
    <row r="714" spans="2:8" x14ac:dyDescent="0.2">
      <c r="B714" s="5">
        <v>44497</v>
      </c>
      <c r="C714" s="6" t="s">
        <v>16</v>
      </c>
      <c r="D714" s="7">
        <v>16.489999999999998</v>
      </c>
      <c r="E714" s="7">
        <v>16.489999999999998</v>
      </c>
      <c r="F714" s="7">
        <v>16.639999</v>
      </c>
      <c r="G714" s="7">
        <v>16.469999000000001</v>
      </c>
      <c r="H714" s="8">
        <f t="shared" si="13"/>
        <v>4.2630937880631381E-3</v>
      </c>
    </row>
    <row r="715" spans="2:8" x14ac:dyDescent="0.2">
      <c r="B715" s="5">
        <v>44498</v>
      </c>
      <c r="C715" s="6" t="s">
        <v>16</v>
      </c>
      <c r="D715" s="7">
        <v>16.379999000000002</v>
      </c>
      <c r="E715" s="7">
        <v>16.379999000000002</v>
      </c>
      <c r="F715" s="7">
        <v>16.610001</v>
      </c>
      <c r="G715" s="7">
        <v>16.329999999999998</v>
      </c>
      <c r="H715" s="8">
        <f t="shared" si="13"/>
        <v>-6.6707701637354101E-3</v>
      </c>
    </row>
    <row r="716" spans="2:8" x14ac:dyDescent="0.2">
      <c r="B716" s="5">
        <v>44499</v>
      </c>
      <c r="C716" s="6" t="s">
        <v>16</v>
      </c>
      <c r="D716" s="7">
        <v>15.82</v>
      </c>
      <c r="E716" s="7">
        <v>15.82</v>
      </c>
      <c r="F716" s="7">
        <v>15.99</v>
      </c>
      <c r="G716" s="7">
        <v>15.68</v>
      </c>
      <c r="H716" s="8">
        <f t="shared" si="13"/>
        <v>-3.4187975225151185E-2</v>
      </c>
    </row>
    <row r="717" spans="2:8" x14ac:dyDescent="0.2">
      <c r="B717" s="5">
        <v>44500</v>
      </c>
      <c r="C717" s="6" t="s">
        <v>16</v>
      </c>
      <c r="D717" s="7">
        <v>15.5</v>
      </c>
      <c r="E717" s="7">
        <v>15.5</v>
      </c>
      <c r="F717" s="7">
        <v>15.5</v>
      </c>
      <c r="G717" s="7">
        <v>15.21</v>
      </c>
      <c r="H717" s="8">
        <f t="shared" si="13"/>
        <v>-2.0227560050568919E-2</v>
      </c>
    </row>
    <row r="718" spans="2:8" x14ac:dyDescent="0.2">
      <c r="B718" s="5">
        <v>44503</v>
      </c>
      <c r="C718" s="6" t="s">
        <v>16</v>
      </c>
      <c r="D718" s="7">
        <v>15.48</v>
      </c>
      <c r="E718" s="7">
        <v>15.48</v>
      </c>
      <c r="F718" s="7">
        <v>15.56</v>
      </c>
      <c r="G718" s="7">
        <v>15.35</v>
      </c>
      <c r="H718" s="8">
        <f t="shared" si="13"/>
        <v>-1.2903225806451338E-3</v>
      </c>
    </row>
    <row r="719" spans="2:8" x14ac:dyDescent="0.2">
      <c r="B719" s="5">
        <v>44504</v>
      </c>
      <c r="C719" s="6" t="s">
        <v>16</v>
      </c>
      <c r="D719" s="7">
        <v>15.36</v>
      </c>
      <c r="E719" s="7">
        <v>15.36</v>
      </c>
      <c r="F719" s="7">
        <v>15.43</v>
      </c>
      <c r="G719" s="7">
        <v>15.28</v>
      </c>
      <c r="H719" s="8">
        <f t="shared" si="13"/>
        <v>-7.7519379844961881E-3</v>
      </c>
    </row>
    <row r="720" spans="2:8" x14ac:dyDescent="0.2">
      <c r="B720" s="5">
        <v>44505</v>
      </c>
      <c r="C720" s="6" t="s">
        <v>16</v>
      </c>
      <c r="D720" s="7">
        <v>14.66</v>
      </c>
      <c r="E720" s="7">
        <v>14.66</v>
      </c>
      <c r="F720" s="7">
        <v>14.96</v>
      </c>
      <c r="G720" s="7">
        <v>14.64</v>
      </c>
      <c r="H720" s="8">
        <f t="shared" si="13"/>
        <v>-4.5572916666666623E-2</v>
      </c>
    </row>
    <row r="721" spans="2:8" x14ac:dyDescent="0.2">
      <c r="B721" s="5">
        <v>44506</v>
      </c>
      <c r="C721" s="6" t="s">
        <v>16</v>
      </c>
      <c r="D721" s="7">
        <v>14.82</v>
      </c>
      <c r="E721" s="7">
        <v>14.82</v>
      </c>
      <c r="F721" s="7">
        <v>14.84</v>
      </c>
      <c r="G721" s="7">
        <v>14.68</v>
      </c>
      <c r="H721" s="8">
        <f t="shared" si="13"/>
        <v>1.0914051841746257E-2</v>
      </c>
    </row>
    <row r="722" spans="2:8" x14ac:dyDescent="0.2">
      <c r="B722" s="5">
        <v>44507</v>
      </c>
      <c r="C722" s="6" t="s">
        <v>16</v>
      </c>
      <c r="D722" s="7">
        <v>15.1</v>
      </c>
      <c r="E722" s="7">
        <v>15.1</v>
      </c>
      <c r="F722" s="7">
        <v>15.15</v>
      </c>
      <c r="G722" s="7">
        <v>14.91</v>
      </c>
      <c r="H722" s="8">
        <f t="shared" si="13"/>
        <v>1.8893387314439902E-2</v>
      </c>
    </row>
    <row r="723" spans="2:8" x14ac:dyDescent="0.2">
      <c r="B723" s="5">
        <v>44510</v>
      </c>
      <c r="C723" s="6" t="s">
        <v>16</v>
      </c>
      <c r="D723" s="7">
        <v>14.92</v>
      </c>
      <c r="E723" s="7">
        <v>14.92</v>
      </c>
      <c r="F723" s="7">
        <v>15.07</v>
      </c>
      <c r="G723" s="7">
        <v>14.86</v>
      </c>
      <c r="H723" s="8">
        <f t="shared" si="13"/>
        <v>-1.1920529801324485E-2</v>
      </c>
    </row>
    <row r="724" spans="2:8" x14ac:dyDescent="0.2">
      <c r="B724" s="5">
        <v>44511</v>
      </c>
      <c r="C724" s="6" t="s">
        <v>16</v>
      </c>
      <c r="D724" s="7">
        <v>15.11</v>
      </c>
      <c r="E724" s="7">
        <v>15.11</v>
      </c>
      <c r="F724" s="7">
        <v>15.24</v>
      </c>
      <c r="G724" s="7">
        <v>14.87</v>
      </c>
      <c r="H724" s="8">
        <f t="shared" si="13"/>
        <v>1.2734584450402112E-2</v>
      </c>
    </row>
    <row r="725" spans="2:8" x14ac:dyDescent="0.2">
      <c r="B725" s="5">
        <v>44512</v>
      </c>
      <c r="C725" s="6" t="s">
        <v>16</v>
      </c>
      <c r="D725" s="7">
        <v>15.03</v>
      </c>
      <c r="E725" s="7">
        <v>15.03</v>
      </c>
      <c r="F725" s="7">
        <v>15.09</v>
      </c>
      <c r="G725" s="7">
        <v>14.96</v>
      </c>
      <c r="H725" s="8">
        <f t="shared" si="13"/>
        <v>-5.2945069490403758E-3</v>
      </c>
    </row>
    <row r="726" spans="2:8" x14ac:dyDescent="0.2">
      <c r="B726" s="5">
        <v>44513</v>
      </c>
      <c r="C726" s="6" t="s">
        <v>16</v>
      </c>
      <c r="D726" s="7">
        <v>14.97</v>
      </c>
      <c r="E726" s="7">
        <v>14.97</v>
      </c>
      <c r="F726" s="7">
        <v>15.09</v>
      </c>
      <c r="G726" s="7">
        <v>14.93</v>
      </c>
      <c r="H726" s="8">
        <f t="shared" si="13"/>
        <v>-3.9920159680637869E-3</v>
      </c>
    </row>
    <row r="727" spans="2:8" x14ac:dyDescent="0.2">
      <c r="B727" s="5">
        <v>44514</v>
      </c>
      <c r="C727" s="6" t="s">
        <v>16</v>
      </c>
      <c r="D727" s="7">
        <v>15.63</v>
      </c>
      <c r="E727" s="7">
        <v>15.63</v>
      </c>
      <c r="F727" s="7">
        <v>15.72</v>
      </c>
      <c r="G727" s="7">
        <v>14.77</v>
      </c>
      <c r="H727" s="8">
        <f t="shared" si="13"/>
        <v>4.408817635270542E-2</v>
      </c>
    </row>
    <row r="728" spans="2:8" x14ac:dyDescent="0.2">
      <c r="B728" s="5">
        <v>44517</v>
      </c>
      <c r="C728" s="6" t="s">
        <v>16</v>
      </c>
      <c r="D728" s="7">
        <v>15.5</v>
      </c>
      <c r="E728" s="7">
        <v>15.5</v>
      </c>
      <c r="F728" s="7">
        <v>15.53</v>
      </c>
      <c r="G728" s="7">
        <v>15.38</v>
      </c>
      <c r="H728" s="8">
        <f t="shared" si="13"/>
        <v>-8.3173384516955079E-3</v>
      </c>
    </row>
    <row r="729" spans="2:8" x14ac:dyDescent="0.2">
      <c r="B729" s="5">
        <v>44518</v>
      </c>
      <c r="C729" s="6" t="s">
        <v>16</v>
      </c>
      <c r="D729" s="7">
        <v>15.55</v>
      </c>
      <c r="E729" s="7">
        <v>15.55</v>
      </c>
      <c r="F729" s="7">
        <v>15.59</v>
      </c>
      <c r="G729" s="7">
        <v>15.47</v>
      </c>
      <c r="H729" s="8">
        <f t="shared" si="13"/>
        <v>3.2258064516129492E-3</v>
      </c>
    </row>
    <row r="730" spans="2:8" x14ac:dyDescent="0.2">
      <c r="B730" s="5">
        <v>44519</v>
      </c>
      <c r="C730" s="6" t="s">
        <v>16</v>
      </c>
      <c r="D730" s="7">
        <v>15.48</v>
      </c>
      <c r="E730" s="7">
        <v>15.48</v>
      </c>
      <c r="F730" s="7">
        <v>15.87</v>
      </c>
      <c r="G730" s="7">
        <v>15.24</v>
      </c>
      <c r="H730" s="8">
        <f t="shared" si="13"/>
        <v>-4.5016077170418186E-3</v>
      </c>
    </row>
    <row r="731" spans="2:8" x14ac:dyDescent="0.2">
      <c r="B731" s="5">
        <v>44520</v>
      </c>
      <c r="C731" s="6" t="s">
        <v>16</v>
      </c>
      <c r="D731" s="7">
        <v>15.6</v>
      </c>
      <c r="E731" s="7">
        <v>15.6</v>
      </c>
      <c r="F731" s="7">
        <v>15.61</v>
      </c>
      <c r="G731" s="7">
        <v>15.46</v>
      </c>
      <c r="H731" s="8">
        <f t="shared" si="13"/>
        <v>7.7519379844960736E-3</v>
      </c>
    </row>
    <row r="732" spans="2:8" x14ac:dyDescent="0.2">
      <c r="B732" s="5">
        <v>44521</v>
      </c>
      <c r="C732" s="6" t="s">
        <v>16</v>
      </c>
      <c r="D732" s="7">
        <v>15.79</v>
      </c>
      <c r="E732" s="7">
        <v>15.79</v>
      </c>
      <c r="F732" s="7">
        <v>15.93</v>
      </c>
      <c r="G732" s="7">
        <v>15.61</v>
      </c>
      <c r="H732" s="8">
        <f t="shared" si="13"/>
        <v>1.2179487179487148E-2</v>
      </c>
    </row>
    <row r="733" spans="2:8" x14ac:dyDescent="0.2">
      <c r="B733" s="5">
        <v>44524</v>
      </c>
      <c r="C733" s="6" t="s">
        <v>16</v>
      </c>
      <c r="D733" s="7">
        <v>15.78</v>
      </c>
      <c r="E733" s="7">
        <v>15.78</v>
      </c>
      <c r="F733" s="7">
        <v>15.81</v>
      </c>
      <c r="G733" s="7">
        <v>15.65</v>
      </c>
      <c r="H733" s="8">
        <f t="shared" si="13"/>
        <v>-6.3331222292588904E-4</v>
      </c>
    </row>
    <row r="734" spans="2:8" x14ac:dyDescent="0.2">
      <c r="B734" s="5">
        <v>44525</v>
      </c>
      <c r="C734" s="6" t="s">
        <v>16</v>
      </c>
      <c r="D734" s="7">
        <v>15.98</v>
      </c>
      <c r="E734" s="7">
        <v>15.98</v>
      </c>
      <c r="F734" s="7">
        <v>16</v>
      </c>
      <c r="G734" s="7">
        <v>15.82</v>
      </c>
      <c r="H734" s="8">
        <f t="shared" si="13"/>
        <v>1.2674271229404377E-2</v>
      </c>
    </row>
    <row r="735" spans="2:8" x14ac:dyDescent="0.2">
      <c r="B735" s="5">
        <v>44526</v>
      </c>
      <c r="C735" s="6" t="s">
        <v>16</v>
      </c>
      <c r="D735" s="7">
        <v>15.87</v>
      </c>
      <c r="E735" s="7">
        <v>15.87</v>
      </c>
      <c r="F735" s="7">
        <v>15.97</v>
      </c>
      <c r="G735" s="7">
        <v>15.85</v>
      </c>
      <c r="H735" s="8">
        <f t="shared" si="13"/>
        <v>-6.8836045056321158E-3</v>
      </c>
    </row>
    <row r="736" spans="2:8" x14ac:dyDescent="0.2">
      <c r="B736" s="5">
        <v>44528</v>
      </c>
      <c r="C736" s="6" t="s">
        <v>16</v>
      </c>
      <c r="D736" s="7">
        <v>14.83</v>
      </c>
      <c r="E736" s="7">
        <v>14.83</v>
      </c>
      <c r="F736" s="7">
        <v>15.24</v>
      </c>
      <c r="G736" s="7">
        <v>14.8</v>
      </c>
      <c r="H736" s="8">
        <f t="shared" si="13"/>
        <v>-6.5532451165721442E-2</v>
      </c>
    </row>
    <row r="737" spans="2:8" x14ac:dyDescent="0.2">
      <c r="B737" s="5">
        <v>44531</v>
      </c>
      <c r="C737" s="6" t="s">
        <v>16</v>
      </c>
      <c r="D737" s="7">
        <v>15.78</v>
      </c>
      <c r="E737" s="7">
        <v>15.78</v>
      </c>
      <c r="F737" s="7">
        <v>16.09</v>
      </c>
      <c r="G737" s="7">
        <v>15.22</v>
      </c>
      <c r="H737" s="8">
        <f t="shared" si="13"/>
        <v>6.4059339177343175E-2</v>
      </c>
    </row>
    <row r="738" spans="2:8" x14ac:dyDescent="0.2">
      <c r="B738" s="5">
        <v>44532</v>
      </c>
      <c r="C738" s="6" t="s">
        <v>16</v>
      </c>
      <c r="D738" s="7">
        <v>15.75</v>
      </c>
      <c r="E738" s="7">
        <v>15.75</v>
      </c>
      <c r="F738" s="7">
        <v>15.83</v>
      </c>
      <c r="G738" s="7">
        <v>15.52</v>
      </c>
      <c r="H738" s="8">
        <f t="shared" si="13"/>
        <v>-1.901140684410606E-3</v>
      </c>
    </row>
    <row r="739" spans="2:8" x14ac:dyDescent="0.2">
      <c r="B739" s="5">
        <v>44533</v>
      </c>
      <c r="C739" s="6" t="s">
        <v>16</v>
      </c>
      <c r="D739" s="7">
        <v>15.73</v>
      </c>
      <c r="E739" s="7">
        <v>15.73</v>
      </c>
      <c r="F739" s="7">
        <v>15.89</v>
      </c>
      <c r="G739" s="7">
        <v>15.63</v>
      </c>
      <c r="H739" s="8">
        <f t="shared" si="13"/>
        <v>-1.2698412698412427E-3</v>
      </c>
    </row>
    <row r="740" spans="2:8" x14ac:dyDescent="0.2">
      <c r="B740" s="5">
        <v>44534</v>
      </c>
      <c r="C740" s="6" t="s">
        <v>16</v>
      </c>
      <c r="D740" s="7">
        <v>15.77</v>
      </c>
      <c r="E740" s="7">
        <v>15.77</v>
      </c>
      <c r="F740" s="7">
        <v>15.92</v>
      </c>
      <c r="G740" s="7">
        <v>15.75</v>
      </c>
      <c r="H740" s="8">
        <f t="shared" si="13"/>
        <v>2.5429116338206706E-3</v>
      </c>
    </row>
    <row r="741" spans="2:8" x14ac:dyDescent="0.2">
      <c r="B741" s="5">
        <v>44535</v>
      </c>
      <c r="C741" s="6" t="s">
        <v>16</v>
      </c>
      <c r="D741" s="7">
        <v>15.61</v>
      </c>
      <c r="E741" s="7">
        <v>15.61</v>
      </c>
      <c r="F741" s="7">
        <v>15.71</v>
      </c>
      <c r="G741" s="7">
        <v>15.54</v>
      </c>
      <c r="H741" s="8">
        <f t="shared" si="13"/>
        <v>-1.014584654407103E-2</v>
      </c>
    </row>
    <row r="742" spans="2:8" x14ac:dyDescent="0.2">
      <c r="B742" s="5">
        <v>44538</v>
      </c>
      <c r="C742" s="6" t="s">
        <v>16</v>
      </c>
      <c r="D742" s="7">
        <v>15.71</v>
      </c>
      <c r="E742" s="7">
        <v>15.71</v>
      </c>
      <c r="F742" s="7">
        <v>15.74</v>
      </c>
      <c r="G742" s="7">
        <v>15.53</v>
      </c>
      <c r="H742" s="8">
        <f t="shared" si="13"/>
        <v>6.4061499039078425E-3</v>
      </c>
    </row>
    <row r="743" spans="2:8" x14ac:dyDescent="0.2">
      <c r="B743" s="5">
        <v>44539</v>
      </c>
      <c r="C743" s="6" t="s">
        <v>16</v>
      </c>
      <c r="D743" s="7">
        <v>16.32</v>
      </c>
      <c r="E743" s="7">
        <v>16.32</v>
      </c>
      <c r="F743" s="7">
        <v>16.48</v>
      </c>
      <c r="G743" s="7">
        <v>16.02</v>
      </c>
      <c r="H743" s="8">
        <f t="shared" si="13"/>
        <v>3.8828771483131727E-2</v>
      </c>
    </row>
    <row r="744" spans="2:8" x14ac:dyDescent="0.2">
      <c r="B744" s="5">
        <v>44540</v>
      </c>
      <c r="C744" s="6" t="s">
        <v>16</v>
      </c>
      <c r="D744" s="7">
        <v>16.370000999999998</v>
      </c>
      <c r="E744" s="7">
        <v>16.370000999999998</v>
      </c>
      <c r="F744" s="7">
        <v>16.48</v>
      </c>
      <c r="G744" s="7">
        <v>16.329999999999998</v>
      </c>
      <c r="H744" s="8">
        <f t="shared" si="13"/>
        <v>3.0637867647057711E-3</v>
      </c>
    </row>
    <row r="745" spans="2:8" x14ac:dyDescent="0.2">
      <c r="B745" s="5">
        <v>44541</v>
      </c>
      <c r="C745" s="6" t="s">
        <v>16</v>
      </c>
      <c r="D745" s="7">
        <v>16.329999999999998</v>
      </c>
      <c r="E745" s="7">
        <v>16.329999999999998</v>
      </c>
      <c r="F745" s="7">
        <v>16.489999999999998</v>
      </c>
      <c r="G745" s="7">
        <v>16.27</v>
      </c>
      <c r="H745" s="8">
        <f t="shared" si="13"/>
        <v>-2.4435551347858917E-3</v>
      </c>
    </row>
    <row r="746" spans="2:8" x14ac:dyDescent="0.2">
      <c r="B746" s="5">
        <v>44542</v>
      </c>
      <c r="C746" s="6" t="s">
        <v>16</v>
      </c>
      <c r="D746" s="7">
        <v>16.299999</v>
      </c>
      <c r="E746" s="7">
        <v>16.299999</v>
      </c>
      <c r="F746" s="7">
        <v>16.43</v>
      </c>
      <c r="G746" s="7">
        <v>16.280000999999999</v>
      </c>
      <c r="H746" s="8">
        <f t="shared" si="13"/>
        <v>-1.8371708511940364E-3</v>
      </c>
    </row>
    <row r="747" spans="2:8" x14ac:dyDescent="0.2">
      <c r="B747" s="5">
        <v>44545</v>
      </c>
      <c r="C747" s="6" t="s">
        <v>16</v>
      </c>
      <c r="D747" s="7">
        <v>15.47</v>
      </c>
      <c r="E747" s="7">
        <v>15.47</v>
      </c>
      <c r="F747" s="7">
        <v>16.190000999999999</v>
      </c>
      <c r="G747" s="7">
        <v>15.44</v>
      </c>
      <c r="H747" s="8">
        <f t="shared" si="13"/>
        <v>-5.0920187173017557E-2</v>
      </c>
    </row>
    <row r="748" spans="2:8" x14ac:dyDescent="0.2">
      <c r="B748" s="5">
        <v>44546</v>
      </c>
      <c r="C748" s="6" t="s">
        <v>16</v>
      </c>
      <c r="D748" s="7">
        <v>15.08</v>
      </c>
      <c r="E748" s="7">
        <v>15.08</v>
      </c>
      <c r="F748" s="7">
        <v>15.62</v>
      </c>
      <c r="G748" s="7">
        <v>14.88</v>
      </c>
      <c r="H748" s="8">
        <f t="shared" si="13"/>
        <v>-2.5210084033613481E-2</v>
      </c>
    </row>
    <row r="749" spans="2:8" x14ac:dyDescent="0.2">
      <c r="B749" s="5">
        <v>44547</v>
      </c>
      <c r="C749" s="6" t="s">
        <v>16</v>
      </c>
      <c r="D749" s="7">
        <v>15.1</v>
      </c>
      <c r="E749" s="7">
        <v>15.1</v>
      </c>
      <c r="F749" s="7">
        <v>15.38</v>
      </c>
      <c r="G749" s="7">
        <v>14.96</v>
      </c>
      <c r="H749" s="8">
        <f t="shared" si="13"/>
        <v>1.3262599469495739E-3</v>
      </c>
    </row>
    <row r="750" spans="2:8" x14ac:dyDescent="0.2">
      <c r="B750" s="5">
        <v>44548</v>
      </c>
      <c r="C750" s="6" t="s">
        <v>16</v>
      </c>
      <c r="D750" s="7">
        <v>15.25</v>
      </c>
      <c r="E750" s="7">
        <v>15.25</v>
      </c>
      <c r="F750" s="7">
        <v>15.43</v>
      </c>
      <c r="G750" s="7">
        <v>15.17</v>
      </c>
      <c r="H750" s="8">
        <f t="shared" si="13"/>
        <v>9.9337748344371091E-3</v>
      </c>
    </row>
    <row r="751" spans="2:8" x14ac:dyDescent="0.2">
      <c r="B751" s="5">
        <v>44549</v>
      </c>
      <c r="C751" s="6" t="s">
        <v>16</v>
      </c>
      <c r="D751" s="7">
        <v>15.39</v>
      </c>
      <c r="E751" s="7">
        <v>15.39</v>
      </c>
      <c r="F751" s="7">
        <v>15.43</v>
      </c>
      <c r="G751" s="7">
        <v>15.22</v>
      </c>
      <c r="H751" s="8">
        <f t="shared" si="13"/>
        <v>9.1803278688524954E-3</v>
      </c>
    </row>
    <row r="752" spans="2:8" x14ac:dyDescent="0.2">
      <c r="B752" s="5">
        <v>44552</v>
      </c>
      <c r="C752" s="6" t="s">
        <v>16</v>
      </c>
      <c r="D752" s="7">
        <v>14.99</v>
      </c>
      <c r="E752" s="7">
        <v>14.99</v>
      </c>
      <c r="F752" s="7">
        <v>15.31</v>
      </c>
      <c r="G752" s="7">
        <v>14.87</v>
      </c>
      <c r="H752" s="8">
        <f t="shared" si="13"/>
        <v>-2.5990903183885663E-2</v>
      </c>
    </row>
    <row r="753" spans="2:8" x14ac:dyDescent="0.2">
      <c r="B753" s="5">
        <v>44553</v>
      </c>
      <c r="C753" s="6" t="s">
        <v>16</v>
      </c>
      <c r="D753" s="7">
        <v>15.04</v>
      </c>
      <c r="E753" s="7">
        <v>15.04</v>
      </c>
      <c r="F753" s="7">
        <v>15.16</v>
      </c>
      <c r="G753" s="7">
        <v>15</v>
      </c>
      <c r="H753" s="8">
        <f t="shared" si="13"/>
        <v>3.335557038025279E-3</v>
      </c>
    </row>
    <row r="754" spans="2:8" x14ac:dyDescent="0.2">
      <c r="B754" s="5">
        <v>44554</v>
      </c>
      <c r="C754" s="6" t="s">
        <v>16</v>
      </c>
      <c r="D754" s="7">
        <v>15.09</v>
      </c>
      <c r="E754" s="7">
        <v>15.09</v>
      </c>
      <c r="F754" s="7">
        <v>15.13</v>
      </c>
      <c r="G754" s="7">
        <v>15.02</v>
      </c>
      <c r="H754" s="8">
        <f t="shared" si="13"/>
        <v>3.3244680851064303E-3</v>
      </c>
    </row>
    <row r="755" spans="2:8" x14ac:dyDescent="0.2">
      <c r="B755" s="5">
        <v>44556</v>
      </c>
      <c r="C755" s="6" t="s">
        <v>16</v>
      </c>
      <c r="D755" s="7">
        <v>15.35</v>
      </c>
      <c r="E755" s="7">
        <v>15.35</v>
      </c>
      <c r="F755" s="7">
        <v>15.51</v>
      </c>
      <c r="G755" s="7">
        <v>15.35</v>
      </c>
      <c r="H755" s="8">
        <f t="shared" si="13"/>
        <v>1.7229953611663341E-2</v>
      </c>
    </row>
    <row r="756" spans="2:8" x14ac:dyDescent="0.2">
      <c r="B756" s="5">
        <v>44559</v>
      </c>
      <c r="C756" s="6" t="s">
        <v>16</v>
      </c>
      <c r="D756" s="7">
        <v>15.11</v>
      </c>
      <c r="E756" s="7">
        <v>15.11</v>
      </c>
      <c r="F756" s="7">
        <v>15.41</v>
      </c>
      <c r="G756" s="7">
        <v>15.05</v>
      </c>
      <c r="H756" s="8">
        <f t="shared" si="13"/>
        <v>-1.5635179153094477E-2</v>
      </c>
    </row>
    <row r="757" spans="2:8" x14ac:dyDescent="0.2">
      <c r="B757" s="5">
        <v>44560</v>
      </c>
      <c r="C757" s="6" t="s">
        <v>16</v>
      </c>
      <c r="D757" s="7">
        <v>15.58</v>
      </c>
      <c r="E757" s="7">
        <v>15.58</v>
      </c>
      <c r="F757" s="7">
        <v>15.77</v>
      </c>
      <c r="G757" s="7">
        <v>15.32</v>
      </c>
      <c r="H757" s="8">
        <f t="shared" si="13"/>
        <v>3.110522832561222E-2</v>
      </c>
    </row>
    <row r="758" spans="2:8" x14ac:dyDescent="0.2">
      <c r="B758" s="5">
        <v>44561</v>
      </c>
      <c r="C758" s="6" t="s">
        <v>16</v>
      </c>
      <c r="D758" s="7">
        <v>15.06</v>
      </c>
      <c r="E758" s="7">
        <v>15.06</v>
      </c>
      <c r="F758" s="7">
        <v>15.36</v>
      </c>
      <c r="G758" s="7">
        <v>14.91</v>
      </c>
      <c r="H758" s="8">
        <f t="shared" si="13"/>
        <v>-3.3376123234916531E-2</v>
      </c>
    </row>
    <row r="759" spans="2:8" x14ac:dyDescent="0.2">
      <c r="B759" s="5">
        <v>44563</v>
      </c>
      <c r="C759" s="6" t="s">
        <v>16</v>
      </c>
      <c r="D759" s="7">
        <v>15.11</v>
      </c>
      <c r="E759" s="7">
        <v>15.11</v>
      </c>
      <c r="F759" s="7">
        <v>15.39</v>
      </c>
      <c r="G759" s="7">
        <v>14.89</v>
      </c>
      <c r="H759" s="8">
        <f t="shared" si="13"/>
        <v>3.3200531208498626E-3</v>
      </c>
    </row>
    <row r="760" spans="2:8" x14ac:dyDescent="0.2">
      <c r="B760" s="5">
        <v>44566</v>
      </c>
      <c r="C760" s="6" t="s">
        <v>16</v>
      </c>
      <c r="D760" s="7">
        <v>15.5</v>
      </c>
      <c r="E760" s="7">
        <v>15.5</v>
      </c>
      <c r="F760" s="7">
        <v>15.57</v>
      </c>
      <c r="G760" s="7">
        <v>15.23</v>
      </c>
      <c r="H760" s="8">
        <f t="shared" si="13"/>
        <v>2.5810721376571845E-2</v>
      </c>
    </row>
    <row r="761" spans="2:8" x14ac:dyDescent="0.2">
      <c r="B761" s="5">
        <v>44567</v>
      </c>
      <c r="C761" s="6" t="s">
        <v>16</v>
      </c>
      <c r="D761" s="7">
        <v>15.83</v>
      </c>
      <c r="E761" s="7">
        <v>15.83</v>
      </c>
      <c r="F761" s="7">
        <v>16.010000000000002</v>
      </c>
      <c r="G761" s="7">
        <v>15.54</v>
      </c>
      <c r="H761" s="8">
        <f t="shared" si="13"/>
        <v>2.1290322580645164E-2</v>
      </c>
    </row>
    <row r="762" spans="2:8" x14ac:dyDescent="0.2">
      <c r="B762" s="5">
        <v>44568</v>
      </c>
      <c r="C762" s="6" t="s">
        <v>16</v>
      </c>
      <c r="D762" s="7">
        <v>15.85</v>
      </c>
      <c r="E762" s="7">
        <v>15.85</v>
      </c>
      <c r="F762" s="7">
        <v>15.95</v>
      </c>
      <c r="G762" s="7">
        <v>15.68</v>
      </c>
      <c r="H762" s="8">
        <f t="shared" si="13"/>
        <v>1.2634238787112807E-3</v>
      </c>
    </row>
    <row r="763" spans="2:8" x14ac:dyDescent="0.2">
      <c r="B763" s="5">
        <v>44569</v>
      </c>
      <c r="C763" s="6" t="s">
        <v>16</v>
      </c>
      <c r="D763" s="7">
        <v>15.64</v>
      </c>
      <c r="E763" s="7">
        <v>15.64</v>
      </c>
      <c r="F763" s="7">
        <v>15.95</v>
      </c>
      <c r="G763" s="7">
        <v>15.61</v>
      </c>
      <c r="H763" s="8">
        <f t="shared" si="13"/>
        <v>-1.3249211356466818E-2</v>
      </c>
    </row>
    <row r="764" spans="2:8" x14ac:dyDescent="0.2">
      <c r="B764" s="5">
        <v>44570</v>
      </c>
      <c r="C764" s="6" t="s">
        <v>16</v>
      </c>
      <c r="D764" s="7">
        <v>15.77</v>
      </c>
      <c r="E764" s="7">
        <v>15.77</v>
      </c>
      <c r="F764" s="7">
        <v>15.92</v>
      </c>
      <c r="G764" s="7">
        <v>15.68</v>
      </c>
      <c r="H764" s="8">
        <f t="shared" si="13"/>
        <v>8.3120204603579929E-3</v>
      </c>
    </row>
    <row r="765" spans="2:8" x14ac:dyDescent="0.2">
      <c r="B765" s="5">
        <v>44573</v>
      </c>
      <c r="C765" s="6" t="s">
        <v>16</v>
      </c>
      <c r="D765" s="7">
        <v>15.87</v>
      </c>
      <c r="E765" s="7">
        <v>15.87</v>
      </c>
      <c r="F765" s="7">
        <v>15.94</v>
      </c>
      <c r="G765" s="7">
        <v>15.76</v>
      </c>
      <c r="H765" s="8">
        <f t="shared" si="13"/>
        <v>6.3411540900443659E-3</v>
      </c>
    </row>
    <row r="766" spans="2:8" x14ac:dyDescent="0.2">
      <c r="B766" s="5">
        <v>44574</v>
      </c>
      <c r="C766" s="6" t="s">
        <v>16</v>
      </c>
      <c r="D766" s="7">
        <v>16.290001</v>
      </c>
      <c r="E766" s="7">
        <v>16.290001</v>
      </c>
      <c r="F766" s="7">
        <v>16.469999000000001</v>
      </c>
      <c r="G766" s="7">
        <v>16.18</v>
      </c>
      <c r="H766" s="8">
        <f t="shared" si="13"/>
        <v>2.6465091367359861E-2</v>
      </c>
    </row>
    <row r="767" spans="2:8" x14ac:dyDescent="0.2">
      <c r="B767" s="5">
        <v>44575</v>
      </c>
      <c r="C767" s="6" t="s">
        <v>16</v>
      </c>
      <c r="D767" s="7">
        <v>16.129999000000002</v>
      </c>
      <c r="E767" s="7">
        <v>16.129999000000002</v>
      </c>
      <c r="F767" s="7">
        <v>16.360001</v>
      </c>
      <c r="G767" s="7">
        <v>16.120000999999998</v>
      </c>
      <c r="H767" s="8">
        <f t="shared" si="13"/>
        <v>-9.8220988445610682E-3</v>
      </c>
    </row>
    <row r="768" spans="2:8" x14ac:dyDescent="0.2">
      <c r="B768" s="5">
        <v>44576</v>
      </c>
      <c r="C768" s="6" t="s">
        <v>16</v>
      </c>
      <c r="D768" s="7">
        <v>16.149999999999999</v>
      </c>
      <c r="E768" s="7">
        <v>16.149999999999999</v>
      </c>
      <c r="F768" s="7">
        <v>16.48</v>
      </c>
      <c r="G768" s="7">
        <v>16.110001</v>
      </c>
      <c r="H768" s="8">
        <f t="shared" si="13"/>
        <v>1.2399876776183958E-3</v>
      </c>
    </row>
    <row r="769" spans="2:8" x14ac:dyDescent="0.2">
      <c r="B769" s="5">
        <v>44577</v>
      </c>
      <c r="C769" s="6" t="s">
        <v>16</v>
      </c>
      <c r="D769" s="7">
        <v>16.950001</v>
      </c>
      <c r="E769" s="7">
        <v>16.950001</v>
      </c>
      <c r="F769" s="7">
        <v>17.09</v>
      </c>
      <c r="G769" s="7">
        <v>16.399999999999999</v>
      </c>
      <c r="H769" s="8">
        <f t="shared" si="13"/>
        <v>4.9535665634675034E-2</v>
      </c>
    </row>
    <row r="770" spans="2:8" x14ac:dyDescent="0.2">
      <c r="B770" s="5">
        <v>44581</v>
      </c>
      <c r="C770" s="6" t="s">
        <v>16</v>
      </c>
      <c r="D770" s="7">
        <v>17.18</v>
      </c>
      <c r="E770" s="7">
        <v>17.18</v>
      </c>
      <c r="F770" s="7">
        <v>17.260000000000002</v>
      </c>
      <c r="G770" s="7">
        <v>17.010000000000002</v>
      </c>
      <c r="H770" s="8">
        <f t="shared" si="13"/>
        <v>1.3569261736326705E-2</v>
      </c>
    </row>
    <row r="771" spans="2:8" x14ac:dyDescent="0.2">
      <c r="B771" s="5">
        <v>44582</v>
      </c>
      <c r="C771" s="6" t="s">
        <v>16</v>
      </c>
      <c r="D771" s="7">
        <v>17.370000999999998</v>
      </c>
      <c r="E771" s="7">
        <v>17.370000999999998</v>
      </c>
      <c r="F771" s="7">
        <v>17.690000999999999</v>
      </c>
      <c r="G771" s="7">
        <v>17.239999999999998</v>
      </c>
      <c r="H771" s="8">
        <f t="shared" si="13"/>
        <v>1.1059429569266517E-2</v>
      </c>
    </row>
    <row r="772" spans="2:8" x14ac:dyDescent="0.2">
      <c r="B772" s="5">
        <v>44583</v>
      </c>
      <c r="C772" s="6" t="s">
        <v>16</v>
      </c>
      <c r="D772" s="7">
        <v>17.610001</v>
      </c>
      <c r="E772" s="7">
        <v>17.610001</v>
      </c>
      <c r="F772" s="7">
        <v>17.690000999999999</v>
      </c>
      <c r="G772" s="7">
        <v>17.399999999999999</v>
      </c>
      <c r="H772" s="8">
        <f t="shared" ref="H772:H835" si="14">(D772-D771)/D771</f>
        <v>1.3816924938576688E-2</v>
      </c>
    </row>
    <row r="773" spans="2:8" x14ac:dyDescent="0.2">
      <c r="B773" s="5">
        <v>44584</v>
      </c>
      <c r="C773" s="6" t="s">
        <v>16</v>
      </c>
      <c r="D773" s="7">
        <v>17.510000000000002</v>
      </c>
      <c r="E773" s="7">
        <v>17.510000000000002</v>
      </c>
      <c r="F773" s="7">
        <v>17.57</v>
      </c>
      <c r="G773" s="7">
        <v>17.329999999999998</v>
      </c>
      <c r="H773" s="8">
        <f t="shared" si="14"/>
        <v>-5.6786481727058901E-3</v>
      </c>
    </row>
    <row r="774" spans="2:8" x14ac:dyDescent="0.2">
      <c r="B774" s="5">
        <v>44587</v>
      </c>
      <c r="C774" s="6" t="s">
        <v>16</v>
      </c>
      <c r="D774" s="7">
        <v>17.129999000000002</v>
      </c>
      <c r="E774" s="7">
        <v>17.129999000000002</v>
      </c>
      <c r="F774" s="7">
        <v>17.379999000000002</v>
      </c>
      <c r="G774" s="7">
        <v>17.110001</v>
      </c>
      <c r="H774" s="8">
        <f t="shared" si="14"/>
        <v>-2.1701941747572815E-2</v>
      </c>
    </row>
    <row r="775" spans="2:8" x14ac:dyDescent="0.2">
      <c r="B775" s="5">
        <v>44588</v>
      </c>
      <c r="C775" s="6" t="s">
        <v>16</v>
      </c>
      <c r="D775" s="7">
        <v>17.329999999999998</v>
      </c>
      <c r="E775" s="7">
        <v>17.329999999999998</v>
      </c>
      <c r="F775" s="7">
        <v>17.43</v>
      </c>
      <c r="G775" s="7">
        <v>17.18</v>
      </c>
      <c r="H775" s="8">
        <f t="shared" si="14"/>
        <v>1.1675482292789202E-2</v>
      </c>
    </row>
    <row r="776" spans="2:8" x14ac:dyDescent="0.2">
      <c r="B776" s="5">
        <v>44589</v>
      </c>
      <c r="C776" s="6" t="s">
        <v>16</v>
      </c>
      <c r="D776" s="7">
        <v>17.23</v>
      </c>
      <c r="E776" s="7">
        <v>17.23</v>
      </c>
      <c r="F776" s="7">
        <v>17.389999</v>
      </c>
      <c r="G776" s="7">
        <v>17.18</v>
      </c>
      <c r="H776" s="8">
        <f t="shared" si="14"/>
        <v>-5.7703404500864331E-3</v>
      </c>
    </row>
    <row r="777" spans="2:8" x14ac:dyDescent="0.2">
      <c r="B777" s="5">
        <v>44590</v>
      </c>
      <c r="C777" s="6" t="s">
        <v>16</v>
      </c>
      <c r="D777" s="7">
        <v>16.239999999999998</v>
      </c>
      <c r="E777" s="7">
        <v>16.239999999999998</v>
      </c>
      <c r="F777" s="7">
        <v>16.739999999999998</v>
      </c>
      <c r="G777" s="7">
        <v>16.030000999999999</v>
      </c>
      <c r="H777" s="8">
        <f t="shared" si="14"/>
        <v>-5.7457922228671035E-2</v>
      </c>
    </row>
    <row r="778" spans="2:8" x14ac:dyDescent="0.2">
      <c r="B778" s="5">
        <v>44591</v>
      </c>
      <c r="C778" s="6" t="s">
        <v>16</v>
      </c>
      <c r="D778" s="7">
        <v>16.540001</v>
      </c>
      <c r="E778" s="7">
        <v>16.540001</v>
      </c>
      <c r="F778" s="7">
        <v>16.600000000000001</v>
      </c>
      <c r="G778" s="7">
        <v>16.110001</v>
      </c>
      <c r="H778" s="8">
        <f t="shared" si="14"/>
        <v>1.8472967980295674E-2</v>
      </c>
    </row>
    <row r="779" spans="2:8" x14ac:dyDescent="0.2">
      <c r="B779" s="5">
        <v>44594</v>
      </c>
      <c r="C779" s="6" t="s">
        <v>16</v>
      </c>
      <c r="D779" s="7">
        <v>16.469999000000001</v>
      </c>
      <c r="E779" s="7">
        <v>16.469999000000001</v>
      </c>
      <c r="F779" s="7">
        <v>16.610001</v>
      </c>
      <c r="G779" s="7">
        <v>16.350000000000001</v>
      </c>
      <c r="H779" s="8">
        <f t="shared" si="14"/>
        <v>-4.2322851129210203E-3</v>
      </c>
    </row>
    <row r="780" spans="2:8" x14ac:dyDescent="0.2">
      <c r="B780" s="5">
        <v>44595</v>
      </c>
      <c r="C780" s="6" t="s">
        <v>16</v>
      </c>
      <c r="D780" s="7">
        <v>16.549999</v>
      </c>
      <c r="E780" s="7">
        <v>16.549999</v>
      </c>
      <c r="F780" s="7">
        <v>16.75</v>
      </c>
      <c r="G780" s="7">
        <v>16.350000000000001</v>
      </c>
      <c r="H780" s="8">
        <f t="shared" si="14"/>
        <v>4.8573166276451073E-3</v>
      </c>
    </row>
    <row r="781" spans="2:8" x14ac:dyDescent="0.2">
      <c r="B781" s="5">
        <v>44596</v>
      </c>
      <c r="C781" s="6" t="s">
        <v>16</v>
      </c>
      <c r="D781" s="7">
        <v>16.629999000000002</v>
      </c>
      <c r="E781" s="7">
        <v>16.629999000000002</v>
      </c>
      <c r="F781" s="7">
        <v>16.920000000000002</v>
      </c>
      <c r="G781" s="7">
        <v>16.620000999999998</v>
      </c>
      <c r="H781" s="8">
        <f t="shared" si="14"/>
        <v>4.8338371500809066E-3</v>
      </c>
    </row>
    <row r="782" spans="2:8" x14ac:dyDescent="0.2">
      <c r="B782" s="5">
        <v>44597</v>
      </c>
      <c r="C782" s="6" t="s">
        <v>16</v>
      </c>
      <c r="D782" s="7">
        <v>16.579999999999998</v>
      </c>
      <c r="E782" s="7">
        <v>16.579999999999998</v>
      </c>
      <c r="F782" s="7">
        <v>16.600000000000001</v>
      </c>
      <c r="G782" s="7">
        <v>16.27</v>
      </c>
      <c r="H782" s="8">
        <f t="shared" si="14"/>
        <v>-3.0065546005146018E-3</v>
      </c>
    </row>
    <row r="783" spans="2:8" x14ac:dyDescent="0.2">
      <c r="B783" s="5">
        <v>44598</v>
      </c>
      <c r="C783" s="6" t="s">
        <v>16</v>
      </c>
      <c r="D783" s="7">
        <v>16.030000999999999</v>
      </c>
      <c r="E783" s="7">
        <v>16.030000999999999</v>
      </c>
      <c r="F783" s="7">
        <v>16.25</v>
      </c>
      <c r="G783" s="7">
        <v>15.85</v>
      </c>
      <c r="H783" s="8">
        <f t="shared" si="14"/>
        <v>-3.3172436670687561E-2</v>
      </c>
    </row>
    <row r="784" spans="2:8" x14ac:dyDescent="0.2">
      <c r="B784" s="5">
        <v>44601</v>
      </c>
      <c r="C784" s="6" t="s">
        <v>16</v>
      </c>
      <c r="D784" s="7">
        <v>16.32</v>
      </c>
      <c r="E784" s="7">
        <v>16.32</v>
      </c>
      <c r="F784" s="7">
        <v>16.399999999999999</v>
      </c>
      <c r="G784" s="7">
        <v>16.219999000000001</v>
      </c>
      <c r="H784" s="8">
        <f t="shared" si="14"/>
        <v>1.8091015714846288E-2</v>
      </c>
    </row>
    <row r="785" spans="2:8" x14ac:dyDescent="0.2">
      <c r="B785" s="5">
        <v>44602</v>
      </c>
      <c r="C785" s="6" t="s">
        <v>16</v>
      </c>
      <c r="D785" s="7">
        <v>16.190000999999999</v>
      </c>
      <c r="E785" s="7">
        <v>16.190000999999999</v>
      </c>
      <c r="F785" s="7">
        <v>16.379999000000002</v>
      </c>
      <c r="G785" s="7">
        <v>16.129999000000002</v>
      </c>
      <c r="H785" s="8">
        <f t="shared" si="14"/>
        <v>-7.9656250000000942E-3</v>
      </c>
    </row>
    <row r="786" spans="2:8" x14ac:dyDescent="0.2">
      <c r="B786" s="5">
        <v>44603</v>
      </c>
      <c r="C786" s="6" t="s">
        <v>16</v>
      </c>
      <c r="D786" s="7">
        <v>16.079999999999998</v>
      </c>
      <c r="E786" s="7">
        <v>16.079999999999998</v>
      </c>
      <c r="F786" s="7">
        <v>16.23</v>
      </c>
      <c r="G786" s="7">
        <v>16.02</v>
      </c>
      <c r="H786" s="8">
        <f t="shared" si="14"/>
        <v>-6.7943788267833009E-3</v>
      </c>
    </row>
    <row r="787" spans="2:8" x14ac:dyDescent="0.2">
      <c r="B787" s="5">
        <v>44604</v>
      </c>
      <c r="C787" s="6" t="s">
        <v>16</v>
      </c>
      <c r="D787" s="7">
        <v>16.149999999999999</v>
      </c>
      <c r="E787" s="7">
        <v>16.149999999999999</v>
      </c>
      <c r="F787" s="7">
        <v>16.219999000000001</v>
      </c>
      <c r="G787" s="7">
        <v>16.030000999999999</v>
      </c>
      <c r="H787" s="8">
        <f t="shared" si="14"/>
        <v>4.3532338308457895E-3</v>
      </c>
    </row>
    <row r="788" spans="2:8" x14ac:dyDescent="0.2">
      <c r="B788" s="5">
        <v>44605</v>
      </c>
      <c r="C788" s="6" t="s">
        <v>16</v>
      </c>
      <c r="D788" s="7">
        <v>16.540001</v>
      </c>
      <c r="E788" s="7">
        <v>16.540001</v>
      </c>
      <c r="F788" s="7">
        <v>16.700001</v>
      </c>
      <c r="G788" s="7">
        <v>16.48</v>
      </c>
      <c r="H788" s="8">
        <f t="shared" si="14"/>
        <v>2.4148668730650257E-2</v>
      </c>
    </row>
    <row r="789" spans="2:8" x14ac:dyDescent="0.2">
      <c r="B789" s="5">
        <v>44609</v>
      </c>
      <c r="C789" s="6" t="s">
        <v>16</v>
      </c>
      <c r="D789" s="7">
        <v>15.83</v>
      </c>
      <c r="E789" s="7">
        <v>15.83</v>
      </c>
      <c r="F789" s="7">
        <v>15.84</v>
      </c>
      <c r="G789" s="7">
        <v>15.61</v>
      </c>
      <c r="H789" s="8">
        <f t="shared" si="14"/>
        <v>-4.2926297283778891E-2</v>
      </c>
    </row>
    <row r="790" spans="2:8" x14ac:dyDescent="0.2">
      <c r="B790" s="5">
        <v>44610</v>
      </c>
      <c r="C790" s="6" t="s">
        <v>16</v>
      </c>
      <c r="D790" s="7">
        <v>15.75</v>
      </c>
      <c r="E790" s="7">
        <v>15.75</v>
      </c>
      <c r="F790" s="7">
        <v>15.9</v>
      </c>
      <c r="G790" s="7">
        <v>15.57</v>
      </c>
      <c r="H790" s="8">
        <f t="shared" si="14"/>
        <v>-5.0536955148452354E-3</v>
      </c>
    </row>
    <row r="791" spans="2:8" x14ac:dyDescent="0.2">
      <c r="B791" s="5">
        <v>44611</v>
      </c>
      <c r="C791" s="6" t="s">
        <v>16</v>
      </c>
      <c r="D791" s="7">
        <v>15.7</v>
      </c>
      <c r="E791" s="7">
        <v>15.7</v>
      </c>
      <c r="F791" s="7">
        <v>15.86</v>
      </c>
      <c r="G791" s="7">
        <v>15.65</v>
      </c>
      <c r="H791" s="8">
        <f t="shared" si="14"/>
        <v>-3.1746031746032197E-3</v>
      </c>
    </row>
    <row r="792" spans="2:8" x14ac:dyDescent="0.2">
      <c r="B792" s="5">
        <v>44612</v>
      </c>
      <c r="C792" s="6" t="s">
        <v>16</v>
      </c>
      <c r="D792" s="7">
        <v>15.54</v>
      </c>
      <c r="E792" s="7">
        <v>15.54</v>
      </c>
      <c r="F792" s="7">
        <v>15.79</v>
      </c>
      <c r="G792" s="7">
        <v>15.5</v>
      </c>
      <c r="H792" s="8">
        <f t="shared" si="14"/>
        <v>-1.0191082802547781E-2</v>
      </c>
    </row>
    <row r="793" spans="2:8" x14ac:dyDescent="0.2">
      <c r="B793" s="5">
        <v>44615</v>
      </c>
      <c r="C793" s="6" t="s">
        <v>16</v>
      </c>
      <c r="D793" s="7">
        <v>15.63</v>
      </c>
      <c r="E793" s="7">
        <v>15.63</v>
      </c>
      <c r="F793" s="7">
        <v>15.9</v>
      </c>
      <c r="G793" s="7">
        <v>15.56</v>
      </c>
      <c r="H793" s="8">
        <f t="shared" si="14"/>
        <v>5.791505791505897E-3</v>
      </c>
    </row>
    <row r="794" spans="2:8" x14ac:dyDescent="0.2">
      <c r="B794" s="5">
        <v>44616</v>
      </c>
      <c r="C794" s="6" t="s">
        <v>16</v>
      </c>
      <c r="D794" s="7">
        <v>15.56</v>
      </c>
      <c r="E794" s="7">
        <v>15.56</v>
      </c>
      <c r="F794" s="7">
        <v>15.79</v>
      </c>
      <c r="G794" s="7">
        <v>15.4</v>
      </c>
      <c r="H794" s="8">
        <f t="shared" si="14"/>
        <v>-4.4785668586052639E-3</v>
      </c>
    </row>
    <row r="795" spans="2:8" x14ac:dyDescent="0.2">
      <c r="B795" s="5">
        <v>44617</v>
      </c>
      <c r="C795" s="6" t="s">
        <v>16</v>
      </c>
      <c r="D795" s="7">
        <v>15.83</v>
      </c>
      <c r="E795" s="7">
        <v>15.83</v>
      </c>
      <c r="F795" s="7">
        <v>15.86</v>
      </c>
      <c r="G795" s="7">
        <v>15.74</v>
      </c>
      <c r="H795" s="8">
        <f t="shared" si="14"/>
        <v>1.7352185089974267E-2</v>
      </c>
    </row>
    <row r="796" spans="2:8" x14ac:dyDescent="0.2">
      <c r="B796" s="5">
        <v>44618</v>
      </c>
      <c r="C796" s="6" t="s">
        <v>16</v>
      </c>
      <c r="D796" s="7">
        <v>15.84</v>
      </c>
      <c r="E796" s="7">
        <v>15.84</v>
      </c>
      <c r="F796" s="7">
        <v>16.030000999999999</v>
      </c>
      <c r="G796" s="7">
        <v>15.81</v>
      </c>
      <c r="H796" s="8">
        <f t="shared" si="14"/>
        <v>6.3171193935564033E-4</v>
      </c>
    </row>
    <row r="797" spans="2:8" x14ac:dyDescent="0.2">
      <c r="B797" s="5">
        <v>44619</v>
      </c>
      <c r="C797" s="6" t="s">
        <v>16</v>
      </c>
      <c r="D797" s="7">
        <v>15.87</v>
      </c>
      <c r="E797" s="7">
        <v>15.87</v>
      </c>
      <c r="F797" s="7">
        <v>15.96</v>
      </c>
      <c r="G797" s="7">
        <v>15.84</v>
      </c>
      <c r="H797" s="8">
        <f t="shared" si="14"/>
        <v>1.8939393939393537E-3</v>
      </c>
    </row>
    <row r="798" spans="2:8" x14ac:dyDescent="0.2">
      <c r="B798" s="5">
        <v>44622</v>
      </c>
      <c r="C798" s="6" t="s">
        <v>16</v>
      </c>
      <c r="D798" s="7">
        <v>15.66</v>
      </c>
      <c r="E798" s="7">
        <v>15.66</v>
      </c>
      <c r="F798" s="7">
        <v>15.9</v>
      </c>
      <c r="G798" s="7">
        <v>15.65</v>
      </c>
      <c r="H798" s="8">
        <f t="shared" si="14"/>
        <v>-1.3232514177693704E-2</v>
      </c>
    </row>
    <row r="799" spans="2:8" x14ac:dyDescent="0.2">
      <c r="B799" s="5">
        <v>44623</v>
      </c>
      <c r="C799" s="6" t="s">
        <v>16</v>
      </c>
      <c r="D799" s="7">
        <v>15.58</v>
      </c>
      <c r="E799" s="7">
        <v>15.58</v>
      </c>
      <c r="F799" s="7">
        <v>15.85</v>
      </c>
      <c r="G799" s="7">
        <v>15.49</v>
      </c>
      <c r="H799" s="8">
        <f t="shared" si="14"/>
        <v>-5.1085568326947684E-3</v>
      </c>
    </row>
    <row r="800" spans="2:8" x14ac:dyDescent="0.2">
      <c r="B800" s="5">
        <v>44624</v>
      </c>
      <c r="C800" s="6" t="s">
        <v>16</v>
      </c>
      <c r="D800" s="7">
        <v>15.49</v>
      </c>
      <c r="E800" s="7">
        <v>15.49</v>
      </c>
      <c r="F800" s="7">
        <v>15.62</v>
      </c>
      <c r="G800" s="7">
        <v>15.39</v>
      </c>
      <c r="H800" s="8">
        <f t="shared" si="14"/>
        <v>-5.7766367137355489E-3</v>
      </c>
    </row>
    <row r="801" spans="2:8" x14ac:dyDescent="0.2">
      <c r="B801" s="5">
        <v>44625</v>
      </c>
      <c r="C801" s="6" t="s">
        <v>16</v>
      </c>
      <c r="D801" s="7">
        <v>15.53</v>
      </c>
      <c r="E801" s="7">
        <v>15.53</v>
      </c>
      <c r="F801" s="7">
        <v>15.66</v>
      </c>
      <c r="G801" s="7">
        <v>15.46</v>
      </c>
      <c r="H801" s="8">
        <f t="shared" si="14"/>
        <v>2.5823111684957485E-3</v>
      </c>
    </row>
    <row r="802" spans="2:8" x14ac:dyDescent="0.2">
      <c r="B802" s="5">
        <v>44626</v>
      </c>
      <c r="C802" s="6" t="s">
        <v>16</v>
      </c>
      <c r="D802" s="7">
        <v>15.19</v>
      </c>
      <c r="E802" s="7">
        <v>15.19</v>
      </c>
      <c r="F802" s="7">
        <v>15.26</v>
      </c>
      <c r="G802" s="7">
        <v>15.1</v>
      </c>
      <c r="H802" s="8">
        <f t="shared" si="14"/>
        <v>-2.1893110109465541E-2</v>
      </c>
    </row>
    <row r="803" spans="2:8" x14ac:dyDescent="0.2">
      <c r="B803" s="5">
        <v>44629</v>
      </c>
      <c r="C803" s="6" t="s">
        <v>16</v>
      </c>
      <c r="D803" s="7">
        <v>15.1</v>
      </c>
      <c r="E803" s="7">
        <v>15.1</v>
      </c>
      <c r="F803" s="7">
        <v>15.2</v>
      </c>
      <c r="G803" s="7">
        <v>15.1</v>
      </c>
      <c r="H803" s="8">
        <f t="shared" si="14"/>
        <v>-5.9249506254114457E-3</v>
      </c>
    </row>
    <row r="804" spans="2:8" x14ac:dyDescent="0.2">
      <c r="B804" s="5">
        <v>44630</v>
      </c>
      <c r="C804" s="6" t="s">
        <v>16</v>
      </c>
      <c r="D804" s="7">
        <v>15.02</v>
      </c>
      <c r="E804" s="7">
        <v>15.02</v>
      </c>
      <c r="F804" s="7">
        <v>15.17</v>
      </c>
      <c r="G804" s="7">
        <v>14.98</v>
      </c>
      <c r="H804" s="8">
        <f t="shared" si="14"/>
        <v>-5.2980132450331178E-3</v>
      </c>
    </row>
    <row r="805" spans="2:8" x14ac:dyDescent="0.2">
      <c r="B805" s="5">
        <v>44631</v>
      </c>
      <c r="C805" s="6" t="s">
        <v>16</v>
      </c>
      <c r="D805" s="7">
        <v>14.84</v>
      </c>
      <c r="E805" s="7">
        <v>14.84</v>
      </c>
      <c r="F805" s="7">
        <v>14.96</v>
      </c>
      <c r="G805" s="7">
        <v>14.63</v>
      </c>
      <c r="H805" s="8">
        <f t="shared" si="14"/>
        <v>-1.1984021304926746E-2</v>
      </c>
    </row>
    <row r="806" spans="2:8" x14ac:dyDescent="0.2">
      <c r="B806" s="5">
        <v>44632</v>
      </c>
      <c r="C806" s="6" t="s">
        <v>16</v>
      </c>
      <c r="D806" s="7">
        <v>14.92</v>
      </c>
      <c r="E806" s="7">
        <v>14.92</v>
      </c>
      <c r="F806" s="7">
        <v>14.98</v>
      </c>
      <c r="G806" s="7">
        <v>14.82</v>
      </c>
      <c r="H806" s="8">
        <f t="shared" si="14"/>
        <v>5.3908355795148294E-3</v>
      </c>
    </row>
    <row r="807" spans="2:8" x14ac:dyDescent="0.2">
      <c r="B807" s="5">
        <v>44633</v>
      </c>
      <c r="C807" s="6" t="s">
        <v>16</v>
      </c>
      <c r="D807" s="7">
        <v>14.9</v>
      </c>
      <c r="E807" s="7">
        <v>14.9</v>
      </c>
      <c r="F807" s="7">
        <v>14.95</v>
      </c>
      <c r="G807" s="7">
        <v>14.82</v>
      </c>
      <c r="H807" s="8">
        <f t="shared" si="14"/>
        <v>-1.340482573726513E-3</v>
      </c>
    </row>
    <row r="808" spans="2:8" x14ac:dyDescent="0.2">
      <c r="B808" s="5">
        <v>44636</v>
      </c>
      <c r="C808" s="6" t="s">
        <v>16</v>
      </c>
      <c r="D808" s="7">
        <v>14.99</v>
      </c>
      <c r="E808" s="7">
        <v>14.99</v>
      </c>
      <c r="F808" s="7">
        <v>15.04</v>
      </c>
      <c r="G808" s="7">
        <v>14.84</v>
      </c>
      <c r="H808" s="8">
        <f t="shared" si="14"/>
        <v>6.0402684563758292E-3</v>
      </c>
    </row>
    <row r="809" spans="2:8" x14ac:dyDescent="0.2">
      <c r="B809" s="5">
        <v>44637</v>
      </c>
      <c r="C809" s="6" t="s">
        <v>16</v>
      </c>
      <c r="D809" s="7">
        <v>14.9</v>
      </c>
      <c r="E809" s="7">
        <v>14.9</v>
      </c>
      <c r="F809" s="7">
        <v>15.07</v>
      </c>
      <c r="G809" s="7">
        <v>14.75</v>
      </c>
      <c r="H809" s="8">
        <f t="shared" si="14"/>
        <v>-6.0040026684456205E-3</v>
      </c>
    </row>
    <row r="810" spans="2:8" x14ac:dyDescent="0.2">
      <c r="B810" s="5">
        <v>44638</v>
      </c>
      <c r="C810" s="6" t="s">
        <v>16</v>
      </c>
      <c r="D810" s="7">
        <v>15.36</v>
      </c>
      <c r="E810" s="7">
        <v>15.36</v>
      </c>
      <c r="F810" s="7">
        <v>15.38</v>
      </c>
      <c r="G810" s="7">
        <v>14.81</v>
      </c>
      <c r="H810" s="8">
        <f t="shared" si="14"/>
        <v>3.0872483221476447E-2</v>
      </c>
    </row>
    <row r="811" spans="2:8" x14ac:dyDescent="0.2">
      <c r="B811" s="5">
        <v>44639</v>
      </c>
      <c r="C811" s="6" t="s">
        <v>16</v>
      </c>
      <c r="D811" s="7">
        <v>15.44</v>
      </c>
      <c r="E811" s="7">
        <v>15.44</v>
      </c>
      <c r="F811" s="7">
        <v>15.5</v>
      </c>
      <c r="G811" s="7">
        <v>15.22</v>
      </c>
      <c r="H811" s="8">
        <f t="shared" si="14"/>
        <v>5.2083333333333382E-3</v>
      </c>
    </row>
    <row r="812" spans="2:8" x14ac:dyDescent="0.2">
      <c r="B812" s="5">
        <v>44640</v>
      </c>
      <c r="C812" s="6" t="s">
        <v>16</v>
      </c>
      <c r="D812" s="7">
        <v>16</v>
      </c>
      <c r="E812" s="7">
        <v>16</v>
      </c>
      <c r="F812" s="7">
        <v>16.170000000000002</v>
      </c>
      <c r="G812" s="7">
        <v>15.59</v>
      </c>
      <c r="H812" s="8">
        <f t="shared" si="14"/>
        <v>3.6269430051813503E-2</v>
      </c>
    </row>
    <row r="813" spans="2:8" x14ac:dyDescent="0.2">
      <c r="B813" s="5">
        <v>44643</v>
      </c>
      <c r="C813" s="6" t="s">
        <v>16</v>
      </c>
      <c r="D813" s="7">
        <v>16.299999</v>
      </c>
      <c r="E813" s="7">
        <v>16.299999</v>
      </c>
      <c r="F813" s="7">
        <v>16.360001</v>
      </c>
      <c r="G813" s="7">
        <v>16.079999999999998</v>
      </c>
      <c r="H813" s="8">
        <f t="shared" si="14"/>
        <v>1.874993749999998E-2</v>
      </c>
    </row>
    <row r="814" spans="2:8" x14ac:dyDescent="0.2">
      <c r="B814" s="5">
        <v>44644</v>
      </c>
      <c r="C814" s="6" t="s">
        <v>16</v>
      </c>
      <c r="D814" s="7">
        <v>16.280000999999999</v>
      </c>
      <c r="E814" s="7">
        <v>16.280000999999999</v>
      </c>
      <c r="F814" s="7">
        <v>16.280000999999999</v>
      </c>
      <c r="G814" s="7">
        <v>16.079999999999998</v>
      </c>
      <c r="H814" s="8">
        <f t="shared" si="14"/>
        <v>-1.2268712409124118E-3</v>
      </c>
    </row>
    <row r="815" spans="2:8" x14ac:dyDescent="0.2">
      <c r="B815" s="5">
        <v>44645</v>
      </c>
      <c r="C815" s="6" t="s">
        <v>16</v>
      </c>
      <c r="D815" s="7">
        <v>16.239999999999998</v>
      </c>
      <c r="E815" s="7">
        <v>16.239999999999998</v>
      </c>
      <c r="F815" s="7">
        <v>16.389999</v>
      </c>
      <c r="G815" s="7">
        <v>16.209999</v>
      </c>
      <c r="H815" s="8">
        <f t="shared" si="14"/>
        <v>-2.4570637311386026E-3</v>
      </c>
    </row>
    <row r="816" spans="2:8" x14ac:dyDescent="0.2">
      <c r="B816" s="5">
        <v>44646</v>
      </c>
      <c r="C816" s="6" t="s">
        <v>16</v>
      </c>
      <c r="D816" s="7">
        <v>16.299999</v>
      </c>
      <c r="E816" s="7">
        <v>16.299999</v>
      </c>
      <c r="F816" s="7">
        <v>16.41</v>
      </c>
      <c r="G816" s="7">
        <v>16.260000000000002</v>
      </c>
      <c r="H816" s="8">
        <f t="shared" si="14"/>
        <v>3.6945197044335747E-3</v>
      </c>
    </row>
    <row r="817" spans="2:8" x14ac:dyDescent="0.2">
      <c r="B817" s="5">
        <v>44647</v>
      </c>
      <c r="C817" s="6" t="s">
        <v>16</v>
      </c>
      <c r="D817" s="7">
        <v>16.219999000000001</v>
      </c>
      <c r="E817" s="7">
        <v>16.219999000000001</v>
      </c>
      <c r="F817" s="7">
        <v>16.360001</v>
      </c>
      <c r="G817" s="7">
        <v>16.129999000000002</v>
      </c>
      <c r="H817" s="8">
        <f t="shared" si="14"/>
        <v>-4.9079757612254023E-3</v>
      </c>
    </row>
    <row r="818" spans="2:8" x14ac:dyDescent="0.2">
      <c r="B818" s="5">
        <v>44650</v>
      </c>
      <c r="C818" s="6" t="s">
        <v>16</v>
      </c>
      <c r="D818" s="7">
        <v>15.98</v>
      </c>
      <c r="E818" s="7">
        <v>15.98</v>
      </c>
      <c r="F818" s="7">
        <v>16.07</v>
      </c>
      <c r="G818" s="7">
        <v>15.91</v>
      </c>
      <c r="H818" s="8">
        <f t="shared" si="14"/>
        <v>-1.4796486732212557E-2</v>
      </c>
    </row>
    <row r="819" spans="2:8" x14ac:dyDescent="0.2">
      <c r="B819" s="5">
        <v>44651</v>
      </c>
      <c r="C819" s="6" t="s">
        <v>16</v>
      </c>
      <c r="D819" s="7">
        <v>15.93</v>
      </c>
      <c r="E819" s="7">
        <v>15.93</v>
      </c>
      <c r="F819" s="7">
        <v>16.110001</v>
      </c>
      <c r="G819" s="7">
        <v>15.85</v>
      </c>
      <c r="H819" s="8">
        <f t="shared" si="14"/>
        <v>-3.1289111389236988E-3</v>
      </c>
    </row>
    <row r="820" spans="2:8" x14ac:dyDescent="0.2">
      <c r="B820" s="5">
        <v>44652</v>
      </c>
      <c r="C820" s="6" t="s">
        <v>16</v>
      </c>
      <c r="D820" s="7">
        <v>16.23</v>
      </c>
      <c r="E820" s="7">
        <v>16.23</v>
      </c>
      <c r="F820" s="7">
        <v>16.350000000000001</v>
      </c>
      <c r="G820" s="7">
        <v>16</v>
      </c>
      <c r="H820" s="8">
        <f t="shared" si="14"/>
        <v>1.883239171374769E-2</v>
      </c>
    </row>
    <row r="821" spans="2:8" x14ac:dyDescent="0.2">
      <c r="B821" s="5">
        <v>44653</v>
      </c>
      <c r="C821" s="6" t="s">
        <v>16</v>
      </c>
      <c r="D821" s="7">
        <v>16.02</v>
      </c>
      <c r="E821" s="7">
        <v>16.02</v>
      </c>
      <c r="F821" s="7">
        <v>16.129999000000002</v>
      </c>
      <c r="G821" s="7">
        <v>15.88</v>
      </c>
      <c r="H821" s="8">
        <f t="shared" si="14"/>
        <v>-1.2939001848428888E-2</v>
      </c>
    </row>
    <row r="822" spans="2:8" x14ac:dyDescent="0.2">
      <c r="B822" s="5">
        <v>44657</v>
      </c>
      <c r="C822" s="6" t="s">
        <v>16</v>
      </c>
      <c r="D822" s="7">
        <v>16.27</v>
      </c>
      <c r="E822" s="7">
        <v>16.27</v>
      </c>
      <c r="F822" s="7">
        <v>16.57</v>
      </c>
      <c r="G822" s="7">
        <v>16.239999999999998</v>
      </c>
      <c r="H822" s="8">
        <f t="shared" si="14"/>
        <v>1.5605493133583021E-2</v>
      </c>
    </row>
    <row r="823" spans="2:8" x14ac:dyDescent="0.2">
      <c r="B823" s="5">
        <v>44658</v>
      </c>
      <c r="C823" s="6" t="s">
        <v>16</v>
      </c>
      <c r="D823" s="7">
        <v>16.149999999999999</v>
      </c>
      <c r="E823" s="7">
        <v>16.149999999999999</v>
      </c>
      <c r="F823" s="7">
        <v>16.170000000000002</v>
      </c>
      <c r="G823" s="7">
        <v>16.059999000000001</v>
      </c>
      <c r="H823" s="8">
        <f t="shared" si="14"/>
        <v>-7.3755377996312845E-3</v>
      </c>
    </row>
    <row r="824" spans="2:8" x14ac:dyDescent="0.2">
      <c r="B824" s="5">
        <v>44659</v>
      </c>
      <c r="C824" s="6" t="s">
        <v>16</v>
      </c>
      <c r="D824" s="7">
        <v>15.81</v>
      </c>
      <c r="E824" s="7">
        <v>15.81</v>
      </c>
      <c r="F824" s="7">
        <v>16.100000000000001</v>
      </c>
      <c r="G824" s="7">
        <v>15.68</v>
      </c>
      <c r="H824" s="8">
        <f t="shared" si="14"/>
        <v>-2.105263157894725E-2</v>
      </c>
    </row>
    <row r="825" spans="2:8" x14ac:dyDescent="0.2">
      <c r="B825" s="5">
        <v>44660</v>
      </c>
      <c r="C825" s="6" t="s">
        <v>16</v>
      </c>
      <c r="D825" s="7">
        <v>15.51</v>
      </c>
      <c r="E825" s="7">
        <v>15.51</v>
      </c>
      <c r="F825" s="7">
        <v>15.58</v>
      </c>
      <c r="G825" s="7">
        <v>15.44</v>
      </c>
      <c r="H825" s="8">
        <f t="shared" si="14"/>
        <v>-1.897533206831124E-2</v>
      </c>
    </row>
    <row r="826" spans="2:8" x14ac:dyDescent="0.2">
      <c r="B826" s="5">
        <v>44661</v>
      </c>
      <c r="C826" s="6" t="s">
        <v>16</v>
      </c>
      <c r="D826" s="7">
        <v>15.77</v>
      </c>
      <c r="E826" s="7">
        <v>15.77</v>
      </c>
      <c r="F826" s="7">
        <v>15.95</v>
      </c>
      <c r="G826" s="7">
        <v>15.68</v>
      </c>
      <c r="H826" s="8">
        <f t="shared" si="14"/>
        <v>1.6763378465506112E-2</v>
      </c>
    </row>
    <row r="827" spans="2:8" x14ac:dyDescent="0.2">
      <c r="B827" s="5">
        <v>44664</v>
      </c>
      <c r="C827" s="6" t="s">
        <v>16</v>
      </c>
      <c r="D827" s="7">
        <v>15.6</v>
      </c>
      <c r="E827" s="7">
        <v>15.6</v>
      </c>
      <c r="F827" s="7">
        <v>15.66</v>
      </c>
      <c r="G827" s="7">
        <v>15.58</v>
      </c>
      <c r="H827" s="8">
        <f t="shared" si="14"/>
        <v>-1.0779961953075455E-2</v>
      </c>
    </row>
    <row r="828" spans="2:8" x14ac:dyDescent="0.2">
      <c r="B828" s="5">
        <v>44665</v>
      </c>
      <c r="C828" s="6" t="s">
        <v>16</v>
      </c>
      <c r="D828" s="7">
        <v>15.51</v>
      </c>
      <c r="E828" s="7">
        <v>15.51</v>
      </c>
      <c r="F828" s="7">
        <v>15.66</v>
      </c>
      <c r="G828" s="7">
        <v>15.49</v>
      </c>
      <c r="H828" s="8">
        <f t="shared" si="14"/>
        <v>-5.76923076923076E-3</v>
      </c>
    </row>
    <row r="829" spans="2:8" x14ac:dyDescent="0.2">
      <c r="B829" s="5">
        <v>44666</v>
      </c>
      <c r="C829" s="6" t="s">
        <v>16</v>
      </c>
      <c r="D829" s="7">
        <v>15.63</v>
      </c>
      <c r="E829" s="7">
        <v>15.63</v>
      </c>
      <c r="F829" s="7">
        <v>15.7</v>
      </c>
      <c r="G829" s="7">
        <v>15.47</v>
      </c>
      <c r="H829" s="8">
        <f t="shared" si="14"/>
        <v>7.7369439071567373E-3</v>
      </c>
    </row>
    <row r="830" spans="2:8" x14ac:dyDescent="0.2">
      <c r="B830" s="5">
        <v>44667</v>
      </c>
      <c r="C830" s="6" t="s">
        <v>16</v>
      </c>
      <c r="D830" s="7">
        <v>15.57</v>
      </c>
      <c r="E830" s="7">
        <v>15.57</v>
      </c>
      <c r="F830" s="7">
        <v>15.73</v>
      </c>
      <c r="G830" s="7">
        <v>15.44</v>
      </c>
      <c r="H830" s="8">
        <f t="shared" si="14"/>
        <v>-3.8387715930902427E-3</v>
      </c>
    </row>
    <row r="831" spans="2:8" x14ac:dyDescent="0.2">
      <c r="B831" s="5">
        <v>44668</v>
      </c>
      <c r="C831" s="6" t="s">
        <v>16</v>
      </c>
      <c r="D831" s="7">
        <v>15.56</v>
      </c>
      <c r="E831" s="7">
        <v>15.56</v>
      </c>
      <c r="F831" s="7">
        <v>15.65</v>
      </c>
      <c r="G831" s="7">
        <v>15.52</v>
      </c>
      <c r="H831" s="8">
        <f t="shared" si="14"/>
        <v>-6.4226075786768058E-4</v>
      </c>
    </row>
    <row r="832" spans="2:8" x14ac:dyDescent="0.2">
      <c r="B832" s="5">
        <v>44671</v>
      </c>
      <c r="C832" s="6" t="s">
        <v>16</v>
      </c>
      <c r="D832" s="7">
        <v>15.29</v>
      </c>
      <c r="E832" s="7">
        <v>15.29</v>
      </c>
      <c r="F832" s="7">
        <v>15.36</v>
      </c>
      <c r="G832" s="7">
        <v>15.18</v>
      </c>
      <c r="H832" s="8">
        <f t="shared" si="14"/>
        <v>-1.7352185089974378E-2</v>
      </c>
    </row>
    <row r="833" spans="2:8" x14ac:dyDescent="0.2">
      <c r="B833" s="5">
        <v>44672</v>
      </c>
      <c r="C833" s="6" t="s">
        <v>16</v>
      </c>
      <c r="D833" s="7">
        <v>15.32</v>
      </c>
      <c r="E833" s="7">
        <v>15.32</v>
      </c>
      <c r="F833" s="7">
        <v>15.4</v>
      </c>
      <c r="G833" s="7">
        <v>15.24</v>
      </c>
      <c r="H833" s="8">
        <f t="shared" si="14"/>
        <v>1.9620667102682237E-3</v>
      </c>
    </row>
    <row r="834" spans="2:8" x14ac:dyDescent="0.2">
      <c r="B834" s="5">
        <v>44673</v>
      </c>
      <c r="C834" s="6" t="s">
        <v>16</v>
      </c>
      <c r="D834" s="7">
        <v>15.11</v>
      </c>
      <c r="E834" s="7">
        <v>15.11</v>
      </c>
      <c r="F834" s="7">
        <v>15.28</v>
      </c>
      <c r="G834" s="7">
        <v>15.02</v>
      </c>
      <c r="H834" s="8">
        <f t="shared" si="14"/>
        <v>-1.3707571801566634E-2</v>
      </c>
    </row>
    <row r="835" spans="2:8" x14ac:dyDescent="0.2">
      <c r="B835" s="5">
        <v>44674</v>
      </c>
      <c r="C835" s="6" t="s">
        <v>16</v>
      </c>
      <c r="D835" s="7">
        <v>15.21</v>
      </c>
      <c r="E835" s="7">
        <v>15.21</v>
      </c>
      <c r="F835" s="7">
        <v>15.25</v>
      </c>
      <c r="G835" s="7">
        <v>15.07</v>
      </c>
      <c r="H835" s="8">
        <f t="shared" si="14"/>
        <v>6.6181336863005572E-3</v>
      </c>
    </row>
    <row r="836" spans="2:8" x14ac:dyDescent="0.2">
      <c r="B836" s="5">
        <v>44675</v>
      </c>
      <c r="C836" s="6" t="s">
        <v>16</v>
      </c>
      <c r="D836" s="7">
        <v>15.06</v>
      </c>
      <c r="E836" s="7">
        <v>15.06</v>
      </c>
      <c r="F836" s="7">
        <v>15.15</v>
      </c>
      <c r="G836" s="7">
        <v>14.93</v>
      </c>
      <c r="H836" s="8">
        <f t="shared" ref="H836:H899" si="15">(D836-D835)/D835</f>
        <v>-9.8619329388560384E-3</v>
      </c>
    </row>
    <row r="837" spans="2:8" x14ac:dyDescent="0.2">
      <c r="B837" s="5">
        <v>44678</v>
      </c>
      <c r="C837" s="6" t="s">
        <v>16</v>
      </c>
      <c r="D837" s="7">
        <v>15.66</v>
      </c>
      <c r="E837" s="7">
        <v>15.66</v>
      </c>
      <c r="F837" s="7">
        <v>15.76</v>
      </c>
      <c r="G837" s="7">
        <v>15.28</v>
      </c>
      <c r="H837" s="8">
        <f t="shared" si="15"/>
        <v>3.9840637450199182E-2</v>
      </c>
    </row>
    <row r="838" spans="2:8" x14ac:dyDescent="0.2">
      <c r="B838" s="5">
        <v>44679</v>
      </c>
      <c r="C838" s="6" t="s">
        <v>16</v>
      </c>
      <c r="D838" s="7">
        <v>15.87</v>
      </c>
      <c r="E838" s="7">
        <v>15.87</v>
      </c>
      <c r="F838" s="7">
        <v>15.96</v>
      </c>
      <c r="G838" s="7">
        <v>15.71</v>
      </c>
      <c r="H838" s="8">
        <f t="shared" si="15"/>
        <v>1.3409961685823696E-2</v>
      </c>
    </row>
    <row r="839" spans="2:8" x14ac:dyDescent="0.2">
      <c r="B839" s="5">
        <v>44680</v>
      </c>
      <c r="C839" s="6" t="s">
        <v>16</v>
      </c>
      <c r="D839" s="7">
        <v>15.81</v>
      </c>
      <c r="E839" s="7">
        <v>15.81</v>
      </c>
      <c r="F839" s="7">
        <v>15.99</v>
      </c>
      <c r="G839" s="7">
        <v>15.78</v>
      </c>
      <c r="H839" s="8">
        <f t="shared" si="15"/>
        <v>-3.7807183364838514E-3</v>
      </c>
    </row>
    <row r="840" spans="2:8" x14ac:dyDescent="0.2">
      <c r="B840" s="5">
        <v>44681</v>
      </c>
      <c r="C840" s="6" t="s">
        <v>16</v>
      </c>
      <c r="D840" s="7">
        <v>15.43</v>
      </c>
      <c r="E840" s="7">
        <v>15.43</v>
      </c>
      <c r="F840" s="7">
        <v>15.49</v>
      </c>
      <c r="G840" s="7">
        <v>15.13</v>
      </c>
      <c r="H840" s="8">
        <f t="shared" si="15"/>
        <v>-2.4035420619860897E-2</v>
      </c>
    </row>
    <row r="841" spans="2:8" x14ac:dyDescent="0.2">
      <c r="B841" s="5">
        <v>44682</v>
      </c>
      <c r="C841" s="6" t="s">
        <v>16</v>
      </c>
      <c r="D841" s="7">
        <v>15.47</v>
      </c>
      <c r="E841" s="7">
        <v>15.47</v>
      </c>
      <c r="F841" s="7">
        <v>15.49</v>
      </c>
      <c r="G841" s="7">
        <v>15.25</v>
      </c>
      <c r="H841" s="8">
        <f t="shared" si="15"/>
        <v>2.5923525599482128E-3</v>
      </c>
    </row>
    <row r="842" spans="2:8" x14ac:dyDescent="0.2">
      <c r="B842" s="5">
        <v>44685</v>
      </c>
      <c r="C842" s="6" t="s">
        <v>16</v>
      </c>
      <c r="D842" s="7">
        <v>15.7</v>
      </c>
      <c r="E842" s="7">
        <v>15.7</v>
      </c>
      <c r="F842" s="7">
        <v>15.95</v>
      </c>
      <c r="G842" s="7">
        <v>15.67</v>
      </c>
      <c r="H842" s="8">
        <f t="shared" si="15"/>
        <v>1.4867485455720662E-2</v>
      </c>
    </row>
    <row r="843" spans="2:8" x14ac:dyDescent="0.2">
      <c r="B843" s="5">
        <v>44686</v>
      </c>
      <c r="C843" s="6" t="s">
        <v>16</v>
      </c>
      <c r="D843" s="7">
        <v>15.81</v>
      </c>
      <c r="E843" s="7">
        <v>15.81</v>
      </c>
      <c r="F843" s="7">
        <v>15.96</v>
      </c>
      <c r="G843" s="7">
        <v>15.79</v>
      </c>
      <c r="H843" s="8">
        <f t="shared" si="15"/>
        <v>7.0063694267516697E-3</v>
      </c>
    </row>
    <row r="844" spans="2:8" x14ac:dyDescent="0.2">
      <c r="B844" s="5">
        <v>44687</v>
      </c>
      <c r="C844" s="6" t="s">
        <v>16</v>
      </c>
      <c r="D844" s="7">
        <v>15.77</v>
      </c>
      <c r="E844" s="7">
        <v>15.77</v>
      </c>
      <c r="F844" s="7">
        <v>15.93</v>
      </c>
      <c r="G844" s="7">
        <v>15.72</v>
      </c>
      <c r="H844" s="8">
        <f t="shared" si="15"/>
        <v>-2.5300442757748842E-3</v>
      </c>
    </row>
    <row r="845" spans="2:8" x14ac:dyDescent="0.2">
      <c r="B845" s="5">
        <v>44688</v>
      </c>
      <c r="C845" s="6" t="s">
        <v>16</v>
      </c>
      <c r="D845" s="7">
        <v>15.6</v>
      </c>
      <c r="E845" s="7">
        <v>15.6</v>
      </c>
      <c r="F845" s="7">
        <v>15.76</v>
      </c>
      <c r="G845" s="7">
        <v>15.58</v>
      </c>
      <c r="H845" s="8">
        <f t="shared" si="15"/>
        <v>-1.0779961953075455E-2</v>
      </c>
    </row>
    <row r="846" spans="2:8" x14ac:dyDescent="0.2">
      <c r="B846" s="5">
        <v>44689</v>
      </c>
      <c r="C846" s="6" t="s">
        <v>16</v>
      </c>
      <c r="D846" s="7">
        <v>15.76</v>
      </c>
      <c r="E846" s="7">
        <v>15.76</v>
      </c>
      <c r="F846" s="7">
        <v>15.78</v>
      </c>
      <c r="G846" s="7">
        <v>15.63</v>
      </c>
      <c r="H846" s="8">
        <f t="shared" si="15"/>
        <v>1.0256410256410265E-2</v>
      </c>
    </row>
    <row r="847" spans="2:8" x14ac:dyDescent="0.2">
      <c r="B847" s="5">
        <v>44692</v>
      </c>
      <c r="C847" s="6" t="s">
        <v>16</v>
      </c>
      <c r="D847" s="7">
        <v>15.57</v>
      </c>
      <c r="E847" s="7">
        <v>15.57</v>
      </c>
      <c r="F847" s="7">
        <v>15.84</v>
      </c>
      <c r="G847" s="7">
        <v>15.5</v>
      </c>
      <c r="H847" s="8">
        <f t="shared" si="15"/>
        <v>-1.2055837563451745E-2</v>
      </c>
    </row>
    <row r="848" spans="2:8" x14ac:dyDescent="0.2">
      <c r="B848" s="5">
        <v>44693</v>
      </c>
      <c r="C848" s="6" t="s">
        <v>16</v>
      </c>
      <c r="D848" s="7">
        <v>15.81</v>
      </c>
      <c r="E848" s="7">
        <v>15.81</v>
      </c>
      <c r="F848" s="7">
        <v>15.88</v>
      </c>
      <c r="G848" s="7">
        <v>15.64</v>
      </c>
      <c r="H848" s="8">
        <f t="shared" si="15"/>
        <v>1.5414258188824677E-2</v>
      </c>
    </row>
    <row r="849" spans="2:8" x14ac:dyDescent="0.2">
      <c r="B849" s="5">
        <v>44694</v>
      </c>
      <c r="C849" s="6" t="s">
        <v>16</v>
      </c>
      <c r="D849" s="7">
        <v>16.350000000000001</v>
      </c>
      <c r="E849" s="7">
        <v>16.350000000000001</v>
      </c>
      <c r="F849" s="7">
        <v>16.469999000000001</v>
      </c>
      <c r="G849" s="7">
        <v>16.25</v>
      </c>
      <c r="H849" s="8">
        <f t="shared" si="15"/>
        <v>3.4155597722960208E-2</v>
      </c>
    </row>
    <row r="850" spans="2:8" x14ac:dyDescent="0.2">
      <c r="B850" s="5">
        <v>44695</v>
      </c>
      <c r="C850" s="6" t="s">
        <v>16</v>
      </c>
      <c r="D850" s="7">
        <v>16.649999999999999</v>
      </c>
      <c r="E850" s="7">
        <v>16.649999999999999</v>
      </c>
      <c r="F850" s="7">
        <v>16.799999</v>
      </c>
      <c r="G850" s="7">
        <v>16.600000000000001</v>
      </c>
      <c r="H850" s="8">
        <f t="shared" si="15"/>
        <v>1.8348623853210833E-2</v>
      </c>
    </row>
    <row r="851" spans="2:8" x14ac:dyDescent="0.2">
      <c r="B851" s="5">
        <v>44696</v>
      </c>
      <c r="C851" s="6" t="s">
        <v>16</v>
      </c>
      <c r="D851" s="7">
        <v>16.75</v>
      </c>
      <c r="E851" s="7">
        <v>16.75</v>
      </c>
      <c r="F851" s="7">
        <v>16.809999000000001</v>
      </c>
      <c r="G851" s="7">
        <v>16.66</v>
      </c>
      <c r="H851" s="8">
        <f t="shared" si="15"/>
        <v>6.0060060060060918E-3</v>
      </c>
    </row>
    <row r="852" spans="2:8" x14ac:dyDescent="0.2">
      <c r="B852" s="5">
        <v>44699</v>
      </c>
      <c r="C852" s="6" t="s">
        <v>16</v>
      </c>
      <c r="D852" s="7">
        <v>16.889999</v>
      </c>
      <c r="E852" s="7">
        <v>16.889999</v>
      </c>
      <c r="F852" s="7">
        <v>16.959999</v>
      </c>
      <c r="G852" s="7">
        <v>16.799999</v>
      </c>
      <c r="H852" s="8">
        <f t="shared" si="15"/>
        <v>8.358149253731316E-3</v>
      </c>
    </row>
    <row r="853" spans="2:8" x14ac:dyDescent="0.2">
      <c r="B853" s="5">
        <v>44700</v>
      </c>
      <c r="C853" s="6" t="s">
        <v>16</v>
      </c>
      <c r="D853" s="7">
        <v>16.379999000000002</v>
      </c>
      <c r="E853" s="7">
        <v>16.379999000000002</v>
      </c>
      <c r="F853" s="7">
        <v>16.670000000000002</v>
      </c>
      <c r="G853" s="7">
        <v>16.139999</v>
      </c>
      <c r="H853" s="8">
        <f t="shared" si="15"/>
        <v>-3.0195383670537698E-2</v>
      </c>
    </row>
    <row r="854" spans="2:8" x14ac:dyDescent="0.2">
      <c r="B854" s="5">
        <v>44701</v>
      </c>
      <c r="C854" s="6" t="s">
        <v>16</v>
      </c>
      <c r="D854" s="7">
        <v>16.370000999999998</v>
      </c>
      <c r="E854" s="7">
        <v>16.370000999999998</v>
      </c>
      <c r="F854" s="7">
        <v>16.530000999999999</v>
      </c>
      <c r="G854" s="7">
        <v>16.329999999999998</v>
      </c>
      <c r="H854" s="8">
        <f t="shared" si="15"/>
        <v>-6.1037854764234474E-4</v>
      </c>
    </row>
    <row r="855" spans="2:8" x14ac:dyDescent="0.2">
      <c r="B855" s="5">
        <v>44702</v>
      </c>
      <c r="C855" s="6" t="s">
        <v>16</v>
      </c>
      <c r="D855" s="7">
        <v>16.389999</v>
      </c>
      <c r="E855" s="7">
        <v>16.389999</v>
      </c>
      <c r="F855" s="7">
        <v>16.450001</v>
      </c>
      <c r="G855" s="7">
        <v>16.34</v>
      </c>
      <c r="H855" s="8">
        <f t="shared" si="15"/>
        <v>1.2216248490150411E-3</v>
      </c>
    </row>
    <row r="856" spans="2:8" x14ac:dyDescent="0.2">
      <c r="B856" s="5">
        <v>44703</v>
      </c>
      <c r="C856" s="6" t="s">
        <v>16</v>
      </c>
      <c r="D856" s="7">
        <v>16.34</v>
      </c>
      <c r="E856" s="7">
        <v>16.34</v>
      </c>
      <c r="F856" s="7">
        <v>16.450001</v>
      </c>
      <c r="G856" s="7">
        <v>16.280000999999999</v>
      </c>
      <c r="H856" s="8">
        <f t="shared" si="15"/>
        <v>-3.0505798078449965E-3</v>
      </c>
    </row>
    <row r="857" spans="2:8" x14ac:dyDescent="0.2">
      <c r="B857" s="5">
        <v>44707</v>
      </c>
      <c r="C857" s="6" t="s">
        <v>16</v>
      </c>
      <c r="D857" s="7">
        <v>16.02</v>
      </c>
      <c r="E857" s="7">
        <v>16.02</v>
      </c>
      <c r="F857" s="7">
        <v>16.16</v>
      </c>
      <c r="G857" s="7">
        <v>15.98</v>
      </c>
      <c r="H857" s="8">
        <f t="shared" si="15"/>
        <v>-1.9583843329253385E-2</v>
      </c>
    </row>
    <row r="858" spans="2:8" x14ac:dyDescent="0.2">
      <c r="B858" s="5">
        <v>44708</v>
      </c>
      <c r="C858" s="6" t="s">
        <v>16</v>
      </c>
      <c r="D858" s="7">
        <v>15.96</v>
      </c>
      <c r="E858" s="7">
        <v>15.96</v>
      </c>
      <c r="F858" s="7">
        <v>16.02</v>
      </c>
      <c r="G858" s="7">
        <v>15.9</v>
      </c>
      <c r="H858" s="8">
        <f t="shared" si="15"/>
        <v>-3.7453183520598453E-3</v>
      </c>
    </row>
    <row r="859" spans="2:8" x14ac:dyDescent="0.2">
      <c r="B859" s="5">
        <v>44709</v>
      </c>
      <c r="C859" s="6" t="s">
        <v>16</v>
      </c>
      <c r="D859" s="7">
        <v>15.97</v>
      </c>
      <c r="E859" s="7">
        <v>15.97</v>
      </c>
      <c r="F859" s="7">
        <v>16</v>
      </c>
      <c r="G859" s="7">
        <v>15.82</v>
      </c>
      <c r="H859" s="8">
        <f t="shared" si="15"/>
        <v>6.2656641604008688E-4</v>
      </c>
    </row>
    <row r="860" spans="2:8" x14ac:dyDescent="0.2">
      <c r="B860" s="5">
        <v>44710</v>
      </c>
      <c r="C860" s="6" t="s">
        <v>16</v>
      </c>
      <c r="D860" s="7">
        <v>15.99</v>
      </c>
      <c r="E860" s="7">
        <v>15.99</v>
      </c>
      <c r="F860" s="7">
        <v>16.079999999999998</v>
      </c>
      <c r="G860" s="7">
        <v>15.96</v>
      </c>
      <c r="H860" s="8">
        <f t="shared" si="15"/>
        <v>1.2523481527864479E-3</v>
      </c>
    </row>
    <row r="861" spans="2:8" x14ac:dyDescent="0.2">
      <c r="B861" s="5">
        <v>44713</v>
      </c>
      <c r="C861" s="6" t="s">
        <v>16</v>
      </c>
      <c r="D861" s="7">
        <v>16</v>
      </c>
      <c r="E861" s="7">
        <v>16</v>
      </c>
      <c r="F861" s="7">
        <v>16.420000000000002</v>
      </c>
      <c r="G861" s="7">
        <v>15.95</v>
      </c>
      <c r="H861" s="8">
        <f t="shared" si="15"/>
        <v>6.2539086929329498E-4</v>
      </c>
    </row>
    <row r="862" spans="2:8" x14ac:dyDescent="0.2">
      <c r="B862" s="5">
        <v>44714</v>
      </c>
      <c r="C862" s="6" t="s">
        <v>16</v>
      </c>
      <c r="D862" s="7">
        <v>16.07</v>
      </c>
      <c r="E862" s="7">
        <v>16.07</v>
      </c>
      <c r="F862" s="7">
        <v>16.110001</v>
      </c>
      <c r="G862" s="7">
        <v>15.98</v>
      </c>
      <c r="H862" s="8">
        <f t="shared" si="15"/>
        <v>4.3750000000000178E-3</v>
      </c>
    </row>
    <row r="863" spans="2:8" x14ac:dyDescent="0.2">
      <c r="B863" s="5">
        <v>44715</v>
      </c>
      <c r="C863" s="6" t="s">
        <v>16</v>
      </c>
      <c r="D863" s="7">
        <v>15.83</v>
      </c>
      <c r="E863" s="7">
        <v>15.83</v>
      </c>
      <c r="F863" s="7">
        <v>15.93</v>
      </c>
      <c r="G863" s="7">
        <v>15.7</v>
      </c>
      <c r="H863" s="8">
        <f t="shared" si="15"/>
        <v>-1.4934660858743013E-2</v>
      </c>
    </row>
    <row r="864" spans="2:8" x14ac:dyDescent="0.2">
      <c r="B864" s="5">
        <v>44716</v>
      </c>
      <c r="C864" s="6" t="s">
        <v>16</v>
      </c>
      <c r="D864" s="7">
        <v>15.48</v>
      </c>
      <c r="E864" s="7">
        <v>15.48</v>
      </c>
      <c r="F864" s="7">
        <v>15.62</v>
      </c>
      <c r="G864" s="7">
        <v>15.43</v>
      </c>
      <c r="H864" s="8">
        <f t="shared" si="15"/>
        <v>-2.2109917877447861E-2</v>
      </c>
    </row>
    <row r="865" spans="2:8" x14ac:dyDescent="0.2">
      <c r="B865" s="5">
        <v>44717</v>
      </c>
      <c r="C865" s="6" t="s">
        <v>16</v>
      </c>
      <c r="D865" s="7">
        <v>15.39</v>
      </c>
      <c r="E865" s="7">
        <v>15.39</v>
      </c>
      <c r="F865" s="7">
        <v>15.48</v>
      </c>
      <c r="G865" s="7">
        <v>15.29</v>
      </c>
      <c r="H865" s="8">
        <f t="shared" si="15"/>
        <v>-5.8139534883720834E-3</v>
      </c>
    </row>
    <row r="866" spans="2:8" x14ac:dyDescent="0.2">
      <c r="B866" s="5">
        <v>44720</v>
      </c>
      <c r="C866" s="6" t="s">
        <v>16</v>
      </c>
      <c r="D866" s="7">
        <v>15.32</v>
      </c>
      <c r="E866" s="7">
        <v>15.32</v>
      </c>
      <c r="F866" s="7">
        <v>15.37</v>
      </c>
      <c r="G866" s="7">
        <v>15.23</v>
      </c>
      <c r="H866" s="8">
        <f t="shared" si="15"/>
        <v>-4.548408057180005E-3</v>
      </c>
    </row>
    <row r="867" spans="2:8" x14ac:dyDescent="0.2">
      <c r="B867" s="5">
        <v>44721</v>
      </c>
      <c r="C867" s="6" t="s">
        <v>16</v>
      </c>
      <c r="D867" s="7">
        <v>15.29</v>
      </c>
      <c r="E867" s="7">
        <v>15.29</v>
      </c>
      <c r="F867" s="7">
        <v>15.39</v>
      </c>
      <c r="G867" s="7">
        <v>15.27</v>
      </c>
      <c r="H867" s="8">
        <f t="shared" si="15"/>
        <v>-1.9582245430810139E-3</v>
      </c>
    </row>
    <row r="868" spans="2:8" x14ac:dyDescent="0.2">
      <c r="B868" s="5">
        <v>44722</v>
      </c>
      <c r="C868" s="6" t="s">
        <v>16</v>
      </c>
      <c r="D868" s="7">
        <v>15.32</v>
      </c>
      <c r="E868" s="7">
        <v>15.32</v>
      </c>
      <c r="F868" s="7">
        <v>15.46</v>
      </c>
      <c r="G868" s="7">
        <v>15.28</v>
      </c>
      <c r="H868" s="8">
        <f t="shared" si="15"/>
        <v>1.9620667102682237E-3</v>
      </c>
    </row>
    <row r="869" spans="2:8" x14ac:dyDescent="0.2">
      <c r="B869" s="5">
        <v>44723</v>
      </c>
      <c r="C869" s="6" t="s">
        <v>16</v>
      </c>
      <c r="D869" s="7">
        <v>15.33</v>
      </c>
      <c r="E869" s="7">
        <v>15.33</v>
      </c>
      <c r="F869" s="7">
        <v>15.36</v>
      </c>
      <c r="G869" s="7">
        <v>15.17</v>
      </c>
      <c r="H869" s="8">
        <f t="shared" si="15"/>
        <v>6.5274151436029934E-4</v>
      </c>
    </row>
    <row r="870" spans="2:8" x14ac:dyDescent="0.2">
      <c r="B870" s="5">
        <v>44724</v>
      </c>
      <c r="C870" s="6" t="s">
        <v>16</v>
      </c>
      <c r="D870" s="7">
        <v>15.25</v>
      </c>
      <c r="E870" s="7">
        <v>15.25</v>
      </c>
      <c r="F870" s="7">
        <v>15.3</v>
      </c>
      <c r="G870" s="7">
        <v>15.17</v>
      </c>
      <c r="H870" s="8">
        <f t="shared" si="15"/>
        <v>-5.2185257664709769E-3</v>
      </c>
    </row>
    <row r="871" spans="2:8" x14ac:dyDescent="0.2">
      <c r="B871" s="5">
        <v>44727</v>
      </c>
      <c r="C871" s="6" t="s">
        <v>16</v>
      </c>
      <c r="D871" s="7">
        <v>15.4</v>
      </c>
      <c r="E871" s="7">
        <v>15.4</v>
      </c>
      <c r="F871" s="7">
        <v>15.56</v>
      </c>
      <c r="G871" s="7">
        <v>15.29</v>
      </c>
      <c r="H871" s="8">
        <f t="shared" si="15"/>
        <v>9.8360655737705152E-3</v>
      </c>
    </row>
    <row r="872" spans="2:8" x14ac:dyDescent="0.2">
      <c r="B872" s="5">
        <v>44728</v>
      </c>
      <c r="C872" s="6" t="s">
        <v>16</v>
      </c>
      <c r="D872" s="7">
        <v>15.32</v>
      </c>
      <c r="E872" s="7">
        <v>15.32</v>
      </c>
      <c r="F872" s="7">
        <v>15.34</v>
      </c>
      <c r="G872" s="7">
        <v>15.2</v>
      </c>
      <c r="H872" s="8">
        <f t="shared" si="15"/>
        <v>-5.1948051948051991E-3</v>
      </c>
    </row>
    <row r="873" spans="2:8" x14ac:dyDescent="0.2">
      <c r="B873" s="5">
        <v>44729</v>
      </c>
      <c r="C873" s="6" t="s">
        <v>16</v>
      </c>
      <c r="D873" s="7">
        <v>15.45</v>
      </c>
      <c r="E873" s="7">
        <v>15.45</v>
      </c>
      <c r="F873" s="7">
        <v>15.56</v>
      </c>
      <c r="G873" s="7">
        <v>15.26</v>
      </c>
      <c r="H873" s="8">
        <f t="shared" si="15"/>
        <v>8.4856396866840079E-3</v>
      </c>
    </row>
    <row r="874" spans="2:8" x14ac:dyDescent="0.2">
      <c r="B874" s="5">
        <v>44730</v>
      </c>
      <c r="C874" s="6" t="s">
        <v>16</v>
      </c>
      <c r="D874" s="7">
        <v>15.46</v>
      </c>
      <c r="E874" s="7">
        <v>15.46</v>
      </c>
      <c r="F874" s="7">
        <v>15.7</v>
      </c>
      <c r="G874" s="7">
        <v>15.42</v>
      </c>
      <c r="H874" s="8">
        <f t="shared" si="15"/>
        <v>6.4724919093861249E-4</v>
      </c>
    </row>
    <row r="875" spans="2:8" x14ac:dyDescent="0.2">
      <c r="B875" s="5">
        <v>44731</v>
      </c>
      <c r="C875" s="6" t="s">
        <v>16</v>
      </c>
      <c r="D875" s="7">
        <v>15.42</v>
      </c>
      <c r="E875" s="7">
        <v>15.42</v>
      </c>
      <c r="F875" s="7">
        <v>15.49</v>
      </c>
      <c r="G875" s="7">
        <v>15.2</v>
      </c>
      <c r="H875" s="8">
        <f t="shared" si="15"/>
        <v>-2.5873221216041993E-3</v>
      </c>
    </row>
    <row r="876" spans="2:8" x14ac:dyDescent="0.2">
      <c r="B876" s="5">
        <v>44734</v>
      </c>
      <c r="C876" s="6" t="s">
        <v>16</v>
      </c>
      <c r="D876" s="7">
        <v>15.49</v>
      </c>
      <c r="E876" s="7">
        <v>15.49</v>
      </c>
      <c r="F876" s="7">
        <v>15.55</v>
      </c>
      <c r="G876" s="7">
        <v>15.33</v>
      </c>
      <c r="H876" s="8">
        <f t="shared" si="15"/>
        <v>4.539559014267204E-3</v>
      </c>
    </row>
    <row r="877" spans="2:8" x14ac:dyDescent="0.2">
      <c r="B877" s="5">
        <v>44735</v>
      </c>
      <c r="C877" s="6" t="s">
        <v>16</v>
      </c>
      <c r="D877" s="7">
        <v>15.14</v>
      </c>
      <c r="E877" s="7">
        <v>15.14</v>
      </c>
      <c r="F877" s="7">
        <v>15.22</v>
      </c>
      <c r="G877" s="7">
        <v>15.07</v>
      </c>
      <c r="H877" s="8">
        <f t="shared" si="15"/>
        <v>-2.2595222724338261E-2</v>
      </c>
    </row>
    <row r="878" spans="2:8" x14ac:dyDescent="0.2">
      <c r="B878" s="5">
        <v>44736</v>
      </c>
      <c r="C878" s="6" t="s">
        <v>16</v>
      </c>
      <c r="D878" s="7">
        <v>15.19</v>
      </c>
      <c r="E878" s="7">
        <v>15.19</v>
      </c>
      <c r="F878" s="7">
        <v>15.23</v>
      </c>
      <c r="G878" s="7">
        <v>15.13</v>
      </c>
      <c r="H878" s="8">
        <f t="shared" si="15"/>
        <v>3.302509907529652E-3</v>
      </c>
    </row>
    <row r="879" spans="2:8" x14ac:dyDescent="0.2">
      <c r="B879" s="5">
        <v>44737</v>
      </c>
      <c r="C879" s="6" t="s">
        <v>16</v>
      </c>
      <c r="D879" s="7">
        <v>15.17</v>
      </c>
      <c r="E879" s="7">
        <v>15.17</v>
      </c>
      <c r="F879" s="7">
        <v>15.2</v>
      </c>
      <c r="G879" s="7">
        <v>15.09</v>
      </c>
      <c r="H879" s="8">
        <f t="shared" si="15"/>
        <v>-1.3166556945358508E-3</v>
      </c>
    </row>
    <row r="880" spans="2:8" x14ac:dyDescent="0.2">
      <c r="B880" s="5">
        <v>44738</v>
      </c>
      <c r="C880" s="6" t="s">
        <v>16</v>
      </c>
      <c r="D880" s="7">
        <v>15.11</v>
      </c>
      <c r="E880" s="7">
        <v>15.11</v>
      </c>
      <c r="F880" s="7">
        <v>15.13</v>
      </c>
      <c r="G880" s="7">
        <v>15.01</v>
      </c>
      <c r="H880" s="8">
        <f t="shared" si="15"/>
        <v>-3.955174686882037E-3</v>
      </c>
    </row>
    <row r="881" spans="2:8" x14ac:dyDescent="0.2">
      <c r="B881" s="5">
        <v>44741</v>
      </c>
      <c r="C881" s="6" t="s">
        <v>16</v>
      </c>
      <c r="D881" s="7">
        <v>15.03</v>
      </c>
      <c r="E881" s="7">
        <v>15.03</v>
      </c>
      <c r="F881" s="7">
        <v>15.14</v>
      </c>
      <c r="G881" s="7">
        <v>15</v>
      </c>
      <c r="H881" s="8">
        <f t="shared" si="15"/>
        <v>-5.2945069490403758E-3</v>
      </c>
    </row>
    <row r="882" spans="2:8" x14ac:dyDescent="0.2">
      <c r="B882" s="5">
        <v>44742</v>
      </c>
      <c r="C882" s="6" t="s">
        <v>16</v>
      </c>
      <c r="D882" s="7">
        <v>15.03</v>
      </c>
      <c r="E882" s="7">
        <v>15.03</v>
      </c>
      <c r="F882" s="7">
        <v>15.18</v>
      </c>
      <c r="G882" s="7">
        <v>14.8</v>
      </c>
      <c r="H882" s="8">
        <f t="shared" si="15"/>
        <v>0</v>
      </c>
    </row>
    <row r="883" spans="2:8" x14ac:dyDescent="0.2">
      <c r="B883" s="5">
        <v>44743</v>
      </c>
      <c r="C883" s="6" t="s">
        <v>16</v>
      </c>
      <c r="D883" s="7">
        <v>14.9</v>
      </c>
      <c r="E883" s="7">
        <v>14.9</v>
      </c>
      <c r="F883" s="7">
        <v>14.99</v>
      </c>
      <c r="G883" s="7">
        <v>14.86</v>
      </c>
      <c r="H883" s="8">
        <f t="shared" si="15"/>
        <v>-8.6493679308049902E-3</v>
      </c>
    </row>
    <row r="884" spans="2:8" x14ac:dyDescent="0.2">
      <c r="B884" s="5">
        <v>44744</v>
      </c>
      <c r="C884" s="6" t="s">
        <v>16</v>
      </c>
      <c r="D884" s="7">
        <v>14.95</v>
      </c>
      <c r="E884" s="7">
        <v>14.95</v>
      </c>
      <c r="F884" s="7">
        <v>15.03</v>
      </c>
      <c r="G884" s="7">
        <v>14.89</v>
      </c>
      <c r="H884" s="8">
        <f t="shared" si="15"/>
        <v>3.3557046979865056E-3</v>
      </c>
    </row>
    <row r="885" spans="2:8" x14ac:dyDescent="0.2">
      <c r="B885" s="5">
        <v>44748</v>
      </c>
      <c r="C885" s="6" t="s">
        <v>16</v>
      </c>
      <c r="D885" s="7">
        <v>14.99</v>
      </c>
      <c r="E885" s="7">
        <v>14.99</v>
      </c>
      <c r="F885" s="7">
        <v>15.15</v>
      </c>
      <c r="G885" s="7">
        <v>14.87</v>
      </c>
      <c r="H885" s="8">
        <f t="shared" si="15"/>
        <v>2.6755852842809983E-3</v>
      </c>
    </row>
    <row r="886" spans="2:8" x14ac:dyDescent="0.2">
      <c r="B886" s="5">
        <v>44749</v>
      </c>
      <c r="C886" s="6" t="s">
        <v>16</v>
      </c>
      <c r="D886" s="7">
        <v>14.43</v>
      </c>
      <c r="E886" s="7">
        <v>14.43</v>
      </c>
      <c r="F886" s="7">
        <v>14.58</v>
      </c>
      <c r="G886" s="7">
        <v>14.03</v>
      </c>
      <c r="H886" s="8">
        <f t="shared" si="15"/>
        <v>-3.7358238825883953E-2</v>
      </c>
    </row>
    <row r="887" spans="2:8" x14ac:dyDescent="0.2">
      <c r="B887" s="5">
        <v>44750</v>
      </c>
      <c r="C887" s="6" t="s">
        <v>16</v>
      </c>
      <c r="D887" s="7">
        <v>14.46</v>
      </c>
      <c r="E887" s="7">
        <v>14.46</v>
      </c>
      <c r="F887" s="7">
        <v>14.59</v>
      </c>
      <c r="G887" s="7">
        <v>14.41</v>
      </c>
      <c r="H887" s="8">
        <f t="shared" si="15"/>
        <v>2.0790020790021576E-3</v>
      </c>
    </row>
    <row r="888" spans="2:8" x14ac:dyDescent="0.2">
      <c r="B888" s="5">
        <v>44751</v>
      </c>
      <c r="C888" s="6" t="s">
        <v>16</v>
      </c>
      <c r="D888" s="7">
        <v>14.76</v>
      </c>
      <c r="E888" s="7">
        <v>14.76</v>
      </c>
      <c r="F888" s="7">
        <v>14.86</v>
      </c>
      <c r="G888" s="7">
        <v>14.66</v>
      </c>
      <c r="H888" s="8">
        <f t="shared" si="15"/>
        <v>2.0746887966804906E-2</v>
      </c>
    </row>
    <row r="889" spans="2:8" x14ac:dyDescent="0.2">
      <c r="B889" s="5">
        <v>44752</v>
      </c>
      <c r="C889" s="6" t="s">
        <v>16</v>
      </c>
      <c r="D889" s="7">
        <v>14.88</v>
      </c>
      <c r="E889" s="7">
        <v>14.88</v>
      </c>
      <c r="F889" s="7">
        <v>14.97</v>
      </c>
      <c r="G889" s="7">
        <v>14.74</v>
      </c>
      <c r="H889" s="8">
        <f t="shared" si="15"/>
        <v>8.1300813008130749E-3</v>
      </c>
    </row>
    <row r="890" spans="2:8" x14ac:dyDescent="0.2">
      <c r="B890" s="5">
        <v>44755</v>
      </c>
      <c r="C890" s="6" t="s">
        <v>16</v>
      </c>
      <c r="D890" s="7">
        <v>14.81</v>
      </c>
      <c r="E890" s="7">
        <v>14.81</v>
      </c>
      <c r="F890" s="7">
        <v>14.85</v>
      </c>
      <c r="G890" s="7">
        <v>14.65</v>
      </c>
      <c r="H890" s="8">
        <f t="shared" si="15"/>
        <v>-4.7043010752688364E-3</v>
      </c>
    </row>
    <row r="891" spans="2:8" x14ac:dyDescent="0.2">
      <c r="B891" s="5">
        <v>44756</v>
      </c>
      <c r="C891" s="6" t="s">
        <v>16</v>
      </c>
      <c r="D891" s="7">
        <v>14.7</v>
      </c>
      <c r="E891" s="7">
        <v>14.7</v>
      </c>
      <c r="F891" s="7">
        <v>14.78</v>
      </c>
      <c r="G891" s="7">
        <v>14.63</v>
      </c>
      <c r="H891" s="8">
        <f t="shared" si="15"/>
        <v>-7.4274139095206757E-3</v>
      </c>
    </row>
    <row r="892" spans="2:8" x14ac:dyDescent="0.2">
      <c r="B892" s="5">
        <v>44757</v>
      </c>
      <c r="C892" s="6" t="s">
        <v>16</v>
      </c>
      <c r="D892" s="7">
        <v>14.43</v>
      </c>
      <c r="E892" s="7">
        <v>14.43</v>
      </c>
      <c r="F892" s="7">
        <v>14.47</v>
      </c>
      <c r="G892" s="7">
        <v>14.36</v>
      </c>
      <c r="H892" s="8">
        <f t="shared" si="15"/>
        <v>-1.8367346938775481E-2</v>
      </c>
    </row>
    <row r="893" spans="2:8" x14ac:dyDescent="0.2">
      <c r="B893" s="5">
        <v>44758</v>
      </c>
      <c r="C893" s="6" t="s">
        <v>16</v>
      </c>
      <c r="D893" s="7">
        <v>14.35</v>
      </c>
      <c r="E893" s="7">
        <v>14.35</v>
      </c>
      <c r="F893" s="7">
        <v>14.5</v>
      </c>
      <c r="G893" s="7">
        <v>14.32</v>
      </c>
      <c r="H893" s="8">
        <f t="shared" si="15"/>
        <v>-5.5440055440055492E-3</v>
      </c>
    </row>
    <row r="894" spans="2:8" x14ac:dyDescent="0.2">
      <c r="B894" s="5">
        <v>44759</v>
      </c>
      <c r="C894" s="6" t="s">
        <v>16</v>
      </c>
      <c r="D894" s="7">
        <v>14.23</v>
      </c>
      <c r="E894" s="7">
        <v>14.23</v>
      </c>
      <c r="F894" s="7">
        <v>14.29</v>
      </c>
      <c r="G894" s="7">
        <v>14.19</v>
      </c>
      <c r="H894" s="8">
        <f t="shared" si="15"/>
        <v>-8.3623693379790403E-3</v>
      </c>
    </row>
    <row r="895" spans="2:8" x14ac:dyDescent="0.2">
      <c r="B895" s="5">
        <v>44762</v>
      </c>
      <c r="C895" s="6" t="s">
        <v>16</v>
      </c>
      <c r="D895" s="7">
        <v>14.05</v>
      </c>
      <c r="E895" s="7">
        <v>14.05</v>
      </c>
      <c r="F895" s="7">
        <v>14.35</v>
      </c>
      <c r="G895" s="7">
        <v>14.03</v>
      </c>
      <c r="H895" s="8">
        <f t="shared" si="15"/>
        <v>-1.2649332396345728E-2</v>
      </c>
    </row>
    <row r="896" spans="2:8" x14ac:dyDescent="0.2">
      <c r="B896" s="5">
        <v>44763</v>
      </c>
      <c r="C896" s="6" t="s">
        <v>16</v>
      </c>
      <c r="D896" s="7">
        <v>14.14</v>
      </c>
      <c r="E896" s="7">
        <v>14.14</v>
      </c>
      <c r="F896" s="7">
        <v>14.3</v>
      </c>
      <c r="G896" s="7">
        <v>14.1</v>
      </c>
      <c r="H896" s="8">
        <f t="shared" si="15"/>
        <v>6.4056939501779256E-3</v>
      </c>
    </row>
    <row r="897" spans="2:8" x14ac:dyDescent="0.2">
      <c r="B897" s="5">
        <v>44764</v>
      </c>
      <c r="C897" s="6" t="s">
        <v>16</v>
      </c>
      <c r="D897" s="7">
        <v>14.14</v>
      </c>
      <c r="E897" s="7">
        <v>14.14</v>
      </c>
      <c r="F897" s="7">
        <v>14.24</v>
      </c>
      <c r="G897" s="7">
        <v>14</v>
      </c>
      <c r="H897" s="8">
        <f t="shared" si="15"/>
        <v>0</v>
      </c>
    </row>
    <row r="898" spans="2:8" x14ac:dyDescent="0.2">
      <c r="B898" s="5">
        <v>44765</v>
      </c>
      <c r="C898" s="6" t="s">
        <v>16</v>
      </c>
      <c r="D898" s="7">
        <v>14</v>
      </c>
      <c r="E898" s="7">
        <v>14</v>
      </c>
      <c r="F898" s="7">
        <v>14.15</v>
      </c>
      <c r="G898" s="7">
        <v>13.93</v>
      </c>
      <c r="H898" s="8">
        <f t="shared" si="15"/>
        <v>-9.900990099009941E-3</v>
      </c>
    </row>
    <row r="899" spans="2:8" x14ac:dyDescent="0.2">
      <c r="B899" s="5">
        <v>44766</v>
      </c>
      <c r="C899" s="6" t="s">
        <v>16</v>
      </c>
      <c r="D899" s="7">
        <v>14.02</v>
      </c>
      <c r="E899" s="7">
        <v>14.02</v>
      </c>
      <c r="F899" s="7">
        <v>14.08</v>
      </c>
      <c r="G899" s="7">
        <v>13.73</v>
      </c>
      <c r="H899" s="8">
        <f t="shared" si="15"/>
        <v>1.4285714285713982E-3</v>
      </c>
    </row>
    <row r="900" spans="2:8" x14ac:dyDescent="0.2">
      <c r="B900" s="5">
        <v>44769</v>
      </c>
      <c r="C900" s="6" t="s">
        <v>16</v>
      </c>
      <c r="D900" s="7">
        <v>13.92</v>
      </c>
      <c r="E900" s="7">
        <v>13.92</v>
      </c>
      <c r="F900" s="7">
        <v>14.09</v>
      </c>
      <c r="G900" s="7">
        <v>13.9</v>
      </c>
      <c r="H900" s="8">
        <f t="shared" ref="H900:H963" si="16">(D900-D899)/D899</f>
        <v>-7.1326676176889908E-3</v>
      </c>
    </row>
    <row r="901" spans="2:8" x14ac:dyDescent="0.2">
      <c r="B901" s="5">
        <v>44770</v>
      </c>
      <c r="C901" s="6" t="s">
        <v>16</v>
      </c>
      <c r="D901" s="7">
        <v>14.02</v>
      </c>
      <c r="E901" s="7">
        <v>14.02</v>
      </c>
      <c r="F901" s="7">
        <v>14.07</v>
      </c>
      <c r="G901" s="7">
        <v>13.99</v>
      </c>
      <c r="H901" s="8">
        <f t="shared" si="16"/>
        <v>7.1839080459769862E-3</v>
      </c>
    </row>
    <row r="902" spans="2:8" x14ac:dyDescent="0.2">
      <c r="B902" s="5">
        <v>44771</v>
      </c>
      <c r="C902" s="6" t="s">
        <v>16</v>
      </c>
      <c r="D902" s="7">
        <v>14.15</v>
      </c>
      <c r="E902" s="7">
        <v>14.15</v>
      </c>
      <c r="F902" s="7">
        <v>14.25</v>
      </c>
      <c r="G902" s="7">
        <v>14</v>
      </c>
      <c r="H902" s="8">
        <f t="shared" si="16"/>
        <v>9.2724679029957766E-3</v>
      </c>
    </row>
    <row r="903" spans="2:8" x14ac:dyDescent="0.2">
      <c r="B903" s="5">
        <v>44772</v>
      </c>
      <c r="C903" s="6" t="s">
        <v>16</v>
      </c>
      <c r="D903" s="7">
        <v>14.09</v>
      </c>
      <c r="E903" s="7">
        <v>14.09</v>
      </c>
      <c r="F903" s="7">
        <v>14.18</v>
      </c>
      <c r="G903" s="7">
        <v>14.04</v>
      </c>
      <c r="H903" s="8">
        <f t="shared" si="16"/>
        <v>-4.2402826855124027E-3</v>
      </c>
    </row>
    <row r="904" spans="2:8" x14ac:dyDescent="0.2">
      <c r="B904" s="5">
        <v>44773</v>
      </c>
      <c r="C904" s="6" t="s">
        <v>16</v>
      </c>
      <c r="D904" s="7">
        <v>14.08</v>
      </c>
      <c r="E904" s="7">
        <v>14.08</v>
      </c>
      <c r="F904" s="7">
        <v>14.34</v>
      </c>
      <c r="G904" s="7">
        <v>14.04</v>
      </c>
      <c r="H904" s="8">
        <f t="shared" si="16"/>
        <v>-7.0972320794888478E-4</v>
      </c>
    </row>
    <row r="905" spans="2:8" x14ac:dyDescent="0.2">
      <c r="B905" s="5">
        <v>44776</v>
      </c>
      <c r="C905" s="6" t="s">
        <v>16</v>
      </c>
      <c r="D905" s="7">
        <v>13.87</v>
      </c>
      <c r="E905" s="7">
        <v>13.87</v>
      </c>
      <c r="F905" s="7">
        <v>14.07</v>
      </c>
      <c r="G905" s="7">
        <v>13.78</v>
      </c>
      <c r="H905" s="8">
        <f t="shared" si="16"/>
        <v>-1.4914772727272789E-2</v>
      </c>
    </row>
    <row r="906" spans="2:8" x14ac:dyDescent="0.2">
      <c r="B906" s="5">
        <v>44777</v>
      </c>
      <c r="C906" s="6" t="s">
        <v>16</v>
      </c>
      <c r="D906" s="7">
        <v>13.92</v>
      </c>
      <c r="E906" s="7">
        <v>13.92</v>
      </c>
      <c r="F906" s="7">
        <v>13.99</v>
      </c>
      <c r="G906" s="7">
        <v>13.86</v>
      </c>
      <c r="H906" s="8">
        <f t="shared" si="16"/>
        <v>3.6049026676280255E-3</v>
      </c>
    </row>
    <row r="907" spans="2:8" x14ac:dyDescent="0.2">
      <c r="B907" s="5">
        <v>44778</v>
      </c>
      <c r="C907" s="6" t="s">
        <v>16</v>
      </c>
      <c r="D907" s="7">
        <v>13.95</v>
      </c>
      <c r="E907" s="7">
        <v>13.95</v>
      </c>
      <c r="F907" s="7">
        <v>14.05</v>
      </c>
      <c r="G907" s="7">
        <v>13.88</v>
      </c>
      <c r="H907" s="8">
        <f t="shared" si="16"/>
        <v>2.1551724137930574E-3</v>
      </c>
    </row>
    <row r="908" spans="2:8" x14ac:dyDescent="0.2">
      <c r="B908" s="5">
        <v>44779</v>
      </c>
      <c r="C908" s="6" t="s">
        <v>16</v>
      </c>
      <c r="D908" s="7">
        <v>13.99</v>
      </c>
      <c r="E908" s="7">
        <v>13.99</v>
      </c>
      <c r="F908" s="7">
        <v>14.12</v>
      </c>
      <c r="G908" s="7">
        <v>13.94</v>
      </c>
      <c r="H908" s="8">
        <f t="shared" si="16"/>
        <v>2.8673835125448692E-3</v>
      </c>
    </row>
    <row r="909" spans="2:8" x14ac:dyDescent="0.2">
      <c r="B909" s="5">
        <v>44780</v>
      </c>
      <c r="C909" s="6" t="s">
        <v>16</v>
      </c>
      <c r="D909" s="7">
        <v>14.11</v>
      </c>
      <c r="E909" s="7">
        <v>14.11</v>
      </c>
      <c r="F909" s="7">
        <v>14.35</v>
      </c>
      <c r="G909" s="7">
        <v>14.1</v>
      </c>
      <c r="H909" s="8">
        <f t="shared" si="16"/>
        <v>8.577555396711881E-3</v>
      </c>
    </row>
    <row r="910" spans="2:8" x14ac:dyDescent="0.2">
      <c r="B910" s="5">
        <v>44783</v>
      </c>
      <c r="C910" s="6" t="s">
        <v>16</v>
      </c>
      <c r="D910" s="7">
        <v>14.54</v>
      </c>
      <c r="E910" s="7">
        <v>14.54</v>
      </c>
      <c r="F910" s="7">
        <v>14.72</v>
      </c>
      <c r="G910" s="7">
        <v>14.23</v>
      </c>
      <c r="H910" s="8">
        <f t="shared" si="16"/>
        <v>3.0474840538625071E-2</v>
      </c>
    </row>
    <row r="911" spans="2:8" x14ac:dyDescent="0.2">
      <c r="B911" s="5">
        <v>44784</v>
      </c>
      <c r="C911" s="6" t="s">
        <v>16</v>
      </c>
      <c r="D911" s="7">
        <v>14.64</v>
      </c>
      <c r="E911" s="7">
        <v>14.64</v>
      </c>
      <c r="F911" s="7">
        <v>14.65</v>
      </c>
      <c r="G911" s="7">
        <v>14.5</v>
      </c>
      <c r="H911" s="8">
        <f t="shared" si="16"/>
        <v>6.8775790921596584E-3</v>
      </c>
    </row>
    <row r="912" spans="2:8" x14ac:dyDescent="0.2">
      <c r="B912" s="5">
        <v>44785</v>
      </c>
      <c r="C912" s="6" t="s">
        <v>16</v>
      </c>
      <c r="D912" s="7">
        <v>14.82</v>
      </c>
      <c r="E912" s="7">
        <v>14.82</v>
      </c>
      <c r="F912" s="7">
        <v>14.9</v>
      </c>
      <c r="G912" s="7">
        <v>14.73</v>
      </c>
      <c r="H912" s="8">
        <f t="shared" si="16"/>
        <v>1.2295081967213095E-2</v>
      </c>
    </row>
    <row r="913" spans="2:8" x14ac:dyDescent="0.2">
      <c r="B913" s="5">
        <v>44786</v>
      </c>
      <c r="C913" s="6" t="s">
        <v>16</v>
      </c>
      <c r="D913" s="7">
        <v>14.71</v>
      </c>
      <c r="E913" s="7">
        <v>14.71</v>
      </c>
      <c r="F913" s="7">
        <v>14.8</v>
      </c>
      <c r="G913" s="7">
        <v>14.65</v>
      </c>
      <c r="H913" s="8">
        <f t="shared" si="16"/>
        <v>-7.4224021592442261E-3</v>
      </c>
    </row>
    <row r="914" spans="2:8" x14ac:dyDescent="0.2">
      <c r="B914" s="5">
        <v>44787</v>
      </c>
      <c r="C914" s="6" t="s">
        <v>16</v>
      </c>
      <c r="D914" s="7">
        <v>14.55</v>
      </c>
      <c r="E914" s="7">
        <v>14.55</v>
      </c>
      <c r="F914" s="7">
        <v>14.92</v>
      </c>
      <c r="G914" s="7">
        <v>14.49</v>
      </c>
      <c r="H914" s="8">
        <f t="shared" si="16"/>
        <v>-1.0876954452753239E-2</v>
      </c>
    </row>
    <row r="915" spans="2:8" x14ac:dyDescent="0.2">
      <c r="B915" s="5">
        <v>44790</v>
      </c>
      <c r="C915" s="6" t="s">
        <v>16</v>
      </c>
      <c r="D915" s="7">
        <v>14.63</v>
      </c>
      <c r="E915" s="7">
        <v>14.63</v>
      </c>
      <c r="F915" s="7">
        <v>14.71</v>
      </c>
      <c r="G915" s="7">
        <v>14.59</v>
      </c>
      <c r="H915" s="8">
        <f t="shared" si="16"/>
        <v>5.4982817869415855E-3</v>
      </c>
    </row>
    <row r="916" spans="2:8" x14ac:dyDescent="0.2">
      <c r="B916" s="5">
        <v>44791</v>
      </c>
      <c r="C916" s="6" t="s">
        <v>16</v>
      </c>
      <c r="D916" s="7">
        <v>14.21</v>
      </c>
      <c r="E916" s="7">
        <v>14.21</v>
      </c>
      <c r="F916" s="7">
        <v>14.25</v>
      </c>
      <c r="G916" s="7">
        <v>14.06</v>
      </c>
      <c r="H916" s="8">
        <f t="shared" si="16"/>
        <v>-2.870813397129186E-2</v>
      </c>
    </row>
    <row r="917" spans="2:8" x14ac:dyDescent="0.2">
      <c r="B917" s="5">
        <v>44792</v>
      </c>
      <c r="C917" s="6" t="s">
        <v>16</v>
      </c>
      <c r="D917" s="7">
        <v>14.57</v>
      </c>
      <c r="E917" s="7">
        <v>14.57</v>
      </c>
      <c r="F917" s="7">
        <v>14.66</v>
      </c>
      <c r="G917" s="7">
        <v>14.4</v>
      </c>
      <c r="H917" s="8">
        <f t="shared" si="16"/>
        <v>2.5334271639690317E-2</v>
      </c>
    </row>
    <row r="918" spans="2:8" x14ac:dyDescent="0.2">
      <c r="B918" s="5">
        <v>44793</v>
      </c>
      <c r="C918" s="6" t="s">
        <v>16</v>
      </c>
      <c r="D918" s="7">
        <v>14.78</v>
      </c>
      <c r="E918" s="7">
        <v>14.78</v>
      </c>
      <c r="F918" s="7">
        <v>14.89</v>
      </c>
      <c r="G918" s="7">
        <v>14.77</v>
      </c>
      <c r="H918" s="8">
        <f t="shared" si="16"/>
        <v>1.4413177762525674E-2</v>
      </c>
    </row>
    <row r="919" spans="2:8" x14ac:dyDescent="0.2">
      <c r="B919" s="5">
        <v>44794</v>
      </c>
      <c r="C919" s="6" t="s">
        <v>16</v>
      </c>
      <c r="D919" s="7">
        <v>14.61</v>
      </c>
      <c r="E919" s="7">
        <v>14.61</v>
      </c>
      <c r="F919" s="7">
        <v>14.73</v>
      </c>
      <c r="G919" s="7">
        <v>14.45</v>
      </c>
      <c r="H919" s="8">
        <f t="shared" si="16"/>
        <v>-1.15020297699594E-2</v>
      </c>
    </row>
    <row r="920" spans="2:8" x14ac:dyDescent="0.2">
      <c r="B920" s="5">
        <v>44797</v>
      </c>
      <c r="C920" s="6" t="s">
        <v>16</v>
      </c>
      <c r="D920" s="7">
        <v>14.13</v>
      </c>
      <c r="E920" s="7">
        <v>14.13</v>
      </c>
      <c r="F920" s="7">
        <v>14.46</v>
      </c>
      <c r="G920" s="7">
        <v>14.02</v>
      </c>
      <c r="H920" s="8">
        <f t="shared" si="16"/>
        <v>-3.2854209445585127E-2</v>
      </c>
    </row>
    <row r="921" spans="2:8" x14ac:dyDescent="0.2">
      <c r="B921" s="5">
        <v>44798</v>
      </c>
      <c r="C921" s="6" t="s">
        <v>16</v>
      </c>
      <c r="D921" s="7">
        <v>13.99</v>
      </c>
      <c r="E921" s="7">
        <v>13.99</v>
      </c>
      <c r="F921" s="7">
        <v>14.15</v>
      </c>
      <c r="G921" s="7">
        <v>13.91</v>
      </c>
      <c r="H921" s="8">
        <f t="shared" si="16"/>
        <v>-9.907997169143706E-3</v>
      </c>
    </row>
    <row r="922" spans="2:8" x14ac:dyDescent="0.2">
      <c r="B922" s="5">
        <v>44799</v>
      </c>
      <c r="C922" s="6" t="s">
        <v>16</v>
      </c>
      <c r="D922" s="7">
        <v>13.56</v>
      </c>
      <c r="E922" s="7">
        <v>13.56</v>
      </c>
      <c r="F922" s="7">
        <v>13.58</v>
      </c>
      <c r="G922" s="7">
        <v>13.35</v>
      </c>
      <c r="H922" s="8">
        <f t="shared" si="16"/>
        <v>-3.0736240171551087E-2</v>
      </c>
    </row>
    <row r="923" spans="2:8" x14ac:dyDescent="0.2">
      <c r="B923" s="5">
        <v>44800</v>
      </c>
      <c r="C923" s="6" t="s">
        <v>16</v>
      </c>
      <c r="D923" s="7">
        <v>13.8</v>
      </c>
      <c r="E923" s="7">
        <v>13.8</v>
      </c>
      <c r="F923" s="7">
        <v>13.96</v>
      </c>
      <c r="G923" s="7">
        <v>13.52</v>
      </c>
      <c r="H923" s="8">
        <f t="shared" si="16"/>
        <v>1.7699115044247801E-2</v>
      </c>
    </row>
    <row r="924" spans="2:8" x14ac:dyDescent="0.2">
      <c r="B924" s="5">
        <v>44801</v>
      </c>
      <c r="C924" s="6" t="s">
        <v>16</v>
      </c>
      <c r="D924" s="7">
        <v>13.92</v>
      </c>
      <c r="E924" s="7">
        <v>13.92</v>
      </c>
      <c r="F924" s="7">
        <v>14.03</v>
      </c>
      <c r="G924" s="7">
        <v>13.8</v>
      </c>
      <c r="H924" s="8">
        <f t="shared" si="16"/>
        <v>8.6956521739129863E-3</v>
      </c>
    </row>
    <row r="925" spans="2:8" x14ac:dyDescent="0.2">
      <c r="B925" s="5">
        <v>44804</v>
      </c>
      <c r="C925" s="6" t="s">
        <v>16</v>
      </c>
      <c r="D925" s="7">
        <v>13.99</v>
      </c>
      <c r="E925" s="7">
        <v>13.99</v>
      </c>
      <c r="F925" s="7">
        <v>14.03</v>
      </c>
      <c r="G925" s="7">
        <v>13.76</v>
      </c>
      <c r="H925" s="8">
        <f t="shared" si="16"/>
        <v>5.0287356321839288E-3</v>
      </c>
    </row>
    <row r="926" spans="2:8" x14ac:dyDescent="0.2">
      <c r="B926" s="5">
        <v>44805</v>
      </c>
      <c r="C926" s="6" t="s">
        <v>16</v>
      </c>
      <c r="D926" s="7">
        <v>13.94</v>
      </c>
      <c r="E926" s="7">
        <v>13.94</v>
      </c>
      <c r="F926" s="7">
        <v>14.03</v>
      </c>
      <c r="G926" s="7">
        <v>13.86</v>
      </c>
      <c r="H926" s="8">
        <f t="shared" si="16"/>
        <v>-3.5739814152966911E-3</v>
      </c>
    </row>
    <row r="927" spans="2:8" x14ac:dyDescent="0.2">
      <c r="B927" s="5">
        <v>44806</v>
      </c>
      <c r="C927" s="6" t="s">
        <v>16</v>
      </c>
      <c r="D927" s="7">
        <v>14.02</v>
      </c>
      <c r="E927" s="7">
        <v>14.02</v>
      </c>
      <c r="F927" s="7">
        <v>14.17</v>
      </c>
      <c r="G927" s="7">
        <v>13.79</v>
      </c>
      <c r="H927" s="8">
        <f t="shared" si="16"/>
        <v>5.7388809182209524E-3</v>
      </c>
    </row>
    <row r="928" spans="2:8" x14ac:dyDescent="0.2">
      <c r="B928" s="5">
        <v>44807</v>
      </c>
      <c r="C928" s="6" t="s">
        <v>16</v>
      </c>
      <c r="D928" s="7">
        <v>14.02</v>
      </c>
      <c r="E928" s="7">
        <v>14.02</v>
      </c>
      <c r="F928" s="7">
        <v>14.29</v>
      </c>
      <c r="G928" s="7">
        <v>13.95</v>
      </c>
      <c r="H928" s="8">
        <f t="shared" si="16"/>
        <v>0</v>
      </c>
    </row>
    <row r="929" spans="2:8" x14ac:dyDescent="0.2">
      <c r="B929" s="5">
        <v>44808</v>
      </c>
      <c r="C929" s="6" t="s">
        <v>16</v>
      </c>
      <c r="D929" s="7">
        <v>13.92</v>
      </c>
      <c r="E929" s="7">
        <v>13.92</v>
      </c>
      <c r="F929" s="7">
        <v>13.96</v>
      </c>
      <c r="G929" s="7">
        <v>13.86</v>
      </c>
      <c r="H929" s="8">
        <f t="shared" si="16"/>
        <v>-7.1326676176889908E-3</v>
      </c>
    </row>
    <row r="930" spans="2:8" x14ac:dyDescent="0.2">
      <c r="B930" s="5">
        <v>44812</v>
      </c>
      <c r="C930" s="6" t="s">
        <v>16</v>
      </c>
      <c r="D930" s="7">
        <v>14.12</v>
      </c>
      <c r="E930" s="7">
        <v>14.12</v>
      </c>
      <c r="F930" s="7">
        <v>14.22</v>
      </c>
      <c r="G930" s="7">
        <v>13.94</v>
      </c>
      <c r="H930" s="8">
        <f t="shared" si="16"/>
        <v>1.4367816091953972E-2</v>
      </c>
    </row>
    <row r="931" spans="2:8" x14ac:dyDescent="0.2">
      <c r="B931" s="5">
        <v>44813</v>
      </c>
      <c r="C931" s="6" t="s">
        <v>16</v>
      </c>
      <c r="D931" s="7">
        <v>13.93</v>
      </c>
      <c r="E931" s="7">
        <v>13.93</v>
      </c>
      <c r="F931" s="7">
        <v>14.08</v>
      </c>
      <c r="G931" s="7">
        <v>13.92</v>
      </c>
      <c r="H931" s="8">
        <f t="shared" si="16"/>
        <v>-1.3456090651558039E-2</v>
      </c>
    </row>
    <row r="932" spans="2:8" x14ac:dyDescent="0.2">
      <c r="B932" s="5">
        <v>44814</v>
      </c>
      <c r="C932" s="6" t="s">
        <v>16</v>
      </c>
      <c r="D932" s="7">
        <v>13.99</v>
      </c>
      <c r="E932" s="7">
        <v>13.99</v>
      </c>
      <c r="F932" s="7">
        <v>14.16</v>
      </c>
      <c r="G932" s="7">
        <v>13.97</v>
      </c>
      <c r="H932" s="8">
        <f t="shared" si="16"/>
        <v>4.3072505384063528E-3</v>
      </c>
    </row>
    <row r="933" spans="2:8" x14ac:dyDescent="0.2">
      <c r="B933" s="5">
        <v>44815</v>
      </c>
      <c r="C933" s="6" t="s">
        <v>16</v>
      </c>
      <c r="D933" s="7">
        <v>13.95</v>
      </c>
      <c r="E933" s="7">
        <v>13.95</v>
      </c>
      <c r="F933" s="7">
        <v>13.98</v>
      </c>
      <c r="G933" s="7">
        <v>13.64</v>
      </c>
      <c r="H933" s="8">
        <f t="shared" si="16"/>
        <v>-2.8591851322373784E-3</v>
      </c>
    </row>
    <row r="934" spans="2:8" x14ac:dyDescent="0.2">
      <c r="B934" s="5">
        <v>44818</v>
      </c>
      <c r="C934" s="6" t="s">
        <v>16</v>
      </c>
      <c r="D934" s="7">
        <v>13.79</v>
      </c>
      <c r="E934" s="7">
        <v>13.79</v>
      </c>
      <c r="F934" s="7">
        <v>13.81</v>
      </c>
      <c r="G934" s="7">
        <v>13.7</v>
      </c>
      <c r="H934" s="8">
        <f t="shared" si="16"/>
        <v>-1.1469534050179222E-2</v>
      </c>
    </row>
    <row r="935" spans="2:8" x14ac:dyDescent="0.2">
      <c r="B935" s="5">
        <v>44819</v>
      </c>
      <c r="C935" s="6" t="s">
        <v>16</v>
      </c>
      <c r="D935" s="7">
        <v>13.77</v>
      </c>
      <c r="E935" s="7">
        <v>13.77</v>
      </c>
      <c r="F935" s="7">
        <v>13.78</v>
      </c>
      <c r="G935" s="7">
        <v>13.67</v>
      </c>
      <c r="H935" s="8">
        <f t="shared" si="16"/>
        <v>-1.4503263234227394E-3</v>
      </c>
    </row>
    <row r="936" spans="2:8" x14ac:dyDescent="0.2">
      <c r="B936" s="5">
        <v>44820</v>
      </c>
      <c r="C936" s="6" t="s">
        <v>16</v>
      </c>
      <c r="D936" s="7">
        <v>14.22</v>
      </c>
      <c r="E936" s="7">
        <v>14.22</v>
      </c>
      <c r="F936" s="7">
        <v>14.29</v>
      </c>
      <c r="G936" s="7">
        <v>14.04</v>
      </c>
      <c r="H936" s="8">
        <f t="shared" si="16"/>
        <v>3.2679738562091581E-2</v>
      </c>
    </row>
    <row r="937" spans="2:8" x14ac:dyDescent="0.2">
      <c r="B937" s="5">
        <v>44821</v>
      </c>
      <c r="C937" s="6" t="s">
        <v>16</v>
      </c>
      <c r="D937" s="7">
        <v>14.42</v>
      </c>
      <c r="E937" s="7">
        <v>14.42</v>
      </c>
      <c r="F937" s="7">
        <v>14.58</v>
      </c>
      <c r="G937" s="7">
        <v>14.21</v>
      </c>
      <c r="H937" s="8">
        <f t="shared" si="16"/>
        <v>1.4064697609001356E-2</v>
      </c>
    </row>
    <row r="938" spans="2:8" x14ac:dyDescent="0.2">
      <c r="B938" s="5">
        <v>44822</v>
      </c>
      <c r="C938" s="6" t="s">
        <v>16</v>
      </c>
      <c r="D938" s="7">
        <v>14.47</v>
      </c>
      <c r="E938" s="7">
        <v>14.47</v>
      </c>
      <c r="F938" s="7">
        <v>14.62</v>
      </c>
      <c r="G938" s="7">
        <v>14.41</v>
      </c>
      <c r="H938" s="8">
        <f t="shared" si="16"/>
        <v>3.4674063800277885E-3</v>
      </c>
    </row>
    <row r="939" spans="2:8" x14ac:dyDescent="0.2">
      <c r="B939" s="5">
        <v>44825</v>
      </c>
      <c r="C939" s="6" t="s">
        <v>16</v>
      </c>
      <c r="D939" s="7">
        <v>14.49</v>
      </c>
      <c r="E939" s="7">
        <v>14.49</v>
      </c>
      <c r="F939" s="7">
        <v>14.56</v>
      </c>
      <c r="G939" s="7">
        <v>14.47</v>
      </c>
      <c r="H939" s="8">
        <f t="shared" si="16"/>
        <v>1.3821700069108205E-3</v>
      </c>
    </row>
    <row r="940" spans="2:8" x14ac:dyDescent="0.2">
      <c r="B940" s="5">
        <v>44826</v>
      </c>
      <c r="C940" s="6" t="s">
        <v>16</v>
      </c>
      <c r="D940" s="7">
        <v>14.14</v>
      </c>
      <c r="E940" s="7">
        <v>14.14</v>
      </c>
      <c r="F940" s="7">
        <v>14.16</v>
      </c>
      <c r="G940" s="7">
        <v>14.07</v>
      </c>
      <c r="H940" s="8">
        <f t="shared" si="16"/>
        <v>-2.4154589371980652E-2</v>
      </c>
    </row>
    <row r="941" spans="2:8" x14ac:dyDescent="0.2">
      <c r="B941" s="5">
        <v>44827</v>
      </c>
      <c r="C941" s="6" t="s">
        <v>16</v>
      </c>
      <c r="D941" s="7">
        <v>14.12</v>
      </c>
      <c r="E941" s="7">
        <v>14.12</v>
      </c>
      <c r="F941" s="7">
        <v>14.26</v>
      </c>
      <c r="G941" s="7">
        <v>14.1</v>
      </c>
      <c r="H941" s="8">
        <f t="shared" si="16"/>
        <v>-1.4144271570015099E-3</v>
      </c>
    </row>
    <row r="942" spans="2:8" x14ac:dyDescent="0.2">
      <c r="B942" s="5">
        <v>44828</v>
      </c>
      <c r="C942" s="6" t="s">
        <v>16</v>
      </c>
      <c r="D942" s="7">
        <v>14.44</v>
      </c>
      <c r="E942" s="7">
        <v>14.44</v>
      </c>
      <c r="F942" s="7">
        <v>14.51</v>
      </c>
      <c r="G942" s="7">
        <v>14.21</v>
      </c>
      <c r="H942" s="8">
        <f t="shared" si="16"/>
        <v>2.266288951841362E-2</v>
      </c>
    </row>
    <row r="943" spans="2:8" x14ac:dyDescent="0.2">
      <c r="B943" s="5">
        <v>44829</v>
      </c>
      <c r="C943" s="6" t="s">
        <v>16</v>
      </c>
      <c r="D943" s="7">
        <v>14.4</v>
      </c>
      <c r="E943" s="7">
        <v>14.4</v>
      </c>
      <c r="F943" s="7">
        <v>14.51</v>
      </c>
      <c r="G943" s="7">
        <v>14.35</v>
      </c>
      <c r="H943" s="8">
        <f t="shared" si="16"/>
        <v>-2.7700831024930158E-3</v>
      </c>
    </row>
    <row r="944" spans="2:8" x14ac:dyDescent="0.2">
      <c r="B944" s="5">
        <v>44832</v>
      </c>
      <c r="C944" s="6" t="s">
        <v>16</v>
      </c>
      <c r="D944" s="7">
        <v>13.94</v>
      </c>
      <c r="E944" s="7">
        <v>13.94</v>
      </c>
      <c r="F944" s="7">
        <v>13.99</v>
      </c>
      <c r="G944" s="7">
        <v>13.85</v>
      </c>
      <c r="H944" s="8">
        <f t="shared" si="16"/>
        <v>-3.1944444444444504E-2</v>
      </c>
    </row>
    <row r="945" spans="2:8" x14ac:dyDescent="0.2">
      <c r="B945" s="5">
        <v>44833</v>
      </c>
      <c r="C945" s="6" t="s">
        <v>16</v>
      </c>
      <c r="D945" s="7">
        <v>13.97</v>
      </c>
      <c r="E945" s="7">
        <v>13.97</v>
      </c>
      <c r="F945" s="7">
        <v>14.06</v>
      </c>
      <c r="G945" s="7">
        <v>13.9</v>
      </c>
      <c r="H945" s="8">
        <f t="shared" si="16"/>
        <v>2.1520803443329365E-3</v>
      </c>
    </row>
    <row r="946" spans="2:8" x14ac:dyDescent="0.2">
      <c r="B946" s="5">
        <v>44834</v>
      </c>
      <c r="C946" s="6" t="s">
        <v>16</v>
      </c>
      <c r="D946" s="7">
        <v>13.87</v>
      </c>
      <c r="E946" s="7">
        <v>13.87</v>
      </c>
      <c r="F946" s="7">
        <v>14.09</v>
      </c>
      <c r="G946" s="7">
        <v>13.81</v>
      </c>
      <c r="H946" s="8">
        <f t="shared" si="16"/>
        <v>-7.1581961345741889E-3</v>
      </c>
    </row>
    <row r="947" spans="2:8" x14ac:dyDescent="0.2">
      <c r="B947" s="5">
        <v>44835</v>
      </c>
      <c r="C947" s="6" t="s">
        <v>16</v>
      </c>
      <c r="D947" s="7">
        <v>13.9</v>
      </c>
      <c r="E947" s="7">
        <v>13.9</v>
      </c>
      <c r="F947" s="7">
        <v>14.04</v>
      </c>
      <c r="G947" s="7">
        <v>13.83</v>
      </c>
      <c r="H947" s="8">
        <f t="shared" si="16"/>
        <v>2.1629416005768667E-3</v>
      </c>
    </row>
    <row r="948" spans="2:8" x14ac:dyDescent="0.2">
      <c r="B948" s="5">
        <v>44836</v>
      </c>
      <c r="C948" s="6" t="s">
        <v>16</v>
      </c>
      <c r="D948" s="7">
        <v>14.55</v>
      </c>
      <c r="E948" s="7">
        <v>14.55</v>
      </c>
      <c r="F948" s="7">
        <v>14.61</v>
      </c>
      <c r="G948" s="7">
        <v>14.2</v>
      </c>
      <c r="H948" s="8">
        <f t="shared" si="16"/>
        <v>4.6762589928057575E-2</v>
      </c>
    </row>
    <row r="949" spans="2:8" x14ac:dyDescent="0.2">
      <c r="B949" s="5">
        <v>44839</v>
      </c>
      <c r="C949" s="6" t="s">
        <v>16</v>
      </c>
      <c r="D949" s="7">
        <v>14.89</v>
      </c>
      <c r="E949" s="7">
        <v>14.89</v>
      </c>
      <c r="F949" s="7">
        <v>15</v>
      </c>
      <c r="G949" s="7">
        <v>14.77</v>
      </c>
      <c r="H949" s="8">
        <f t="shared" si="16"/>
        <v>2.3367697594501708E-2</v>
      </c>
    </row>
    <row r="950" spans="2:8" x14ac:dyDescent="0.2">
      <c r="B950" s="5">
        <v>44840</v>
      </c>
      <c r="C950" s="6" t="s">
        <v>16</v>
      </c>
      <c r="D950" s="7">
        <v>15.07</v>
      </c>
      <c r="E950" s="7">
        <v>15.07</v>
      </c>
      <c r="F950" s="7">
        <v>15.35</v>
      </c>
      <c r="G950" s="7">
        <v>15.06</v>
      </c>
      <c r="H950" s="8">
        <f t="shared" si="16"/>
        <v>1.2088650100738731E-2</v>
      </c>
    </row>
    <row r="951" spans="2:8" x14ac:dyDescent="0.2">
      <c r="B951" s="5">
        <v>44841</v>
      </c>
      <c r="C951" s="6" t="s">
        <v>16</v>
      </c>
      <c r="D951" s="7">
        <v>15.29</v>
      </c>
      <c r="E951" s="7">
        <v>15.29</v>
      </c>
      <c r="F951" s="7">
        <v>15.38</v>
      </c>
      <c r="G951" s="7">
        <v>15.14</v>
      </c>
      <c r="H951" s="8">
        <f t="shared" si="16"/>
        <v>1.4598540145985326E-2</v>
      </c>
    </row>
    <row r="952" spans="2:8" x14ac:dyDescent="0.2">
      <c r="B952" s="5">
        <v>44842</v>
      </c>
      <c r="C952" s="6" t="s">
        <v>16</v>
      </c>
      <c r="D952" s="7">
        <v>14.99</v>
      </c>
      <c r="E952" s="7">
        <v>14.99</v>
      </c>
      <c r="F952" s="7">
        <v>15.13</v>
      </c>
      <c r="G952" s="7">
        <v>14.89</v>
      </c>
      <c r="H952" s="8">
        <f t="shared" si="16"/>
        <v>-1.9620667102681424E-2</v>
      </c>
    </row>
    <row r="953" spans="2:8" x14ac:dyDescent="0.2">
      <c r="B953" s="5">
        <v>44843</v>
      </c>
      <c r="C953" s="6" t="s">
        <v>16</v>
      </c>
      <c r="D953" s="7">
        <v>15.12</v>
      </c>
      <c r="E953" s="7">
        <v>15.12</v>
      </c>
      <c r="F953" s="7">
        <v>15.16</v>
      </c>
      <c r="G953" s="7">
        <v>15</v>
      </c>
      <c r="H953" s="8">
        <f t="shared" si="16"/>
        <v>8.6724482988658445E-3</v>
      </c>
    </row>
    <row r="954" spans="2:8" x14ac:dyDescent="0.2">
      <c r="B954" s="5">
        <v>44846</v>
      </c>
      <c r="C954" s="6" t="s">
        <v>16</v>
      </c>
      <c r="D954" s="7">
        <v>15.13</v>
      </c>
      <c r="E954" s="7">
        <v>15.13</v>
      </c>
      <c r="F954" s="7">
        <v>15.33</v>
      </c>
      <c r="G954" s="7">
        <v>15.08</v>
      </c>
      <c r="H954" s="8">
        <f t="shared" si="16"/>
        <v>6.6137566137576477E-4</v>
      </c>
    </row>
    <row r="955" spans="2:8" x14ac:dyDescent="0.2">
      <c r="B955" s="5">
        <v>44847</v>
      </c>
      <c r="C955" s="6" t="s">
        <v>16</v>
      </c>
      <c r="D955" s="7">
        <v>15.16</v>
      </c>
      <c r="E955" s="7">
        <v>15.16</v>
      </c>
      <c r="F955" s="7">
        <v>15.26</v>
      </c>
      <c r="G955" s="7">
        <v>15.15</v>
      </c>
      <c r="H955" s="8">
        <f t="shared" si="16"/>
        <v>1.9828155981493297E-3</v>
      </c>
    </row>
    <row r="956" spans="2:8" x14ac:dyDescent="0.2">
      <c r="B956" s="5">
        <v>44848</v>
      </c>
      <c r="C956" s="6" t="s">
        <v>16</v>
      </c>
      <c r="D956" s="7">
        <v>15.42</v>
      </c>
      <c r="E956" s="7">
        <v>15.42</v>
      </c>
      <c r="F956" s="7">
        <v>15.45</v>
      </c>
      <c r="G956" s="7">
        <v>15.3</v>
      </c>
      <c r="H956" s="8">
        <f t="shared" si="16"/>
        <v>1.7150395778364101E-2</v>
      </c>
    </row>
    <row r="957" spans="2:8" x14ac:dyDescent="0.2">
      <c r="B957" s="5">
        <v>44849</v>
      </c>
      <c r="C957" s="6" t="s">
        <v>16</v>
      </c>
      <c r="D957" s="7">
        <v>15.39</v>
      </c>
      <c r="E957" s="7">
        <v>15.39</v>
      </c>
      <c r="F957" s="7">
        <v>15.45</v>
      </c>
      <c r="G957" s="7">
        <v>15.31</v>
      </c>
      <c r="H957" s="8">
        <f t="shared" si="16"/>
        <v>-1.9455252918287524E-3</v>
      </c>
    </row>
    <row r="958" spans="2:8" x14ac:dyDescent="0.2">
      <c r="B958" s="5">
        <v>44850</v>
      </c>
      <c r="C958" s="6" t="s">
        <v>16</v>
      </c>
      <c r="D958" s="7">
        <v>15.28</v>
      </c>
      <c r="E958" s="7">
        <v>15.28</v>
      </c>
      <c r="F958" s="7">
        <v>15.42</v>
      </c>
      <c r="G958" s="7">
        <v>15.27</v>
      </c>
      <c r="H958" s="8">
        <f t="shared" si="16"/>
        <v>-7.1474983755686295E-3</v>
      </c>
    </row>
    <row r="959" spans="2:8" x14ac:dyDescent="0.2">
      <c r="B959" s="5">
        <v>44853</v>
      </c>
      <c r="C959" s="6" t="s">
        <v>16</v>
      </c>
      <c r="D959" s="7">
        <v>15.11</v>
      </c>
      <c r="E959" s="7">
        <v>15.11</v>
      </c>
      <c r="F959" s="7">
        <v>15.24</v>
      </c>
      <c r="G959" s="7">
        <v>15.02</v>
      </c>
      <c r="H959" s="8">
        <f t="shared" si="16"/>
        <v>-1.1125654450261776E-2</v>
      </c>
    </row>
    <row r="960" spans="2:8" x14ac:dyDescent="0.2">
      <c r="B960" s="5">
        <v>44854</v>
      </c>
      <c r="C960" s="6" t="s">
        <v>16</v>
      </c>
      <c r="D960" s="7">
        <v>15.19</v>
      </c>
      <c r="E960" s="7">
        <v>15.19</v>
      </c>
      <c r="F960" s="7">
        <v>15.23</v>
      </c>
      <c r="G960" s="7">
        <v>15.02</v>
      </c>
      <c r="H960" s="8">
        <f t="shared" si="16"/>
        <v>5.2945069490403758E-3</v>
      </c>
    </row>
    <row r="961" spans="2:8" x14ac:dyDescent="0.2">
      <c r="B961" s="5">
        <v>44855</v>
      </c>
      <c r="C961" s="6" t="s">
        <v>16</v>
      </c>
      <c r="D961" s="7">
        <v>14.99</v>
      </c>
      <c r="E961" s="7">
        <v>14.99</v>
      </c>
      <c r="F961" s="7">
        <v>15.03</v>
      </c>
      <c r="G961" s="7">
        <v>14.91</v>
      </c>
      <c r="H961" s="8">
        <f t="shared" si="16"/>
        <v>-1.3166556945358742E-2</v>
      </c>
    </row>
    <row r="962" spans="2:8" x14ac:dyDescent="0.2">
      <c r="B962" s="5">
        <v>44856</v>
      </c>
      <c r="C962" s="6" t="s">
        <v>16</v>
      </c>
      <c r="D962" s="7">
        <v>15.11</v>
      </c>
      <c r="E962" s="7">
        <v>15.11</v>
      </c>
      <c r="F962" s="7">
        <v>15.19</v>
      </c>
      <c r="G962" s="7">
        <v>15.04</v>
      </c>
      <c r="H962" s="8">
        <f t="shared" si="16"/>
        <v>8.0053368912607874E-3</v>
      </c>
    </row>
    <row r="963" spans="2:8" x14ac:dyDescent="0.2">
      <c r="B963" s="5">
        <v>44857</v>
      </c>
      <c r="C963" s="6" t="s">
        <v>16</v>
      </c>
      <c r="D963" s="7">
        <v>15.12</v>
      </c>
      <c r="E963" s="7">
        <v>15.12</v>
      </c>
      <c r="F963" s="7">
        <v>15.16</v>
      </c>
      <c r="G963" s="7">
        <v>14.99</v>
      </c>
      <c r="H963" s="8">
        <f t="shared" si="16"/>
        <v>6.6181336863003223E-4</v>
      </c>
    </row>
    <row r="964" spans="2:8" x14ac:dyDescent="0.2">
      <c r="B964" s="5">
        <v>44860</v>
      </c>
      <c r="C964" s="6" t="s">
        <v>16</v>
      </c>
      <c r="D964" s="7">
        <v>15.11</v>
      </c>
      <c r="E964" s="7">
        <v>15.11</v>
      </c>
      <c r="F964" s="7">
        <v>15.23</v>
      </c>
      <c r="G964" s="7">
        <v>15.11</v>
      </c>
      <c r="H964" s="8">
        <f t="shared" ref="H964:H1027" si="17">(D964-D963)/D963</f>
        <v>-6.6137566137564735E-4</v>
      </c>
    </row>
    <row r="965" spans="2:8" x14ac:dyDescent="0.2">
      <c r="B965" s="5">
        <v>44861</v>
      </c>
      <c r="C965" s="6" t="s">
        <v>16</v>
      </c>
      <c r="D965" s="7">
        <v>15.13</v>
      </c>
      <c r="E965" s="7">
        <v>15.13</v>
      </c>
      <c r="F965" s="7">
        <v>15.21</v>
      </c>
      <c r="G965" s="7">
        <v>15.07</v>
      </c>
      <c r="H965" s="8">
        <f t="shared" si="17"/>
        <v>1.323626737260182E-3</v>
      </c>
    </row>
    <row r="966" spans="2:8" x14ac:dyDescent="0.2">
      <c r="B966" s="5">
        <v>44862</v>
      </c>
      <c r="C966" s="6" t="s">
        <v>16</v>
      </c>
      <c r="D966" s="7">
        <v>15.26</v>
      </c>
      <c r="E966" s="7">
        <v>15.26</v>
      </c>
      <c r="F966" s="7">
        <v>15.6</v>
      </c>
      <c r="G966" s="7">
        <v>15</v>
      </c>
      <c r="H966" s="8">
        <f t="shared" si="17"/>
        <v>8.5922009253138788E-3</v>
      </c>
    </row>
    <row r="967" spans="2:8" x14ac:dyDescent="0.2">
      <c r="B967" s="5">
        <v>44863</v>
      </c>
      <c r="C967" s="6" t="s">
        <v>16</v>
      </c>
      <c r="D967" s="7">
        <v>14.88</v>
      </c>
      <c r="E967" s="7">
        <v>14.88</v>
      </c>
      <c r="F967" s="7">
        <v>15.06</v>
      </c>
      <c r="G967" s="7">
        <v>14.82</v>
      </c>
      <c r="H967" s="8">
        <f t="shared" si="17"/>
        <v>-2.4901703800786306E-2</v>
      </c>
    </row>
    <row r="968" spans="2:8" x14ac:dyDescent="0.2">
      <c r="B968" s="5">
        <v>44864</v>
      </c>
      <c r="C968" s="6" t="s">
        <v>16</v>
      </c>
      <c r="D968" s="7">
        <v>14.8</v>
      </c>
      <c r="E968" s="7">
        <v>14.8</v>
      </c>
      <c r="F968" s="7">
        <v>14.88</v>
      </c>
      <c r="G968" s="7">
        <v>14.77</v>
      </c>
      <c r="H968" s="8">
        <f t="shared" si="17"/>
        <v>-5.3763440860215101E-3</v>
      </c>
    </row>
    <row r="969" spans="2:8" x14ac:dyDescent="0.2">
      <c r="B969" s="5">
        <v>44867</v>
      </c>
      <c r="C969" s="6" t="s">
        <v>16</v>
      </c>
      <c r="D969" s="7">
        <v>14.72</v>
      </c>
      <c r="E969" s="7">
        <v>14.72</v>
      </c>
      <c r="F969" s="7">
        <v>14.75</v>
      </c>
      <c r="G969" s="7">
        <v>14.56</v>
      </c>
      <c r="H969" s="8">
        <f t="shared" si="17"/>
        <v>-5.40540540540541E-3</v>
      </c>
    </row>
    <row r="970" spans="2:8" x14ac:dyDescent="0.2">
      <c r="B970" s="5">
        <v>44868</v>
      </c>
      <c r="C970" s="6" t="s">
        <v>16</v>
      </c>
      <c r="D970" s="7">
        <v>14.58</v>
      </c>
      <c r="E970" s="7">
        <v>14.58</v>
      </c>
      <c r="F970" s="7">
        <v>14.64</v>
      </c>
      <c r="G970" s="7">
        <v>14.52</v>
      </c>
      <c r="H970" s="8">
        <f t="shared" si="17"/>
        <v>-9.5108695652174301E-3</v>
      </c>
    </row>
    <row r="971" spans="2:8" x14ac:dyDescent="0.2">
      <c r="B971" s="5">
        <v>44869</v>
      </c>
      <c r="C971" s="6" t="s">
        <v>16</v>
      </c>
      <c r="D971" s="7">
        <v>14.38</v>
      </c>
      <c r="E971" s="7">
        <v>14.38</v>
      </c>
      <c r="F971" s="7">
        <v>14.58</v>
      </c>
      <c r="G971" s="7">
        <v>14.38</v>
      </c>
      <c r="H971" s="8">
        <f t="shared" si="17"/>
        <v>-1.3717421124828483E-2</v>
      </c>
    </row>
    <row r="972" spans="2:8" x14ac:dyDescent="0.2">
      <c r="B972" s="5">
        <v>44870</v>
      </c>
      <c r="C972" s="6" t="s">
        <v>16</v>
      </c>
      <c r="D972" s="7">
        <v>14.3</v>
      </c>
      <c r="E972" s="7">
        <v>14.3</v>
      </c>
      <c r="F972" s="7">
        <v>14.38</v>
      </c>
      <c r="G972" s="7">
        <v>14.25</v>
      </c>
      <c r="H972" s="8">
        <f t="shared" si="17"/>
        <v>-5.5632823365785863E-3</v>
      </c>
    </row>
    <row r="973" spans="2:8" x14ac:dyDescent="0.2">
      <c r="B973" s="5">
        <v>44871</v>
      </c>
      <c r="C973" s="6" t="s">
        <v>16</v>
      </c>
      <c r="D973" s="7">
        <v>14.08</v>
      </c>
      <c r="E973" s="7">
        <v>14.08</v>
      </c>
      <c r="F973" s="7">
        <v>14.13</v>
      </c>
      <c r="G973" s="7">
        <v>14.04</v>
      </c>
      <c r="H973" s="8">
        <f t="shared" si="17"/>
        <v>-1.5384615384615429E-2</v>
      </c>
    </row>
    <row r="974" spans="2:8" x14ac:dyDescent="0.2">
      <c r="B974" s="5">
        <v>44874</v>
      </c>
      <c r="C974" s="6" t="s">
        <v>16</v>
      </c>
      <c r="D974" s="7">
        <v>13.89</v>
      </c>
      <c r="E974" s="7">
        <v>13.89</v>
      </c>
      <c r="F974" s="7">
        <v>13.98</v>
      </c>
      <c r="G974" s="7">
        <v>13.78</v>
      </c>
      <c r="H974" s="8">
        <f t="shared" si="17"/>
        <v>-1.3494318181818147E-2</v>
      </c>
    </row>
    <row r="975" spans="2:8" x14ac:dyDescent="0.2">
      <c r="B975" s="5">
        <v>44875</v>
      </c>
      <c r="C975" s="6" t="s">
        <v>16</v>
      </c>
      <c r="D975" s="7">
        <v>13.76</v>
      </c>
      <c r="E975" s="7">
        <v>13.76</v>
      </c>
      <c r="F975" s="7">
        <v>13.8</v>
      </c>
      <c r="G975" s="7">
        <v>13.65</v>
      </c>
      <c r="H975" s="8">
        <f t="shared" si="17"/>
        <v>-9.3592512598992643E-3</v>
      </c>
    </row>
    <row r="976" spans="2:8" x14ac:dyDescent="0.2">
      <c r="B976" s="5">
        <v>44876</v>
      </c>
      <c r="C976" s="6" t="s">
        <v>16</v>
      </c>
      <c r="D976" s="7">
        <v>13.64</v>
      </c>
      <c r="E976" s="7">
        <v>13.64</v>
      </c>
      <c r="F976" s="7">
        <v>13.73</v>
      </c>
      <c r="G976" s="7">
        <v>13.61</v>
      </c>
      <c r="H976" s="8">
        <f t="shared" si="17"/>
        <v>-8.7209302325580822E-3</v>
      </c>
    </row>
    <row r="977" spans="2:8" x14ac:dyDescent="0.2">
      <c r="B977" s="5">
        <v>44877</v>
      </c>
      <c r="C977" s="6" t="s">
        <v>16</v>
      </c>
      <c r="D977" s="7">
        <v>13.64</v>
      </c>
      <c r="E977" s="7">
        <v>13.64</v>
      </c>
      <c r="F977" s="7">
        <v>13.83</v>
      </c>
      <c r="G977" s="7">
        <v>13.54</v>
      </c>
      <c r="H977" s="8">
        <f t="shared" si="17"/>
        <v>0</v>
      </c>
    </row>
    <row r="978" spans="2:8" x14ac:dyDescent="0.2">
      <c r="B978" s="5">
        <v>44878</v>
      </c>
      <c r="C978" s="6" t="s">
        <v>16</v>
      </c>
      <c r="D978" s="7">
        <v>13.59</v>
      </c>
      <c r="E978" s="7">
        <v>13.59</v>
      </c>
      <c r="F978" s="7">
        <v>13.6</v>
      </c>
      <c r="G978" s="7">
        <v>13.53</v>
      </c>
      <c r="H978" s="8">
        <f t="shared" si="17"/>
        <v>-3.6656891495601691E-3</v>
      </c>
    </row>
    <row r="979" spans="2:8" x14ac:dyDescent="0.2">
      <c r="B979" s="5">
        <v>44881</v>
      </c>
      <c r="C979" s="6" t="s">
        <v>16</v>
      </c>
      <c r="D979" s="7">
        <v>13.6</v>
      </c>
      <c r="E979" s="7">
        <v>13.6</v>
      </c>
      <c r="F979" s="7">
        <v>13.63</v>
      </c>
      <c r="G979" s="7">
        <v>13.55</v>
      </c>
      <c r="H979" s="8">
        <f t="shared" si="17"/>
        <v>7.3583517292124991E-4</v>
      </c>
    </row>
    <row r="980" spans="2:8" x14ac:dyDescent="0.2">
      <c r="B980" s="5">
        <v>44882</v>
      </c>
      <c r="C980" s="6" t="s">
        <v>16</v>
      </c>
      <c r="D980" s="7">
        <v>13.55</v>
      </c>
      <c r="E980" s="7">
        <v>13.55</v>
      </c>
      <c r="F980" s="7">
        <v>13.63</v>
      </c>
      <c r="G980" s="7">
        <v>13.47</v>
      </c>
      <c r="H980" s="8">
        <f t="shared" si="17"/>
        <v>-3.676470588235216E-3</v>
      </c>
    </row>
    <row r="981" spans="2:8" x14ac:dyDescent="0.2">
      <c r="B981" s="5">
        <v>44883</v>
      </c>
      <c r="C981" s="6" t="s">
        <v>16</v>
      </c>
      <c r="D981" s="7">
        <v>13.52</v>
      </c>
      <c r="E981" s="7">
        <v>13.52</v>
      </c>
      <c r="F981" s="7">
        <v>13.57</v>
      </c>
      <c r="G981" s="7">
        <v>13.39</v>
      </c>
      <c r="H981" s="8">
        <f t="shared" si="17"/>
        <v>-2.2140221402214859E-3</v>
      </c>
    </row>
    <row r="982" spans="2:8" x14ac:dyDescent="0.2">
      <c r="B982" s="5">
        <v>44884</v>
      </c>
      <c r="C982" s="6" t="s">
        <v>16</v>
      </c>
      <c r="D982" s="7">
        <v>13.62</v>
      </c>
      <c r="E982" s="7">
        <v>13.62</v>
      </c>
      <c r="F982" s="7">
        <v>13.75</v>
      </c>
      <c r="G982" s="7">
        <v>13.59</v>
      </c>
      <c r="H982" s="8">
        <f t="shared" si="17"/>
        <v>7.3964497041419854E-3</v>
      </c>
    </row>
    <row r="983" spans="2:8" x14ac:dyDescent="0.2">
      <c r="B983" s="5">
        <v>44885</v>
      </c>
      <c r="C983" s="6" t="s">
        <v>16</v>
      </c>
      <c r="D983" s="7">
        <v>13.5</v>
      </c>
      <c r="E983" s="7">
        <v>13.5</v>
      </c>
      <c r="F983" s="7">
        <v>13.6</v>
      </c>
      <c r="G983" s="7">
        <v>13.43</v>
      </c>
      <c r="H983" s="8">
        <f t="shared" si="17"/>
        <v>-8.8105726872246132E-3</v>
      </c>
    </row>
    <row r="984" spans="2:8" x14ac:dyDescent="0.2">
      <c r="B984" s="5">
        <v>44888</v>
      </c>
      <c r="C984" s="6" t="s">
        <v>16</v>
      </c>
      <c r="D984" s="7">
        <v>13.45</v>
      </c>
      <c r="E984" s="7">
        <v>13.45</v>
      </c>
      <c r="F984" s="7">
        <v>13.55</v>
      </c>
      <c r="G984" s="7">
        <v>13.4</v>
      </c>
      <c r="H984" s="8">
        <f t="shared" si="17"/>
        <v>-3.7037037037037563E-3</v>
      </c>
    </row>
    <row r="985" spans="2:8" x14ac:dyDescent="0.2">
      <c r="B985" s="5">
        <v>44889</v>
      </c>
      <c r="C985" s="6" t="s">
        <v>16</v>
      </c>
      <c r="D985" s="7">
        <v>13.51</v>
      </c>
      <c r="E985" s="7">
        <v>13.51</v>
      </c>
      <c r="F985" s="7">
        <v>13.65</v>
      </c>
      <c r="G985" s="7">
        <v>13.5</v>
      </c>
      <c r="H985" s="8">
        <f t="shared" si="17"/>
        <v>4.4609665427509668E-3</v>
      </c>
    </row>
    <row r="986" spans="2:8" x14ac:dyDescent="0.2">
      <c r="B986" s="5">
        <v>44890</v>
      </c>
      <c r="C986" s="6" t="s">
        <v>16</v>
      </c>
      <c r="D986" s="7">
        <v>13.52</v>
      </c>
      <c r="E986" s="7">
        <v>13.52</v>
      </c>
      <c r="F986" s="7">
        <v>13.56</v>
      </c>
      <c r="G986" s="7">
        <v>13.4</v>
      </c>
      <c r="H986" s="8">
        <f t="shared" si="17"/>
        <v>7.4019245003699387E-4</v>
      </c>
    </row>
    <row r="987" spans="2:8" x14ac:dyDescent="0.2">
      <c r="B987" s="5">
        <v>44892</v>
      </c>
      <c r="C987" s="6" t="s">
        <v>16</v>
      </c>
      <c r="D987" s="7">
        <v>13.46</v>
      </c>
      <c r="E987" s="7">
        <v>13.46</v>
      </c>
      <c r="F987" s="7">
        <v>13.51</v>
      </c>
      <c r="G987" s="7">
        <v>13.36</v>
      </c>
      <c r="H987" s="8">
        <f t="shared" si="17"/>
        <v>-4.4378698224851127E-3</v>
      </c>
    </row>
    <row r="988" spans="2:8" x14ac:dyDescent="0.2">
      <c r="B988" s="5">
        <v>44895</v>
      </c>
      <c r="C988" s="6" t="s">
        <v>16</v>
      </c>
      <c r="D988" s="7">
        <v>13.44</v>
      </c>
      <c r="E988" s="7">
        <v>13.44</v>
      </c>
      <c r="F988" s="7">
        <v>13.5</v>
      </c>
      <c r="G988" s="7">
        <v>13.4</v>
      </c>
      <c r="H988" s="8">
        <f t="shared" si="17"/>
        <v>-1.485884101040219E-3</v>
      </c>
    </row>
    <row r="989" spans="2:8" x14ac:dyDescent="0.2">
      <c r="B989" s="5">
        <v>44896</v>
      </c>
      <c r="C989" s="6" t="s">
        <v>16</v>
      </c>
      <c r="D989" s="7">
        <v>13.51</v>
      </c>
      <c r="E989" s="7">
        <v>13.51</v>
      </c>
      <c r="F989" s="7">
        <v>13.53</v>
      </c>
      <c r="G989" s="7">
        <v>13.43</v>
      </c>
      <c r="H989" s="8">
        <f t="shared" si="17"/>
        <v>5.2083333333333547E-3</v>
      </c>
    </row>
    <row r="990" spans="2:8" x14ac:dyDescent="0.2">
      <c r="B990" s="5">
        <v>44897</v>
      </c>
      <c r="C990" s="6" t="s">
        <v>16</v>
      </c>
      <c r="D990" s="7">
        <v>13.37</v>
      </c>
      <c r="E990" s="7">
        <v>13.37</v>
      </c>
      <c r="F990" s="7">
        <v>13.45</v>
      </c>
      <c r="G990" s="7">
        <v>13.28</v>
      </c>
      <c r="H990" s="8">
        <f t="shared" si="17"/>
        <v>-1.0362694300518177E-2</v>
      </c>
    </row>
    <row r="991" spans="2:8" x14ac:dyDescent="0.2">
      <c r="B991" s="5">
        <v>44898</v>
      </c>
      <c r="C991" s="6" t="s">
        <v>16</v>
      </c>
      <c r="D991" s="7">
        <v>13.46</v>
      </c>
      <c r="E991" s="7">
        <v>13.46</v>
      </c>
      <c r="F991" s="7">
        <v>13.51</v>
      </c>
      <c r="G991" s="7">
        <v>13.33</v>
      </c>
      <c r="H991" s="8">
        <f t="shared" si="17"/>
        <v>6.7314884068811996E-3</v>
      </c>
    </row>
    <row r="992" spans="2:8" x14ac:dyDescent="0.2">
      <c r="B992" s="5">
        <v>44899</v>
      </c>
      <c r="C992" s="6" t="s">
        <v>16</v>
      </c>
      <c r="D992" s="7">
        <v>13.87</v>
      </c>
      <c r="E992" s="7">
        <v>13.87</v>
      </c>
      <c r="F992" s="7">
        <v>13.94</v>
      </c>
      <c r="G992" s="7">
        <v>13.63</v>
      </c>
      <c r="H992" s="8">
        <f t="shared" si="17"/>
        <v>3.0460624071322315E-2</v>
      </c>
    </row>
    <row r="993" spans="2:8" x14ac:dyDescent="0.2">
      <c r="B993" s="5">
        <v>44902</v>
      </c>
      <c r="C993" s="6" t="s">
        <v>16</v>
      </c>
      <c r="D993" s="7">
        <v>13.62</v>
      </c>
      <c r="E993" s="7">
        <v>13.62</v>
      </c>
      <c r="F993" s="7">
        <v>13.81</v>
      </c>
      <c r="G993" s="7">
        <v>13.58</v>
      </c>
      <c r="H993" s="8">
        <f t="shared" si="17"/>
        <v>-1.8024513338139873E-2</v>
      </c>
    </row>
    <row r="994" spans="2:8" x14ac:dyDescent="0.2">
      <c r="B994" s="5">
        <v>44903</v>
      </c>
      <c r="C994" s="6" t="s">
        <v>16</v>
      </c>
      <c r="D994" s="7">
        <v>13.51</v>
      </c>
      <c r="E994" s="7">
        <v>13.51</v>
      </c>
      <c r="F994" s="7">
        <v>13.63</v>
      </c>
      <c r="G994" s="7">
        <v>13.46</v>
      </c>
      <c r="H994" s="8">
        <f t="shared" si="17"/>
        <v>-8.0763582966225725E-3</v>
      </c>
    </row>
    <row r="995" spans="2:8" x14ac:dyDescent="0.2">
      <c r="B995" s="5">
        <v>44904</v>
      </c>
      <c r="C995" s="6" t="s">
        <v>16</v>
      </c>
      <c r="D995" s="7">
        <v>13.49</v>
      </c>
      <c r="E995" s="7">
        <v>13.49</v>
      </c>
      <c r="F995" s="7">
        <v>13.66</v>
      </c>
      <c r="G995" s="7">
        <v>13.48</v>
      </c>
      <c r="H995" s="8">
        <f t="shared" si="17"/>
        <v>-1.4803849000739877E-3</v>
      </c>
    </row>
    <row r="996" spans="2:8" x14ac:dyDescent="0.2">
      <c r="B996" s="5">
        <v>44905</v>
      </c>
      <c r="C996" s="6" t="s">
        <v>16</v>
      </c>
      <c r="D996" s="7">
        <v>13.45</v>
      </c>
      <c r="E996" s="7">
        <v>13.45</v>
      </c>
      <c r="F996" s="7">
        <v>13.52</v>
      </c>
      <c r="G996" s="7">
        <v>13.44</v>
      </c>
      <c r="H996" s="8">
        <f t="shared" si="17"/>
        <v>-2.9651593773165992E-3</v>
      </c>
    </row>
    <row r="997" spans="2:8" x14ac:dyDescent="0.2">
      <c r="B997" s="5">
        <v>44906</v>
      </c>
      <c r="C997" s="6" t="s">
        <v>16</v>
      </c>
      <c r="D997" s="7">
        <v>13.3</v>
      </c>
      <c r="E997" s="7">
        <v>13.3</v>
      </c>
      <c r="F997" s="7">
        <v>13.33</v>
      </c>
      <c r="G997" s="7">
        <v>13.16</v>
      </c>
      <c r="H997" s="8">
        <f t="shared" si="17"/>
        <v>-1.1152416356877219E-2</v>
      </c>
    </row>
    <row r="998" spans="2:8" x14ac:dyDescent="0.2">
      <c r="B998" s="5">
        <v>44909</v>
      </c>
      <c r="C998" s="6" t="s">
        <v>16</v>
      </c>
      <c r="D998" s="7">
        <v>13.06</v>
      </c>
      <c r="E998" s="7">
        <v>13.06</v>
      </c>
      <c r="F998" s="7">
        <v>13.19</v>
      </c>
      <c r="G998" s="7">
        <v>13.05</v>
      </c>
      <c r="H998" s="8">
        <f t="shared" si="17"/>
        <v>-1.8045112781954902E-2</v>
      </c>
    </row>
    <row r="999" spans="2:8" x14ac:dyDescent="0.2">
      <c r="B999" s="5">
        <v>44910</v>
      </c>
      <c r="C999" s="6" t="s">
        <v>16</v>
      </c>
      <c r="D999" s="7">
        <v>13.11</v>
      </c>
      <c r="E999" s="7">
        <v>13.11</v>
      </c>
      <c r="F999" s="7">
        <v>13.19</v>
      </c>
      <c r="G999" s="7">
        <v>13.06</v>
      </c>
      <c r="H999" s="8">
        <f t="shared" si="17"/>
        <v>3.8284839203674525E-3</v>
      </c>
    </row>
    <row r="1000" spans="2:8" x14ac:dyDescent="0.2">
      <c r="B1000" s="5">
        <v>44911</v>
      </c>
      <c r="C1000" s="6" t="s">
        <v>16</v>
      </c>
      <c r="D1000" s="7">
        <v>13.49</v>
      </c>
      <c r="E1000" s="7">
        <v>13.49</v>
      </c>
      <c r="F1000" s="7">
        <v>13.64</v>
      </c>
      <c r="G1000" s="7">
        <v>13.33</v>
      </c>
      <c r="H1000" s="8">
        <f t="shared" si="17"/>
        <v>2.8985507246376871E-2</v>
      </c>
    </row>
    <row r="1001" spans="2:8" x14ac:dyDescent="0.2">
      <c r="B1001" s="5">
        <v>44912</v>
      </c>
      <c r="C1001" s="6" t="s">
        <v>16</v>
      </c>
      <c r="D1001" s="7">
        <v>13.08</v>
      </c>
      <c r="E1001" s="7">
        <v>13.08</v>
      </c>
      <c r="F1001" s="7">
        <v>13.2</v>
      </c>
      <c r="G1001" s="7">
        <v>13.04</v>
      </c>
      <c r="H1001" s="8">
        <f t="shared" si="17"/>
        <v>-3.039288361749445E-2</v>
      </c>
    </row>
    <row r="1002" spans="2:8" x14ac:dyDescent="0.2">
      <c r="B1002" s="5">
        <v>44913</v>
      </c>
      <c r="C1002" s="6" t="s">
        <v>16</v>
      </c>
      <c r="D1002" s="7">
        <v>13.43</v>
      </c>
      <c r="E1002" s="7">
        <v>13.43</v>
      </c>
      <c r="F1002" s="7">
        <v>13.55</v>
      </c>
      <c r="G1002" s="7">
        <v>13.24</v>
      </c>
      <c r="H1002" s="8">
        <f t="shared" si="17"/>
        <v>2.6758409785932694E-2</v>
      </c>
    </row>
    <row r="1003" spans="2:8" x14ac:dyDescent="0.2">
      <c r="B1003" s="5">
        <v>44916</v>
      </c>
      <c r="C1003" s="6" t="s">
        <v>16</v>
      </c>
      <c r="D1003" s="7">
        <v>13.59</v>
      </c>
      <c r="E1003" s="7">
        <v>13.59</v>
      </c>
      <c r="F1003" s="7">
        <v>13.67</v>
      </c>
      <c r="G1003" s="7">
        <v>13.54</v>
      </c>
      <c r="H1003" s="8">
        <f t="shared" si="17"/>
        <v>1.1913626209977672E-2</v>
      </c>
    </row>
    <row r="1004" spans="2:8" x14ac:dyDescent="0.2">
      <c r="B1004" s="5">
        <v>44917</v>
      </c>
      <c r="C1004" s="6" t="s">
        <v>16</v>
      </c>
      <c r="D1004" s="7">
        <v>13.59</v>
      </c>
      <c r="E1004" s="7">
        <v>13.59</v>
      </c>
      <c r="F1004" s="7">
        <v>13.67</v>
      </c>
      <c r="G1004" s="7">
        <v>13.58</v>
      </c>
      <c r="H1004" s="8">
        <f t="shared" si="17"/>
        <v>0</v>
      </c>
    </row>
    <row r="1005" spans="2:8" x14ac:dyDescent="0.2">
      <c r="B1005" s="5">
        <v>44918</v>
      </c>
      <c r="C1005" s="6" t="s">
        <v>16</v>
      </c>
      <c r="D1005" s="7">
        <v>13.62</v>
      </c>
      <c r="E1005" s="7">
        <v>13.62</v>
      </c>
      <c r="F1005" s="7">
        <v>13.68</v>
      </c>
      <c r="G1005" s="7">
        <v>13.54</v>
      </c>
      <c r="H1005" s="8">
        <f t="shared" si="17"/>
        <v>2.2075055187637501E-3</v>
      </c>
    </row>
    <row r="1006" spans="2:8" x14ac:dyDescent="0.2">
      <c r="B1006" s="5">
        <v>44919</v>
      </c>
      <c r="C1006" s="6" t="s">
        <v>16</v>
      </c>
      <c r="D1006" s="7">
        <v>13.69</v>
      </c>
      <c r="E1006" s="7">
        <v>13.69</v>
      </c>
      <c r="F1006" s="7">
        <v>13.72</v>
      </c>
      <c r="G1006" s="7">
        <v>13.66</v>
      </c>
      <c r="H1006" s="8">
        <f t="shared" si="17"/>
        <v>5.1395007342144115E-3</v>
      </c>
    </row>
    <row r="1007" spans="2:8" x14ac:dyDescent="0.2">
      <c r="B1007" s="5">
        <v>44923</v>
      </c>
      <c r="C1007" s="6" t="s">
        <v>16</v>
      </c>
      <c r="D1007" s="7">
        <v>13.29</v>
      </c>
      <c r="E1007" s="7">
        <v>13.29</v>
      </c>
      <c r="F1007" s="7">
        <v>13.4</v>
      </c>
      <c r="G1007" s="7">
        <v>13.22</v>
      </c>
      <c r="H1007" s="8">
        <f t="shared" si="17"/>
        <v>-2.9218407596786001E-2</v>
      </c>
    </row>
    <row r="1008" spans="2:8" x14ac:dyDescent="0.2">
      <c r="B1008" s="5">
        <v>44924</v>
      </c>
      <c r="C1008" s="6" t="s">
        <v>16</v>
      </c>
      <c r="D1008" s="7">
        <v>13.27</v>
      </c>
      <c r="E1008" s="7">
        <v>13.27</v>
      </c>
      <c r="F1008" s="7">
        <v>13.39</v>
      </c>
      <c r="G1008" s="7">
        <v>13.26</v>
      </c>
      <c r="H1008" s="8">
        <f t="shared" si="17"/>
        <v>-1.5048908954100508E-3</v>
      </c>
    </row>
    <row r="1009" spans="2:8" x14ac:dyDescent="0.2">
      <c r="B1009" s="5">
        <v>44925</v>
      </c>
      <c r="C1009" s="6" t="s">
        <v>16</v>
      </c>
      <c r="D1009" s="7">
        <v>13.21</v>
      </c>
      <c r="E1009" s="7">
        <v>13.21</v>
      </c>
      <c r="F1009" s="7">
        <v>13.22</v>
      </c>
      <c r="G1009" s="7">
        <v>13.16</v>
      </c>
      <c r="H1009" s="8">
        <f t="shared" si="17"/>
        <v>-4.5214770158250733E-3</v>
      </c>
    </row>
    <row r="1010" spans="2:8" x14ac:dyDescent="0.2">
      <c r="B1010" s="5">
        <v>44926</v>
      </c>
      <c r="C1010" s="6" t="s">
        <v>16</v>
      </c>
      <c r="D1010" s="7">
        <v>13.19</v>
      </c>
      <c r="E1010" s="7">
        <v>13.19</v>
      </c>
      <c r="F1010" s="7">
        <v>13.25</v>
      </c>
      <c r="G1010" s="7">
        <v>13.16</v>
      </c>
      <c r="H1010" s="8">
        <f t="shared" si="17"/>
        <v>-1.5140045420137282E-3</v>
      </c>
    </row>
    <row r="1011" spans="2:8" x14ac:dyDescent="0.2">
      <c r="B1011" s="5">
        <v>44198</v>
      </c>
      <c r="C1011" s="6" t="s">
        <v>17</v>
      </c>
      <c r="D1011" s="7">
        <v>89.870002999999997</v>
      </c>
      <c r="E1011" s="7">
        <v>81.746972</v>
      </c>
      <c r="F1011" s="7">
        <v>90.449996999999996</v>
      </c>
      <c r="G1011" s="7">
        <v>89.330001999999993</v>
      </c>
      <c r="H1011" s="8">
        <f t="shared" si="17"/>
        <v>5.8134952994692952</v>
      </c>
    </row>
    <row r="1012" spans="2:8" x14ac:dyDescent="0.2">
      <c r="B1012" s="5">
        <v>44199</v>
      </c>
      <c r="C1012" s="6" t="s">
        <v>17</v>
      </c>
      <c r="D1012" s="7">
        <v>89.82</v>
      </c>
      <c r="E1012" s="7">
        <v>81.701488999999995</v>
      </c>
      <c r="F1012" s="7">
        <v>90.25</v>
      </c>
      <c r="G1012" s="7">
        <v>89.589995999999999</v>
      </c>
      <c r="H1012" s="8">
        <f t="shared" si="17"/>
        <v>-5.5639254846807777E-4</v>
      </c>
    </row>
    <row r="1013" spans="2:8" x14ac:dyDescent="0.2">
      <c r="B1013" s="5">
        <v>44202</v>
      </c>
      <c r="C1013" s="6" t="s">
        <v>17</v>
      </c>
      <c r="D1013" s="7">
        <v>88.639999000000003</v>
      </c>
      <c r="E1013" s="7">
        <v>80.628144000000006</v>
      </c>
      <c r="F1013" s="7">
        <v>90.300003000000004</v>
      </c>
      <c r="G1013" s="7">
        <v>88.379997000000003</v>
      </c>
      <c r="H1013" s="8">
        <f t="shared" si="17"/>
        <v>-1.3137397016254623E-2</v>
      </c>
    </row>
    <row r="1014" spans="2:8" x14ac:dyDescent="0.2">
      <c r="B1014" s="5">
        <v>44203</v>
      </c>
      <c r="C1014" s="6" t="s">
        <v>17</v>
      </c>
      <c r="D1014" s="7">
        <v>88.93</v>
      </c>
      <c r="E1014" s="7">
        <v>80.891932999999995</v>
      </c>
      <c r="F1014" s="7">
        <v>89.230002999999996</v>
      </c>
      <c r="G1014" s="7">
        <v>88.75</v>
      </c>
      <c r="H1014" s="8">
        <f t="shared" si="17"/>
        <v>3.2716719683176408E-3</v>
      </c>
    </row>
    <row r="1015" spans="2:8" x14ac:dyDescent="0.2">
      <c r="B1015" s="5">
        <v>44204</v>
      </c>
      <c r="C1015" s="6" t="s">
        <v>17</v>
      </c>
      <c r="D1015" s="7">
        <v>89.139999000000003</v>
      </c>
      <c r="E1015" s="7">
        <v>81.082950999999994</v>
      </c>
      <c r="F1015" s="7">
        <v>89.82</v>
      </c>
      <c r="G1015" s="7">
        <v>88.669998000000007</v>
      </c>
      <c r="H1015" s="8">
        <f t="shared" si="17"/>
        <v>2.3613966040705752E-3</v>
      </c>
    </row>
    <row r="1016" spans="2:8" x14ac:dyDescent="0.2">
      <c r="B1016" s="5">
        <v>44205</v>
      </c>
      <c r="C1016" s="6" t="s">
        <v>17</v>
      </c>
      <c r="D1016" s="7">
        <v>89.709998999999996</v>
      </c>
      <c r="E1016" s="7">
        <v>81.601431000000005</v>
      </c>
      <c r="F1016" s="7">
        <v>89.800003000000004</v>
      </c>
      <c r="G1016" s="7">
        <v>88.690002000000007</v>
      </c>
      <c r="H1016" s="8">
        <f t="shared" si="17"/>
        <v>6.3944357908282358E-3</v>
      </c>
    </row>
    <row r="1017" spans="2:8" x14ac:dyDescent="0.2">
      <c r="B1017" s="5">
        <v>44206</v>
      </c>
      <c r="C1017" s="6" t="s">
        <v>17</v>
      </c>
      <c r="D1017" s="7">
        <v>90.510002</v>
      </c>
      <c r="E1017" s="7">
        <v>82.329123999999993</v>
      </c>
      <c r="F1017" s="7">
        <v>90.599997999999999</v>
      </c>
      <c r="G1017" s="7">
        <v>89.290001000000004</v>
      </c>
      <c r="H1017" s="8">
        <f t="shared" si="17"/>
        <v>8.9176569938430594E-3</v>
      </c>
    </row>
    <row r="1018" spans="2:8" x14ac:dyDescent="0.2">
      <c r="B1018" s="5">
        <v>44209</v>
      </c>
      <c r="C1018" s="6" t="s">
        <v>17</v>
      </c>
      <c r="D1018" s="7">
        <v>89.889999000000003</v>
      </c>
      <c r="E1018" s="7">
        <v>81.765161000000006</v>
      </c>
      <c r="F1018" s="7">
        <v>91.260002</v>
      </c>
      <c r="G1018" s="7">
        <v>89.82</v>
      </c>
      <c r="H1018" s="8">
        <f t="shared" si="17"/>
        <v>-6.850104809410975E-3</v>
      </c>
    </row>
    <row r="1019" spans="2:8" x14ac:dyDescent="0.2">
      <c r="B1019" s="5">
        <v>44210</v>
      </c>
      <c r="C1019" s="6" t="s">
        <v>17</v>
      </c>
      <c r="D1019" s="7">
        <v>90.559997999999993</v>
      </c>
      <c r="E1019" s="7">
        <v>82.374600999999998</v>
      </c>
      <c r="F1019" s="7">
        <v>90.709998999999996</v>
      </c>
      <c r="G1019" s="7">
        <v>89.860000999999997</v>
      </c>
      <c r="H1019" s="8">
        <f t="shared" si="17"/>
        <v>7.4535433024088696E-3</v>
      </c>
    </row>
    <row r="1020" spans="2:8" x14ac:dyDescent="0.2">
      <c r="B1020" s="5">
        <v>44211</v>
      </c>
      <c r="C1020" s="6" t="s">
        <v>17</v>
      </c>
      <c r="D1020" s="7">
        <v>92.410004000000001</v>
      </c>
      <c r="E1020" s="7">
        <v>84.057390999999996</v>
      </c>
      <c r="F1020" s="7">
        <v>93.199996999999996</v>
      </c>
      <c r="G1020" s="7">
        <v>90.879997000000003</v>
      </c>
      <c r="H1020" s="8">
        <f t="shared" si="17"/>
        <v>2.0428511935258742E-2</v>
      </c>
    </row>
    <row r="1021" spans="2:8" x14ac:dyDescent="0.2">
      <c r="B1021" s="5">
        <v>44212</v>
      </c>
      <c r="C1021" s="6" t="s">
        <v>17</v>
      </c>
      <c r="D1021" s="7">
        <v>92.010002</v>
      </c>
      <c r="E1021" s="7">
        <v>84.240503000000004</v>
      </c>
      <c r="F1021" s="7">
        <v>92.860000999999997</v>
      </c>
      <c r="G1021" s="7">
        <v>91.699996999999996</v>
      </c>
      <c r="H1021" s="8">
        <f t="shared" si="17"/>
        <v>-4.3285573280572595E-3</v>
      </c>
    </row>
    <row r="1022" spans="2:8" x14ac:dyDescent="0.2">
      <c r="B1022" s="5">
        <v>44213</v>
      </c>
      <c r="C1022" s="6" t="s">
        <v>17</v>
      </c>
      <c r="D1022" s="7">
        <v>91.440002000000007</v>
      </c>
      <c r="E1022" s="7">
        <v>83.718635000000006</v>
      </c>
      <c r="F1022" s="7">
        <v>92.260002</v>
      </c>
      <c r="G1022" s="7">
        <v>91.010002</v>
      </c>
      <c r="H1022" s="8">
        <f t="shared" si="17"/>
        <v>-6.1949786719925643E-3</v>
      </c>
    </row>
    <row r="1023" spans="2:8" x14ac:dyDescent="0.2">
      <c r="B1023" s="5">
        <v>44217</v>
      </c>
      <c r="C1023" s="6" t="s">
        <v>17</v>
      </c>
      <c r="D1023" s="7">
        <v>90.599997999999999</v>
      </c>
      <c r="E1023" s="7">
        <v>82.949562</v>
      </c>
      <c r="F1023" s="7">
        <v>91.849997999999999</v>
      </c>
      <c r="G1023" s="7">
        <v>89.639999000000003</v>
      </c>
      <c r="H1023" s="8">
        <f t="shared" si="17"/>
        <v>-9.1863952496414811E-3</v>
      </c>
    </row>
    <row r="1024" spans="2:8" x14ac:dyDescent="0.2">
      <c r="B1024" s="5">
        <v>44218</v>
      </c>
      <c r="C1024" s="6" t="s">
        <v>17</v>
      </c>
      <c r="D1024" s="7">
        <v>89.639999000000003</v>
      </c>
      <c r="E1024" s="7">
        <v>82.070627999999999</v>
      </c>
      <c r="F1024" s="7">
        <v>90.82</v>
      </c>
      <c r="G1024" s="7">
        <v>89.349997999999999</v>
      </c>
      <c r="H1024" s="8">
        <f t="shared" si="17"/>
        <v>-1.0596015686446221E-2</v>
      </c>
    </row>
    <row r="1025" spans="2:8" x14ac:dyDescent="0.2">
      <c r="B1025" s="5">
        <v>44219</v>
      </c>
      <c r="C1025" s="6" t="s">
        <v>17</v>
      </c>
      <c r="D1025" s="7">
        <v>88.480002999999996</v>
      </c>
      <c r="E1025" s="7">
        <v>81.008583999999999</v>
      </c>
      <c r="F1025" s="7">
        <v>89.080001999999993</v>
      </c>
      <c r="G1025" s="7">
        <v>88.050003000000004</v>
      </c>
      <c r="H1025" s="8">
        <f t="shared" si="17"/>
        <v>-1.2940607016294218E-2</v>
      </c>
    </row>
    <row r="1026" spans="2:8" x14ac:dyDescent="0.2">
      <c r="B1026" s="5">
        <v>44220</v>
      </c>
      <c r="C1026" s="6" t="s">
        <v>17</v>
      </c>
      <c r="D1026" s="7">
        <v>86.169998000000007</v>
      </c>
      <c r="E1026" s="7">
        <v>78.893640000000005</v>
      </c>
      <c r="F1026" s="7">
        <v>87.989998</v>
      </c>
      <c r="G1026" s="7">
        <v>85.879997000000003</v>
      </c>
      <c r="H1026" s="8">
        <f t="shared" si="17"/>
        <v>-2.6107650561449345E-2</v>
      </c>
    </row>
    <row r="1027" spans="2:8" x14ac:dyDescent="0.2">
      <c r="B1027" s="5">
        <v>44223</v>
      </c>
      <c r="C1027" s="6" t="s">
        <v>17</v>
      </c>
      <c r="D1027" s="7">
        <v>91.290001000000004</v>
      </c>
      <c r="E1027" s="7">
        <v>83.581299999999999</v>
      </c>
      <c r="F1027" s="7">
        <v>92.309997999999993</v>
      </c>
      <c r="G1027" s="7">
        <v>89.07</v>
      </c>
      <c r="H1027" s="8">
        <f t="shared" si="17"/>
        <v>5.9417466854298828E-2</v>
      </c>
    </row>
    <row r="1028" spans="2:8" x14ac:dyDescent="0.2">
      <c r="B1028" s="5">
        <v>44224</v>
      </c>
      <c r="C1028" s="6" t="s">
        <v>17</v>
      </c>
      <c r="D1028" s="7">
        <v>92.470000999999996</v>
      </c>
      <c r="E1028" s="7">
        <v>84.661659</v>
      </c>
      <c r="F1028" s="7">
        <v>92.669998000000007</v>
      </c>
      <c r="G1028" s="7">
        <v>91.349997999999999</v>
      </c>
      <c r="H1028" s="8">
        <f t="shared" ref="H1028:H1091" si="18">(D1028-D1027)/D1027</f>
        <v>1.2925840585761331E-2</v>
      </c>
    </row>
    <row r="1029" spans="2:8" x14ac:dyDescent="0.2">
      <c r="B1029" s="5">
        <v>44225</v>
      </c>
      <c r="C1029" s="6" t="s">
        <v>17</v>
      </c>
      <c r="D1029" s="7">
        <v>90.620002999999997</v>
      </c>
      <c r="E1029" s="7">
        <v>82.967877999999999</v>
      </c>
      <c r="F1029" s="7">
        <v>91.959998999999996</v>
      </c>
      <c r="G1029" s="7">
        <v>90.290001000000004</v>
      </c>
      <c r="H1029" s="8">
        <f t="shared" si="18"/>
        <v>-2.0006466745901726E-2</v>
      </c>
    </row>
    <row r="1030" spans="2:8" x14ac:dyDescent="0.2">
      <c r="B1030" s="5">
        <v>44226</v>
      </c>
      <c r="C1030" s="6" t="s">
        <v>17</v>
      </c>
      <c r="D1030" s="7">
        <v>93.199996999999996</v>
      </c>
      <c r="E1030" s="7">
        <v>85.330011999999996</v>
      </c>
      <c r="F1030" s="7">
        <v>93.849997999999999</v>
      </c>
      <c r="G1030" s="7">
        <v>90.730002999999996</v>
      </c>
      <c r="H1030" s="8">
        <f t="shared" si="18"/>
        <v>2.8470469152379076E-2</v>
      </c>
    </row>
    <row r="1031" spans="2:8" x14ac:dyDescent="0.2">
      <c r="B1031" s="5">
        <v>44227</v>
      </c>
      <c r="C1031" s="6" t="s">
        <v>17</v>
      </c>
      <c r="D1031" s="7">
        <v>93.910004000000001</v>
      </c>
      <c r="E1031" s="7">
        <v>85.980064999999996</v>
      </c>
      <c r="F1031" s="7">
        <v>94.690002000000007</v>
      </c>
      <c r="G1031" s="7">
        <v>92.010002</v>
      </c>
      <c r="H1031" s="8">
        <f t="shared" si="18"/>
        <v>7.6181011035869935E-3</v>
      </c>
    </row>
    <row r="1032" spans="2:8" x14ac:dyDescent="0.2">
      <c r="B1032" s="5">
        <v>44230</v>
      </c>
      <c r="C1032" s="6" t="s">
        <v>17</v>
      </c>
      <c r="D1032" s="7">
        <v>92.419998000000007</v>
      </c>
      <c r="E1032" s="7">
        <v>84.615877999999995</v>
      </c>
      <c r="F1032" s="7">
        <v>93.940002000000007</v>
      </c>
      <c r="G1032" s="7">
        <v>91.949996999999996</v>
      </c>
      <c r="H1032" s="8">
        <f t="shared" si="18"/>
        <v>-1.586631814007796E-2</v>
      </c>
    </row>
    <row r="1033" spans="2:8" x14ac:dyDescent="0.2">
      <c r="B1033" s="5">
        <v>44231</v>
      </c>
      <c r="C1033" s="6" t="s">
        <v>17</v>
      </c>
      <c r="D1033" s="7">
        <v>92.5</v>
      </c>
      <c r="E1033" s="7">
        <v>84.689124000000007</v>
      </c>
      <c r="F1033" s="7">
        <v>92.650002000000001</v>
      </c>
      <c r="G1033" s="7">
        <v>91.489998</v>
      </c>
      <c r="H1033" s="8">
        <f t="shared" si="18"/>
        <v>8.6563516264080893E-4</v>
      </c>
    </row>
    <row r="1034" spans="2:8" x14ac:dyDescent="0.2">
      <c r="B1034" s="5">
        <v>44232</v>
      </c>
      <c r="C1034" s="6" t="s">
        <v>17</v>
      </c>
      <c r="D1034" s="7">
        <v>91.959998999999996</v>
      </c>
      <c r="E1034" s="7">
        <v>84.194721999999999</v>
      </c>
      <c r="F1034" s="7">
        <v>92.510002</v>
      </c>
      <c r="G1034" s="7">
        <v>91.059997999999993</v>
      </c>
      <c r="H1034" s="8">
        <f t="shared" si="18"/>
        <v>-5.8378486486486891E-3</v>
      </c>
    </row>
    <row r="1035" spans="2:8" x14ac:dyDescent="0.2">
      <c r="B1035" s="5">
        <v>44233</v>
      </c>
      <c r="C1035" s="6" t="s">
        <v>17</v>
      </c>
      <c r="D1035" s="7">
        <v>93.830001999999993</v>
      </c>
      <c r="E1035" s="7">
        <v>85.906818000000001</v>
      </c>
      <c r="F1035" s="7">
        <v>94.230002999999996</v>
      </c>
      <c r="G1035" s="7">
        <v>91.790001000000004</v>
      </c>
      <c r="H1035" s="8">
        <f t="shared" si="18"/>
        <v>2.0334961073672882E-2</v>
      </c>
    </row>
    <row r="1036" spans="2:8" x14ac:dyDescent="0.2">
      <c r="B1036" s="5">
        <v>44234</v>
      </c>
      <c r="C1036" s="6" t="s">
        <v>17</v>
      </c>
      <c r="D1036" s="7">
        <v>94.870002999999997</v>
      </c>
      <c r="E1036" s="7">
        <v>86.858998999999997</v>
      </c>
      <c r="F1036" s="7">
        <v>95.239998</v>
      </c>
      <c r="G1036" s="7">
        <v>93.879997000000003</v>
      </c>
      <c r="H1036" s="8">
        <f t="shared" si="18"/>
        <v>1.1083885514571382E-2</v>
      </c>
    </row>
    <row r="1037" spans="2:8" x14ac:dyDescent="0.2">
      <c r="B1037" s="5">
        <v>44237</v>
      </c>
      <c r="C1037" s="6" t="s">
        <v>17</v>
      </c>
      <c r="D1037" s="7">
        <v>94.5</v>
      </c>
      <c r="E1037" s="7">
        <v>86.520240000000001</v>
      </c>
      <c r="F1037" s="7">
        <v>94.980002999999996</v>
      </c>
      <c r="G1037" s="7">
        <v>93.629997000000003</v>
      </c>
      <c r="H1037" s="8">
        <f t="shared" si="18"/>
        <v>-3.9001052840695809E-3</v>
      </c>
    </row>
    <row r="1038" spans="2:8" x14ac:dyDescent="0.2">
      <c r="B1038" s="5">
        <v>44238</v>
      </c>
      <c r="C1038" s="6" t="s">
        <v>17</v>
      </c>
      <c r="D1038" s="7">
        <v>94.959998999999996</v>
      </c>
      <c r="E1038" s="7">
        <v>86.941395999999997</v>
      </c>
      <c r="F1038" s="7">
        <v>95.339995999999999</v>
      </c>
      <c r="G1038" s="7">
        <v>94.279999000000004</v>
      </c>
      <c r="H1038" s="8">
        <f t="shared" si="18"/>
        <v>4.8677142857142461E-3</v>
      </c>
    </row>
    <row r="1039" spans="2:8" x14ac:dyDescent="0.2">
      <c r="B1039" s="5">
        <v>44239</v>
      </c>
      <c r="C1039" s="6" t="s">
        <v>17</v>
      </c>
      <c r="D1039" s="7">
        <v>96.169998000000007</v>
      </c>
      <c r="E1039" s="7">
        <v>88.049221000000003</v>
      </c>
      <c r="F1039" s="7">
        <v>96.639999000000003</v>
      </c>
      <c r="G1039" s="7">
        <v>95.169998000000007</v>
      </c>
      <c r="H1039" s="8">
        <f t="shared" si="18"/>
        <v>1.2742196848591063E-2</v>
      </c>
    </row>
    <row r="1040" spans="2:8" x14ac:dyDescent="0.2">
      <c r="B1040" s="5">
        <v>44240</v>
      </c>
      <c r="C1040" s="6" t="s">
        <v>17</v>
      </c>
      <c r="D1040" s="7">
        <v>96.110000999999997</v>
      </c>
      <c r="E1040" s="7">
        <v>87.994290000000007</v>
      </c>
      <c r="F1040" s="7">
        <v>96.410004000000001</v>
      </c>
      <c r="G1040" s="7">
        <v>95.110000999999997</v>
      </c>
      <c r="H1040" s="8">
        <f t="shared" si="18"/>
        <v>-6.2386400382383124E-4</v>
      </c>
    </row>
    <row r="1041" spans="2:8" x14ac:dyDescent="0.2">
      <c r="B1041" s="5">
        <v>44241</v>
      </c>
      <c r="C1041" s="6" t="s">
        <v>17</v>
      </c>
      <c r="D1041" s="7">
        <v>96.550003000000004</v>
      </c>
      <c r="E1041" s="7">
        <v>88.397137000000001</v>
      </c>
      <c r="F1041" s="7">
        <v>96.68</v>
      </c>
      <c r="G1041" s="7">
        <v>95.839995999999999</v>
      </c>
      <c r="H1041" s="8">
        <f t="shared" si="18"/>
        <v>4.5781083698043755E-3</v>
      </c>
    </row>
    <row r="1042" spans="2:8" x14ac:dyDescent="0.2">
      <c r="B1042" s="5">
        <v>44245</v>
      </c>
      <c r="C1042" s="6" t="s">
        <v>17</v>
      </c>
      <c r="D1042" s="7">
        <v>96.559997999999993</v>
      </c>
      <c r="E1042" s="7">
        <v>88.406288000000004</v>
      </c>
      <c r="F1042" s="7">
        <v>96.940002000000007</v>
      </c>
      <c r="G1042" s="7">
        <v>95.849997999999999</v>
      </c>
      <c r="H1042" s="8">
        <f t="shared" si="18"/>
        <v>1.0352148823847595E-4</v>
      </c>
    </row>
    <row r="1043" spans="2:8" x14ac:dyDescent="0.2">
      <c r="B1043" s="5">
        <v>44246</v>
      </c>
      <c r="C1043" s="6" t="s">
        <v>17</v>
      </c>
      <c r="D1043" s="7">
        <v>96.209998999999996</v>
      </c>
      <c r="E1043" s="7">
        <v>88.085843999999994</v>
      </c>
      <c r="F1043" s="7">
        <v>97.669998000000007</v>
      </c>
      <c r="G1043" s="7">
        <v>96.110000999999997</v>
      </c>
      <c r="H1043" s="8">
        <f t="shared" si="18"/>
        <v>-3.6246790311656478E-3</v>
      </c>
    </row>
    <row r="1044" spans="2:8" x14ac:dyDescent="0.2">
      <c r="B1044" s="5">
        <v>44247</v>
      </c>
      <c r="C1044" s="6" t="s">
        <v>17</v>
      </c>
      <c r="D1044" s="7">
        <v>96.919998000000007</v>
      </c>
      <c r="E1044" s="7">
        <v>88.735889</v>
      </c>
      <c r="F1044" s="7">
        <v>97.519997000000004</v>
      </c>
      <c r="G1044" s="7">
        <v>95.300003000000004</v>
      </c>
      <c r="H1044" s="8">
        <f t="shared" si="18"/>
        <v>7.3796799436616819E-3</v>
      </c>
    </row>
    <row r="1045" spans="2:8" x14ac:dyDescent="0.2">
      <c r="B1045" s="5">
        <v>44248</v>
      </c>
      <c r="C1045" s="6" t="s">
        <v>17</v>
      </c>
      <c r="D1045" s="7">
        <v>97.5</v>
      </c>
      <c r="E1045" s="7">
        <v>89.266914999999997</v>
      </c>
      <c r="F1045" s="7">
        <v>97.949996999999996</v>
      </c>
      <c r="G1045" s="7">
        <v>96.919998000000007</v>
      </c>
      <c r="H1045" s="8">
        <f t="shared" si="18"/>
        <v>5.9843377215091685E-3</v>
      </c>
    </row>
    <row r="1046" spans="2:8" x14ac:dyDescent="0.2">
      <c r="B1046" s="5">
        <v>44251</v>
      </c>
      <c r="C1046" s="6" t="s">
        <v>17</v>
      </c>
      <c r="D1046" s="7">
        <v>97.32</v>
      </c>
      <c r="E1046" s="7">
        <v>89.102114</v>
      </c>
      <c r="F1046" s="7">
        <v>98.239998</v>
      </c>
      <c r="G1046" s="7">
        <v>97.18</v>
      </c>
      <c r="H1046" s="8">
        <f t="shared" si="18"/>
        <v>-1.8461538461539161E-3</v>
      </c>
    </row>
    <row r="1047" spans="2:8" x14ac:dyDescent="0.2">
      <c r="B1047" s="5">
        <v>44252</v>
      </c>
      <c r="C1047" s="6" t="s">
        <v>17</v>
      </c>
      <c r="D1047" s="7">
        <v>96.410004000000001</v>
      </c>
      <c r="E1047" s="7">
        <v>88.268960000000007</v>
      </c>
      <c r="F1047" s="7">
        <v>96.980002999999996</v>
      </c>
      <c r="G1047" s="7">
        <v>95.82</v>
      </c>
      <c r="H1047" s="8">
        <f t="shared" si="18"/>
        <v>-9.3505548705301329E-3</v>
      </c>
    </row>
    <row r="1048" spans="2:8" x14ac:dyDescent="0.2">
      <c r="B1048" s="5">
        <v>44253</v>
      </c>
      <c r="C1048" s="6" t="s">
        <v>17</v>
      </c>
      <c r="D1048" s="7">
        <v>97.199996999999996</v>
      </c>
      <c r="E1048" s="7">
        <v>88.992244999999997</v>
      </c>
      <c r="F1048" s="7">
        <v>97.910004000000001</v>
      </c>
      <c r="G1048" s="7">
        <v>96.339995999999999</v>
      </c>
      <c r="H1048" s="8">
        <f t="shared" si="18"/>
        <v>8.1940977826325517E-3</v>
      </c>
    </row>
    <row r="1049" spans="2:8" x14ac:dyDescent="0.2">
      <c r="B1049" s="5">
        <v>44254</v>
      </c>
      <c r="C1049" s="6" t="s">
        <v>17</v>
      </c>
      <c r="D1049" s="7">
        <v>96.699996999999996</v>
      </c>
      <c r="E1049" s="7">
        <v>88.534464999999997</v>
      </c>
      <c r="F1049" s="7">
        <v>97.639999000000003</v>
      </c>
      <c r="G1049" s="7">
        <v>96.519997000000004</v>
      </c>
      <c r="H1049" s="8">
        <f t="shared" si="18"/>
        <v>-5.1440330805771527E-3</v>
      </c>
    </row>
    <row r="1050" spans="2:8" x14ac:dyDescent="0.2">
      <c r="B1050" s="5">
        <v>44255</v>
      </c>
      <c r="C1050" s="6" t="s">
        <v>17</v>
      </c>
      <c r="D1050" s="7">
        <v>96.970000999999996</v>
      </c>
      <c r="E1050" s="7">
        <v>88.781670000000005</v>
      </c>
      <c r="F1050" s="7">
        <v>97.519997000000004</v>
      </c>
      <c r="G1050" s="7">
        <v>96.300003000000004</v>
      </c>
      <c r="H1050" s="8">
        <f t="shared" si="18"/>
        <v>2.7921820928288152E-3</v>
      </c>
    </row>
    <row r="1051" spans="2:8" x14ac:dyDescent="0.2">
      <c r="B1051" s="5">
        <v>44258</v>
      </c>
      <c r="C1051" s="6" t="s">
        <v>17</v>
      </c>
      <c r="D1051" s="7">
        <v>96.309997999999993</v>
      </c>
      <c r="E1051" s="7">
        <v>88.177397999999997</v>
      </c>
      <c r="F1051" s="7">
        <v>96.669998000000007</v>
      </c>
      <c r="G1051" s="7">
        <v>95.599997999999999</v>
      </c>
      <c r="H1051" s="8">
        <f t="shared" si="18"/>
        <v>-6.8062595977492384E-3</v>
      </c>
    </row>
    <row r="1052" spans="2:8" x14ac:dyDescent="0.2">
      <c r="B1052" s="5">
        <v>44259</v>
      </c>
      <c r="C1052" s="6" t="s">
        <v>17</v>
      </c>
      <c r="D1052" s="7">
        <v>97.019997000000004</v>
      </c>
      <c r="E1052" s="7">
        <v>88.827444</v>
      </c>
      <c r="F1052" s="7">
        <v>97.459998999999996</v>
      </c>
      <c r="G1052" s="7">
        <v>96.559997999999993</v>
      </c>
      <c r="H1052" s="8">
        <f t="shared" si="18"/>
        <v>7.3720175967609356E-3</v>
      </c>
    </row>
    <row r="1053" spans="2:8" x14ac:dyDescent="0.2">
      <c r="B1053" s="5">
        <v>44260</v>
      </c>
      <c r="C1053" s="6" t="s">
        <v>17</v>
      </c>
      <c r="D1053" s="7">
        <v>96.370002999999997</v>
      </c>
      <c r="E1053" s="7">
        <v>88.232337000000001</v>
      </c>
      <c r="F1053" s="7">
        <v>96.900002000000001</v>
      </c>
      <c r="G1053" s="7">
        <v>95.879997000000003</v>
      </c>
      <c r="H1053" s="8">
        <f t="shared" si="18"/>
        <v>-6.6995879210345324E-3</v>
      </c>
    </row>
    <row r="1054" spans="2:8" x14ac:dyDescent="0.2">
      <c r="B1054" s="5">
        <v>44261</v>
      </c>
      <c r="C1054" s="6" t="s">
        <v>17</v>
      </c>
      <c r="D1054" s="7">
        <v>97.599997999999999</v>
      </c>
      <c r="E1054" s="7">
        <v>89.358468999999999</v>
      </c>
      <c r="F1054" s="7">
        <v>98.150002000000001</v>
      </c>
      <c r="G1054" s="7">
        <v>96.660004000000001</v>
      </c>
      <c r="H1054" s="8">
        <f t="shared" si="18"/>
        <v>1.2763255802741881E-2</v>
      </c>
    </row>
    <row r="1055" spans="2:8" x14ac:dyDescent="0.2">
      <c r="B1055" s="5">
        <v>44262</v>
      </c>
      <c r="C1055" s="6" t="s">
        <v>17</v>
      </c>
      <c r="D1055" s="7">
        <v>97.050003000000004</v>
      </c>
      <c r="E1055" s="7">
        <v>88.854916000000003</v>
      </c>
      <c r="F1055" s="7">
        <v>97.870002999999997</v>
      </c>
      <c r="G1055" s="7">
        <v>96.5</v>
      </c>
      <c r="H1055" s="8">
        <f t="shared" si="18"/>
        <v>-5.6351947876064051E-3</v>
      </c>
    </row>
    <row r="1056" spans="2:8" x14ac:dyDescent="0.2">
      <c r="B1056" s="5">
        <v>44265</v>
      </c>
      <c r="C1056" s="6" t="s">
        <v>17</v>
      </c>
      <c r="D1056" s="7">
        <v>96.75</v>
      </c>
      <c r="E1056" s="7">
        <v>88.580246000000002</v>
      </c>
      <c r="F1056" s="7">
        <v>96.800003000000004</v>
      </c>
      <c r="G1056" s="7">
        <v>95.860000999999997</v>
      </c>
      <c r="H1056" s="8">
        <f t="shared" si="18"/>
        <v>-3.0912209245372592E-3</v>
      </c>
    </row>
    <row r="1057" spans="2:8" x14ac:dyDescent="0.2">
      <c r="B1057" s="5">
        <v>44266</v>
      </c>
      <c r="C1057" s="6" t="s">
        <v>17</v>
      </c>
      <c r="D1057" s="7">
        <v>96.839995999999999</v>
      </c>
      <c r="E1057" s="7">
        <v>88.662643000000003</v>
      </c>
      <c r="F1057" s="7">
        <v>97.910004000000001</v>
      </c>
      <c r="G1057" s="7">
        <v>96.620002999999997</v>
      </c>
      <c r="H1057" s="8">
        <f t="shared" si="18"/>
        <v>9.3019121447027696E-4</v>
      </c>
    </row>
    <row r="1058" spans="2:8" x14ac:dyDescent="0.2">
      <c r="B1058" s="5">
        <v>44267</v>
      </c>
      <c r="C1058" s="6" t="s">
        <v>17</v>
      </c>
      <c r="D1058" s="7">
        <v>96.82</v>
      </c>
      <c r="E1058" s="7">
        <v>88.644334999999998</v>
      </c>
      <c r="F1058" s="7">
        <v>97.239998</v>
      </c>
      <c r="G1058" s="7">
        <v>96.300003000000004</v>
      </c>
      <c r="H1058" s="8">
        <f t="shared" si="18"/>
        <v>-2.0648493211426939E-4</v>
      </c>
    </row>
    <row r="1059" spans="2:8" x14ac:dyDescent="0.2">
      <c r="B1059" s="5">
        <v>44268</v>
      </c>
      <c r="C1059" s="6" t="s">
        <v>17</v>
      </c>
      <c r="D1059" s="7">
        <v>95.610000999999997</v>
      </c>
      <c r="E1059" s="7">
        <v>87.536510000000007</v>
      </c>
      <c r="F1059" s="7">
        <v>97.730002999999996</v>
      </c>
      <c r="G1059" s="7">
        <v>95.059997999999993</v>
      </c>
      <c r="H1059" s="8">
        <f t="shared" si="18"/>
        <v>-1.2497407560421362E-2</v>
      </c>
    </row>
    <row r="1060" spans="2:8" x14ac:dyDescent="0.2">
      <c r="B1060" s="5">
        <v>44269</v>
      </c>
      <c r="C1060" s="6" t="s">
        <v>17</v>
      </c>
      <c r="D1060" s="7">
        <v>95.389999000000003</v>
      </c>
      <c r="E1060" s="7">
        <v>87.335087000000001</v>
      </c>
      <c r="F1060" s="7">
        <v>96.25</v>
      </c>
      <c r="G1060" s="7">
        <v>95.199996999999996</v>
      </c>
      <c r="H1060" s="8">
        <f t="shared" si="18"/>
        <v>-2.3010354324752473E-3</v>
      </c>
    </row>
    <row r="1061" spans="2:8" x14ac:dyDescent="0.2">
      <c r="B1061" s="5">
        <v>44272</v>
      </c>
      <c r="C1061" s="6" t="s">
        <v>17</v>
      </c>
      <c r="D1061" s="7">
        <v>95.669998000000007</v>
      </c>
      <c r="E1061" s="7">
        <v>87.591442000000001</v>
      </c>
      <c r="F1061" s="7">
        <v>96.449996999999996</v>
      </c>
      <c r="G1061" s="7">
        <v>95.550003000000004</v>
      </c>
      <c r="H1061" s="8">
        <f t="shared" si="18"/>
        <v>2.9353077150153198E-3</v>
      </c>
    </row>
    <row r="1062" spans="2:8" x14ac:dyDescent="0.2">
      <c r="B1062" s="5">
        <v>44273</v>
      </c>
      <c r="C1062" s="6" t="s">
        <v>17</v>
      </c>
      <c r="D1062" s="7">
        <v>96.410004000000001</v>
      </c>
      <c r="E1062" s="7">
        <v>88.268960000000007</v>
      </c>
      <c r="F1062" s="7">
        <v>96.650002000000001</v>
      </c>
      <c r="G1062" s="7">
        <v>95.699996999999996</v>
      </c>
      <c r="H1062" s="8">
        <f t="shared" si="18"/>
        <v>7.7349850054349734E-3</v>
      </c>
    </row>
    <row r="1063" spans="2:8" x14ac:dyDescent="0.2">
      <c r="B1063" s="5">
        <v>44274</v>
      </c>
      <c r="C1063" s="6" t="s">
        <v>17</v>
      </c>
      <c r="D1063" s="7">
        <v>96.040001000000004</v>
      </c>
      <c r="E1063" s="7">
        <v>87.930200999999997</v>
      </c>
      <c r="F1063" s="7">
        <v>96.720000999999996</v>
      </c>
      <c r="G1063" s="7">
        <v>95.25</v>
      </c>
      <c r="H1063" s="8">
        <f t="shared" si="18"/>
        <v>-3.8378071221737216E-3</v>
      </c>
    </row>
    <row r="1064" spans="2:8" x14ac:dyDescent="0.2">
      <c r="B1064" s="5">
        <v>44275</v>
      </c>
      <c r="C1064" s="6" t="s">
        <v>17</v>
      </c>
      <c r="D1064" s="7">
        <v>96.209998999999996</v>
      </c>
      <c r="E1064" s="7">
        <v>88.085843999999994</v>
      </c>
      <c r="F1064" s="7">
        <v>96.239998</v>
      </c>
      <c r="G1064" s="7">
        <v>95.099997999999999</v>
      </c>
      <c r="H1064" s="8">
        <f t="shared" si="18"/>
        <v>1.7700749503323364E-3</v>
      </c>
    </row>
    <row r="1065" spans="2:8" x14ac:dyDescent="0.2">
      <c r="B1065" s="5">
        <v>44276</v>
      </c>
      <c r="C1065" s="6" t="s">
        <v>17</v>
      </c>
      <c r="D1065" s="7">
        <v>97.389999000000003</v>
      </c>
      <c r="E1065" s="7">
        <v>89.166202999999996</v>
      </c>
      <c r="F1065" s="7">
        <v>97.629997000000003</v>
      </c>
      <c r="G1065" s="7">
        <v>96.669998000000007</v>
      </c>
      <c r="H1065" s="8">
        <f t="shared" si="18"/>
        <v>1.2264837462476294E-2</v>
      </c>
    </row>
    <row r="1066" spans="2:8" x14ac:dyDescent="0.2">
      <c r="B1066" s="5">
        <v>44279</v>
      </c>
      <c r="C1066" s="6" t="s">
        <v>17</v>
      </c>
      <c r="D1066" s="7">
        <v>96.849997999999999</v>
      </c>
      <c r="E1066" s="7">
        <v>88.671801000000002</v>
      </c>
      <c r="F1066" s="7">
        <v>97.599997999999999</v>
      </c>
      <c r="G1066" s="7">
        <v>96.419998000000007</v>
      </c>
      <c r="H1066" s="8">
        <f t="shared" si="18"/>
        <v>-5.54472744167503E-3</v>
      </c>
    </row>
    <row r="1067" spans="2:8" x14ac:dyDescent="0.2">
      <c r="B1067" s="5">
        <v>44280</v>
      </c>
      <c r="C1067" s="6" t="s">
        <v>17</v>
      </c>
      <c r="D1067" s="7">
        <v>98.589995999999999</v>
      </c>
      <c r="E1067" s="7">
        <v>90.264870000000002</v>
      </c>
      <c r="F1067" s="7">
        <v>99.339995999999999</v>
      </c>
      <c r="G1067" s="7">
        <v>97.150002000000001</v>
      </c>
      <c r="H1067" s="8">
        <f t="shared" si="18"/>
        <v>1.7965906411273234E-2</v>
      </c>
    </row>
    <row r="1068" spans="2:8" x14ac:dyDescent="0.2">
      <c r="B1068" s="5">
        <v>44281</v>
      </c>
      <c r="C1068" s="6" t="s">
        <v>17</v>
      </c>
      <c r="D1068" s="7">
        <v>97.800003000000004</v>
      </c>
      <c r="E1068" s="7">
        <v>89.541584999999998</v>
      </c>
      <c r="F1068" s="7">
        <v>99.599997999999999</v>
      </c>
      <c r="G1068" s="7">
        <v>97.800003000000004</v>
      </c>
      <c r="H1068" s="8">
        <f t="shared" si="18"/>
        <v>-8.0129123851470242E-3</v>
      </c>
    </row>
    <row r="1069" spans="2:8" x14ac:dyDescent="0.2">
      <c r="B1069" s="5">
        <v>44282</v>
      </c>
      <c r="C1069" s="6" t="s">
        <v>17</v>
      </c>
      <c r="D1069" s="7">
        <v>98.449996999999996</v>
      </c>
      <c r="E1069" s="7">
        <v>90.136691999999996</v>
      </c>
      <c r="F1069" s="7">
        <v>98.889999000000003</v>
      </c>
      <c r="G1069" s="7">
        <v>97.290001000000004</v>
      </c>
      <c r="H1069" s="8">
        <f t="shared" si="18"/>
        <v>6.646155215353034E-3</v>
      </c>
    </row>
    <row r="1070" spans="2:8" x14ac:dyDescent="0.2">
      <c r="B1070" s="5">
        <v>44283</v>
      </c>
      <c r="C1070" s="6" t="s">
        <v>17</v>
      </c>
      <c r="D1070" s="7">
        <v>99.389999000000003</v>
      </c>
      <c r="E1070" s="7">
        <v>90.997319000000005</v>
      </c>
      <c r="F1070" s="7">
        <v>99.620002999999997</v>
      </c>
      <c r="G1070" s="7">
        <v>98.779999000000004</v>
      </c>
      <c r="H1070" s="8">
        <f t="shared" si="18"/>
        <v>9.5480145113666891E-3</v>
      </c>
    </row>
    <row r="1071" spans="2:8" x14ac:dyDescent="0.2">
      <c r="B1071" s="5">
        <v>44286</v>
      </c>
      <c r="C1071" s="6" t="s">
        <v>17</v>
      </c>
      <c r="D1071" s="7">
        <v>99.370002999999997</v>
      </c>
      <c r="E1071" s="7">
        <v>90.979011</v>
      </c>
      <c r="F1071" s="7">
        <v>100.629997</v>
      </c>
      <c r="G1071" s="7">
        <v>99.050003000000004</v>
      </c>
      <c r="H1071" s="8">
        <f t="shared" si="18"/>
        <v>-2.0118724420156318E-4</v>
      </c>
    </row>
    <row r="1072" spans="2:8" x14ac:dyDescent="0.2">
      <c r="B1072" s="5">
        <v>44287</v>
      </c>
      <c r="C1072" s="6" t="s">
        <v>17</v>
      </c>
      <c r="D1072" s="7">
        <v>99.809997999999993</v>
      </c>
      <c r="E1072" s="7">
        <v>91.381851999999995</v>
      </c>
      <c r="F1072" s="7">
        <v>100.08000199999999</v>
      </c>
      <c r="G1072" s="7">
        <v>98.940002000000007</v>
      </c>
      <c r="H1072" s="8">
        <f t="shared" si="18"/>
        <v>4.4278452925073991E-3</v>
      </c>
    </row>
    <row r="1073" spans="2:8" x14ac:dyDescent="0.2">
      <c r="B1073" s="5">
        <v>44288</v>
      </c>
      <c r="C1073" s="6" t="s">
        <v>17</v>
      </c>
      <c r="D1073" s="7">
        <v>102.629997</v>
      </c>
      <c r="E1073" s="7">
        <v>93.963724999999997</v>
      </c>
      <c r="F1073" s="7">
        <v>102.760002</v>
      </c>
      <c r="G1073" s="7">
        <v>99.879997000000003</v>
      </c>
      <c r="H1073" s="8">
        <f t="shared" si="18"/>
        <v>2.8253672542905072E-2</v>
      </c>
    </row>
    <row r="1074" spans="2:8" x14ac:dyDescent="0.2">
      <c r="B1074" s="5">
        <v>44289</v>
      </c>
      <c r="C1074" s="6" t="s">
        <v>17</v>
      </c>
      <c r="D1074" s="7">
        <v>102.550003</v>
      </c>
      <c r="E1074" s="7">
        <v>93.890485999999996</v>
      </c>
      <c r="F1074" s="7">
        <v>103.199997</v>
      </c>
      <c r="G1074" s="7">
        <v>101.610001</v>
      </c>
      <c r="H1074" s="8">
        <f t="shared" si="18"/>
        <v>-7.7944073212824155E-4</v>
      </c>
    </row>
    <row r="1075" spans="2:8" x14ac:dyDescent="0.2">
      <c r="B1075" s="5">
        <v>44290</v>
      </c>
      <c r="C1075" s="6" t="s">
        <v>17</v>
      </c>
      <c r="D1075" s="7">
        <v>102.16999800000001</v>
      </c>
      <c r="E1075" s="7">
        <v>93.542569</v>
      </c>
      <c r="F1075" s="7">
        <v>103.379997</v>
      </c>
      <c r="G1075" s="7">
        <v>101.910004</v>
      </c>
      <c r="H1075" s="8">
        <f t="shared" si="18"/>
        <v>-3.7055581558588257E-3</v>
      </c>
    </row>
    <row r="1076" spans="2:8" x14ac:dyDescent="0.2">
      <c r="B1076" s="5">
        <v>44293</v>
      </c>
      <c r="C1076" s="6" t="s">
        <v>17</v>
      </c>
      <c r="D1076" s="7">
        <v>101.110001</v>
      </c>
      <c r="E1076" s="7">
        <v>92.57208</v>
      </c>
      <c r="F1076" s="7">
        <v>102.07</v>
      </c>
      <c r="G1076" s="7">
        <v>100.410004</v>
      </c>
      <c r="H1076" s="8">
        <f t="shared" si="18"/>
        <v>-1.0374836260640915E-2</v>
      </c>
    </row>
    <row r="1077" spans="2:8" x14ac:dyDescent="0.2">
      <c r="B1077" s="5">
        <v>44294</v>
      </c>
      <c r="C1077" s="6" t="s">
        <v>17</v>
      </c>
      <c r="D1077" s="7">
        <v>102.389999</v>
      </c>
      <c r="E1077" s="7">
        <v>93.743993000000003</v>
      </c>
      <c r="F1077" s="7">
        <v>103.25</v>
      </c>
      <c r="G1077" s="7">
        <v>100.959999</v>
      </c>
      <c r="H1077" s="8">
        <f t="shared" si="18"/>
        <v>1.2659459868861106E-2</v>
      </c>
    </row>
    <row r="1078" spans="2:8" x14ac:dyDescent="0.2">
      <c r="B1078" s="5">
        <v>44295</v>
      </c>
      <c r="C1078" s="6" t="s">
        <v>17</v>
      </c>
      <c r="D1078" s="7">
        <v>102.989998</v>
      </c>
      <c r="E1078" s="7">
        <v>94.293327000000005</v>
      </c>
      <c r="F1078" s="7">
        <v>103.199997</v>
      </c>
      <c r="G1078" s="7">
        <v>101.849998</v>
      </c>
      <c r="H1078" s="8">
        <f t="shared" si="18"/>
        <v>5.8599375511273989E-3</v>
      </c>
    </row>
    <row r="1079" spans="2:8" x14ac:dyDescent="0.2">
      <c r="B1079" s="5">
        <v>44296</v>
      </c>
      <c r="C1079" s="6" t="s">
        <v>17</v>
      </c>
      <c r="D1079" s="7">
        <v>102.260002</v>
      </c>
      <c r="E1079" s="7">
        <v>93.624972999999997</v>
      </c>
      <c r="F1079" s="7">
        <v>103.720001</v>
      </c>
      <c r="G1079" s="7">
        <v>101.989998</v>
      </c>
      <c r="H1079" s="8">
        <f t="shared" si="18"/>
        <v>-7.0880281015249643E-3</v>
      </c>
    </row>
    <row r="1080" spans="2:8" x14ac:dyDescent="0.2">
      <c r="B1080" s="5">
        <v>44297</v>
      </c>
      <c r="C1080" s="6" t="s">
        <v>17</v>
      </c>
      <c r="D1080" s="7">
        <v>101.449997</v>
      </c>
      <c r="E1080" s="7">
        <v>92.883365999999995</v>
      </c>
      <c r="F1080" s="7">
        <v>102.099998</v>
      </c>
      <c r="G1080" s="7">
        <v>100.970001</v>
      </c>
      <c r="H1080" s="8">
        <f t="shared" si="18"/>
        <v>-7.9210344627218352E-3</v>
      </c>
    </row>
    <row r="1081" spans="2:8" x14ac:dyDescent="0.2">
      <c r="B1081" s="5">
        <v>44300</v>
      </c>
      <c r="C1081" s="6" t="s">
        <v>17</v>
      </c>
      <c r="D1081" s="7">
        <v>102.779999</v>
      </c>
      <c r="E1081" s="7">
        <v>94.101060000000004</v>
      </c>
      <c r="F1081" s="7">
        <v>102.83000199999999</v>
      </c>
      <c r="G1081" s="7">
        <v>100.949997</v>
      </c>
      <c r="H1081" s="8">
        <f t="shared" si="18"/>
        <v>1.3109926459633188E-2</v>
      </c>
    </row>
    <row r="1082" spans="2:8" x14ac:dyDescent="0.2">
      <c r="B1082" s="5">
        <v>44301</v>
      </c>
      <c r="C1082" s="6" t="s">
        <v>17</v>
      </c>
      <c r="D1082" s="7">
        <v>102.5</v>
      </c>
      <c r="E1082" s="7">
        <v>93.844705000000005</v>
      </c>
      <c r="F1082" s="7">
        <v>103.089996</v>
      </c>
      <c r="G1082" s="7">
        <v>101.260002</v>
      </c>
      <c r="H1082" s="8">
        <f t="shared" si="18"/>
        <v>-2.724255718274561E-3</v>
      </c>
    </row>
    <row r="1083" spans="2:8" x14ac:dyDescent="0.2">
      <c r="B1083" s="5">
        <v>44302</v>
      </c>
      <c r="C1083" s="6" t="s">
        <v>17</v>
      </c>
      <c r="D1083" s="7">
        <v>102.93</v>
      </c>
      <c r="E1083" s="7">
        <v>94.793284999999997</v>
      </c>
      <c r="F1083" s="7">
        <v>103.150002</v>
      </c>
      <c r="G1083" s="7">
        <v>102.209999</v>
      </c>
      <c r="H1083" s="8">
        <f t="shared" si="18"/>
        <v>4.1951219512195784E-3</v>
      </c>
    </row>
    <row r="1084" spans="2:8" x14ac:dyDescent="0.2">
      <c r="B1084" s="5">
        <v>44303</v>
      </c>
      <c r="C1084" s="6" t="s">
        <v>17</v>
      </c>
      <c r="D1084" s="7">
        <v>102.83000199999999</v>
      </c>
      <c r="E1084" s="7">
        <v>94.701192000000006</v>
      </c>
      <c r="F1084" s="7">
        <v>103.44000200000001</v>
      </c>
      <c r="G1084" s="7">
        <v>102.599998</v>
      </c>
      <c r="H1084" s="8">
        <f t="shared" si="18"/>
        <v>-9.7151462158761844E-4</v>
      </c>
    </row>
    <row r="1085" spans="2:8" x14ac:dyDescent="0.2">
      <c r="B1085" s="5">
        <v>44307</v>
      </c>
      <c r="C1085" s="6" t="s">
        <v>17</v>
      </c>
      <c r="D1085" s="7">
        <v>102.639999</v>
      </c>
      <c r="E1085" s="7">
        <v>94.526208999999994</v>
      </c>
      <c r="F1085" s="7">
        <v>102.980003</v>
      </c>
      <c r="G1085" s="7">
        <v>101.550003</v>
      </c>
      <c r="H1085" s="8">
        <f t="shared" si="18"/>
        <v>-1.8477389507392031E-3</v>
      </c>
    </row>
    <row r="1086" spans="2:8" x14ac:dyDescent="0.2">
      <c r="B1086" s="5">
        <v>44308</v>
      </c>
      <c r="C1086" s="6" t="s">
        <v>17</v>
      </c>
      <c r="D1086" s="7">
        <v>103.69000200000001</v>
      </c>
      <c r="E1086" s="7">
        <v>95.493207999999996</v>
      </c>
      <c r="F1086" s="7">
        <v>104.139999</v>
      </c>
      <c r="G1086" s="7">
        <v>102.760002</v>
      </c>
      <c r="H1086" s="8">
        <f t="shared" si="18"/>
        <v>1.0229959179948976E-2</v>
      </c>
    </row>
    <row r="1087" spans="2:8" x14ac:dyDescent="0.2">
      <c r="B1087" s="5">
        <v>44309</v>
      </c>
      <c r="C1087" s="6" t="s">
        <v>17</v>
      </c>
      <c r="D1087" s="7">
        <v>103.379997</v>
      </c>
      <c r="E1087" s="7">
        <v>95.207708999999994</v>
      </c>
      <c r="F1087" s="7">
        <v>104.620003</v>
      </c>
      <c r="G1087" s="7">
        <v>103.18</v>
      </c>
      <c r="H1087" s="8">
        <f t="shared" si="18"/>
        <v>-2.9897289422369175E-3</v>
      </c>
    </row>
    <row r="1088" spans="2:8" x14ac:dyDescent="0.2">
      <c r="B1088" s="5">
        <v>44310</v>
      </c>
      <c r="C1088" s="6" t="s">
        <v>17</v>
      </c>
      <c r="D1088" s="7">
        <v>105.279999</v>
      </c>
      <c r="E1088" s="7">
        <v>96.957514000000003</v>
      </c>
      <c r="F1088" s="7">
        <v>107.400002</v>
      </c>
      <c r="G1088" s="7">
        <v>104.790001</v>
      </c>
      <c r="H1088" s="8">
        <f t="shared" si="18"/>
        <v>1.8378816551909948E-2</v>
      </c>
    </row>
    <row r="1089" spans="2:8" x14ac:dyDescent="0.2">
      <c r="B1089" s="5">
        <v>44311</v>
      </c>
      <c r="C1089" s="6" t="s">
        <v>17</v>
      </c>
      <c r="D1089" s="7">
        <v>104.69000200000001</v>
      </c>
      <c r="E1089" s="7">
        <v>96.414157000000003</v>
      </c>
      <c r="F1089" s="7">
        <v>105.279999</v>
      </c>
      <c r="G1089" s="7">
        <v>103.290001</v>
      </c>
      <c r="H1089" s="8">
        <f t="shared" si="18"/>
        <v>-5.6040749012544796E-3</v>
      </c>
    </row>
    <row r="1090" spans="2:8" x14ac:dyDescent="0.2">
      <c r="B1090" s="5">
        <v>44314</v>
      </c>
      <c r="C1090" s="6" t="s">
        <v>17</v>
      </c>
      <c r="D1090" s="7">
        <v>104.260002</v>
      </c>
      <c r="E1090" s="7">
        <v>96.018148999999994</v>
      </c>
      <c r="F1090" s="7">
        <v>105.41999800000001</v>
      </c>
      <c r="G1090" s="7">
        <v>103.25</v>
      </c>
      <c r="H1090" s="8">
        <f t="shared" si="18"/>
        <v>-4.1073645217812376E-3</v>
      </c>
    </row>
    <row r="1091" spans="2:8" x14ac:dyDescent="0.2">
      <c r="B1091" s="5">
        <v>44315</v>
      </c>
      <c r="C1091" s="6" t="s">
        <v>17</v>
      </c>
      <c r="D1091" s="7">
        <v>105.300003</v>
      </c>
      <c r="E1091" s="7">
        <v>96.975937000000002</v>
      </c>
      <c r="F1091" s="7">
        <v>105.5</v>
      </c>
      <c r="G1091" s="7">
        <v>103.83000199999999</v>
      </c>
      <c r="H1091" s="8">
        <f t="shared" si="18"/>
        <v>9.975071744195858E-3</v>
      </c>
    </row>
    <row r="1092" spans="2:8" x14ac:dyDescent="0.2">
      <c r="B1092" s="5">
        <v>44316</v>
      </c>
      <c r="C1092" s="6" t="s">
        <v>17</v>
      </c>
      <c r="D1092" s="7">
        <v>105.400002</v>
      </c>
      <c r="E1092" s="7">
        <v>97.068029999999993</v>
      </c>
      <c r="F1092" s="7">
        <v>106.239998</v>
      </c>
      <c r="G1092" s="7">
        <v>104.989998</v>
      </c>
      <c r="H1092" s="8">
        <f t="shared" ref="H1092:H1155" si="19">(D1092-D1091)/D1091</f>
        <v>9.4965809260230346E-4</v>
      </c>
    </row>
    <row r="1093" spans="2:8" x14ac:dyDescent="0.2">
      <c r="B1093" s="5">
        <v>44317</v>
      </c>
      <c r="C1093" s="6" t="s">
        <v>17</v>
      </c>
      <c r="D1093" s="7">
        <v>105.07</v>
      </c>
      <c r="E1093" s="7">
        <v>96.764116000000001</v>
      </c>
      <c r="F1093" s="7">
        <v>105.790001</v>
      </c>
      <c r="G1093" s="7">
        <v>104.629997</v>
      </c>
      <c r="H1093" s="8">
        <f t="shared" si="19"/>
        <v>-3.1309487071926947E-3</v>
      </c>
    </row>
    <row r="1094" spans="2:8" x14ac:dyDescent="0.2">
      <c r="B1094" s="5">
        <v>44318</v>
      </c>
      <c r="C1094" s="6" t="s">
        <v>17</v>
      </c>
      <c r="D1094" s="7">
        <v>105.010002</v>
      </c>
      <c r="E1094" s="7">
        <v>96.708860999999999</v>
      </c>
      <c r="F1094" s="7">
        <v>105.58000199999999</v>
      </c>
      <c r="G1094" s="7">
        <v>104.730003</v>
      </c>
      <c r="H1094" s="8">
        <f t="shared" si="19"/>
        <v>-5.7102883791751327E-4</v>
      </c>
    </row>
    <row r="1095" spans="2:8" x14ac:dyDescent="0.2">
      <c r="B1095" s="5">
        <v>44321</v>
      </c>
      <c r="C1095" s="6" t="s">
        <v>17</v>
      </c>
      <c r="D1095" s="7">
        <v>104.519997</v>
      </c>
      <c r="E1095" s="7">
        <v>96.257591000000005</v>
      </c>
      <c r="F1095" s="7">
        <v>104.800003</v>
      </c>
      <c r="G1095" s="7">
        <v>103.80999799999999</v>
      </c>
      <c r="H1095" s="8">
        <f t="shared" si="19"/>
        <v>-4.6662697901862383E-3</v>
      </c>
    </row>
    <row r="1096" spans="2:8" x14ac:dyDescent="0.2">
      <c r="B1096" s="5">
        <v>44322</v>
      </c>
      <c r="C1096" s="6" t="s">
        <v>17</v>
      </c>
      <c r="D1096" s="7">
        <v>103.870003</v>
      </c>
      <c r="E1096" s="7">
        <v>95.65898</v>
      </c>
      <c r="F1096" s="7">
        <v>104.470001</v>
      </c>
      <c r="G1096" s="7">
        <v>103.599998</v>
      </c>
      <c r="H1096" s="8">
        <f t="shared" si="19"/>
        <v>-6.2188482458529594E-3</v>
      </c>
    </row>
    <row r="1097" spans="2:8" x14ac:dyDescent="0.2">
      <c r="B1097" s="5">
        <v>44323</v>
      </c>
      <c r="C1097" s="6" t="s">
        <v>17</v>
      </c>
      <c r="D1097" s="7">
        <v>104.620003</v>
      </c>
      <c r="E1097" s="7">
        <v>96.349691000000007</v>
      </c>
      <c r="F1097" s="7">
        <v>104.660004</v>
      </c>
      <c r="G1097" s="7">
        <v>103.43</v>
      </c>
      <c r="H1097" s="8">
        <f t="shared" si="19"/>
        <v>7.2205639582007142E-3</v>
      </c>
    </row>
    <row r="1098" spans="2:8" x14ac:dyDescent="0.2">
      <c r="B1098" s="5">
        <v>44324</v>
      </c>
      <c r="C1098" s="6" t="s">
        <v>17</v>
      </c>
      <c r="D1098" s="7">
        <v>104.94000200000001</v>
      </c>
      <c r="E1098" s="7">
        <v>96.644395000000003</v>
      </c>
      <c r="F1098" s="7">
        <v>105.019997</v>
      </c>
      <c r="G1098" s="7">
        <v>104.150002</v>
      </c>
      <c r="H1098" s="8">
        <f t="shared" si="19"/>
        <v>3.0586789411582212E-3</v>
      </c>
    </row>
    <row r="1099" spans="2:8" x14ac:dyDescent="0.2">
      <c r="B1099" s="5">
        <v>44325</v>
      </c>
      <c r="C1099" s="6" t="s">
        <v>17</v>
      </c>
      <c r="D1099" s="7">
        <v>105.05999799999999</v>
      </c>
      <c r="E1099" s="7">
        <v>96.754903999999996</v>
      </c>
      <c r="F1099" s="7">
        <v>105.300003</v>
      </c>
      <c r="G1099" s="7">
        <v>104.300003</v>
      </c>
      <c r="H1099" s="8">
        <f t="shared" si="19"/>
        <v>1.1434724386605807E-3</v>
      </c>
    </row>
    <row r="1100" spans="2:8" x14ac:dyDescent="0.2">
      <c r="B1100" s="5">
        <v>44328</v>
      </c>
      <c r="C1100" s="6" t="s">
        <v>17</v>
      </c>
      <c r="D1100" s="7">
        <v>106.199997</v>
      </c>
      <c r="E1100" s="7">
        <v>97.804784999999995</v>
      </c>
      <c r="F1100" s="7">
        <v>106.5</v>
      </c>
      <c r="G1100" s="7">
        <v>105.650002</v>
      </c>
      <c r="H1100" s="8">
        <f t="shared" si="19"/>
        <v>1.0850933006871018E-2</v>
      </c>
    </row>
    <row r="1101" spans="2:8" x14ac:dyDescent="0.2">
      <c r="B1101" s="5">
        <v>44329</v>
      </c>
      <c r="C1101" s="6" t="s">
        <v>17</v>
      </c>
      <c r="D1101" s="7">
        <v>107.150002</v>
      </c>
      <c r="E1101" s="7">
        <v>98.679691000000005</v>
      </c>
      <c r="F1101" s="7">
        <v>108.209999</v>
      </c>
      <c r="G1101" s="7">
        <v>105.82</v>
      </c>
      <c r="H1101" s="8">
        <f t="shared" si="19"/>
        <v>8.9454333977053175E-3</v>
      </c>
    </row>
    <row r="1102" spans="2:8" x14ac:dyDescent="0.2">
      <c r="B1102" s="5">
        <v>44330</v>
      </c>
      <c r="C1102" s="6" t="s">
        <v>17</v>
      </c>
      <c r="D1102" s="7">
        <v>106.529999</v>
      </c>
      <c r="E1102" s="7">
        <v>98.108699999999999</v>
      </c>
      <c r="F1102" s="7">
        <v>107.040001</v>
      </c>
      <c r="G1102" s="7">
        <v>106.300003</v>
      </c>
      <c r="H1102" s="8">
        <f t="shared" si="19"/>
        <v>-5.7863088047352251E-3</v>
      </c>
    </row>
    <row r="1103" spans="2:8" x14ac:dyDescent="0.2">
      <c r="B1103" s="5">
        <v>44331</v>
      </c>
      <c r="C1103" s="6" t="s">
        <v>17</v>
      </c>
      <c r="D1103" s="7">
        <v>104.989998</v>
      </c>
      <c r="E1103" s="7">
        <v>96.690438</v>
      </c>
      <c r="F1103" s="7">
        <v>106.739998</v>
      </c>
      <c r="G1103" s="7">
        <v>104.040001</v>
      </c>
      <c r="H1103" s="8">
        <f t="shared" si="19"/>
        <v>-1.4456031300629259E-2</v>
      </c>
    </row>
    <row r="1104" spans="2:8" x14ac:dyDescent="0.2">
      <c r="B1104" s="5">
        <v>44332</v>
      </c>
      <c r="C1104" s="6" t="s">
        <v>17</v>
      </c>
      <c r="D1104" s="7">
        <v>106.029999</v>
      </c>
      <c r="E1104" s="7">
        <v>97.648225999999994</v>
      </c>
      <c r="F1104" s="7">
        <v>106.050003</v>
      </c>
      <c r="G1104" s="7">
        <v>104.16999800000001</v>
      </c>
      <c r="H1104" s="8">
        <f t="shared" si="19"/>
        <v>9.9057150186821E-3</v>
      </c>
    </row>
    <row r="1105" spans="2:8" x14ac:dyDescent="0.2">
      <c r="B1105" s="5">
        <v>44335</v>
      </c>
      <c r="C1105" s="6" t="s">
        <v>17</v>
      </c>
      <c r="D1105" s="7">
        <v>105.389999</v>
      </c>
      <c r="E1105" s="7">
        <v>97.058819</v>
      </c>
      <c r="F1105" s="7">
        <v>105.529999</v>
      </c>
      <c r="G1105" s="7">
        <v>104.720001</v>
      </c>
      <c r="H1105" s="8">
        <f t="shared" si="19"/>
        <v>-6.0360275963031989E-3</v>
      </c>
    </row>
    <row r="1106" spans="2:8" x14ac:dyDescent="0.2">
      <c r="B1106" s="5">
        <v>44336</v>
      </c>
      <c r="C1106" s="6" t="s">
        <v>17</v>
      </c>
      <c r="D1106" s="7">
        <v>101.55999799999999</v>
      </c>
      <c r="E1106" s="7">
        <v>93.531582</v>
      </c>
      <c r="F1106" s="7">
        <v>104.80999799999999</v>
      </c>
      <c r="G1106" s="7">
        <v>100.720001</v>
      </c>
      <c r="H1106" s="8">
        <f t="shared" si="19"/>
        <v>-3.6341218676736203E-2</v>
      </c>
    </row>
    <row r="1107" spans="2:8" x14ac:dyDescent="0.2">
      <c r="B1107" s="5">
        <v>44337</v>
      </c>
      <c r="C1107" s="6" t="s">
        <v>17</v>
      </c>
      <c r="D1107" s="7">
        <v>102.879997</v>
      </c>
      <c r="E1107" s="7">
        <v>94.747235000000003</v>
      </c>
      <c r="F1107" s="7">
        <v>103</v>
      </c>
      <c r="G1107" s="7">
        <v>101.480003</v>
      </c>
      <c r="H1107" s="8">
        <f t="shared" si="19"/>
        <v>1.2997233418614385E-2</v>
      </c>
    </row>
    <row r="1108" spans="2:8" x14ac:dyDescent="0.2">
      <c r="B1108" s="5">
        <v>44338</v>
      </c>
      <c r="C1108" s="6" t="s">
        <v>17</v>
      </c>
      <c r="D1108" s="7">
        <v>103.08000199999999</v>
      </c>
      <c r="E1108" s="7">
        <v>94.931428999999994</v>
      </c>
      <c r="F1108" s="7">
        <v>103.879997</v>
      </c>
      <c r="G1108" s="7">
        <v>102.510002</v>
      </c>
      <c r="H1108" s="8">
        <f t="shared" si="19"/>
        <v>1.9440610986797581E-3</v>
      </c>
    </row>
    <row r="1109" spans="2:8" x14ac:dyDescent="0.2">
      <c r="B1109" s="5">
        <v>44339</v>
      </c>
      <c r="C1109" s="6" t="s">
        <v>17</v>
      </c>
      <c r="D1109" s="7">
        <v>104.029999</v>
      </c>
      <c r="E1109" s="7">
        <v>95.806327999999993</v>
      </c>
      <c r="F1109" s="7">
        <v>104.150002</v>
      </c>
      <c r="G1109" s="7">
        <v>103.150002</v>
      </c>
      <c r="H1109" s="8">
        <f t="shared" si="19"/>
        <v>9.2161135192838899E-3</v>
      </c>
    </row>
    <row r="1110" spans="2:8" x14ac:dyDescent="0.2">
      <c r="B1110" s="5">
        <v>44343</v>
      </c>
      <c r="C1110" s="6" t="s">
        <v>17</v>
      </c>
      <c r="D1110" s="7">
        <v>103.68</v>
      </c>
      <c r="E1110" s="7">
        <v>95.483997000000002</v>
      </c>
      <c r="F1110" s="7">
        <v>104.480003</v>
      </c>
      <c r="G1110" s="7">
        <v>103.459999</v>
      </c>
      <c r="H1110" s="8">
        <f t="shared" si="19"/>
        <v>-3.3644045310429814E-3</v>
      </c>
    </row>
    <row r="1111" spans="2:8" x14ac:dyDescent="0.2">
      <c r="B1111" s="5">
        <v>44344</v>
      </c>
      <c r="C1111" s="6" t="s">
        <v>17</v>
      </c>
      <c r="D1111" s="7">
        <v>102.910004</v>
      </c>
      <c r="E1111" s="7">
        <v>94.774868999999995</v>
      </c>
      <c r="F1111" s="7">
        <v>103.860001</v>
      </c>
      <c r="G1111" s="7">
        <v>102.849998</v>
      </c>
      <c r="H1111" s="8">
        <f t="shared" si="19"/>
        <v>-7.4266589506173427E-3</v>
      </c>
    </row>
    <row r="1112" spans="2:8" x14ac:dyDescent="0.2">
      <c r="B1112" s="5">
        <v>44345</v>
      </c>
      <c r="C1112" s="6" t="s">
        <v>17</v>
      </c>
      <c r="D1112" s="7">
        <v>103.599998</v>
      </c>
      <c r="E1112" s="7">
        <v>95.410319000000001</v>
      </c>
      <c r="F1112" s="7">
        <v>103.66999800000001</v>
      </c>
      <c r="G1112" s="7">
        <v>102.55999799999999</v>
      </c>
      <c r="H1112" s="8">
        <f t="shared" si="19"/>
        <v>6.7048292020278092E-3</v>
      </c>
    </row>
    <row r="1113" spans="2:8" x14ac:dyDescent="0.2">
      <c r="B1113" s="5">
        <v>44346</v>
      </c>
      <c r="C1113" s="6" t="s">
        <v>17</v>
      </c>
      <c r="D1113" s="7">
        <v>102.230003</v>
      </c>
      <c r="E1113" s="7">
        <v>94.148623999999998</v>
      </c>
      <c r="F1113" s="7">
        <v>102.980003</v>
      </c>
      <c r="G1113" s="7">
        <v>101.550003</v>
      </c>
      <c r="H1113" s="8">
        <f t="shared" si="19"/>
        <v>-1.3223890216677445E-2</v>
      </c>
    </row>
    <row r="1114" spans="2:8" x14ac:dyDescent="0.2">
      <c r="B1114" s="5">
        <v>44349</v>
      </c>
      <c r="C1114" s="6" t="s">
        <v>17</v>
      </c>
      <c r="D1114" s="7">
        <v>103.760002</v>
      </c>
      <c r="E1114" s="7">
        <v>95.557675000000003</v>
      </c>
      <c r="F1114" s="7">
        <v>103.94000200000001</v>
      </c>
      <c r="G1114" s="7">
        <v>102.010002</v>
      </c>
      <c r="H1114" s="8">
        <f t="shared" si="19"/>
        <v>1.4966242346681764E-2</v>
      </c>
    </row>
    <row r="1115" spans="2:8" x14ac:dyDescent="0.2">
      <c r="B1115" s="5">
        <v>44350</v>
      </c>
      <c r="C1115" s="6" t="s">
        <v>17</v>
      </c>
      <c r="D1115" s="7">
        <v>104.489998</v>
      </c>
      <c r="E1115" s="7">
        <v>96.229962999999998</v>
      </c>
      <c r="F1115" s="7">
        <v>104.57</v>
      </c>
      <c r="G1115" s="7">
        <v>103.050003</v>
      </c>
      <c r="H1115" s="8">
        <f t="shared" si="19"/>
        <v>7.0354277749532027E-3</v>
      </c>
    </row>
    <row r="1116" spans="2:8" x14ac:dyDescent="0.2">
      <c r="B1116" s="5">
        <v>44351</v>
      </c>
      <c r="C1116" s="6" t="s">
        <v>17</v>
      </c>
      <c r="D1116" s="7">
        <v>104.30999799999999</v>
      </c>
      <c r="E1116" s="7">
        <v>96.064192000000006</v>
      </c>
      <c r="F1116" s="7">
        <v>105.099998</v>
      </c>
      <c r="G1116" s="7">
        <v>104.07</v>
      </c>
      <c r="H1116" s="8">
        <f t="shared" si="19"/>
        <v>-1.7226529184162375E-3</v>
      </c>
    </row>
    <row r="1117" spans="2:8" x14ac:dyDescent="0.2">
      <c r="B1117" s="5">
        <v>44352</v>
      </c>
      <c r="C1117" s="6" t="s">
        <v>17</v>
      </c>
      <c r="D1117" s="7">
        <v>106.959999</v>
      </c>
      <c r="E1117" s="7">
        <v>98.504709000000005</v>
      </c>
      <c r="F1117" s="7">
        <v>107.120003</v>
      </c>
      <c r="G1117" s="7">
        <v>104.769997</v>
      </c>
      <c r="H1117" s="8">
        <f t="shared" si="19"/>
        <v>2.5405052735213391E-2</v>
      </c>
    </row>
    <row r="1118" spans="2:8" x14ac:dyDescent="0.2">
      <c r="B1118" s="5">
        <v>44353</v>
      </c>
      <c r="C1118" s="6" t="s">
        <v>17</v>
      </c>
      <c r="D1118" s="7">
        <v>108.18</v>
      </c>
      <c r="E1118" s="7">
        <v>99.628268000000006</v>
      </c>
      <c r="F1118" s="7">
        <v>108.360001</v>
      </c>
      <c r="G1118" s="7">
        <v>106.980003</v>
      </c>
      <c r="H1118" s="8">
        <f t="shared" si="19"/>
        <v>1.1406142589810707E-2</v>
      </c>
    </row>
    <row r="1119" spans="2:8" x14ac:dyDescent="0.2">
      <c r="B1119" s="5">
        <v>44356</v>
      </c>
      <c r="C1119" s="6" t="s">
        <v>17</v>
      </c>
      <c r="D1119" s="7">
        <v>108.75</v>
      </c>
      <c r="E1119" s="7">
        <v>100.15320800000001</v>
      </c>
      <c r="F1119" s="7">
        <v>109.300003</v>
      </c>
      <c r="G1119" s="7">
        <v>107.660004</v>
      </c>
      <c r="H1119" s="8">
        <f t="shared" si="19"/>
        <v>5.2689961175817444E-3</v>
      </c>
    </row>
    <row r="1120" spans="2:8" x14ac:dyDescent="0.2">
      <c r="B1120" s="5">
        <v>44357</v>
      </c>
      <c r="C1120" s="6" t="s">
        <v>17</v>
      </c>
      <c r="D1120" s="7">
        <v>109.30999799999999</v>
      </c>
      <c r="E1120" s="7">
        <v>100.668938</v>
      </c>
      <c r="F1120" s="7">
        <v>109.5</v>
      </c>
      <c r="G1120" s="7">
        <v>108.400002</v>
      </c>
      <c r="H1120" s="8">
        <f t="shared" si="19"/>
        <v>5.1494068965516606E-3</v>
      </c>
    </row>
    <row r="1121" spans="2:8" x14ac:dyDescent="0.2">
      <c r="B1121" s="5">
        <v>44358</v>
      </c>
      <c r="C1121" s="6" t="s">
        <v>17</v>
      </c>
      <c r="D1121" s="7">
        <v>108.69000200000001</v>
      </c>
      <c r="E1121" s="7">
        <v>100.097954</v>
      </c>
      <c r="F1121" s="7">
        <v>108.980003</v>
      </c>
      <c r="G1121" s="7">
        <v>108.33000199999999</v>
      </c>
      <c r="H1121" s="8">
        <f t="shared" si="19"/>
        <v>-5.6719056933839324E-3</v>
      </c>
    </row>
    <row r="1122" spans="2:8" x14ac:dyDescent="0.2">
      <c r="B1122" s="5">
        <v>44359</v>
      </c>
      <c r="C1122" s="6" t="s">
        <v>17</v>
      </c>
      <c r="D1122" s="7">
        <v>106.650002</v>
      </c>
      <c r="E1122" s="7">
        <v>98.219217</v>
      </c>
      <c r="F1122" s="7">
        <v>108.5</v>
      </c>
      <c r="G1122" s="7">
        <v>106.44000200000001</v>
      </c>
      <c r="H1122" s="8">
        <f t="shared" si="19"/>
        <v>-1.8768975641384255E-2</v>
      </c>
    </row>
    <row r="1123" spans="2:8" x14ac:dyDescent="0.2">
      <c r="B1123" s="5">
        <v>44360</v>
      </c>
      <c r="C1123" s="6" t="s">
        <v>17</v>
      </c>
      <c r="D1123" s="7">
        <v>106.769997</v>
      </c>
      <c r="E1123" s="7">
        <v>98.329725999999994</v>
      </c>
      <c r="F1123" s="7">
        <v>107.230003</v>
      </c>
      <c r="G1123" s="7">
        <v>106.07</v>
      </c>
      <c r="H1123" s="8">
        <f t="shared" si="19"/>
        <v>1.1251289052953131E-3</v>
      </c>
    </row>
    <row r="1124" spans="2:8" x14ac:dyDescent="0.2">
      <c r="B1124" s="5">
        <v>44363</v>
      </c>
      <c r="C1124" s="6" t="s">
        <v>17</v>
      </c>
      <c r="D1124" s="7">
        <v>106.80999799999999</v>
      </c>
      <c r="E1124" s="7">
        <v>98.366564999999994</v>
      </c>
      <c r="F1124" s="7">
        <v>106.879997</v>
      </c>
      <c r="G1124" s="7">
        <v>105.730003</v>
      </c>
      <c r="H1124" s="8">
        <f t="shared" si="19"/>
        <v>3.7464644679150377E-4</v>
      </c>
    </row>
    <row r="1125" spans="2:8" x14ac:dyDescent="0.2">
      <c r="B1125" s="5">
        <v>44364</v>
      </c>
      <c r="C1125" s="6" t="s">
        <v>17</v>
      </c>
      <c r="D1125" s="7">
        <v>106.66999800000001</v>
      </c>
      <c r="E1125" s="7">
        <v>98.237633000000002</v>
      </c>
      <c r="F1125" s="7">
        <v>107</v>
      </c>
      <c r="G1125" s="7">
        <v>106</v>
      </c>
      <c r="H1125" s="8">
        <f t="shared" si="19"/>
        <v>-1.3107387194219999E-3</v>
      </c>
    </row>
    <row r="1126" spans="2:8" x14ac:dyDescent="0.2">
      <c r="B1126" s="5">
        <v>44365</v>
      </c>
      <c r="C1126" s="6" t="s">
        <v>17</v>
      </c>
      <c r="D1126" s="7">
        <v>107.480003</v>
      </c>
      <c r="E1126" s="7">
        <v>98.983605999999995</v>
      </c>
      <c r="F1126" s="7">
        <v>107.599998</v>
      </c>
      <c r="G1126" s="7">
        <v>106.050003</v>
      </c>
      <c r="H1126" s="8">
        <f t="shared" si="19"/>
        <v>7.5935597186379397E-3</v>
      </c>
    </row>
    <row r="1127" spans="2:8" x14ac:dyDescent="0.2">
      <c r="B1127" s="5">
        <v>44366</v>
      </c>
      <c r="C1127" s="6" t="s">
        <v>17</v>
      </c>
      <c r="D1127" s="7">
        <v>107.25</v>
      </c>
      <c r="E1127" s="7">
        <v>98.771784999999994</v>
      </c>
      <c r="F1127" s="7">
        <v>107.41999800000001</v>
      </c>
      <c r="G1127" s="7">
        <v>106.69000200000001</v>
      </c>
      <c r="H1127" s="8">
        <f t="shared" si="19"/>
        <v>-2.1399608632314275E-3</v>
      </c>
    </row>
    <row r="1128" spans="2:8" x14ac:dyDescent="0.2">
      <c r="B1128" s="5">
        <v>44367</v>
      </c>
      <c r="C1128" s="6" t="s">
        <v>17</v>
      </c>
      <c r="D1128" s="7">
        <v>109.379997</v>
      </c>
      <c r="E1128" s="7">
        <v>100.73340399999999</v>
      </c>
      <c r="F1128" s="7">
        <v>109.529999</v>
      </c>
      <c r="G1128" s="7">
        <v>107.639999</v>
      </c>
      <c r="H1128" s="8">
        <f t="shared" si="19"/>
        <v>1.9860111888111917E-2</v>
      </c>
    </row>
    <row r="1129" spans="2:8" x14ac:dyDescent="0.2">
      <c r="B1129" s="5">
        <v>44370</v>
      </c>
      <c r="C1129" s="6" t="s">
        <v>17</v>
      </c>
      <c r="D1129" s="7">
        <v>108.779999</v>
      </c>
      <c r="E1129" s="7">
        <v>100.180836</v>
      </c>
      <c r="F1129" s="7">
        <v>109.849998</v>
      </c>
      <c r="G1129" s="7">
        <v>108.290001</v>
      </c>
      <c r="H1129" s="8">
        <f t="shared" si="19"/>
        <v>-5.4854453872402219E-3</v>
      </c>
    </row>
    <row r="1130" spans="2:8" x14ac:dyDescent="0.2">
      <c r="B1130" s="5">
        <v>44371</v>
      </c>
      <c r="C1130" s="6" t="s">
        <v>17</v>
      </c>
      <c r="D1130" s="7">
        <v>107.80999799999999</v>
      </c>
      <c r="E1130" s="7">
        <v>99.287514000000002</v>
      </c>
      <c r="F1130" s="7">
        <v>109.339996</v>
      </c>
      <c r="G1130" s="7">
        <v>107</v>
      </c>
      <c r="H1130" s="8">
        <f t="shared" si="19"/>
        <v>-8.917089620491819E-3</v>
      </c>
    </row>
    <row r="1131" spans="2:8" x14ac:dyDescent="0.2">
      <c r="B1131" s="5">
        <v>44372</v>
      </c>
      <c r="C1131" s="6" t="s">
        <v>17</v>
      </c>
      <c r="D1131" s="7">
        <v>108.44000200000001</v>
      </c>
      <c r="E1131" s="7">
        <v>99.867716000000001</v>
      </c>
      <c r="F1131" s="7">
        <v>108.879997</v>
      </c>
      <c r="G1131" s="7">
        <v>107.349998</v>
      </c>
      <c r="H1131" s="8">
        <f t="shared" si="19"/>
        <v>5.8436509756730898E-3</v>
      </c>
    </row>
    <row r="1132" spans="2:8" x14ac:dyDescent="0.2">
      <c r="B1132" s="5">
        <v>44373</v>
      </c>
      <c r="C1132" s="6" t="s">
        <v>17</v>
      </c>
      <c r="D1132" s="7">
        <v>108.519997</v>
      </c>
      <c r="E1132" s="7">
        <v>99.941387000000006</v>
      </c>
      <c r="F1132" s="7">
        <v>108.800003</v>
      </c>
      <c r="G1132" s="7">
        <v>107.849998</v>
      </c>
      <c r="H1132" s="8">
        <f t="shared" si="19"/>
        <v>7.3768903102746806E-4</v>
      </c>
    </row>
    <row r="1133" spans="2:8" x14ac:dyDescent="0.2">
      <c r="B1133" s="5">
        <v>44374</v>
      </c>
      <c r="C1133" s="6" t="s">
        <v>17</v>
      </c>
      <c r="D1133" s="7">
        <v>108.779999</v>
      </c>
      <c r="E1133" s="7">
        <v>100.180836</v>
      </c>
      <c r="F1133" s="7">
        <v>108.879997</v>
      </c>
      <c r="G1133" s="7">
        <v>107.730003</v>
      </c>
      <c r="H1133" s="8">
        <f t="shared" si="19"/>
        <v>2.3958902247297339E-3</v>
      </c>
    </row>
    <row r="1134" spans="2:8" x14ac:dyDescent="0.2">
      <c r="B1134" s="5">
        <v>44377</v>
      </c>
      <c r="C1134" s="6" t="s">
        <v>17</v>
      </c>
      <c r="D1134" s="7">
        <v>108.66999800000001</v>
      </c>
      <c r="E1134" s="7">
        <v>100.079531</v>
      </c>
      <c r="F1134" s="7">
        <v>109.029999</v>
      </c>
      <c r="G1134" s="7">
        <v>107.970001</v>
      </c>
      <c r="H1134" s="8">
        <f t="shared" si="19"/>
        <v>-1.0112244990919416E-3</v>
      </c>
    </row>
    <row r="1135" spans="2:8" x14ac:dyDescent="0.2">
      <c r="B1135" s="5">
        <v>44378</v>
      </c>
      <c r="C1135" s="6" t="s">
        <v>17</v>
      </c>
      <c r="D1135" s="7">
        <v>109.16999800000001</v>
      </c>
      <c r="E1135" s="7">
        <v>100.54000499999999</v>
      </c>
      <c r="F1135" s="7">
        <v>109.75</v>
      </c>
      <c r="G1135" s="7">
        <v>109.010002</v>
      </c>
      <c r="H1135" s="8">
        <f t="shared" si="19"/>
        <v>4.6010859409420434E-3</v>
      </c>
    </row>
    <row r="1136" spans="2:8" x14ac:dyDescent="0.2">
      <c r="B1136" s="5">
        <v>44379</v>
      </c>
      <c r="C1136" s="6" t="s">
        <v>17</v>
      </c>
      <c r="D1136" s="7">
        <v>109.55999799999999</v>
      </c>
      <c r="E1136" s="7">
        <v>100.899175</v>
      </c>
      <c r="F1136" s="7">
        <v>109.949997</v>
      </c>
      <c r="G1136" s="7">
        <v>109.300003</v>
      </c>
      <c r="H1136" s="8">
        <f t="shared" si="19"/>
        <v>3.5724100681946182E-3</v>
      </c>
    </row>
    <row r="1137" spans="2:8" x14ac:dyDescent="0.2">
      <c r="B1137" s="5">
        <v>44380</v>
      </c>
      <c r="C1137" s="6" t="s">
        <v>17</v>
      </c>
      <c r="D1137" s="7">
        <v>111.08000199999999</v>
      </c>
      <c r="E1137" s="7">
        <v>102.299021</v>
      </c>
      <c r="F1137" s="7">
        <v>111.160004</v>
      </c>
      <c r="G1137" s="7">
        <v>109.69000200000001</v>
      </c>
      <c r="H1137" s="8">
        <f t="shared" si="19"/>
        <v>1.3873713287216382E-2</v>
      </c>
    </row>
    <row r="1138" spans="2:8" x14ac:dyDescent="0.2">
      <c r="B1138" s="5">
        <v>44384</v>
      </c>
      <c r="C1138" s="6" t="s">
        <v>17</v>
      </c>
      <c r="D1138" s="7">
        <v>110.160004</v>
      </c>
      <c r="E1138" s="7">
        <v>101.45175</v>
      </c>
      <c r="F1138" s="7">
        <v>110.449997</v>
      </c>
      <c r="G1138" s="7">
        <v>109.57</v>
      </c>
      <c r="H1138" s="8">
        <f t="shared" si="19"/>
        <v>-8.2823008951691639E-3</v>
      </c>
    </row>
    <row r="1139" spans="2:8" x14ac:dyDescent="0.2">
      <c r="B1139" s="5">
        <v>44385</v>
      </c>
      <c r="C1139" s="6" t="s">
        <v>17</v>
      </c>
      <c r="D1139" s="7">
        <v>109.459999</v>
      </c>
      <c r="E1139" s="7">
        <v>100.807081</v>
      </c>
      <c r="F1139" s="7">
        <v>110.379997</v>
      </c>
      <c r="G1139" s="7">
        <v>109.400002</v>
      </c>
      <c r="H1139" s="8">
        <f t="shared" si="19"/>
        <v>-6.354438767086505E-3</v>
      </c>
    </row>
    <row r="1140" spans="2:8" x14ac:dyDescent="0.2">
      <c r="B1140" s="5">
        <v>44386</v>
      </c>
      <c r="C1140" s="6" t="s">
        <v>17</v>
      </c>
      <c r="D1140" s="7">
        <v>110.139999</v>
      </c>
      <c r="E1140" s="7">
        <v>101.43332700000001</v>
      </c>
      <c r="F1140" s="7">
        <v>110.290001</v>
      </c>
      <c r="G1140" s="7">
        <v>109.41999800000001</v>
      </c>
      <c r="H1140" s="8">
        <f t="shared" si="19"/>
        <v>6.2123150576678414E-3</v>
      </c>
    </row>
    <row r="1141" spans="2:8" x14ac:dyDescent="0.2">
      <c r="B1141" s="5">
        <v>44387</v>
      </c>
      <c r="C1141" s="6" t="s">
        <v>17</v>
      </c>
      <c r="D1141" s="7">
        <v>109.360001</v>
      </c>
      <c r="E1141" s="7">
        <v>100.71498800000001</v>
      </c>
      <c r="F1141" s="7">
        <v>109.57</v>
      </c>
      <c r="G1141" s="7">
        <v>107.800003</v>
      </c>
      <c r="H1141" s="8">
        <f t="shared" si="19"/>
        <v>-7.0818776746130732E-3</v>
      </c>
    </row>
    <row r="1142" spans="2:8" x14ac:dyDescent="0.2">
      <c r="B1142" s="5">
        <v>44388</v>
      </c>
      <c r="C1142" s="6" t="s">
        <v>17</v>
      </c>
      <c r="D1142" s="7">
        <v>109.959999</v>
      </c>
      <c r="E1142" s="7">
        <v>101.267556</v>
      </c>
      <c r="F1142" s="7">
        <v>109.989998</v>
      </c>
      <c r="G1142" s="7">
        <v>108.650002</v>
      </c>
      <c r="H1142" s="8">
        <f t="shared" si="19"/>
        <v>5.4864483770441751E-3</v>
      </c>
    </row>
    <row r="1143" spans="2:8" x14ac:dyDescent="0.2">
      <c r="B1143" s="5">
        <v>44391</v>
      </c>
      <c r="C1143" s="6" t="s">
        <v>17</v>
      </c>
      <c r="D1143" s="7">
        <v>110.089996</v>
      </c>
      <c r="E1143" s="7">
        <v>101.387277</v>
      </c>
      <c r="F1143" s="7">
        <v>111.040001</v>
      </c>
      <c r="G1143" s="7">
        <v>110.089996</v>
      </c>
      <c r="H1143" s="8">
        <f t="shared" si="19"/>
        <v>1.1822208183177869E-3</v>
      </c>
    </row>
    <row r="1144" spans="2:8" x14ac:dyDescent="0.2">
      <c r="B1144" s="5">
        <v>44392</v>
      </c>
      <c r="C1144" s="6" t="s">
        <v>17</v>
      </c>
      <c r="D1144" s="7">
        <v>109.849998</v>
      </c>
      <c r="E1144" s="7">
        <v>101.166251</v>
      </c>
      <c r="F1144" s="7">
        <v>110.41999800000001</v>
      </c>
      <c r="G1144" s="7">
        <v>109.400002</v>
      </c>
      <c r="H1144" s="8">
        <f t="shared" si="19"/>
        <v>-2.1800164294673964E-3</v>
      </c>
    </row>
    <row r="1145" spans="2:8" x14ac:dyDescent="0.2">
      <c r="B1145" s="5">
        <v>44393</v>
      </c>
      <c r="C1145" s="6" t="s">
        <v>17</v>
      </c>
      <c r="D1145" s="7">
        <v>111.400002</v>
      </c>
      <c r="E1145" s="7">
        <v>102.59372500000001</v>
      </c>
      <c r="F1145" s="7">
        <v>111.459999</v>
      </c>
      <c r="G1145" s="7">
        <v>109.91999800000001</v>
      </c>
      <c r="H1145" s="8">
        <f t="shared" si="19"/>
        <v>1.4110186875014794E-2</v>
      </c>
    </row>
    <row r="1146" spans="2:8" x14ac:dyDescent="0.2">
      <c r="B1146" s="5">
        <v>44394</v>
      </c>
      <c r="C1146" s="6" t="s">
        <v>17</v>
      </c>
      <c r="D1146" s="7">
        <v>109.07</v>
      </c>
      <c r="E1146" s="7">
        <v>101.08308</v>
      </c>
      <c r="F1146" s="7">
        <v>110.66999800000001</v>
      </c>
      <c r="G1146" s="7">
        <v>108.93</v>
      </c>
      <c r="H1146" s="8">
        <f t="shared" si="19"/>
        <v>-2.0915636967403353E-2</v>
      </c>
    </row>
    <row r="1147" spans="2:8" x14ac:dyDescent="0.2">
      <c r="B1147" s="5">
        <v>44395</v>
      </c>
      <c r="C1147" s="6" t="s">
        <v>17</v>
      </c>
      <c r="D1147" s="7">
        <v>110.16999800000001</v>
      </c>
      <c r="E1147" s="7">
        <v>102.10252800000001</v>
      </c>
      <c r="F1147" s="7">
        <v>110.16999800000001</v>
      </c>
      <c r="G1147" s="7">
        <v>109.050003</v>
      </c>
      <c r="H1147" s="8">
        <f t="shared" si="19"/>
        <v>1.0085248005867917E-2</v>
      </c>
    </row>
    <row r="1148" spans="2:8" x14ac:dyDescent="0.2">
      <c r="B1148" s="5">
        <v>44398</v>
      </c>
      <c r="C1148" s="6" t="s">
        <v>17</v>
      </c>
      <c r="D1148" s="7">
        <v>110.230003</v>
      </c>
      <c r="E1148" s="7">
        <v>102.15814</v>
      </c>
      <c r="F1148" s="7">
        <v>110.550003</v>
      </c>
      <c r="G1148" s="7">
        <v>109.449997</v>
      </c>
      <c r="H1148" s="8">
        <f t="shared" si="19"/>
        <v>5.4465826531093929E-4</v>
      </c>
    </row>
    <row r="1149" spans="2:8" x14ac:dyDescent="0.2">
      <c r="B1149" s="5">
        <v>44399</v>
      </c>
      <c r="C1149" s="6" t="s">
        <v>17</v>
      </c>
      <c r="D1149" s="7">
        <v>110.05999799999999</v>
      </c>
      <c r="E1149" s="7">
        <v>102.00058300000001</v>
      </c>
      <c r="F1149" s="7">
        <v>111.279999</v>
      </c>
      <c r="G1149" s="7">
        <v>109.800003</v>
      </c>
      <c r="H1149" s="8">
        <f t="shared" si="19"/>
        <v>-1.5422752007001514E-3</v>
      </c>
    </row>
    <row r="1150" spans="2:8" x14ac:dyDescent="0.2">
      <c r="B1150" s="5">
        <v>44400</v>
      </c>
      <c r="C1150" s="6" t="s">
        <v>17</v>
      </c>
      <c r="D1150" s="7">
        <v>108.379997</v>
      </c>
      <c r="E1150" s="7">
        <v>100.44360500000001</v>
      </c>
      <c r="F1150" s="7">
        <v>109.980003</v>
      </c>
      <c r="G1150" s="7">
        <v>108.209999</v>
      </c>
      <c r="H1150" s="8">
        <f t="shared" si="19"/>
        <v>-1.526441059902609E-2</v>
      </c>
    </row>
    <row r="1151" spans="2:8" x14ac:dyDescent="0.2">
      <c r="B1151" s="5">
        <v>44401</v>
      </c>
      <c r="C1151" s="6" t="s">
        <v>17</v>
      </c>
      <c r="D1151" s="7">
        <v>105.040001</v>
      </c>
      <c r="E1151" s="7">
        <v>97.348187999999993</v>
      </c>
      <c r="F1151" s="7">
        <v>106.230003</v>
      </c>
      <c r="G1151" s="7">
        <v>104.089996</v>
      </c>
      <c r="H1151" s="8">
        <f t="shared" si="19"/>
        <v>-3.0817457948444114E-2</v>
      </c>
    </row>
    <row r="1152" spans="2:8" x14ac:dyDescent="0.2">
      <c r="B1152" s="5">
        <v>44402</v>
      </c>
      <c r="C1152" s="6" t="s">
        <v>17</v>
      </c>
      <c r="D1152" s="7">
        <v>104.849998</v>
      </c>
      <c r="E1152" s="7">
        <v>97.172099000000003</v>
      </c>
      <c r="F1152" s="7">
        <v>105.349998</v>
      </c>
      <c r="G1152" s="7">
        <v>104.099998</v>
      </c>
      <c r="H1152" s="8">
        <f t="shared" si="19"/>
        <v>-1.8088632729545038E-3</v>
      </c>
    </row>
    <row r="1153" spans="2:8" x14ac:dyDescent="0.2">
      <c r="B1153" s="5">
        <v>44405</v>
      </c>
      <c r="C1153" s="6" t="s">
        <v>17</v>
      </c>
      <c r="D1153" s="7">
        <v>104.150002</v>
      </c>
      <c r="E1153" s="7">
        <v>96.523360999999994</v>
      </c>
      <c r="F1153" s="7">
        <v>104.900002</v>
      </c>
      <c r="G1153" s="7">
        <v>103.16999800000001</v>
      </c>
      <c r="H1153" s="8">
        <f t="shared" si="19"/>
        <v>-6.676166078706065E-3</v>
      </c>
    </row>
    <row r="1154" spans="2:8" x14ac:dyDescent="0.2">
      <c r="B1154" s="5">
        <v>44406</v>
      </c>
      <c r="C1154" s="6" t="s">
        <v>17</v>
      </c>
      <c r="D1154" s="7">
        <v>104.69000200000001</v>
      </c>
      <c r="E1154" s="7">
        <v>97.023819000000003</v>
      </c>
      <c r="F1154" s="7">
        <v>106.44000200000001</v>
      </c>
      <c r="G1154" s="7">
        <v>104.69000200000001</v>
      </c>
      <c r="H1154" s="8">
        <f t="shared" si="19"/>
        <v>5.1848294731670404E-3</v>
      </c>
    </row>
    <row r="1155" spans="2:8" x14ac:dyDescent="0.2">
      <c r="B1155" s="5">
        <v>44407</v>
      </c>
      <c r="C1155" s="6" t="s">
        <v>17</v>
      </c>
      <c r="D1155" s="7">
        <v>103.379997</v>
      </c>
      <c r="E1155" s="7">
        <v>95.809742</v>
      </c>
      <c r="F1155" s="7">
        <v>105.32</v>
      </c>
      <c r="G1155" s="7">
        <v>103.029999</v>
      </c>
      <c r="H1155" s="8">
        <f t="shared" si="19"/>
        <v>-1.2513181535711536E-2</v>
      </c>
    </row>
    <row r="1156" spans="2:8" x14ac:dyDescent="0.2">
      <c r="B1156" s="5">
        <v>44408</v>
      </c>
      <c r="C1156" s="6" t="s">
        <v>17</v>
      </c>
      <c r="D1156" s="7">
        <v>100.75</v>
      </c>
      <c r="E1156" s="7">
        <v>93.372332999999998</v>
      </c>
      <c r="F1156" s="7">
        <v>102.69000200000001</v>
      </c>
      <c r="G1156" s="7">
        <v>100.739998</v>
      </c>
      <c r="H1156" s="8">
        <f t="shared" ref="H1156:H1219" si="20">(D1156-D1155)/D1155</f>
        <v>-2.5440095534148669E-2</v>
      </c>
    </row>
    <row r="1157" spans="2:8" x14ac:dyDescent="0.2">
      <c r="B1157" s="5">
        <v>44409</v>
      </c>
      <c r="C1157" s="6" t="s">
        <v>17</v>
      </c>
      <c r="D1157" s="7">
        <v>100.519997</v>
      </c>
      <c r="E1157" s="7">
        <v>93.159171999999998</v>
      </c>
      <c r="F1157" s="7">
        <v>100.849998</v>
      </c>
      <c r="G1157" s="7">
        <v>99.110000999999997</v>
      </c>
      <c r="H1157" s="8">
        <f t="shared" si="20"/>
        <v>-2.2829081885855722E-3</v>
      </c>
    </row>
    <row r="1158" spans="2:8" x14ac:dyDescent="0.2">
      <c r="B1158" s="5">
        <v>44412</v>
      </c>
      <c r="C1158" s="6" t="s">
        <v>17</v>
      </c>
      <c r="D1158" s="7">
        <v>101.80999799999999</v>
      </c>
      <c r="E1158" s="7">
        <v>94.354709999999997</v>
      </c>
      <c r="F1158" s="7">
        <v>102.050003</v>
      </c>
      <c r="G1158" s="7">
        <v>100.099998</v>
      </c>
      <c r="H1158" s="8">
        <f t="shared" si="20"/>
        <v>1.2833277342815573E-2</v>
      </c>
    </row>
    <row r="1159" spans="2:8" x14ac:dyDescent="0.2">
      <c r="B1159" s="5">
        <v>44413</v>
      </c>
      <c r="C1159" s="6" t="s">
        <v>17</v>
      </c>
      <c r="D1159" s="7">
        <v>101.5</v>
      </c>
      <c r="E1159" s="7">
        <v>94.067412000000004</v>
      </c>
      <c r="F1159" s="7">
        <v>102.470001</v>
      </c>
      <c r="G1159" s="7">
        <v>100.94000200000001</v>
      </c>
      <c r="H1159" s="8">
        <f t="shared" si="20"/>
        <v>-3.0448679509844714E-3</v>
      </c>
    </row>
    <row r="1160" spans="2:8" x14ac:dyDescent="0.2">
      <c r="B1160" s="5">
        <v>44414</v>
      </c>
      <c r="C1160" s="6" t="s">
        <v>17</v>
      </c>
      <c r="D1160" s="7">
        <v>101.489998</v>
      </c>
      <c r="E1160" s="7">
        <v>94.058143000000001</v>
      </c>
      <c r="F1160" s="7">
        <v>101.849998</v>
      </c>
      <c r="G1160" s="7">
        <v>100.610001</v>
      </c>
      <c r="H1160" s="8">
        <f t="shared" si="20"/>
        <v>-9.8541871921182923E-5</v>
      </c>
    </row>
    <row r="1161" spans="2:8" x14ac:dyDescent="0.2">
      <c r="B1161" s="5">
        <v>44415</v>
      </c>
      <c r="C1161" s="6" t="s">
        <v>17</v>
      </c>
      <c r="D1161" s="7">
        <v>101.94000200000001</v>
      </c>
      <c r="E1161" s="7">
        <v>94.475194000000002</v>
      </c>
      <c r="F1161" s="7">
        <v>103.470001</v>
      </c>
      <c r="G1161" s="7">
        <v>101.879997</v>
      </c>
      <c r="H1161" s="8">
        <f t="shared" si="20"/>
        <v>4.4339738778988542E-3</v>
      </c>
    </row>
    <row r="1162" spans="2:8" x14ac:dyDescent="0.2">
      <c r="B1162" s="5">
        <v>44416</v>
      </c>
      <c r="C1162" s="6" t="s">
        <v>17</v>
      </c>
      <c r="D1162" s="7">
        <v>103.279999</v>
      </c>
      <c r="E1162" s="7">
        <v>95.717066000000003</v>
      </c>
      <c r="F1162" s="7">
        <v>103.44000200000001</v>
      </c>
      <c r="G1162" s="7">
        <v>101.779999</v>
      </c>
      <c r="H1162" s="8">
        <f t="shared" si="20"/>
        <v>1.3144957560428503E-2</v>
      </c>
    </row>
    <row r="1163" spans="2:8" x14ac:dyDescent="0.2">
      <c r="B1163" s="5">
        <v>44419</v>
      </c>
      <c r="C1163" s="6" t="s">
        <v>17</v>
      </c>
      <c r="D1163" s="7">
        <v>104.5</v>
      </c>
      <c r="E1163" s="7">
        <v>96.847729999999999</v>
      </c>
      <c r="F1163" s="7">
        <v>104.849998</v>
      </c>
      <c r="G1163" s="7">
        <v>103.93</v>
      </c>
      <c r="H1163" s="8">
        <f t="shared" si="20"/>
        <v>1.1812558208874462E-2</v>
      </c>
    </row>
    <row r="1164" spans="2:8" x14ac:dyDescent="0.2">
      <c r="B1164" s="5">
        <v>44420</v>
      </c>
      <c r="C1164" s="6" t="s">
        <v>17</v>
      </c>
      <c r="D1164" s="7">
        <v>104.33000199999999</v>
      </c>
      <c r="E1164" s="7">
        <v>96.690179999999998</v>
      </c>
      <c r="F1164" s="7">
        <v>105.160004</v>
      </c>
      <c r="G1164" s="7">
        <v>104.129997</v>
      </c>
      <c r="H1164" s="8">
        <f t="shared" si="20"/>
        <v>-1.6267751196172896E-3</v>
      </c>
    </row>
    <row r="1165" spans="2:8" x14ac:dyDescent="0.2">
      <c r="B1165" s="5">
        <v>44421</v>
      </c>
      <c r="C1165" s="6" t="s">
        <v>17</v>
      </c>
      <c r="D1165" s="7">
        <v>105.160004</v>
      </c>
      <c r="E1165" s="7">
        <v>97.459402999999995</v>
      </c>
      <c r="F1165" s="7">
        <v>105.5</v>
      </c>
      <c r="G1165" s="7">
        <v>104.33000199999999</v>
      </c>
      <c r="H1165" s="8">
        <f t="shared" si="20"/>
        <v>7.9555447530807819E-3</v>
      </c>
    </row>
    <row r="1166" spans="2:8" x14ac:dyDescent="0.2">
      <c r="B1166" s="5">
        <v>44422</v>
      </c>
      <c r="C1166" s="6" t="s">
        <v>17</v>
      </c>
      <c r="D1166" s="7">
        <v>105.660004</v>
      </c>
      <c r="E1166" s="7">
        <v>97.922788999999995</v>
      </c>
      <c r="F1166" s="7">
        <v>106</v>
      </c>
      <c r="G1166" s="7">
        <v>104.989998</v>
      </c>
      <c r="H1166" s="8">
        <f t="shared" si="20"/>
        <v>4.7546593855207538E-3</v>
      </c>
    </row>
    <row r="1167" spans="2:8" x14ac:dyDescent="0.2">
      <c r="B1167" s="5">
        <v>44423</v>
      </c>
      <c r="C1167" s="6" t="s">
        <v>17</v>
      </c>
      <c r="D1167" s="7">
        <v>105.739998</v>
      </c>
      <c r="E1167" s="7">
        <v>97.996926000000002</v>
      </c>
      <c r="F1167" s="7">
        <v>106.41999800000001</v>
      </c>
      <c r="G1167" s="7">
        <v>105.129997</v>
      </c>
      <c r="H1167" s="8">
        <f t="shared" si="20"/>
        <v>7.5708874665572818E-4</v>
      </c>
    </row>
    <row r="1168" spans="2:8" x14ac:dyDescent="0.2">
      <c r="B1168" s="5">
        <v>44426</v>
      </c>
      <c r="C1168" s="6" t="s">
        <v>17</v>
      </c>
      <c r="D1168" s="7">
        <v>106.980003</v>
      </c>
      <c r="E1168" s="7">
        <v>99.146129000000002</v>
      </c>
      <c r="F1168" s="7">
        <v>107.099998</v>
      </c>
      <c r="G1168" s="7">
        <v>106.279999</v>
      </c>
      <c r="H1168" s="8">
        <f t="shared" si="20"/>
        <v>1.1726924753677379E-2</v>
      </c>
    </row>
    <row r="1169" spans="2:8" x14ac:dyDescent="0.2">
      <c r="B1169" s="5">
        <v>44427</v>
      </c>
      <c r="C1169" s="6" t="s">
        <v>17</v>
      </c>
      <c r="D1169" s="7">
        <v>107.300003</v>
      </c>
      <c r="E1169" s="7">
        <v>99.442695999999998</v>
      </c>
      <c r="F1169" s="7">
        <v>107.699997</v>
      </c>
      <c r="G1169" s="7">
        <v>106.870003</v>
      </c>
      <c r="H1169" s="8">
        <f t="shared" si="20"/>
        <v>2.9912132270178324E-3</v>
      </c>
    </row>
    <row r="1170" spans="2:8" x14ac:dyDescent="0.2">
      <c r="B1170" s="5">
        <v>44428</v>
      </c>
      <c r="C1170" s="6" t="s">
        <v>17</v>
      </c>
      <c r="D1170" s="7">
        <v>107.699997</v>
      </c>
      <c r="E1170" s="7">
        <v>99.813399000000004</v>
      </c>
      <c r="F1170" s="7">
        <v>108.150002</v>
      </c>
      <c r="G1170" s="7">
        <v>107.199997</v>
      </c>
      <c r="H1170" s="8">
        <f t="shared" si="20"/>
        <v>3.7278097746184817E-3</v>
      </c>
    </row>
    <row r="1171" spans="2:8" x14ac:dyDescent="0.2">
      <c r="B1171" s="5">
        <v>44429</v>
      </c>
      <c r="C1171" s="6" t="s">
        <v>17</v>
      </c>
      <c r="D1171" s="7">
        <v>107.970001</v>
      </c>
      <c r="E1171" s="7">
        <v>100.063632</v>
      </c>
      <c r="F1171" s="7">
        <v>108.57</v>
      </c>
      <c r="G1171" s="7">
        <v>107.540001</v>
      </c>
      <c r="H1171" s="8">
        <f t="shared" si="20"/>
        <v>2.5070009983380048E-3</v>
      </c>
    </row>
    <row r="1172" spans="2:8" x14ac:dyDescent="0.2">
      <c r="B1172" s="5">
        <v>44430</v>
      </c>
      <c r="C1172" s="6" t="s">
        <v>17</v>
      </c>
      <c r="D1172" s="7">
        <v>107.30999799999999</v>
      </c>
      <c r="E1172" s="7">
        <v>99.451958000000005</v>
      </c>
      <c r="F1172" s="7">
        <v>107.82</v>
      </c>
      <c r="G1172" s="7">
        <v>106.540001</v>
      </c>
      <c r="H1172" s="8">
        <f t="shared" si="20"/>
        <v>-6.1128368425226115E-3</v>
      </c>
    </row>
    <row r="1173" spans="2:8" x14ac:dyDescent="0.2">
      <c r="B1173" s="5">
        <v>44433</v>
      </c>
      <c r="C1173" s="6" t="s">
        <v>17</v>
      </c>
      <c r="D1173" s="7">
        <v>107.970001</v>
      </c>
      <c r="E1173" s="7">
        <v>100.063632</v>
      </c>
      <c r="F1173" s="7">
        <v>108.33000199999999</v>
      </c>
      <c r="G1173" s="7">
        <v>107.730003</v>
      </c>
      <c r="H1173" s="8">
        <f t="shared" si="20"/>
        <v>6.1504334386438368E-3</v>
      </c>
    </row>
    <row r="1174" spans="2:8" x14ac:dyDescent="0.2">
      <c r="B1174" s="5">
        <v>44434</v>
      </c>
      <c r="C1174" s="6" t="s">
        <v>17</v>
      </c>
      <c r="D1174" s="7">
        <v>108.05999799999999</v>
      </c>
      <c r="E1174" s="7">
        <v>100.14703799999999</v>
      </c>
      <c r="F1174" s="7">
        <v>108.639999</v>
      </c>
      <c r="G1174" s="7">
        <v>107.980003</v>
      </c>
      <c r="H1174" s="8">
        <f t="shared" si="20"/>
        <v>8.3353708591701111E-4</v>
      </c>
    </row>
    <row r="1175" spans="2:8" x14ac:dyDescent="0.2">
      <c r="B1175" s="5">
        <v>44435</v>
      </c>
      <c r="C1175" s="6" t="s">
        <v>17</v>
      </c>
      <c r="D1175" s="7">
        <v>108.550003</v>
      </c>
      <c r="E1175" s="7">
        <v>100.601161</v>
      </c>
      <c r="F1175" s="7">
        <v>108.91999800000001</v>
      </c>
      <c r="G1175" s="7">
        <v>108.08000199999999</v>
      </c>
      <c r="H1175" s="8">
        <f t="shared" si="20"/>
        <v>4.5345642149651963E-3</v>
      </c>
    </row>
    <row r="1176" spans="2:8" x14ac:dyDescent="0.2">
      <c r="B1176" s="5">
        <v>44436</v>
      </c>
      <c r="C1176" s="6" t="s">
        <v>17</v>
      </c>
      <c r="D1176" s="7">
        <v>108.650002</v>
      </c>
      <c r="E1176" s="7">
        <v>100.693837</v>
      </c>
      <c r="F1176" s="7">
        <v>108.82</v>
      </c>
      <c r="G1176" s="7">
        <v>107.800003</v>
      </c>
      <c r="H1176" s="8">
        <f t="shared" si="20"/>
        <v>9.2122521636408281E-4</v>
      </c>
    </row>
    <row r="1177" spans="2:8" x14ac:dyDescent="0.2">
      <c r="B1177" s="5">
        <v>44437</v>
      </c>
      <c r="C1177" s="6" t="s">
        <v>17</v>
      </c>
      <c r="D1177" s="7">
        <v>109.07</v>
      </c>
      <c r="E1177" s="7">
        <v>101.08308</v>
      </c>
      <c r="F1177" s="7">
        <v>109.099998</v>
      </c>
      <c r="G1177" s="7">
        <v>108.25</v>
      </c>
      <c r="H1177" s="8">
        <f t="shared" si="20"/>
        <v>3.8656050830076609E-3</v>
      </c>
    </row>
    <row r="1178" spans="2:8" x14ac:dyDescent="0.2">
      <c r="B1178" s="5">
        <v>44441</v>
      </c>
      <c r="C1178" s="6" t="s">
        <v>17</v>
      </c>
      <c r="D1178" s="7">
        <v>108.91999800000001</v>
      </c>
      <c r="E1178" s="7">
        <v>100.944063</v>
      </c>
      <c r="F1178" s="7">
        <v>109.730003</v>
      </c>
      <c r="G1178" s="7">
        <v>108.83000199999999</v>
      </c>
      <c r="H1178" s="8">
        <f t="shared" si="20"/>
        <v>-1.3752819290362742E-3</v>
      </c>
    </row>
    <row r="1179" spans="2:8" x14ac:dyDescent="0.2">
      <c r="B1179" s="5">
        <v>44442</v>
      </c>
      <c r="C1179" s="6" t="s">
        <v>17</v>
      </c>
      <c r="D1179" s="7">
        <v>108.459999</v>
      </c>
      <c r="E1179" s="7">
        <v>100.517748</v>
      </c>
      <c r="F1179" s="7">
        <v>109.660004</v>
      </c>
      <c r="G1179" s="7">
        <v>108.050003</v>
      </c>
      <c r="H1179" s="8">
        <f t="shared" si="20"/>
        <v>-4.2232740400895939E-3</v>
      </c>
    </row>
    <row r="1180" spans="2:8" x14ac:dyDescent="0.2">
      <c r="B1180" s="5">
        <v>44443</v>
      </c>
      <c r="C1180" s="6" t="s">
        <v>17</v>
      </c>
      <c r="D1180" s="7">
        <v>108.82</v>
      </c>
      <c r="E1180" s="7">
        <v>100.851387</v>
      </c>
      <c r="F1180" s="7">
        <v>109.489998</v>
      </c>
      <c r="G1180" s="7">
        <v>108.160004</v>
      </c>
      <c r="H1180" s="8">
        <f t="shared" si="20"/>
        <v>3.3192052675567233E-3</v>
      </c>
    </row>
    <row r="1181" spans="2:8" x14ac:dyDescent="0.2">
      <c r="B1181" s="5">
        <v>44444</v>
      </c>
      <c r="C1181" s="6" t="s">
        <v>17</v>
      </c>
      <c r="D1181" s="7">
        <v>108.540001</v>
      </c>
      <c r="E1181" s="7">
        <v>100.591892</v>
      </c>
      <c r="F1181" s="7">
        <v>109.18</v>
      </c>
      <c r="G1181" s="7">
        <v>108.19000200000001</v>
      </c>
      <c r="H1181" s="8">
        <f t="shared" si="20"/>
        <v>-2.5730472339642479E-3</v>
      </c>
    </row>
    <row r="1182" spans="2:8" x14ac:dyDescent="0.2">
      <c r="B1182" s="5">
        <v>44447</v>
      </c>
      <c r="C1182" s="6" t="s">
        <v>17</v>
      </c>
      <c r="D1182" s="7">
        <v>107.910004</v>
      </c>
      <c r="E1182" s="7">
        <v>100.008028</v>
      </c>
      <c r="F1182" s="7">
        <v>108.459999</v>
      </c>
      <c r="G1182" s="7">
        <v>107.519997</v>
      </c>
      <c r="H1182" s="8">
        <f t="shared" si="20"/>
        <v>-5.8042840814051862E-3</v>
      </c>
    </row>
    <row r="1183" spans="2:8" x14ac:dyDescent="0.2">
      <c r="B1183" s="5">
        <v>44448</v>
      </c>
      <c r="C1183" s="6" t="s">
        <v>17</v>
      </c>
      <c r="D1183" s="7">
        <v>107.400002</v>
      </c>
      <c r="E1183" s="7">
        <v>99.535371999999995</v>
      </c>
      <c r="F1183" s="7">
        <v>108.199997</v>
      </c>
      <c r="G1183" s="7">
        <v>107.19000200000001</v>
      </c>
      <c r="H1183" s="8">
        <f t="shared" si="20"/>
        <v>-4.7261790482372706E-3</v>
      </c>
    </row>
    <row r="1184" spans="2:8" x14ac:dyDescent="0.2">
      <c r="B1184" s="5">
        <v>44449</v>
      </c>
      <c r="C1184" s="6" t="s">
        <v>17</v>
      </c>
      <c r="D1184" s="7">
        <v>105.93</v>
      </c>
      <c r="E1184" s="7">
        <v>98.173015000000007</v>
      </c>
      <c r="F1184" s="7">
        <v>106.120003</v>
      </c>
      <c r="G1184" s="7">
        <v>105.379997</v>
      </c>
      <c r="H1184" s="8">
        <f t="shared" si="20"/>
        <v>-1.368716920508059E-2</v>
      </c>
    </row>
    <row r="1185" spans="2:8" x14ac:dyDescent="0.2">
      <c r="B1185" s="5">
        <v>44450</v>
      </c>
      <c r="C1185" s="6" t="s">
        <v>17</v>
      </c>
      <c r="D1185" s="7">
        <v>105.589996</v>
      </c>
      <c r="E1185" s="7">
        <v>97.857909000000006</v>
      </c>
      <c r="F1185" s="7">
        <v>105.660004</v>
      </c>
      <c r="G1185" s="7">
        <v>104.589996</v>
      </c>
      <c r="H1185" s="8">
        <f t="shared" si="20"/>
        <v>-3.2097045218541253E-3</v>
      </c>
    </row>
    <row r="1186" spans="2:8" x14ac:dyDescent="0.2">
      <c r="B1186" s="5">
        <v>44451</v>
      </c>
      <c r="C1186" s="6" t="s">
        <v>17</v>
      </c>
      <c r="D1186" s="7">
        <v>105.019997</v>
      </c>
      <c r="E1186" s="7">
        <v>97.329648000000006</v>
      </c>
      <c r="F1186" s="7">
        <v>105.089996</v>
      </c>
      <c r="G1186" s="7">
        <v>104.400002</v>
      </c>
      <c r="H1186" s="8">
        <f t="shared" si="20"/>
        <v>-5.3982292034559379E-3</v>
      </c>
    </row>
    <row r="1187" spans="2:8" x14ac:dyDescent="0.2">
      <c r="B1187" s="5">
        <v>44454</v>
      </c>
      <c r="C1187" s="6" t="s">
        <v>17</v>
      </c>
      <c r="D1187" s="7">
        <v>104.860001</v>
      </c>
      <c r="E1187" s="7">
        <v>97.181369000000004</v>
      </c>
      <c r="F1187" s="7">
        <v>104.900002</v>
      </c>
      <c r="G1187" s="7">
        <v>103.220001</v>
      </c>
      <c r="H1187" s="8">
        <f t="shared" si="20"/>
        <v>-1.5234812851880645E-3</v>
      </c>
    </row>
    <row r="1188" spans="2:8" x14ac:dyDescent="0.2">
      <c r="B1188" s="5">
        <v>44455</v>
      </c>
      <c r="C1188" s="6" t="s">
        <v>17</v>
      </c>
      <c r="D1188" s="7">
        <v>104.860001</v>
      </c>
      <c r="E1188" s="7">
        <v>97.181369000000004</v>
      </c>
      <c r="F1188" s="7">
        <v>105.83000199999999</v>
      </c>
      <c r="G1188" s="7">
        <v>103.769997</v>
      </c>
      <c r="H1188" s="8">
        <f t="shared" si="20"/>
        <v>0</v>
      </c>
    </row>
    <row r="1189" spans="2:8" x14ac:dyDescent="0.2">
      <c r="B1189" s="5">
        <v>44456</v>
      </c>
      <c r="C1189" s="6" t="s">
        <v>17</v>
      </c>
      <c r="D1189" s="7">
        <v>103.989998</v>
      </c>
      <c r="E1189" s="7">
        <v>96.375073999999998</v>
      </c>
      <c r="F1189" s="7">
        <v>105.410004</v>
      </c>
      <c r="G1189" s="7">
        <v>103.879997</v>
      </c>
      <c r="H1189" s="8">
        <f t="shared" si="20"/>
        <v>-8.2968051850390214E-3</v>
      </c>
    </row>
    <row r="1190" spans="2:8" x14ac:dyDescent="0.2">
      <c r="B1190" s="5">
        <v>44457</v>
      </c>
      <c r="C1190" s="6" t="s">
        <v>17</v>
      </c>
      <c r="D1190" s="7">
        <v>104.339996</v>
      </c>
      <c r="E1190" s="7">
        <v>96.699443000000002</v>
      </c>
      <c r="F1190" s="7">
        <v>104.550003</v>
      </c>
      <c r="G1190" s="7">
        <v>103.400002</v>
      </c>
      <c r="H1190" s="8">
        <f t="shared" si="20"/>
        <v>3.3656890732895232E-3</v>
      </c>
    </row>
    <row r="1191" spans="2:8" x14ac:dyDescent="0.2">
      <c r="B1191" s="5">
        <v>44458</v>
      </c>
      <c r="C1191" s="6" t="s">
        <v>17</v>
      </c>
      <c r="D1191" s="7">
        <v>102.510002</v>
      </c>
      <c r="E1191" s="7">
        <v>95.003455000000002</v>
      </c>
      <c r="F1191" s="7">
        <v>105</v>
      </c>
      <c r="G1191" s="7">
        <v>102.08000199999999</v>
      </c>
      <c r="H1191" s="8">
        <f t="shared" si="20"/>
        <v>-1.7538758579212513E-2</v>
      </c>
    </row>
    <row r="1192" spans="2:8" x14ac:dyDescent="0.2">
      <c r="B1192" s="5">
        <v>44461</v>
      </c>
      <c r="C1192" s="6" t="s">
        <v>17</v>
      </c>
      <c r="D1192" s="7">
        <v>100.900002</v>
      </c>
      <c r="E1192" s="7">
        <v>93.511349999999993</v>
      </c>
      <c r="F1192" s="7">
        <v>102.260002</v>
      </c>
      <c r="G1192" s="7">
        <v>100.82</v>
      </c>
      <c r="H1192" s="8">
        <f t="shared" si="20"/>
        <v>-1.5705784495058338E-2</v>
      </c>
    </row>
    <row r="1193" spans="2:8" x14ac:dyDescent="0.2">
      <c r="B1193" s="5">
        <v>44462</v>
      </c>
      <c r="C1193" s="6" t="s">
        <v>17</v>
      </c>
      <c r="D1193" s="7">
        <v>99.989998</v>
      </c>
      <c r="E1193" s="7">
        <v>92.667984000000004</v>
      </c>
      <c r="F1193" s="7">
        <v>101.089996</v>
      </c>
      <c r="G1193" s="7">
        <v>99.879997000000003</v>
      </c>
      <c r="H1193" s="8">
        <f t="shared" si="20"/>
        <v>-9.0188699897151715E-3</v>
      </c>
    </row>
    <row r="1194" spans="2:8" x14ac:dyDescent="0.2">
      <c r="B1194" s="5">
        <v>44463</v>
      </c>
      <c r="C1194" s="6" t="s">
        <v>17</v>
      </c>
      <c r="D1194" s="7">
        <v>101.199997</v>
      </c>
      <c r="E1194" s="7">
        <v>93.789377999999999</v>
      </c>
      <c r="F1194" s="7">
        <v>101.489998</v>
      </c>
      <c r="G1194" s="7">
        <v>99.889999000000003</v>
      </c>
      <c r="H1194" s="8">
        <f t="shared" si="20"/>
        <v>1.2101200362060176E-2</v>
      </c>
    </row>
    <row r="1195" spans="2:8" x14ac:dyDescent="0.2">
      <c r="B1195" s="5">
        <v>44464</v>
      </c>
      <c r="C1195" s="6" t="s">
        <v>17</v>
      </c>
      <c r="D1195" s="7">
        <v>99.510002</v>
      </c>
      <c r="E1195" s="7">
        <v>92.223136999999994</v>
      </c>
      <c r="F1195" s="7">
        <v>101.199997</v>
      </c>
      <c r="G1195" s="7">
        <v>99.190002000000007</v>
      </c>
      <c r="H1195" s="8">
        <f t="shared" si="20"/>
        <v>-1.6699555831014463E-2</v>
      </c>
    </row>
    <row r="1196" spans="2:8" x14ac:dyDescent="0.2">
      <c r="B1196" s="5">
        <v>44465</v>
      </c>
      <c r="C1196" s="6" t="s">
        <v>17</v>
      </c>
      <c r="D1196" s="7">
        <v>100.379997</v>
      </c>
      <c r="E1196" s="7">
        <v>93.029425000000003</v>
      </c>
      <c r="F1196" s="7">
        <v>100.639999</v>
      </c>
      <c r="G1196" s="7">
        <v>99.239998</v>
      </c>
      <c r="H1196" s="8">
        <f t="shared" si="20"/>
        <v>8.7427894936631893E-3</v>
      </c>
    </row>
    <row r="1197" spans="2:8" x14ac:dyDescent="0.2">
      <c r="B1197" s="5">
        <v>44468</v>
      </c>
      <c r="C1197" s="6" t="s">
        <v>17</v>
      </c>
      <c r="D1197" s="7">
        <v>99.830001999999993</v>
      </c>
      <c r="E1197" s="7">
        <v>92.519704000000004</v>
      </c>
      <c r="F1197" s="7">
        <v>100.099998</v>
      </c>
      <c r="G1197" s="7">
        <v>98.260002</v>
      </c>
      <c r="H1197" s="8">
        <f t="shared" si="20"/>
        <v>-5.4791294723789416E-3</v>
      </c>
    </row>
    <row r="1198" spans="2:8" x14ac:dyDescent="0.2">
      <c r="B1198" s="5">
        <v>44469</v>
      </c>
      <c r="C1198" s="6" t="s">
        <v>17</v>
      </c>
      <c r="D1198" s="7">
        <v>99.029999000000004</v>
      </c>
      <c r="E1198" s="7">
        <v>91.778283000000002</v>
      </c>
      <c r="F1198" s="7">
        <v>100.099998</v>
      </c>
      <c r="G1198" s="7">
        <v>98.800003000000004</v>
      </c>
      <c r="H1198" s="8">
        <f t="shared" si="20"/>
        <v>-8.013653049911685E-3</v>
      </c>
    </row>
    <row r="1199" spans="2:8" x14ac:dyDescent="0.2">
      <c r="B1199" s="5">
        <v>44470</v>
      </c>
      <c r="C1199" s="6" t="s">
        <v>17</v>
      </c>
      <c r="D1199" s="7">
        <v>97.610000999999997</v>
      </c>
      <c r="E1199" s="7">
        <v>90.462267999999995</v>
      </c>
      <c r="F1199" s="7">
        <v>99</v>
      </c>
      <c r="G1199" s="7">
        <v>97.269997000000004</v>
      </c>
      <c r="H1199" s="8">
        <f t="shared" si="20"/>
        <v>-1.4339069113794565E-2</v>
      </c>
    </row>
    <row r="1200" spans="2:8" x14ac:dyDescent="0.2">
      <c r="B1200" s="5">
        <v>44471</v>
      </c>
      <c r="C1200" s="6" t="s">
        <v>17</v>
      </c>
      <c r="D1200" s="7">
        <v>97.410004000000001</v>
      </c>
      <c r="E1200" s="7">
        <v>90.276916</v>
      </c>
      <c r="F1200" s="7">
        <v>97.980002999999996</v>
      </c>
      <c r="G1200" s="7">
        <v>96.150002000000001</v>
      </c>
      <c r="H1200" s="8">
        <f t="shared" si="20"/>
        <v>-2.0489396368308225E-3</v>
      </c>
    </row>
    <row r="1201" spans="2:8" x14ac:dyDescent="0.2">
      <c r="B1201" s="5">
        <v>44472</v>
      </c>
      <c r="C1201" s="6" t="s">
        <v>17</v>
      </c>
      <c r="D1201" s="7">
        <v>97.389999000000003</v>
      </c>
      <c r="E1201" s="7">
        <v>90.258376999999996</v>
      </c>
      <c r="F1201" s="7">
        <v>98.339995999999999</v>
      </c>
      <c r="G1201" s="7">
        <v>97.029999000000004</v>
      </c>
      <c r="H1201" s="8">
        <f t="shared" si="20"/>
        <v>-2.0536905018500573E-4</v>
      </c>
    </row>
    <row r="1202" spans="2:8" x14ac:dyDescent="0.2">
      <c r="B1202" s="5">
        <v>44475</v>
      </c>
      <c r="C1202" s="6" t="s">
        <v>17</v>
      </c>
      <c r="D1202" s="7">
        <v>98</v>
      </c>
      <c r="E1202" s="7">
        <v>90.823707999999996</v>
      </c>
      <c r="F1202" s="7">
        <v>98.129997000000003</v>
      </c>
      <c r="G1202" s="7">
        <v>96.910004000000001</v>
      </c>
      <c r="H1202" s="8">
        <f t="shared" si="20"/>
        <v>6.263487075300174E-3</v>
      </c>
    </row>
    <row r="1203" spans="2:8" x14ac:dyDescent="0.2">
      <c r="B1203" s="5">
        <v>44476</v>
      </c>
      <c r="C1203" s="6" t="s">
        <v>17</v>
      </c>
      <c r="D1203" s="7">
        <v>94.699996999999996</v>
      </c>
      <c r="E1203" s="7">
        <v>87.765355999999997</v>
      </c>
      <c r="F1203" s="7">
        <v>97.510002</v>
      </c>
      <c r="G1203" s="7">
        <v>94.690002000000007</v>
      </c>
      <c r="H1203" s="8">
        <f t="shared" si="20"/>
        <v>-3.3673500000000037E-2</v>
      </c>
    </row>
    <row r="1204" spans="2:8" x14ac:dyDescent="0.2">
      <c r="B1204" s="5">
        <v>44477</v>
      </c>
      <c r="C1204" s="6" t="s">
        <v>17</v>
      </c>
      <c r="D1204" s="7">
        <v>96.650002000000001</v>
      </c>
      <c r="E1204" s="7">
        <v>89.572567000000006</v>
      </c>
      <c r="F1204" s="7">
        <v>96.860000999999997</v>
      </c>
      <c r="G1204" s="7">
        <v>93.639999000000003</v>
      </c>
      <c r="H1204" s="8">
        <f t="shared" si="20"/>
        <v>2.0591394527710541E-2</v>
      </c>
    </row>
    <row r="1205" spans="2:8" x14ac:dyDescent="0.2">
      <c r="B1205" s="5">
        <v>44478</v>
      </c>
      <c r="C1205" s="6" t="s">
        <v>17</v>
      </c>
      <c r="D1205" s="7">
        <v>93.5</v>
      </c>
      <c r="E1205" s="7">
        <v>86.653232000000003</v>
      </c>
      <c r="F1205" s="7">
        <v>96.519997000000004</v>
      </c>
      <c r="G1205" s="7">
        <v>93.239998</v>
      </c>
      <c r="H1205" s="8">
        <f t="shared" si="20"/>
        <v>-3.2591846195719691E-2</v>
      </c>
    </row>
    <row r="1206" spans="2:8" x14ac:dyDescent="0.2">
      <c r="B1206" s="5">
        <v>44479</v>
      </c>
      <c r="C1206" s="6" t="s">
        <v>17</v>
      </c>
      <c r="D1206" s="7">
        <v>93.129997000000003</v>
      </c>
      <c r="E1206" s="7">
        <v>86.310323999999994</v>
      </c>
      <c r="F1206" s="7">
        <v>94.57</v>
      </c>
      <c r="G1206" s="7">
        <v>91.610000999999997</v>
      </c>
      <c r="H1206" s="8">
        <f t="shared" si="20"/>
        <v>-3.9572513368983635E-3</v>
      </c>
    </row>
    <row r="1207" spans="2:8" x14ac:dyDescent="0.2">
      <c r="B1207" s="5">
        <v>44482</v>
      </c>
      <c r="C1207" s="6" t="s">
        <v>17</v>
      </c>
      <c r="D1207" s="7">
        <v>91.68</v>
      </c>
      <c r="E1207" s="7">
        <v>84.966505999999995</v>
      </c>
      <c r="F1207" s="7">
        <v>94.059997999999993</v>
      </c>
      <c r="G1207" s="7">
        <v>91.620002999999997</v>
      </c>
      <c r="H1207" s="8">
        <f t="shared" si="20"/>
        <v>-1.5569602133671239E-2</v>
      </c>
    </row>
    <row r="1208" spans="2:8" x14ac:dyDescent="0.2">
      <c r="B1208" s="5">
        <v>44483</v>
      </c>
      <c r="C1208" s="6" t="s">
        <v>17</v>
      </c>
      <c r="D1208" s="7">
        <v>92.800003000000004</v>
      </c>
      <c r="E1208" s="7">
        <v>86.004493999999994</v>
      </c>
      <c r="F1208" s="7">
        <v>95.010002</v>
      </c>
      <c r="G1208" s="7">
        <v>92.389999000000003</v>
      </c>
      <c r="H1208" s="8">
        <f t="shared" si="20"/>
        <v>1.2216437609075009E-2</v>
      </c>
    </row>
    <row r="1209" spans="2:8" x14ac:dyDescent="0.2">
      <c r="B1209" s="5">
        <v>44484</v>
      </c>
      <c r="C1209" s="6" t="s">
        <v>17</v>
      </c>
      <c r="D1209" s="7">
        <v>92.589995999999999</v>
      </c>
      <c r="E1209" s="7">
        <v>85.809866</v>
      </c>
      <c r="F1209" s="7">
        <v>92.75</v>
      </c>
      <c r="G1209" s="7">
        <v>90.050003000000004</v>
      </c>
      <c r="H1209" s="8">
        <f t="shared" si="20"/>
        <v>-2.2630063923597555E-3</v>
      </c>
    </row>
    <row r="1210" spans="2:8" x14ac:dyDescent="0.2">
      <c r="B1210" s="5">
        <v>44485</v>
      </c>
      <c r="C1210" s="6" t="s">
        <v>17</v>
      </c>
      <c r="D1210" s="7">
        <v>93.239998</v>
      </c>
      <c r="E1210" s="7">
        <v>87.070543000000001</v>
      </c>
      <c r="F1210" s="7">
        <v>94.150002000000001</v>
      </c>
      <c r="G1210" s="7">
        <v>90.269997000000004</v>
      </c>
      <c r="H1210" s="8">
        <f t="shared" si="20"/>
        <v>7.020218469390588E-3</v>
      </c>
    </row>
    <row r="1211" spans="2:8" x14ac:dyDescent="0.2">
      <c r="B1211" s="5">
        <v>44486</v>
      </c>
      <c r="C1211" s="6" t="s">
        <v>17</v>
      </c>
      <c r="D1211" s="7">
        <v>95.050003000000004</v>
      </c>
      <c r="E1211" s="7">
        <v>88.760784000000001</v>
      </c>
      <c r="F1211" s="7">
        <v>95.599997999999999</v>
      </c>
      <c r="G1211" s="7">
        <v>93.980002999999996</v>
      </c>
      <c r="H1211" s="8">
        <f t="shared" si="20"/>
        <v>1.9412323453717833E-2</v>
      </c>
    </row>
    <row r="1212" spans="2:8" x14ac:dyDescent="0.2">
      <c r="B1212" s="5">
        <v>44489</v>
      </c>
      <c r="C1212" s="6" t="s">
        <v>17</v>
      </c>
      <c r="D1212" s="7">
        <v>94.029999000000004</v>
      </c>
      <c r="E1212" s="7">
        <v>87.808271000000005</v>
      </c>
      <c r="F1212" s="7">
        <v>95.300003000000004</v>
      </c>
      <c r="G1212" s="7">
        <v>93.269997000000004</v>
      </c>
      <c r="H1212" s="8">
        <f t="shared" si="20"/>
        <v>-1.0731235852775302E-2</v>
      </c>
    </row>
    <row r="1213" spans="2:8" x14ac:dyDescent="0.2">
      <c r="B1213" s="5">
        <v>44490</v>
      </c>
      <c r="C1213" s="6" t="s">
        <v>17</v>
      </c>
      <c r="D1213" s="7">
        <v>95.889999000000003</v>
      </c>
      <c r="E1213" s="7">
        <v>89.545199999999994</v>
      </c>
      <c r="F1213" s="7">
        <v>96.32</v>
      </c>
      <c r="G1213" s="7">
        <v>95.040001000000004</v>
      </c>
      <c r="H1213" s="8">
        <f t="shared" si="20"/>
        <v>1.9780921193033294E-2</v>
      </c>
    </row>
    <row r="1214" spans="2:8" x14ac:dyDescent="0.2">
      <c r="B1214" s="5">
        <v>44491</v>
      </c>
      <c r="C1214" s="6" t="s">
        <v>17</v>
      </c>
      <c r="D1214" s="7">
        <v>94.57</v>
      </c>
      <c r="E1214" s="7">
        <v>88.312541999999993</v>
      </c>
      <c r="F1214" s="7">
        <v>95.980002999999996</v>
      </c>
      <c r="G1214" s="7">
        <v>94.050003000000004</v>
      </c>
      <c r="H1214" s="8">
        <f t="shared" si="20"/>
        <v>-1.3765762996827332E-2</v>
      </c>
    </row>
    <row r="1215" spans="2:8" x14ac:dyDescent="0.2">
      <c r="B1215" s="5">
        <v>44492</v>
      </c>
      <c r="C1215" s="6" t="s">
        <v>17</v>
      </c>
      <c r="D1215" s="7">
        <v>99.269997000000004</v>
      </c>
      <c r="E1215" s="7">
        <v>92.701552000000007</v>
      </c>
      <c r="F1215" s="7">
        <v>99.940002000000007</v>
      </c>
      <c r="G1215" s="7">
        <v>97.339995999999999</v>
      </c>
      <c r="H1215" s="8">
        <f t="shared" si="20"/>
        <v>4.9698604208522901E-2</v>
      </c>
    </row>
    <row r="1216" spans="2:8" x14ac:dyDescent="0.2">
      <c r="B1216" s="5">
        <v>44493</v>
      </c>
      <c r="C1216" s="6" t="s">
        <v>17</v>
      </c>
      <c r="D1216" s="7">
        <v>99.440002000000007</v>
      </c>
      <c r="E1216" s="7">
        <v>92.860309000000001</v>
      </c>
      <c r="F1216" s="7">
        <v>99.68</v>
      </c>
      <c r="G1216" s="7">
        <v>98.370002999999997</v>
      </c>
      <c r="H1216" s="8">
        <f t="shared" si="20"/>
        <v>1.7125516786305865E-3</v>
      </c>
    </row>
    <row r="1217" spans="2:8" x14ac:dyDescent="0.2">
      <c r="B1217" s="5">
        <v>44496</v>
      </c>
      <c r="C1217" s="6" t="s">
        <v>17</v>
      </c>
      <c r="D1217" s="7">
        <v>98.540001000000004</v>
      </c>
      <c r="E1217" s="7">
        <v>92.019857999999999</v>
      </c>
      <c r="F1217" s="7">
        <v>98.769997000000004</v>
      </c>
      <c r="G1217" s="7">
        <v>97.150002000000001</v>
      </c>
      <c r="H1217" s="8">
        <f t="shared" si="20"/>
        <v>-9.0506937037270283E-3</v>
      </c>
    </row>
    <row r="1218" spans="2:8" x14ac:dyDescent="0.2">
      <c r="B1218" s="5">
        <v>44497</v>
      </c>
      <c r="C1218" s="6" t="s">
        <v>17</v>
      </c>
      <c r="D1218" s="7">
        <v>101.160004</v>
      </c>
      <c r="E1218" s="7">
        <v>94.466502000000006</v>
      </c>
      <c r="F1218" s="7">
        <v>101.160004</v>
      </c>
      <c r="G1218" s="7">
        <v>99.029999000000004</v>
      </c>
      <c r="H1218" s="8">
        <f t="shared" si="20"/>
        <v>2.6588217712723555E-2</v>
      </c>
    </row>
    <row r="1219" spans="2:8" x14ac:dyDescent="0.2">
      <c r="B1219" s="5">
        <v>44498</v>
      </c>
      <c r="C1219" s="6" t="s">
        <v>17</v>
      </c>
      <c r="D1219" s="7">
        <v>100.19000200000001</v>
      </c>
      <c r="E1219" s="7">
        <v>93.560682999999997</v>
      </c>
      <c r="F1219" s="7">
        <v>101.839996</v>
      </c>
      <c r="G1219" s="7">
        <v>99.839995999999999</v>
      </c>
      <c r="H1219" s="8">
        <f t="shared" si="20"/>
        <v>-9.5887896564337202E-3</v>
      </c>
    </row>
    <row r="1220" spans="2:8" x14ac:dyDescent="0.2">
      <c r="B1220" s="5">
        <v>44499</v>
      </c>
      <c r="C1220" s="6" t="s">
        <v>17</v>
      </c>
      <c r="D1220" s="7">
        <v>100.160004</v>
      </c>
      <c r="E1220" s="7">
        <v>93.532668999999999</v>
      </c>
      <c r="F1220" s="7">
        <v>100.58000199999999</v>
      </c>
      <c r="G1220" s="7">
        <v>99.059997999999993</v>
      </c>
      <c r="H1220" s="8">
        <f t="shared" ref="H1220:H1283" si="21">(D1220-D1219)/D1219</f>
        <v>-2.9941111289733463E-4</v>
      </c>
    </row>
    <row r="1221" spans="2:8" x14ac:dyDescent="0.2">
      <c r="B1221" s="5">
        <v>44500</v>
      </c>
      <c r="C1221" s="6" t="s">
        <v>17</v>
      </c>
      <c r="D1221" s="7">
        <v>101.410004</v>
      </c>
      <c r="E1221" s="7">
        <v>94.699960000000004</v>
      </c>
      <c r="F1221" s="7">
        <v>102.370003</v>
      </c>
      <c r="G1221" s="7">
        <v>100.839996</v>
      </c>
      <c r="H1221" s="8">
        <f t="shared" si="21"/>
        <v>1.2480031450477977E-2</v>
      </c>
    </row>
    <row r="1222" spans="2:8" x14ac:dyDescent="0.2">
      <c r="B1222" s="5">
        <v>44503</v>
      </c>
      <c r="C1222" s="6" t="s">
        <v>17</v>
      </c>
      <c r="D1222" s="7">
        <v>100.220001</v>
      </c>
      <c r="E1222" s="7">
        <v>93.588696999999996</v>
      </c>
      <c r="F1222" s="7">
        <v>101.760002</v>
      </c>
      <c r="G1222" s="7">
        <v>99.769997000000004</v>
      </c>
      <c r="H1222" s="8">
        <f t="shared" si="21"/>
        <v>-1.1734572064507605E-2</v>
      </c>
    </row>
    <row r="1223" spans="2:8" x14ac:dyDescent="0.2">
      <c r="B1223" s="5">
        <v>44504</v>
      </c>
      <c r="C1223" s="6" t="s">
        <v>17</v>
      </c>
      <c r="D1223" s="7">
        <v>98.610000999999997</v>
      </c>
      <c r="E1223" s="7">
        <v>92.085226000000006</v>
      </c>
      <c r="F1223" s="7">
        <v>100</v>
      </c>
      <c r="G1223" s="7">
        <v>98.040001000000004</v>
      </c>
      <c r="H1223" s="8">
        <f t="shared" si="21"/>
        <v>-1.6064657592649589E-2</v>
      </c>
    </row>
    <row r="1224" spans="2:8" x14ac:dyDescent="0.2">
      <c r="B1224" s="5">
        <v>44505</v>
      </c>
      <c r="C1224" s="6" t="s">
        <v>17</v>
      </c>
      <c r="D1224" s="7">
        <v>99.410004000000001</v>
      </c>
      <c r="E1224" s="7">
        <v>92.832295000000002</v>
      </c>
      <c r="F1224" s="7">
        <v>99.639999000000003</v>
      </c>
      <c r="G1224" s="7">
        <v>98.449996999999996</v>
      </c>
      <c r="H1224" s="8">
        <f t="shared" si="21"/>
        <v>8.1127978084089437E-3</v>
      </c>
    </row>
    <row r="1225" spans="2:8" x14ac:dyDescent="0.2">
      <c r="B1225" s="5">
        <v>44506</v>
      </c>
      <c r="C1225" s="6" t="s">
        <v>17</v>
      </c>
      <c r="D1225" s="7">
        <v>100.910004</v>
      </c>
      <c r="E1225" s="7">
        <v>94.233044000000007</v>
      </c>
      <c r="F1225" s="7">
        <v>100.989998</v>
      </c>
      <c r="G1225" s="7">
        <v>99.239998</v>
      </c>
      <c r="H1225" s="8">
        <f t="shared" si="21"/>
        <v>1.5089024641825786E-2</v>
      </c>
    </row>
    <row r="1226" spans="2:8" x14ac:dyDescent="0.2">
      <c r="B1226" s="5">
        <v>44507</v>
      </c>
      <c r="C1226" s="6" t="s">
        <v>17</v>
      </c>
      <c r="D1226" s="7">
        <v>101.760002</v>
      </c>
      <c r="E1226" s="7">
        <v>95.026799999999994</v>
      </c>
      <c r="F1226" s="7">
        <v>101.83000199999999</v>
      </c>
      <c r="G1226" s="7">
        <v>100.900002</v>
      </c>
      <c r="H1226" s="8">
        <f t="shared" si="21"/>
        <v>8.4233273838736477E-3</v>
      </c>
    </row>
    <row r="1227" spans="2:8" x14ac:dyDescent="0.2">
      <c r="B1227" s="5">
        <v>44510</v>
      </c>
      <c r="C1227" s="6" t="s">
        <v>17</v>
      </c>
      <c r="D1227" s="7">
        <v>102.209999</v>
      </c>
      <c r="E1227" s="7">
        <v>95.447022000000004</v>
      </c>
      <c r="F1227" s="7">
        <v>102.550003</v>
      </c>
      <c r="G1227" s="7">
        <v>101.860001</v>
      </c>
      <c r="H1227" s="8">
        <f t="shared" si="21"/>
        <v>4.422140243275508E-3</v>
      </c>
    </row>
    <row r="1228" spans="2:8" x14ac:dyDescent="0.2">
      <c r="B1228" s="5">
        <v>44511</v>
      </c>
      <c r="C1228" s="6" t="s">
        <v>17</v>
      </c>
      <c r="D1228" s="7">
        <v>102.529999</v>
      </c>
      <c r="E1228" s="7">
        <v>95.745847999999995</v>
      </c>
      <c r="F1228" s="7">
        <v>102.800003</v>
      </c>
      <c r="G1228" s="7">
        <v>101.599998</v>
      </c>
      <c r="H1228" s="8">
        <f t="shared" si="21"/>
        <v>3.1308091491127734E-3</v>
      </c>
    </row>
    <row r="1229" spans="2:8" x14ac:dyDescent="0.2">
      <c r="B1229" s="5">
        <v>44512</v>
      </c>
      <c r="C1229" s="6" t="s">
        <v>17</v>
      </c>
      <c r="D1229" s="7">
        <v>102.989998</v>
      </c>
      <c r="E1229" s="7">
        <v>96.175409999999999</v>
      </c>
      <c r="F1229" s="7">
        <v>103.220001</v>
      </c>
      <c r="G1229" s="7">
        <v>101.519997</v>
      </c>
      <c r="H1229" s="8">
        <f t="shared" si="21"/>
        <v>4.4864820490244641E-3</v>
      </c>
    </row>
    <row r="1230" spans="2:8" x14ac:dyDescent="0.2">
      <c r="B1230" s="5">
        <v>44513</v>
      </c>
      <c r="C1230" s="6" t="s">
        <v>17</v>
      </c>
      <c r="D1230" s="7">
        <v>101.110001</v>
      </c>
      <c r="E1230" s="7">
        <v>94.419807000000006</v>
      </c>
      <c r="F1230" s="7">
        <v>103.18</v>
      </c>
      <c r="G1230" s="7">
        <v>100.68</v>
      </c>
      <c r="H1230" s="8">
        <f t="shared" si="21"/>
        <v>-1.8254170662281233E-2</v>
      </c>
    </row>
    <row r="1231" spans="2:8" x14ac:dyDescent="0.2">
      <c r="B1231" s="5">
        <v>44514</v>
      </c>
      <c r="C1231" s="6" t="s">
        <v>17</v>
      </c>
      <c r="D1231" s="7">
        <v>101.339996</v>
      </c>
      <c r="E1231" s="7">
        <v>94.634585000000001</v>
      </c>
      <c r="F1231" s="7">
        <v>101.699997</v>
      </c>
      <c r="G1231" s="7">
        <v>100.650002</v>
      </c>
      <c r="H1231" s="8">
        <f t="shared" si="21"/>
        <v>2.2747007983908774E-3</v>
      </c>
    </row>
    <row r="1232" spans="2:8" x14ac:dyDescent="0.2">
      <c r="B1232" s="5">
        <v>44517</v>
      </c>
      <c r="C1232" s="6" t="s">
        <v>17</v>
      </c>
      <c r="D1232" s="7">
        <v>101.699997</v>
      </c>
      <c r="E1232" s="7">
        <v>94.970765</v>
      </c>
      <c r="F1232" s="7">
        <v>102.08000199999999</v>
      </c>
      <c r="G1232" s="7">
        <v>100.449997</v>
      </c>
      <c r="H1232" s="8">
        <f t="shared" si="21"/>
        <v>3.5524078765505076E-3</v>
      </c>
    </row>
    <row r="1233" spans="2:8" x14ac:dyDescent="0.2">
      <c r="B1233" s="5">
        <v>44518</v>
      </c>
      <c r="C1233" s="6" t="s">
        <v>17</v>
      </c>
      <c r="D1233" s="7">
        <v>102.040001</v>
      </c>
      <c r="E1233" s="7">
        <v>95.288272000000006</v>
      </c>
      <c r="F1233" s="7">
        <v>102.449997</v>
      </c>
      <c r="G1233" s="7">
        <v>101.30999799999999</v>
      </c>
      <c r="H1233" s="8">
        <f t="shared" si="21"/>
        <v>3.3432056050110557E-3</v>
      </c>
    </row>
    <row r="1234" spans="2:8" x14ac:dyDescent="0.2">
      <c r="B1234" s="5">
        <v>44519</v>
      </c>
      <c r="C1234" s="6" t="s">
        <v>17</v>
      </c>
      <c r="D1234" s="7">
        <v>101.300003</v>
      </c>
      <c r="E1234" s="7">
        <v>94.597238000000004</v>
      </c>
      <c r="F1234" s="7">
        <v>102.300003</v>
      </c>
      <c r="G1234" s="7">
        <v>100.889999</v>
      </c>
      <c r="H1234" s="8">
        <f t="shared" si="21"/>
        <v>-7.2520383452367851E-3</v>
      </c>
    </row>
    <row r="1235" spans="2:8" x14ac:dyDescent="0.2">
      <c r="B1235" s="5">
        <v>44520</v>
      </c>
      <c r="C1235" s="6" t="s">
        <v>17</v>
      </c>
      <c r="D1235" s="7">
        <v>102.089996</v>
      </c>
      <c r="E1235" s="7">
        <v>95.334958999999998</v>
      </c>
      <c r="F1235" s="7">
        <v>102.139999</v>
      </c>
      <c r="G1235" s="7">
        <v>100.07</v>
      </c>
      <c r="H1235" s="8">
        <f t="shared" si="21"/>
        <v>7.7985486338040429E-3</v>
      </c>
    </row>
    <row r="1236" spans="2:8" x14ac:dyDescent="0.2">
      <c r="B1236" s="5">
        <v>44521</v>
      </c>
      <c r="C1236" s="6" t="s">
        <v>17</v>
      </c>
      <c r="D1236" s="7">
        <v>106.449997</v>
      </c>
      <c r="E1236" s="7">
        <v>99.406469999999999</v>
      </c>
      <c r="F1236" s="7">
        <v>107.120003</v>
      </c>
      <c r="G1236" s="7">
        <v>104.199997</v>
      </c>
      <c r="H1236" s="8">
        <f t="shared" si="21"/>
        <v>4.2707426494560712E-2</v>
      </c>
    </row>
    <row r="1237" spans="2:8" x14ac:dyDescent="0.2">
      <c r="B1237" s="5">
        <v>44524</v>
      </c>
      <c r="C1237" s="6" t="s">
        <v>17</v>
      </c>
      <c r="D1237" s="7">
        <v>105.959999</v>
      </c>
      <c r="E1237" s="7">
        <v>98.948893999999996</v>
      </c>
      <c r="F1237" s="7">
        <v>106.470001</v>
      </c>
      <c r="G1237" s="7">
        <v>105.099998</v>
      </c>
      <c r="H1237" s="8">
        <f t="shared" si="21"/>
        <v>-4.6030813885321199E-3</v>
      </c>
    </row>
    <row r="1238" spans="2:8" x14ac:dyDescent="0.2">
      <c r="B1238" s="5">
        <v>44525</v>
      </c>
      <c r="C1238" s="6" t="s">
        <v>17</v>
      </c>
      <c r="D1238" s="7">
        <v>106.239998</v>
      </c>
      <c r="E1238" s="7">
        <v>99.210365999999993</v>
      </c>
      <c r="F1238" s="7">
        <v>106.629997</v>
      </c>
      <c r="G1238" s="7">
        <v>105.33000199999999</v>
      </c>
      <c r="H1238" s="8">
        <f t="shared" si="21"/>
        <v>2.6424971936815861E-3</v>
      </c>
    </row>
    <row r="1239" spans="2:8" x14ac:dyDescent="0.2">
      <c r="B1239" s="5">
        <v>44526</v>
      </c>
      <c r="C1239" s="6" t="s">
        <v>17</v>
      </c>
      <c r="D1239" s="7">
        <v>105.790001</v>
      </c>
      <c r="E1239" s="7">
        <v>98.790143999999998</v>
      </c>
      <c r="F1239" s="7">
        <v>106.44000200000001</v>
      </c>
      <c r="G1239" s="7">
        <v>105.449997</v>
      </c>
      <c r="H1239" s="8">
        <f t="shared" si="21"/>
        <v>-4.2356646128701566E-3</v>
      </c>
    </row>
    <row r="1240" spans="2:8" x14ac:dyDescent="0.2">
      <c r="B1240" s="5">
        <v>44528</v>
      </c>
      <c r="C1240" s="6" t="s">
        <v>17</v>
      </c>
      <c r="D1240" s="7">
        <v>100.599998</v>
      </c>
      <c r="E1240" s="7">
        <v>93.943550999999999</v>
      </c>
      <c r="F1240" s="7">
        <v>104.610001</v>
      </c>
      <c r="G1240" s="7">
        <v>100.120003</v>
      </c>
      <c r="H1240" s="8">
        <f t="shared" si="21"/>
        <v>-4.9059485309958586E-2</v>
      </c>
    </row>
    <row r="1241" spans="2:8" x14ac:dyDescent="0.2">
      <c r="B1241" s="5">
        <v>44531</v>
      </c>
      <c r="C1241" s="6" t="s">
        <v>17</v>
      </c>
      <c r="D1241" s="7">
        <v>99</v>
      </c>
      <c r="E1241" s="7">
        <v>92.449420000000003</v>
      </c>
      <c r="F1241" s="7">
        <v>100.470001</v>
      </c>
      <c r="G1241" s="7">
        <v>97.790001000000004</v>
      </c>
      <c r="H1241" s="8">
        <f t="shared" si="21"/>
        <v>-1.5904553000090509E-2</v>
      </c>
    </row>
    <row r="1242" spans="2:8" x14ac:dyDescent="0.2">
      <c r="B1242" s="5">
        <v>44532</v>
      </c>
      <c r="C1242" s="6" t="s">
        <v>17</v>
      </c>
      <c r="D1242" s="7">
        <v>99.510002</v>
      </c>
      <c r="E1242" s="7">
        <v>92.925676999999993</v>
      </c>
      <c r="F1242" s="7">
        <v>99.959998999999996</v>
      </c>
      <c r="G1242" s="7">
        <v>98.720000999999996</v>
      </c>
      <c r="H1242" s="8">
        <f t="shared" si="21"/>
        <v>5.1515353535353543E-3</v>
      </c>
    </row>
    <row r="1243" spans="2:8" x14ac:dyDescent="0.2">
      <c r="B1243" s="5">
        <v>44533</v>
      </c>
      <c r="C1243" s="6" t="s">
        <v>17</v>
      </c>
      <c r="D1243" s="7">
        <v>100.18</v>
      </c>
      <c r="E1243" s="7">
        <v>93.551343000000003</v>
      </c>
      <c r="F1243" s="7">
        <v>101.459999</v>
      </c>
      <c r="G1243" s="7">
        <v>99.959998999999996</v>
      </c>
      <c r="H1243" s="8">
        <f t="shared" si="21"/>
        <v>6.7329714253247302E-3</v>
      </c>
    </row>
    <row r="1244" spans="2:8" x14ac:dyDescent="0.2">
      <c r="B1244" s="5">
        <v>44534</v>
      </c>
      <c r="C1244" s="6" t="s">
        <v>17</v>
      </c>
      <c r="D1244" s="7">
        <v>99.669998000000007</v>
      </c>
      <c r="E1244" s="7">
        <v>93.075085999999999</v>
      </c>
      <c r="F1244" s="7">
        <v>100.870003</v>
      </c>
      <c r="G1244" s="7">
        <v>99.510002</v>
      </c>
      <c r="H1244" s="8">
        <f t="shared" si="21"/>
        <v>-5.0908564583749252E-3</v>
      </c>
    </row>
    <row r="1245" spans="2:8" x14ac:dyDescent="0.2">
      <c r="B1245" s="5">
        <v>44535</v>
      </c>
      <c r="C1245" s="6" t="s">
        <v>17</v>
      </c>
      <c r="D1245" s="7">
        <v>98.779999000000004</v>
      </c>
      <c r="E1245" s="7">
        <v>92.243976000000004</v>
      </c>
      <c r="F1245" s="7">
        <v>99.959998999999996</v>
      </c>
      <c r="G1245" s="7">
        <v>98.709998999999996</v>
      </c>
      <c r="H1245" s="8">
        <f t="shared" si="21"/>
        <v>-8.9294573879694777E-3</v>
      </c>
    </row>
    <row r="1246" spans="2:8" x14ac:dyDescent="0.2">
      <c r="B1246" s="5">
        <v>44538</v>
      </c>
      <c r="C1246" s="6" t="s">
        <v>17</v>
      </c>
      <c r="D1246" s="7">
        <v>95.25</v>
      </c>
      <c r="E1246" s="7">
        <v>88.947547999999998</v>
      </c>
      <c r="F1246" s="7">
        <v>98.760002</v>
      </c>
      <c r="G1246" s="7">
        <v>95.199996999999996</v>
      </c>
      <c r="H1246" s="8">
        <f t="shared" si="21"/>
        <v>-3.5735969181372472E-2</v>
      </c>
    </row>
    <row r="1247" spans="2:8" x14ac:dyDescent="0.2">
      <c r="B1247" s="5">
        <v>44539</v>
      </c>
      <c r="C1247" s="6" t="s">
        <v>17</v>
      </c>
      <c r="D1247" s="7">
        <v>95.449996999999996</v>
      </c>
      <c r="E1247" s="7">
        <v>89.134311999999994</v>
      </c>
      <c r="F1247" s="7">
        <v>96.169998000000007</v>
      </c>
      <c r="G1247" s="7">
        <v>93.800003000000004</v>
      </c>
      <c r="H1247" s="8">
        <f t="shared" si="21"/>
        <v>2.099706036745367E-3</v>
      </c>
    </row>
    <row r="1248" spans="2:8" x14ac:dyDescent="0.2">
      <c r="B1248" s="5">
        <v>44540</v>
      </c>
      <c r="C1248" s="6" t="s">
        <v>17</v>
      </c>
      <c r="D1248" s="7">
        <v>93.019997000000004</v>
      </c>
      <c r="E1248" s="7">
        <v>86.865098000000003</v>
      </c>
      <c r="F1248" s="7">
        <v>95.019997000000004</v>
      </c>
      <c r="G1248" s="7">
        <v>92.75</v>
      </c>
      <c r="H1248" s="8">
        <f t="shared" si="21"/>
        <v>-2.5458355959927299E-2</v>
      </c>
    </row>
    <row r="1249" spans="2:8" x14ac:dyDescent="0.2">
      <c r="B1249" s="5">
        <v>44541</v>
      </c>
      <c r="C1249" s="6" t="s">
        <v>17</v>
      </c>
      <c r="D1249" s="7">
        <v>92.690002000000007</v>
      </c>
      <c r="E1249" s="7">
        <v>86.556939</v>
      </c>
      <c r="F1249" s="7">
        <v>94.290001000000004</v>
      </c>
      <c r="G1249" s="7">
        <v>92.529999000000004</v>
      </c>
      <c r="H1249" s="8">
        <f t="shared" si="21"/>
        <v>-3.5475705293776423E-3</v>
      </c>
    </row>
    <row r="1250" spans="2:8" x14ac:dyDescent="0.2">
      <c r="B1250" s="5">
        <v>44542</v>
      </c>
      <c r="C1250" s="6" t="s">
        <v>17</v>
      </c>
      <c r="D1250" s="7">
        <v>90.5</v>
      </c>
      <c r="E1250" s="7">
        <v>84.511843999999996</v>
      </c>
      <c r="F1250" s="7">
        <v>92</v>
      </c>
      <c r="G1250" s="7">
        <v>89.959998999999996</v>
      </c>
      <c r="H1250" s="8">
        <f t="shared" si="21"/>
        <v>-2.3627165311745347E-2</v>
      </c>
    </row>
    <row r="1251" spans="2:8" x14ac:dyDescent="0.2">
      <c r="B1251" s="5">
        <v>44545</v>
      </c>
      <c r="C1251" s="6" t="s">
        <v>17</v>
      </c>
      <c r="D1251" s="7">
        <v>89.75</v>
      </c>
      <c r="E1251" s="7">
        <v>83.811469000000002</v>
      </c>
      <c r="F1251" s="7">
        <v>91.290001000000004</v>
      </c>
      <c r="G1251" s="7">
        <v>89.389999000000003</v>
      </c>
      <c r="H1251" s="8">
        <f t="shared" si="21"/>
        <v>-8.2872928176795577E-3</v>
      </c>
    </row>
    <row r="1252" spans="2:8" x14ac:dyDescent="0.2">
      <c r="B1252" s="5">
        <v>44546</v>
      </c>
      <c r="C1252" s="6" t="s">
        <v>17</v>
      </c>
      <c r="D1252" s="7">
        <v>89.339995999999999</v>
      </c>
      <c r="E1252" s="7">
        <v>83.428594000000004</v>
      </c>
      <c r="F1252" s="7">
        <v>92.25</v>
      </c>
      <c r="G1252" s="7">
        <v>89.150002000000001</v>
      </c>
      <c r="H1252" s="8">
        <f t="shared" si="21"/>
        <v>-4.5682896935933222E-3</v>
      </c>
    </row>
    <row r="1253" spans="2:8" x14ac:dyDescent="0.2">
      <c r="B1253" s="5">
        <v>44547</v>
      </c>
      <c r="C1253" s="6" t="s">
        <v>17</v>
      </c>
      <c r="D1253" s="7">
        <v>89.75</v>
      </c>
      <c r="E1253" s="7">
        <v>83.811469000000002</v>
      </c>
      <c r="F1253" s="7">
        <v>90.139999000000003</v>
      </c>
      <c r="G1253" s="7">
        <v>88.029999000000004</v>
      </c>
      <c r="H1253" s="8">
        <f t="shared" si="21"/>
        <v>4.5892547387174796E-3</v>
      </c>
    </row>
    <row r="1254" spans="2:8" x14ac:dyDescent="0.2">
      <c r="B1254" s="5">
        <v>44548</v>
      </c>
      <c r="C1254" s="6" t="s">
        <v>17</v>
      </c>
      <c r="D1254" s="7">
        <v>91.690002000000007</v>
      </c>
      <c r="E1254" s="7">
        <v>85.623107000000005</v>
      </c>
      <c r="F1254" s="7">
        <v>91.889999000000003</v>
      </c>
      <c r="G1254" s="7">
        <v>90.550003000000004</v>
      </c>
      <c r="H1254" s="8">
        <f t="shared" si="21"/>
        <v>2.1615621169916513E-2</v>
      </c>
    </row>
    <row r="1255" spans="2:8" x14ac:dyDescent="0.2">
      <c r="B1255" s="5">
        <v>44549</v>
      </c>
      <c r="C1255" s="6" t="s">
        <v>17</v>
      </c>
      <c r="D1255" s="7">
        <v>91.709998999999996</v>
      </c>
      <c r="E1255" s="7">
        <v>85.641779999999997</v>
      </c>
      <c r="F1255" s="7">
        <v>91.980002999999996</v>
      </c>
      <c r="G1255" s="7">
        <v>90.879997000000003</v>
      </c>
      <c r="H1255" s="8">
        <f t="shared" si="21"/>
        <v>2.180935714232985E-4</v>
      </c>
    </row>
    <row r="1256" spans="2:8" x14ac:dyDescent="0.2">
      <c r="B1256" s="5">
        <v>44552</v>
      </c>
      <c r="C1256" s="6" t="s">
        <v>17</v>
      </c>
      <c r="D1256" s="7">
        <v>92.32</v>
      </c>
      <c r="E1256" s="7">
        <v>86.211419000000006</v>
      </c>
      <c r="F1256" s="7">
        <v>92.809997999999993</v>
      </c>
      <c r="G1256" s="7">
        <v>91.849997999999999</v>
      </c>
      <c r="H1256" s="8">
        <f t="shared" si="21"/>
        <v>6.651412132280112E-3</v>
      </c>
    </row>
    <row r="1257" spans="2:8" x14ac:dyDescent="0.2">
      <c r="B1257" s="5">
        <v>44553</v>
      </c>
      <c r="C1257" s="6" t="s">
        <v>17</v>
      </c>
      <c r="D1257" s="7">
        <v>93.5</v>
      </c>
      <c r="E1257" s="7">
        <v>87.313340999999994</v>
      </c>
      <c r="F1257" s="7">
        <v>93.940002000000007</v>
      </c>
      <c r="G1257" s="7">
        <v>92.650002000000001</v>
      </c>
      <c r="H1257" s="8">
        <f t="shared" si="21"/>
        <v>1.2781629116117925E-2</v>
      </c>
    </row>
    <row r="1258" spans="2:8" x14ac:dyDescent="0.2">
      <c r="B1258" s="5">
        <v>44554</v>
      </c>
      <c r="C1258" s="6" t="s">
        <v>17</v>
      </c>
      <c r="D1258" s="7">
        <v>93.720000999999996</v>
      </c>
      <c r="E1258" s="7">
        <v>87.518784999999994</v>
      </c>
      <c r="F1258" s="7">
        <v>93.980002999999996</v>
      </c>
      <c r="G1258" s="7">
        <v>93.269997000000004</v>
      </c>
      <c r="H1258" s="8">
        <f t="shared" si="21"/>
        <v>2.352951871657715E-3</v>
      </c>
    </row>
    <row r="1259" spans="2:8" x14ac:dyDescent="0.2">
      <c r="B1259" s="5">
        <v>44556</v>
      </c>
      <c r="C1259" s="6" t="s">
        <v>17</v>
      </c>
      <c r="D1259" s="7">
        <v>94.230002999999996</v>
      </c>
      <c r="E1259" s="7">
        <v>87.995041999999998</v>
      </c>
      <c r="F1259" s="7">
        <v>94.660004000000001</v>
      </c>
      <c r="G1259" s="7">
        <v>93.720000999999996</v>
      </c>
      <c r="H1259" s="8">
        <f t="shared" si="21"/>
        <v>5.4417626393324526E-3</v>
      </c>
    </row>
    <row r="1260" spans="2:8" x14ac:dyDescent="0.2">
      <c r="B1260" s="5">
        <v>44559</v>
      </c>
      <c r="C1260" s="6" t="s">
        <v>17</v>
      </c>
      <c r="D1260" s="7">
        <v>93.709998999999996</v>
      </c>
      <c r="E1260" s="7">
        <v>87.509444999999999</v>
      </c>
      <c r="F1260" s="7">
        <v>94.279999000000004</v>
      </c>
      <c r="G1260" s="7">
        <v>93.589995999999999</v>
      </c>
      <c r="H1260" s="8">
        <f t="shared" si="21"/>
        <v>-5.5184546688383336E-3</v>
      </c>
    </row>
    <row r="1261" spans="2:8" x14ac:dyDescent="0.2">
      <c r="B1261" s="5">
        <v>44560</v>
      </c>
      <c r="C1261" s="6" t="s">
        <v>17</v>
      </c>
      <c r="D1261" s="7">
        <v>92.589995999999999</v>
      </c>
      <c r="E1261" s="7">
        <v>86.463549999999998</v>
      </c>
      <c r="F1261" s="7">
        <v>93.629997000000003</v>
      </c>
      <c r="G1261" s="7">
        <v>92.510002</v>
      </c>
      <c r="H1261" s="8">
        <f t="shared" si="21"/>
        <v>-1.1951798228063124E-2</v>
      </c>
    </row>
    <row r="1262" spans="2:8" x14ac:dyDescent="0.2">
      <c r="B1262" s="5">
        <v>44561</v>
      </c>
      <c r="C1262" s="6" t="s">
        <v>17</v>
      </c>
      <c r="D1262" s="7">
        <v>91.529999000000004</v>
      </c>
      <c r="E1262" s="7">
        <v>85.473690000000005</v>
      </c>
      <c r="F1262" s="7">
        <v>93.57</v>
      </c>
      <c r="G1262" s="7">
        <v>91.449996999999996</v>
      </c>
      <c r="H1262" s="8">
        <f t="shared" si="21"/>
        <v>-1.1448288646648128E-2</v>
      </c>
    </row>
    <row r="1263" spans="2:8" x14ac:dyDescent="0.2">
      <c r="B1263" s="5">
        <v>44563</v>
      </c>
      <c r="C1263" s="6" t="s">
        <v>17</v>
      </c>
      <c r="D1263" s="7">
        <v>91.879997000000003</v>
      </c>
      <c r="E1263" s="7">
        <v>85.800529999999995</v>
      </c>
      <c r="F1263" s="7">
        <v>92.370002999999997</v>
      </c>
      <c r="G1263" s="7">
        <v>90.660004000000001</v>
      </c>
      <c r="H1263" s="8">
        <f t="shared" si="21"/>
        <v>3.8238610709478904E-3</v>
      </c>
    </row>
    <row r="1264" spans="2:8" x14ac:dyDescent="0.2">
      <c r="B1264" s="5">
        <v>44566</v>
      </c>
      <c r="C1264" s="6" t="s">
        <v>17</v>
      </c>
      <c r="D1264" s="7">
        <v>87.029999000000004</v>
      </c>
      <c r="E1264" s="7">
        <v>81.271444000000002</v>
      </c>
      <c r="F1264" s="7">
        <v>90.419998000000007</v>
      </c>
      <c r="G1264" s="7">
        <v>86.599997999999999</v>
      </c>
      <c r="H1264" s="8">
        <f t="shared" si="21"/>
        <v>-5.2786222881570179E-2</v>
      </c>
    </row>
    <row r="1265" spans="2:8" x14ac:dyDescent="0.2">
      <c r="B1265" s="5">
        <v>44567</v>
      </c>
      <c r="C1265" s="6" t="s">
        <v>17</v>
      </c>
      <c r="D1265" s="7">
        <v>86.470000999999996</v>
      </c>
      <c r="E1265" s="7">
        <v>80.748500000000007</v>
      </c>
      <c r="F1265" s="7">
        <v>87.68</v>
      </c>
      <c r="G1265" s="7">
        <v>85.169998000000007</v>
      </c>
      <c r="H1265" s="8">
        <f t="shared" si="21"/>
        <v>-6.4345398877921085E-3</v>
      </c>
    </row>
    <row r="1266" spans="2:8" x14ac:dyDescent="0.2">
      <c r="B1266" s="5">
        <v>44568</v>
      </c>
      <c r="C1266" s="6" t="s">
        <v>17</v>
      </c>
      <c r="D1266" s="7">
        <v>87.809997999999993</v>
      </c>
      <c r="E1266" s="7">
        <v>81.999831999999998</v>
      </c>
      <c r="F1266" s="7">
        <v>88.139999000000003</v>
      </c>
      <c r="G1266" s="7">
        <v>86.419998000000007</v>
      </c>
      <c r="H1266" s="8">
        <f t="shared" si="21"/>
        <v>1.5496669185883286E-2</v>
      </c>
    </row>
    <row r="1267" spans="2:8" x14ac:dyDescent="0.2">
      <c r="B1267" s="5">
        <v>44569</v>
      </c>
      <c r="C1267" s="6" t="s">
        <v>17</v>
      </c>
      <c r="D1267" s="7">
        <v>88.709998999999996</v>
      </c>
      <c r="E1267" s="7">
        <v>82.840282999999999</v>
      </c>
      <c r="F1267" s="7">
        <v>89.279999000000004</v>
      </c>
      <c r="G1267" s="7">
        <v>87.839995999999999</v>
      </c>
      <c r="H1267" s="8">
        <f t="shared" si="21"/>
        <v>1.0249413739879634E-2</v>
      </c>
    </row>
    <row r="1268" spans="2:8" x14ac:dyDescent="0.2">
      <c r="B1268" s="5">
        <v>44570</v>
      </c>
      <c r="C1268" s="6" t="s">
        <v>17</v>
      </c>
      <c r="D1268" s="7">
        <v>87.650002000000001</v>
      </c>
      <c r="E1268" s="7">
        <v>81.850421999999995</v>
      </c>
      <c r="F1268" s="7">
        <v>88.889999000000003</v>
      </c>
      <c r="G1268" s="7">
        <v>87.019997000000004</v>
      </c>
      <c r="H1268" s="8">
        <f t="shared" si="21"/>
        <v>-1.1949013774647835E-2</v>
      </c>
    </row>
    <row r="1269" spans="2:8" x14ac:dyDescent="0.2">
      <c r="B1269" s="5">
        <v>44573</v>
      </c>
      <c r="C1269" s="6" t="s">
        <v>17</v>
      </c>
      <c r="D1269" s="7">
        <v>86.889999000000003</v>
      </c>
      <c r="E1269" s="7">
        <v>81.140708000000004</v>
      </c>
      <c r="F1269" s="7">
        <v>87.769997000000004</v>
      </c>
      <c r="G1269" s="7">
        <v>86.07</v>
      </c>
      <c r="H1269" s="8">
        <f t="shared" si="21"/>
        <v>-8.6708840006643421E-3</v>
      </c>
    </row>
    <row r="1270" spans="2:8" x14ac:dyDescent="0.2">
      <c r="B1270" s="5">
        <v>44574</v>
      </c>
      <c r="C1270" s="6" t="s">
        <v>17</v>
      </c>
      <c r="D1270" s="7">
        <v>86.370002999999997</v>
      </c>
      <c r="E1270" s="7">
        <v>80.655118000000002</v>
      </c>
      <c r="F1270" s="7">
        <v>87.900002000000001</v>
      </c>
      <c r="G1270" s="7">
        <v>85.199996999999996</v>
      </c>
      <c r="H1270" s="8">
        <f t="shared" si="21"/>
        <v>-5.9845322359827176E-3</v>
      </c>
    </row>
    <row r="1271" spans="2:8" x14ac:dyDescent="0.2">
      <c r="B1271" s="5">
        <v>44575</v>
      </c>
      <c r="C1271" s="6" t="s">
        <v>17</v>
      </c>
      <c r="D1271" s="7">
        <v>86.07</v>
      </c>
      <c r="E1271" s="7">
        <v>80.374965000000003</v>
      </c>
      <c r="F1271" s="7">
        <v>86.220000999999996</v>
      </c>
      <c r="G1271" s="7">
        <v>84.269997000000004</v>
      </c>
      <c r="H1271" s="8">
        <f t="shared" si="21"/>
        <v>-3.4734628873406871E-3</v>
      </c>
    </row>
    <row r="1272" spans="2:8" x14ac:dyDescent="0.2">
      <c r="B1272" s="5">
        <v>44576</v>
      </c>
      <c r="C1272" s="6" t="s">
        <v>17</v>
      </c>
      <c r="D1272" s="7">
        <v>84.32</v>
      </c>
      <c r="E1272" s="7">
        <v>79.386401000000006</v>
      </c>
      <c r="F1272" s="7">
        <v>86.169998000000007</v>
      </c>
      <c r="G1272" s="7">
        <v>84.300003000000004</v>
      </c>
      <c r="H1272" s="8">
        <f t="shared" si="21"/>
        <v>-2.0332287672824446E-2</v>
      </c>
    </row>
    <row r="1273" spans="2:8" x14ac:dyDescent="0.2">
      <c r="B1273" s="5">
        <v>44577</v>
      </c>
      <c r="C1273" s="6" t="s">
        <v>17</v>
      </c>
      <c r="D1273" s="7">
        <v>83.860000999999997</v>
      </c>
      <c r="E1273" s="7">
        <v>78.953316999999998</v>
      </c>
      <c r="F1273" s="7">
        <v>84.32</v>
      </c>
      <c r="G1273" s="7">
        <v>83.050003000000004</v>
      </c>
      <c r="H1273" s="8">
        <f t="shared" si="21"/>
        <v>-5.4553961100568824E-3</v>
      </c>
    </row>
    <row r="1274" spans="2:8" x14ac:dyDescent="0.2">
      <c r="B1274" s="5">
        <v>44581</v>
      </c>
      <c r="C1274" s="6" t="s">
        <v>17</v>
      </c>
      <c r="D1274" s="7">
        <v>83.970000999999996</v>
      </c>
      <c r="E1274" s="7">
        <v>79.056881000000004</v>
      </c>
      <c r="F1274" s="7">
        <v>84.5</v>
      </c>
      <c r="G1274" s="7">
        <v>83.190002000000007</v>
      </c>
      <c r="H1274" s="8">
        <f t="shared" si="21"/>
        <v>1.3117099772035471E-3</v>
      </c>
    </row>
    <row r="1275" spans="2:8" x14ac:dyDescent="0.2">
      <c r="B1275" s="5">
        <v>44582</v>
      </c>
      <c r="C1275" s="6" t="s">
        <v>17</v>
      </c>
      <c r="D1275" s="7">
        <v>85.370002999999997</v>
      </c>
      <c r="E1275" s="7">
        <v>80.374967999999996</v>
      </c>
      <c r="F1275" s="7">
        <v>85.400002000000001</v>
      </c>
      <c r="G1275" s="7">
        <v>83.589995999999999</v>
      </c>
      <c r="H1275" s="8">
        <f t="shared" si="21"/>
        <v>1.667264479370437E-2</v>
      </c>
    </row>
    <row r="1276" spans="2:8" x14ac:dyDescent="0.2">
      <c r="B1276" s="5">
        <v>44583</v>
      </c>
      <c r="C1276" s="6" t="s">
        <v>17</v>
      </c>
      <c r="D1276" s="7">
        <v>86.82</v>
      </c>
      <c r="E1276" s="7">
        <v>81.740125000000006</v>
      </c>
      <c r="F1276" s="7">
        <v>87.360000999999997</v>
      </c>
      <c r="G1276" s="7">
        <v>85.43</v>
      </c>
      <c r="H1276" s="8">
        <f t="shared" si="21"/>
        <v>1.6984853567358973E-2</v>
      </c>
    </row>
    <row r="1277" spans="2:8" x14ac:dyDescent="0.2">
      <c r="B1277" s="5">
        <v>44584</v>
      </c>
      <c r="C1277" s="6" t="s">
        <v>17</v>
      </c>
      <c r="D1277" s="7">
        <v>85.610000999999997</v>
      </c>
      <c r="E1277" s="7">
        <v>80.600922999999995</v>
      </c>
      <c r="F1277" s="7">
        <v>87</v>
      </c>
      <c r="G1277" s="7">
        <v>85.199996999999996</v>
      </c>
      <c r="H1277" s="8">
        <f t="shared" si="21"/>
        <v>-1.3936869384934304E-2</v>
      </c>
    </row>
    <row r="1278" spans="2:8" x14ac:dyDescent="0.2">
      <c r="B1278" s="5">
        <v>44587</v>
      </c>
      <c r="C1278" s="6" t="s">
        <v>17</v>
      </c>
      <c r="D1278" s="7">
        <v>86.029999000000004</v>
      </c>
      <c r="E1278" s="7">
        <v>80.996347</v>
      </c>
      <c r="F1278" s="7">
        <v>86.260002</v>
      </c>
      <c r="G1278" s="7">
        <v>84.900002000000001</v>
      </c>
      <c r="H1278" s="8">
        <f t="shared" si="21"/>
        <v>4.9059455098009724E-3</v>
      </c>
    </row>
    <row r="1279" spans="2:8" x14ac:dyDescent="0.2">
      <c r="B1279" s="5">
        <v>44588</v>
      </c>
      <c r="C1279" s="6" t="s">
        <v>17</v>
      </c>
      <c r="D1279" s="7">
        <v>79.849997999999999</v>
      </c>
      <c r="E1279" s="7">
        <v>75.177941000000004</v>
      </c>
      <c r="F1279" s="7">
        <v>81.349997999999999</v>
      </c>
      <c r="G1279" s="7">
        <v>79.099997999999999</v>
      </c>
      <c r="H1279" s="8">
        <f t="shared" si="21"/>
        <v>-7.1835418712488927E-2</v>
      </c>
    </row>
    <row r="1280" spans="2:8" x14ac:dyDescent="0.2">
      <c r="B1280" s="5">
        <v>44589</v>
      </c>
      <c r="C1280" s="6" t="s">
        <v>17</v>
      </c>
      <c r="D1280" s="7">
        <v>80.010002</v>
      </c>
      <c r="E1280" s="7">
        <v>75.328582999999995</v>
      </c>
      <c r="F1280" s="7">
        <v>81.199996999999996</v>
      </c>
      <c r="G1280" s="7">
        <v>79.959998999999996</v>
      </c>
      <c r="H1280" s="8">
        <f t="shared" si="21"/>
        <v>2.0038071885737645E-3</v>
      </c>
    </row>
    <row r="1281" spans="2:8" x14ac:dyDescent="0.2">
      <c r="B1281" s="5">
        <v>44590</v>
      </c>
      <c r="C1281" s="6" t="s">
        <v>17</v>
      </c>
      <c r="D1281" s="7">
        <v>80</v>
      </c>
      <c r="E1281" s="7">
        <v>75.319165999999996</v>
      </c>
      <c r="F1281" s="7">
        <v>80.180000000000007</v>
      </c>
      <c r="G1281" s="7">
        <v>78.809997999999993</v>
      </c>
      <c r="H1281" s="8">
        <f t="shared" si="21"/>
        <v>-1.2500937070342863E-4</v>
      </c>
    </row>
    <row r="1282" spans="2:8" x14ac:dyDescent="0.2">
      <c r="B1282" s="5">
        <v>44591</v>
      </c>
      <c r="C1282" s="6" t="s">
        <v>17</v>
      </c>
      <c r="D1282" s="7">
        <v>79.970000999999996</v>
      </c>
      <c r="E1282" s="7">
        <v>75.290923000000006</v>
      </c>
      <c r="F1282" s="7">
        <v>80.819999999999993</v>
      </c>
      <c r="G1282" s="7">
        <v>79.419998000000007</v>
      </c>
      <c r="H1282" s="8">
        <f t="shared" si="21"/>
        <v>-3.7498750000004578E-4</v>
      </c>
    </row>
    <row r="1283" spans="2:8" x14ac:dyDescent="0.2">
      <c r="B1283" s="5">
        <v>44594</v>
      </c>
      <c r="C1283" s="6" t="s">
        <v>17</v>
      </c>
      <c r="D1283" s="7">
        <v>80.839995999999999</v>
      </c>
      <c r="E1283" s="7">
        <v>76.110014000000007</v>
      </c>
      <c r="F1283" s="7">
        <v>80.879997000000003</v>
      </c>
      <c r="G1283" s="7">
        <v>79.489998</v>
      </c>
      <c r="H1283" s="8">
        <f t="shared" si="21"/>
        <v>1.0879016995385595E-2</v>
      </c>
    </row>
    <row r="1284" spans="2:8" x14ac:dyDescent="0.2">
      <c r="B1284" s="5">
        <v>44595</v>
      </c>
      <c r="C1284" s="6" t="s">
        <v>17</v>
      </c>
      <c r="D1284" s="7">
        <v>83.919998000000007</v>
      </c>
      <c r="E1284" s="7">
        <v>79.009804000000003</v>
      </c>
      <c r="F1284" s="7">
        <v>84.110000999999997</v>
      </c>
      <c r="G1284" s="7">
        <v>81.150002000000001</v>
      </c>
      <c r="H1284" s="8">
        <f t="shared" ref="H1284:H1347" si="22">(D1284-D1283)/D1283</f>
        <v>3.8099977144976697E-2</v>
      </c>
    </row>
    <row r="1285" spans="2:8" x14ac:dyDescent="0.2">
      <c r="B1285" s="5">
        <v>44596</v>
      </c>
      <c r="C1285" s="6" t="s">
        <v>17</v>
      </c>
      <c r="D1285" s="7">
        <v>81.949996999999996</v>
      </c>
      <c r="E1285" s="7">
        <v>77.155068</v>
      </c>
      <c r="F1285" s="7">
        <v>83.32</v>
      </c>
      <c r="G1285" s="7">
        <v>81.660004000000001</v>
      </c>
      <c r="H1285" s="8">
        <f t="shared" si="22"/>
        <v>-2.3474750321133355E-2</v>
      </c>
    </row>
    <row r="1286" spans="2:8" x14ac:dyDescent="0.2">
      <c r="B1286" s="5">
        <v>44597</v>
      </c>
      <c r="C1286" s="6" t="s">
        <v>17</v>
      </c>
      <c r="D1286" s="7">
        <v>83.57</v>
      </c>
      <c r="E1286" s="7">
        <v>78.680284</v>
      </c>
      <c r="F1286" s="7">
        <v>83.629997000000003</v>
      </c>
      <c r="G1286" s="7">
        <v>81.870002999999997</v>
      </c>
      <c r="H1286" s="8">
        <f t="shared" si="22"/>
        <v>1.9768188643130725E-2</v>
      </c>
    </row>
    <row r="1287" spans="2:8" x14ac:dyDescent="0.2">
      <c r="B1287" s="5">
        <v>44598</v>
      </c>
      <c r="C1287" s="6" t="s">
        <v>17</v>
      </c>
      <c r="D1287" s="7">
        <v>83.209998999999996</v>
      </c>
      <c r="E1287" s="7">
        <v>78.341346999999999</v>
      </c>
      <c r="F1287" s="7">
        <v>84.139999000000003</v>
      </c>
      <c r="G1287" s="7">
        <v>82.800003000000004</v>
      </c>
      <c r="H1287" s="8">
        <f t="shared" si="22"/>
        <v>-4.3077779107334804E-3</v>
      </c>
    </row>
    <row r="1288" spans="2:8" x14ac:dyDescent="0.2">
      <c r="B1288" s="5">
        <v>44601</v>
      </c>
      <c r="C1288" s="6" t="s">
        <v>17</v>
      </c>
      <c r="D1288" s="7">
        <v>84.669998000000007</v>
      </c>
      <c r="E1288" s="7">
        <v>79.715920999999994</v>
      </c>
      <c r="F1288" s="7">
        <v>84.870002999999997</v>
      </c>
      <c r="G1288" s="7">
        <v>82.949996999999996</v>
      </c>
      <c r="H1288" s="8">
        <f t="shared" si="22"/>
        <v>1.7545956225765734E-2</v>
      </c>
    </row>
    <row r="1289" spans="2:8" x14ac:dyDescent="0.2">
      <c r="B1289" s="5">
        <v>44602</v>
      </c>
      <c r="C1289" s="6" t="s">
        <v>17</v>
      </c>
      <c r="D1289" s="7">
        <v>83.900002000000001</v>
      </c>
      <c r="E1289" s="7">
        <v>78.990977000000001</v>
      </c>
      <c r="F1289" s="7">
        <v>85</v>
      </c>
      <c r="G1289" s="7">
        <v>83.459998999999996</v>
      </c>
      <c r="H1289" s="8">
        <f t="shared" si="22"/>
        <v>-9.0940831249341249E-3</v>
      </c>
    </row>
    <row r="1290" spans="2:8" x14ac:dyDescent="0.2">
      <c r="B1290" s="5">
        <v>44603</v>
      </c>
      <c r="C1290" s="6" t="s">
        <v>17</v>
      </c>
      <c r="D1290" s="7">
        <v>83.410004000000001</v>
      </c>
      <c r="E1290" s="7">
        <v>78.529649000000006</v>
      </c>
      <c r="F1290" s="7">
        <v>83.669998000000007</v>
      </c>
      <c r="G1290" s="7">
        <v>82.239998</v>
      </c>
      <c r="H1290" s="8">
        <f t="shared" si="22"/>
        <v>-5.8402620777053132E-3</v>
      </c>
    </row>
    <row r="1291" spans="2:8" x14ac:dyDescent="0.2">
      <c r="B1291" s="5">
        <v>44604</v>
      </c>
      <c r="C1291" s="6" t="s">
        <v>17</v>
      </c>
      <c r="D1291" s="7">
        <v>83.529999000000004</v>
      </c>
      <c r="E1291" s="7">
        <v>78.642623</v>
      </c>
      <c r="F1291" s="7">
        <v>84.25</v>
      </c>
      <c r="G1291" s="7">
        <v>83.309997999999993</v>
      </c>
      <c r="H1291" s="8">
        <f t="shared" si="22"/>
        <v>1.4386164038549015E-3</v>
      </c>
    </row>
    <row r="1292" spans="2:8" x14ac:dyDescent="0.2">
      <c r="B1292" s="5">
        <v>44605</v>
      </c>
      <c r="C1292" s="6" t="s">
        <v>17</v>
      </c>
      <c r="D1292" s="7">
        <v>85.129997000000003</v>
      </c>
      <c r="E1292" s="7">
        <v>80.149005000000002</v>
      </c>
      <c r="F1292" s="7">
        <v>85.489998</v>
      </c>
      <c r="G1292" s="7">
        <v>84.029999000000004</v>
      </c>
      <c r="H1292" s="8">
        <f t="shared" si="22"/>
        <v>1.9154770970367177E-2</v>
      </c>
    </row>
    <row r="1293" spans="2:8" x14ac:dyDescent="0.2">
      <c r="B1293" s="5">
        <v>44609</v>
      </c>
      <c r="C1293" s="6" t="s">
        <v>17</v>
      </c>
      <c r="D1293" s="7">
        <v>85.379997000000003</v>
      </c>
      <c r="E1293" s="7">
        <v>80.384377999999998</v>
      </c>
      <c r="F1293" s="7">
        <v>85.580001999999993</v>
      </c>
      <c r="G1293" s="7">
        <v>84.199996999999996</v>
      </c>
      <c r="H1293" s="8">
        <f t="shared" si="22"/>
        <v>2.9366851733825384E-3</v>
      </c>
    </row>
    <row r="1294" spans="2:8" x14ac:dyDescent="0.2">
      <c r="B1294" s="5">
        <v>44610</v>
      </c>
      <c r="C1294" s="6" t="s">
        <v>17</v>
      </c>
      <c r="D1294" s="7">
        <v>84.800003000000004</v>
      </c>
      <c r="E1294" s="7">
        <v>79.838318999999998</v>
      </c>
      <c r="F1294" s="7">
        <v>85.809997999999993</v>
      </c>
      <c r="G1294" s="7">
        <v>84.580001999999993</v>
      </c>
      <c r="H1294" s="8">
        <f t="shared" si="22"/>
        <v>-6.7930899552502821E-3</v>
      </c>
    </row>
    <row r="1295" spans="2:8" x14ac:dyDescent="0.2">
      <c r="B1295" s="5">
        <v>44611</v>
      </c>
      <c r="C1295" s="6" t="s">
        <v>17</v>
      </c>
      <c r="D1295" s="7">
        <v>83.300003000000004</v>
      </c>
      <c r="E1295" s="7">
        <v>78.426085</v>
      </c>
      <c r="F1295" s="7">
        <v>84</v>
      </c>
      <c r="G1295" s="7">
        <v>82.209998999999996</v>
      </c>
      <c r="H1295" s="8">
        <f t="shared" si="22"/>
        <v>-1.7688678619504294E-2</v>
      </c>
    </row>
    <row r="1296" spans="2:8" x14ac:dyDescent="0.2">
      <c r="B1296" s="5">
        <v>44612</v>
      </c>
      <c r="C1296" s="6" t="s">
        <v>17</v>
      </c>
      <c r="D1296" s="7">
        <v>84.440002000000007</v>
      </c>
      <c r="E1296" s="7">
        <v>79.499381999999997</v>
      </c>
      <c r="F1296" s="7">
        <v>84.620002999999997</v>
      </c>
      <c r="G1296" s="7">
        <v>82.400002000000001</v>
      </c>
      <c r="H1296" s="8">
        <f t="shared" si="22"/>
        <v>1.3685461692000215E-2</v>
      </c>
    </row>
    <row r="1297" spans="2:8" x14ac:dyDescent="0.2">
      <c r="B1297" s="5">
        <v>44615</v>
      </c>
      <c r="C1297" s="6" t="s">
        <v>17</v>
      </c>
      <c r="D1297" s="7">
        <v>83.489998</v>
      </c>
      <c r="E1297" s="7">
        <v>78.604962999999998</v>
      </c>
      <c r="F1297" s="7">
        <v>83.980002999999996</v>
      </c>
      <c r="G1297" s="7">
        <v>83.139999000000003</v>
      </c>
      <c r="H1297" s="8">
        <f t="shared" si="22"/>
        <v>-1.125063924086604E-2</v>
      </c>
    </row>
    <row r="1298" spans="2:8" x14ac:dyDescent="0.2">
      <c r="B1298" s="5">
        <v>44616</v>
      </c>
      <c r="C1298" s="6" t="s">
        <v>17</v>
      </c>
      <c r="D1298" s="7">
        <v>84.5</v>
      </c>
      <c r="E1298" s="7">
        <v>79.555869000000001</v>
      </c>
      <c r="F1298" s="7">
        <v>84.690002000000007</v>
      </c>
      <c r="G1298" s="7">
        <v>83.599997999999999</v>
      </c>
      <c r="H1298" s="8">
        <f t="shared" si="22"/>
        <v>1.209728140130031E-2</v>
      </c>
    </row>
    <row r="1299" spans="2:8" x14ac:dyDescent="0.2">
      <c r="B1299" s="5">
        <v>44617</v>
      </c>
      <c r="C1299" s="6" t="s">
        <v>17</v>
      </c>
      <c r="D1299" s="7">
        <v>85.150002000000001</v>
      </c>
      <c r="E1299" s="7">
        <v>80.167839000000001</v>
      </c>
      <c r="F1299" s="7">
        <v>85.360000999999997</v>
      </c>
      <c r="G1299" s="7">
        <v>84.169998000000007</v>
      </c>
      <c r="H1299" s="8">
        <f t="shared" si="22"/>
        <v>7.6923313609467527E-3</v>
      </c>
    </row>
    <row r="1300" spans="2:8" x14ac:dyDescent="0.2">
      <c r="B1300" s="5">
        <v>44618</v>
      </c>
      <c r="C1300" s="6" t="s">
        <v>17</v>
      </c>
      <c r="D1300" s="7">
        <v>83.800003000000004</v>
      </c>
      <c r="E1300" s="7">
        <v>78.896828999999997</v>
      </c>
      <c r="F1300" s="7">
        <v>85.099997999999999</v>
      </c>
      <c r="G1300" s="7">
        <v>83.559997999999993</v>
      </c>
      <c r="H1300" s="8">
        <f t="shared" si="22"/>
        <v>-1.5854362516632671E-2</v>
      </c>
    </row>
    <row r="1301" spans="2:8" x14ac:dyDescent="0.2">
      <c r="B1301" s="5">
        <v>44619</v>
      </c>
      <c r="C1301" s="6" t="s">
        <v>17</v>
      </c>
      <c r="D1301" s="7">
        <v>82.900002000000001</v>
      </c>
      <c r="E1301" s="7">
        <v>78.049486999999999</v>
      </c>
      <c r="F1301" s="7">
        <v>84.18</v>
      </c>
      <c r="G1301" s="7">
        <v>82.889999000000003</v>
      </c>
      <c r="H1301" s="8">
        <f t="shared" si="22"/>
        <v>-1.0739868350601409E-2</v>
      </c>
    </row>
    <row r="1302" spans="2:8" x14ac:dyDescent="0.2">
      <c r="B1302" s="5">
        <v>44622</v>
      </c>
      <c r="C1302" s="6" t="s">
        <v>17</v>
      </c>
      <c r="D1302" s="7">
        <v>83</v>
      </c>
      <c r="E1302" s="7">
        <v>78.143635000000003</v>
      </c>
      <c r="F1302" s="7">
        <v>83.07</v>
      </c>
      <c r="G1302" s="7">
        <v>82.239998</v>
      </c>
      <c r="H1302" s="8">
        <f t="shared" si="22"/>
        <v>1.2062484630579306E-3</v>
      </c>
    </row>
    <row r="1303" spans="2:8" x14ac:dyDescent="0.2">
      <c r="B1303" s="5">
        <v>44623</v>
      </c>
      <c r="C1303" s="6" t="s">
        <v>17</v>
      </c>
      <c r="D1303" s="7">
        <v>82.839995999999999</v>
      </c>
      <c r="E1303" s="7">
        <v>77.992992999999998</v>
      </c>
      <c r="F1303" s="7">
        <v>83.790001000000004</v>
      </c>
      <c r="G1303" s="7">
        <v>82.650002000000001</v>
      </c>
      <c r="H1303" s="8">
        <f t="shared" si="22"/>
        <v>-1.9277590361445867E-3</v>
      </c>
    </row>
    <row r="1304" spans="2:8" x14ac:dyDescent="0.2">
      <c r="B1304" s="5">
        <v>44624</v>
      </c>
      <c r="C1304" s="6" t="s">
        <v>17</v>
      </c>
      <c r="D1304" s="7">
        <v>81.730002999999996</v>
      </c>
      <c r="E1304" s="7">
        <v>76.947946000000002</v>
      </c>
      <c r="F1304" s="7">
        <v>82.610000999999997</v>
      </c>
      <c r="G1304" s="7">
        <v>80.830001999999993</v>
      </c>
      <c r="H1304" s="8">
        <f t="shared" si="22"/>
        <v>-1.3399240144820902E-2</v>
      </c>
    </row>
    <row r="1305" spans="2:8" x14ac:dyDescent="0.2">
      <c r="B1305" s="5">
        <v>44625</v>
      </c>
      <c r="C1305" s="6" t="s">
        <v>17</v>
      </c>
      <c r="D1305" s="7">
        <v>81.510002</v>
      </c>
      <c r="E1305" s="7">
        <v>76.740817000000007</v>
      </c>
      <c r="F1305" s="7">
        <v>81.730002999999996</v>
      </c>
      <c r="G1305" s="7">
        <v>80.059997999999993</v>
      </c>
      <c r="H1305" s="8">
        <f t="shared" si="22"/>
        <v>-2.6918021769801763E-3</v>
      </c>
    </row>
    <row r="1306" spans="2:8" x14ac:dyDescent="0.2">
      <c r="B1306" s="5">
        <v>44626</v>
      </c>
      <c r="C1306" s="6" t="s">
        <v>17</v>
      </c>
      <c r="D1306" s="7">
        <v>80.059997999999993</v>
      </c>
      <c r="E1306" s="7">
        <v>75.375653</v>
      </c>
      <c r="F1306" s="7">
        <v>81.209998999999996</v>
      </c>
      <c r="G1306" s="7">
        <v>79.550003000000004</v>
      </c>
      <c r="H1306" s="8">
        <f t="shared" si="22"/>
        <v>-1.7789276952784358E-2</v>
      </c>
    </row>
    <row r="1307" spans="2:8" x14ac:dyDescent="0.2">
      <c r="B1307" s="5">
        <v>44629</v>
      </c>
      <c r="C1307" s="6" t="s">
        <v>17</v>
      </c>
      <c r="D1307" s="7">
        <v>80.809997999999993</v>
      </c>
      <c r="E1307" s="7">
        <v>76.081770000000006</v>
      </c>
      <c r="F1307" s="7">
        <v>81.339995999999999</v>
      </c>
      <c r="G1307" s="7">
        <v>80.099997999999999</v>
      </c>
      <c r="H1307" s="8">
        <f t="shared" si="22"/>
        <v>9.3679742535092252E-3</v>
      </c>
    </row>
    <row r="1308" spans="2:8" x14ac:dyDescent="0.2">
      <c r="B1308" s="5">
        <v>44630</v>
      </c>
      <c r="C1308" s="6" t="s">
        <v>17</v>
      </c>
      <c r="D1308" s="7">
        <v>79.910004000000001</v>
      </c>
      <c r="E1308" s="7">
        <v>75.234436000000002</v>
      </c>
      <c r="F1308" s="7">
        <v>80.760002</v>
      </c>
      <c r="G1308" s="7">
        <v>79.739998</v>
      </c>
      <c r="H1308" s="8">
        <f t="shared" si="22"/>
        <v>-1.1137161518058601E-2</v>
      </c>
    </row>
    <row r="1309" spans="2:8" x14ac:dyDescent="0.2">
      <c r="B1309" s="5">
        <v>44631</v>
      </c>
      <c r="C1309" s="6" t="s">
        <v>17</v>
      </c>
      <c r="D1309" s="7">
        <v>79.699996999999996</v>
      </c>
      <c r="E1309" s="7">
        <v>75.036715999999998</v>
      </c>
      <c r="F1309" s="7">
        <v>80.150002000000001</v>
      </c>
      <c r="G1309" s="7">
        <v>79.260002</v>
      </c>
      <c r="H1309" s="8">
        <f t="shared" si="22"/>
        <v>-2.6280439180056164E-3</v>
      </c>
    </row>
    <row r="1310" spans="2:8" x14ac:dyDescent="0.2">
      <c r="B1310" s="5">
        <v>44632</v>
      </c>
      <c r="C1310" s="6" t="s">
        <v>17</v>
      </c>
      <c r="D1310" s="7">
        <v>80.190002000000007</v>
      </c>
      <c r="E1310" s="7">
        <v>75.498052000000001</v>
      </c>
      <c r="F1310" s="7">
        <v>80.480002999999996</v>
      </c>
      <c r="G1310" s="7">
        <v>79.800003000000004</v>
      </c>
      <c r="H1310" s="8">
        <f t="shared" si="22"/>
        <v>6.148118173705963E-3</v>
      </c>
    </row>
    <row r="1311" spans="2:8" x14ac:dyDescent="0.2">
      <c r="B1311" s="5">
        <v>44633</v>
      </c>
      <c r="C1311" s="6" t="s">
        <v>17</v>
      </c>
      <c r="D1311" s="7">
        <v>79.230002999999996</v>
      </c>
      <c r="E1311" s="7">
        <v>74.594222000000002</v>
      </c>
      <c r="F1311" s="7">
        <v>79.910004000000001</v>
      </c>
      <c r="G1311" s="7">
        <v>78.190002000000007</v>
      </c>
      <c r="H1311" s="8">
        <f t="shared" si="22"/>
        <v>-1.197155475816063E-2</v>
      </c>
    </row>
    <row r="1312" spans="2:8" x14ac:dyDescent="0.2">
      <c r="B1312" s="5">
        <v>44636</v>
      </c>
      <c r="C1312" s="6" t="s">
        <v>17</v>
      </c>
      <c r="D1312" s="7">
        <v>79.970000999999996</v>
      </c>
      <c r="E1312" s="7">
        <v>75.290923000000006</v>
      </c>
      <c r="F1312" s="7">
        <v>80</v>
      </c>
      <c r="G1312" s="7">
        <v>79.059997999999993</v>
      </c>
      <c r="H1312" s="8">
        <f t="shared" si="22"/>
        <v>9.3398709072369974E-3</v>
      </c>
    </row>
    <row r="1313" spans="2:8" x14ac:dyDescent="0.2">
      <c r="B1313" s="5">
        <v>44637</v>
      </c>
      <c r="C1313" s="6" t="s">
        <v>17</v>
      </c>
      <c r="D1313" s="7">
        <v>78.449996999999996</v>
      </c>
      <c r="E1313" s="7">
        <v>73.859853999999999</v>
      </c>
      <c r="F1313" s="7">
        <v>79.349997999999999</v>
      </c>
      <c r="G1313" s="7">
        <v>78.25</v>
      </c>
      <c r="H1313" s="8">
        <f t="shared" si="22"/>
        <v>-1.9007177453955519E-2</v>
      </c>
    </row>
    <row r="1314" spans="2:8" x14ac:dyDescent="0.2">
      <c r="B1314" s="5">
        <v>44638</v>
      </c>
      <c r="C1314" s="6" t="s">
        <v>17</v>
      </c>
      <c r="D1314" s="7">
        <v>81.330001999999993</v>
      </c>
      <c r="E1314" s="7">
        <v>76.571348999999998</v>
      </c>
      <c r="F1314" s="7">
        <v>81.440002000000007</v>
      </c>
      <c r="G1314" s="7">
        <v>78.25</v>
      </c>
      <c r="H1314" s="8">
        <f t="shared" si="22"/>
        <v>3.6711346209484207E-2</v>
      </c>
    </row>
    <row r="1315" spans="2:8" x14ac:dyDescent="0.2">
      <c r="B1315" s="5">
        <v>44639</v>
      </c>
      <c r="C1315" s="6" t="s">
        <v>17</v>
      </c>
      <c r="D1315" s="7">
        <v>80.089995999999999</v>
      </c>
      <c r="E1315" s="7">
        <v>75.403897000000001</v>
      </c>
      <c r="F1315" s="7">
        <v>80.5</v>
      </c>
      <c r="G1315" s="7">
        <v>79.559997999999993</v>
      </c>
      <c r="H1315" s="8">
        <f t="shared" si="22"/>
        <v>-1.524659989557106E-2</v>
      </c>
    </row>
    <row r="1316" spans="2:8" x14ac:dyDescent="0.2">
      <c r="B1316" s="5">
        <v>44640</v>
      </c>
      <c r="C1316" s="6" t="s">
        <v>17</v>
      </c>
      <c r="D1316" s="7">
        <v>81.190002000000007</v>
      </c>
      <c r="E1316" s="7">
        <v>76.439541000000006</v>
      </c>
      <c r="F1316" s="7">
        <v>81.25</v>
      </c>
      <c r="G1316" s="7">
        <v>80.190002000000007</v>
      </c>
      <c r="H1316" s="8">
        <f t="shared" si="22"/>
        <v>1.3734624234467531E-2</v>
      </c>
    </row>
    <row r="1317" spans="2:8" x14ac:dyDescent="0.2">
      <c r="B1317" s="5">
        <v>44643</v>
      </c>
      <c r="C1317" s="6" t="s">
        <v>17</v>
      </c>
      <c r="D1317" s="7">
        <v>81.089995999999999</v>
      </c>
      <c r="E1317" s="7">
        <v>76.345386000000005</v>
      </c>
      <c r="F1317" s="7">
        <v>81.919998000000007</v>
      </c>
      <c r="G1317" s="7">
        <v>81.019997000000004</v>
      </c>
      <c r="H1317" s="8">
        <f t="shared" si="22"/>
        <v>-1.2317526485589639E-3</v>
      </c>
    </row>
    <row r="1318" spans="2:8" x14ac:dyDescent="0.2">
      <c r="B1318" s="5">
        <v>44644</v>
      </c>
      <c r="C1318" s="6" t="s">
        <v>17</v>
      </c>
      <c r="D1318" s="7">
        <v>80.480002999999996</v>
      </c>
      <c r="E1318" s="7">
        <v>75.771084000000002</v>
      </c>
      <c r="F1318" s="7">
        <v>81.199996999999996</v>
      </c>
      <c r="G1318" s="7">
        <v>80.199996999999996</v>
      </c>
      <c r="H1318" s="8">
        <f t="shared" si="22"/>
        <v>-7.5224199049165434E-3</v>
      </c>
    </row>
    <row r="1319" spans="2:8" x14ac:dyDescent="0.2">
      <c r="B1319" s="5">
        <v>44645</v>
      </c>
      <c r="C1319" s="6" t="s">
        <v>17</v>
      </c>
      <c r="D1319" s="7">
        <v>79.860000999999997</v>
      </c>
      <c r="E1319" s="7">
        <v>75.187358000000003</v>
      </c>
      <c r="F1319" s="7">
        <v>81.040001000000004</v>
      </c>
      <c r="G1319" s="7">
        <v>79.830001999999993</v>
      </c>
      <c r="H1319" s="8">
        <f t="shared" si="22"/>
        <v>-7.703801899709168E-3</v>
      </c>
    </row>
    <row r="1320" spans="2:8" x14ac:dyDescent="0.2">
      <c r="B1320" s="5">
        <v>44646</v>
      </c>
      <c r="C1320" s="6" t="s">
        <v>17</v>
      </c>
      <c r="D1320" s="7">
        <v>79.879997000000003</v>
      </c>
      <c r="E1320" s="7">
        <v>75.206185000000005</v>
      </c>
      <c r="F1320" s="7">
        <v>80.800003000000004</v>
      </c>
      <c r="G1320" s="7">
        <v>79.510002</v>
      </c>
      <c r="H1320" s="8">
        <f t="shared" si="22"/>
        <v>2.5038817617853675E-4</v>
      </c>
    </row>
    <row r="1321" spans="2:8" x14ac:dyDescent="0.2">
      <c r="B1321" s="5">
        <v>44647</v>
      </c>
      <c r="C1321" s="6" t="s">
        <v>17</v>
      </c>
      <c r="D1321" s="7">
        <v>79.669998000000007</v>
      </c>
      <c r="E1321" s="7">
        <v>75.008472999999995</v>
      </c>
      <c r="F1321" s="7">
        <v>79.879997000000003</v>
      </c>
      <c r="G1321" s="7">
        <v>78.760002</v>
      </c>
      <c r="H1321" s="8">
        <f t="shared" si="22"/>
        <v>-2.628930995077482E-3</v>
      </c>
    </row>
    <row r="1322" spans="2:8" x14ac:dyDescent="0.2">
      <c r="B1322" s="5">
        <v>44650</v>
      </c>
      <c r="C1322" s="6" t="s">
        <v>17</v>
      </c>
      <c r="D1322" s="7">
        <v>81.370002999999997</v>
      </c>
      <c r="E1322" s="7">
        <v>76.609009</v>
      </c>
      <c r="F1322" s="7">
        <v>81.519997000000004</v>
      </c>
      <c r="G1322" s="7">
        <v>80</v>
      </c>
      <c r="H1322" s="8">
        <f t="shared" si="22"/>
        <v>2.1338082624277086E-2</v>
      </c>
    </row>
    <row r="1323" spans="2:8" x14ac:dyDescent="0.2">
      <c r="B1323" s="5">
        <v>44651</v>
      </c>
      <c r="C1323" s="6" t="s">
        <v>17</v>
      </c>
      <c r="D1323" s="7">
        <v>80.029999000000004</v>
      </c>
      <c r="E1323" s="7">
        <v>75.347409999999996</v>
      </c>
      <c r="F1323" s="7">
        <v>80.650002000000001</v>
      </c>
      <c r="G1323" s="7">
        <v>79.809997999999993</v>
      </c>
      <c r="H1323" s="8">
        <f t="shared" si="22"/>
        <v>-1.6468034295144283E-2</v>
      </c>
    </row>
    <row r="1324" spans="2:8" x14ac:dyDescent="0.2">
      <c r="B1324" s="5">
        <v>44652</v>
      </c>
      <c r="C1324" s="6" t="s">
        <v>17</v>
      </c>
      <c r="D1324" s="7">
        <v>79.639999000000003</v>
      </c>
      <c r="E1324" s="7">
        <v>74.980228999999994</v>
      </c>
      <c r="F1324" s="7">
        <v>80.519997000000004</v>
      </c>
      <c r="G1324" s="7">
        <v>79.389999000000003</v>
      </c>
      <c r="H1324" s="8">
        <f t="shared" si="22"/>
        <v>-4.8731726211817218E-3</v>
      </c>
    </row>
    <row r="1325" spans="2:8" x14ac:dyDescent="0.2">
      <c r="B1325" s="5">
        <v>44653</v>
      </c>
      <c r="C1325" s="6" t="s">
        <v>17</v>
      </c>
      <c r="D1325" s="7">
        <v>80.239998</v>
      </c>
      <c r="E1325" s="7">
        <v>75.545122000000006</v>
      </c>
      <c r="F1325" s="7">
        <v>80.5</v>
      </c>
      <c r="G1325" s="7">
        <v>79.400002000000001</v>
      </c>
      <c r="H1325" s="8">
        <f t="shared" si="22"/>
        <v>7.5338900996218851E-3</v>
      </c>
    </row>
    <row r="1326" spans="2:8" x14ac:dyDescent="0.2">
      <c r="B1326" s="5">
        <v>44657</v>
      </c>
      <c r="C1326" s="6" t="s">
        <v>17</v>
      </c>
      <c r="D1326" s="7">
        <v>81.489998</v>
      </c>
      <c r="E1326" s="7">
        <v>76.721984000000006</v>
      </c>
      <c r="F1326" s="7">
        <v>82</v>
      </c>
      <c r="G1326" s="7">
        <v>79.980002999999996</v>
      </c>
      <c r="H1326" s="8">
        <f t="shared" si="22"/>
        <v>1.5578265592678603E-2</v>
      </c>
    </row>
    <row r="1327" spans="2:8" x14ac:dyDescent="0.2">
      <c r="B1327" s="5">
        <v>44658</v>
      </c>
      <c r="C1327" s="6" t="s">
        <v>17</v>
      </c>
      <c r="D1327" s="7">
        <v>80.540001000000004</v>
      </c>
      <c r="E1327" s="7">
        <v>75.827571000000006</v>
      </c>
      <c r="F1327" s="7">
        <v>81.430000000000007</v>
      </c>
      <c r="G1327" s="7">
        <v>80.5</v>
      </c>
      <c r="H1327" s="8">
        <f t="shared" si="22"/>
        <v>-1.1657835603333751E-2</v>
      </c>
    </row>
    <row r="1328" spans="2:8" x14ac:dyDescent="0.2">
      <c r="B1328" s="5">
        <v>44659</v>
      </c>
      <c r="C1328" s="6" t="s">
        <v>17</v>
      </c>
      <c r="D1328" s="7">
        <v>80.440002000000007</v>
      </c>
      <c r="E1328" s="7">
        <v>75.733423999999999</v>
      </c>
      <c r="F1328" s="7">
        <v>81.239998</v>
      </c>
      <c r="G1328" s="7">
        <v>79.919998000000007</v>
      </c>
      <c r="H1328" s="8">
        <f t="shared" si="22"/>
        <v>-1.2416066396621578E-3</v>
      </c>
    </row>
    <row r="1329" spans="2:8" x14ac:dyDescent="0.2">
      <c r="B1329" s="5">
        <v>44660</v>
      </c>
      <c r="C1329" s="6" t="s">
        <v>17</v>
      </c>
      <c r="D1329" s="7">
        <v>80.680000000000007</v>
      </c>
      <c r="E1329" s="7">
        <v>75.959378999999998</v>
      </c>
      <c r="F1329" s="7">
        <v>81.209998999999996</v>
      </c>
      <c r="G1329" s="7">
        <v>80.279999000000004</v>
      </c>
      <c r="H1329" s="8">
        <f t="shared" si="22"/>
        <v>2.9835653161719203E-3</v>
      </c>
    </row>
    <row r="1330" spans="2:8" x14ac:dyDescent="0.2">
      <c r="B1330" s="5">
        <v>44661</v>
      </c>
      <c r="C1330" s="6" t="s">
        <v>17</v>
      </c>
      <c r="D1330" s="7">
        <v>82.599997999999999</v>
      </c>
      <c r="E1330" s="7">
        <v>77.767037999999999</v>
      </c>
      <c r="F1330" s="7">
        <v>82.800003000000004</v>
      </c>
      <c r="G1330" s="7">
        <v>80.739998</v>
      </c>
      <c r="H1330" s="8">
        <f t="shared" si="22"/>
        <v>2.3797694595934463E-2</v>
      </c>
    </row>
    <row r="1331" spans="2:8" x14ac:dyDescent="0.2">
      <c r="B1331" s="5">
        <v>44664</v>
      </c>
      <c r="C1331" s="6" t="s">
        <v>17</v>
      </c>
      <c r="D1331" s="7">
        <v>82.139999000000003</v>
      </c>
      <c r="E1331" s="7">
        <v>77.333952999999994</v>
      </c>
      <c r="F1331" s="7">
        <v>82.610000999999997</v>
      </c>
      <c r="G1331" s="7">
        <v>81.599997999999999</v>
      </c>
      <c r="H1331" s="8">
        <f t="shared" si="22"/>
        <v>-5.5689952922274438E-3</v>
      </c>
    </row>
    <row r="1332" spans="2:8" x14ac:dyDescent="0.2">
      <c r="B1332" s="5">
        <v>44665</v>
      </c>
      <c r="C1332" s="6" t="s">
        <v>17</v>
      </c>
      <c r="D1332" s="7">
        <v>83</v>
      </c>
      <c r="E1332" s="7">
        <v>78.143635000000003</v>
      </c>
      <c r="F1332" s="7">
        <v>83.239998</v>
      </c>
      <c r="G1332" s="7">
        <v>81.540001000000004</v>
      </c>
      <c r="H1332" s="8">
        <f t="shared" si="22"/>
        <v>1.0469941690649362E-2</v>
      </c>
    </row>
    <row r="1333" spans="2:8" x14ac:dyDescent="0.2">
      <c r="B1333" s="5">
        <v>44666</v>
      </c>
      <c r="C1333" s="6" t="s">
        <v>17</v>
      </c>
      <c r="D1333" s="7">
        <v>85.160004000000001</v>
      </c>
      <c r="E1333" s="7">
        <v>80.177256</v>
      </c>
      <c r="F1333" s="7">
        <v>85.730002999999996</v>
      </c>
      <c r="G1333" s="7">
        <v>83</v>
      </c>
      <c r="H1333" s="8">
        <f t="shared" si="22"/>
        <v>2.6024144578313261E-2</v>
      </c>
    </row>
    <row r="1334" spans="2:8" x14ac:dyDescent="0.2">
      <c r="B1334" s="5">
        <v>44667</v>
      </c>
      <c r="C1334" s="6" t="s">
        <v>17</v>
      </c>
      <c r="D1334" s="7">
        <v>84.339995999999999</v>
      </c>
      <c r="E1334" s="7">
        <v>80.063333999999998</v>
      </c>
      <c r="F1334" s="7">
        <v>84.900002000000001</v>
      </c>
      <c r="G1334" s="7">
        <v>84</v>
      </c>
      <c r="H1334" s="8">
        <f t="shared" si="22"/>
        <v>-9.6290272602617705E-3</v>
      </c>
    </row>
    <row r="1335" spans="2:8" x14ac:dyDescent="0.2">
      <c r="B1335" s="5">
        <v>44668</v>
      </c>
      <c r="C1335" s="6" t="s">
        <v>17</v>
      </c>
      <c r="D1335" s="7">
        <v>83.279999000000004</v>
      </c>
      <c r="E1335" s="7">
        <v>79.057086999999996</v>
      </c>
      <c r="F1335" s="7">
        <v>83.589995999999999</v>
      </c>
      <c r="G1335" s="7">
        <v>82.660004000000001</v>
      </c>
      <c r="H1335" s="8">
        <f t="shared" si="22"/>
        <v>-1.2568141454500373E-2</v>
      </c>
    </row>
    <row r="1336" spans="2:8" x14ac:dyDescent="0.2">
      <c r="B1336" s="5">
        <v>44671</v>
      </c>
      <c r="C1336" s="6" t="s">
        <v>17</v>
      </c>
      <c r="D1336" s="7">
        <v>84.599997999999999</v>
      </c>
      <c r="E1336" s="7">
        <v>80.310153</v>
      </c>
      <c r="F1336" s="7">
        <v>84.75</v>
      </c>
      <c r="G1336" s="7">
        <v>83.879997000000003</v>
      </c>
      <c r="H1336" s="8">
        <f t="shared" si="22"/>
        <v>1.5850132274857445E-2</v>
      </c>
    </row>
    <row r="1337" spans="2:8" x14ac:dyDescent="0.2">
      <c r="B1337" s="5">
        <v>44672</v>
      </c>
      <c r="C1337" s="6" t="s">
        <v>17</v>
      </c>
      <c r="D1337" s="7">
        <v>83.919998000000007</v>
      </c>
      <c r="E1337" s="7">
        <v>79.664632999999995</v>
      </c>
      <c r="F1337" s="7">
        <v>84.970000999999996</v>
      </c>
      <c r="G1337" s="7">
        <v>83.610000999999997</v>
      </c>
      <c r="H1337" s="8">
        <f t="shared" si="22"/>
        <v>-8.0378252491210764E-3</v>
      </c>
    </row>
    <row r="1338" spans="2:8" x14ac:dyDescent="0.2">
      <c r="B1338" s="5">
        <v>44673</v>
      </c>
      <c r="C1338" s="6" t="s">
        <v>17</v>
      </c>
      <c r="D1338" s="7">
        <v>84.870002999999997</v>
      </c>
      <c r="E1338" s="7">
        <v>80.566466000000005</v>
      </c>
      <c r="F1338" s="7">
        <v>84.940002000000007</v>
      </c>
      <c r="G1338" s="7">
        <v>83.089995999999999</v>
      </c>
      <c r="H1338" s="8">
        <f t="shared" si="22"/>
        <v>1.1320364902773116E-2</v>
      </c>
    </row>
    <row r="1339" spans="2:8" x14ac:dyDescent="0.2">
      <c r="B1339" s="5">
        <v>44674</v>
      </c>
      <c r="C1339" s="6" t="s">
        <v>17</v>
      </c>
      <c r="D1339" s="7">
        <v>84.790001000000004</v>
      </c>
      <c r="E1339" s="7">
        <v>80.490520000000004</v>
      </c>
      <c r="F1339" s="7">
        <v>87.5</v>
      </c>
      <c r="G1339" s="7">
        <v>83.849997999999999</v>
      </c>
      <c r="H1339" s="8">
        <f t="shared" si="22"/>
        <v>-9.4264165396569207E-4</v>
      </c>
    </row>
    <row r="1340" spans="2:8" x14ac:dyDescent="0.2">
      <c r="B1340" s="5">
        <v>44675</v>
      </c>
      <c r="C1340" s="6" t="s">
        <v>17</v>
      </c>
      <c r="D1340" s="7">
        <v>84.599997999999999</v>
      </c>
      <c r="E1340" s="7">
        <v>80.310153</v>
      </c>
      <c r="F1340" s="7">
        <v>85.169998000000007</v>
      </c>
      <c r="G1340" s="7">
        <v>84.019997000000004</v>
      </c>
      <c r="H1340" s="8">
        <f t="shared" si="22"/>
        <v>-2.2408656416928732E-3</v>
      </c>
    </row>
    <row r="1341" spans="2:8" x14ac:dyDescent="0.2">
      <c r="B1341" s="5">
        <v>44678</v>
      </c>
      <c r="C1341" s="6" t="s">
        <v>17</v>
      </c>
      <c r="D1341" s="7">
        <v>85.330001999999993</v>
      </c>
      <c r="E1341" s="7">
        <v>81.003139000000004</v>
      </c>
      <c r="F1341" s="7">
        <v>85.940002000000007</v>
      </c>
      <c r="G1341" s="7">
        <v>84.400002000000001</v>
      </c>
      <c r="H1341" s="8">
        <f t="shared" si="22"/>
        <v>8.6288890928814671E-3</v>
      </c>
    </row>
    <row r="1342" spans="2:8" x14ac:dyDescent="0.2">
      <c r="B1342" s="5">
        <v>44679</v>
      </c>
      <c r="C1342" s="6" t="s">
        <v>17</v>
      </c>
      <c r="D1342" s="7">
        <v>86.199996999999996</v>
      </c>
      <c r="E1342" s="7">
        <v>81.829019000000002</v>
      </c>
      <c r="F1342" s="7">
        <v>86.220000999999996</v>
      </c>
      <c r="G1342" s="7">
        <v>84.5</v>
      </c>
      <c r="H1342" s="8">
        <f t="shared" si="22"/>
        <v>1.0195651934943152E-2</v>
      </c>
    </row>
    <row r="1343" spans="2:8" x14ac:dyDescent="0.2">
      <c r="B1343" s="5">
        <v>44680</v>
      </c>
      <c r="C1343" s="6" t="s">
        <v>17</v>
      </c>
      <c r="D1343" s="7">
        <v>87.5</v>
      </c>
      <c r="E1343" s="7">
        <v>83.063102999999998</v>
      </c>
      <c r="F1343" s="7">
        <v>87.919998000000007</v>
      </c>
      <c r="G1343" s="7">
        <v>85.459998999999996</v>
      </c>
      <c r="H1343" s="8">
        <f t="shared" si="22"/>
        <v>1.5081241824173194E-2</v>
      </c>
    </row>
    <row r="1344" spans="2:8" x14ac:dyDescent="0.2">
      <c r="B1344" s="5">
        <v>44681</v>
      </c>
      <c r="C1344" s="6" t="s">
        <v>17</v>
      </c>
      <c r="D1344" s="7">
        <v>86.879997000000003</v>
      </c>
      <c r="E1344" s="7">
        <v>82.474537999999995</v>
      </c>
      <c r="F1344" s="7">
        <v>87.300003000000004</v>
      </c>
      <c r="G1344" s="7">
        <v>86.230002999999996</v>
      </c>
      <c r="H1344" s="8">
        <f t="shared" si="22"/>
        <v>-7.0857485714285367E-3</v>
      </c>
    </row>
    <row r="1345" spans="2:8" x14ac:dyDescent="0.2">
      <c r="B1345" s="5">
        <v>44682</v>
      </c>
      <c r="C1345" s="6" t="s">
        <v>17</v>
      </c>
      <c r="D1345" s="7">
        <v>87.370002999999997</v>
      </c>
      <c r="E1345" s="7">
        <v>82.939696999999995</v>
      </c>
      <c r="F1345" s="7">
        <v>88.279999000000004</v>
      </c>
      <c r="G1345" s="7">
        <v>86.760002</v>
      </c>
      <c r="H1345" s="8">
        <f t="shared" si="22"/>
        <v>5.6400324231133886E-3</v>
      </c>
    </row>
    <row r="1346" spans="2:8" x14ac:dyDescent="0.2">
      <c r="B1346" s="5">
        <v>44685</v>
      </c>
      <c r="C1346" s="6" t="s">
        <v>17</v>
      </c>
      <c r="D1346" s="7">
        <v>87.300003000000004</v>
      </c>
      <c r="E1346" s="7">
        <v>82.873247000000006</v>
      </c>
      <c r="F1346" s="7">
        <v>87.959998999999996</v>
      </c>
      <c r="G1346" s="7">
        <v>87.169998000000007</v>
      </c>
      <c r="H1346" s="8">
        <f t="shared" si="22"/>
        <v>-8.0119031242328312E-4</v>
      </c>
    </row>
    <row r="1347" spans="2:8" x14ac:dyDescent="0.2">
      <c r="B1347" s="5">
        <v>44686</v>
      </c>
      <c r="C1347" s="6" t="s">
        <v>17</v>
      </c>
      <c r="D1347" s="7">
        <v>87</v>
      </c>
      <c r="E1347" s="7">
        <v>82.588455999999994</v>
      </c>
      <c r="F1347" s="7">
        <v>88.220000999999996</v>
      </c>
      <c r="G1347" s="7">
        <v>86.699996999999996</v>
      </c>
      <c r="H1347" s="8">
        <f t="shared" si="22"/>
        <v>-3.4364603630082781E-3</v>
      </c>
    </row>
    <row r="1348" spans="2:8" x14ac:dyDescent="0.2">
      <c r="B1348" s="5">
        <v>44687</v>
      </c>
      <c r="C1348" s="6" t="s">
        <v>17</v>
      </c>
      <c r="D1348" s="7">
        <v>86.989998</v>
      </c>
      <c r="E1348" s="7">
        <v>82.578961000000007</v>
      </c>
      <c r="F1348" s="7">
        <v>87.940002000000007</v>
      </c>
      <c r="G1348" s="7">
        <v>86.419998000000007</v>
      </c>
      <c r="H1348" s="8">
        <f t="shared" ref="H1348:H1411" si="23">(D1348-D1347)/D1347</f>
        <v>-1.1496551724138008E-4</v>
      </c>
    </row>
    <row r="1349" spans="2:8" x14ac:dyDescent="0.2">
      <c r="B1349" s="5">
        <v>44688</v>
      </c>
      <c r="C1349" s="6" t="s">
        <v>17</v>
      </c>
      <c r="D1349" s="7">
        <v>86.43</v>
      </c>
      <c r="E1349" s="7">
        <v>82.047359999999998</v>
      </c>
      <c r="F1349" s="7">
        <v>86.879997000000003</v>
      </c>
      <c r="G1349" s="7">
        <v>85.889999000000003</v>
      </c>
      <c r="H1349" s="8">
        <f t="shared" si="23"/>
        <v>-6.4374987110586337E-3</v>
      </c>
    </row>
    <row r="1350" spans="2:8" x14ac:dyDescent="0.2">
      <c r="B1350" s="5">
        <v>44689</v>
      </c>
      <c r="C1350" s="6" t="s">
        <v>17</v>
      </c>
      <c r="D1350" s="7">
        <v>87.309997999999993</v>
      </c>
      <c r="E1350" s="7">
        <v>82.882734999999997</v>
      </c>
      <c r="F1350" s="7">
        <v>87.839995999999999</v>
      </c>
      <c r="G1350" s="7">
        <v>86.699996999999996</v>
      </c>
      <c r="H1350" s="8">
        <f t="shared" si="23"/>
        <v>1.0181626749970916E-2</v>
      </c>
    </row>
    <row r="1351" spans="2:8" x14ac:dyDescent="0.2">
      <c r="B1351" s="5">
        <v>44692</v>
      </c>
      <c r="C1351" s="6" t="s">
        <v>17</v>
      </c>
      <c r="D1351" s="7">
        <v>88.769997000000004</v>
      </c>
      <c r="E1351" s="7">
        <v>84.268700999999993</v>
      </c>
      <c r="F1351" s="7">
        <v>89.440002000000007</v>
      </c>
      <c r="G1351" s="7">
        <v>88.089995999999999</v>
      </c>
      <c r="H1351" s="8">
        <f t="shared" si="23"/>
        <v>1.6722013898110621E-2</v>
      </c>
    </row>
    <row r="1352" spans="2:8" x14ac:dyDescent="0.2">
      <c r="B1352" s="5">
        <v>44693</v>
      </c>
      <c r="C1352" s="6" t="s">
        <v>17</v>
      </c>
      <c r="D1352" s="7">
        <v>88.160004000000001</v>
      </c>
      <c r="E1352" s="7">
        <v>83.689639</v>
      </c>
      <c r="F1352" s="7">
        <v>88.339995999999999</v>
      </c>
      <c r="G1352" s="7">
        <v>87.260002</v>
      </c>
      <c r="H1352" s="8">
        <f t="shared" si="23"/>
        <v>-6.8716122633191356E-3</v>
      </c>
    </row>
    <row r="1353" spans="2:8" x14ac:dyDescent="0.2">
      <c r="B1353" s="5">
        <v>44694</v>
      </c>
      <c r="C1353" s="6" t="s">
        <v>17</v>
      </c>
      <c r="D1353" s="7">
        <v>88.440002000000007</v>
      </c>
      <c r="E1353" s="7">
        <v>83.955439999999996</v>
      </c>
      <c r="F1353" s="7">
        <v>89.07</v>
      </c>
      <c r="G1353" s="7">
        <v>88.209998999999996</v>
      </c>
      <c r="H1353" s="8">
        <f t="shared" si="23"/>
        <v>3.1760207270408718E-3</v>
      </c>
    </row>
    <row r="1354" spans="2:8" x14ac:dyDescent="0.2">
      <c r="B1354" s="5">
        <v>44695</v>
      </c>
      <c r="C1354" s="6" t="s">
        <v>17</v>
      </c>
      <c r="D1354" s="7">
        <v>88.739998</v>
      </c>
      <c r="E1354" s="7">
        <v>84.240223</v>
      </c>
      <c r="F1354" s="7">
        <v>89.589995999999999</v>
      </c>
      <c r="G1354" s="7">
        <v>88.650002000000001</v>
      </c>
      <c r="H1354" s="8">
        <f t="shared" si="23"/>
        <v>3.39208495268909E-3</v>
      </c>
    </row>
    <row r="1355" spans="2:8" x14ac:dyDescent="0.2">
      <c r="B1355" s="5">
        <v>44696</v>
      </c>
      <c r="C1355" s="6" t="s">
        <v>17</v>
      </c>
      <c r="D1355" s="7">
        <v>88.43</v>
      </c>
      <c r="E1355" s="7">
        <v>83.945944999999995</v>
      </c>
      <c r="F1355" s="7">
        <v>88.559997999999993</v>
      </c>
      <c r="G1355" s="7">
        <v>87.599997999999999</v>
      </c>
      <c r="H1355" s="8">
        <f t="shared" si="23"/>
        <v>-3.4933289045148853E-3</v>
      </c>
    </row>
    <row r="1356" spans="2:8" x14ac:dyDescent="0.2">
      <c r="B1356" s="5">
        <v>44699</v>
      </c>
      <c r="C1356" s="6" t="s">
        <v>17</v>
      </c>
      <c r="D1356" s="7">
        <v>88.290001000000004</v>
      </c>
      <c r="E1356" s="7">
        <v>83.813045000000002</v>
      </c>
      <c r="F1356" s="7">
        <v>88.5</v>
      </c>
      <c r="G1356" s="7">
        <v>87.650002000000001</v>
      </c>
      <c r="H1356" s="8">
        <f t="shared" si="23"/>
        <v>-1.5831618229108118E-3</v>
      </c>
    </row>
    <row r="1357" spans="2:8" x14ac:dyDescent="0.2">
      <c r="B1357" s="5">
        <v>44700</v>
      </c>
      <c r="C1357" s="6" t="s">
        <v>17</v>
      </c>
      <c r="D1357" s="7">
        <v>87.239998</v>
      </c>
      <c r="E1357" s="7">
        <v>82.816283999999996</v>
      </c>
      <c r="F1357" s="7">
        <v>87.910004000000001</v>
      </c>
      <c r="G1357" s="7">
        <v>86.510002</v>
      </c>
      <c r="H1357" s="8">
        <f t="shared" si="23"/>
        <v>-1.1892660415758788E-2</v>
      </c>
    </row>
    <row r="1358" spans="2:8" x14ac:dyDescent="0.2">
      <c r="B1358" s="5">
        <v>44701</v>
      </c>
      <c r="C1358" s="6" t="s">
        <v>17</v>
      </c>
      <c r="D1358" s="7">
        <v>87.93</v>
      </c>
      <c r="E1358" s="7">
        <v>83.471299000000002</v>
      </c>
      <c r="F1358" s="7">
        <v>88.129997000000003</v>
      </c>
      <c r="G1358" s="7">
        <v>87.129997000000003</v>
      </c>
      <c r="H1358" s="8">
        <f t="shared" si="23"/>
        <v>7.9092390625686033E-3</v>
      </c>
    </row>
    <row r="1359" spans="2:8" x14ac:dyDescent="0.2">
      <c r="B1359" s="5">
        <v>44702</v>
      </c>
      <c r="C1359" s="6" t="s">
        <v>17</v>
      </c>
      <c r="D1359" s="7">
        <v>89.330001999999993</v>
      </c>
      <c r="E1359" s="7">
        <v>84.800309999999996</v>
      </c>
      <c r="F1359" s="7">
        <v>89.620002999999997</v>
      </c>
      <c r="G1359" s="7">
        <v>87.940002000000007</v>
      </c>
      <c r="H1359" s="8">
        <f t="shared" si="23"/>
        <v>1.5921778687592248E-2</v>
      </c>
    </row>
    <row r="1360" spans="2:8" x14ac:dyDescent="0.2">
      <c r="B1360" s="5">
        <v>44703</v>
      </c>
      <c r="C1360" s="6" t="s">
        <v>17</v>
      </c>
      <c r="D1360" s="7">
        <v>88.629997000000003</v>
      </c>
      <c r="E1360" s="7">
        <v>84.135801000000001</v>
      </c>
      <c r="F1360" s="7">
        <v>89.5</v>
      </c>
      <c r="G1360" s="7">
        <v>88.629997000000003</v>
      </c>
      <c r="H1360" s="8">
        <f t="shared" si="23"/>
        <v>-7.8361690846037394E-3</v>
      </c>
    </row>
    <row r="1361" spans="2:8" x14ac:dyDescent="0.2">
      <c r="B1361" s="5">
        <v>44707</v>
      </c>
      <c r="C1361" s="6" t="s">
        <v>17</v>
      </c>
      <c r="D1361" s="7">
        <v>87.839995999999999</v>
      </c>
      <c r="E1361" s="7">
        <v>83.385858999999996</v>
      </c>
      <c r="F1361" s="7">
        <v>88.150002000000001</v>
      </c>
      <c r="G1361" s="7">
        <v>87.290001000000004</v>
      </c>
      <c r="H1361" s="8">
        <f t="shared" si="23"/>
        <v>-8.9134720381408086E-3</v>
      </c>
    </row>
    <row r="1362" spans="2:8" x14ac:dyDescent="0.2">
      <c r="B1362" s="5">
        <v>44708</v>
      </c>
      <c r="C1362" s="6" t="s">
        <v>17</v>
      </c>
      <c r="D1362" s="7">
        <v>87.919998000000007</v>
      </c>
      <c r="E1362" s="7">
        <v>83.461804000000001</v>
      </c>
      <c r="F1362" s="7">
        <v>88.82</v>
      </c>
      <c r="G1362" s="7">
        <v>87.650002000000001</v>
      </c>
      <c r="H1362" s="8">
        <f t="shared" si="23"/>
        <v>9.1076962253057773E-4</v>
      </c>
    </row>
    <row r="1363" spans="2:8" x14ac:dyDescent="0.2">
      <c r="B1363" s="5">
        <v>44709</v>
      </c>
      <c r="C1363" s="6" t="s">
        <v>17</v>
      </c>
      <c r="D1363" s="7">
        <v>86.010002</v>
      </c>
      <c r="E1363" s="7">
        <v>81.648658999999995</v>
      </c>
      <c r="F1363" s="7">
        <v>87.449996999999996</v>
      </c>
      <c r="G1363" s="7">
        <v>85.730002999999996</v>
      </c>
      <c r="H1363" s="8">
        <f t="shared" si="23"/>
        <v>-2.1724249811743701E-2</v>
      </c>
    </row>
    <row r="1364" spans="2:8" x14ac:dyDescent="0.2">
      <c r="B1364" s="5">
        <v>44710</v>
      </c>
      <c r="C1364" s="6" t="s">
        <v>17</v>
      </c>
      <c r="D1364" s="7">
        <v>85.32</v>
      </c>
      <c r="E1364" s="7">
        <v>80.993644000000003</v>
      </c>
      <c r="F1364" s="7">
        <v>86.330001999999993</v>
      </c>
      <c r="G1364" s="7">
        <v>85.110000999999997</v>
      </c>
      <c r="H1364" s="8">
        <f t="shared" si="23"/>
        <v>-8.0223460522650253E-3</v>
      </c>
    </row>
    <row r="1365" spans="2:8" x14ac:dyDescent="0.2">
      <c r="B1365" s="5">
        <v>44713</v>
      </c>
      <c r="C1365" s="6" t="s">
        <v>17</v>
      </c>
      <c r="D1365" s="7">
        <v>85.529999000000004</v>
      </c>
      <c r="E1365" s="7">
        <v>81.192994999999996</v>
      </c>
      <c r="F1365" s="7">
        <v>86.370002999999997</v>
      </c>
      <c r="G1365" s="7">
        <v>84.699996999999996</v>
      </c>
      <c r="H1365" s="8">
        <f t="shared" si="23"/>
        <v>2.4613103609940285E-3</v>
      </c>
    </row>
    <row r="1366" spans="2:8" x14ac:dyDescent="0.2">
      <c r="B1366" s="5">
        <v>44714</v>
      </c>
      <c r="C1366" s="6" t="s">
        <v>17</v>
      </c>
      <c r="D1366" s="7">
        <v>86.169998000000007</v>
      </c>
      <c r="E1366" s="7">
        <v>81.800541999999993</v>
      </c>
      <c r="F1366" s="7">
        <v>86.68</v>
      </c>
      <c r="G1366" s="7">
        <v>85.07</v>
      </c>
      <c r="H1366" s="8">
        <f t="shared" si="23"/>
        <v>7.4827429847158433E-3</v>
      </c>
    </row>
    <row r="1367" spans="2:8" x14ac:dyDescent="0.2">
      <c r="B1367" s="5">
        <v>44715</v>
      </c>
      <c r="C1367" s="6" t="s">
        <v>17</v>
      </c>
      <c r="D1367" s="7">
        <v>86.230002999999996</v>
      </c>
      <c r="E1367" s="7">
        <v>81.857504000000006</v>
      </c>
      <c r="F1367" s="7">
        <v>87.059997999999993</v>
      </c>
      <c r="G1367" s="7">
        <v>85.809997999999993</v>
      </c>
      <c r="H1367" s="8">
        <f t="shared" si="23"/>
        <v>6.9635605654754277E-4</v>
      </c>
    </row>
    <row r="1368" spans="2:8" x14ac:dyDescent="0.2">
      <c r="B1368" s="5">
        <v>44716</v>
      </c>
      <c r="C1368" s="6" t="s">
        <v>17</v>
      </c>
      <c r="D1368" s="7">
        <v>85.470000999999996</v>
      </c>
      <c r="E1368" s="7">
        <v>81.136039999999994</v>
      </c>
      <c r="F1368" s="7">
        <v>86.400002000000001</v>
      </c>
      <c r="G1368" s="7">
        <v>85.32</v>
      </c>
      <c r="H1368" s="8">
        <f t="shared" si="23"/>
        <v>-8.8136608321815798E-3</v>
      </c>
    </row>
    <row r="1369" spans="2:8" x14ac:dyDescent="0.2">
      <c r="B1369" s="5">
        <v>44717</v>
      </c>
      <c r="C1369" s="6" t="s">
        <v>17</v>
      </c>
      <c r="D1369" s="7">
        <v>86.050003000000004</v>
      </c>
      <c r="E1369" s="7">
        <v>81.686631000000006</v>
      </c>
      <c r="F1369" s="7">
        <v>86.5</v>
      </c>
      <c r="G1369" s="7">
        <v>84.910004000000001</v>
      </c>
      <c r="H1369" s="8">
        <f t="shared" si="23"/>
        <v>6.7860301066336422E-3</v>
      </c>
    </row>
    <row r="1370" spans="2:8" x14ac:dyDescent="0.2">
      <c r="B1370" s="5">
        <v>44720</v>
      </c>
      <c r="C1370" s="6" t="s">
        <v>17</v>
      </c>
      <c r="D1370" s="7">
        <v>86.150002000000001</v>
      </c>
      <c r="E1370" s="7">
        <v>81.781559000000001</v>
      </c>
      <c r="F1370" s="7">
        <v>86.480002999999996</v>
      </c>
      <c r="G1370" s="7">
        <v>85.779999000000004</v>
      </c>
      <c r="H1370" s="8">
        <f t="shared" si="23"/>
        <v>1.1621033877244238E-3</v>
      </c>
    </row>
    <row r="1371" spans="2:8" x14ac:dyDescent="0.2">
      <c r="B1371" s="5">
        <v>44721</v>
      </c>
      <c r="C1371" s="6" t="s">
        <v>17</v>
      </c>
      <c r="D1371" s="7">
        <v>86.730002999999996</v>
      </c>
      <c r="E1371" s="7">
        <v>82.332149999999999</v>
      </c>
      <c r="F1371" s="7">
        <v>87.620002999999997</v>
      </c>
      <c r="G1371" s="7">
        <v>86.419998000000007</v>
      </c>
      <c r="H1371" s="8">
        <f t="shared" si="23"/>
        <v>6.7324548640172498E-3</v>
      </c>
    </row>
    <row r="1372" spans="2:8" x14ac:dyDescent="0.2">
      <c r="B1372" s="5">
        <v>44722</v>
      </c>
      <c r="C1372" s="6" t="s">
        <v>17</v>
      </c>
      <c r="D1372" s="7">
        <v>88.480002999999996</v>
      </c>
      <c r="E1372" s="7">
        <v>83.993412000000006</v>
      </c>
      <c r="F1372" s="7">
        <v>88.709998999999996</v>
      </c>
      <c r="G1372" s="7">
        <v>87.360000999999997</v>
      </c>
      <c r="H1372" s="8">
        <f t="shared" si="23"/>
        <v>2.017756185249988E-2</v>
      </c>
    </row>
    <row r="1373" spans="2:8" x14ac:dyDescent="0.2">
      <c r="B1373" s="5">
        <v>44723</v>
      </c>
      <c r="C1373" s="6" t="s">
        <v>17</v>
      </c>
      <c r="D1373" s="7">
        <v>88.169998000000007</v>
      </c>
      <c r="E1373" s="7">
        <v>83.699127000000004</v>
      </c>
      <c r="F1373" s="7">
        <v>88.760002</v>
      </c>
      <c r="G1373" s="7">
        <v>87.919998000000007</v>
      </c>
      <c r="H1373" s="8">
        <f t="shared" si="23"/>
        <v>-3.5036730276782387E-3</v>
      </c>
    </row>
    <row r="1374" spans="2:8" x14ac:dyDescent="0.2">
      <c r="B1374" s="5">
        <v>44724</v>
      </c>
      <c r="C1374" s="6" t="s">
        <v>17</v>
      </c>
      <c r="D1374" s="7">
        <v>87.849997999999999</v>
      </c>
      <c r="E1374" s="7">
        <v>83.395353</v>
      </c>
      <c r="F1374" s="7">
        <v>88.410004000000001</v>
      </c>
      <c r="G1374" s="7">
        <v>87.57</v>
      </c>
      <c r="H1374" s="8">
        <f t="shared" si="23"/>
        <v>-3.6293524697596949E-3</v>
      </c>
    </row>
    <row r="1375" spans="2:8" x14ac:dyDescent="0.2">
      <c r="B1375" s="5">
        <v>44727</v>
      </c>
      <c r="C1375" s="6" t="s">
        <v>17</v>
      </c>
      <c r="D1375" s="7">
        <v>87.129997000000003</v>
      </c>
      <c r="E1375" s="7">
        <v>82.711861999999996</v>
      </c>
      <c r="F1375" s="7">
        <v>87.389999000000003</v>
      </c>
      <c r="G1375" s="7">
        <v>86.349997999999999</v>
      </c>
      <c r="H1375" s="8">
        <f t="shared" si="23"/>
        <v>-8.1957998450950028E-3</v>
      </c>
    </row>
    <row r="1376" spans="2:8" x14ac:dyDescent="0.2">
      <c r="B1376" s="5">
        <v>44728</v>
      </c>
      <c r="C1376" s="6" t="s">
        <v>17</v>
      </c>
      <c r="D1376" s="7">
        <v>86.589995999999999</v>
      </c>
      <c r="E1376" s="7">
        <v>82.199242999999996</v>
      </c>
      <c r="F1376" s="7">
        <v>87.019997000000004</v>
      </c>
      <c r="G1376" s="7">
        <v>86.239998</v>
      </c>
      <c r="H1376" s="8">
        <f t="shared" si="23"/>
        <v>-6.1976474072414313E-3</v>
      </c>
    </row>
    <row r="1377" spans="2:8" x14ac:dyDescent="0.2">
      <c r="B1377" s="5">
        <v>44729</v>
      </c>
      <c r="C1377" s="6" t="s">
        <v>17</v>
      </c>
      <c r="D1377" s="7">
        <v>87.25</v>
      </c>
      <c r="E1377" s="7">
        <v>82.825778999999997</v>
      </c>
      <c r="F1377" s="7">
        <v>87.550003000000004</v>
      </c>
      <c r="G1377" s="7">
        <v>86.32</v>
      </c>
      <c r="H1377" s="8">
        <f t="shared" si="23"/>
        <v>7.6221738132428224E-3</v>
      </c>
    </row>
    <row r="1378" spans="2:8" x14ac:dyDescent="0.2">
      <c r="B1378" s="5">
        <v>44730</v>
      </c>
      <c r="C1378" s="6" t="s">
        <v>17</v>
      </c>
      <c r="D1378" s="7">
        <v>87.440002000000007</v>
      </c>
      <c r="E1378" s="7">
        <v>83.006146999999999</v>
      </c>
      <c r="F1378" s="7">
        <v>87.739998</v>
      </c>
      <c r="G1378" s="7">
        <v>86.830001999999993</v>
      </c>
      <c r="H1378" s="8">
        <f t="shared" si="23"/>
        <v>2.1776733524356091E-3</v>
      </c>
    </row>
    <row r="1379" spans="2:8" x14ac:dyDescent="0.2">
      <c r="B1379" s="5">
        <v>44731</v>
      </c>
      <c r="C1379" s="6" t="s">
        <v>17</v>
      </c>
      <c r="D1379" s="7">
        <v>87.519997000000004</v>
      </c>
      <c r="E1379" s="7">
        <v>83.082085000000006</v>
      </c>
      <c r="F1379" s="7">
        <v>87.959998999999996</v>
      </c>
      <c r="G1379" s="7">
        <v>87.150002000000001</v>
      </c>
      <c r="H1379" s="8">
        <f t="shared" si="23"/>
        <v>9.1485588026400894E-4</v>
      </c>
    </row>
    <row r="1380" spans="2:8" x14ac:dyDescent="0.2">
      <c r="B1380" s="5">
        <v>44734</v>
      </c>
      <c r="C1380" s="6" t="s">
        <v>17</v>
      </c>
      <c r="D1380" s="7">
        <v>88.269997000000004</v>
      </c>
      <c r="E1380" s="7">
        <v>83.794055</v>
      </c>
      <c r="F1380" s="7">
        <v>88.32</v>
      </c>
      <c r="G1380" s="7">
        <v>87.709998999999996</v>
      </c>
      <c r="H1380" s="8">
        <f t="shared" si="23"/>
        <v>8.5694701292094427E-3</v>
      </c>
    </row>
    <row r="1381" spans="2:8" x14ac:dyDescent="0.2">
      <c r="B1381" s="5">
        <v>44735</v>
      </c>
      <c r="C1381" s="6" t="s">
        <v>17</v>
      </c>
      <c r="D1381" s="7">
        <v>88.449996999999996</v>
      </c>
      <c r="E1381" s="7">
        <v>83.964928</v>
      </c>
      <c r="F1381" s="7">
        <v>88.620002999999997</v>
      </c>
      <c r="G1381" s="7">
        <v>88.010002</v>
      </c>
      <c r="H1381" s="8">
        <f t="shared" si="23"/>
        <v>2.0391979847919628E-3</v>
      </c>
    </row>
    <row r="1382" spans="2:8" x14ac:dyDescent="0.2">
      <c r="B1382" s="5">
        <v>44736</v>
      </c>
      <c r="C1382" s="6" t="s">
        <v>17</v>
      </c>
      <c r="D1382" s="7">
        <v>88.169998000000007</v>
      </c>
      <c r="E1382" s="7">
        <v>83.699127000000004</v>
      </c>
      <c r="F1382" s="7">
        <v>88.809997999999993</v>
      </c>
      <c r="G1382" s="7">
        <v>88.07</v>
      </c>
      <c r="H1382" s="8">
        <f t="shared" si="23"/>
        <v>-3.1656191011514615E-3</v>
      </c>
    </row>
    <row r="1383" spans="2:8" x14ac:dyDescent="0.2">
      <c r="B1383" s="5">
        <v>44737</v>
      </c>
      <c r="C1383" s="6" t="s">
        <v>17</v>
      </c>
      <c r="D1383" s="7">
        <v>86.720000999999996</v>
      </c>
      <c r="E1383" s="7">
        <v>82.322654999999997</v>
      </c>
      <c r="F1383" s="7">
        <v>88.330001999999993</v>
      </c>
      <c r="G1383" s="7">
        <v>86.660004000000001</v>
      </c>
      <c r="H1383" s="8">
        <f t="shared" si="23"/>
        <v>-1.6445469353418951E-2</v>
      </c>
    </row>
    <row r="1384" spans="2:8" x14ac:dyDescent="0.2">
      <c r="B1384" s="5">
        <v>44738</v>
      </c>
      <c r="C1384" s="6" t="s">
        <v>17</v>
      </c>
      <c r="D1384" s="7">
        <v>86.82</v>
      </c>
      <c r="E1384" s="7">
        <v>82.417582999999993</v>
      </c>
      <c r="F1384" s="7">
        <v>86.949996999999996</v>
      </c>
      <c r="G1384" s="7">
        <v>85.809997999999993</v>
      </c>
      <c r="H1384" s="8">
        <f t="shared" si="23"/>
        <v>1.153124986702858E-3</v>
      </c>
    </row>
    <row r="1385" spans="2:8" x14ac:dyDescent="0.2">
      <c r="B1385" s="5">
        <v>44741</v>
      </c>
      <c r="C1385" s="6" t="s">
        <v>17</v>
      </c>
      <c r="D1385" s="7">
        <v>85.300003000000004</v>
      </c>
      <c r="E1385" s="7">
        <v>80.974661999999995</v>
      </c>
      <c r="F1385" s="7">
        <v>86.739998</v>
      </c>
      <c r="G1385" s="7">
        <v>85.099997999999999</v>
      </c>
      <c r="H1385" s="8">
        <f t="shared" si="23"/>
        <v>-1.7507452199953807E-2</v>
      </c>
    </row>
    <row r="1386" spans="2:8" x14ac:dyDescent="0.2">
      <c r="B1386" s="5">
        <v>44742</v>
      </c>
      <c r="C1386" s="6" t="s">
        <v>17</v>
      </c>
      <c r="D1386" s="7">
        <v>84.82</v>
      </c>
      <c r="E1386" s="7">
        <v>80.518997999999996</v>
      </c>
      <c r="F1386" s="7">
        <v>86.25</v>
      </c>
      <c r="G1386" s="7">
        <v>84.800003000000004</v>
      </c>
      <c r="H1386" s="8">
        <f t="shared" si="23"/>
        <v>-5.6272330963459708E-3</v>
      </c>
    </row>
    <row r="1387" spans="2:8" x14ac:dyDescent="0.2">
      <c r="B1387" s="5">
        <v>44743</v>
      </c>
      <c r="C1387" s="6" t="s">
        <v>17</v>
      </c>
      <c r="D1387" s="7">
        <v>83.949996999999996</v>
      </c>
      <c r="E1387" s="7">
        <v>79.693111000000002</v>
      </c>
      <c r="F1387" s="7">
        <v>85.449996999999996</v>
      </c>
      <c r="G1387" s="7">
        <v>83.540001000000004</v>
      </c>
      <c r="H1387" s="8">
        <f t="shared" si="23"/>
        <v>-1.0257050224003738E-2</v>
      </c>
    </row>
    <row r="1388" spans="2:8" x14ac:dyDescent="0.2">
      <c r="B1388" s="5">
        <v>44744</v>
      </c>
      <c r="C1388" s="6" t="s">
        <v>17</v>
      </c>
      <c r="D1388" s="7">
        <v>84.379997000000003</v>
      </c>
      <c r="E1388" s="7">
        <v>80.101307000000006</v>
      </c>
      <c r="F1388" s="7">
        <v>84.779999000000004</v>
      </c>
      <c r="G1388" s="7">
        <v>83.849997999999999</v>
      </c>
      <c r="H1388" s="8">
        <f t="shared" si="23"/>
        <v>5.1220966690446318E-3</v>
      </c>
    </row>
    <row r="1389" spans="2:8" x14ac:dyDescent="0.2">
      <c r="B1389" s="5">
        <v>44748</v>
      </c>
      <c r="C1389" s="6" t="s">
        <v>17</v>
      </c>
      <c r="D1389" s="7">
        <v>83.150002000000001</v>
      </c>
      <c r="E1389" s="7">
        <v>78.933681000000007</v>
      </c>
      <c r="F1389" s="7">
        <v>84.150002000000001</v>
      </c>
      <c r="G1389" s="7">
        <v>82.730002999999996</v>
      </c>
      <c r="H1389" s="8">
        <f t="shared" si="23"/>
        <v>-1.4576855223163878E-2</v>
      </c>
    </row>
    <row r="1390" spans="2:8" x14ac:dyDescent="0.2">
      <c r="B1390" s="5">
        <v>44749</v>
      </c>
      <c r="C1390" s="6" t="s">
        <v>17</v>
      </c>
      <c r="D1390" s="7">
        <v>83.989998</v>
      </c>
      <c r="E1390" s="7">
        <v>79.731082999999998</v>
      </c>
      <c r="F1390" s="7">
        <v>84.120002999999997</v>
      </c>
      <c r="G1390" s="7">
        <v>81.849997999999999</v>
      </c>
      <c r="H1390" s="8">
        <f t="shared" si="23"/>
        <v>1.0102176545948843E-2</v>
      </c>
    </row>
    <row r="1391" spans="2:8" x14ac:dyDescent="0.2">
      <c r="B1391" s="5">
        <v>44750</v>
      </c>
      <c r="C1391" s="6" t="s">
        <v>17</v>
      </c>
      <c r="D1391" s="7">
        <v>82.269997000000004</v>
      </c>
      <c r="E1391" s="7">
        <v>78.098298999999997</v>
      </c>
      <c r="F1391" s="7">
        <v>83.230002999999996</v>
      </c>
      <c r="G1391" s="7">
        <v>81.760002</v>
      </c>
      <c r="H1391" s="8">
        <f t="shared" si="23"/>
        <v>-2.0478640801967828E-2</v>
      </c>
    </row>
    <row r="1392" spans="2:8" x14ac:dyDescent="0.2">
      <c r="B1392" s="5">
        <v>44751</v>
      </c>
      <c r="C1392" s="6" t="s">
        <v>17</v>
      </c>
      <c r="D1392" s="7">
        <v>81.690002000000007</v>
      </c>
      <c r="E1392" s="7">
        <v>77.547714999999997</v>
      </c>
      <c r="F1392" s="7">
        <v>83.699996999999996</v>
      </c>
      <c r="G1392" s="7">
        <v>81.459998999999996</v>
      </c>
      <c r="H1392" s="8">
        <f t="shared" si="23"/>
        <v>-7.0498969387345024E-3</v>
      </c>
    </row>
    <row r="1393" spans="2:8" x14ac:dyDescent="0.2">
      <c r="B1393" s="5">
        <v>44752</v>
      </c>
      <c r="C1393" s="6" t="s">
        <v>17</v>
      </c>
      <c r="D1393" s="7">
        <v>82.150002000000001</v>
      </c>
      <c r="E1393" s="7">
        <v>77.984388999999993</v>
      </c>
      <c r="F1393" s="7">
        <v>82.910004000000001</v>
      </c>
      <c r="G1393" s="7">
        <v>81.870002999999997</v>
      </c>
      <c r="H1393" s="8">
        <f t="shared" si="23"/>
        <v>5.6310440535916953E-3</v>
      </c>
    </row>
    <row r="1394" spans="2:8" x14ac:dyDescent="0.2">
      <c r="B1394" s="5">
        <v>44755</v>
      </c>
      <c r="C1394" s="6" t="s">
        <v>17</v>
      </c>
      <c r="D1394" s="7">
        <v>83.639999000000003</v>
      </c>
      <c r="E1394" s="7">
        <v>79.398831999999999</v>
      </c>
      <c r="F1394" s="7">
        <v>84.029999000000004</v>
      </c>
      <c r="G1394" s="7">
        <v>82.68</v>
      </c>
      <c r="H1394" s="8">
        <f t="shared" si="23"/>
        <v>1.8137516296104321E-2</v>
      </c>
    </row>
    <row r="1395" spans="2:8" x14ac:dyDescent="0.2">
      <c r="B1395" s="5">
        <v>44756</v>
      </c>
      <c r="C1395" s="6" t="s">
        <v>17</v>
      </c>
      <c r="D1395" s="7">
        <v>84.459998999999996</v>
      </c>
      <c r="E1395" s="7">
        <v>80.177251999999996</v>
      </c>
      <c r="F1395" s="7">
        <v>84.68</v>
      </c>
      <c r="G1395" s="7">
        <v>83.519997000000004</v>
      </c>
      <c r="H1395" s="8">
        <f t="shared" si="23"/>
        <v>9.8039216858430752E-3</v>
      </c>
    </row>
    <row r="1396" spans="2:8" x14ac:dyDescent="0.2">
      <c r="B1396" s="5">
        <v>44757</v>
      </c>
      <c r="C1396" s="6" t="s">
        <v>17</v>
      </c>
      <c r="D1396" s="7">
        <v>84.160004000000001</v>
      </c>
      <c r="E1396" s="7">
        <v>79.892469000000006</v>
      </c>
      <c r="F1396" s="7">
        <v>84.860000999999997</v>
      </c>
      <c r="G1396" s="7">
        <v>83.75</v>
      </c>
      <c r="H1396" s="8">
        <f t="shared" si="23"/>
        <v>-3.5519181097787554E-3</v>
      </c>
    </row>
    <row r="1397" spans="2:8" x14ac:dyDescent="0.2">
      <c r="B1397" s="5">
        <v>44758</v>
      </c>
      <c r="C1397" s="6" t="s">
        <v>17</v>
      </c>
      <c r="D1397" s="7">
        <v>83.760002</v>
      </c>
      <c r="E1397" s="7">
        <v>80.246949999999998</v>
      </c>
      <c r="F1397" s="7">
        <v>84.889999000000003</v>
      </c>
      <c r="G1397" s="7">
        <v>83.410004000000001</v>
      </c>
      <c r="H1397" s="8">
        <f t="shared" si="23"/>
        <v>-4.7528752493880659E-3</v>
      </c>
    </row>
    <row r="1398" spans="2:8" x14ac:dyDescent="0.2">
      <c r="B1398" s="5">
        <v>44759</v>
      </c>
      <c r="C1398" s="6" t="s">
        <v>17</v>
      </c>
      <c r="D1398" s="7">
        <v>83.160004000000001</v>
      </c>
      <c r="E1398" s="7">
        <v>79.672117</v>
      </c>
      <c r="F1398" s="7">
        <v>83.650002000000001</v>
      </c>
      <c r="G1398" s="7">
        <v>82.760002</v>
      </c>
      <c r="H1398" s="8">
        <f t="shared" si="23"/>
        <v>-7.1632997334455575E-3</v>
      </c>
    </row>
    <row r="1399" spans="2:8" x14ac:dyDescent="0.2">
      <c r="B1399" s="5">
        <v>44762</v>
      </c>
      <c r="C1399" s="6" t="s">
        <v>17</v>
      </c>
      <c r="D1399" s="7">
        <v>82.25</v>
      </c>
      <c r="E1399" s="7">
        <v>78.800280000000001</v>
      </c>
      <c r="F1399" s="7">
        <v>83.290001000000004</v>
      </c>
      <c r="G1399" s="7">
        <v>82.139999000000003</v>
      </c>
      <c r="H1399" s="8">
        <f t="shared" si="23"/>
        <v>-1.0942808516459434E-2</v>
      </c>
    </row>
    <row r="1400" spans="2:8" x14ac:dyDescent="0.2">
      <c r="B1400" s="5">
        <v>44763</v>
      </c>
      <c r="C1400" s="6" t="s">
        <v>17</v>
      </c>
      <c r="D1400" s="7">
        <v>82.220000999999996</v>
      </c>
      <c r="E1400" s="7">
        <v>78.771540000000002</v>
      </c>
      <c r="F1400" s="7">
        <v>82.889999000000003</v>
      </c>
      <c r="G1400" s="7">
        <v>81.25</v>
      </c>
      <c r="H1400" s="8">
        <f t="shared" si="23"/>
        <v>-3.6472948328271929E-4</v>
      </c>
    </row>
    <row r="1401" spans="2:8" x14ac:dyDescent="0.2">
      <c r="B1401" s="5">
        <v>44764</v>
      </c>
      <c r="C1401" s="6" t="s">
        <v>17</v>
      </c>
      <c r="D1401" s="7">
        <v>79.760002</v>
      </c>
      <c r="E1401" s="7">
        <v>76.414717999999993</v>
      </c>
      <c r="F1401" s="7">
        <v>81.120002999999997</v>
      </c>
      <c r="G1401" s="7">
        <v>79.150002000000001</v>
      </c>
      <c r="H1401" s="8">
        <f t="shared" si="23"/>
        <v>-2.9919715033815148E-2</v>
      </c>
    </row>
    <row r="1402" spans="2:8" x14ac:dyDescent="0.2">
      <c r="B1402" s="5">
        <v>44765</v>
      </c>
      <c r="C1402" s="6" t="s">
        <v>17</v>
      </c>
      <c r="D1402" s="7">
        <v>76.879997000000003</v>
      </c>
      <c r="E1402" s="7">
        <v>73.655506000000003</v>
      </c>
      <c r="F1402" s="7">
        <v>79.040001000000004</v>
      </c>
      <c r="G1402" s="7">
        <v>76.650002000000001</v>
      </c>
      <c r="H1402" s="8">
        <f t="shared" si="23"/>
        <v>-3.6108386757562984E-2</v>
      </c>
    </row>
    <row r="1403" spans="2:8" x14ac:dyDescent="0.2">
      <c r="B1403" s="5">
        <v>44766</v>
      </c>
      <c r="C1403" s="6" t="s">
        <v>17</v>
      </c>
      <c r="D1403" s="7">
        <v>76.099997999999999</v>
      </c>
      <c r="E1403" s="7">
        <v>72.908220999999998</v>
      </c>
      <c r="F1403" s="7">
        <v>77.089995999999999</v>
      </c>
      <c r="G1403" s="7">
        <v>75.849997999999999</v>
      </c>
      <c r="H1403" s="8">
        <f t="shared" si="23"/>
        <v>-1.0145668970304507E-2</v>
      </c>
    </row>
    <row r="1404" spans="2:8" x14ac:dyDescent="0.2">
      <c r="B1404" s="5">
        <v>44769</v>
      </c>
      <c r="C1404" s="6" t="s">
        <v>17</v>
      </c>
      <c r="D1404" s="7">
        <v>75.319999999999993</v>
      </c>
      <c r="E1404" s="7">
        <v>72.160937000000004</v>
      </c>
      <c r="F1404" s="7">
        <v>75.720000999999996</v>
      </c>
      <c r="G1404" s="7">
        <v>74.769997000000004</v>
      </c>
      <c r="H1404" s="8">
        <f t="shared" si="23"/>
        <v>-1.0249645473052524E-2</v>
      </c>
    </row>
    <row r="1405" spans="2:8" x14ac:dyDescent="0.2">
      <c r="B1405" s="5">
        <v>44770</v>
      </c>
      <c r="C1405" s="6" t="s">
        <v>17</v>
      </c>
      <c r="D1405" s="7">
        <v>77.779999000000004</v>
      </c>
      <c r="E1405" s="7">
        <v>74.517758999999998</v>
      </c>
      <c r="F1405" s="7">
        <v>78.150002000000001</v>
      </c>
      <c r="G1405" s="7">
        <v>75.790001000000004</v>
      </c>
      <c r="H1405" s="8">
        <f t="shared" si="23"/>
        <v>3.2660634625597595E-2</v>
      </c>
    </row>
    <row r="1406" spans="2:8" x14ac:dyDescent="0.2">
      <c r="B1406" s="5">
        <v>44771</v>
      </c>
      <c r="C1406" s="6" t="s">
        <v>17</v>
      </c>
      <c r="D1406" s="7">
        <v>77.330001999999993</v>
      </c>
      <c r="E1406" s="7">
        <v>74.086635999999999</v>
      </c>
      <c r="F1406" s="7">
        <v>77.459998999999996</v>
      </c>
      <c r="G1406" s="7">
        <v>76.510002</v>
      </c>
      <c r="H1406" s="8">
        <f t="shared" si="23"/>
        <v>-5.7855104883713154E-3</v>
      </c>
    </row>
    <row r="1407" spans="2:8" x14ac:dyDescent="0.2">
      <c r="B1407" s="5">
        <v>44772</v>
      </c>
      <c r="C1407" s="6" t="s">
        <v>17</v>
      </c>
      <c r="D1407" s="7">
        <v>78.349997999999999</v>
      </c>
      <c r="E1407" s="7">
        <v>75.063851999999997</v>
      </c>
      <c r="F1407" s="7">
        <v>78.370002999999997</v>
      </c>
      <c r="G1407" s="7">
        <v>76.680000000000007</v>
      </c>
      <c r="H1407" s="8">
        <f t="shared" si="23"/>
        <v>1.3190171649032236E-2</v>
      </c>
    </row>
    <row r="1408" spans="2:8" x14ac:dyDescent="0.2">
      <c r="B1408" s="5">
        <v>44773</v>
      </c>
      <c r="C1408" s="6" t="s">
        <v>17</v>
      </c>
      <c r="D1408" s="7">
        <v>78.629997000000003</v>
      </c>
      <c r="E1408" s="7">
        <v>75.332106999999993</v>
      </c>
      <c r="F1408" s="7">
        <v>79.040001000000004</v>
      </c>
      <c r="G1408" s="7">
        <v>78.150002000000001</v>
      </c>
      <c r="H1408" s="8">
        <f t="shared" si="23"/>
        <v>3.5736950497433791E-3</v>
      </c>
    </row>
    <row r="1409" spans="2:8" x14ac:dyDescent="0.2">
      <c r="B1409" s="5">
        <v>44776</v>
      </c>
      <c r="C1409" s="6" t="s">
        <v>17</v>
      </c>
      <c r="D1409" s="7">
        <v>77.260002</v>
      </c>
      <c r="E1409" s="7">
        <v>74.019571999999997</v>
      </c>
      <c r="F1409" s="7">
        <v>78.430000000000007</v>
      </c>
      <c r="G1409" s="7">
        <v>76.75</v>
      </c>
      <c r="H1409" s="8">
        <f t="shared" si="23"/>
        <v>-1.7423312377844842E-2</v>
      </c>
    </row>
    <row r="1410" spans="2:8" x14ac:dyDescent="0.2">
      <c r="B1410" s="5">
        <v>44777</v>
      </c>
      <c r="C1410" s="6" t="s">
        <v>17</v>
      </c>
      <c r="D1410" s="7">
        <v>76.599997999999999</v>
      </c>
      <c r="E1410" s="7">
        <v>73.387249999999995</v>
      </c>
      <c r="F1410" s="7">
        <v>77.860000999999997</v>
      </c>
      <c r="G1410" s="7">
        <v>76.319999999999993</v>
      </c>
      <c r="H1410" s="8">
        <f t="shared" si="23"/>
        <v>-8.5426350364319267E-3</v>
      </c>
    </row>
    <row r="1411" spans="2:8" x14ac:dyDescent="0.2">
      <c r="B1411" s="5">
        <v>44778</v>
      </c>
      <c r="C1411" s="6" t="s">
        <v>17</v>
      </c>
      <c r="D1411" s="7">
        <v>76.879997000000003</v>
      </c>
      <c r="E1411" s="7">
        <v>73.655506000000003</v>
      </c>
      <c r="F1411" s="7">
        <v>77.919998000000007</v>
      </c>
      <c r="G1411" s="7">
        <v>76.720000999999996</v>
      </c>
      <c r="H1411" s="8">
        <f t="shared" si="23"/>
        <v>3.6553395210271893E-3</v>
      </c>
    </row>
    <row r="1412" spans="2:8" x14ac:dyDescent="0.2">
      <c r="B1412" s="5">
        <v>44779</v>
      </c>
      <c r="C1412" s="6" t="s">
        <v>17</v>
      </c>
      <c r="D1412" s="7">
        <v>77.459998999999996</v>
      </c>
      <c r="E1412" s="7">
        <v>74.211180999999996</v>
      </c>
      <c r="F1412" s="7">
        <v>77.650002000000001</v>
      </c>
      <c r="G1412" s="7">
        <v>76.180000000000007</v>
      </c>
      <c r="H1412" s="8">
        <f t="shared" ref="H1412:H1475" si="24">(D1412-D1411)/D1411</f>
        <v>7.5442510748276069E-3</v>
      </c>
    </row>
    <row r="1413" spans="2:8" x14ac:dyDescent="0.2">
      <c r="B1413" s="5">
        <v>44780</v>
      </c>
      <c r="C1413" s="6" t="s">
        <v>17</v>
      </c>
      <c r="D1413" s="7">
        <v>77.290001000000004</v>
      </c>
      <c r="E1413" s="7">
        <v>74.048312999999993</v>
      </c>
      <c r="F1413" s="7">
        <v>78.150002000000001</v>
      </c>
      <c r="G1413" s="7">
        <v>76.940002000000007</v>
      </c>
      <c r="H1413" s="8">
        <f t="shared" si="24"/>
        <v>-2.1946553342970291E-3</v>
      </c>
    </row>
    <row r="1414" spans="2:8" x14ac:dyDescent="0.2">
      <c r="B1414" s="5">
        <v>44783</v>
      </c>
      <c r="C1414" s="6" t="s">
        <v>17</v>
      </c>
      <c r="D1414" s="7">
        <v>80.160004000000001</v>
      </c>
      <c r="E1414" s="7">
        <v>76.797942000000006</v>
      </c>
      <c r="F1414" s="7">
        <v>80.309997999999993</v>
      </c>
      <c r="G1414" s="7">
        <v>77.900002000000001</v>
      </c>
      <c r="H1414" s="8">
        <f t="shared" si="24"/>
        <v>3.7132914515035351E-2</v>
      </c>
    </row>
    <row r="1415" spans="2:8" x14ac:dyDescent="0.2">
      <c r="B1415" s="5">
        <v>44784</v>
      </c>
      <c r="C1415" s="6" t="s">
        <v>17</v>
      </c>
      <c r="D1415" s="7">
        <v>78.040001000000004</v>
      </c>
      <c r="E1415" s="7">
        <v>74.766856000000004</v>
      </c>
      <c r="F1415" s="7">
        <v>78.930000000000007</v>
      </c>
      <c r="G1415" s="7">
        <v>77.230002999999996</v>
      </c>
      <c r="H1415" s="8">
        <f t="shared" si="24"/>
        <v>-2.6447141893855157E-2</v>
      </c>
    </row>
    <row r="1416" spans="2:8" x14ac:dyDescent="0.2">
      <c r="B1416" s="5">
        <v>44785</v>
      </c>
      <c r="C1416" s="6" t="s">
        <v>17</v>
      </c>
      <c r="D1416" s="7">
        <v>78.919998000000007</v>
      </c>
      <c r="E1416" s="7">
        <v>75.609944999999996</v>
      </c>
      <c r="F1416" s="7">
        <v>79.120002999999997</v>
      </c>
      <c r="G1416" s="7">
        <v>76.919998000000007</v>
      </c>
      <c r="H1416" s="8">
        <f t="shared" si="24"/>
        <v>1.1276229993897656E-2</v>
      </c>
    </row>
    <row r="1417" spans="2:8" x14ac:dyDescent="0.2">
      <c r="B1417" s="5">
        <v>44786</v>
      </c>
      <c r="C1417" s="6" t="s">
        <v>17</v>
      </c>
      <c r="D1417" s="7">
        <v>77.760002</v>
      </c>
      <c r="E1417" s="7">
        <v>74.498600999999994</v>
      </c>
      <c r="F1417" s="7">
        <v>78.580001999999993</v>
      </c>
      <c r="G1417" s="7">
        <v>77.699996999999996</v>
      </c>
      <c r="H1417" s="8">
        <f t="shared" si="24"/>
        <v>-1.4698378476897664E-2</v>
      </c>
    </row>
    <row r="1418" spans="2:8" x14ac:dyDescent="0.2">
      <c r="B1418" s="5">
        <v>44787</v>
      </c>
      <c r="C1418" s="6" t="s">
        <v>17</v>
      </c>
      <c r="D1418" s="7">
        <v>78.489998</v>
      </c>
      <c r="E1418" s="7">
        <v>75.197980000000001</v>
      </c>
      <c r="F1418" s="7">
        <v>78.730002999999996</v>
      </c>
      <c r="G1418" s="7">
        <v>77.599997999999999</v>
      </c>
      <c r="H1418" s="8">
        <f t="shared" si="24"/>
        <v>9.3878084005193287E-3</v>
      </c>
    </row>
    <row r="1419" spans="2:8" x14ac:dyDescent="0.2">
      <c r="B1419" s="5">
        <v>44790</v>
      </c>
      <c r="C1419" s="6" t="s">
        <v>17</v>
      </c>
      <c r="D1419" s="7">
        <v>78.540001000000004</v>
      </c>
      <c r="E1419" s="7">
        <v>75.245885999999999</v>
      </c>
      <c r="F1419" s="7">
        <v>78.639999000000003</v>
      </c>
      <c r="G1419" s="7">
        <v>77.209998999999996</v>
      </c>
      <c r="H1419" s="8">
        <f t="shared" si="24"/>
        <v>6.3706206235352174E-4</v>
      </c>
    </row>
    <row r="1420" spans="2:8" x14ac:dyDescent="0.2">
      <c r="B1420" s="5">
        <v>44791</v>
      </c>
      <c r="C1420" s="6" t="s">
        <v>17</v>
      </c>
      <c r="D1420" s="7">
        <v>78.819999999999993</v>
      </c>
      <c r="E1420" s="7">
        <v>75.514140999999995</v>
      </c>
      <c r="F1420" s="7">
        <v>79</v>
      </c>
      <c r="G1420" s="7">
        <v>78.180000000000007</v>
      </c>
      <c r="H1420" s="8">
        <f t="shared" si="24"/>
        <v>3.565049610834477E-3</v>
      </c>
    </row>
    <row r="1421" spans="2:8" x14ac:dyDescent="0.2">
      <c r="B1421" s="5">
        <v>44792</v>
      </c>
      <c r="C1421" s="6" t="s">
        <v>17</v>
      </c>
      <c r="D1421" s="7">
        <v>77.410004000000001</v>
      </c>
      <c r="E1421" s="7">
        <v>74.163281999999995</v>
      </c>
      <c r="F1421" s="7">
        <v>78.540001000000004</v>
      </c>
      <c r="G1421" s="7">
        <v>77.050003000000004</v>
      </c>
      <c r="H1421" s="8">
        <f t="shared" si="24"/>
        <v>-1.7888809946713938E-2</v>
      </c>
    </row>
    <row r="1422" spans="2:8" x14ac:dyDescent="0.2">
      <c r="B1422" s="5">
        <v>44793</v>
      </c>
      <c r="C1422" s="6" t="s">
        <v>17</v>
      </c>
      <c r="D1422" s="7">
        <v>76.410004000000001</v>
      </c>
      <c r="E1422" s="7">
        <v>73.205224000000001</v>
      </c>
      <c r="F1422" s="7">
        <v>77.830001999999993</v>
      </c>
      <c r="G1422" s="7">
        <v>76.410004000000001</v>
      </c>
      <c r="H1422" s="8">
        <f t="shared" si="24"/>
        <v>-1.2918226951648265E-2</v>
      </c>
    </row>
    <row r="1423" spans="2:8" x14ac:dyDescent="0.2">
      <c r="B1423" s="5">
        <v>44794</v>
      </c>
      <c r="C1423" s="6" t="s">
        <v>17</v>
      </c>
      <c r="D1423" s="7">
        <v>75</v>
      </c>
      <c r="E1423" s="7">
        <v>71.854359000000002</v>
      </c>
      <c r="F1423" s="7">
        <v>76.300003000000004</v>
      </c>
      <c r="G1423" s="7">
        <v>74.959998999999996</v>
      </c>
      <c r="H1423" s="8">
        <f t="shared" si="24"/>
        <v>-1.8453133440485107E-2</v>
      </c>
    </row>
    <row r="1424" spans="2:8" x14ac:dyDescent="0.2">
      <c r="B1424" s="5">
        <v>44797</v>
      </c>
      <c r="C1424" s="6" t="s">
        <v>17</v>
      </c>
      <c r="D1424" s="7">
        <v>72.819999999999993</v>
      </c>
      <c r="E1424" s="7">
        <v>69.765792000000005</v>
      </c>
      <c r="F1424" s="7">
        <v>74.879997000000003</v>
      </c>
      <c r="G1424" s="7">
        <v>70.230002999999996</v>
      </c>
      <c r="H1424" s="8">
        <f t="shared" si="24"/>
        <v>-2.9066666666666758E-2</v>
      </c>
    </row>
    <row r="1425" spans="2:8" x14ac:dyDescent="0.2">
      <c r="B1425" s="5">
        <v>44798</v>
      </c>
      <c r="C1425" s="6" t="s">
        <v>17</v>
      </c>
      <c r="D1425" s="7">
        <v>72.059997999999993</v>
      </c>
      <c r="E1425" s="7">
        <v>69.037666000000002</v>
      </c>
      <c r="F1425" s="7">
        <v>75.489998</v>
      </c>
      <c r="G1425" s="7">
        <v>72.029999000000004</v>
      </c>
      <c r="H1425" s="8">
        <f t="shared" si="24"/>
        <v>-1.0436720681131559E-2</v>
      </c>
    </row>
    <row r="1426" spans="2:8" x14ac:dyDescent="0.2">
      <c r="B1426" s="5">
        <v>44799</v>
      </c>
      <c r="C1426" s="6" t="s">
        <v>17</v>
      </c>
      <c r="D1426" s="7">
        <v>73.870002999999997</v>
      </c>
      <c r="E1426" s="7">
        <v>70.771755999999996</v>
      </c>
      <c r="F1426" s="7">
        <v>74.080001999999993</v>
      </c>
      <c r="G1426" s="7">
        <v>72.529999000000004</v>
      </c>
      <c r="H1426" s="8">
        <f t="shared" si="24"/>
        <v>2.5118027341605034E-2</v>
      </c>
    </row>
    <row r="1427" spans="2:8" x14ac:dyDescent="0.2">
      <c r="B1427" s="5">
        <v>44800</v>
      </c>
      <c r="C1427" s="6" t="s">
        <v>17</v>
      </c>
      <c r="D1427" s="7">
        <v>75.660004000000001</v>
      </c>
      <c r="E1427" s="7">
        <v>72.486681000000004</v>
      </c>
      <c r="F1427" s="7">
        <v>76.220000999999996</v>
      </c>
      <c r="G1427" s="7">
        <v>74.230002999999996</v>
      </c>
      <c r="H1427" s="8">
        <f t="shared" si="24"/>
        <v>2.423177104785015E-2</v>
      </c>
    </row>
    <row r="1428" spans="2:8" x14ac:dyDescent="0.2">
      <c r="B1428" s="5">
        <v>44801</v>
      </c>
      <c r="C1428" s="6" t="s">
        <v>17</v>
      </c>
      <c r="D1428" s="7">
        <v>75.949996999999996</v>
      </c>
      <c r="E1428" s="7">
        <v>72.764510999999999</v>
      </c>
      <c r="F1428" s="7">
        <v>76.019997000000004</v>
      </c>
      <c r="G1428" s="7">
        <v>74.629997000000003</v>
      </c>
      <c r="H1428" s="8">
        <f t="shared" si="24"/>
        <v>3.8328441008276381E-3</v>
      </c>
    </row>
    <row r="1429" spans="2:8" x14ac:dyDescent="0.2">
      <c r="B1429" s="5">
        <v>44804</v>
      </c>
      <c r="C1429" s="6" t="s">
        <v>17</v>
      </c>
      <c r="D1429" s="7">
        <v>76.440002000000007</v>
      </c>
      <c r="E1429" s="7">
        <v>73.233964999999998</v>
      </c>
      <c r="F1429" s="7">
        <v>76.769997000000004</v>
      </c>
      <c r="G1429" s="7">
        <v>74.900002000000001</v>
      </c>
      <c r="H1429" s="8">
        <f t="shared" si="24"/>
        <v>6.4516789908498707E-3</v>
      </c>
    </row>
    <row r="1430" spans="2:8" x14ac:dyDescent="0.2">
      <c r="B1430" s="5">
        <v>44805</v>
      </c>
      <c r="C1430" s="6" t="s">
        <v>17</v>
      </c>
      <c r="D1430" s="7">
        <v>74.900002000000001</v>
      </c>
      <c r="E1430" s="7">
        <v>71.758555000000001</v>
      </c>
      <c r="F1430" s="7">
        <v>75.940002000000007</v>
      </c>
      <c r="G1430" s="7">
        <v>74.459998999999996</v>
      </c>
      <c r="H1430" s="8">
        <f t="shared" si="24"/>
        <v>-2.0146519619400404E-2</v>
      </c>
    </row>
    <row r="1431" spans="2:8" x14ac:dyDescent="0.2">
      <c r="B1431" s="5">
        <v>44806</v>
      </c>
      <c r="C1431" s="6" t="s">
        <v>17</v>
      </c>
      <c r="D1431" s="7">
        <v>76.099997999999999</v>
      </c>
      <c r="E1431" s="7">
        <v>72.908220999999998</v>
      </c>
      <c r="F1431" s="7">
        <v>76.160004000000001</v>
      </c>
      <c r="G1431" s="7">
        <v>74.949996999999996</v>
      </c>
      <c r="H1431" s="8">
        <f t="shared" si="24"/>
        <v>1.6021307983409651E-2</v>
      </c>
    </row>
    <row r="1432" spans="2:8" x14ac:dyDescent="0.2">
      <c r="B1432" s="5">
        <v>44807</v>
      </c>
      <c r="C1432" s="6" t="s">
        <v>17</v>
      </c>
      <c r="D1432" s="7">
        <v>74.449996999999996</v>
      </c>
      <c r="E1432" s="7">
        <v>71.327423999999993</v>
      </c>
      <c r="F1432" s="7">
        <v>76.010002</v>
      </c>
      <c r="G1432" s="7">
        <v>73.779999000000004</v>
      </c>
      <c r="H1432" s="8">
        <f t="shared" si="24"/>
        <v>-2.1682011082313081E-2</v>
      </c>
    </row>
    <row r="1433" spans="2:8" x14ac:dyDescent="0.2">
      <c r="B1433" s="5">
        <v>44808</v>
      </c>
      <c r="C1433" s="6" t="s">
        <v>17</v>
      </c>
      <c r="D1433" s="7">
        <v>73.099997999999999</v>
      </c>
      <c r="E1433" s="7">
        <v>70.034047000000001</v>
      </c>
      <c r="F1433" s="7">
        <v>73.660004000000001</v>
      </c>
      <c r="G1433" s="7">
        <v>72.349997999999999</v>
      </c>
      <c r="H1433" s="8">
        <f t="shared" si="24"/>
        <v>-1.8132962449951433E-2</v>
      </c>
    </row>
    <row r="1434" spans="2:8" x14ac:dyDescent="0.2">
      <c r="B1434" s="5">
        <v>44812</v>
      </c>
      <c r="C1434" s="6" t="s">
        <v>17</v>
      </c>
      <c r="D1434" s="7">
        <v>74.300003000000004</v>
      </c>
      <c r="E1434" s="7">
        <v>71.183721000000006</v>
      </c>
      <c r="F1434" s="7">
        <v>74.620002999999997</v>
      </c>
      <c r="G1434" s="7">
        <v>73.559997999999993</v>
      </c>
      <c r="H1434" s="8">
        <f t="shared" si="24"/>
        <v>1.6415937521639938E-2</v>
      </c>
    </row>
    <row r="1435" spans="2:8" x14ac:dyDescent="0.2">
      <c r="B1435" s="5">
        <v>44813</v>
      </c>
      <c r="C1435" s="6" t="s">
        <v>17</v>
      </c>
      <c r="D1435" s="7">
        <v>72.959998999999996</v>
      </c>
      <c r="E1435" s="7">
        <v>69.899918999999997</v>
      </c>
      <c r="F1435" s="7">
        <v>75.199996999999996</v>
      </c>
      <c r="G1435" s="7">
        <v>72.779999000000004</v>
      </c>
      <c r="H1435" s="8">
        <f t="shared" si="24"/>
        <v>-1.8035046378127435E-2</v>
      </c>
    </row>
    <row r="1436" spans="2:8" x14ac:dyDescent="0.2">
      <c r="B1436" s="5">
        <v>44814</v>
      </c>
      <c r="C1436" s="6" t="s">
        <v>17</v>
      </c>
      <c r="D1436" s="7">
        <v>72.419998000000007</v>
      </c>
      <c r="E1436" s="7">
        <v>69.382566999999995</v>
      </c>
      <c r="F1436" s="7">
        <v>73.309997999999993</v>
      </c>
      <c r="G1436" s="7">
        <v>72.029999000000004</v>
      </c>
      <c r="H1436" s="8">
        <f t="shared" si="24"/>
        <v>-7.4013295970575543E-3</v>
      </c>
    </row>
    <row r="1437" spans="2:8" x14ac:dyDescent="0.2">
      <c r="B1437" s="5">
        <v>44815</v>
      </c>
      <c r="C1437" s="6" t="s">
        <v>17</v>
      </c>
      <c r="D1437" s="7">
        <v>72.629997000000003</v>
      </c>
      <c r="E1437" s="7">
        <v>69.583759000000001</v>
      </c>
      <c r="F1437" s="7">
        <v>72.919998000000007</v>
      </c>
      <c r="G1437" s="7">
        <v>71.879997000000003</v>
      </c>
      <c r="H1437" s="8">
        <f t="shared" si="24"/>
        <v>2.8997377216165659E-3</v>
      </c>
    </row>
    <row r="1438" spans="2:8" x14ac:dyDescent="0.2">
      <c r="B1438" s="5">
        <v>44818</v>
      </c>
      <c r="C1438" s="6" t="s">
        <v>17</v>
      </c>
      <c r="D1438" s="7">
        <v>72.769997000000004</v>
      </c>
      <c r="E1438" s="7">
        <v>69.717885999999993</v>
      </c>
      <c r="F1438" s="7">
        <v>72.889999000000003</v>
      </c>
      <c r="G1438" s="7">
        <v>72.010002</v>
      </c>
      <c r="H1438" s="8">
        <f t="shared" si="24"/>
        <v>1.927578215375674E-3</v>
      </c>
    </row>
    <row r="1439" spans="2:8" x14ac:dyDescent="0.2">
      <c r="B1439" s="5">
        <v>44819</v>
      </c>
      <c r="C1439" s="6" t="s">
        <v>17</v>
      </c>
      <c r="D1439" s="7">
        <v>74.580001999999993</v>
      </c>
      <c r="E1439" s="7">
        <v>71.451976000000002</v>
      </c>
      <c r="F1439" s="7">
        <v>74.739998</v>
      </c>
      <c r="G1439" s="7">
        <v>72.650002000000001</v>
      </c>
      <c r="H1439" s="8">
        <f t="shared" si="24"/>
        <v>2.4872956913822457E-2</v>
      </c>
    </row>
    <row r="1440" spans="2:8" x14ac:dyDescent="0.2">
      <c r="B1440" s="5">
        <v>44820</v>
      </c>
      <c r="C1440" s="6" t="s">
        <v>17</v>
      </c>
      <c r="D1440" s="7">
        <v>75.639999000000003</v>
      </c>
      <c r="E1440" s="7">
        <v>72.467516000000003</v>
      </c>
      <c r="F1440" s="7">
        <v>75.870002999999997</v>
      </c>
      <c r="G1440" s="7">
        <v>74.580001999999993</v>
      </c>
      <c r="H1440" s="8">
        <f t="shared" si="24"/>
        <v>1.4212885110944486E-2</v>
      </c>
    </row>
    <row r="1441" spans="2:8" x14ac:dyDescent="0.2">
      <c r="B1441" s="5">
        <v>44821</v>
      </c>
      <c r="C1441" s="6" t="s">
        <v>17</v>
      </c>
      <c r="D1441" s="7">
        <v>74.059997999999993</v>
      </c>
      <c r="E1441" s="7">
        <v>70.953782000000004</v>
      </c>
      <c r="F1441" s="7">
        <v>75.680000000000007</v>
      </c>
      <c r="G1441" s="7">
        <v>73.910004000000001</v>
      </c>
      <c r="H1441" s="8">
        <f t="shared" si="24"/>
        <v>-2.0888432322692257E-2</v>
      </c>
    </row>
    <row r="1442" spans="2:8" x14ac:dyDescent="0.2">
      <c r="B1442" s="5">
        <v>44822</v>
      </c>
      <c r="C1442" s="6" t="s">
        <v>17</v>
      </c>
      <c r="D1442" s="7">
        <v>71.860000999999997</v>
      </c>
      <c r="E1442" s="7">
        <v>68.846057000000002</v>
      </c>
      <c r="F1442" s="7">
        <v>73.5</v>
      </c>
      <c r="G1442" s="7">
        <v>71.610000999999997</v>
      </c>
      <c r="H1442" s="8">
        <f t="shared" si="24"/>
        <v>-2.9705604366880977E-2</v>
      </c>
    </row>
    <row r="1443" spans="2:8" x14ac:dyDescent="0.2">
      <c r="B1443" s="5">
        <v>44825</v>
      </c>
      <c r="C1443" s="6" t="s">
        <v>17</v>
      </c>
      <c r="D1443" s="7">
        <v>72.160004000000001</v>
      </c>
      <c r="E1443" s="7">
        <v>69.133476999999999</v>
      </c>
      <c r="F1443" s="7">
        <v>72.839995999999999</v>
      </c>
      <c r="G1443" s="7">
        <v>71.910004000000001</v>
      </c>
      <c r="H1443" s="8">
        <f t="shared" si="24"/>
        <v>4.1748259925574425E-3</v>
      </c>
    </row>
    <row r="1444" spans="2:8" x14ac:dyDescent="0.2">
      <c r="B1444" s="5">
        <v>44826</v>
      </c>
      <c r="C1444" s="6" t="s">
        <v>17</v>
      </c>
      <c r="D1444" s="7">
        <v>71.680000000000007</v>
      </c>
      <c r="E1444" s="7">
        <v>68.673606000000007</v>
      </c>
      <c r="F1444" s="7">
        <v>71.800003000000004</v>
      </c>
      <c r="G1444" s="7">
        <v>70.639999000000003</v>
      </c>
      <c r="H1444" s="8">
        <f t="shared" si="24"/>
        <v>-6.651939764304806E-3</v>
      </c>
    </row>
    <row r="1445" spans="2:8" x14ac:dyDescent="0.2">
      <c r="B1445" s="5">
        <v>44827</v>
      </c>
      <c r="C1445" s="6" t="s">
        <v>17</v>
      </c>
      <c r="D1445" s="7">
        <v>70.199996999999996</v>
      </c>
      <c r="E1445" s="7">
        <v>67.255677000000006</v>
      </c>
      <c r="F1445" s="7">
        <v>71.809997999999993</v>
      </c>
      <c r="G1445" s="7">
        <v>70.160004000000001</v>
      </c>
      <c r="H1445" s="8">
        <f t="shared" si="24"/>
        <v>-2.0647363281250147E-2</v>
      </c>
    </row>
    <row r="1446" spans="2:8" x14ac:dyDescent="0.2">
      <c r="B1446" s="5">
        <v>44828</v>
      </c>
      <c r="C1446" s="6" t="s">
        <v>17</v>
      </c>
      <c r="D1446" s="7">
        <v>65.800003000000004</v>
      </c>
      <c r="E1446" s="7">
        <v>63.040227000000002</v>
      </c>
      <c r="F1446" s="7">
        <v>66.699996999999996</v>
      </c>
      <c r="G1446" s="7">
        <v>64.650002000000001</v>
      </c>
      <c r="H1446" s="8">
        <f t="shared" si="24"/>
        <v>-6.2677979886523252E-2</v>
      </c>
    </row>
    <row r="1447" spans="2:8" x14ac:dyDescent="0.2">
      <c r="B1447" s="5">
        <v>44829</v>
      </c>
      <c r="C1447" s="6" t="s">
        <v>17</v>
      </c>
      <c r="D1447" s="7">
        <v>64.980002999999996</v>
      </c>
      <c r="E1447" s="7">
        <v>62.254620000000003</v>
      </c>
      <c r="F1447" s="7">
        <v>65.769997000000004</v>
      </c>
      <c r="G1447" s="7">
        <v>64.739998</v>
      </c>
      <c r="H1447" s="8">
        <f t="shared" si="24"/>
        <v>-1.2462005510850924E-2</v>
      </c>
    </row>
    <row r="1448" spans="2:8" x14ac:dyDescent="0.2">
      <c r="B1448" s="5">
        <v>44832</v>
      </c>
      <c r="C1448" s="6" t="s">
        <v>17</v>
      </c>
      <c r="D1448" s="7">
        <v>63.790000999999997</v>
      </c>
      <c r="E1448" s="7">
        <v>61.114528</v>
      </c>
      <c r="F1448" s="7">
        <v>64.319999999999993</v>
      </c>
      <c r="G1448" s="7">
        <v>62.990001999999997</v>
      </c>
      <c r="H1448" s="8">
        <f t="shared" si="24"/>
        <v>-1.8313357110802224E-2</v>
      </c>
    </row>
    <row r="1449" spans="2:8" x14ac:dyDescent="0.2">
      <c r="B1449" s="5">
        <v>44833</v>
      </c>
      <c r="C1449" s="6" t="s">
        <v>17</v>
      </c>
      <c r="D1449" s="7">
        <v>64.309997999999993</v>
      </c>
      <c r="E1449" s="7">
        <v>61.612715000000001</v>
      </c>
      <c r="F1449" s="7">
        <v>65.389999000000003</v>
      </c>
      <c r="G1449" s="7">
        <v>63.599997999999999</v>
      </c>
      <c r="H1449" s="8">
        <f t="shared" si="24"/>
        <v>8.1517007657672946E-3</v>
      </c>
    </row>
    <row r="1450" spans="2:8" x14ac:dyDescent="0.2">
      <c r="B1450" s="5">
        <v>44834</v>
      </c>
      <c r="C1450" s="6" t="s">
        <v>17</v>
      </c>
      <c r="D1450" s="7">
        <v>65.360000999999997</v>
      </c>
      <c r="E1450" s="7">
        <v>62.618679</v>
      </c>
      <c r="F1450" s="7">
        <v>65.639999000000003</v>
      </c>
      <c r="G1450" s="7">
        <v>64.150002000000001</v>
      </c>
      <c r="H1450" s="8">
        <f t="shared" si="24"/>
        <v>1.6327212449921146E-2</v>
      </c>
    </row>
    <row r="1451" spans="2:8" x14ac:dyDescent="0.2">
      <c r="B1451" s="5">
        <v>44835</v>
      </c>
      <c r="C1451" s="6" t="s">
        <v>17</v>
      </c>
      <c r="D1451" s="7">
        <v>64.389999000000003</v>
      </c>
      <c r="E1451" s="7">
        <v>61.689362000000003</v>
      </c>
      <c r="F1451" s="7">
        <v>66.099997999999999</v>
      </c>
      <c r="G1451" s="7">
        <v>63.610000999999997</v>
      </c>
      <c r="H1451" s="8">
        <f t="shared" si="24"/>
        <v>-1.4840911645640793E-2</v>
      </c>
    </row>
    <row r="1452" spans="2:8" x14ac:dyDescent="0.2">
      <c r="B1452" s="5">
        <v>44836</v>
      </c>
      <c r="C1452" s="6" t="s">
        <v>17</v>
      </c>
      <c r="D1452" s="7">
        <v>65.699996999999996</v>
      </c>
      <c r="E1452" s="7">
        <v>62.944414999999999</v>
      </c>
      <c r="F1452" s="7">
        <v>65.730002999999996</v>
      </c>
      <c r="G1452" s="7">
        <v>63.099997999999999</v>
      </c>
      <c r="H1452" s="8">
        <f t="shared" si="24"/>
        <v>2.0344743288472376E-2</v>
      </c>
    </row>
    <row r="1453" spans="2:8" x14ac:dyDescent="0.2">
      <c r="B1453" s="5">
        <v>44839</v>
      </c>
      <c r="C1453" s="6" t="s">
        <v>17</v>
      </c>
      <c r="D1453" s="7">
        <v>69.180000000000007</v>
      </c>
      <c r="E1453" s="7">
        <v>66.278460999999993</v>
      </c>
      <c r="F1453" s="7">
        <v>69.480002999999996</v>
      </c>
      <c r="G1453" s="7">
        <v>66.519997000000004</v>
      </c>
      <c r="H1453" s="8">
        <f t="shared" si="24"/>
        <v>5.2968084610414988E-2</v>
      </c>
    </row>
    <row r="1454" spans="2:8" x14ac:dyDescent="0.2">
      <c r="B1454" s="5">
        <v>44840</v>
      </c>
      <c r="C1454" s="6" t="s">
        <v>17</v>
      </c>
      <c r="D1454" s="7">
        <v>70.819999999999993</v>
      </c>
      <c r="E1454" s="7">
        <v>67.849676000000002</v>
      </c>
      <c r="F1454" s="7">
        <v>71.150002000000001</v>
      </c>
      <c r="G1454" s="7">
        <v>69.080001999999993</v>
      </c>
      <c r="H1454" s="8">
        <f t="shared" si="24"/>
        <v>2.3706273489447618E-2</v>
      </c>
    </row>
    <row r="1455" spans="2:8" x14ac:dyDescent="0.2">
      <c r="B1455" s="5">
        <v>44841</v>
      </c>
      <c r="C1455" s="6" t="s">
        <v>17</v>
      </c>
      <c r="D1455" s="7">
        <v>70.379997000000003</v>
      </c>
      <c r="E1455" s="7">
        <v>67.428128000000001</v>
      </c>
      <c r="F1455" s="7">
        <v>72.709998999999996</v>
      </c>
      <c r="G1455" s="7">
        <v>69.150002000000001</v>
      </c>
      <c r="H1455" s="8">
        <f t="shared" si="24"/>
        <v>-6.2129765602935635E-3</v>
      </c>
    </row>
    <row r="1456" spans="2:8" x14ac:dyDescent="0.2">
      <c r="B1456" s="5">
        <v>44842</v>
      </c>
      <c r="C1456" s="6" t="s">
        <v>17</v>
      </c>
      <c r="D1456" s="7">
        <v>71.839995999999999</v>
      </c>
      <c r="E1456" s="7">
        <v>68.826892000000001</v>
      </c>
      <c r="F1456" s="7">
        <v>72.180000000000007</v>
      </c>
      <c r="G1456" s="7">
        <v>69.849997999999999</v>
      </c>
      <c r="H1456" s="8">
        <f t="shared" si="24"/>
        <v>2.0744516371604793E-2</v>
      </c>
    </row>
    <row r="1457" spans="2:8" x14ac:dyDescent="0.2">
      <c r="B1457" s="5">
        <v>44843</v>
      </c>
      <c r="C1457" s="6" t="s">
        <v>17</v>
      </c>
      <c r="D1457" s="7">
        <v>71.300003000000004</v>
      </c>
      <c r="E1457" s="7">
        <v>68.309546999999995</v>
      </c>
      <c r="F1457" s="7">
        <v>72.489998</v>
      </c>
      <c r="G1457" s="7">
        <v>70.860000999999997</v>
      </c>
      <c r="H1457" s="8">
        <f t="shared" si="24"/>
        <v>-7.5166067659579979E-3</v>
      </c>
    </row>
    <row r="1458" spans="2:8" x14ac:dyDescent="0.2">
      <c r="B1458" s="5">
        <v>44846</v>
      </c>
      <c r="C1458" s="6" t="s">
        <v>17</v>
      </c>
      <c r="D1458" s="7">
        <v>70.5</v>
      </c>
      <c r="E1458" s="7">
        <v>67.543097000000003</v>
      </c>
      <c r="F1458" s="7">
        <v>71.529999000000004</v>
      </c>
      <c r="G1458" s="7">
        <v>70.319999999999993</v>
      </c>
      <c r="H1458" s="8">
        <f t="shared" si="24"/>
        <v>-1.122023795707279E-2</v>
      </c>
    </row>
    <row r="1459" spans="2:8" x14ac:dyDescent="0.2">
      <c r="B1459" s="5">
        <v>44847</v>
      </c>
      <c r="C1459" s="6" t="s">
        <v>17</v>
      </c>
      <c r="D1459" s="7">
        <v>70.169998000000007</v>
      </c>
      <c r="E1459" s="7">
        <v>67.226935999999995</v>
      </c>
      <c r="F1459" s="7">
        <v>71.029999000000004</v>
      </c>
      <c r="G1459" s="7">
        <v>69.260002</v>
      </c>
      <c r="H1459" s="8">
        <f t="shared" si="24"/>
        <v>-4.680879432624018E-3</v>
      </c>
    </row>
    <row r="1460" spans="2:8" x14ac:dyDescent="0.2">
      <c r="B1460" s="5">
        <v>44848</v>
      </c>
      <c r="C1460" s="6" t="s">
        <v>17</v>
      </c>
      <c r="D1460" s="7">
        <v>70.709998999999996</v>
      </c>
      <c r="E1460" s="7">
        <v>67.744288999999995</v>
      </c>
      <c r="F1460" s="7">
        <v>71.059997999999993</v>
      </c>
      <c r="G1460" s="7">
        <v>69.569999999999993</v>
      </c>
      <c r="H1460" s="8">
        <f t="shared" si="24"/>
        <v>7.695610879167895E-3</v>
      </c>
    </row>
    <row r="1461" spans="2:8" x14ac:dyDescent="0.2">
      <c r="B1461" s="5">
        <v>44849</v>
      </c>
      <c r="C1461" s="6" t="s">
        <v>17</v>
      </c>
      <c r="D1461" s="7">
        <v>70.830001999999993</v>
      </c>
      <c r="E1461" s="7">
        <v>67.859257999999997</v>
      </c>
      <c r="F1461" s="7">
        <v>70.919998000000007</v>
      </c>
      <c r="G1461" s="7">
        <v>69.760002</v>
      </c>
      <c r="H1461" s="8">
        <f t="shared" si="24"/>
        <v>1.6971150006662703E-3</v>
      </c>
    </row>
    <row r="1462" spans="2:8" x14ac:dyDescent="0.2">
      <c r="B1462" s="5">
        <v>44850</v>
      </c>
      <c r="C1462" s="6" t="s">
        <v>17</v>
      </c>
      <c r="D1462" s="7">
        <v>69.680000000000007</v>
      </c>
      <c r="E1462" s="7">
        <v>66.757490000000004</v>
      </c>
      <c r="F1462" s="7">
        <v>70.830001999999993</v>
      </c>
      <c r="G1462" s="7">
        <v>69.110000999999997</v>
      </c>
      <c r="H1462" s="8">
        <f t="shared" si="24"/>
        <v>-1.6236085945613647E-2</v>
      </c>
    </row>
    <row r="1463" spans="2:8" x14ac:dyDescent="0.2">
      <c r="B1463" s="5">
        <v>44853</v>
      </c>
      <c r="C1463" s="6" t="s">
        <v>17</v>
      </c>
      <c r="D1463" s="7">
        <v>69.269997000000004</v>
      </c>
      <c r="E1463" s="7">
        <v>66.364682999999999</v>
      </c>
      <c r="F1463" s="7">
        <v>69.470000999999996</v>
      </c>
      <c r="G1463" s="7">
        <v>68.800003000000004</v>
      </c>
      <c r="H1463" s="8">
        <f t="shared" si="24"/>
        <v>-5.8840843857635361E-3</v>
      </c>
    </row>
    <row r="1464" spans="2:8" x14ac:dyDescent="0.2">
      <c r="B1464" s="5">
        <v>44854</v>
      </c>
      <c r="C1464" s="6" t="s">
        <v>17</v>
      </c>
      <c r="D1464" s="7">
        <v>70.269997000000004</v>
      </c>
      <c r="E1464" s="7">
        <v>67.322740999999994</v>
      </c>
      <c r="F1464" s="7">
        <v>71.190002000000007</v>
      </c>
      <c r="G1464" s="7">
        <v>68.510002</v>
      </c>
      <c r="H1464" s="8">
        <f t="shared" si="24"/>
        <v>1.4436264520121171E-2</v>
      </c>
    </row>
    <row r="1465" spans="2:8" x14ac:dyDescent="0.2">
      <c r="B1465" s="5">
        <v>44855</v>
      </c>
      <c r="C1465" s="6" t="s">
        <v>17</v>
      </c>
      <c r="D1465" s="7">
        <v>69.669998000000007</v>
      </c>
      <c r="E1465" s="7">
        <v>66.747906999999998</v>
      </c>
      <c r="F1465" s="7">
        <v>71.900002000000001</v>
      </c>
      <c r="G1465" s="7">
        <v>69.580001999999993</v>
      </c>
      <c r="H1465" s="8">
        <f t="shared" si="24"/>
        <v>-8.5384805125293638E-3</v>
      </c>
    </row>
    <row r="1466" spans="2:8" x14ac:dyDescent="0.2">
      <c r="B1466" s="5">
        <v>44856</v>
      </c>
      <c r="C1466" s="6" t="s">
        <v>17</v>
      </c>
      <c r="D1466" s="7">
        <v>70.879997000000003</v>
      </c>
      <c r="E1466" s="7">
        <v>68.666058000000007</v>
      </c>
      <c r="F1466" s="7">
        <v>72.830001999999993</v>
      </c>
      <c r="G1466" s="7">
        <v>67.809997999999993</v>
      </c>
      <c r="H1466" s="8">
        <f t="shared" si="24"/>
        <v>1.7367576212647461E-2</v>
      </c>
    </row>
    <row r="1467" spans="2:8" x14ac:dyDescent="0.2">
      <c r="B1467" s="5">
        <v>44857</v>
      </c>
      <c r="C1467" s="6" t="s">
        <v>17</v>
      </c>
      <c r="D1467" s="7">
        <v>71.75</v>
      </c>
      <c r="E1467" s="7">
        <v>69.508886000000004</v>
      </c>
      <c r="F1467" s="7">
        <v>72.430000000000007</v>
      </c>
      <c r="G1467" s="7">
        <v>70.660004000000001</v>
      </c>
      <c r="H1467" s="8">
        <f t="shared" si="24"/>
        <v>1.2274309210255708E-2</v>
      </c>
    </row>
    <row r="1468" spans="2:8" x14ac:dyDescent="0.2">
      <c r="B1468" s="5">
        <v>44860</v>
      </c>
      <c r="C1468" s="6" t="s">
        <v>17</v>
      </c>
      <c r="D1468" s="7">
        <v>71.519997000000004</v>
      </c>
      <c r="E1468" s="7">
        <v>69.286067000000003</v>
      </c>
      <c r="F1468" s="7">
        <v>72.300003000000004</v>
      </c>
      <c r="G1468" s="7">
        <v>71.419998000000007</v>
      </c>
      <c r="H1468" s="8">
        <f t="shared" si="24"/>
        <v>-3.205616724738626E-3</v>
      </c>
    </row>
    <row r="1469" spans="2:8" x14ac:dyDescent="0.2">
      <c r="B1469" s="5">
        <v>44861</v>
      </c>
      <c r="C1469" s="6" t="s">
        <v>17</v>
      </c>
      <c r="D1469" s="7">
        <v>70.389999000000003</v>
      </c>
      <c r="E1469" s="7">
        <v>68.191365000000005</v>
      </c>
      <c r="F1469" s="7">
        <v>71.080001999999993</v>
      </c>
      <c r="G1469" s="7">
        <v>68.339995999999999</v>
      </c>
      <c r="H1469" s="8">
        <f t="shared" si="24"/>
        <v>-1.5799748984888805E-2</v>
      </c>
    </row>
    <row r="1470" spans="2:8" x14ac:dyDescent="0.2">
      <c r="B1470" s="5">
        <v>44862</v>
      </c>
      <c r="C1470" s="6" t="s">
        <v>17</v>
      </c>
      <c r="D1470" s="7">
        <v>71.970000999999996</v>
      </c>
      <c r="E1470" s="7">
        <v>69.722021999999996</v>
      </c>
      <c r="F1470" s="7">
        <v>72.110000999999997</v>
      </c>
      <c r="G1470" s="7">
        <v>70.480002999999996</v>
      </c>
      <c r="H1470" s="8">
        <f t="shared" si="24"/>
        <v>2.2446398955056006E-2</v>
      </c>
    </row>
    <row r="1471" spans="2:8" x14ac:dyDescent="0.2">
      <c r="B1471" s="5">
        <v>44863</v>
      </c>
      <c r="C1471" s="6" t="s">
        <v>17</v>
      </c>
      <c r="D1471" s="7">
        <v>71.970000999999996</v>
      </c>
      <c r="E1471" s="7">
        <v>69.722021999999996</v>
      </c>
      <c r="F1471" s="7">
        <v>72.569999999999993</v>
      </c>
      <c r="G1471" s="7">
        <v>71.279999000000004</v>
      </c>
      <c r="H1471" s="8">
        <f t="shared" si="24"/>
        <v>0</v>
      </c>
    </row>
    <row r="1472" spans="2:8" x14ac:dyDescent="0.2">
      <c r="B1472" s="5">
        <v>44864</v>
      </c>
      <c r="C1472" s="6" t="s">
        <v>17</v>
      </c>
      <c r="D1472" s="7">
        <v>72.989998</v>
      </c>
      <c r="E1472" s="7">
        <v>70.710151999999994</v>
      </c>
      <c r="F1472" s="7">
        <v>73.279999000000004</v>
      </c>
      <c r="G1472" s="7">
        <v>71.629997000000003</v>
      </c>
      <c r="H1472" s="8">
        <f t="shared" si="24"/>
        <v>1.417253002400269E-2</v>
      </c>
    </row>
    <row r="1473" spans="2:8" x14ac:dyDescent="0.2">
      <c r="B1473" s="5">
        <v>44867</v>
      </c>
      <c r="C1473" s="6" t="s">
        <v>17</v>
      </c>
      <c r="D1473" s="7">
        <v>74.339995999999999</v>
      </c>
      <c r="E1473" s="7">
        <v>72.017983999999998</v>
      </c>
      <c r="F1473" s="7">
        <v>74.639999000000003</v>
      </c>
      <c r="G1473" s="7">
        <v>72.830001999999993</v>
      </c>
      <c r="H1473" s="8">
        <f t="shared" si="24"/>
        <v>1.8495657446106512E-2</v>
      </c>
    </row>
    <row r="1474" spans="2:8" x14ac:dyDescent="0.2">
      <c r="B1474" s="5">
        <v>44868</v>
      </c>
      <c r="C1474" s="6" t="s">
        <v>17</v>
      </c>
      <c r="D1474" s="7">
        <v>74.75</v>
      </c>
      <c r="E1474" s="7">
        <v>72.415181000000004</v>
      </c>
      <c r="F1474" s="7">
        <v>75.319999999999993</v>
      </c>
      <c r="G1474" s="7">
        <v>74.199996999999996</v>
      </c>
      <c r="H1474" s="8">
        <f t="shared" si="24"/>
        <v>5.5152545340465273E-3</v>
      </c>
    </row>
    <row r="1475" spans="2:8" x14ac:dyDescent="0.2">
      <c r="B1475" s="5">
        <v>44869</v>
      </c>
      <c r="C1475" s="6" t="s">
        <v>17</v>
      </c>
      <c r="D1475" s="7">
        <v>74.550003000000004</v>
      </c>
      <c r="E1475" s="7">
        <v>72.221430999999995</v>
      </c>
      <c r="F1475" s="7">
        <v>75.930000000000007</v>
      </c>
      <c r="G1475" s="7">
        <v>74.330001999999993</v>
      </c>
      <c r="H1475" s="8">
        <f t="shared" si="24"/>
        <v>-2.6755451505016217E-3</v>
      </c>
    </row>
    <row r="1476" spans="2:8" x14ac:dyDescent="0.2">
      <c r="B1476" s="5">
        <v>44870</v>
      </c>
      <c r="C1476" s="6" t="s">
        <v>17</v>
      </c>
      <c r="D1476" s="7">
        <v>74.220000999999996</v>
      </c>
      <c r="E1476" s="7">
        <v>71.901736999999997</v>
      </c>
      <c r="F1476" s="7">
        <v>75.559997999999993</v>
      </c>
      <c r="G1476" s="7">
        <v>73.209998999999996</v>
      </c>
      <c r="H1476" s="8">
        <f t="shared" ref="H1476:H1539" si="25">(D1476-D1475)/D1475</f>
        <v>-4.4265860056371484E-3</v>
      </c>
    </row>
    <row r="1477" spans="2:8" x14ac:dyDescent="0.2">
      <c r="B1477" s="5">
        <v>44871</v>
      </c>
      <c r="C1477" s="6" t="s">
        <v>17</v>
      </c>
      <c r="D1477" s="7">
        <v>73.839995999999999</v>
      </c>
      <c r="E1477" s="7">
        <v>71.533601000000004</v>
      </c>
      <c r="F1477" s="7">
        <v>73.849997999999999</v>
      </c>
      <c r="G1477" s="7">
        <v>72.330001999999993</v>
      </c>
      <c r="H1477" s="8">
        <f t="shared" si="25"/>
        <v>-5.1199810681759094E-3</v>
      </c>
    </row>
    <row r="1478" spans="2:8" x14ac:dyDescent="0.2">
      <c r="B1478" s="5">
        <v>44874</v>
      </c>
      <c r="C1478" s="6" t="s">
        <v>17</v>
      </c>
      <c r="D1478" s="7">
        <v>71.889999000000003</v>
      </c>
      <c r="E1478" s="7">
        <v>69.644512000000006</v>
      </c>
      <c r="F1478" s="7">
        <v>73.610000999999997</v>
      </c>
      <c r="G1478" s="7">
        <v>71.480002999999996</v>
      </c>
      <c r="H1478" s="8">
        <f t="shared" si="25"/>
        <v>-2.6408411506414441E-2</v>
      </c>
    </row>
    <row r="1479" spans="2:8" x14ac:dyDescent="0.2">
      <c r="B1479" s="5">
        <v>44875</v>
      </c>
      <c r="C1479" s="6" t="s">
        <v>17</v>
      </c>
      <c r="D1479" s="7">
        <v>72.430000000000007</v>
      </c>
      <c r="E1479" s="7">
        <v>70.167646000000005</v>
      </c>
      <c r="F1479" s="7">
        <v>72.580001999999993</v>
      </c>
      <c r="G1479" s="7">
        <v>71.629997000000003</v>
      </c>
      <c r="H1479" s="8">
        <f t="shared" si="25"/>
        <v>7.511489880532669E-3</v>
      </c>
    </row>
    <row r="1480" spans="2:8" x14ac:dyDescent="0.2">
      <c r="B1480" s="5">
        <v>44876</v>
      </c>
      <c r="C1480" s="6" t="s">
        <v>17</v>
      </c>
      <c r="D1480" s="7">
        <v>71.910004000000001</v>
      </c>
      <c r="E1480" s="7">
        <v>69.663892000000004</v>
      </c>
      <c r="F1480" s="7">
        <v>72.849997999999999</v>
      </c>
      <c r="G1480" s="7">
        <v>71.819999999999993</v>
      </c>
      <c r="H1480" s="8">
        <f t="shared" si="25"/>
        <v>-7.1792903493028588E-3</v>
      </c>
    </row>
    <row r="1481" spans="2:8" x14ac:dyDescent="0.2">
      <c r="B1481" s="5">
        <v>44877</v>
      </c>
      <c r="C1481" s="6" t="s">
        <v>17</v>
      </c>
      <c r="D1481" s="7">
        <v>68.660004000000001</v>
      </c>
      <c r="E1481" s="7">
        <v>66.515405999999999</v>
      </c>
      <c r="F1481" s="7">
        <v>70.989998</v>
      </c>
      <c r="G1481" s="7">
        <v>68.410004000000001</v>
      </c>
      <c r="H1481" s="8">
        <f t="shared" si="25"/>
        <v>-4.5195380603789144E-2</v>
      </c>
    </row>
    <row r="1482" spans="2:8" x14ac:dyDescent="0.2">
      <c r="B1482" s="5">
        <v>44878</v>
      </c>
      <c r="C1482" s="6" t="s">
        <v>17</v>
      </c>
      <c r="D1482" s="7">
        <v>69.629997000000003</v>
      </c>
      <c r="E1482" s="7">
        <v>67.455101999999997</v>
      </c>
      <c r="F1482" s="7">
        <v>70.129997000000003</v>
      </c>
      <c r="G1482" s="7">
        <v>68.5</v>
      </c>
      <c r="H1482" s="8">
        <f t="shared" si="25"/>
        <v>1.4127482427761033E-2</v>
      </c>
    </row>
    <row r="1483" spans="2:8" x14ac:dyDescent="0.2">
      <c r="B1483" s="5">
        <v>44881</v>
      </c>
      <c r="C1483" s="6" t="s">
        <v>17</v>
      </c>
      <c r="D1483" s="7">
        <v>70.389999000000003</v>
      </c>
      <c r="E1483" s="7">
        <v>68.191365000000005</v>
      </c>
      <c r="F1483" s="7">
        <v>70.620002999999997</v>
      </c>
      <c r="G1483" s="7">
        <v>69.230002999999996</v>
      </c>
      <c r="H1483" s="8">
        <f t="shared" si="25"/>
        <v>1.0914864752902403E-2</v>
      </c>
    </row>
    <row r="1484" spans="2:8" x14ac:dyDescent="0.2">
      <c r="B1484" s="5">
        <v>44882</v>
      </c>
      <c r="C1484" s="6" t="s">
        <v>17</v>
      </c>
      <c r="D1484" s="7">
        <v>69.389999000000003</v>
      </c>
      <c r="E1484" s="7">
        <v>67.2226</v>
      </c>
      <c r="F1484" s="7">
        <v>70.360000999999997</v>
      </c>
      <c r="G1484" s="7">
        <v>69.050003000000004</v>
      </c>
      <c r="H1484" s="8">
        <f t="shared" si="25"/>
        <v>-1.4206563634132172E-2</v>
      </c>
    </row>
    <row r="1485" spans="2:8" x14ac:dyDescent="0.2">
      <c r="B1485" s="5">
        <v>44883</v>
      </c>
      <c r="C1485" s="6" t="s">
        <v>17</v>
      </c>
      <c r="D1485" s="7">
        <v>70.319999999999993</v>
      </c>
      <c r="E1485" s="7">
        <v>68.123552000000004</v>
      </c>
      <c r="F1485" s="7">
        <v>70.449996999999996</v>
      </c>
      <c r="G1485" s="7">
        <v>69.379997000000003</v>
      </c>
      <c r="H1485" s="8">
        <f t="shared" si="25"/>
        <v>1.3402522170377752E-2</v>
      </c>
    </row>
    <row r="1486" spans="2:8" x14ac:dyDescent="0.2">
      <c r="B1486" s="5">
        <v>44884</v>
      </c>
      <c r="C1486" s="6" t="s">
        <v>17</v>
      </c>
      <c r="D1486" s="7">
        <v>70.019997000000004</v>
      </c>
      <c r="E1486" s="7">
        <v>67.832919000000004</v>
      </c>
      <c r="F1486" s="7">
        <v>70.110000999999997</v>
      </c>
      <c r="G1486" s="7">
        <v>68.599997999999999</v>
      </c>
      <c r="H1486" s="8">
        <f t="shared" si="25"/>
        <v>-4.2662542662114562E-3</v>
      </c>
    </row>
    <row r="1487" spans="2:8" x14ac:dyDescent="0.2">
      <c r="B1487" s="5">
        <v>44885</v>
      </c>
      <c r="C1487" s="6" t="s">
        <v>17</v>
      </c>
      <c r="D1487" s="7">
        <v>71.139999000000003</v>
      </c>
      <c r="E1487" s="7">
        <v>68.917939000000004</v>
      </c>
      <c r="F1487" s="7">
        <v>71.209998999999996</v>
      </c>
      <c r="G1487" s="7">
        <v>70.160004000000001</v>
      </c>
      <c r="H1487" s="8">
        <f t="shared" si="25"/>
        <v>1.599545912576945E-2</v>
      </c>
    </row>
    <row r="1488" spans="2:8" x14ac:dyDescent="0.2">
      <c r="B1488" s="5">
        <v>44888</v>
      </c>
      <c r="C1488" s="6" t="s">
        <v>17</v>
      </c>
      <c r="D1488" s="7">
        <v>71.019997000000004</v>
      </c>
      <c r="E1488" s="7">
        <v>68.801683999999995</v>
      </c>
      <c r="F1488" s="7">
        <v>71.900002000000001</v>
      </c>
      <c r="G1488" s="7">
        <v>70.889999000000003</v>
      </c>
      <c r="H1488" s="8">
        <f t="shared" si="25"/>
        <v>-1.6868428688057685E-3</v>
      </c>
    </row>
    <row r="1489" spans="2:8" x14ac:dyDescent="0.2">
      <c r="B1489" s="5">
        <v>44889</v>
      </c>
      <c r="C1489" s="6" t="s">
        <v>17</v>
      </c>
      <c r="D1489" s="7">
        <v>71.400002000000001</v>
      </c>
      <c r="E1489" s="7">
        <v>69.169820000000001</v>
      </c>
      <c r="F1489" s="7">
        <v>71.709998999999996</v>
      </c>
      <c r="G1489" s="7">
        <v>70.440002000000007</v>
      </c>
      <c r="H1489" s="8">
        <f t="shared" si="25"/>
        <v>5.3506760919744484E-3</v>
      </c>
    </row>
    <row r="1490" spans="2:8" x14ac:dyDescent="0.2">
      <c r="B1490" s="5">
        <v>44890</v>
      </c>
      <c r="C1490" s="6" t="s">
        <v>17</v>
      </c>
      <c r="D1490" s="7">
        <v>71.489998</v>
      </c>
      <c r="E1490" s="7">
        <v>69.257005000000007</v>
      </c>
      <c r="F1490" s="7">
        <v>71.889999000000003</v>
      </c>
      <c r="G1490" s="7">
        <v>70.720000999999996</v>
      </c>
      <c r="H1490" s="8">
        <f t="shared" si="25"/>
        <v>1.2604481439650282E-3</v>
      </c>
    </row>
    <row r="1491" spans="2:8" x14ac:dyDescent="0.2">
      <c r="B1491" s="5">
        <v>44892</v>
      </c>
      <c r="C1491" s="6" t="s">
        <v>17</v>
      </c>
      <c r="D1491" s="7">
        <v>71.220000999999996</v>
      </c>
      <c r="E1491" s="7">
        <v>68.995441999999997</v>
      </c>
      <c r="F1491" s="7">
        <v>71.529999000000004</v>
      </c>
      <c r="G1491" s="7">
        <v>70.699996999999996</v>
      </c>
      <c r="H1491" s="8">
        <f t="shared" si="25"/>
        <v>-3.7767101350318069E-3</v>
      </c>
    </row>
    <row r="1492" spans="2:8" x14ac:dyDescent="0.2">
      <c r="B1492" s="5">
        <v>44895</v>
      </c>
      <c r="C1492" s="6" t="s">
        <v>17</v>
      </c>
      <c r="D1492" s="7">
        <v>72.650002000000001</v>
      </c>
      <c r="E1492" s="7">
        <v>70.380775999999997</v>
      </c>
      <c r="F1492" s="7">
        <v>72.790001000000004</v>
      </c>
      <c r="G1492" s="7">
        <v>71.150002000000001</v>
      </c>
      <c r="H1492" s="8">
        <f t="shared" si="25"/>
        <v>2.0078643357502961E-2</v>
      </c>
    </row>
    <row r="1493" spans="2:8" x14ac:dyDescent="0.2">
      <c r="B1493" s="5">
        <v>44896</v>
      </c>
      <c r="C1493" s="6" t="s">
        <v>17</v>
      </c>
      <c r="D1493" s="7">
        <v>71.559997999999993</v>
      </c>
      <c r="E1493" s="7">
        <v>69.324817999999993</v>
      </c>
      <c r="F1493" s="7">
        <v>72.639999000000003</v>
      </c>
      <c r="G1493" s="7">
        <v>70.849997999999999</v>
      </c>
      <c r="H1493" s="8">
        <f t="shared" si="25"/>
        <v>-1.5003495801693268E-2</v>
      </c>
    </row>
    <row r="1494" spans="2:8" x14ac:dyDescent="0.2">
      <c r="B1494" s="5">
        <v>44897</v>
      </c>
      <c r="C1494" s="6" t="s">
        <v>17</v>
      </c>
      <c r="D1494" s="7">
        <v>71.029999000000004</v>
      </c>
      <c r="E1494" s="7">
        <v>68.811374000000001</v>
      </c>
      <c r="F1494" s="7">
        <v>72.129997000000003</v>
      </c>
      <c r="G1494" s="7">
        <v>70.620002999999997</v>
      </c>
      <c r="H1494" s="8">
        <f t="shared" si="25"/>
        <v>-7.40635850772368E-3</v>
      </c>
    </row>
    <row r="1495" spans="2:8" x14ac:dyDescent="0.2">
      <c r="B1495" s="5">
        <v>44898</v>
      </c>
      <c r="C1495" s="6" t="s">
        <v>17</v>
      </c>
      <c r="D1495" s="7">
        <v>69.639999000000003</v>
      </c>
      <c r="E1495" s="7">
        <v>67.464791000000005</v>
      </c>
      <c r="F1495" s="7">
        <v>71.220000999999996</v>
      </c>
      <c r="G1495" s="7">
        <v>69.370002999999997</v>
      </c>
      <c r="H1495" s="8">
        <f t="shared" si="25"/>
        <v>-1.9569196389823976E-2</v>
      </c>
    </row>
    <row r="1496" spans="2:8" x14ac:dyDescent="0.2">
      <c r="B1496" s="5">
        <v>44899</v>
      </c>
      <c r="C1496" s="6" t="s">
        <v>17</v>
      </c>
      <c r="D1496" s="7">
        <v>69.980002999999996</v>
      </c>
      <c r="E1496" s="7">
        <v>67.794174999999996</v>
      </c>
      <c r="F1496" s="7">
        <v>70.029999000000004</v>
      </c>
      <c r="G1496" s="7">
        <v>68.800003000000004</v>
      </c>
      <c r="H1496" s="8">
        <f t="shared" si="25"/>
        <v>4.8823090879135901E-3</v>
      </c>
    </row>
    <row r="1497" spans="2:8" x14ac:dyDescent="0.2">
      <c r="B1497" s="5">
        <v>44902</v>
      </c>
      <c r="C1497" s="6" t="s">
        <v>17</v>
      </c>
      <c r="D1497" s="7">
        <v>68.360000999999997</v>
      </c>
      <c r="E1497" s="7">
        <v>66.224772999999999</v>
      </c>
      <c r="F1497" s="7">
        <v>68.730002999999996</v>
      </c>
      <c r="G1497" s="7">
        <v>67.720000999999996</v>
      </c>
      <c r="H1497" s="8">
        <f t="shared" si="25"/>
        <v>-2.31494988646971E-2</v>
      </c>
    </row>
    <row r="1498" spans="2:8" x14ac:dyDescent="0.2">
      <c r="B1498" s="5">
        <v>44903</v>
      </c>
      <c r="C1498" s="6" t="s">
        <v>17</v>
      </c>
      <c r="D1498" s="7">
        <v>66.540001000000004</v>
      </c>
      <c r="E1498" s="7">
        <v>64.461620999999994</v>
      </c>
      <c r="F1498" s="7">
        <v>67.160004000000001</v>
      </c>
      <c r="G1498" s="7">
        <v>66.180000000000007</v>
      </c>
      <c r="H1498" s="8">
        <f t="shared" si="25"/>
        <v>-2.66237561933329E-2</v>
      </c>
    </row>
    <row r="1499" spans="2:8" x14ac:dyDescent="0.2">
      <c r="B1499" s="5">
        <v>44904</v>
      </c>
      <c r="C1499" s="6" t="s">
        <v>17</v>
      </c>
      <c r="D1499" s="7">
        <v>65.910004000000001</v>
      </c>
      <c r="E1499" s="7">
        <v>63.851301999999997</v>
      </c>
      <c r="F1499" s="7">
        <v>67.019997000000004</v>
      </c>
      <c r="G1499" s="7">
        <v>65.160004000000001</v>
      </c>
      <c r="H1499" s="8">
        <f t="shared" si="25"/>
        <v>-9.4679439514887137E-3</v>
      </c>
    </row>
    <row r="1500" spans="2:8" x14ac:dyDescent="0.2">
      <c r="B1500" s="5">
        <v>44905</v>
      </c>
      <c r="C1500" s="6" t="s">
        <v>17</v>
      </c>
      <c r="D1500" s="7">
        <v>66.379997000000003</v>
      </c>
      <c r="E1500" s="7">
        <v>64.306614999999994</v>
      </c>
      <c r="F1500" s="7">
        <v>67.089995999999999</v>
      </c>
      <c r="G1500" s="7">
        <v>65.910004000000001</v>
      </c>
      <c r="H1500" s="8">
        <f t="shared" si="25"/>
        <v>7.1308294868257377E-3</v>
      </c>
    </row>
    <row r="1501" spans="2:8" x14ac:dyDescent="0.2">
      <c r="B1501" s="5">
        <v>44906</v>
      </c>
      <c r="C1501" s="6" t="s">
        <v>17</v>
      </c>
      <c r="D1501" s="7">
        <v>65.430000000000007</v>
      </c>
      <c r="E1501" s="7">
        <v>63.386291999999997</v>
      </c>
      <c r="F1501" s="7">
        <v>66.099997999999999</v>
      </c>
      <c r="G1501" s="7">
        <v>64.480002999999996</v>
      </c>
      <c r="H1501" s="8">
        <f t="shared" si="25"/>
        <v>-1.4311495072830391E-2</v>
      </c>
    </row>
    <row r="1502" spans="2:8" x14ac:dyDescent="0.2">
      <c r="B1502" s="5">
        <v>44909</v>
      </c>
      <c r="C1502" s="6" t="s">
        <v>17</v>
      </c>
      <c r="D1502" s="7">
        <v>66.120002999999997</v>
      </c>
      <c r="E1502" s="7">
        <v>64.054742000000005</v>
      </c>
      <c r="F1502" s="7">
        <v>66.180000000000007</v>
      </c>
      <c r="G1502" s="7">
        <v>64.730002999999996</v>
      </c>
      <c r="H1502" s="8">
        <f t="shared" si="25"/>
        <v>1.0545667125171788E-2</v>
      </c>
    </row>
    <row r="1503" spans="2:8" x14ac:dyDescent="0.2">
      <c r="B1503" s="5">
        <v>44910</v>
      </c>
      <c r="C1503" s="6" t="s">
        <v>17</v>
      </c>
      <c r="D1503" s="7">
        <v>66.75</v>
      </c>
      <c r="E1503" s="7">
        <v>64.665060999999994</v>
      </c>
      <c r="F1503" s="7">
        <v>66.959998999999996</v>
      </c>
      <c r="G1503" s="7">
        <v>65.239998</v>
      </c>
      <c r="H1503" s="8">
        <f t="shared" si="25"/>
        <v>9.5280848671468309E-3</v>
      </c>
    </row>
    <row r="1504" spans="2:8" x14ac:dyDescent="0.2">
      <c r="B1504" s="5">
        <v>44911</v>
      </c>
      <c r="C1504" s="6" t="s">
        <v>17</v>
      </c>
      <c r="D1504" s="7">
        <v>67.720000999999996</v>
      </c>
      <c r="E1504" s="7">
        <v>65.604764000000003</v>
      </c>
      <c r="F1504" s="7">
        <v>67.879997000000003</v>
      </c>
      <c r="G1504" s="7">
        <v>66.139999000000003</v>
      </c>
      <c r="H1504" s="8">
        <f t="shared" si="25"/>
        <v>1.4531850187265863E-2</v>
      </c>
    </row>
    <row r="1505" spans="2:8" x14ac:dyDescent="0.2">
      <c r="B1505" s="5">
        <v>44912</v>
      </c>
      <c r="C1505" s="6" t="s">
        <v>17</v>
      </c>
      <c r="D1505" s="7">
        <v>64.900002000000001</v>
      </c>
      <c r="E1505" s="7">
        <v>62.872847</v>
      </c>
      <c r="F1505" s="7">
        <v>67.510002</v>
      </c>
      <c r="G1505" s="7">
        <v>64.879997000000003</v>
      </c>
      <c r="H1505" s="8">
        <f t="shared" si="25"/>
        <v>-4.1642040141139335E-2</v>
      </c>
    </row>
    <row r="1506" spans="2:8" x14ac:dyDescent="0.2">
      <c r="B1506" s="5">
        <v>44913</v>
      </c>
      <c r="C1506" s="6" t="s">
        <v>17</v>
      </c>
      <c r="D1506" s="7">
        <v>65.110000999999997</v>
      </c>
      <c r="E1506" s="7">
        <v>63.076287000000001</v>
      </c>
      <c r="F1506" s="7">
        <v>65.870002999999997</v>
      </c>
      <c r="G1506" s="7">
        <v>64.099997999999999</v>
      </c>
      <c r="H1506" s="8">
        <f t="shared" si="25"/>
        <v>3.2357317955089781E-3</v>
      </c>
    </row>
    <row r="1507" spans="2:8" x14ac:dyDescent="0.2">
      <c r="B1507" s="5">
        <v>44916</v>
      </c>
      <c r="C1507" s="6" t="s">
        <v>17</v>
      </c>
      <c r="D1507" s="7">
        <v>65.239998</v>
      </c>
      <c r="E1507" s="7">
        <v>63.202224000000001</v>
      </c>
      <c r="F1507" s="7">
        <v>65.819999999999993</v>
      </c>
      <c r="G1507" s="7">
        <v>64.379997000000003</v>
      </c>
      <c r="H1507" s="8">
        <f t="shared" si="25"/>
        <v>1.9965749962129941E-3</v>
      </c>
    </row>
    <row r="1508" spans="2:8" x14ac:dyDescent="0.2">
      <c r="B1508" s="5">
        <v>44917</v>
      </c>
      <c r="C1508" s="6" t="s">
        <v>17</v>
      </c>
      <c r="D1508" s="7">
        <v>68.410004000000001</v>
      </c>
      <c r="E1508" s="7">
        <v>66.273214999999993</v>
      </c>
      <c r="F1508" s="7">
        <v>68.790001000000004</v>
      </c>
      <c r="G1508" s="7">
        <v>66.110000999999997</v>
      </c>
      <c r="H1508" s="8">
        <f t="shared" si="25"/>
        <v>4.8589915652664503E-2</v>
      </c>
    </row>
    <row r="1509" spans="2:8" x14ac:dyDescent="0.2">
      <c r="B1509" s="5">
        <v>44918</v>
      </c>
      <c r="C1509" s="6" t="s">
        <v>17</v>
      </c>
      <c r="D1509" s="7">
        <v>69.889999000000003</v>
      </c>
      <c r="E1509" s="7">
        <v>67.706982999999994</v>
      </c>
      <c r="F1509" s="7">
        <v>70.489998</v>
      </c>
      <c r="G1509" s="7">
        <v>68.989998</v>
      </c>
      <c r="H1509" s="8">
        <f t="shared" si="25"/>
        <v>2.1634189642789705E-2</v>
      </c>
    </row>
    <row r="1510" spans="2:8" x14ac:dyDescent="0.2">
      <c r="B1510" s="5">
        <v>44919</v>
      </c>
      <c r="C1510" s="6" t="s">
        <v>17</v>
      </c>
      <c r="D1510" s="7">
        <v>69.379997000000003</v>
      </c>
      <c r="E1510" s="7">
        <v>67.212909999999994</v>
      </c>
      <c r="F1510" s="7">
        <v>69.900002000000001</v>
      </c>
      <c r="G1510" s="7">
        <v>69.059997999999993</v>
      </c>
      <c r="H1510" s="8">
        <f t="shared" si="25"/>
        <v>-7.2972100056833602E-3</v>
      </c>
    </row>
    <row r="1511" spans="2:8" x14ac:dyDescent="0.2">
      <c r="B1511" s="5">
        <v>44923</v>
      </c>
      <c r="C1511" s="6" t="s">
        <v>17</v>
      </c>
      <c r="D1511" s="7">
        <v>68.580001999999993</v>
      </c>
      <c r="E1511" s="7">
        <v>66.437903000000006</v>
      </c>
      <c r="F1511" s="7">
        <v>69.180000000000007</v>
      </c>
      <c r="G1511" s="7">
        <v>68.029999000000004</v>
      </c>
      <c r="H1511" s="8">
        <f t="shared" si="25"/>
        <v>-1.1530628921762705E-2</v>
      </c>
    </row>
    <row r="1512" spans="2:8" x14ac:dyDescent="0.2">
      <c r="B1512" s="5">
        <v>44924</v>
      </c>
      <c r="C1512" s="6" t="s">
        <v>17</v>
      </c>
      <c r="D1512" s="7">
        <v>69.190002000000007</v>
      </c>
      <c r="E1512" s="7">
        <v>67.028850000000006</v>
      </c>
      <c r="F1512" s="7">
        <v>69.569999999999993</v>
      </c>
      <c r="G1512" s="7">
        <v>68.620002999999997</v>
      </c>
      <c r="H1512" s="8">
        <f t="shared" si="25"/>
        <v>8.8947212337499443E-3</v>
      </c>
    </row>
    <row r="1513" spans="2:8" x14ac:dyDescent="0.2">
      <c r="B1513" s="5">
        <v>44925</v>
      </c>
      <c r="C1513" s="6" t="s">
        <v>17</v>
      </c>
      <c r="D1513" s="7">
        <v>68.690002000000007</v>
      </c>
      <c r="E1513" s="7">
        <v>66.544467999999995</v>
      </c>
      <c r="F1513" s="7">
        <v>69.629997000000003</v>
      </c>
      <c r="G1513" s="7">
        <v>68.569999999999993</v>
      </c>
      <c r="H1513" s="8">
        <f t="shared" si="25"/>
        <v>-7.226477605825188E-3</v>
      </c>
    </row>
    <row r="1514" spans="2:8" x14ac:dyDescent="0.2">
      <c r="B1514" s="5">
        <v>44926</v>
      </c>
      <c r="C1514" s="6" t="s">
        <v>17</v>
      </c>
      <c r="D1514" s="7">
        <v>67.959998999999996</v>
      </c>
      <c r="E1514" s="7">
        <v>65.837266</v>
      </c>
      <c r="F1514" s="7">
        <v>69.099997999999999</v>
      </c>
      <c r="G1514" s="7">
        <v>67.940002000000007</v>
      </c>
      <c r="H1514" s="8">
        <f t="shared" si="25"/>
        <v>-1.0627500054520461E-2</v>
      </c>
    </row>
    <row r="1515" spans="2:8" x14ac:dyDescent="0.2">
      <c r="B1515" s="5">
        <v>44198</v>
      </c>
      <c r="C1515" s="6" t="s">
        <v>18</v>
      </c>
      <c r="D1515" s="7">
        <v>22</v>
      </c>
      <c r="E1515" s="7">
        <v>20.312048999999998</v>
      </c>
      <c r="F1515" s="7">
        <v>22.290001</v>
      </c>
      <c r="G1515" s="7">
        <v>21.91</v>
      </c>
      <c r="H1515" s="8">
        <f t="shared" si="25"/>
        <v>-0.67628016003943725</v>
      </c>
    </row>
    <row r="1516" spans="2:8" x14ac:dyDescent="0.2">
      <c r="B1516" s="5">
        <v>44199</v>
      </c>
      <c r="C1516" s="6" t="s">
        <v>18</v>
      </c>
      <c r="D1516" s="7">
        <v>21.98</v>
      </c>
      <c r="E1516" s="7">
        <v>20.293583000000002</v>
      </c>
      <c r="F1516" s="7">
        <v>22.120000999999998</v>
      </c>
      <c r="G1516" s="7">
        <v>21.83</v>
      </c>
      <c r="H1516" s="8">
        <f t="shared" si="25"/>
        <v>-9.0909090909088968E-4</v>
      </c>
    </row>
    <row r="1517" spans="2:8" x14ac:dyDescent="0.2">
      <c r="B1517" s="5">
        <v>44202</v>
      </c>
      <c r="C1517" s="6" t="s">
        <v>18</v>
      </c>
      <c r="D1517" s="7">
        <v>22.01</v>
      </c>
      <c r="E1517" s="7">
        <v>20.321282</v>
      </c>
      <c r="F1517" s="7">
        <v>22.23</v>
      </c>
      <c r="G1517" s="7">
        <v>21.93</v>
      </c>
      <c r="H1517" s="8">
        <f t="shared" si="25"/>
        <v>1.3648771610555567E-3</v>
      </c>
    </row>
    <row r="1518" spans="2:8" x14ac:dyDescent="0.2">
      <c r="B1518" s="5">
        <v>44203</v>
      </c>
      <c r="C1518" s="6" t="s">
        <v>18</v>
      </c>
      <c r="D1518" s="7">
        <v>22.309999000000001</v>
      </c>
      <c r="E1518" s="7">
        <v>20.598262999999999</v>
      </c>
      <c r="F1518" s="7">
        <v>22.41</v>
      </c>
      <c r="G1518" s="7">
        <v>22.15</v>
      </c>
      <c r="H1518" s="8">
        <f t="shared" si="25"/>
        <v>1.3630122671512934E-2</v>
      </c>
    </row>
    <row r="1519" spans="2:8" x14ac:dyDescent="0.2">
      <c r="B1519" s="5">
        <v>44204</v>
      </c>
      <c r="C1519" s="6" t="s">
        <v>18</v>
      </c>
      <c r="D1519" s="7">
        <v>22.290001</v>
      </c>
      <c r="E1519" s="7">
        <v>20.579799000000001</v>
      </c>
      <c r="F1519" s="7">
        <v>22.360001</v>
      </c>
      <c r="G1519" s="7">
        <v>22.15</v>
      </c>
      <c r="H1519" s="8">
        <f t="shared" si="25"/>
        <v>-8.9636938128061184E-4</v>
      </c>
    </row>
    <row r="1520" spans="2:8" x14ac:dyDescent="0.2">
      <c r="B1520" s="5">
        <v>44205</v>
      </c>
      <c r="C1520" s="6" t="s">
        <v>18</v>
      </c>
      <c r="D1520" s="7">
        <v>22.09</v>
      </c>
      <c r="E1520" s="7">
        <v>20.395143000000001</v>
      </c>
      <c r="F1520" s="7">
        <v>22.309999000000001</v>
      </c>
      <c r="G1520" s="7">
        <v>21.92</v>
      </c>
      <c r="H1520" s="8">
        <f t="shared" si="25"/>
        <v>-8.9726779285474369E-3</v>
      </c>
    </row>
    <row r="1521" spans="2:8" x14ac:dyDescent="0.2">
      <c r="B1521" s="5">
        <v>44206</v>
      </c>
      <c r="C1521" s="6" t="s">
        <v>18</v>
      </c>
      <c r="D1521" s="7">
        <v>22.219999000000001</v>
      </c>
      <c r="E1521" s="7">
        <v>20.515167999999999</v>
      </c>
      <c r="F1521" s="7">
        <v>22.280000999999999</v>
      </c>
      <c r="G1521" s="7">
        <v>21.99</v>
      </c>
      <c r="H1521" s="8">
        <f t="shared" si="25"/>
        <v>5.8849705749208477E-3</v>
      </c>
    </row>
    <row r="1522" spans="2:8" x14ac:dyDescent="0.2">
      <c r="B1522" s="5">
        <v>44209</v>
      </c>
      <c r="C1522" s="6" t="s">
        <v>18</v>
      </c>
      <c r="D1522" s="7">
        <v>22.190000999999999</v>
      </c>
      <c r="E1522" s="7">
        <v>20.487470999999999</v>
      </c>
      <c r="F1522" s="7">
        <v>22.82</v>
      </c>
      <c r="G1522" s="7">
        <v>22.139999</v>
      </c>
      <c r="H1522" s="8">
        <f t="shared" si="25"/>
        <v>-1.3500450652586722E-3</v>
      </c>
    </row>
    <row r="1523" spans="2:8" x14ac:dyDescent="0.2">
      <c r="B1523" s="5">
        <v>44210</v>
      </c>
      <c r="C1523" s="6" t="s">
        <v>18</v>
      </c>
      <c r="D1523" s="7">
        <v>22.41</v>
      </c>
      <c r="E1523" s="7">
        <v>20.690591000000001</v>
      </c>
      <c r="F1523" s="7">
        <v>22.52</v>
      </c>
      <c r="G1523" s="7">
        <v>22.200001</v>
      </c>
      <c r="H1523" s="8">
        <f t="shared" si="25"/>
        <v>9.9143303328378136E-3</v>
      </c>
    </row>
    <row r="1524" spans="2:8" x14ac:dyDescent="0.2">
      <c r="B1524" s="5">
        <v>44211</v>
      </c>
      <c r="C1524" s="6" t="s">
        <v>18</v>
      </c>
      <c r="D1524" s="7">
        <v>22.780000999999999</v>
      </c>
      <c r="E1524" s="7">
        <v>21.032204</v>
      </c>
      <c r="F1524" s="7">
        <v>23</v>
      </c>
      <c r="G1524" s="7">
        <v>22.42</v>
      </c>
      <c r="H1524" s="8">
        <f t="shared" si="25"/>
        <v>1.6510531012940585E-2</v>
      </c>
    </row>
    <row r="1525" spans="2:8" x14ac:dyDescent="0.2">
      <c r="B1525" s="5">
        <v>44212</v>
      </c>
      <c r="C1525" s="6" t="s">
        <v>18</v>
      </c>
      <c r="D1525" s="7">
        <v>22.780000999999999</v>
      </c>
      <c r="E1525" s="7">
        <v>21.032204</v>
      </c>
      <c r="F1525" s="7">
        <v>22.91</v>
      </c>
      <c r="G1525" s="7">
        <v>22.629999000000002</v>
      </c>
      <c r="H1525" s="8">
        <f t="shared" si="25"/>
        <v>0</v>
      </c>
    </row>
    <row r="1526" spans="2:8" x14ac:dyDescent="0.2">
      <c r="B1526" s="5">
        <v>44213</v>
      </c>
      <c r="C1526" s="6" t="s">
        <v>18</v>
      </c>
      <c r="D1526" s="7">
        <v>22.74</v>
      </c>
      <c r="E1526" s="7">
        <v>20.995272</v>
      </c>
      <c r="F1526" s="7">
        <v>22.780000999999999</v>
      </c>
      <c r="G1526" s="7">
        <v>22.58</v>
      </c>
      <c r="H1526" s="8">
        <f t="shared" si="25"/>
        <v>-1.7559700721698904E-3</v>
      </c>
    </row>
    <row r="1527" spans="2:8" x14ac:dyDescent="0.2">
      <c r="B1527" s="5">
        <v>44217</v>
      </c>
      <c r="C1527" s="6" t="s">
        <v>18</v>
      </c>
      <c r="D1527" s="7">
        <v>22.83</v>
      </c>
      <c r="E1527" s="7">
        <v>21.078367</v>
      </c>
      <c r="F1527" s="7">
        <v>22.950001</v>
      </c>
      <c r="G1527" s="7">
        <v>22.639999</v>
      </c>
      <c r="H1527" s="8">
        <f t="shared" si="25"/>
        <v>3.9577836411609441E-3</v>
      </c>
    </row>
    <row r="1528" spans="2:8" x14ac:dyDescent="0.2">
      <c r="B1528" s="5">
        <v>44218</v>
      </c>
      <c r="C1528" s="6" t="s">
        <v>18</v>
      </c>
      <c r="D1528" s="7">
        <v>22.84</v>
      </c>
      <c r="E1528" s="7">
        <v>21.087599999999998</v>
      </c>
      <c r="F1528" s="7">
        <v>22.950001</v>
      </c>
      <c r="G1528" s="7">
        <v>22.780000999999999</v>
      </c>
      <c r="H1528" s="8">
        <f t="shared" si="25"/>
        <v>4.3802014892691915E-4</v>
      </c>
    </row>
    <row r="1529" spans="2:8" x14ac:dyDescent="0.2">
      <c r="B1529" s="5">
        <v>44219</v>
      </c>
      <c r="C1529" s="6" t="s">
        <v>18</v>
      </c>
      <c r="D1529" s="7">
        <v>22.559999000000001</v>
      </c>
      <c r="E1529" s="7">
        <v>20.829082</v>
      </c>
      <c r="F1529" s="7">
        <v>22.85</v>
      </c>
      <c r="G1529" s="7">
        <v>22.459999</v>
      </c>
      <c r="H1529" s="8">
        <f t="shared" si="25"/>
        <v>-1.2259238178633915E-2</v>
      </c>
    </row>
    <row r="1530" spans="2:8" x14ac:dyDescent="0.2">
      <c r="B1530" s="5">
        <v>44220</v>
      </c>
      <c r="C1530" s="6" t="s">
        <v>18</v>
      </c>
      <c r="D1530" s="7">
        <v>22.200001</v>
      </c>
      <c r="E1530" s="7">
        <v>20.496704000000001</v>
      </c>
      <c r="F1530" s="7">
        <v>22.540001</v>
      </c>
      <c r="G1530" s="7">
        <v>22.17</v>
      </c>
      <c r="H1530" s="8">
        <f t="shared" si="25"/>
        <v>-1.5957358863358147E-2</v>
      </c>
    </row>
    <row r="1531" spans="2:8" x14ac:dyDescent="0.2">
      <c r="B1531" s="5">
        <v>44223</v>
      </c>
      <c r="C1531" s="6" t="s">
        <v>18</v>
      </c>
      <c r="D1531" s="7">
        <v>22</v>
      </c>
      <c r="E1531" s="7">
        <v>20.312048999999998</v>
      </c>
      <c r="F1531" s="7">
        <v>22.110001</v>
      </c>
      <c r="G1531" s="7">
        <v>21.76</v>
      </c>
      <c r="H1531" s="8">
        <f t="shared" si="25"/>
        <v>-9.0090536482408407E-3</v>
      </c>
    </row>
    <row r="1532" spans="2:8" x14ac:dyDescent="0.2">
      <c r="B1532" s="5">
        <v>44224</v>
      </c>
      <c r="C1532" s="6" t="s">
        <v>18</v>
      </c>
      <c r="D1532" s="7">
        <v>21.75</v>
      </c>
      <c r="E1532" s="7">
        <v>20.081230000000001</v>
      </c>
      <c r="F1532" s="7">
        <v>22</v>
      </c>
      <c r="G1532" s="7">
        <v>21.700001</v>
      </c>
      <c r="H1532" s="8">
        <f t="shared" si="25"/>
        <v>-1.1363636363636364E-2</v>
      </c>
    </row>
    <row r="1533" spans="2:8" x14ac:dyDescent="0.2">
      <c r="B1533" s="5">
        <v>44225</v>
      </c>
      <c r="C1533" s="6" t="s">
        <v>18</v>
      </c>
      <c r="D1533" s="7">
        <v>21.65</v>
      </c>
      <c r="E1533" s="7">
        <v>19.988902</v>
      </c>
      <c r="F1533" s="7">
        <v>21.84</v>
      </c>
      <c r="G1533" s="7">
        <v>21.6</v>
      </c>
      <c r="H1533" s="8">
        <f t="shared" si="25"/>
        <v>-4.5977011494253523E-3</v>
      </c>
    </row>
    <row r="1534" spans="2:8" x14ac:dyDescent="0.2">
      <c r="B1534" s="5">
        <v>44226</v>
      </c>
      <c r="C1534" s="6" t="s">
        <v>18</v>
      </c>
      <c r="D1534" s="7">
        <v>21.98</v>
      </c>
      <c r="E1534" s="7">
        <v>20.293583000000002</v>
      </c>
      <c r="F1534" s="7">
        <v>21.99</v>
      </c>
      <c r="G1534" s="7">
        <v>21.629999000000002</v>
      </c>
      <c r="H1534" s="8">
        <f t="shared" si="25"/>
        <v>1.5242494226328031E-2</v>
      </c>
    </row>
    <row r="1535" spans="2:8" x14ac:dyDescent="0.2">
      <c r="B1535" s="5">
        <v>44227</v>
      </c>
      <c r="C1535" s="6" t="s">
        <v>18</v>
      </c>
      <c r="D1535" s="7">
        <v>21.91</v>
      </c>
      <c r="E1535" s="7">
        <v>20.228954000000002</v>
      </c>
      <c r="F1535" s="7">
        <v>21.99</v>
      </c>
      <c r="G1535" s="7">
        <v>21.610001</v>
      </c>
      <c r="H1535" s="8">
        <f t="shared" si="25"/>
        <v>-3.1847133757961911E-3</v>
      </c>
    </row>
    <row r="1536" spans="2:8" x14ac:dyDescent="0.2">
      <c r="B1536" s="5">
        <v>44230</v>
      </c>
      <c r="C1536" s="6" t="s">
        <v>18</v>
      </c>
      <c r="D1536" s="7">
        <v>21.549999</v>
      </c>
      <c r="E1536" s="7">
        <v>19.896574000000001</v>
      </c>
      <c r="F1536" s="7">
        <v>21.950001</v>
      </c>
      <c r="G1536" s="7">
        <v>21.459999</v>
      </c>
      <c r="H1536" s="8">
        <f t="shared" si="25"/>
        <v>-1.6430899132816087E-2</v>
      </c>
    </row>
    <row r="1537" spans="2:8" x14ac:dyDescent="0.2">
      <c r="B1537" s="5">
        <v>44231</v>
      </c>
      <c r="C1537" s="6" t="s">
        <v>18</v>
      </c>
      <c r="D1537" s="7">
        <v>21.799999</v>
      </c>
      <c r="E1537" s="7">
        <v>20.127393000000001</v>
      </c>
      <c r="F1537" s="7">
        <v>21.82</v>
      </c>
      <c r="G1537" s="7">
        <v>21.4</v>
      </c>
      <c r="H1537" s="8">
        <f t="shared" si="25"/>
        <v>1.1600928612572094E-2</v>
      </c>
    </row>
    <row r="1538" spans="2:8" x14ac:dyDescent="0.2">
      <c r="B1538" s="5">
        <v>44232</v>
      </c>
      <c r="C1538" s="6" t="s">
        <v>18</v>
      </c>
      <c r="D1538" s="7">
        <v>21.98</v>
      </c>
      <c r="E1538" s="7">
        <v>20.293583000000002</v>
      </c>
      <c r="F1538" s="7">
        <v>22.07</v>
      </c>
      <c r="G1538" s="7">
        <v>21.58</v>
      </c>
      <c r="H1538" s="8">
        <f t="shared" si="25"/>
        <v>8.2569269842627403E-3</v>
      </c>
    </row>
    <row r="1539" spans="2:8" x14ac:dyDescent="0.2">
      <c r="B1539" s="5">
        <v>44233</v>
      </c>
      <c r="C1539" s="6" t="s">
        <v>18</v>
      </c>
      <c r="D1539" s="7">
        <v>22.49</v>
      </c>
      <c r="E1539" s="7">
        <v>20.764453</v>
      </c>
      <c r="F1539" s="7">
        <v>22.58</v>
      </c>
      <c r="G1539" s="7">
        <v>21.969999000000001</v>
      </c>
      <c r="H1539" s="8">
        <f t="shared" si="25"/>
        <v>2.3202911737943494E-2</v>
      </c>
    </row>
    <row r="1540" spans="2:8" x14ac:dyDescent="0.2">
      <c r="B1540" s="5">
        <v>44234</v>
      </c>
      <c r="C1540" s="6" t="s">
        <v>18</v>
      </c>
      <c r="D1540" s="7">
        <v>22.67</v>
      </c>
      <c r="E1540" s="7">
        <v>20.930643</v>
      </c>
      <c r="F1540" s="7">
        <v>22.719999000000001</v>
      </c>
      <c r="G1540" s="7">
        <v>22.299999</v>
      </c>
      <c r="H1540" s="8">
        <f t="shared" ref="H1540:H1603" si="26">(D1540-D1539)/D1539</f>
        <v>8.0035571365052599E-3</v>
      </c>
    </row>
    <row r="1541" spans="2:8" x14ac:dyDescent="0.2">
      <c r="B1541" s="5">
        <v>44237</v>
      </c>
      <c r="C1541" s="6" t="s">
        <v>18</v>
      </c>
      <c r="D1541" s="7">
        <v>22.83</v>
      </c>
      <c r="E1541" s="7">
        <v>21.078367</v>
      </c>
      <c r="F1541" s="7">
        <v>22.879999000000002</v>
      </c>
      <c r="G1541" s="7">
        <v>22.559999000000001</v>
      </c>
      <c r="H1541" s="8">
        <f t="shared" si="26"/>
        <v>7.0577856197616487E-3</v>
      </c>
    </row>
    <row r="1542" spans="2:8" x14ac:dyDescent="0.2">
      <c r="B1542" s="5">
        <v>44238</v>
      </c>
      <c r="C1542" s="6" t="s">
        <v>18</v>
      </c>
      <c r="D1542" s="7">
        <v>22.709999</v>
      </c>
      <c r="E1542" s="7">
        <v>20.967573000000002</v>
      </c>
      <c r="F1542" s="7">
        <v>22.879999000000002</v>
      </c>
      <c r="G1542" s="7">
        <v>22.67</v>
      </c>
      <c r="H1542" s="8">
        <f t="shared" si="26"/>
        <v>-5.2562855891370337E-3</v>
      </c>
    </row>
    <row r="1543" spans="2:8" x14ac:dyDescent="0.2">
      <c r="B1543" s="5">
        <v>44239</v>
      </c>
      <c r="C1543" s="6" t="s">
        <v>18</v>
      </c>
      <c r="D1543" s="7">
        <v>22.85</v>
      </c>
      <c r="E1543" s="7">
        <v>21.096833</v>
      </c>
      <c r="F1543" s="7">
        <v>22.92</v>
      </c>
      <c r="G1543" s="7">
        <v>22.52</v>
      </c>
      <c r="H1543" s="8">
        <f t="shared" si="26"/>
        <v>6.1647294656420552E-3</v>
      </c>
    </row>
    <row r="1544" spans="2:8" x14ac:dyDescent="0.2">
      <c r="B1544" s="5">
        <v>44240</v>
      </c>
      <c r="C1544" s="6" t="s">
        <v>18</v>
      </c>
      <c r="D1544" s="7">
        <v>22.27</v>
      </c>
      <c r="E1544" s="7">
        <v>20.561333000000001</v>
      </c>
      <c r="F1544" s="7">
        <v>22.27</v>
      </c>
      <c r="G1544" s="7">
        <v>21.68</v>
      </c>
      <c r="H1544" s="8">
        <f t="shared" si="26"/>
        <v>-2.5382932166302049E-2</v>
      </c>
    </row>
    <row r="1545" spans="2:8" x14ac:dyDescent="0.2">
      <c r="B1545" s="5">
        <v>44241</v>
      </c>
      <c r="C1545" s="6" t="s">
        <v>18</v>
      </c>
      <c r="D1545" s="7">
        <v>22.559999000000001</v>
      </c>
      <c r="E1545" s="7">
        <v>20.829082</v>
      </c>
      <c r="F1545" s="7">
        <v>22.77</v>
      </c>
      <c r="G1545" s="7">
        <v>22.200001</v>
      </c>
      <c r="H1545" s="8">
        <f t="shared" si="26"/>
        <v>1.3021957790749963E-2</v>
      </c>
    </row>
    <row r="1546" spans="2:8" x14ac:dyDescent="0.2">
      <c r="B1546" s="5">
        <v>44245</v>
      </c>
      <c r="C1546" s="6" t="s">
        <v>18</v>
      </c>
      <c r="D1546" s="7">
        <v>22.41</v>
      </c>
      <c r="E1546" s="7">
        <v>20.690591000000001</v>
      </c>
      <c r="F1546" s="7">
        <v>22.540001</v>
      </c>
      <c r="G1546" s="7">
        <v>22.33</v>
      </c>
      <c r="H1546" s="8">
        <f t="shared" si="26"/>
        <v>-6.648892138692076E-3</v>
      </c>
    </row>
    <row r="1547" spans="2:8" x14ac:dyDescent="0.2">
      <c r="B1547" s="5">
        <v>44246</v>
      </c>
      <c r="C1547" s="6" t="s">
        <v>18</v>
      </c>
      <c r="D1547" s="7">
        <v>22.280000999999999</v>
      </c>
      <c r="E1547" s="7">
        <v>20.570565999999999</v>
      </c>
      <c r="F1547" s="7">
        <v>22.559999000000001</v>
      </c>
      <c r="G1547" s="7">
        <v>22.219999000000001</v>
      </c>
      <c r="H1547" s="8">
        <f t="shared" si="26"/>
        <v>-5.8009370816600415E-3</v>
      </c>
    </row>
    <row r="1548" spans="2:8" x14ac:dyDescent="0.2">
      <c r="B1548" s="5">
        <v>44247</v>
      </c>
      <c r="C1548" s="6" t="s">
        <v>18</v>
      </c>
      <c r="D1548" s="7">
        <v>22.299999</v>
      </c>
      <c r="E1548" s="7">
        <v>20.589030000000001</v>
      </c>
      <c r="F1548" s="7">
        <v>22.4</v>
      </c>
      <c r="G1548" s="7">
        <v>22.16</v>
      </c>
      <c r="H1548" s="8">
        <f t="shared" si="26"/>
        <v>8.9757626132965938E-4</v>
      </c>
    </row>
    <row r="1549" spans="2:8" x14ac:dyDescent="0.2">
      <c r="B1549" s="5">
        <v>44248</v>
      </c>
      <c r="C1549" s="6" t="s">
        <v>18</v>
      </c>
      <c r="D1549" s="7">
        <v>22.129999000000002</v>
      </c>
      <c r="E1549" s="7">
        <v>20.432074</v>
      </c>
      <c r="F1549" s="7">
        <v>22.450001</v>
      </c>
      <c r="G1549" s="7">
        <v>22.129999000000002</v>
      </c>
      <c r="H1549" s="8">
        <f t="shared" si="26"/>
        <v>-7.6233187275029993E-3</v>
      </c>
    </row>
    <row r="1550" spans="2:8" x14ac:dyDescent="0.2">
      <c r="B1550" s="5">
        <v>44251</v>
      </c>
      <c r="C1550" s="6" t="s">
        <v>18</v>
      </c>
      <c r="D1550" s="7">
        <v>22.120000999999998</v>
      </c>
      <c r="E1550" s="7">
        <v>20.422841999999999</v>
      </c>
      <c r="F1550" s="7">
        <v>22.34</v>
      </c>
      <c r="G1550" s="7">
        <v>22</v>
      </c>
      <c r="H1550" s="8">
        <f t="shared" si="26"/>
        <v>-4.5178492778074952E-4</v>
      </c>
    </row>
    <row r="1551" spans="2:8" x14ac:dyDescent="0.2">
      <c r="B1551" s="5">
        <v>44252</v>
      </c>
      <c r="C1551" s="6" t="s">
        <v>18</v>
      </c>
      <c r="D1551" s="7">
        <v>21.84</v>
      </c>
      <c r="E1551" s="7">
        <v>20.164325000000002</v>
      </c>
      <c r="F1551" s="7">
        <v>22.219999000000001</v>
      </c>
      <c r="G1551" s="7">
        <v>21.76</v>
      </c>
      <c r="H1551" s="8">
        <f t="shared" si="26"/>
        <v>-1.2658272483803171E-2</v>
      </c>
    </row>
    <row r="1552" spans="2:8" x14ac:dyDescent="0.2">
      <c r="B1552" s="5">
        <v>44253</v>
      </c>
      <c r="C1552" s="6" t="s">
        <v>18</v>
      </c>
      <c r="D1552" s="7">
        <v>21.93</v>
      </c>
      <c r="E1552" s="7">
        <v>20.247420000000002</v>
      </c>
      <c r="F1552" s="7">
        <v>22.02</v>
      </c>
      <c r="G1552" s="7">
        <v>21.549999</v>
      </c>
      <c r="H1552" s="8">
        <f t="shared" si="26"/>
        <v>4.120879120879114E-3</v>
      </c>
    </row>
    <row r="1553" spans="2:8" x14ac:dyDescent="0.2">
      <c r="B1553" s="5">
        <v>44254</v>
      </c>
      <c r="C1553" s="6" t="s">
        <v>18</v>
      </c>
      <c r="D1553" s="7">
        <v>21.92</v>
      </c>
      <c r="E1553" s="7">
        <v>20.238187</v>
      </c>
      <c r="F1553" s="7">
        <v>22.049999</v>
      </c>
      <c r="G1553" s="7">
        <v>21.860001</v>
      </c>
      <c r="H1553" s="8">
        <f t="shared" si="26"/>
        <v>-4.5599635202909307E-4</v>
      </c>
    </row>
    <row r="1554" spans="2:8" x14ac:dyDescent="0.2">
      <c r="B1554" s="5">
        <v>44255</v>
      </c>
      <c r="C1554" s="6" t="s">
        <v>18</v>
      </c>
      <c r="D1554" s="7">
        <v>21.799999</v>
      </c>
      <c r="E1554" s="7">
        <v>20.127393000000001</v>
      </c>
      <c r="F1554" s="7">
        <v>22.110001</v>
      </c>
      <c r="G1554" s="7">
        <v>21.700001</v>
      </c>
      <c r="H1554" s="8">
        <f t="shared" si="26"/>
        <v>-5.4744981751825737E-3</v>
      </c>
    </row>
    <row r="1555" spans="2:8" x14ac:dyDescent="0.2">
      <c r="B1555" s="5">
        <v>44258</v>
      </c>
      <c r="C1555" s="6" t="s">
        <v>18</v>
      </c>
      <c r="D1555" s="7">
        <v>21.57</v>
      </c>
      <c r="E1555" s="7">
        <v>19.915040000000001</v>
      </c>
      <c r="F1555" s="7">
        <v>21.82</v>
      </c>
      <c r="G1555" s="7">
        <v>21.440000999999999</v>
      </c>
      <c r="H1555" s="8">
        <f t="shared" si="26"/>
        <v>-1.0550413328000583E-2</v>
      </c>
    </row>
    <row r="1556" spans="2:8" x14ac:dyDescent="0.2">
      <c r="B1556" s="5">
        <v>44259</v>
      </c>
      <c r="C1556" s="6" t="s">
        <v>18</v>
      </c>
      <c r="D1556" s="7">
        <v>21.82</v>
      </c>
      <c r="E1556" s="7">
        <v>20.145859000000002</v>
      </c>
      <c r="F1556" s="7">
        <v>21.889999</v>
      </c>
      <c r="G1556" s="7">
        <v>21.700001</v>
      </c>
      <c r="H1556" s="8">
        <f t="shared" si="26"/>
        <v>1.1590171534538712E-2</v>
      </c>
    </row>
    <row r="1557" spans="2:8" x14ac:dyDescent="0.2">
      <c r="B1557" s="5">
        <v>44260</v>
      </c>
      <c r="C1557" s="6" t="s">
        <v>18</v>
      </c>
      <c r="D1557" s="7">
        <v>21.870000999999998</v>
      </c>
      <c r="E1557" s="7">
        <v>20.192024</v>
      </c>
      <c r="F1557" s="7">
        <v>22.049999</v>
      </c>
      <c r="G1557" s="7">
        <v>21.809999000000001</v>
      </c>
      <c r="H1557" s="8">
        <f t="shared" si="26"/>
        <v>2.2915215398715944E-3</v>
      </c>
    </row>
    <row r="1558" spans="2:8" x14ac:dyDescent="0.2">
      <c r="B1558" s="5">
        <v>44261</v>
      </c>
      <c r="C1558" s="6" t="s">
        <v>18</v>
      </c>
      <c r="D1558" s="7">
        <v>21.82</v>
      </c>
      <c r="E1558" s="7">
        <v>20.145859000000002</v>
      </c>
      <c r="F1558" s="7">
        <v>21.98</v>
      </c>
      <c r="G1558" s="7">
        <v>21.75</v>
      </c>
      <c r="H1558" s="8">
        <f t="shared" si="26"/>
        <v>-2.2862824743354235E-3</v>
      </c>
    </row>
    <row r="1559" spans="2:8" x14ac:dyDescent="0.2">
      <c r="B1559" s="5">
        <v>44262</v>
      </c>
      <c r="C1559" s="6" t="s">
        <v>18</v>
      </c>
      <c r="D1559" s="7">
        <v>21.73</v>
      </c>
      <c r="E1559" s="7">
        <v>20.062764000000001</v>
      </c>
      <c r="F1559" s="7">
        <v>21.940000999999999</v>
      </c>
      <c r="G1559" s="7">
        <v>21.66</v>
      </c>
      <c r="H1559" s="8">
        <f t="shared" si="26"/>
        <v>-4.1246562786434399E-3</v>
      </c>
    </row>
    <row r="1560" spans="2:8" x14ac:dyDescent="0.2">
      <c r="B1560" s="5">
        <v>44265</v>
      </c>
      <c r="C1560" s="6" t="s">
        <v>18</v>
      </c>
      <c r="D1560" s="7">
        <v>21.690000999999999</v>
      </c>
      <c r="E1560" s="7">
        <v>20.025834</v>
      </c>
      <c r="F1560" s="7">
        <v>21.82</v>
      </c>
      <c r="G1560" s="7">
        <v>21.6</v>
      </c>
      <c r="H1560" s="8">
        <f t="shared" si="26"/>
        <v>-1.8407271053843383E-3</v>
      </c>
    </row>
    <row r="1561" spans="2:8" x14ac:dyDescent="0.2">
      <c r="B1561" s="5">
        <v>44266</v>
      </c>
      <c r="C1561" s="6" t="s">
        <v>18</v>
      </c>
      <c r="D1561" s="7">
        <v>21.610001</v>
      </c>
      <c r="E1561" s="7">
        <v>19.951972000000001</v>
      </c>
      <c r="F1561" s="7">
        <v>21.93</v>
      </c>
      <c r="G1561" s="7">
        <v>21.58</v>
      </c>
      <c r="H1561" s="8">
        <f t="shared" si="26"/>
        <v>-3.6883354684952895E-3</v>
      </c>
    </row>
    <row r="1562" spans="2:8" x14ac:dyDescent="0.2">
      <c r="B1562" s="5">
        <v>44267</v>
      </c>
      <c r="C1562" s="6" t="s">
        <v>18</v>
      </c>
      <c r="D1562" s="7">
        <v>21.82</v>
      </c>
      <c r="E1562" s="7">
        <v>20.145859000000002</v>
      </c>
      <c r="F1562" s="7">
        <v>21.92</v>
      </c>
      <c r="G1562" s="7">
        <v>21.530000999999999</v>
      </c>
      <c r="H1562" s="8">
        <f t="shared" si="26"/>
        <v>9.7176765517039913E-3</v>
      </c>
    </row>
    <row r="1563" spans="2:8" x14ac:dyDescent="0.2">
      <c r="B1563" s="5">
        <v>44268</v>
      </c>
      <c r="C1563" s="6" t="s">
        <v>18</v>
      </c>
      <c r="D1563" s="7">
        <v>21.52</v>
      </c>
      <c r="E1563" s="7">
        <v>19.868877000000001</v>
      </c>
      <c r="F1563" s="7">
        <v>21.92</v>
      </c>
      <c r="G1563" s="7">
        <v>21.5</v>
      </c>
      <c r="H1563" s="8">
        <f t="shared" si="26"/>
        <v>-1.3748854262144854E-2</v>
      </c>
    </row>
    <row r="1564" spans="2:8" x14ac:dyDescent="0.2">
      <c r="B1564" s="5">
        <v>44269</v>
      </c>
      <c r="C1564" s="6" t="s">
        <v>18</v>
      </c>
      <c r="D1564" s="7">
        <v>21.35</v>
      </c>
      <c r="E1564" s="7">
        <v>19.711919999999999</v>
      </c>
      <c r="F1564" s="7">
        <v>21.65</v>
      </c>
      <c r="G1564" s="7">
        <v>21.280000999999999</v>
      </c>
      <c r="H1564" s="8">
        <f t="shared" si="26"/>
        <v>-7.8996282527880185E-3</v>
      </c>
    </row>
    <row r="1565" spans="2:8" x14ac:dyDescent="0.2">
      <c r="B1565" s="5">
        <v>44272</v>
      </c>
      <c r="C1565" s="6" t="s">
        <v>18</v>
      </c>
      <c r="D1565" s="7">
        <v>21.51</v>
      </c>
      <c r="E1565" s="7">
        <v>19.859643999999999</v>
      </c>
      <c r="F1565" s="7">
        <v>21.620000999999998</v>
      </c>
      <c r="G1565" s="7">
        <v>21.27</v>
      </c>
      <c r="H1565" s="8">
        <f t="shared" si="26"/>
        <v>7.4941451990632379E-3</v>
      </c>
    </row>
    <row r="1566" spans="2:8" x14ac:dyDescent="0.2">
      <c r="B1566" s="5">
        <v>44273</v>
      </c>
      <c r="C1566" s="6" t="s">
        <v>18</v>
      </c>
      <c r="D1566" s="7">
        <v>21.629999000000002</v>
      </c>
      <c r="E1566" s="7">
        <v>19.970435999999999</v>
      </c>
      <c r="F1566" s="7">
        <v>21.709999</v>
      </c>
      <c r="G1566" s="7">
        <v>21.290001</v>
      </c>
      <c r="H1566" s="8">
        <f t="shared" si="26"/>
        <v>5.578754067875405E-3</v>
      </c>
    </row>
    <row r="1567" spans="2:8" x14ac:dyDescent="0.2">
      <c r="B1567" s="5">
        <v>44274</v>
      </c>
      <c r="C1567" s="6" t="s">
        <v>18</v>
      </c>
      <c r="D1567" s="7">
        <v>21.629999000000002</v>
      </c>
      <c r="E1567" s="7">
        <v>19.970435999999999</v>
      </c>
      <c r="F1567" s="7">
        <v>21.799999</v>
      </c>
      <c r="G1567" s="7">
        <v>21.559999000000001</v>
      </c>
      <c r="H1567" s="8">
        <f t="shared" si="26"/>
        <v>0</v>
      </c>
    </row>
    <row r="1568" spans="2:8" x14ac:dyDescent="0.2">
      <c r="B1568" s="5">
        <v>44275</v>
      </c>
      <c r="C1568" s="6" t="s">
        <v>18</v>
      </c>
      <c r="D1568" s="7">
        <v>21.83</v>
      </c>
      <c r="E1568" s="7">
        <v>20.155092</v>
      </c>
      <c r="F1568" s="7">
        <v>22</v>
      </c>
      <c r="G1568" s="7">
        <v>21.59</v>
      </c>
      <c r="H1568" s="8">
        <f t="shared" si="26"/>
        <v>9.2464636729755172E-3</v>
      </c>
    </row>
    <row r="1569" spans="2:8" x14ac:dyDescent="0.2">
      <c r="B1569" s="5">
        <v>44276</v>
      </c>
      <c r="C1569" s="6" t="s">
        <v>18</v>
      </c>
      <c r="D1569" s="7">
        <v>21.639999</v>
      </c>
      <c r="E1569" s="7">
        <v>19.979669000000001</v>
      </c>
      <c r="F1569" s="7">
        <v>22.1</v>
      </c>
      <c r="G1569" s="7">
        <v>21.58</v>
      </c>
      <c r="H1569" s="8">
        <f t="shared" si="26"/>
        <v>-8.7036646816307274E-3</v>
      </c>
    </row>
    <row r="1570" spans="2:8" x14ac:dyDescent="0.2">
      <c r="B1570" s="5">
        <v>44279</v>
      </c>
      <c r="C1570" s="6" t="s">
        <v>18</v>
      </c>
      <c r="D1570" s="7">
        <v>21.57</v>
      </c>
      <c r="E1570" s="7">
        <v>19.915040000000001</v>
      </c>
      <c r="F1570" s="7">
        <v>21.790001</v>
      </c>
      <c r="G1570" s="7">
        <v>21.469999000000001</v>
      </c>
      <c r="H1570" s="8">
        <f t="shared" si="26"/>
        <v>-3.2347044008643093E-3</v>
      </c>
    </row>
    <row r="1571" spans="2:8" x14ac:dyDescent="0.2">
      <c r="B1571" s="5">
        <v>44280</v>
      </c>
      <c r="C1571" s="6" t="s">
        <v>18</v>
      </c>
      <c r="D1571" s="7">
        <v>22.34</v>
      </c>
      <c r="E1571" s="7">
        <v>20.625962000000001</v>
      </c>
      <c r="F1571" s="7">
        <v>22.360001</v>
      </c>
      <c r="G1571" s="7">
        <v>21.65</v>
      </c>
      <c r="H1571" s="8">
        <f t="shared" si="26"/>
        <v>3.5697728326379213E-2</v>
      </c>
    </row>
    <row r="1572" spans="2:8" x14ac:dyDescent="0.2">
      <c r="B1572" s="5">
        <v>44281</v>
      </c>
      <c r="C1572" s="6" t="s">
        <v>18</v>
      </c>
      <c r="D1572" s="7">
        <v>22.32</v>
      </c>
      <c r="E1572" s="7">
        <v>20.607496000000001</v>
      </c>
      <c r="F1572" s="7">
        <v>22.690000999999999</v>
      </c>
      <c r="G1572" s="7">
        <v>22.32</v>
      </c>
      <c r="H1572" s="8">
        <f t="shared" si="26"/>
        <v>-8.9525514771708029E-4</v>
      </c>
    </row>
    <row r="1573" spans="2:8" x14ac:dyDescent="0.2">
      <c r="B1573" s="5">
        <v>44282</v>
      </c>
      <c r="C1573" s="6" t="s">
        <v>18</v>
      </c>
      <c r="D1573" s="7">
        <v>22.02</v>
      </c>
      <c r="E1573" s="7">
        <v>20.330514000000001</v>
      </c>
      <c r="F1573" s="7">
        <v>22.389999</v>
      </c>
      <c r="G1573" s="7">
        <v>21.940000999999999</v>
      </c>
      <c r="H1573" s="8">
        <f t="shared" si="26"/>
        <v>-1.3440860215053795E-2</v>
      </c>
    </row>
    <row r="1574" spans="2:8" x14ac:dyDescent="0.2">
      <c r="B1574" s="5">
        <v>44283</v>
      </c>
      <c r="C1574" s="6" t="s">
        <v>18</v>
      </c>
      <c r="D1574" s="7">
        <v>22.33</v>
      </c>
      <c r="E1574" s="7">
        <v>20.616728999999999</v>
      </c>
      <c r="F1574" s="7">
        <v>22.540001</v>
      </c>
      <c r="G1574" s="7">
        <v>22.049999</v>
      </c>
      <c r="H1574" s="8">
        <f t="shared" si="26"/>
        <v>1.4078110808355982E-2</v>
      </c>
    </row>
    <row r="1575" spans="2:8" x14ac:dyDescent="0.2">
      <c r="B1575" s="5">
        <v>44286</v>
      </c>
      <c r="C1575" s="6" t="s">
        <v>18</v>
      </c>
      <c r="D1575" s="7">
        <v>22.42</v>
      </c>
      <c r="E1575" s="7">
        <v>20.699824</v>
      </c>
      <c r="F1575" s="7">
        <v>22.639999</v>
      </c>
      <c r="G1575" s="7">
        <v>22.4</v>
      </c>
      <c r="H1575" s="8">
        <f t="shared" si="26"/>
        <v>4.0304523063145279E-3</v>
      </c>
    </row>
    <row r="1576" spans="2:8" x14ac:dyDescent="0.2">
      <c r="B1576" s="5">
        <v>44287</v>
      </c>
      <c r="C1576" s="6" t="s">
        <v>18</v>
      </c>
      <c r="D1576" s="7">
        <v>23.1</v>
      </c>
      <c r="E1576" s="7">
        <v>21.509938999999999</v>
      </c>
      <c r="F1576" s="7">
        <v>23.309999000000001</v>
      </c>
      <c r="G1576" s="7">
        <v>22.299999</v>
      </c>
      <c r="H1576" s="8">
        <f t="shared" si="26"/>
        <v>3.0330062444246193E-2</v>
      </c>
    </row>
    <row r="1577" spans="2:8" x14ac:dyDescent="0.2">
      <c r="B1577" s="5">
        <v>44288</v>
      </c>
      <c r="C1577" s="6" t="s">
        <v>18</v>
      </c>
      <c r="D1577" s="7">
        <v>22.99</v>
      </c>
      <c r="E1577" s="7">
        <v>21.407509999999998</v>
      </c>
      <c r="F1577" s="7">
        <v>23.129999000000002</v>
      </c>
      <c r="G1577" s="7">
        <v>22.76</v>
      </c>
      <c r="H1577" s="8">
        <f t="shared" si="26"/>
        <v>-4.7619047619048907E-3</v>
      </c>
    </row>
    <row r="1578" spans="2:8" x14ac:dyDescent="0.2">
      <c r="B1578" s="5">
        <v>44289</v>
      </c>
      <c r="C1578" s="6" t="s">
        <v>18</v>
      </c>
      <c r="D1578" s="7">
        <v>23.09</v>
      </c>
      <c r="E1578" s="7">
        <v>21.500627000000001</v>
      </c>
      <c r="F1578" s="7">
        <v>23.299999</v>
      </c>
      <c r="G1578" s="7">
        <v>23</v>
      </c>
      <c r="H1578" s="8">
        <f t="shared" si="26"/>
        <v>4.3497172683776173E-3</v>
      </c>
    </row>
    <row r="1579" spans="2:8" x14ac:dyDescent="0.2">
      <c r="B1579" s="5">
        <v>44290</v>
      </c>
      <c r="C1579" s="6" t="s">
        <v>18</v>
      </c>
      <c r="D1579" s="7">
        <v>22.709999</v>
      </c>
      <c r="E1579" s="7">
        <v>21.146782999999999</v>
      </c>
      <c r="F1579" s="7">
        <v>23.35</v>
      </c>
      <c r="G1579" s="7">
        <v>22.6</v>
      </c>
      <c r="H1579" s="8">
        <f t="shared" si="26"/>
        <v>-1.6457384148982245E-2</v>
      </c>
    </row>
    <row r="1580" spans="2:8" x14ac:dyDescent="0.2">
      <c r="B1580" s="5">
        <v>44293</v>
      </c>
      <c r="C1580" s="6" t="s">
        <v>18</v>
      </c>
      <c r="D1580" s="7">
        <v>22.85</v>
      </c>
      <c r="E1580" s="7">
        <v>21.277146999999999</v>
      </c>
      <c r="F1580" s="7">
        <v>23.07</v>
      </c>
      <c r="G1580" s="7">
        <v>22.5</v>
      </c>
      <c r="H1580" s="8">
        <f t="shared" si="26"/>
        <v>6.1647294656420552E-3</v>
      </c>
    </row>
    <row r="1581" spans="2:8" x14ac:dyDescent="0.2">
      <c r="B1581" s="5">
        <v>44294</v>
      </c>
      <c r="C1581" s="6" t="s">
        <v>18</v>
      </c>
      <c r="D1581" s="7">
        <v>22.940000999999999</v>
      </c>
      <c r="E1581" s="7">
        <v>21.360952000000001</v>
      </c>
      <c r="F1581" s="7">
        <v>22.969999000000001</v>
      </c>
      <c r="G1581" s="7">
        <v>22.6</v>
      </c>
      <c r="H1581" s="8">
        <f t="shared" si="26"/>
        <v>3.9387746170677172E-3</v>
      </c>
    </row>
    <row r="1582" spans="2:8" x14ac:dyDescent="0.2">
      <c r="B1582" s="5">
        <v>44295</v>
      </c>
      <c r="C1582" s="6" t="s">
        <v>18</v>
      </c>
      <c r="D1582" s="7">
        <v>23.120000999999998</v>
      </c>
      <c r="E1582" s="7">
        <v>21.528562999999998</v>
      </c>
      <c r="F1582" s="7">
        <v>23.32</v>
      </c>
      <c r="G1582" s="7">
        <v>22.889999</v>
      </c>
      <c r="H1582" s="8">
        <f t="shared" si="26"/>
        <v>7.8465558916060961E-3</v>
      </c>
    </row>
    <row r="1583" spans="2:8" x14ac:dyDescent="0.2">
      <c r="B1583" s="5">
        <v>44296</v>
      </c>
      <c r="C1583" s="6" t="s">
        <v>18</v>
      </c>
      <c r="D1583" s="7">
        <v>22.65</v>
      </c>
      <c r="E1583" s="7">
        <v>21.090913</v>
      </c>
      <c r="F1583" s="7">
        <v>23.26</v>
      </c>
      <c r="G1583" s="7">
        <v>22.5</v>
      </c>
      <c r="H1583" s="8">
        <f t="shared" si="26"/>
        <v>-2.0328762096506827E-2</v>
      </c>
    </row>
    <row r="1584" spans="2:8" x14ac:dyDescent="0.2">
      <c r="B1584" s="5">
        <v>44297</v>
      </c>
      <c r="C1584" s="6" t="s">
        <v>18</v>
      </c>
      <c r="D1584" s="7">
        <v>22.459999</v>
      </c>
      <c r="E1584" s="7">
        <v>20.913990999999999</v>
      </c>
      <c r="F1584" s="7">
        <v>22.99</v>
      </c>
      <c r="G1584" s="7">
        <v>22.43</v>
      </c>
      <c r="H1584" s="8">
        <f t="shared" si="26"/>
        <v>-8.3885651214127485E-3</v>
      </c>
    </row>
    <row r="1585" spans="2:8" x14ac:dyDescent="0.2">
      <c r="B1585" s="5">
        <v>44300</v>
      </c>
      <c r="C1585" s="6" t="s">
        <v>18</v>
      </c>
      <c r="D1585" s="7">
        <v>22.85</v>
      </c>
      <c r="E1585" s="7">
        <v>21.277146999999999</v>
      </c>
      <c r="F1585" s="7">
        <v>22.940000999999999</v>
      </c>
      <c r="G1585" s="7">
        <v>22.48</v>
      </c>
      <c r="H1585" s="8">
        <f t="shared" si="26"/>
        <v>1.7364248324321013E-2</v>
      </c>
    </row>
    <row r="1586" spans="2:8" x14ac:dyDescent="0.2">
      <c r="B1586" s="5">
        <v>44301</v>
      </c>
      <c r="C1586" s="6" t="s">
        <v>18</v>
      </c>
      <c r="D1586" s="7">
        <v>22.889999</v>
      </c>
      <c r="E1586" s="7">
        <v>21.314392999999999</v>
      </c>
      <c r="F1586" s="7">
        <v>23</v>
      </c>
      <c r="G1586" s="7">
        <v>22.610001</v>
      </c>
      <c r="H1586" s="8">
        <f t="shared" si="26"/>
        <v>1.7505032822756287E-3</v>
      </c>
    </row>
    <row r="1587" spans="2:8" x14ac:dyDescent="0.2">
      <c r="B1587" s="5">
        <v>44302</v>
      </c>
      <c r="C1587" s="6" t="s">
        <v>18</v>
      </c>
      <c r="D1587" s="7">
        <v>23.030000999999999</v>
      </c>
      <c r="E1587" s="7">
        <v>21.444758</v>
      </c>
      <c r="F1587" s="7">
        <v>23.15</v>
      </c>
      <c r="G1587" s="7">
        <v>22.83</v>
      </c>
      <c r="H1587" s="8">
        <f t="shared" si="26"/>
        <v>6.1162955926734233E-3</v>
      </c>
    </row>
    <row r="1588" spans="2:8" x14ac:dyDescent="0.2">
      <c r="B1588" s="5">
        <v>44303</v>
      </c>
      <c r="C1588" s="6" t="s">
        <v>18</v>
      </c>
      <c r="D1588" s="7">
        <v>23.209999</v>
      </c>
      <c r="E1588" s="7">
        <v>21.612366000000002</v>
      </c>
      <c r="F1588" s="7">
        <v>23.290001</v>
      </c>
      <c r="G1588" s="7">
        <v>22.780000999999999</v>
      </c>
      <c r="H1588" s="8">
        <f t="shared" si="26"/>
        <v>7.8158051317497226E-3</v>
      </c>
    </row>
    <row r="1589" spans="2:8" x14ac:dyDescent="0.2">
      <c r="B1589" s="5">
        <v>44307</v>
      </c>
      <c r="C1589" s="6" t="s">
        <v>18</v>
      </c>
      <c r="D1589" s="7">
        <v>23.4</v>
      </c>
      <c r="E1589" s="7">
        <v>21.789287999999999</v>
      </c>
      <c r="F1589" s="7">
        <v>23.59</v>
      </c>
      <c r="G1589" s="7">
        <v>23.18</v>
      </c>
      <c r="H1589" s="8">
        <f t="shared" si="26"/>
        <v>8.1861701071162807E-3</v>
      </c>
    </row>
    <row r="1590" spans="2:8" x14ac:dyDescent="0.2">
      <c r="B1590" s="5">
        <v>44308</v>
      </c>
      <c r="C1590" s="6" t="s">
        <v>18</v>
      </c>
      <c r="D1590" s="7">
        <v>23.52</v>
      </c>
      <c r="E1590" s="7">
        <v>21.901029000000001</v>
      </c>
      <c r="F1590" s="7">
        <v>23.610001</v>
      </c>
      <c r="G1590" s="7">
        <v>23.4</v>
      </c>
      <c r="H1590" s="8">
        <f t="shared" si="26"/>
        <v>5.1282051282051707E-3</v>
      </c>
    </row>
    <row r="1591" spans="2:8" x14ac:dyDescent="0.2">
      <c r="B1591" s="5">
        <v>44309</v>
      </c>
      <c r="C1591" s="6" t="s">
        <v>18</v>
      </c>
      <c r="D1591" s="7">
        <v>23.5</v>
      </c>
      <c r="E1591" s="7">
        <v>21.882404999999999</v>
      </c>
      <c r="F1591" s="7">
        <v>23.57</v>
      </c>
      <c r="G1591" s="7">
        <v>23.24</v>
      </c>
      <c r="H1591" s="8">
        <f t="shared" si="26"/>
        <v>-8.5034013605440363E-4</v>
      </c>
    </row>
    <row r="1592" spans="2:8" x14ac:dyDescent="0.2">
      <c r="B1592" s="5">
        <v>44310</v>
      </c>
      <c r="C1592" s="6" t="s">
        <v>18</v>
      </c>
      <c r="D1592" s="7">
        <v>23.33</v>
      </c>
      <c r="E1592" s="7">
        <v>21.724107</v>
      </c>
      <c r="F1592" s="7">
        <v>23.639999</v>
      </c>
      <c r="G1592" s="7">
        <v>23.24</v>
      </c>
      <c r="H1592" s="8">
        <f t="shared" si="26"/>
        <v>-7.2340425531915616E-3</v>
      </c>
    </row>
    <row r="1593" spans="2:8" x14ac:dyDescent="0.2">
      <c r="B1593" s="5">
        <v>44311</v>
      </c>
      <c r="C1593" s="6" t="s">
        <v>18</v>
      </c>
      <c r="D1593" s="7">
        <v>23</v>
      </c>
      <c r="E1593" s="7">
        <v>21.416822</v>
      </c>
      <c r="F1593" s="7">
        <v>23.32</v>
      </c>
      <c r="G1593" s="7">
        <v>22.879999000000002</v>
      </c>
      <c r="H1593" s="8">
        <f t="shared" si="26"/>
        <v>-1.4144877839691313E-2</v>
      </c>
    </row>
    <row r="1594" spans="2:8" x14ac:dyDescent="0.2">
      <c r="B1594" s="5">
        <v>44314</v>
      </c>
      <c r="C1594" s="6" t="s">
        <v>18</v>
      </c>
      <c r="D1594" s="7">
        <v>23.02</v>
      </c>
      <c r="E1594" s="7">
        <v>21.435445999999999</v>
      </c>
      <c r="F1594" s="7">
        <v>23.24</v>
      </c>
      <c r="G1594" s="7">
        <v>22.790001</v>
      </c>
      <c r="H1594" s="8">
        <f t="shared" si="26"/>
        <v>8.6956521739128584E-4</v>
      </c>
    </row>
    <row r="1595" spans="2:8" x14ac:dyDescent="0.2">
      <c r="B1595" s="5">
        <v>44315</v>
      </c>
      <c r="C1595" s="6" t="s">
        <v>18</v>
      </c>
      <c r="D1595" s="7">
        <v>23.16</v>
      </c>
      <c r="E1595" s="7">
        <v>21.565808000000001</v>
      </c>
      <c r="F1595" s="7">
        <v>23.209999</v>
      </c>
      <c r="G1595" s="7">
        <v>23.059999000000001</v>
      </c>
      <c r="H1595" s="8">
        <f t="shared" si="26"/>
        <v>6.0816681146829091E-3</v>
      </c>
    </row>
    <row r="1596" spans="2:8" x14ac:dyDescent="0.2">
      <c r="B1596" s="5">
        <v>44316</v>
      </c>
      <c r="C1596" s="6" t="s">
        <v>18</v>
      </c>
      <c r="D1596" s="7">
        <v>23.110001</v>
      </c>
      <c r="E1596" s="7">
        <v>21.519251000000001</v>
      </c>
      <c r="F1596" s="7">
        <v>23.139999</v>
      </c>
      <c r="G1596" s="7">
        <v>22.92</v>
      </c>
      <c r="H1596" s="8">
        <f t="shared" si="26"/>
        <v>-2.1588514680483456E-3</v>
      </c>
    </row>
    <row r="1597" spans="2:8" x14ac:dyDescent="0.2">
      <c r="B1597" s="5">
        <v>44317</v>
      </c>
      <c r="C1597" s="6" t="s">
        <v>18</v>
      </c>
      <c r="D1597" s="7">
        <v>23.01</v>
      </c>
      <c r="E1597" s="7">
        <v>21.426134000000001</v>
      </c>
      <c r="F1597" s="7">
        <v>23.15</v>
      </c>
      <c r="G1597" s="7">
        <v>22.91</v>
      </c>
      <c r="H1597" s="8">
        <f t="shared" si="26"/>
        <v>-4.3271741961412678E-3</v>
      </c>
    </row>
    <row r="1598" spans="2:8" x14ac:dyDescent="0.2">
      <c r="B1598" s="5">
        <v>44318</v>
      </c>
      <c r="C1598" s="6" t="s">
        <v>18</v>
      </c>
      <c r="D1598" s="7">
        <v>22.940000999999999</v>
      </c>
      <c r="E1598" s="7">
        <v>21.360952000000001</v>
      </c>
      <c r="F1598" s="7">
        <v>23.120000999999998</v>
      </c>
      <c r="G1598" s="7">
        <v>22.9</v>
      </c>
      <c r="H1598" s="8">
        <f t="shared" si="26"/>
        <v>-3.0421121251630943E-3</v>
      </c>
    </row>
    <row r="1599" spans="2:8" x14ac:dyDescent="0.2">
      <c r="B1599" s="5">
        <v>44321</v>
      </c>
      <c r="C1599" s="6" t="s">
        <v>18</v>
      </c>
      <c r="D1599" s="7">
        <v>22.959999</v>
      </c>
      <c r="E1599" s="7">
        <v>21.379574000000002</v>
      </c>
      <c r="F1599" s="7">
        <v>23</v>
      </c>
      <c r="G1599" s="7">
        <v>22.719999000000001</v>
      </c>
      <c r="H1599" s="8">
        <f t="shared" si="26"/>
        <v>8.7175235955748529E-4</v>
      </c>
    </row>
    <row r="1600" spans="2:8" x14ac:dyDescent="0.2">
      <c r="B1600" s="5">
        <v>44322</v>
      </c>
      <c r="C1600" s="6" t="s">
        <v>18</v>
      </c>
      <c r="D1600" s="7">
        <v>22.719999000000001</v>
      </c>
      <c r="E1600" s="7">
        <v>21.156095000000001</v>
      </c>
      <c r="F1600" s="7">
        <v>22.889999</v>
      </c>
      <c r="G1600" s="7">
        <v>22.629999000000002</v>
      </c>
      <c r="H1600" s="8">
        <f t="shared" si="26"/>
        <v>-1.0452962127742185E-2</v>
      </c>
    </row>
    <row r="1601" spans="2:8" x14ac:dyDescent="0.2">
      <c r="B1601" s="5">
        <v>44323</v>
      </c>
      <c r="C1601" s="6" t="s">
        <v>18</v>
      </c>
      <c r="D1601" s="7">
        <v>22.870000999999998</v>
      </c>
      <c r="E1601" s="7">
        <v>21.295770999999998</v>
      </c>
      <c r="F1601" s="7">
        <v>22.9</v>
      </c>
      <c r="G1601" s="7">
        <v>22.43</v>
      </c>
      <c r="H1601" s="8">
        <f t="shared" si="26"/>
        <v>6.6022009948150558E-3</v>
      </c>
    </row>
    <row r="1602" spans="2:8" x14ac:dyDescent="0.2">
      <c r="B1602" s="5">
        <v>44324</v>
      </c>
      <c r="C1602" s="6" t="s">
        <v>18</v>
      </c>
      <c r="D1602" s="7">
        <v>23.02</v>
      </c>
      <c r="E1602" s="7">
        <v>21.435445999999999</v>
      </c>
      <c r="F1602" s="7">
        <v>23.17</v>
      </c>
      <c r="G1602" s="7">
        <v>22.76</v>
      </c>
      <c r="H1602" s="8">
        <f t="shared" si="26"/>
        <v>6.5587666568095518E-3</v>
      </c>
    </row>
    <row r="1603" spans="2:8" x14ac:dyDescent="0.2">
      <c r="B1603" s="5">
        <v>44325</v>
      </c>
      <c r="C1603" s="6" t="s">
        <v>18</v>
      </c>
      <c r="D1603" s="7">
        <v>23.02</v>
      </c>
      <c r="E1603" s="7">
        <v>21.435445999999999</v>
      </c>
      <c r="F1603" s="7">
        <v>23.110001</v>
      </c>
      <c r="G1603" s="7">
        <v>22.92</v>
      </c>
      <c r="H1603" s="8">
        <f t="shared" si="26"/>
        <v>0</v>
      </c>
    </row>
    <row r="1604" spans="2:8" x14ac:dyDescent="0.2">
      <c r="B1604" s="5">
        <v>44328</v>
      </c>
      <c r="C1604" s="6" t="s">
        <v>18</v>
      </c>
      <c r="D1604" s="7">
        <v>23.190000999999999</v>
      </c>
      <c r="E1604" s="7">
        <v>21.593744000000001</v>
      </c>
      <c r="F1604" s="7">
        <v>23.34</v>
      </c>
      <c r="G1604" s="7">
        <v>23</v>
      </c>
      <c r="H1604" s="8">
        <f t="shared" ref="H1604:H1667" si="27">(D1604-D1603)/D1603</f>
        <v>7.3849261511728581E-3</v>
      </c>
    </row>
    <row r="1605" spans="2:8" x14ac:dyDescent="0.2">
      <c r="B1605" s="5">
        <v>44329</v>
      </c>
      <c r="C1605" s="6" t="s">
        <v>18</v>
      </c>
      <c r="D1605" s="7">
        <v>22.860001</v>
      </c>
      <c r="E1605" s="7">
        <v>21.286459000000001</v>
      </c>
      <c r="F1605" s="7">
        <v>23.209999</v>
      </c>
      <c r="G1605" s="7">
        <v>22.76</v>
      </c>
      <c r="H1605" s="8">
        <f t="shared" si="27"/>
        <v>-1.4230271055184445E-2</v>
      </c>
    </row>
    <row r="1606" spans="2:8" x14ac:dyDescent="0.2">
      <c r="B1606" s="5">
        <v>44330</v>
      </c>
      <c r="C1606" s="6" t="s">
        <v>18</v>
      </c>
      <c r="D1606" s="7">
        <v>22.809999000000001</v>
      </c>
      <c r="E1606" s="7">
        <v>21.239899999999999</v>
      </c>
      <c r="F1606" s="7">
        <v>23.049999</v>
      </c>
      <c r="G1606" s="7">
        <v>22.629999000000002</v>
      </c>
      <c r="H1606" s="8">
        <f t="shared" si="27"/>
        <v>-2.1873139900562217E-3</v>
      </c>
    </row>
    <row r="1607" spans="2:8" x14ac:dyDescent="0.2">
      <c r="B1607" s="5">
        <v>44331</v>
      </c>
      <c r="C1607" s="6" t="s">
        <v>18</v>
      </c>
      <c r="D1607" s="7">
        <v>24.18</v>
      </c>
      <c r="E1607" s="7">
        <v>22.515598000000001</v>
      </c>
      <c r="F1607" s="7">
        <v>24.690000999999999</v>
      </c>
      <c r="G1607" s="7">
        <v>24.120000999999998</v>
      </c>
      <c r="H1607" s="8">
        <f t="shared" si="27"/>
        <v>6.0061423062754117E-2</v>
      </c>
    </row>
    <row r="1608" spans="2:8" x14ac:dyDescent="0.2">
      <c r="B1608" s="5">
        <v>44332</v>
      </c>
      <c r="C1608" s="6" t="s">
        <v>18</v>
      </c>
      <c r="D1608" s="7">
        <v>24.370000999999998</v>
      </c>
      <c r="E1608" s="7">
        <v>22.692519999999998</v>
      </c>
      <c r="F1608" s="7">
        <v>24.450001</v>
      </c>
      <c r="G1608" s="7">
        <v>24.059999000000001</v>
      </c>
      <c r="H1608" s="8">
        <f t="shared" si="27"/>
        <v>7.8577750206781944E-3</v>
      </c>
    </row>
    <row r="1609" spans="2:8" x14ac:dyDescent="0.2">
      <c r="B1609" s="5">
        <v>44335</v>
      </c>
      <c r="C1609" s="6" t="s">
        <v>18</v>
      </c>
      <c r="D1609" s="7">
        <v>24.35</v>
      </c>
      <c r="E1609" s="7">
        <v>22.673897</v>
      </c>
      <c r="F1609" s="7">
        <v>24.450001</v>
      </c>
      <c r="G1609" s="7">
        <v>24.120000999999998</v>
      </c>
      <c r="H1609" s="8">
        <f t="shared" si="27"/>
        <v>-8.2072216574784098E-4</v>
      </c>
    </row>
    <row r="1610" spans="2:8" x14ac:dyDescent="0.2">
      <c r="B1610" s="5">
        <v>44336</v>
      </c>
      <c r="C1610" s="6" t="s">
        <v>18</v>
      </c>
      <c r="D1610" s="7">
        <v>24.120000999999998</v>
      </c>
      <c r="E1610" s="7">
        <v>22.459728999999999</v>
      </c>
      <c r="F1610" s="7">
        <v>24.389999</v>
      </c>
      <c r="G1610" s="7">
        <v>24.02</v>
      </c>
      <c r="H1610" s="8">
        <f t="shared" si="27"/>
        <v>-9.4455441478440635E-3</v>
      </c>
    </row>
    <row r="1611" spans="2:8" x14ac:dyDescent="0.2">
      <c r="B1611" s="5">
        <v>44337</v>
      </c>
      <c r="C1611" s="6" t="s">
        <v>18</v>
      </c>
      <c r="D1611" s="7">
        <v>24.48</v>
      </c>
      <c r="E1611" s="7">
        <v>22.794947000000001</v>
      </c>
      <c r="F1611" s="7">
        <v>24.65</v>
      </c>
      <c r="G1611" s="7">
        <v>24.17</v>
      </c>
      <c r="H1611" s="8">
        <f t="shared" si="27"/>
        <v>1.4925331056163803E-2</v>
      </c>
    </row>
    <row r="1612" spans="2:8" x14ac:dyDescent="0.2">
      <c r="B1612" s="5">
        <v>44338</v>
      </c>
      <c r="C1612" s="6" t="s">
        <v>18</v>
      </c>
      <c r="D1612" s="7">
        <v>24.379999000000002</v>
      </c>
      <c r="E1612" s="7">
        <v>22.701830000000001</v>
      </c>
      <c r="F1612" s="7">
        <v>24.540001</v>
      </c>
      <c r="G1612" s="7">
        <v>24.290001</v>
      </c>
      <c r="H1612" s="8">
        <f t="shared" si="27"/>
        <v>-4.0850081699345953E-3</v>
      </c>
    </row>
    <row r="1613" spans="2:8" x14ac:dyDescent="0.2">
      <c r="B1613" s="5">
        <v>44339</v>
      </c>
      <c r="C1613" s="6" t="s">
        <v>18</v>
      </c>
      <c r="D1613" s="7">
        <v>24.52</v>
      </c>
      <c r="E1613" s="7">
        <v>22.832194999999999</v>
      </c>
      <c r="F1613" s="7">
        <v>24.57</v>
      </c>
      <c r="G1613" s="7">
        <v>24.35</v>
      </c>
      <c r="H1613" s="8">
        <f t="shared" si="27"/>
        <v>5.7424530657281007E-3</v>
      </c>
    </row>
    <row r="1614" spans="2:8" x14ac:dyDescent="0.2">
      <c r="B1614" s="5">
        <v>44343</v>
      </c>
      <c r="C1614" s="6" t="s">
        <v>18</v>
      </c>
      <c r="D1614" s="7">
        <v>24.709999</v>
      </c>
      <c r="E1614" s="7">
        <v>23.009115000000001</v>
      </c>
      <c r="F1614" s="7">
        <v>24.879999000000002</v>
      </c>
      <c r="G1614" s="7">
        <v>24.629999000000002</v>
      </c>
      <c r="H1614" s="8">
        <f t="shared" si="27"/>
        <v>7.7487357259380203E-3</v>
      </c>
    </row>
    <row r="1615" spans="2:8" x14ac:dyDescent="0.2">
      <c r="B1615" s="5">
        <v>44344</v>
      </c>
      <c r="C1615" s="6" t="s">
        <v>18</v>
      </c>
      <c r="D1615" s="7">
        <v>24.82</v>
      </c>
      <c r="E1615" s="7">
        <v>23.111543999999999</v>
      </c>
      <c r="F1615" s="7">
        <v>24.93</v>
      </c>
      <c r="G1615" s="7">
        <v>24.629999000000002</v>
      </c>
      <c r="H1615" s="8">
        <f t="shared" si="27"/>
        <v>4.4516796621481228E-3</v>
      </c>
    </row>
    <row r="1616" spans="2:8" x14ac:dyDescent="0.2">
      <c r="B1616" s="5">
        <v>44345</v>
      </c>
      <c r="C1616" s="6" t="s">
        <v>18</v>
      </c>
      <c r="D1616" s="7">
        <v>24.68</v>
      </c>
      <c r="E1616" s="7">
        <v>22.981180999999999</v>
      </c>
      <c r="F1616" s="7">
        <v>24.92</v>
      </c>
      <c r="G1616" s="7">
        <v>24.559999000000001</v>
      </c>
      <c r="H1616" s="8">
        <f t="shared" si="27"/>
        <v>-5.6406124093473231E-3</v>
      </c>
    </row>
    <row r="1617" spans="2:8" x14ac:dyDescent="0.2">
      <c r="B1617" s="5">
        <v>44346</v>
      </c>
      <c r="C1617" s="6" t="s">
        <v>18</v>
      </c>
      <c r="D1617" s="7">
        <v>24.620000999999998</v>
      </c>
      <c r="E1617" s="7">
        <v>22.925312000000002</v>
      </c>
      <c r="F1617" s="7">
        <v>24.75</v>
      </c>
      <c r="G1617" s="7">
        <v>24.48</v>
      </c>
      <c r="H1617" s="8">
        <f t="shared" si="27"/>
        <v>-2.4310777957861122E-3</v>
      </c>
    </row>
    <row r="1618" spans="2:8" x14ac:dyDescent="0.2">
      <c r="B1618" s="5">
        <v>44349</v>
      </c>
      <c r="C1618" s="6" t="s">
        <v>18</v>
      </c>
      <c r="D1618" s="7">
        <v>24.780000999999999</v>
      </c>
      <c r="E1618" s="7">
        <v>23.074297999999999</v>
      </c>
      <c r="F1618" s="7">
        <v>24.799999</v>
      </c>
      <c r="G1618" s="7">
        <v>24.559999000000001</v>
      </c>
      <c r="H1618" s="8">
        <f t="shared" si="27"/>
        <v>6.4987812145092987E-3</v>
      </c>
    </row>
    <row r="1619" spans="2:8" x14ac:dyDescent="0.2">
      <c r="B1619" s="5">
        <v>44350</v>
      </c>
      <c r="C1619" s="6" t="s">
        <v>18</v>
      </c>
      <c r="D1619" s="7">
        <v>24.68</v>
      </c>
      <c r="E1619" s="7">
        <v>22.981180999999999</v>
      </c>
      <c r="F1619" s="7">
        <v>24.82</v>
      </c>
      <c r="G1619" s="7">
        <v>24.450001</v>
      </c>
      <c r="H1619" s="8">
        <f t="shared" si="27"/>
        <v>-4.035552702358604E-3</v>
      </c>
    </row>
    <row r="1620" spans="2:8" x14ac:dyDescent="0.2">
      <c r="B1620" s="5">
        <v>44351</v>
      </c>
      <c r="C1620" s="6" t="s">
        <v>18</v>
      </c>
      <c r="D1620" s="7">
        <v>24.5</v>
      </c>
      <c r="E1620" s="7">
        <v>22.813571</v>
      </c>
      <c r="F1620" s="7">
        <v>24.65</v>
      </c>
      <c r="G1620" s="7">
        <v>24.4</v>
      </c>
      <c r="H1620" s="8">
        <f t="shared" si="27"/>
        <v>-7.2933549432738949E-3</v>
      </c>
    </row>
    <row r="1621" spans="2:8" x14ac:dyDescent="0.2">
      <c r="B1621" s="5">
        <v>44352</v>
      </c>
      <c r="C1621" s="6" t="s">
        <v>18</v>
      </c>
      <c r="D1621" s="7">
        <v>24.700001</v>
      </c>
      <c r="E1621" s="7">
        <v>22.999804999999999</v>
      </c>
      <c r="F1621" s="7">
        <v>24.74</v>
      </c>
      <c r="G1621" s="7">
        <v>24.41</v>
      </c>
      <c r="H1621" s="8">
        <f t="shared" si="27"/>
        <v>8.1633061224489923E-3</v>
      </c>
    </row>
    <row r="1622" spans="2:8" x14ac:dyDescent="0.2">
      <c r="B1622" s="5">
        <v>44353</v>
      </c>
      <c r="C1622" s="6" t="s">
        <v>18</v>
      </c>
      <c r="D1622" s="7">
        <v>24.83</v>
      </c>
      <c r="E1622" s="7">
        <v>23.120856</v>
      </c>
      <c r="F1622" s="7">
        <v>24.950001</v>
      </c>
      <c r="G1622" s="7">
        <v>24.709999</v>
      </c>
      <c r="H1622" s="8">
        <f t="shared" si="27"/>
        <v>5.2631171958251325E-3</v>
      </c>
    </row>
    <row r="1623" spans="2:8" x14ac:dyDescent="0.2">
      <c r="B1623" s="5">
        <v>44356</v>
      </c>
      <c r="C1623" s="6" t="s">
        <v>18</v>
      </c>
      <c r="D1623" s="7">
        <v>24.799999</v>
      </c>
      <c r="E1623" s="7">
        <v>23.092919999999999</v>
      </c>
      <c r="F1623" s="7">
        <v>24.950001</v>
      </c>
      <c r="G1623" s="7">
        <v>24.719999000000001</v>
      </c>
      <c r="H1623" s="8">
        <f t="shared" si="27"/>
        <v>-1.2082561417639393E-3</v>
      </c>
    </row>
    <row r="1624" spans="2:8" x14ac:dyDescent="0.2">
      <c r="B1624" s="5">
        <v>44357</v>
      </c>
      <c r="C1624" s="6" t="s">
        <v>18</v>
      </c>
      <c r="D1624" s="7">
        <v>25</v>
      </c>
      <c r="E1624" s="7">
        <v>23.279153999999998</v>
      </c>
      <c r="F1624" s="7">
        <v>25.1</v>
      </c>
      <c r="G1624" s="7">
        <v>24.6</v>
      </c>
      <c r="H1624" s="8">
        <f t="shared" si="27"/>
        <v>8.064556776796657E-3</v>
      </c>
    </row>
    <row r="1625" spans="2:8" x14ac:dyDescent="0.2">
      <c r="B1625" s="5">
        <v>44358</v>
      </c>
      <c r="C1625" s="6" t="s">
        <v>18</v>
      </c>
      <c r="D1625" s="7">
        <v>25.040001</v>
      </c>
      <c r="E1625" s="7">
        <v>23.316402</v>
      </c>
      <c r="F1625" s="7">
        <v>25.17</v>
      </c>
      <c r="G1625" s="7">
        <v>24.790001</v>
      </c>
      <c r="H1625" s="8">
        <f t="shared" si="27"/>
        <v>1.600040000000007E-3</v>
      </c>
    </row>
    <row r="1626" spans="2:8" x14ac:dyDescent="0.2">
      <c r="B1626" s="5">
        <v>44359</v>
      </c>
      <c r="C1626" s="6" t="s">
        <v>18</v>
      </c>
      <c r="D1626" s="7">
        <v>24.66</v>
      </c>
      <c r="E1626" s="7">
        <v>22.962558000000001</v>
      </c>
      <c r="F1626" s="7">
        <v>25.01</v>
      </c>
      <c r="G1626" s="7">
        <v>24.620000999999998</v>
      </c>
      <c r="H1626" s="8">
        <f t="shared" si="27"/>
        <v>-1.5175758179881864E-2</v>
      </c>
    </row>
    <row r="1627" spans="2:8" x14ac:dyDescent="0.2">
      <c r="B1627" s="5">
        <v>44360</v>
      </c>
      <c r="C1627" s="6" t="s">
        <v>18</v>
      </c>
      <c r="D1627" s="7">
        <v>24.700001</v>
      </c>
      <c r="E1627" s="7">
        <v>22.999804999999999</v>
      </c>
      <c r="F1627" s="7">
        <v>24.780000999999999</v>
      </c>
      <c r="G1627" s="7">
        <v>24.6</v>
      </c>
      <c r="H1627" s="8">
        <f t="shared" si="27"/>
        <v>1.6221005677210128E-3</v>
      </c>
    </row>
    <row r="1628" spans="2:8" x14ac:dyDescent="0.2">
      <c r="B1628" s="5">
        <v>44363</v>
      </c>
      <c r="C1628" s="6" t="s">
        <v>18</v>
      </c>
      <c r="D1628" s="7">
        <v>24.530000999999999</v>
      </c>
      <c r="E1628" s="7">
        <v>22.841507</v>
      </c>
      <c r="F1628" s="7">
        <v>24.73</v>
      </c>
      <c r="G1628" s="7">
        <v>24.450001</v>
      </c>
      <c r="H1628" s="8">
        <f t="shared" si="27"/>
        <v>-6.8825908144700765E-3</v>
      </c>
    </row>
    <row r="1629" spans="2:8" x14ac:dyDescent="0.2">
      <c r="B1629" s="5">
        <v>44364</v>
      </c>
      <c r="C1629" s="6" t="s">
        <v>18</v>
      </c>
      <c r="D1629" s="7">
        <v>24.5</v>
      </c>
      <c r="E1629" s="7">
        <v>22.813571</v>
      </c>
      <c r="F1629" s="7">
        <v>24.620000999999998</v>
      </c>
      <c r="G1629" s="7">
        <v>24.41</v>
      </c>
      <c r="H1629" s="8">
        <f t="shared" si="27"/>
        <v>-1.2230329709321502E-3</v>
      </c>
    </row>
    <row r="1630" spans="2:8" x14ac:dyDescent="0.2">
      <c r="B1630" s="5">
        <v>44365</v>
      </c>
      <c r="C1630" s="6" t="s">
        <v>18</v>
      </c>
      <c r="D1630" s="7">
        <v>24.629999000000002</v>
      </c>
      <c r="E1630" s="7">
        <v>22.934622000000001</v>
      </c>
      <c r="F1630" s="7">
        <v>24.75</v>
      </c>
      <c r="G1630" s="7">
        <v>24.459999</v>
      </c>
      <c r="H1630" s="8">
        <f t="shared" si="27"/>
        <v>5.3060816326531233E-3</v>
      </c>
    </row>
    <row r="1631" spans="2:8" x14ac:dyDescent="0.2">
      <c r="B1631" s="5">
        <v>44366</v>
      </c>
      <c r="C1631" s="6" t="s">
        <v>18</v>
      </c>
      <c r="D1631" s="7">
        <v>24.709999</v>
      </c>
      <c r="E1631" s="7">
        <v>23.009115000000001</v>
      </c>
      <c r="F1631" s="7">
        <v>24.709999</v>
      </c>
      <c r="G1631" s="7">
        <v>24.450001</v>
      </c>
      <c r="H1631" s="8">
        <f t="shared" si="27"/>
        <v>3.2480715894466048E-3</v>
      </c>
    </row>
    <row r="1632" spans="2:8" x14ac:dyDescent="0.2">
      <c r="B1632" s="5">
        <v>44367</v>
      </c>
      <c r="C1632" s="6" t="s">
        <v>18</v>
      </c>
      <c r="D1632" s="7">
        <v>24.83</v>
      </c>
      <c r="E1632" s="7">
        <v>23.120856</v>
      </c>
      <c r="F1632" s="7">
        <v>24.9</v>
      </c>
      <c r="G1632" s="7">
        <v>24.610001</v>
      </c>
      <c r="H1632" s="8">
        <f t="shared" si="27"/>
        <v>4.8563741342117607E-3</v>
      </c>
    </row>
    <row r="1633" spans="2:8" x14ac:dyDescent="0.2">
      <c r="B1633" s="5">
        <v>44370</v>
      </c>
      <c r="C1633" s="6" t="s">
        <v>18</v>
      </c>
      <c r="D1633" s="7">
        <v>24.700001</v>
      </c>
      <c r="E1633" s="7">
        <v>22.999804999999999</v>
      </c>
      <c r="F1633" s="7">
        <v>24.9</v>
      </c>
      <c r="G1633" s="7">
        <v>24.65</v>
      </c>
      <c r="H1633" s="8">
        <f t="shared" si="27"/>
        <v>-5.2355618203784931E-3</v>
      </c>
    </row>
    <row r="1634" spans="2:8" x14ac:dyDescent="0.2">
      <c r="B1634" s="5">
        <v>44371</v>
      </c>
      <c r="C1634" s="6" t="s">
        <v>18</v>
      </c>
      <c r="D1634" s="7">
        <v>24.530000999999999</v>
      </c>
      <c r="E1634" s="7">
        <v>22.841507</v>
      </c>
      <c r="F1634" s="7">
        <v>24.74</v>
      </c>
      <c r="G1634" s="7">
        <v>24.52</v>
      </c>
      <c r="H1634" s="8">
        <f t="shared" si="27"/>
        <v>-6.8825908144700765E-3</v>
      </c>
    </row>
    <row r="1635" spans="2:8" x14ac:dyDescent="0.2">
      <c r="B1635" s="5">
        <v>44372</v>
      </c>
      <c r="C1635" s="6" t="s">
        <v>18</v>
      </c>
      <c r="D1635" s="7">
        <v>24.719999000000001</v>
      </c>
      <c r="E1635" s="7">
        <v>23.018426999999999</v>
      </c>
      <c r="F1635" s="7">
        <v>24.780000999999999</v>
      </c>
      <c r="G1635" s="7">
        <v>24.41</v>
      </c>
      <c r="H1635" s="8">
        <f t="shared" si="27"/>
        <v>7.7455357625139431E-3</v>
      </c>
    </row>
    <row r="1636" spans="2:8" x14ac:dyDescent="0.2">
      <c r="B1636" s="5">
        <v>44373</v>
      </c>
      <c r="C1636" s="6" t="s">
        <v>18</v>
      </c>
      <c r="D1636" s="7">
        <v>24.65</v>
      </c>
      <c r="E1636" s="7">
        <v>22.953246</v>
      </c>
      <c r="F1636" s="7">
        <v>24.809999000000001</v>
      </c>
      <c r="G1636" s="7">
        <v>24.48</v>
      </c>
      <c r="H1636" s="8">
        <f t="shared" si="27"/>
        <v>-2.8316748718316214E-3</v>
      </c>
    </row>
    <row r="1637" spans="2:8" x14ac:dyDescent="0.2">
      <c r="B1637" s="5">
        <v>44374</v>
      </c>
      <c r="C1637" s="6" t="s">
        <v>18</v>
      </c>
      <c r="D1637" s="7">
        <v>24.700001</v>
      </c>
      <c r="E1637" s="7">
        <v>22.999804999999999</v>
      </c>
      <c r="F1637" s="7">
        <v>24.780000999999999</v>
      </c>
      <c r="G1637" s="7">
        <v>24.48</v>
      </c>
      <c r="H1637" s="8">
        <f t="shared" si="27"/>
        <v>2.0284381338743101E-3</v>
      </c>
    </row>
    <row r="1638" spans="2:8" x14ac:dyDescent="0.2">
      <c r="B1638" s="5">
        <v>44377</v>
      </c>
      <c r="C1638" s="6" t="s">
        <v>18</v>
      </c>
      <c r="D1638" s="7">
        <v>24.85</v>
      </c>
      <c r="E1638" s="7">
        <v>23.139479999999999</v>
      </c>
      <c r="F1638" s="7">
        <v>24.9</v>
      </c>
      <c r="G1638" s="7">
        <v>24.620000999999998</v>
      </c>
      <c r="H1638" s="8">
        <f t="shared" si="27"/>
        <v>6.0728337622334956E-3</v>
      </c>
    </row>
    <row r="1639" spans="2:8" x14ac:dyDescent="0.2">
      <c r="B1639" s="5">
        <v>44378</v>
      </c>
      <c r="C1639" s="6" t="s">
        <v>18</v>
      </c>
      <c r="D1639" s="7">
        <v>25.08</v>
      </c>
      <c r="E1639" s="7">
        <v>23.353648</v>
      </c>
      <c r="F1639" s="7">
        <v>25.110001</v>
      </c>
      <c r="G1639" s="7">
        <v>24.77</v>
      </c>
      <c r="H1639" s="8">
        <f t="shared" si="27"/>
        <v>9.255533199195044E-3</v>
      </c>
    </row>
    <row r="1640" spans="2:8" x14ac:dyDescent="0.2">
      <c r="B1640" s="5">
        <v>44379</v>
      </c>
      <c r="C1640" s="6" t="s">
        <v>18</v>
      </c>
      <c r="D1640" s="7">
        <v>25.030000999999999</v>
      </c>
      <c r="E1640" s="7">
        <v>23.485005000000001</v>
      </c>
      <c r="F1640" s="7">
        <v>25.139999</v>
      </c>
      <c r="G1640" s="7">
        <v>24.870000999999998</v>
      </c>
      <c r="H1640" s="8">
        <f t="shared" si="27"/>
        <v>-1.9935805422647401E-3</v>
      </c>
    </row>
    <row r="1641" spans="2:8" x14ac:dyDescent="0.2">
      <c r="B1641" s="5">
        <v>44380</v>
      </c>
      <c r="C1641" s="6" t="s">
        <v>18</v>
      </c>
      <c r="D1641" s="7">
        <v>25.190000999999999</v>
      </c>
      <c r="E1641" s="7">
        <v>23.635128999999999</v>
      </c>
      <c r="F1641" s="7">
        <v>25.25</v>
      </c>
      <c r="G1641" s="7">
        <v>25.129999000000002</v>
      </c>
      <c r="H1641" s="8">
        <f t="shared" si="27"/>
        <v>6.3923289495673675E-3</v>
      </c>
    </row>
    <row r="1642" spans="2:8" x14ac:dyDescent="0.2">
      <c r="B1642" s="5">
        <v>44384</v>
      </c>
      <c r="C1642" s="6" t="s">
        <v>18</v>
      </c>
      <c r="D1642" s="7">
        <v>25.23</v>
      </c>
      <c r="E1642" s="7">
        <v>23.672658999999999</v>
      </c>
      <c r="F1642" s="7">
        <v>25.25</v>
      </c>
      <c r="G1642" s="7">
        <v>24.969999000000001</v>
      </c>
      <c r="H1642" s="8">
        <f t="shared" si="27"/>
        <v>1.5878919576065786E-3</v>
      </c>
    </row>
    <row r="1643" spans="2:8" x14ac:dyDescent="0.2">
      <c r="B1643" s="5">
        <v>44385</v>
      </c>
      <c r="C1643" s="6" t="s">
        <v>18</v>
      </c>
      <c r="D1643" s="7">
        <v>25.07</v>
      </c>
      <c r="E1643" s="7">
        <v>23.522535999999999</v>
      </c>
      <c r="F1643" s="7">
        <v>25.309999000000001</v>
      </c>
      <c r="G1643" s="7">
        <v>25.059999000000001</v>
      </c>
      <c r="H1643" s="8">
        <f t="shared" si="27"/>
        <v>-6.3416567578279881E-3</v>
      </c>
    </row>
    <row r="1644" spans="2:8" x14ac:dyDescent="0.2">
      <c r="B1644" s="5">
        <v>44386</v>
      </c>
      <c r="C1644" s="6" t="s">
        <v>18</v>
      </c>
      <c r="D1644" s="7">
        <v>25.440000999999999</v>
      </c>
      <c r="E1644" s="7">
        <v>23.869698</v>
      </c>
      <c r="F1644" s="7">
        <v>25.5</v>
      </c>
      <c r="G1644" s="7">
        <v>25.139999</v>
      </c>
      <c r="H1644" s="8">
        <f t="shared" si="27"/>
        <v>1.4758715596330215E-2</v>
      </c>
    </row>
    <row r="1645" spans="2:8" x14ac:dyDescent="0.2">
      <c r="B1645" s="5">
        <v>44387</v>
      </c>
      <c r="C1645" s="6" t="s">
        <v>18</v>
      </c>
      <c r="D1645" s="7">
        <v>25.440000999999999</v>
      </c>
      <c r="E1645" s="7">
        <v>23.869698</v>
      </c>
      <c r="F1645" s="7">
        <v>25.52</v>
      </c>
      <c r="G1645" s="7">
        <v>25.219999000000001</v>
      </c>
      <c r="H1645" s="8">
        <f t="shared" si="27"/>
        <v>0</v>
      </c>
    </row>
    <row r="1646" spans="2:8" x14ac:dyDescent="0.2">
      <c r="B1646" s="5">
        <v>44388</v>
      </c>
      <c r="C1646" s="6" t="s">
        <v>18</v>
      </c>
      <c r="D1646" s="7">
        <v>25.52</v>
      </c>
      <c r="E1646" s="7">
        <v>23.944759999999999</v>
      </c>
      <c r="F1646" s="7">
        <v>25.65</v>
      </c>
      <c r="G1646" s="7">
        <v>25.440000999999999</v>
      </c>
      <c r="H1646" s="8">
        <f t="shared" si="27"/>
        <v>3.1446146562651794E-3</v>
      </c>
    </row>
    <row r="1647" spans="2:8" x14ac:dyDescent="0.2">
      <c r="B1647" s="5">
        <v>44391</v>
      </c>
      <c r="C1647" s="6" t="s">
        <v>18</v>
      </c>
      <c r="D1647" s="7">
        <v>25.440000999999999</v>
      </c>
      <c r="E1647" s="7">
        <v>23.869698</v>
      </c>
      <c r="F1647" s="7">
        <v>25.65</v>
      </c>
      <c r="G1647" s="7">
        <v>25.4</v>
      </c>
      <c r="H1647" s="8">
        <f t="shared" si="27"/>
        <v>-3.1347570532915684E-3</v>
      </c>
    </row>
    <row r="1648" spans="2:8" x14ac:dyDescent="0.2">
      <c r="B1648" s="5">
        <v>44392</v>
      </c>
      <c r="C1648" s="6" t="s">
        <v>18</v>
      </c>
      <c r="D1648" s="7">
        <v>25.67</v>
      </c>
      <c r="E1648" s="7">
        <v>24.0855</v>
      </c>
      <c r="F1648" s="7">
        <v>25.68</v>
      </c>
      <c r="G1648" s="7">
        <v>25.360001</v>
      </c>
      <c r="H1648" s="8">
        <f t="shared" si="27"/>
        <v>9.0408408395897064E-3</v>
      </c>
    </row>
    <row r="1649" spans="2:8" x14ac:dyDescent="0.2">
      <c r="B1649" s="5">
        <v>44393</v>
      </c>
      <c r="C1649" s="6" t="s">
        <v>18</v>
      </c>
      <c r="D1649" s="7">
        <v>25.98</v>
      </c>
      <c r="E1649" s="7">
        <v>24.376365</v>
      </c>
      <c r="F1649" s="7">
        <v>26.049999</v>
      </c>
      <c r="G1649" s="7">
        <v>25.73</v>
      </c>
      <c r="H1649" s="8">
        <f t="shared" si="27"/>
        <v>1.2076353720296015E-2</v>
      </c>
    </row>
    <row r="1650" spans="2:8" x14ac:dyDescent="0.2">
      <c r="B1650" s="5">
        <v>44394</v>
      </c>
      <c r="C1650" s="6" t="s">
        <v>18</v>
      </c>
      <c r="D1650" s="7">
        <v>25.629999000000002</v>
      </c>
      <c r="E1650" s="7">
        <v>24.047968999999998</v>
      </c>
      <c r="F1650" s="7">
        <v>26</v>
      </c>
      <c r="G1650" s="7">
        <v>25.58</v>
      </c>
      <c r="H1650" s="8">
        <f t="shared" si="27"/>
        <v>-1.3471939953810581E-2</v>
      </c>
    </row>
    <row r="1651" spans="2:8" x14ac:dyDescent="0.2">
      <c r="B1651" s="5">
        <v>44395</v>
      </c>
      <c r="C1651" s="6" t="s">
        <v>18</v>
      </c>
      <c r="D1651" s="7">
        <v>25.91</v>
      </c>
      <c r="E1651" s="7">
        <v>24.310686</v>
      </c>
      <c r="F1651" s="7">
        <v>25.959999</v>
      </c>
      <c r="G1651" s="7">
        <v>25.67</v>
      </c>
      <c r="H1651" s="8">
        <f t="shared" si="27"/>
        <v>1.0924737063001781E-2</v>
      </c>
    </row>
    <row r="1652" spans="2:8" x14ac:dyDescent="0.2">
      <c r="B1652" s="5">
        <v>44398</v>
      </c>
      <c r="C1652" s="6" t="s">
        <v>18</v>
      </c>
      <c r="D1652" s="7">
        <v>25.85</v>
      </c>
      <c r="E1652" s="7">
        <v>24.254390000000001</v>
      </c>
      <c r="F1652" s="7">
        <v>25.950001</v>
      </c>
      <c r="G1652" s="7">
        <v>25.719999000000001</v>
      </c>
      <c r="H1652" s="8">
        <f t="shared" si="27"/>
        <v>-2.3157082207641345E-3</v>
      </c>
    </row>
    <row r="1653" spans="2:8" x14ac:dyDescent="0.2">
      <c r="B1653" s="5">
        <v>44399</v>
      </c>
      <c r="C1653" s="6" t="s">
        <v>18</v>
      </c>
      <c r="D1653" s="7">
        <v>25.950001</v>
      </c>
      <c r="E1653" s="7">
        <v>24.348217999999999</v>
      </c>
      <c r="F1653" s="7">
        <v>26.08</v>
      </c>
      <c r="G1653" s="7">
        <v>25.91</v>
      </c>
      <c r="H1653" s="8">
        <f t="shared" si="27"/>
        <v>3.8685106382978294E-3</v>
      </c>
    </row>
    <row r="1654" spans="2:8" x14ac:dyDescent="0.2">
      <c r="B1654" s="5">
        <v>44400</v>
      </c>
      <c r="C1654" s="6" t="s">
        <v>18</v>
      </c>
      <c r="D1654" s="7">
        <v>25.68</v>
      </c>
      <c r="E1654" s="7">
        <v>24.094882999999999</v>
      </c>
      <c r="F1654" s="7">
        <v>25.790001</v>
      </c>
      <c r="G1654" s="7">
        <v>25.549999</v>
      </c>
      <c r="H1654" s="8">
        <f t="shared" si="27"/>
        <v>-1.0404662412151761E-2</v>
      </c>
    </row>
    <row r="1655" spans="2:8" x14ac:dyDescent="0.2">
      <c r="B1655" s="5">
        <v>44401</v>
      </c>
      <c r="C1655" s="6" t="s">
        <v>18</v>
      </c>
      <c r="D1655" s="7">
        <v>25.83</v>
      </c>
      <c r="E1655" s="7">
        <v>24.235624000000001</v>
      </c>
      <c r="F1655" s="7">
        <v>25.9</v>
      </c>
      <c r="G1655" s="7">
        <v>25.68</v>
      </c>
      <c r="H1655" s="8">
        <f t="shared" si="27"/>
        <v>5.8411214953270479E-3</v>
      </c>
    </row>
    <row r="1656" spans="2:8" x14ac:dyDescent="0.2">
      <c r="B1656" s="5">
        <v>44402</v>
      </c>
      <c r="C1656" s="6" t="s">
        <v>18</v>
      </c>
      <c r="D1656" s="7">
        <v>25.969999000000001</v>
      </c>
      <c r="E1656" s="7">
        <v>24.366982</v>
      </c>
      <c r="F1656" s="7">
        <v>26.02</v>
      </c>
      <c r="G1656" s="7">
        <v>25.68</v>
      </c>
      <c r="H1656" s="8">
        <f t="shared" si="27"/>
        <v>5.4200154858692643E-3</v>
      </c>
    </row>
    <row r="1657" spans="2:8" x14ac:dyDescent="0.2">
      <c r="B1657" s="5">
        <v>44405</v>
      </c>
      <c r="C1657" s="6" t="s">
        <v>18</v>
      </c>
      <c r="D1657" s="7">
        <v>25.92</v>
      </c>
      <c r="E1657" s="7">
        <v>24.320069</v>
      </c>
      <c r="F1657" s="7">
        <v>26</v>
      </c>
      <c r="G1657" s="7">
        <v>25.57</v>
      </c>
      <c r="H1657" s="8">
        <f t="shared" si="27"/>
        <v>-1.9252599894208574E-3</v>
      </c>
    </row>
    <row r="1658" spans="2:8" x14ac:dyDescent="0.2">
      <c r="B1658" s="5">
        <v>44406</v>
      </c>
      <c r="C1658" s="6" t="s">
        <v>18</v>
      </c>
      <c r="D1658" s="7">
        <v>25.709999</v>
      </c>
      <c r="E1658" s="7">
        <v>24.12303</v>
      </c>
      <c r="F1658" s="7">
        <v>26.01</v>
      </c>
      <c r="G1658" s="7">
        <v>25.690000999999999</v>
      </c>
      <c r="H1658" s="8">
        <f t="shared" si="27"/>
        <v>-8.1018904320988381E-3</v>
      </c>
    </row>
    <row r="1659" spans="2:8" x14ac:dyDescent="0.2">
      <c r="B1659" s="5">
        <v>44407</v>
      </c>
      <c r="C1659" s="6" t="s">
        <v>18</v>
      </c>
      <c r="D1659" s="7">
        <v>25.629999000000002</v>
      </c>
      <c r="E1659" s="7">
        <v>24.047968999999998</v>
      </c>
      <c r="F1659" s="7">
        <v>25.84</v>
      </c>
      <c r="G1659" s="7">
        <v>25.469999000000001</v>
      </c>
      <c r="H1659" s="8">
        <f t="shared" si="27"/>
        <v>-3.1116298370917205E-3</v>
      </c>
    </row>
    <row r="1660" spans="2:8" x14ac:dyDescent="0.2">
      <c r="B1660" s="5">
        <v>44408</v>
      </c>
      <c r="C1660" s="6" t="s">
        <v>18</v>
      </c>
      <c r="D1660" s="7">
        <v>25.23</v>
      </c>
      <c r="E1660" s="7">
        <v>23.672658999999999</v>
      </c>
      <c r="F1660" s="7">
        <v>25.5</v>
      </c>
      <c r="G1660" s="7">
        <v>25.17</v>
      </c>
      <c r="H1660" s="8">
        <f t="shared" si="27"/>
        <v>-1.5606672477825734E-2</v>
      </c>
    </row>
    <row r="1661" spans="2:8" x14ac:dyDescent="0.2">
      <c r="B1661" s="5">
        <v>44409</v>
      </c>
      <c r="C1661" s="6" t="s">
        <v>18</v>
      </c>
      <c r="D1661" s="7">
        <v>25</v>
      </c>
      <c r="E1661" s="7">
        <v>23.456856999999999</v>
      </c>
      <c r="F1661" s="7">
        <v>25.209999</v>
      </c>
      <c r="G1661" s="7">
        <v>24.799999</v>
      </c>
      <c r="H1661" s="8">
        <f t="shared" si="27"/>
        <v>-9.1161315893777423E-3</v>
      </c>
    </row>
    <row r="1662" spans="2:8" x14ac:dyDescent="0.2">
      <c r="B1662" s="5">
        <v>44412</v>
      </c>
      <c r="C1662" s="6" t="s">
        <v>18</v>
      </c>
      <c r="D1662" s="7">
        <v>25.17</v>
      </c>
      <c r="E1662" s="7">
        <v>23.616363</v>
      </c>
      <c r="F1662" s="7">
        <v>25.219999000000001</v>
      </c>
      <c r="G1662" s="7">
        <v>24.860001</v>
      </c>
      <c r="H1662" s="8">
        <f t="shared" si="27"/>
        <v>6.8000000000000681E-3</v>
      </c>
    </row>
    <row r="1663" spans="2:8" x14ac:dyDescent="0.2">
      <c r="B1663" s="5">
        <v>44413</v>
      </c>
      <c r="C1663" s="6" t="s">
        <v>18</v>
      </c>
      <c r="D1663" s="7">
        <v>24.969999000000001</v>
      </c>
      <c r="E1663" s="7">
        <v>23.428708</v>
      </c>
      <c r="F1663" s="7">
        <v>25.120000999999998</v>
      </c>
      <c r="G1663" s="7">
        <v>24.870000999999998</v>
      </c>
      <c r="H1663" s="8">
        <f t="shared" si="27"/>
        <v>-7.9460071513706917E-3</v>
      </c>
    </row>
    <row r="1664" spans="2:8" x14ac:dyDescent="0.2">
      <c r="B1664" s="5">
        <v>44414</v>
      </c>
      <c r="C1664" s="6" t="s">
        <v>18</v>
      </c>
      <c r="D1664" s="7">
        <v>24.93</v>
      </c>
      <c r="E1664" s="7">
        <v>23.391178</v>
      </c>
      <c r="F1664" s="7">
        <v>25.209999</v>
      </c>
      <c r="G1664" s="7">
        <v>24.85</v>
      </c>
      <c r="H1664" s="8">
        <f t="shared" si="27"/>
        <v>-1.6018823228627951E-3</v>
      </c>
    </row>
    <row r="1665" spans="2:8" x14ac:dyDescent="0.2">
      <c r="B1665" s="5">
        <v>44415</v>
      </c>
      <c r="C1665" s="6" t="s">
        <v>18</v>
      </c>
      <c r="D1665" s="7">
        <v>24.860001</v>
      </c>
      <c r="E1665" s="7">
        <v>23.325499000000001</v>
      </c>
      <c r="F1665" s="7">
        <v>25.110001</v>
      </c>
      <c r="G1665" s="7">
        <v>24.690000999999999</v>
      </c>
      <c r="H1665" s="8">
        <f t="shared" si="27"/>
        <v>-2.8078219013236766E-3</v>
      </c>
    </row>
    <row r="1666" spans="2:8" x14ac:dyDescent="0.2">
      <c r="B1666" s="5">
        <v>44416</v>
      </c>
      <c r="C1666" s="6" t="s">
        <v>18</v>
      </c>
      <c r="D1666" s="7">
        <v>25.030000999999999</v>
      </c>
      <c r="E1666" s="7">
        <v>23.485005000000001</v>
      </c>
      <c r="F1666" s="7">
        <v>25.059999000000001</v>
      </c>
      <c r="G1666" s="7">
        <v>24.74</v>
      </c>
      <c r="H1666" s="8">
        <f t="shared" si="27"/>
        <v>6.8382941738416728E-3</v>
      </c>
    </row>
    <row r="1667" spans="2:8" x14ac:dyDescent="0.2">
      <c r="B1667" s="5">
        <v>44419</v>
      </c>
      <c r="C1667" s="6" t="s">
        <v>18</v>
      </c>
      <c r="D1667" s="7">
        <v>25.23</v>
      </c>
      <c r="E1667" s="7">
        <v>23.672658999999999</v>
      </c>
      <c r="F1667" s="7">
        <v>25.370000999999998</v>
      </c>
      <c r="G1667" s="7">
        <v>25.01</v>
      </c>
      <c r="H1667" s="8">
        <f t="shared" si="27"/>
        <v>7.9903712349033394E-3</v>
      </c>
    </row>
    <row r="1668" spans="2:8" x14ac:dyDescent="0.2">
      <c r="B1668" s="5">
        <v>44420</v>
      </c>
      <c r="C1668" s="6" t="s">
        <v>18</v>
      </c>
      <c r="D1668" s="7">
        <v>25.15</v>
      </c>
      <c r="E1668" s="7">
        <v>23.597597</v>
      </c>
      <c r="F1668" s="7">
        <v>25.27</v>
      </c>
      <c r="G1668" s="7">
        <v>25</v>
      </c>
      <c r="H1668" s="8">
        <f t="shared" ref="H1668:H1731" si="28">(D1668-D1667)/D1667</f>
        <v>-3.1708283789140643E-3</v>
      </c>
    </row>
    <row r="1669" spans="2:8" x14ac:dyDescent="0.2">
      <c r="B1669" s="5">
        <v>44421</v>
      </c>
      <c r="C1669" s="6" t="s">
        <v>18</v>
      </c>
      <c r="D1669" s="7">
        <v>25.200001</v>
      </c>
      <c r="E1669" s="7">
        <v>23.644511999999999</v>
      </c>
      <c r="F1669" s="7">
        <v>25.27</v>
      </c>
      <c r="G1669" s="7">
        <v>24.93</v>
      </c>
      <c r="H1669" s="8">
        <f t="shared" si="28"/>
        <v>1.9881113320080216E-3</v>
      </c>
    </row>
    <row r="1670" spans="2:8" x14ac:dyDescent="0.2">
      <c r="B1670" s="5">
        <v>44422</v>
      </c>
      <c r="C1670" s="6" t="s">
        <v>18</v>
      </c>
      <c r="D1670" s="7">
        <v>24.540001</v>
      </c>
      <c r="E1670" s="7">
        <v>23.025251000000001</v>
      </c>
      <c r="F1670" s="7">
        <v>24.940000999999999</v>
      </c>
      <c r="G1670" s="7">
        <v>24.32</v>
      </c>
      <c r="H1670" s="8">
        <f t="shared" si="28"/>
        <v>-2.6190475151171625E-2</v>
      </c>
    </row>
    <row r="1671" spans="2:8" x14ac:dyDescent="0.2">
      <c r="B1671" s="5">
        <v>44423</v>
      </c>
      <c r="C1671" s="6" t="s">
        <v>18</v>
      </c>
      <c r="D1671" s="7">
        <v>24.43</v>
      </c>
      <c r="E1671" s="7">
        <v>22.922041</v>
      </c>
      <c r="F1671" s="7">
        <v>24.66</v>
      </c>
      <c r="G1671" s="7">
        <v>24.27</v>
      </c>
      <c r="H1671" s="8">
        <f t="shared" si="28"/>
        <v>-4.48251815474663E-3</v>
      </c>
    </row>
    <row r="1672" spans="2:8" x14ac:dyDescent="0.2">
      <c r="B1672" s="5">
        <v>44426</v>
      </c>
      <c r="C1672" s="6" t="s">
        <v>18</v>
      </c>
      <c r="D1672" s="7">
        <v>24.629999000000002</v>
      </c>
      <c r="E1672" s="7">
        <v>23.109694000000001</v>
      </c>
      <c r="F1672" s="7">
        <v>24.66</v>
      </c>
      <c r="G1672" s="7">
        <v>24.43</v>
      </c>
      <c r="H1672" s="8">
        <f t="shared" si="28"/>
        <v>8.1866148178469846E-3</v>
      </c>
    </row>
    <row r="1673" spans="2:8" x14ac:dyDescent="0.2">
      <c r="B1673" s="5">
        <v>44427</v>
      </c>
      <c r="C1673" s="6" t="s">
        <v>18</v>
      </c>
      <c r="D1673" s="7">
        <v>24.639999</v>
      </c>
      <c r="E1673" s="7">
        <v>23.119077000000001</v>
      </c>
      <c r="F1673" s="7">
        <v>24.690000999999999</v>
      </c>
      <c r="G1673" s="7">
        <v>24.6</v>
      </c>
      <c r="H1673" s="8">
        <f t="shared" si="28"/>
        <v>4.0600894868075349E-4</v>
      </c>
    </row>
    <row r="1674" spans="2:8" x14ac:dyDescent="0.2">
      <c r="B1674" s="5">
        <v>44428</v>
      </c>
      <c r="C1674" s="6" t="s">
        <v>18</v>
      </c>
      <c r="D1674" s="7">
        <v>24.709999</v>
      </c>
      <c r="E1674" s="7">
        <v>23.184756</v>
      </c>
      <c r="F1674" s="7">
        <v>24.75</v>
      </c>
      <c r="G1674" s="7">
        <v>24.52</v>
      </c>
      <c r="H1674" s="8">
        <f t="shared" si="28"/>
        <v>2.8409092062057426E-3</v>
      </c>
    </row>
    <row r="1675" spans="2:8" x14ac:dyDescent="0.2">
      <c r="B1675" s="5">
        <v>44429</v>
      </c>
      <c r="C1675" s="6" t="s">
        <v>18</v>
      </c>
      <c r="D1675" s="7">
        <v>24.889999</v>
      </c>
      <c r="E1675" s="7">
        <v>23.353646000000001</v>
      </c>
      <c r="F1675" s="7">
        <v>24.91</v>
      </c>
      <c r="G1675" s="7">
        <v>24.719999000000001</v>
      </c>
      <c r="H1675" s="8">
        <f t="shared" si="28"/>
        <v>7.2845004971469124E-3</v>
      </c>
    </row>
    <row r="1676" spans="2:8" x14ac:dyDescent="0.2">
      <c r="B1676" s="5">
        <v>44430</v>
      </c>
      <c r="C1676" s="6" t="s">
        <v>18</v>
      </c>
      <c r="D1676" s="7">
        <v>24.65</v>
      </c>
      <c r="E1676" s="7">
        <v>23.12846</v>
      </c>
      <c r="F1676" s="7">
        <v>24.969999000000001</v>
      </c>
      <c r="G1676" s="7">
        <v>24.639999</v>
      </c>
      <c r="H1676" s="8">
        <f t="shared" si="28"/>
        <v>-9.6423868880027262E-3</v>
      </c>
    </row>
    <row r="1677" spans="2:8" x14ac:dyDescent="0.2">
      <c r="B1677" s="5">
        <v>44433</v>
      </c>
      <c r="C1677" s="6" t="s">
        <v>18</v>
      </c>
      <c r="D1677" s="7">
        <v>24.700001</v>
      </c>
      <c r="E1677" s="7">
        <v>23.175374999999999</v>
      </c>
      <c r="F1677" s="7">
        <v>24.84</v>
      </c>
      <c r="G1677" s="7">
        <v>24.690000999999999</v>
      </c>
      <c r="H1677" s="8">
        <f t="shared" si="28"/>
        <v>2.0284381338743101E-3</v>
      </c>
    </row>
    <row r="1678" spans="2:8" x14ac:dyDescent="0.2">
      <c r="B1678" s="5">
        <v>44434</v>
      </c>
      <c r="C1678" s="6" t="s">
        <v>18</v>
      </c>
      <c r="D1678" s="7">
        <v>24.809999000000001</v>
      </c>
      <c r="E1678" s="7">
        <v>23.278583999999999</v>
      </c>
      <c r="F1678" s="7">
        <v>24.93</v>
      </c>
      <c r="G1678" s="7">
        <v>24.67</v>
      </c>
      <c r="H1678" s="8">
        <f t="shared" si="28"/>
        <v>4.4533601435886956E-3</v>
      </c>
    </row>
    <row r="1679" spans="2:8" x14ac:dyDescent="0.2">
      <c r="B1679" s="5">
        <v>44435</v>
      </c>
      <c r="C1679" s="6" t="s">
        <v>18</v>
      </c>
      <c r="D1679" s="7">
        <v>24.799999</v>
      </c>
      <c r="E1679" s="7">
        <v>23.269200999999999</v>
      </c>
      <c r="F1679" s="7">
        <v>24.860001</v>
      </c>
      <c r="G1679" s="7">
        <v>24.709999</v>
      </c>
      <c r="H1679" s="8">
        <f t="shared" si="28"/>
        <v>-4.0306329718117127E-4</v>
      </c>
    </row>
    <row r="1680" spans="2:8" x14ac:dyDescent="0.2">
      <c r="B1680" s="5">
        <v>44436</v>
      </c>
      <c r="C1680" s="6" t="s">
        <v>18</v>
      </c>
      <c r="D1680" s="7">
        <v>24.85</v>
      </c>
      <c r="E1680" s="7">
        <v>23.316116000000001</v>
      </c>
      <c r="F1680" s="7">
        <v>24.9</v>
      </c>
      <c r="G1680" s="7">
        <v>24.639999</v>
      </c>
      <c r="H1680" s="8">
        <f t="shared" si="28"/>
        <v>2.0161694361359346E-3</v>
      </c>
    </row>
    <row r="1681" spans="2:8" x14ac:dyDescent="0.2">
      <c r="B1681" s="5">
        <v>44437</v>
      </c>
      <c r="C1681" s="6" t="s">
        <v>18</v>
      </c>
      <c r="D1681" s="7">
        <v>24.99</v>
      </c>
      <c r="E1681" s="7">
        <v>23.447474</v>
      </c>
      <c r="F1681" s="7">
        <v>24.99</v>
      </c>
      <c r="G1681" s="7">
        <v>24.76</v>
      </c>
      <c r="H1681" s="8">
        <f t="shared" si="28"/>
        <v>5.6338028169012882E-3</v>
      </c>
    </row>
    <row r="1682" spans="2:8" x14ac:dyDescent="0.2">
      <c r="B1682" s="5">
        <v>44441</v>
      </c>
      <c r="C1682" s="6" t="s">
        <v>18</v>
      </c>
      <c r="D1682" s="7">
        <v>24.879999000000002</v>
      </c>
      <c r="E1682" s="7">
        <v>23.344263000000002</v>
      </c>
      <c r="F1682" s="7">
        <v>25</v>
      </c>
      <c r="G1682" s="7">
        <v>24.75</v>
      </c>
      <c r="H1682" s="8">
        <f t="shared" si="28"/>
        <v>-4.4018007202879916E-3</v>
      </c>
    </row>
    <row r="1683" spans="2:8" x14ac:dyDescent="0.2">
      <c r="B1683" s="5">
        <v>44442</v>
      </c>
      <c r="C1683" s="6" t="s">
        <v>18</v>
      </c>
      <c r="D1683" s="7">
        <v>25.040001</v>
      </c>
      <c r="E1683" s="7">
        <v>23.494388000000001</v>
      </c>
      <c r="F1683" s="7">
        <v>25.129999000000002</v>
      </c>
      <c r="G1683" s="7">
        <v>24.92</v>
      </c>
      <c r="H1683" s="8">
        <f t="shared" si="28"/>
        <v>6.4309488115332578E-3</v>
      </c>
    </row>
    <row r="1684" spans="2:8" x14ac:dyDescent="0.2">
      <c r="B1684" s="5">
        <v>44443</v>
      </c>
      <c r="C1684" s="6" t="s">
        <v>18</v>
      </c>
      <c r="D1684" s="7">
        <v>24.91</v>
      </c>
      <c r="E1684" s="7">
        <v>23.372412000000001</v>
      </c>
      <c r="F1684" s="7">
        <v>25.139999</v>
      </c>
      <c r="G1684" s="7">
        <v>24.83</v>
      </c>
      <c r="H1684" s="8">
        <f t="shared" si="28"/>
        <v>-5.1917330194994815E-3</v>
      </c>
    </row>
    <row r="1685" spans="2:8" x14ac:dyDescent="0.2">
      <c r="B1685" s="5">
        <v>44444</v>
      </c>
      <c r="C1685" s="6" t="s">
        <v>18</v>
      </c>
      <c r="D1685" s="7">
        <v>25</v>
      </c>
      <c r="E1685" s="7">
        <v>23.456856999999999</v>
      </c>
      <c r="F1685" s="7">
        <v>25.07</v>
      </c>
      <c r="G1685" s="7">
        <v>24.860001</v>
      </c>
      <c r="H1685" s="8">
        <f t="shared" si="28"/>
        <v>3.6130068245684406E-3</v>
      </c>
    </row>
    <row r="1686" spans="2:8" x14ac:dyDescent="0.2">
      <c r="B1686" s="5">
        <v>44447</v>
      </c>
      <c r="C1686" s="6" t="s">
        <v>18</v>
      </c>
      <c r="D1686" s="7">
        <v>24.950001</v>
      </c>
      <c r="E1686" s="7">
        <v>23.409943999999999</v>
      </c>
      <c r="F1686" s="7">
        <v>25.09</v>
      </c>
      <c r="G1686" s="7">
        <v>24.809999000000001</v>
      </c>
      <c r="H1686" s="8">
        <f t="shared" si="28"/>
        <v>-1.9999599999999873E-3</v>
      </c>
    </row>
    <row r="1687" spans="2:8" x14ac:dyDescent="0.2">
      <c r="B1687" s="5">
        <v>44448</v>
      </c>
      <c r="C1687" s="6" t="s">
        <v>18</v>
      </c>
      <c r="D1687" s="7">
        <v>24.860001</v>
      </c>
      <c r="E1687" s="7">
        <v>23.325499000000001</v>
      </c>
      <c r="F1687" s="7">
        <v>24.969999000000001</v>
      </c>
      <c r="G1687" s="7">
        <v>24.6</v>
      </c>
      <c r="H1687" s="8">
        <f t="shared" si="28"/>
        <v>-3.6072142842799829E-3</v>
      </c>
    </row>
    <row r="1688" spans="2:8" x14ac:dyDescent="0.2">
      <c r="B1688" s="5">
        <v>44449</v>
      </c>
      <c r="C1688" s="6" t="s">
        <v>18</v>
      </c>
      <c r="D1688" s="7">
        <v>24.93</v>
      </c>
      <c r="E1688" s="7">
        <v>23.391178</v>
      </c>
      <c r="F1688" s="7">
        <v>25</v>
      </c>
      <c r="G1688" s="7">
        <v>24.84</v>
      </c>
      <c r="H1688" s="8">
        <f t="shared" si="28"/>
        <v>2.8157279639690787E-3</v>
      </c>
    </row>
    <row r="1689" spans="2:8" x14ac:dyDescent="0.2">
      <c r="B1689" s="5">
        <v>44450</v>
      </c>
      <c r="C1689" s="6" t="s">
        <v>18</v>
      </c>
      <c r="D1689" s="7">
        <v>25.18</v>
      </c>
      <c r="E1689" s="7">
        <v>23.625745999999999</v>
      </c>
      <c r="F1689" s="7">
        <v>25.200001</v>
      </c>
      <c r="G1689" s="7">
        <v>24.85</v>
      </c>
      <c r="H1689" s="8">
        <f t="shared" si="28"/>
        <v>1.0028078620136383E-2</v>
      </c>
    </row>
    <row r="1690" spans="2:8" x14ac:dyDescent="0.2">
      <c r="B1690" s="5">
        <v>44451</v>
      </c>
      <c r="C1690" s="6" t="s">
        <v>18</v>
      </c>
      <c r="D1690" s="7">
        <v>25.16</v>
      </c>
      <c r="E1690" s="7">
        <v>23.60698</v>
      </c>
      <c r="F1690" s="7">
        <v>25.26</v>
      </c>
      <c r="G1690" s="7">
        <v>25.07</v>
      </c>
      <c r="H1690" s="8">
        <f t="shared" si="28"/>
        <v>-7.9428117553612284E-4</v>
      </c>
    </row>
    <row r="1691" spans="2:8" x14ac:dyDescent="0.2">
      <c r="B1691" s="5">
        <v>44454</v>
      </c>
      <c r="C1691" s="6" t="s">
        <v>18</v>
      </c>
      <c r="D1691" s="7">
        <v>25.059999000000001</v>
      </c>
      <c r="E1691" s="7">
        <v>23.513152999999999</v>
      </c>
      <c r="F1691" s="7">
        <v>25.09</v>
      </c>
      <c r="G1691" s="7">
        <v>24.870000999999998</v>
      </c>
      <c r="H1691" s="8">
        <f t="shared" si="28"/>
        <v>-3.9746025437201469E-3</v>
      </c>
    </row>
    <row r="1692" spans="2:8" x14ac:dyDescent="0.2">
      <c r="B1692" s="5">
        <v>44455</v>
      </c>
      <c r="C1692" s="6" t="s">
        <v>18</v>
      </c>
      <c r="D1692" s="7">
        <v>25.219999000000001</v>
      </c>
      <c r="E1692" s="7">
        <v>23.663276</v>
      </c>
      <c r="F1692" s="7">
        <v>25.42</v>
      </c>
      <c r="G1692" s="7">
        <v>24.98</v>
      </c>
      <c r="H1692" s="8">
        <f t="shared" si="28"/>
        <v>6.3846770305138537E-3</v>
      </c>
    </row>
    <row r="1693" spans="2:8" x14ac:dyDescent="0.2">
      <c r="B1693" s="5">
        <v>44456</v>
      </c>
      <c r="C1693" s="6" t="s">
        <v>18</v>
      </c>
      <c r="D1693" s="7">
        <v>25.209999</v>
      </c>
      <c r="E1693" s="7">
        <v>23.653893</v>
      </c>
      <c r="F1693" s="7">
        <v>25.309999000000001</v>
      </c>
      <c r="G1693" s="7">
        <v>25.07</v>
      </c>
      <c r="H1693" s="8">
        <f t="shared" si="28"/>
        <v>-3.9651072151119284E-4</v>
      </c>
    </row>
    <row r="1694" spans="2:8" x14ac:dyDescent="0.2">
      <c r="B1694" s="5">
        <v>44457</v>
      </c>
      <c r="C1694" s="6" t="s">
        <v>18</v>
      </c>
      <c r="D1694" s="7">
        <v>25.219999000000001</v>
      </c>
      <c r="E1694" s="7">
        <v>23.663276</v>
      </c>
      <c r="F1694" s="7">
        <v>25.27</v>
      </c>
      <c r="G1694" s="7">
        <v>25.15</v>
      </c>
      <c r="H1694" s="8">
        <f t="shared" si="28"/>
        <v>3.9666800462790828E-4</v>
      </c>
    </row>
    <row r="1695" spans="2:8" x14ac:dyDescent="0.2">
      <c r="B1695" s="5">
        <v>44458</v>
      </c>
      <c r="C1695" s="6" t="s">
        <v>18</v>
      </c>
      <c r="D1695" s="7">
        <v>25.200001</v>
      </c>
      <c r="E1695" s="7">
        <v>23.644511999999999</v>
      </c>
      <c r="F1695" s="7">
        <v>25.299999</v>
      </c>
      <c r="G1695" s="7">
        <v>25.01</v>
      </c>
      <c r="H1695" s="8">
        <f t="shared" si="28"/>
        <v>-7.9294214087800201E-4</v>
      </c>
    </row>
    <row r="1696" spans="2:8" x14ac:dyDescent="0.2">
      <c r="B1696" s="5">
        <v>44461</v>
      </c>
      <c r="C1696" s="6" t="s">
        <v>18</v>
      </c>
      <c r="D1696" s="7">
        <v>24.969999000000001</v>
      </c>
      <c r="E1696" s="7">
        <v>23.428708</v>
      </c>
      <c r="F1696" s="7">
        <v>25.190000999999999</v>
      </c>
      <c r="G1696" s="7">
        <v>24.860001</v>
      </c>
      <c r="H1696" s="8">
        <f t="shared" si="28"/>
        <v>-9.1270631298784044E-3</v>
      </c>
    </row>
    <row r="1697" spans="2:8" x14ac:dyDescent="0.2">
      <c r="B1697" s="5">
        <v>44462</v>
      </c>
      <c r="C1697" s="6" t="s">
        <v>18</v>
      </c>
      <c r="D1697" s="7">
        <v>24.700001</v>
      </c>
      <c r="E1697" s="7">
        <v>23.175374999999999</v>
      </c>
      <c r="F1697" s="7">
        <v>25.030000999999999</v>
      </c>
      <c r="G1697" s="7">
        <v>24.67</v>
      </c>
      <c r="H1697" s="8">
        <f t="shared" si="28"/>
        <v>-1.0812895907605004E-2</v>
      </c>
    </row>
    <row r="1698" spans="2:8" x14ac:dyDescent="0.2">
      <c r="B1698" s="5">
        <v>44463</v>
      </c>
      <c r="C1698" s="6" t="s">
        <v>18</v>
      </c>
      <c r="D1698" s="7">
        <v>24.98</v>
      </c>
      <c r="E1698" s="7">
        <v>23.438091</v>
      </c>
      <c r="F1698" s="7">
        <v>25.040001</v>
      </c>
      <c r="G1698" s="7">
        <v>24.629999000000002</v>
      </c>
      <c r="H1698" s="8">
        <f t="shared" si="28"/>
        <v>1.133599144388699E-2</v>
      </c>
    </row>
    <row r="1699" spans="2:8" x14ac:dyDescent="0.2">
      <c r="B1699" s="5">
        <v>44464</v>
      </c>
      <c r="C1699" s="6" t="s">
        <v>18</v>
      </c>
      <c r="D1699" s="7">
        <v>24.540001</v>
      </c>
      <c r="E1699" s="7">
        <v>23.025251000000001</v>
      </c>
      <c r="F1699" s="7">
        <v>24.959999</v>
      </c>
      <c r="G1699" s="7">
        <v>24.5</v>
      </c>
      <c r="H1699" s="8">
        <f t="shared" si="28"/>
        <v>-1.7614051240992804E-2</v>
      </c>
    </row>
    <row r="1700" spans="2:8" x14ac:dyDescent="0.2">
      <c r="B1700" s="5">
        <v>44465</v>
      </c>
      <c r="C1700" s="6" t="s">
        <v>18</v>
      </c>
      <c r="D1700" s="7">
        <v>25</v>
      </c>
      <c r="E1700" s="7">
        <v>23.456856999999999</v>
      </c>
      <c r="F1700" s="7">
        <v>25.09</v>
      </c>
      <c r="G1700" s="7">
        <v>24.459999</v>
      </c>
      <c r="H1700" s="8">
        <f t="shared" si="28"/>
        <v>1.8744864761822945E-2</v>
      </c>
    </row>
    <row r="1701" spans="2:8" x14ac:dyDescent="0.2">
      <c r="B1701" s="5">
        <v>44468</v>
      </c>
      <c r="C1701" s="6" t="s">
        <v>18</v>
      </c>
      <c r="D1701" s="7">
        <v>25.120000999999998</v>
      </c>
      <c r="E1701" s="7">
        <v>23.56945</v>
      </c>
      <c r="F1701" s="7">
        <v>25.200001</v>
      </c>
      <c r="G1701" s="7">
        <v>24.73</v>
      </c>
      <c r="H1701" s="8">
        <f t="shared" si="28"/>
        <v>4.8000399999999386E-3</v>
      </c>
    </row>
    <row r="1702" spans="2:8" x14ac:dyDescent="0.2">
      <c r="B1702" s="5">
        <v>44469</v>
      </c>
      <c r="C1702" s="6" t="s">
        <v>18</v>
      </c>
      <c r="D1702" s="7">
        <v>25.17</v>
      </c>
      <c r="E1702" s="7">
        <v>23.796353</v>
      </c>
      <c r="F1702" s="7">
        <v>25.25</v>
      </c>
      <c r="G1702" s="7">
        <v>24.85</v>
      </c>
      <c r="H1702" s="8">
        <f t="shared" si="28"/>
        <v>1.9904059717196364E-3</v>
      </c>
    </row>
    <row r="1703" spans="2:8" x14ac:dyDescent="0.2">
      <c r="B1703" s="5">
        <v>44470</v>
      </c>
      <c r="C1703" s="6" t="s">
        <v>18</v>
      </c>
      <c r="D1703" s="7">
        <v>25.030000999999999</v>
      </c>
      <c r="E1703" s="7">
        <v>23.663993999999999</v>
      </c>
      <c r="F1703" s="7">
        <v>25.25</v>
      </c>
      <c r="G1703" s="7">
        <v>24.940000999999999</v>
      </c>
      <c r="H1703" s="8">
        <f t="shared" si="28"/>
        <v>-5.5621374652365151E-3</v>
      </c>
    </row>
    <row r="1704" spans="2:8" x14ac:dyDescent="0.2">
      <c r="B1704" s="5">
        <v>44471</v>
      </c>
      <c r="C1704" s="6" t="s">
        <v>18</v>
      </c>
      <c r="D1704" s="7">
        <v>25.059999000000001</v>
      </c>
      <c r="E1704" s="7">
        <v>23.692354999999999</v>
      </c>
      <c r="F1704" s="7">
        <v>25.110001</v>
      </c>
      <c r="G1704" s="7">
        <v>24.75</v>
      </c>
      <c r="H1704" s="8">
        <f t="shared" si="28"/>
        <v>1.1984817739321158E-3</v>
      </c>
    </row>
    <row r="1705" spans="2:8" x14ac:dyDescent="0.2">
      <c r="B1705" s="5">
        <v>44472</v>
      </c>
      <c r="C1705" s="6" t="s">
        <v>18</v>
      </c>
      <c r="D1705" s="7">
        <v>25.309999000000001</v>
      </c>
      <c r="E1705" s="7">
        <v>23.928712000000001</v>
      </c>
      <c r="F1705" s="7">
        <v>25.370000999999998</v>
      </c>
      <c r="G1705" s="7">
        <v>25.040001</v>
      </c>
      <c r="H1705" s="8">
        <f t="shared" si="28"/>
        <v>9.9760578601778872E-3</v>
      </c>
    </row>
    <row r="1706" spans="2:8" x14ac:dyDescent="0.2">
      <c r="B1706" s="5">
        <v>44475</v>
      </c>
      <c r="C1706" s="6" t="s">
        <v>18</v>
      </c>
      <c r="D1706" s="7">
        <v>25.01</v>
      </c>
      <c r="E1706" s="7">
        <v>23.645085000000002</v>
      </c>
      <c r="F1706" s="7">
        <v>25.42</v>
      </c>
      <c r="G1706" s="7">
        <v>24.959999</v>
      </c>
      <c r="H1706" s="8">
        <f t="shared" si="28"/>
        <v>-1.1852983478979975E-2</v>
      </c>
    </row>
    <row r="1707" spans="2:8" x14ac:dyDescent="0.2">
      <c r="B1707" s="5">
        <v>44476</v>
      </c>
      <c r="C1707" s="6" t="s">
        <v>18</v>
      </c>
      <c r="D1707" s="7">
        <v>24.639999</v>
      </c>
      <c r="E1707" s="7">
        <v>23.295276999999999</v>
      </c>
      <c r="F1707" s="7">
        <v>25.25</v>
      </c>
      <c r="G1707" s="7">
        <v>24.59</v>
      </c>
      <c r="H1707" s="8">
        <f t="shared" si="28"/>
        <v>-1.4794122351059657E-2</v>
      </c>
    </row>
    <row r="1708" spans="2:8" x14ac:dyDescent="0.2">
      <c r="B1708" s="5">
        <v>44477</v>
      </c>
      <c r="C1708" s="6" t="s">
        <v>18</v>
      </c>
      <c r="D1708" s="7">
        <v>24.66</v>
      </c>
      <c r="E1708" s="7">
        <v>23.314185999999999</v>
      </c>
      <c r="F1708" s="7">
        <v>24.68</v>
      </c>
      <c r="G1708" s="7">
        <v>24.18</v>
      </c>
      <c r="H1708" s="8">
        <f t="shared" si="28"/>
        <v>8.1172892904746478E-4</v>
      </c>
    </row>
    <row r="1709" spans="2:8" x14ac:dyDescent="0.2">
      <c r="B1709" s="5">
        <v>44478</v>
      </c>
      <c r="C1709" s="6" t="s">
        <v>18</v>
      </c>
      <c r="D1709" s="7">
        <v>24.190000999999999</v>
      </c>
      <c r="E1709" s="7">
        <v>22.869835999999999</v>
      </c>
      <c r="F1709" s="7">
        <v>24.639999</v>
      </c>
      <c r="G1709" s="7">
        <v>24.18</v>
      </c>
      <c r="H1709" s="8">
        <f t="shared" si="28"/>
        <v>-1.9059164639091703E-2</v>
      </c>
    </row>
    <row r="1710" spans="2:8" x14ac:dyDescent="0.2">
      <c r="B1710" s="5">
        <v>44479</v>
      </c>
      <c r="C1710" s="6" t="s">
        <v>18</v>
      </c>
      <c r="D1710" s="7">
        <v>23.34</v>
      </c>
      <c r="E1710" s="7">
        <v>22.066224999999999</v>
      </c>
      <c r="F1710" s="7">
        <v>24.01</v>
      </c>
      <c r="G1710" s="7">
        <v>23.34</v>
      </c>
      <c r="H1710" s="8">
        <f t="shared" si="28"/>
        <v>-3.5138526864881031E-2</v>
      </c>
    </row>
    <row r="1711" spans="2:8" x14ac:dyDescent="0.2">
      <c r="B1711" s="5">
        <v>44482</v>
      </c>
      <c r="C1711" s="6" t="s">
        <v>18</v>
      </c>
      <c r="D1711" s="7">
        <v>22.93</v>
      </c>
      <c r="E1711" s="7">
        <v>21.678599999999999</v>
      </c>
      <c r="F1711" s="7">
        <v>23.450001</v>
      </c>
      <c r="G1711" s="7">
        <v>22.93</v>
      </c>
      <c r="H1711" s="8">
        <f t="shared" si="28"/>
        <v>-1.7566409597257932E-2</v>
      </c>
    </row>
    <row r="1712" spans="2:8" x14ac:dyDescent="0.2">
      <c r="B1712" s="5">
        <v>44483</v>
      </c>
      <c r="C1712" s="6" t="s">
        <v>18</v>
      </c>
      <c r="D1712" s="7">
        <v>23.059999000000001</v>
      </c>
      <c r="E1712" s="7">
        <v>21.801504999999999</v>
      </c>
      <c r="F1712" s="7">
        <v>23.35</v>
      </c>
      <c r="G1712" s="7">
        <v>22.959999</v>
      </c>
      <c r="H1712" s="8">
        <f t="shared" si="28"/>
        <v>5.6693850850414972E-3</v>
      </c>
    </row>
    <row r="1713" spans="2:8" x14ac:dyDescent="0.2">
      <c r="B1713" s="5">
        <v>44484</v>
      </c>
      <c r="C1713" s="6" t="s">
        <v>18</v>
      </c>
      <c r="D1713" s="7">
        <v>22.959999</v>
      </c>
      <c r="E1713" s="7">
        <v>21.706962000000001</v>
      </c>
      <c r="F1713" s="7">
        <v>23.15</v>
      </c>
      <c r="G1713" s="7">
        <v>22.49</v>
      </c>
      <c r="H1713" s="8">
        <f t="shared" si="28"/>
        <v>-4.3365136312452316E-3</v>
      </c>
    </row>
    <row r="1714" spans="2:8" x14ac:dyDescent="0.2">
      <c r="B1714" s="5">
        <v>44485</v>
      </c>
      <c r="C1714" s="6" t="s">
        <v>18</v>
      </c>
      <c r="D1714" s="7">
        <v>22.82</v>
      </c>
      <c r="E1714" s="7">
        <v>21.574603</v>
      </c>
      <c r="F1714" s="7">
        <v>23.08</v>
      </c>
      <c r="G1714" s="7">
        <v>22.559999000000001</v>
      </c>
      <c r="H1714" s="8">
        <f t="shared" si="28"/>
        <v>-6.0975176871740956E-3</v>
      </c>
    </row>
    <row r="1715" spans="2:8" x14ac:dyDescent="0.2">
      <c r="B1715" s="5">
        <v>44486</v>
      </c>
      <c r="C1715" s="6" t="s">
        <v>18</v>
      </c>
      <c r="D1715" s="7">
        <v>23.25</v>
      </c>
      <c r="E1715" s="7">
        <v>21.981135999999999</v>
      </c>
      <c r="F1715" s="7">
        <v>23.33</v>
      </c>
      <c r="G1715" s="7">
        <v>22.92</v>
      </c>
      <c r="H1715" s="8">
        <f t="shared" si="28"/>
        <v>1.8843120070113923E-2</v>
      </c>
    </row>
    <row r="1716" spans="2:8" x14ac:dyDescent="0.2">
      <c r="B1716" s="5">
        <v>44489</v>
      </c>
      <c r="C1716" s="6" t="s">
        <v>18</v>
      </c>
      <c r="D1716" s="7">
        <v>22.93</v>
      </c>
      <c r="E1716" s="7">
        <v>21.678599999999999</v>
      </c>
      <c r="F1716" s="7">
        <v>23.08</v>
      </c>
      <c r="G1716" s="7">
        <v>22.690000999999999</v>
      </c>
      <c r="H1716" s="8">
        <f t="shared" si="28"/>
        <v>-1.3763440860215066E-2</v>
      </c>
    </row>
    <row r="1717" spans="2:8" x14ac:dyDescent="0.2">
      <c r="B1717" s="5">
        <v>44490</v>
      </c>
      <c r="C1717" s="6" t="s">
        <v>18</v>
      </c>
      <c r="D1717" s="7">
        <v>23.51</v>
      </c>
      <c r="E1717" s="7">
        <v>22.226946999999999</v>
      </c>
      <c r="F1717" s="7">
        <v>23.6</v>
      </c>
      <c r="G1717" s="7">
        <v>22.959999</v>
      </c>
      <c r="H1717" s="8">
        <f t="shared" si="28"/>
        <v>2.5294374182294018E-2</v>
      </c>
    </row>
    <row r="1718" spans="2:8" x14ac:dyDescent="0.2">
      <c r="B1718" s="5">
        <v>44491</v>
      </c>
      <c r="C1718" s="6" t="s">
        <v>18</v>
      </c>
      <c r="D1718" s="7">
        <v>23.26</v>
      </c>
      <c r="E1718" s="7">
        <v>21.990590999999998</v>
      </c>
      <c r="F1718" s="7">
        <v>23.68</v>
      </c>
      <c r="G1718" s="7">
        <v>23.24</v>
      </c>
      <c r="H1718" s="8">
        <f t="shared" si="28"/>
        <v>-1.0633772862611654E-2</v>
      </c>
    </row>
    <row r="1719" spans="2:8" x14ac:dyDescent="0.2">
      <c r="B1719" s="5">
        <v>44492</v>
      </c>
      <c r="C1719" s="6" t="s">
        <v>18</v>
      </c>
      <c r="D1719" s="7">
        <v>23.57</v>
      </c>
      <c r="E1719" s="7">
        <v>22.283671999999999</v>
      </c>
      <c r="F1719" s="7">
        <v>23.76</v>
      </c>
      <c r="G1719" s="7">
        <v>23.42</v>
      </c>
      <c r="H1719" s="8">
        <f t="shared" si="28"/>
        <v>1.3327601031814218E-2</v>
      </c>
    </row>
    <row r="1720" spans="2:8" x14ac:dyDescent="0.2">
      <c r="B1720" s="5">
        <v>44493</v>
      </c>
      <c r="C1720" s="6" t="s">
        <v>18</v>
      </c>
      <c r="D1720" s="7">
        <v>23.780000999999999</v>
      </c>
      <c r="E1720" s="7">
        <v>22.482212000000001</v>
      </c>
      <c r="F1720" s="7">
        <v>23.799999</v>
      </c>
      <c r="G1720" s="7">
        <v>23.459999</v>
      </c>
      <c r="H1720" s="8">
        <f t="shared" si="28"/>
        <v>8.9096733135340823E-3</v>
      </c>
    </row>
    <row r="1721" spans="2:8" x14ac:dyDescent="0.2">
      <c r="B1721" s="5">
        <v>44496</v>
      </c>
      <c r="C1721" s="6" t="s">
        <v>18</v>
      </c>
      <c r="D1721" s="7">
        <v>23.76</v>
      </c>
      <c r="E1721" s="7">
        <v>22.463303</v>
      </c>
      <c r="F1721" s="7">
        <v>23.809999000000001</v>
      </c>
      <c r="G1721" s="7">
        <v>23.6</v>
      </c>
      <c r="H1721" s="8">
        <f t="shared" si="28"/>
        <v>-8.4108490996266357E-4</v>
      </c>
    </row>
    <row r="1722" spans="2:8" x14ac:dyDescent="0.2">
      <c r="B1722" s="5">
        <v>44497</v>
      </c>
      <c r="C1722" s="6" t="s">
        <v>18</v>
      </c>
      <c r="D1722" s="7">
        <v>24.07</v>
      </c>
      <c r="E1722" s="7">
        <v>22.756385000000002</v>
      </c>
      <c r="F1722" s="7">
        <v>24.07</v>
      </c>
      <c r="G1722" s="7">
        <v>23.82</v>
      </c>
      <c r="H1722" s="8">
        <f t="shared" si="28"/>
        <v>1.3047138047137993E-2</v>
      </c>
    </row>
    <row r="1723" spans="2:8" x14ac:dyDescent="0.2">
      <c r="B1723" s="5">
        <v>44498</v>
      </c>
      <c r="C1723" s="6" t="s">
        <v>18</v>
      </c>
      <c r="D1723" s="7">
        <v>24.1</v>
      </c>
      <c r="E1723" s="7">
        <v>22.784748</v>
      </c>
      <c r="F1723" s="7">
        <v>24.299999</v>
      </c>
      <c r="G1723" s="7">
        <v>23.92</v>
      </c>
      <c r="H1723" s="8">
        <f t="shared" si="28"/>
        <v>1.246364769422565E-3</v>
      </c>
    </row>
    <row r="1724" spans="2:8" x14ac:dyDescent="0.2">
      <c r="B1724" s="5">
        <v>44499</v>
      </c>
      <c r="C1724" s="6" t="s">
        <v>18</v>
      </c>
      <c r="D1724" s="7">
        <v>24.08</v>
      </c>
      <c r="E1724" s="7">
        <v>22.765839</v>
      </c>
      <c r="F1724" s="7">
        <v>24.15</v>
      </c>
      <c r="G1724" s="7">
        <v>23.879999000000002</v>
      </c>
      <c r="H1724" s="8">
        <f t="shared" si="28"/>
        <v>-8.2987551867232882E-4</v>
      </c>
    </row>
    <row r="1725" spans="2:8" x14ac:dyDescent="0.2">
      <c r="B1725" s="5">
        <v>44500</v>
      </c>
      <c r="C1725" s="6" t="s">
        <v>18</v>
      </c>
      <c r="D1725" s="7">
        <v>24.469999000000001</v>
      </c>
      <c r="E1725" s="7">
        <v>23.134554000000001</v>
      </c>
      <c r="F1725" s="7">
        <v>24.639999</v>
      </c>
      <c r="G1725" s="7">
        <v>24.18</v>
      </c>
      <c r="H1725" s="8">
        <f t="shared" si="28"/>
        <v>1.619597176079747E-2</v>
      </c>
    </row>
    <row r="1726" spans="2:8" x14ac:dyDescent="0.2">
      <c r="B1726" s="5">
        <v>44503</v>
      </c>
      <c r="C1726" s="6" t="s">
        <v>18</v>
      </c>
      <c r="D1726" s="7">
        <v>24.58</v>
      </c>
      <c r="E1726" s="7">
        <v>23.238551999999999</v>
      </c>
      <c r="F1726" s="7">
        <v>24.59</v>
      </c>
      <c r="G1726" s="7">
        <v>24.450001</v>
      </c>
      <c r="H1726" s="8">
        <f t="shared" si="28"/>
        <v>4.4953414178724284E-3</v>
      </c>
    </row>
    <row r="1727" spans="2:8" x14ac:dyDescent="0.2">
      <c r="B1727" s="5">
        <v>44504</v>
      </c>
      <c r="C1727" s="6" t="s">
        <v>18</v>
      </c>
      <c r="D1727" s="7">
        <v>24.879999000000002</v>
      </c>
      <c r="E1727" s="7">
        <v>23.522178</v>
      </c>
      <c r="F1727" s="7">
        <v>24.91</v>
      </c>
      <c r="G1727" s="7">
        <v>24.58</v>
      </c>
      <c r="H1727" s="8">
        <f t="shared" si="28"/>
        <v>1.2205004068348383E-2</v>
      </c>
    </row>
    <row r="1728" spans="2:8" x14ac:dyDescent="0.2">
      <c r="B1728" s="5">
        <v>44505</v>
      </c>
      <c r="C1728" s="6" t="s">
        <v>18</v>
      </c>
      <c r="D1728" s="7">
        <v>25.15</v>
      </c>
      <c r="E1728" s="7">
        <v>23.777443999999999</v>
      </c>
      <c r="F1728" s="7">
        <v>25.17</v>
      </c>
      <c r="G1728" s="7">
        <v>24.84</v>
      </c>
      <c r="H1728" s="8">
        <f t="shared" si="28"/>
        <v>1.0852130661259151E-2</v>
      </c>
    </row>
    <row r="1729" spans="2:8" x14ac:dyDescent="0.2">
      <c r="B1729" s="5">
        <v>44506</v>
      </c>
      <c r="C1729" s="6" t="s">
        <v>18</v>
      </c>
      <c r="D1729" s="7">
        <v>25.26</v>
      </c>
      <c r="E1729" s="7">
        <v>23.881440999999999</v>
      </c>
      <c r="F1729" s="7">
        <v>25.280000999999999</v>
      </c>
      <c r="G1729" s="7">
        <v>25.02</v>
      </c>
      <c r="H1729" s="8">
        <f t="shared" si="28"/>
        <v>4.3737574552685085E-3</v>
      </c>
    </row>
    <row r="1730" spans="2:8" x14ac:dyDescent="0.2">
      <c r="B1730" s="5">
        <v>44507</v>
      </c>
      <c r="C1730" s="6" t="s">
        <v>18</v>
      </c>
      <c r="D1730" s="7">
        <v>25.33</v>
      </c>
      <c r="E1730" s="7">
        <v>23.947621000000002</v>
      </c>
      <c r="F1730" s="7">
        <v>25.4</v>
      </c>
      <c r="G1730" s="7">
        <v>25.16</v>
      </c>
      <c r="H1730" s="8">
        <f t="shared" si="28"/>
        <v>2.7711797307995536E-3</v>
      </c>
    </row>
    <row r="1731" spans="2:8" x14ac:dyDescent="0.2">
      <c r="B1731" s="5">
        <v>44510</v>
      </c>
      <c r="C1731" s="6" t="s">
        <v>18</v>
      </c>
      <c r="D1731" s="7">
        <v>25.15</v>
      </c>
      <c r="E1731" s="7">
        <v>23.777443999999999</v>
      </c>
      <c r="F1731" s="7">
        <v>25.23</v>
      </c>
      <c r="G1731" s="7">
        <v>24.879999000000002</v>
      </c>
      <c r="H1731" s="8">
        <f t="shared" si="28"/>
        <v>-7.1061981839715647E-3</v>
      </c>
    </row>
    <row r="1732" spans="2:8" x14ac:dyDescent="0.2">
      <c r="B1732" s="5">
        <v>44511</v>
      </c>
      <c r="C1732" s="6" t="s">
        <v>18</v>
      </c>
      <c r="D1732" s="7">
        <v>25.15</v>
      </c>
      <c r="E1732" s="7">
        <v>23.777443999999999</v>
      </c>
      <c r="F1732" s="7">
        <v>25.209999</v>
      </c>
      <c r="G1732" s="7">
        <v>25.02</v>
      </c>
      <c r="H1732" s="8">
        <f t="shared" ref="H1732:H1795" si="29">(D1732-D1731)/D1731</f>
        <v>0</v>
      </c>
    </row>
    <row r="1733" spans="2:8" x14ac:dyDescent="0.2">
      <c r="B1733" s="5">
        <v>44512</v>
      </c>
      <c r="C1733" s="6" t="s">
        <v>18</v>
      </c>
      <c r="D1733" s="7">
        <v>25.110001</v>
      </c>
      <c r="E1733" s="7">
        <v>23.739628</v>
      </c>
      <c r="F1733" s="7">
        <v>25.190000999999999</v>
      </c>
      <c r="G1733" s="7">
        <v>24.879999000000002</v>
      </c>
      <c r="H1733" s="8">
        <f t="shared" si="29"/>
        <v>-1.5904174950297464E-3</v>
      </c>
    </row>
    <row r="1734" spans="2:8" x14ac:dyDescent="0.2">
      <c r="B1734" s="5">
        <v>44513</v>
      </c>
      <c r="C1734" s="6" t="s">
        <v>18</v>
      </c>
      <c r="D1734" s="7">
        <v>25.68</v>
      </c>
      <c r="E1734" s="7">
        <v>24.27852</v>
      </c>
      <c r="F1734" s="7">
        <v>25.889999</v>
      </c>
      <c r="G1734" s="7">
        <v>24.879999000000002</v>
      </c>
      <c r="H1734" s="8">
        <f t="shared" si="29"/>
        <v>2.2700078745516546E-2</v>
      </c>
    </row>
    <row r="1735" spans="2:8" x14ac:dyDescent="0.2">
      <c r="B1735" s="5">
        <v>44514</v>
      </c>
      <c r="C1735" s="6" t="s">
        <v>18</v>
      </c>
      <c r="D1735" s="7">
        <v>26.32</v>
      </c>
      <c r="E1735" s="7">
        <v>24.883590999999999</v>
      </c>
      <c r="F1735" s="7">
        <v>26.34</v>
      </c>
      <c r="G1735" s="7">
        <v>25.65</v>
      </c>
      <c r="H1735" s="8">
        <f t="shared" si="29"/>
        <v>2.4922118380062329E-2</v>
      </c>
    </row>
    <row r="1736" spans="2:8" x14ac:dyDescent="0.2">
      <c r="B1736" s="5">
        <v>44517</v>
      </c>
      <c r="C1736" s="6" t="s">
        <v>18</v>
      </c>
      <c r="D1736" s="7">
        <v>26.469999000000001</v>
      </c>
      <c r="E1736" s="7">
        <v>25.025404999999999</v>
      </c>
      <c r="F1736" s="7">
        <v>26.549999</v>
      </c>
      <c r="G1736" s="7">
        <v>26</v>
      </c>
      <c r="H1736" s="8">
        <f t="shared" si="29"/>
        <v>5.6990501519757261E-3</v>
      </c>
    </row>
    <row r="1737" spans="2:8" x14ac:dyDescent="0.2">
      <c r="B1737" s="5">
        <v>44518</v>
      </c>
      <c r="C1737" s="6" t="s">
        <v>18</v>
      </c>
      <c r="D1737" s="7">
        <v>26.6</v>
      </c>
      <c r="E1737" s="7">
        <v>25.148311</v>
      </c>
      <c r="F1737" s="7">
        <v>26.74</v>
      </c>
      <c r="G1737" s="7">
        <v>26.4</v>
      </c>
      <c r="H1737" s="8">
        <f t="shared" si="29"/>
        <v>4.911258213496722E-3</v>
      </c>
    </row>
    <row r="1738" spans="2:8" x14ac:dyDescent="0.2">
      <c r="B1738" s="5">
        <v>44519</v>
      </c>
      <c r="C1738" s="6" t="s">
        <v>18</v>
      </c>
      <c r="D1738" s="7">
        <v>26.59</v>
      </c>
      <c r="E1738" s="7">
        <v>25.138857000000002</v>
      </c>
      <c r="F1738" s="7">
        <v>26.620000999999998</v>
      </c>
      <c r="G1738" s="7">
        <v>26.299999</v>
      </c>
      <c r="H1738" s="8">
        <f t="shared" si="29"/>
        <v>-3.7593984962411888E-4</v>
      </c>
    </row>
    <row r="1739" spans="2:8" x14ac:dyDescent="0.2">
      <c r="B1739" s="5">
        <v>44520</v>
      </c>
      <c r="C1739" s="6" t="s">
        <v>18</v>
      </c>
      <c r="D1739" s="7">
        <v>26.809999000000001</v>
      </c>
      <c r="E1739" s="7">
        <v>25.346848999999999</v>
      </c>
      <c r="F1739" s="7">
        <v>26.84</v>
      </c>
      <c r="G1739" s="7">
        <v>26.35</v>
      </c>
      <c r="H1739" s="8">
        <f t="shared" si="29"/>
        <v>8.2737495298985109E-3</v>
      </c>
    </row>
    <row r="1740" spans="2:8" x14ac:dyDescent="0.2">
      <c r="B1740" s="5">
        <v>44521</v>
      </c>
      <c r="C1740" s="6" t="s">
        <v>18</v>
      </c>
      <c r="D1740" s="7">
        <v>26.879999000000002</v>
      </c>
      <c r="E1740" s="7">
        <v>25.413029000000002</v>
      </c>
      <c r="F1740" s="7">
        <v>27.049999</v>
      </c>
      <c r="G1740" s="7">
        <v>26.67</v>
      </c>
      <c r="H1740" s="8">
        <f t="shared" si="29"/>
        <v>2.6109661548290352E-3</v>
      </c>
    </row>
    <row r="1741" spans="2:8" x14ac:dyDescent="0.2">
      <c r="B1741" s="5">
        <v>44524</v>
      </c>
      <c r="C1741" s="6" t="s">
        <v>18</v>
      </c>
      <c r="D1741" s="7">
        <v>27.030000999999999</v>
      </c>
      <c r="E1741" s="7">
        <v>25.554843999999999</v>
      </c>
      <c r="F1741" s="7">
        <v>27.120000999999998</v>
      </c>
      <c r="G1741" s="7">
        <v>26.879999000000002</v>
      </c>
      <c r="H1741" s="8">
        <f t="shared" si="29"/>
        <v>5.580431755224287E-3</v>
      </c>
    </row>
    <row r="1742" spans="2:8" x14ac:dyDescent="0.2">
      <c r="B1742" s="5">
        <v>44525</v>
      </c>
      <c r="C1742" s="6" t="s">
        <v>18</v>
      </c>
      <c r="D1742" s="7">
        <v>27.280000999999999</v>
      </c>
      <c r="E1742" s="7">
        <v>25.7912</v>
      </c>
      <c r="F1742" s="7">
        <v>27.299999</v>
      </c>
      <c r="G1742" s="7">
        <v>27.030000999999999</v>
      </c>
      <c r="H1742" s="8">
        <f t="shared" si="29"/>
        <v>9.2489822697379848E-3</v>
      </c>
    </row>
    <row r="1743" spans="2:8" x14ac:dyDescent="0.2">
      <c r="B1743" s="5">
        <v>44526</v>
      </c>
      <c r="C1743" s="6" t="s">
        <v>18</v>
      </c>
      <c r="D1743" s="7">
        <v>27.43</v>
      </c>
      <c r="E1743" s="7">
        <v>25.933014</v>
      </c>
      <c r="F1743" s="7">
        <v>27.459999</v>
      </c>
      <c r="G1743" s="7">
        <v>27.139999</v>
      </c>
      <c r="H1743" s="8">
        <f t="shared" si="29"/>
        <v>5.4984968658909183E-3</v>
      </c>
    </row>
    <row r="1744" spans="2:8" x14ac:dyDescent="0.2">
      <c r="B1744" s="5">
        <v>44528</v>
      </c>
      <c r="C1744" s="6" t="s">
        <v>18</v>
      </c>
      <c r="D1744" s="7">
        <v>27.639999</v>
      </c>
      <c r="E1744" s="7">
        <v>26.131551999999999</v>
      </c>
      <c r="F1744" s="7">
        <v>27.780000999999999</v>
      </c>
      <c r="G1744" s="7">
        <v>27.360001</v>
      </c>
      <c r="H1744" s="8">
        <f t="shared" si="29"/>
        <v>7.6558148013124256E-3</v>
      </c>
    </row>
    <row r="1745" spans="2:8" x14ac:dyDescent="0.2">
      <c r="B1745" s="5">
        <v>44531</v>
      </c>
      <c r="C1745" s="6" t="s">
        <v>18</v>
      </c>
      <c r="D1745" s="7">
        <v>27.59</v>
      </c>
      <c r="E1745" s="7">
        <v>26.084282000000002</v>
      </c>
      <c r="F1745" s="7">
        <v>27.610001</v>
      </c>
      <c r="G1745" s="7">
        <v>27.33</v>
      </c>
      <c r="H1745" s="8">
        <f t="shared" si="29"/>
        <v>-1.808936389614185E-3</v>
      </c>
    </row>
    <row r="1746" spans="2:8" x14ac:dyDescent="0.2">
      <c r="B1746" s="5">
        <v>44532</v>
      </c>
      <c r="C1746" s="6" t="s">
        <v>18</v>
      </c>
      <c r="D1746" s="7">
        <v>27.82</v>
      </c>
      <c r="E1746" s="7">
        <v>26.301729000000002</v>
      </c>
      <c r="F1746" s="7">
        <v>27.959999</v>
      </c>
      <c r="G1746" s="7">
        <v>27.6</v>
      </c>
      <c r="H1746" s="8">
        <f t="shared" si="29"/>
        <v>8.3363537513592035E-3</v>
      </c>
    </row>
    <row r="1747" spans="2:8" x14ac:dyDescent="0.2">
      <c r="B1747" s="5">
        <v>44533</v>
      </c>
      <c r="C1747" s="6" t="s">
        <v>18</v>
      </c>
      <c r="D1747" s="7">
        <v>27.950001</v>
      </c>
      <c r="E1747" s="7">
        <v>26.424634999999999</v>
      </c>
      <c r="F1747" s="7">
        <v>27.99</v>
      </c>
      <c r="G1747" s="7">
        <v>27.51</v>
      </c>
      <c r="H1747" s="8">
        <f t="shared" si="29"/>
        <v>4.6729331416247317E-3</v>
      </c>
    </row>
    <row r="1748" spans="2:8" x14ac:dyDescent="0.2">
      <c r="B1748" s="5">
        <v>44534</v>
      </c>
      <c r="C1748" s="6" t="s">
        <v>18</v>
      </c>
      <c r="D1748" s="7">
        <v>27.77</v>
      </c>
      <c r="E1748" s="7">
        <v>26.254459000000001</v>
      </c>
      <c r="F1748" s="7">
        <v>27.99</v>
      </c>
      <c r="G1748" s="7">
        <v>27.58</v>
      </c>
      <c r="H1748" s="8">
        <f t="shared" si="29"/>
        <v>-6.440107104110685E-3</v>
      </c>
    </row>
    <row r="1749" spans="2:8" x14ac:dyDescent="0.2">
      <c r="B1749" s="5">
        <v>44535</v>
      </c>
      <c r="C1749" s="6" t="s">
        <v>18</v>
      </c>
      <c r="D1749" s="7">
        <v>27.5</v>
      </c>
      <c r="E1749" s="7">
        <v>25.999193000000002</v>
      </c>
      <c r="F1749" s="7">
        <v>27.85</v>
      </c>
      <c r="G1749" s="7">
        <v>27.4</v>
      </c>
      <c r="H1749" s="8">
        <f t="shared" si="29"/>
        <v>-9.7227223622614184E-3</v>
      </c>
    </row>
    <row r="1750" spans="2:8" x14ac:dyDescent="0.2">
      <c r="B1750" s="5">
        <v>44538</v>
      </c>
      <c r="C1750" s="6" t="s">
        <v>18</v>
      </c>
      <c r="D1750" s="7">
        <v>27.23</v>
      </c>
      <c r="E1750" s="7">
        <v>25.743928</v>
      </c>
      <c r="F1750" s="7">
        <v>27.530000999999999</v>
      </c>
      <c r="G1750" s="7">
        <v>27.15</v>
      </c>
      <c r="H1750" s="8">
        <f t="shared" si="29"/>
        <v>-9.8181818181818023E-3</v>
      </c>
    </row>
    <row r="1751" spans="2:8" x14ac:dyDescent="0.2">
      <c r="B1751" s="5">
        <v>44539</v>
      </c>
      <c r="C1751" s="6" t="s">
        <v>18</v>
      </c>
      <c r="D1751" s="7">
        <v>27.42</v>
      </c>
      <c r="E1751" s="7">
        <v>25.923559000000001</v>
      </c>
      <c r="F1751" s="7">
        <v>27.48</v>
      </c>
      <c r="G1751" s="7">
        <v>26.83</v>
      </c>
      <c r="H1751" s="8">
        <f t="shared" si="29"/>
        <v>6.9775982372383867E-3</v>
      </c>
    </row>
    <row r="1752" spans="2:8" x14ac:dyDescent="0.2">
      <c r="B1752" s="5">
        <v>44540</v>
      </c>
      <c r="C1752" s="6" t="s">
        <v>18</v>
      </c>
      <c r="D1752" s="7">
        <v>26.870000999999998</v>
      </c>
      <c r="E1752" s="7">
        <v>25.403576000000001</v>
      </c>
      <c r="F1752" s="7">
        <v>27.360001</v>
      </c>
      <c r="G1752" s="7">
        <v>26.790001</v>
      </c>
      <c r="H1752" s="8">
        <f t="shared" si="29"/>
        <v>-2.0058315098468386E-2</v>
      </c>
    </row>
    <row r="1753" spans="2:8" x14ac:dyDescent="0.2">
      <c r="B1753" s="5">
        <v>44541</v>
      </c>
      <c r="C1753" s="6" t="s">
        <v>18</v>
      </c>
      <c r="D1753" s="7">
        <v>26.99</v>
      </c>
      <c r="E1753" s="7">
        <v>25.517026000000001</v>
      </c>
      <c r="F1753" s="7">
        <v>27.360001</v>
      </c>
      <c r="G1753" s="7">
        <v>26.940000999999999</v>
      </c>
      <c r="H1753" s="8">
        <f t="shared" si="29"/>
        <v>4.4659097705281054E-3</v>
      </c>
    </row>
    <row r="1754" spans="2:8" x14ac:dyDescent="0.2">
      <c r="B1754" s="5">
        <v>44542</v>
      </c>
      <c r="C1754" s="6" t="s">
        <v>18</v>
      </c>
      <c r="D1754" s="7">
        <v>26.860001</v>
      </c>
      <c r="E1754" s="7">
        <v>25.394121999999999</v>
      </c>
      <c r="F1754" s="7">
        <v>27.15</v>
      </c>
      <c r="G1754" s="7">
        <v>26.700001</v>
      </c>
      <c r="H1754" s="8">
        <f t="shared" si="29"/>
        <v>-4.8165616895145605E-3</v>
      </c>
    </row>
    <row r="1755" spans="2:8" x14ac:dyDescent="0.2">
      <c r="B1755" s="5">
        <v>44545</v>
      </c>
      <c r="C1755" s="6" t="s">
        <v>18</v>
      </c>
      <c r="D1755" s="7">
        <v>26.68</v>
      </c>
      <c r="E1755" s="7">
        <v>25.223945000000001</v>
      </c>
      <c r="F1755" s="7">
        <v>27.17</v>
      </c>
      <c r="G1755" s="7">
        <v>26.48</v>
      </c>
      <c r="H1755" s="8">
        <f t="shared" si="29"/>
        <v>-6.7014517236987717E-3</v>
      </c>
    </row>
    <row r="1756" spans="2:8" x14ac:dyDescent="0.2">
      <c r="B1756" s="5">
        <v>44546</v>
      </c>
      <c r="C1756" s="6" t="s">
        <v>18</v>
      </c>
      <c r="D1756" s="7">
        <v>26.59</v>
      </c>
      <c r="E1756" s="7">
        <v>25.138857000000002</v>
      </c>
      <c r="F1756" s="7">
        <v>27.17</v>
      </c>
      <c r="G1756" s="7">
        <v>26.15</v>
      </c>
      <c r="H1756" s="8">
        <f t="shared" si="29"/>
        <v>-3.3733133433283304E-3</v>
      </c>
    </row>
    <row r="1757" spans="2:8" x14ac:dyDescent="0.2">
      <c r="B1757" s="5">
        <v>44547</v>
      </c>
      <c r="C1757" s="6" t="s">
        <v>18</v>
      </c>
      <c r="D1757" s="7">
        <v>26.809999000000001</v>
      </c>
      <c r="E1757" s="7">
        <v>25.346848999999999</v>
      </c>
      <c r="F1757" s="7">
        <v>26.9</v>
      </c>
      <c r="G1757" s="7">
        <v>26.469999000000001</v>
      </c>
      <c r="H1757" s="8">
        <f t="shared" si="29"/>
        <v>8.2737495298985109E-3</v>
      </c>
    </row>
    <row r="1758" spans="2:8" x14ac:dyDescent="0.2">
      <c r="B1758" s="5">
        <v>44548</v>
      </c>
      <c r="C1758" s="6" t="s">
        <v>18</v>
      </c>
      <c r="D1758" s="7">
        <v>27.65</v>
      </c>
      <c r="E1758" s="7">
        <v>26.141006999999998</v>
      </c>
      <c r="F1758" s="7">
        <v>27.66</v>
      </c>
      <c r="G1758" s="7">
        <v>27.040001</v>
      </c>
      <c r="H1758" s="8">
        <f t="shared" si="29"/>
        <v>3.1331631157464693E-2</v>
      </c>
    </row>
    <row r="1759" spans="2:8" x14ac:dyDescent="0.2">
      <c r="B1759" s="5">
        <v>44549</v>
      </c>
      <c r="C1759" s="6" t="s">
        <v>18</v>
      </c>
      <c r="D1759" s="7">
        <v>27.77</v>
      </c>
      <c r="E1759" s="7">
        <v>26.254459000000001</v>
      </c>
      <c r="F1759" s="7">
        <v>27.85</v>
      </c>
      <c r="G1759" s="7">
        <v>27.549999</v>
      </c>
      <c r="H1759" s="8">
        <f t="shared" si="29"/>
        <v>4.3399638336347555E-3</v>
      </c>
    </row>
    <row r="1760" spans="2:8" x14ac:dyDescent="0.2">
      <c r="B1760" s="5">
        <v>44552</v>
      </c>
      <c r="C1760" s="6" t="s">
        <v>18</v>
      </c>
      <c r="D1760" s="7">
        <v>28.219999000000001</v>
      </c>
      <c r="E1760" s="7">
        <v>26.679898999999999</v>
      </c>
      <c r="F1760" s="7">
        <v>28.290001</v>
      </c>
      <c r="G1760" s="7">
        <v>27.75</v>
      </c>
      <c r="H1760" s="8">
        <f t="shared" si="29"/>
        <v>1.6204501260352965E-2</v>
      </c>
    </row>
    <row r="1761" spans="2:8" x14ac:dyDescent="0.2">
      <c r="B1761" s="5">
        <v>44553</v>
      </c>
      <c r="C1761" s="6" t="s">
        <v>18</v>
      </c>
      <c r="D1761" s="7">
        <v>28.25</v>
      </c>
      <c r="E1761" s="7">
        <v>26.708262000000001</v>
      </c>
      <c r="F1761" s="7">
        <v>28.5</v>
      </c>
      <c r="G1761" s="7">
        <v>28.190000999999999</v>
      </c>
      <c r="H1761" s="8">
        <f t="shared" si="29"/>
        <v>1.0631113062760423E-3</v>
      </c>
    </row>
    <row r="1762" spans="2:8" x14ac:dyDescent="0.2">
      <c r="B1762" s="5">
        <v>44554</v>
      </c>
      <c r="C1762" s="6" t="s">
        <v>18</v>
      </c>
      <c r="D1762" s="7">
        <v>28.299999</v>
      </c>
      <c r="E1762" s="7">
        <v>26.755533</v>
      </c>
      <c r="F1762" s="7">
        <v>28.59</v>
      </c>
      <c r="G1762" s="7">
        <v>28.290001</v>
      </c>
      <c r="H1762" s="8">
        <f t="shared" si="29"/>
        <v>1.769876106194679E-3</v>
      </c>
    </row>
    <row r="1763" spans="2:8" x14ac:dyDescent="0.2">
      <c r="B1763" s="5">
        <v>44556</v>
      </c>
      <c r="C1763" s="6" t="s">
        <v>18</v>
      </c>
      <c r="D1763" s="7">
        <v>28.35</v>
      </c>
      <c r="E1763" s="7">
        <v>26.802804999999999</v>
      </c>
      <c r="F1763" s="7">
        <v>28.5</v>
      </c>
      <c r="G1763" s="7">
        <v>28.280000999999999</v>
      </c>
      <c r="H1763" s="8">
        <f t="shared" si="29"/>
        <v>1.7668198504177241E-3</v>
      </c>
    </row>
    <row r="1764" spans="2:8" x14ac:dyDescent="0.2">
      <c r="B1764" s="5">
        <v>44559</v>
      </c>
      <c r="C1764" s="6" t="s">
        <v>18</v>
      </c>
      <c r="D1764" s="7">
        <v>28.459999</v>
      </c>
      <c r="E1764" s="7">
        <v>26.906801000000002</v>
      </c>
      <c r="F1764" s="7">
        <v>28.57</v>
      </c>
      <c r="G1764" s="7">
        <v>28.32</v>
      </c>
      <c r="H1764" s="8">
        <f t="shared" si="29"/>
        <v>3.88003527336855E-3</v>
      </c>
    </row>
    <row r="1765" spans="2:8" x14ac:dyDescent="0.2">
      <c r="B1765" s="5">
        <v>44560</v>
      </c>
      <c r="C1765" s="6" t="s">
        <v>18</v>
      </c>
      <c r="D1765" s="7">
        <v>28.360001</v>
      </c>
      <c r="E1765" s="7">
        <v>26.812259999999998</v>
      </c>
      <c r="F1765" s="7">
        <v>28.48</v>
      </c>
      <c r="G1765" s="7">
        <v>28.309999000000001</v>
      </c>
      <c r="H1765" s="8">
        <f t="shared" si="29"/>
        <v>-3.5136332928191378E-3</v>
      </c>
    </row>
    <row r="1766" spans="2:8" x14ac:dyDescent="0.2">
      <c r="B1766" s="5">
        <v>44561</v>
      </c>
      <c r="C1766" s="6" t="s">
        <v>18</v>
      </c>
      <c r="D1766" s="7">
        <v>27.82</v>
      </c>
      <c r="E1766" s="7">
        <v>26.301729000000002</v>
      </c>
      <c r="F1766" s="7">
        <v>28.41</v>
      </c>
      <c r="G1766" s="7">
        <v>27.809999000000001</v>
      </c>
      <c r="H1766" s="8">
        <f t="shared" si="29"/>
        <v>-1.9040937269360469E-2</v>
      </c>
    </row>
    <row r="1767" spans="2:8" x14ac:dyDescent="0.2">
      <c r="B1767" s="5">
        <v>44563</v>
      </c>
      <c r="C1767" s="6" t="s">
        <v>18</v>
      </c>
      <c r="D1767" s="7">
        <v>27.610001</v>
      </c>
      <c r="E1767" s="7">
        <v>26.282689999999999</v>
      </c>
      <c r="F1767" s="7">
        <v>28.120000999999998</v>
      </c>
      <c r="G1767" s="7">
        <v>27.379999000000002</v>
      </c>
      <c r="H1767" s="8">
        <f t="shared" si="29"/>
        <v>-7.5484902947519708E-3</v>
      </c>
    </row>
    <row r="1768" spans="2:8" x14ac:dyDescent="0.2">
      <c r="B1768" s="5">
        <v>44566</v>
      </c>
      <c r="C1768" s="6" t="s">
        <v>18</v>
      </c>
      <c r="D1768" s="7">
        <v>27.059999000000001</v>
      </c>
      <c r="E1768" s="7">
        <v>25.759129999999999</v>
      </c>
      <c r="F1768" s="7">
        <v>27.450001</v>
      </c>
      <c r="G1768" s="7">
        <v>27</v>
      </c>
      <c r="H1768" s="8">
        <f t="shared" si="29"/>
        <v>-1.9920390441130344E-2</v>
      </c>
    </row>
    <row r="1769" spans="2:8" x14ac:dyDescent="0.2">
      <c r="B1769" s="5">
        <v>44567</v>
      </c>
      <c r="C1769" s="6" t="s">
        <v>18</v>
      </c>
      <c r="D1769" s="7">
        <v>27.049999</v>
      </c>
      <c r="E1769" s="7">
        <v>25.749610000000001</v>
      </c>
      <c r="F1769" s="7">
        <v>27.68</v>
      </c>
      <c r="G1769" s="7">
        <v>27.040001</v>
      </c>
      <c r="H1769" s="8">
        <f t="shared" si="29"/>
        <v>-3.6954916369367059E-4</v>
      </c>
    </row>
    <row r="1770" spans="2:8" x14ac:dyDescent="0.2">
      <c r="B1770" s="5">
        <v>44568</v>
      </c>
      <c r="C1770" s="6" t="s">
        <v>18</v>
      </c>
      <c r="D1770" s="7">
        <v>27.299999</v>
      </c>
      <c r="E1770" s="7">
        <v>25.987591999999999</v>
      </c>
      <c r="F1770" s="7">
        <v>27.4</v>
      </c>
      <c r="G1770" s="7">
        <v>26.98</v>
      </c>
      <c r="H1770" s="8">
        <f t="shared" si="29"/>
        <v>9.2421445191180965E-3</v>
      </c>
    </row>
    <row r="1771" spans="2:8" x14ac:dyDescent="0.2">
      <c r="B1771" s="5">
        <v>44569</v>
      </c>
      <c r="C1771" s="6" t="s">
        <v>18</v>
      </c>
      <c r="D1771" s="7">
        <v>27.51</v>
      </c>
      <c r="E1771" s="7">
        <v>26.187497</v>
      </c>
      <c r="F1771" s="7">
        <v>28.09</v>
      </c>
      <c r="G1771" s="7">
        <v>27.469999000000001</v>
      </c>
      <c r="H1771" s="8">
        <f t="shared" si="29"/>
        <v>7.6923446041152563E-3</v>
      </c>
    </row>
    <row r="1772" spans="2:8" x14ac:dyDescent="0.2">
      <c r="B1772" s="5">
        <v>44570</v>
      </c>
      <c r="C1772" s="6" t="s">
        <v>18</v>
      </c>
      <c r="D1772" s="7">
        <v>27.790001</v>
      </c>
      <c r="E1772" s="7">
        <v>26.454037</v>
      </c>
      <c r="F1772" s="7">
        <v>28.07</v>
      </c>
      <c r="G1772" s="7">
        <v>27.450001</v>
      </c>
      <c r="H1772" s="8">
        <f t="shared" si="29"/>
        <v>1.0178153398764034E-2</v>
      </c>
    </row>
    <row r="1773" spans="2:8" x14ac:dyDescent="0.2">
      <c r="B1773" s="5">
        <v>44573</v>
      </c>
      <c r="C1773" s="6" t="s">
        <v>18</v>
      </c>
      <c r="D1773" s="7">
        <v>28.049999</v>
      </c>
      <c r="E1773" s="7">
        <v>26.701536999999998</v>
      </c>
      <c r="F1773" s="7">
        <v>28.200001</v>
      </c>
      <c r="G1773" s="7">
        <v>27.82</v>
      </c>
      <c r="H1773" s="8">
        <f t="shared" si="29"/>
        <v>9.3558111063040093E-3</v>
      </c>
    </row>
    <row r="1774" spans="2:8" x14ac:dyDescent="0.2">
      <c r="B1774" s="5">
        <v>44574</v>
      </c>
      <c r="C1774" s="6" t="s">
        <v>18</v>
      </c>
      <c r="D1774" s="7">
        <v>28.1</v>
      </c>
      <c r="E1774" s="7">
        <v>26.749134000000002</v>
      </c>
      <c r="F1774" s="7">
        <v>28.700001</v>
      </c>
      <c r="G1774" s="7">
        <v>27.9</v>
      </c>
      <c r="H1774" s="8">
        <f t="shared" si="29"/>
        <v>1.7825669084694704E-3</v>
      </c>
    </row>
    <row r="1775" spans="2:8" x14ac:dyDescent="0.2">
      <c r="B1775" s="5">
        <v>44575</v>
      </c>
      <c r="C1775" s="6" t="s">
        <v>18</v>
      </c>
      <c r="D1775" s="7">
        <v>27.92</v>
      </c>
      <c r="E1775" s="7">
        <v>26.577787000000001</v>
      </c>
      <c r="F1775" s="7">
        <v>28.049999</v>
      </c>
      <c r="G1775" s="7">
        <v>27.639999</v>
      </c>
      <c r="H1775" s="8">
        <f t="shared" si="29"/>
        <v>-6.4056939501779256E-3</v>
      </c>
    </row>
    <row r="1776" spans="2:8" x14ac:dyDescent="0.2">
      <c r="B1776" s="5">
        <v>44576</v>
      </c>
      <c r="C1776" s="6" t="s">
        <v>18</v>
      </c>
      <c r="D1776" s="7">
        <v>27.41</v>
      </c>
      <c r="E1776" s="7">
        <v>26.092303999999999</v>
      </c>
      <c r="F1776" s="7">
        <v>28.200001</v>
      </c>
      <c r="G1776" s="7">
        <v>27.35</v>
      </c>
      <c r="H1776" s="8">
        <f t="shared" si="29"/>
        <v>-1.8266475644699194E-2</v>
      </c>
    </row>
    <row r="1777" spans="2:8" x14ac:dyDescent="0.2">
      <c r="B1777" s="5">
        <v>44577</v>
      </c>
      <c r="C1777" s="6" t="s">
        <v>18</v>
      </c>
      <c r="D1777" s="7">
        <v>27.68</v>
      </c>
      <c r="E1777" s="7">
        <v>26.349325</v>
      </c>
      <c r="F1777" s="7">
        <v>27.77</v>
      </c>
      <c r="G1777" s="7">
        <v>27.209999</v>
      </c>
      <c r="H1777" s="8">
        <f t="shared" si="29"/>
        <v>9.8504195549069529E-3</v>
      </c>
    </row>
    <row r="1778" spans="2:8" x14ac:dyDescent="0.2">
      <c r="B1778" s="5">
        <v>44581</v>
      </c>
      <c r="C1778" s="6" t="s">
        <v>18</v>
      </c>
      <c r="D1778" s="7">
        <v>28.07</v>
      </c>
      <c r="E1778" s="7">
        <v>26.720576000000001</v>
      </c>
      <c r="F1778" s="7">
        <v>28.27</v>
      </c>
      <c r="G1778" s="7">
        <v>27.66</v>
      </c>
      <c r="H1778" s="8">
        <f t="shared" si="29"/>
        <v>1.4089595375722564E-2</v>
      </c>
    </row>
    <row r="1779" spans="2:8" x14ac:dyDescent="0.2">
      <c r="B1779" s="5">
        <v>44582</v>
      </c>
      <c r="C1779" s="6" t="s">
        <v>18</v>
      </c>
      <c r="D1779" s="7">
        <v>27.84</v>
      </c>
      <c r="E1779" s="7">
        <v>26.501633000000002</v>
      </c>
      <c r="F1779" s="7">
        <v>28.190000999999999</v>
      </c>
      <c r="G1779" s="7">
        <v>27.700001</v>
      </c>
      <c r="H1779" s="8">
        <f t="shared" si="29"/>
        <v>-8.1938012112575849E-3</v>
      </c>
    </row>
    <row r="1780" spans="2:8" x14ac:dyDescent="0.2">
      <c r="B1780" s="5">
        <v>44583</v>
      </c>
      <c r="C1780" s="6" t="s">
        <v>18</v>
      </c>
      <c r="D1780" s="7">
        <v>28.5</v>
      </c>
      <c r="E1780" s="7">
        <v>27.129904</v>
      </c>
      <c r="F1780" s="7">
        <v>28.51</v>
      </c>
      <c r="G1780" s="7">
        <v>27.219999000000001</v>
      </c>
      <c r="H1780" s="8">
        <f t="shared" si="29"/>
        <v>2.3706896551724144E-2</v>
      </c>
    </row>
    <row r="1781" spans="2:8" x14ac:dyDescent="0.2">
      <c r="B1781" s="5">
        <v>44584</v>
      </c>
      <c r="C1781" s="6" t="s">
        <v>18</v>
      </c>
      <c r="D1781" s="7">
        <v>28.209999</v>
      </c>
      <c r="E1781" s="7">
        <v>26.853845</v>
      </c>
      <c r="F1781" s="7">
        <v>28.5</v>
      </c>
      <c r="G1781" s="7">
        <v>28.139999</v>
      </c>
      <c r="H1781" s="8">
        <f t="shared" si="29"/>
        <v>-1.0175473684210533E-2</v>
      </c>
    </row>
    <row r="1782" spans="2:8" x14ac:dyDescent="0.2">
      <c r="B1782" s="5">
        <v>44587</v>
      </c>
      <c r="C1782" s="6" t="s">
        <v>18</v>
      </c>
      <c r="D1782" s="7">
        <v>27.969999000000001</v>
      </c>
      <c r="E1782" s="7">
        <v>26.625382999999999</v>
      </c>
      <c r="F1782" s="7">
        <v>28.23</v>
      </c>
      <c r="G1782" s="7">
        <v>27.700001</v>
      </c>
      <c r="H1782" s="8">
        <f t="shared" si="29"/>
        <v>-8.5076217124289318E-3</v>
      </c>
    </row>
    <row r="1783" spans="2:8" x14ac:dyDescent="0.2">
      <c r="B1783" s="5">
        <v>44588</v>
      </c>
      <c r="C1783" s="6" t="s">
        <v>18</v>
      </c>
      <c r="D1783" s="7">
        <v>26.9</v>
      </c>
      <c r="E1783" s="7">
        <v>25.606822000000001</v>
      </c>
      <c r="F1783" s="7">
        <v>27.59</v>
      </c>
      <c r="G1783" s="7">
        <v>26.66</v>
      </c>
      <c r="H1783" s="8">
        <f t="shared" si="29"/>
        <v>-3.8255239122461274E-2</v>
      </c>
    </row>
    <row r="1784" spans="2:8" x14ac:dyDescent="0.2">
      <c r="B1784" s="5">
        <v>44589</v>
      </c>
      <c r="C1784" s="6" t="s">
        <v>18</v>
      </c>
      <c r="D1784" s="7">
        <v>26.809999000000001</v>
      </c>
      <c r="E1784" s="7">
        <v>25.521148</v>
      </c>
      <c r="F1784" s="7">
        <v>27.6</v>
      </c>
      <c r="G1784" s="7">
        <v>26.799999</v>
      </c>
      <c r="H1784" s="8">
        <f t="shared" si="29"/>
        <v>-3.3457620817842876E-3</v>
      </c>
    </row>
    <row r="1785" spans="2:8" x14ac:dyDescent="0.2">
      <c r="B1785" s="5">
        <v>44590</v>
      </c>
      <c r="C1785" s="6" t="s">
        <v>18</v>
      </c>
      <c r="D1785" s="7">
        <v>27.219999000000001</v>
      </c>
      <c r="E1785" s="7">
        <v>25.911438</v>
      </c>
      <c r="F1785" s="7">
        <v>27.309999000000001</v>
      </c>
      <c r="G1785" s="7">
        <v>26.639999</v>
      </c>
      <c r="H1785" s="8">
        <f t="shared" si="29"/>
        <v>1.5292801763998578E-2</v>
      </c>
    </row>
    <row r="1786" spans="2:8" x14ac:dyDescent="0.2">
      <c r="B1786" s="5">
        <v>44591</v>
      </c>
      <c r="C1786" s="6" t="s">
        <v>18</v>
      </c>
      <c r="D1786" s="7">
        <v>26.370000999999998</v>
      </c>
      <c r="E1786" s="7">
        <v>25.102302000000002</v>
      </c>
      <c r="F1786" s="7">
        <v>27.110001</v>
      </c>
      <c r="G1786" s="7">
        <v>26.32</v>
      </c>
      <c r="H1786" s="8">
        <f t="shared" si="29"/>
        <v>-3.1226966613775515E-2</v>
      </c>
    </row>
    <row r="1787" spans="2:8" x14ac:dyDescent="0.2">
      <c r="B1787" s="5">
        <v>44594</v>
      </c>
      <c r="C1787" s="6" t="s">
        <v>18</v>
      </c>
      <c r="D1787" s="7">
        <v>26.83</v>
      </c>
      <c r="E1787" s="7">
        <v>25.540187</v>
      </c>
      <c r="F1787" s="7">
        <v>26.870000999999998</v>
      </c>
      <c r="G1787" s="7">
        <v>25.92</v>
      </c>
      <c r="H1787" s="8">
        <f t="shared" si="29"/>
        <v>1.7444026642243961E-2</v>
      </c>
    </row>
    <row r="1788" spans="2:8" x14ac:dyDescent="0.2">
      <c r="B1788" s="5">
        <v>44595</v>
      </c>
      <c r="C1788" s="6" t="s">
        <v>18</v>
      </c>
      <c r="D1788" s="7">
        <v>27.120000999999998</v>
      </c>
      <c r="E1788" s="7">
        <v>25.816247000000001</v>
      </c>
      <c r="F1788" s="7">
        <v>27.120000999999998</v>
      </c>
      <c r="G1788" s="7">
        <v>26.690000999999999</v>
      </c>
      <c r="H1788" s="8">
        <f t="shared" si="29"/>
        <v>1.0808833395452858E-2</v>
      </c>
    </row>
    <row r="1789" spans="2:8" x14ac:dyDescent="0.2">
      <c r="B1789" s="5">
        <v>44596</v>
      </c>
      <c r="C1789" s="6" t="s">
        <v>18</v>
      </c>
      <c r="D1789" s="7">
        <v>26.690000999999999</v>
      </c>
      <c r="E1789" s="7">
        <v>25.406918000000001</v>
      </c>
      <c r="F1789" s="7">
        <v>27.219999000000001</v>
      </c>
      <c r="G1789" s="7">
        <v>26.610001</v>
      </c>
      <c r="H1789" s="8">
        <f t="shared" si="29"/>
        <v>-1.5855456642497903E-2</v>
      </c>
    </row>
    <row r="1790" spans="2:8" x14ac:dyDescent="0.2">
      <c r="B1790" s="5">
        <v>44597</v>
      </c>
      <c r="C1790" s="6" t="s">
        <v>18</v>
      </c>
      <c r="D1790" s="7">
        <v>27.26</v>
      </c>
      <c r="E1790" s="7">
        <v>25.949515999999999</v>
      </c>
      <c r="F1790" s="7">
        <v>27.299999</v>
      </c>
      <c r="G1790" s="7">
        <v>26.58</v>
      </c>
      <c r="H1790" s="8">
        <f t="shared" si="29"/>
        <v>2.1356274958551063E-2</v>
      </c>
    </row>
    <row r="1791" spans="2:8" x14ac:dyDescent="0.2">
      <c r="B1791" s="5">
        <v>44598</v>
      </c>
      <c r="C1791" s="6" t="s">
        <v>18</v>
      </c>
      <c r="D1791" s="7">
        <v>27.24</v>
      </c>
      <c r="E1791" s="7">
        <v>25.930477</v>
      </c>
      <c r="F1791" s="7">
        <v>27.66</v>
      </c>
      <c r="G1791" s="7">
        <v>27.139999</v>
      </c>
      <c r="H1791" s="8">
        <f t="shared" si="29"/>
        <v>-7.3367571533393709E-4</v>
      </c>
    </row>
    <row r="1792" spans="2:8" x14ac:dyDescent="0.2">
      <c r="B1792" s="5">
        <v>44601</v>
      </c>
      <c r="C1792" s="6" t="s">
        <v>18</v>
      </c>
      <c r="D1792" s="7">
        <v>27.120000999999998</v>
      </c>
      <c r="E1792" s="7">
        <v>25.816247000000001</v>
      </c>
      <c r="F1792" s="7">
        <v>27.41</v>
      </c>
      <c r="G1792" s="7">
        <v>27.059999000000001</v>
      </c>
      <c r="H1792" s="8">
        <f t="shared" si="29"/>
        <v>-4.4052496328928041E-3</v>
      </c>
    </row>
    <row r="1793" spans="2:8" x14ac:dyDescent="0.2">
      <c r="B1793" s="5">
        <v>44602</v>
      </c>
      <c r="C1793" s="6" t="s">
        <v>18</v>
      </c>
      <c r="D1793" s="7">
        <v>27.49</v>
      </c>
      <c r="E1793" s="7">
        <v>26.168458000000001</v>
      </c>
      <c r="F1793" s="7">
        <v>27.540001</v>
      </c>
      <c r="G1793" s="7">
        <v>27.15</v>
      </c>
      <c r="H1793" s="8">
        <f t="shared" si="29"/>
        <v>1.3643030470389731E-2</v>
      </c>
    </row>
    <row r="1794" spans="2:8" x14ac:dyDescent="0.2">
      <c r="B1794" s="5">
        <v>44603</v>
      </c>
      <c r="C1794" s="6" t="s">
        <v>18</v>
      </c>
      <c r="D1794" s="7">
        <v>26.93</v>
      </c>
      <c r="E1794" s="7">
        <v>25.635380000000001</v>
      </c>
      <c r="F1794" s="7">
        <v>27.65</v>
      </c>
      <c r="G1794" s="7">
        <v>26.9</v>
      </c>
      <c r="H1794" s="8">
        <f t="shared" si="29"/>
        <v>-2.0371044016005774E-2</v>
      </c>
    </row>
    <row r="1795" spans="2:8" x14ac:dyDescent="0.2">
      <c r="B1795" s="5">
        <v>44604</v>
      </c>
      <c r="C1795" s="6" t="s">
        <v>18</v>
      </c>
      <c r="D1795" s="7">
        <v>29.459999</v>
      </c>
      <c r="E1795" s="7">
        <v>28.043752999999999</v>
      </c>
      <c r="F1795" s="7">
        <v>29.58</v>
      </c>
      <c r="G1795" s="7">
        <v>28.84</v>
      </c>
      <c r="H1795" s="8">
        <f t="shared" si="29"/>
        <v>9.3947233568510966E-2</v>
      </c>
    </row>
    <row r="1796" spans="2:8" x14ac:dyDescent="0.2">
      <c r="B1796" s="5">
        <v>44605</v>
      </c>
      <c r="C1796" s="6" t="s">
        <v>18</v>
      </c>
      <c r="D1796" s="7">
        <v>29.43</v>
      </c>
      <c r="E1796" s="7">
        <v>28.015196</v>
      </c>
      <c r="F1796" s="7">
        <v>29.5</v>
      </c>
      <c r="G1796" s="7">
        <v>29.110001</v>
      </c>
      <c r="H1796" s="8">
        <f t="shared" ref="H1796:H1859" si="30">(D1796-D1795)/D1795</f>
        <v>-1.0182960291342884E-3</v>
      </c>
    </row>
    <row r="1797" spans="2:8" x14ac:dyDescent="0.2">
      <c r="B1797" s="5">
        <v>44609</v>
      </c>
      <c r="C1797" s="6" t="s">
        <v>18</v>
      </c>
      <c r="D1797" s="7">
        <v>29.309999000000001</v>
      </c>
      <c r="E1797" s="7">
        <v>27.900963999999998</v>
      </c>
      <c r="F1797" s="7">
        <v>29.35</v>
      </c>
      <c r="G1797" s="7">
        <v>29.030000999999999</v>
      </c>
      <c r="H1797" s="8">
        <f t="shared" si="30"/>
        <v>-4.0775059463132339E-3</v>
      </c>
    </row>
    <row r="1798" spans="2:8" x14ac:dyDescent="0.2">
      <c r="B1798" s="5">
        <v>44610</v>
      </c>
      <c r="C1798" s="6" t="s">
        <v>18</v>
      </c>
      <c r="D1798" s="7">
        <v>29.49</v>
      </c>
      <c r="E1798" s="7">
        <v>28.072310999999999</v>
      </c>
      <c r="F1798" s="7">
        <v>29.549999</v>
      </c>
      <c r="G1798" s="7">
        <v>29.120000999999998</v>
      </c>
      <c r="H1798" s="8">
        <f t="shared" si="30"/>
        <v>6.1412830481501271E-3</v>
      </c>
    </row>
    <row r="1799" spans="2:8" x14ac:dyDescent="0.2">
      <c r="B1799" s="5">
        <v>44611</v>
      </c>
      <c r="C1799" s="6" t="s">
        <v>18</v>
      </c>
      <c r="D1799" s="7">
        <v>29.309999000000001</v>
      </c>
      <c r="E1799" s="7">
        <v>27.900963999999998</v>
      </c>
      <c r="F1799" s="7">
        <v>29.389999</v>
      </c>
      <c r="G1799" s="7">
        <v>29.129999000000002</v>
      </c>
      <c r="H1799" s="8">
        <f t="shared" si="30"/>
        <v>-6.1037978975923089E-3</v>
      </c>
    </row>
    <row r="1800" spans="2:8" x14ac:dyDescent="0.2">
      <c r="B1800" s="5">
        <v>44612</v>
      </c>
      <c r="C1800" s="6" t="s">
        <v>18</v>
      </c>
      <c r="D1800" s="7">
        <v>29.610001</v>
      </c>
      <c r="E1800" s="7">
        <v>28.186543</v>
      </c>
      <c r="F1800" s="7">
        <v>29.66</v>
      </c>
      <c r="G1800" s="7">
        <v>29.16</v>
      </c>
      <c r="H1800" s="8">
        <f t="shared" si="30"/>
        <v>1.0235483119600215E-2</v>
      </c>
    </row>
    <row r="1801" spans="2:8" x14ac:dyDescent="0.2">
      <c r="B1801" s="5">
        <v>44615</v>
      </c>
      <c r="C1801" s="6" t="s">
        <v>18</v>
      </c>
      <c r="D1801" s="7">
        <v>29.629999000000002</v>
      </c>
      <c r="E1801" s="7">
        <v>28.205580999999999</v>
      </c>
      <c r="F1801" s="7">
        <v>29.65</v>
      </c>
      <c r="G1801" s="7">
        <v>29.42</v>
      </c>
      <c r="H1801" s="8">
        <f t="shared" si="30"/>
        <v>6.7537991640057938E-4</v>
      </c>
    </row>
    <row r="1802" spans="2:8" x14ac:dyDescent="0.2">
      <c r="B1802" s="5">
        <v>44616</v>
      </c>
      <c r="C1802" s="6" t="s">
        <v>18</v>
      </c>
      <c r="D1802" s="7">
        <v>29.629999000000002</v>
      </c>
      <c r="E1802" s="7">
        <v>28.205580999999999</v>
      </c>
      <c r="F1802" s="7">
        <v>29.709999</v>
      </c>
      <c r="G1802" s="7">
        <v>29.43</v>
      </c>
      <c r="H1802" s="8">
        <f t="shared" si="30"/>
        <v>0</v>
      </c>
    </row>
    <row r="1803" spans="2:8" x14ac:dyDescent="0.2">
      <c r="B1803" s="5">
        <v>44617</v>
      </c>
      <c r="C1803" s="6" t="s">
        <v>18</v>
      </c>
      <c r="D1803" s="7">
        <v>29.49</v>
      </c>
      <c r="E1803" s="7">
        <v>28.072310999999999</v>
      </c>
      <c r="F1803" s="7">
        <v>29.57</v>
      </c>
      <c r="G1803" s="7">
        <v>29.32</v>
      </c>
      <c r="H1803" s="8">
        <f t="shared" si="30"/>
        <v>-4.7249073481238756E-3</v>
      </c>
    </row>
    <row r="1804" spans="2:8" x14ac:dyDescent="0.2">
      <c r="B1804" s="5">
        <v>44618</v>
      </c>
      <c r="C1804" s="6" t="s">
        <v>18</v>
      </c>
      <c r="D1804" s="7">
        <v>29.91</v>
      </c>
      <c r="E1804" s="7">
        <v>28.472121000000001</v>
      </c>
      <c r="F1804" s="7">
        <v>29.99</v>
      </c>
      <c r="G1804" s="7">
        <v>29.52</v>
      </c>
      <c r="H1804" s="8">
        <f t="shared" si="30"/>
        <v>1.4242115971515827E-2</v>
      </c>
    </row>
    <row r="1805" spans="2:8" x14ac:dyDescent="0.2">
      <c r="B1805" s="5">
        <v>44619</v>
      </c>
      <c r="C1805" s="6" t="s">
        <v>18</v>
      </c>
      <c r="D1805" s="7">
        <v>29.51</v>
      </c>
      <c r="E1805" s="7">
        <v>28.091349999999998</v>
      </c>
      <c r="F1805" s="7">
        <v>29.91</v>
      </c>
      <c r="G1805" s="7">
        <v>29.379999000000002</v>
      </c>
      <c r="H1805" s="8">
        <f t="shared" si="30"/>
        <v>-1.3373453694416535E-2</v>
      </c>
    </row>
    <row r="1806" spans="2:8" x14ac:dyDescent="0.2">
      <c r="B1806" s="5">
        <v>44622</v>
      </c>
      <c r="C1806" s="6" t="s">
        <v>18</v>
      </c>
      <c r="D1806" s="7">
        <v>30.190000999999999</v>
      </c>
      <c r="E1806" s="7">
        <v>28.738661</v>
      </c>
      <c r="F1806" s="7">
        <v>30.309999000000001</v>
      </c>
      <c r="G1806" s="7">
        <v>29.34</v>
      </c>
      <c r="H1806" s="8">
        <f t="shared" si="30"/>
        <v>2.3043070145713222E-2</v>
      </c>
    </row>
    <row r="1807" spans="2:8" x14ac:dyDescent="0.2">
      <c r="B1807" s="5">
        <v>44623</v>
      </c>
      <c r="C1807" s="6" t="s">
        <v>18</v>
      </c>
      <c r="D1807" s="7">
        <v>29.540001</v>
      </c>
      <c r="E1807" s="7">
        <v>28.119909</v>
      </c>
      <c r="F1807" s="7">
        <v>30.120000999999998</v>
      </c>
      <c r="G1807" s="7">
        <v>29.469999000000001</v>
      </c>
      <c r="H1807" s="8">
        <f t="shared" si="30"/>
        <v>-2.1530307335862579E-2</v>
      </c>
    </row>
    <row r="1808" spans="2:8" x14ac:dyDescent="0.2">
      <c r="B1808" s="5">
        <v>44624</v>
      </c>
      <c r="C1808" s="6" t="s">
        <v>18</v>
      </c>
      <c r="D1808" s="7">
        <v>29.33</v>
      </c>
      <c r="E1808" s="7">
        <v>27.920003000000001</v>
      </c>
      <c r="F1808" s="7">
        <v>29.52</v>
      </c>
      <c r="G1808" s="7">
        <v>29.110001</v>
      </c>
      <c r="H1808" s="8">
        <f t="shared" si="30"/>
        <v>-7.1090383510820426E-3</v>
      </c>
    </row>
    <row r="1809" spans="2:8" x14ac:dyDescent="0.2">
      <c r="B1809" s="5">
        <v>44625</v>
      </c>
      <c r="C1809" s="6" t="s">
        <v>18</v>
      </c>
      <c r="D1809" s="7">
        <v>29.299999</v>
      </c>
      <c r="E1809" s="7">
        <v>27.891445000000001</v>
      </c>
      <c r="F1809" s="7">
        <v>29.49</v>
      </c>
      <c r="G1809" s="7">
        <v>29.120000999999998</v>
      </c>
      <c r="H1809" s="8">
        <f t="shared" si="30"/>
        <v>-1.0228775997271945E-3</v>
      </c>
    </row>
    <row r="1810" spans="2:8" x14ac:dyDescent="0.2">
      <c r="B1810" s="5">
        <v>44626</v>
      </c>
      <c r="C1810" s="6" t="s">
        <v>18</v>
      </c>
      <c r="D1810" s="7">
        <v>28.93</v>
      </c>
      <c r="E1810" s="7">
        <v>27.539232999999999</v>
      </c>
      <c r="F1810" s="7">
        <v>29.27</v>
      </c>
      <c r="G1810" s="7">
        <v>28.799999</v>
      </c>
      <c r="H1810" s="8">
        <f t="shared" si="30"/>
        <v>-1.2627952649418179E-2</v>
      </c>
    </row>
    <row r="1811" spans="2:8" x14ac:dyDescent="0.2">
      <c r="B1811" s="5">
        <v>44629</v>
      </c>
      <c r="C1811" s="6" t="s">
        <v>18</v>
      </c>
      <c r="D1811" s="7">
        <v>29.360001</v>
      </c>
      <c r="E1811" s="7">
        <v>27.948561999999999</v>
      </c>
      <c r="F1811" s="7">
        <v>29.450001</v>
      </c>
      <c r="G1811" s="7">
        <v>28.76</v>
      </c>
      <c r="H1811" s="8">
        <f t="shared" si="30"/>
        <v>1.4863498098859342E-2</v>
      </c>
    </row>
    <row r="1812" spans="2:8" x14ac:dyDescent="0.2">
      <c r="B1812" s="5">
        <v>44630</v>
      </c>
      <c r="C1812" s="6" t="s">
        <v>18</v>
      </c>
      <c r="D1812" s="7">
        <v>28.66</v>
      </c>
      <c r="E1812" s="7">
        <v>27.282212000000001</v>
      </c>
      <c r="F1812" s="7">
        <v>29.17</v>
      </c>
      <c r="G1812" s="7">
        <v>28.66</v>
      </c>
      <c r="H1812" s="8">
        <f t="shared" si="30"/>
        <v>-2.3841995100749497E-2</v>
      </c>
    </row>
    <row r="1813" spans="2:8" x14ac:dyDescent="0.2">
      <c r="B1813" s="5">
        <v>44631</v>
      </c>
      <c r="C1813" s="6" t="s">
        <v>18</v>
      </c>
      <c r="D1813" s="7">
        <v>28.26</v>
      </c>
      <c r="E1813" s="7">
        <v>26.901441999999999</v>
      </c>
      <c r="F1813" s="7">
        <v>28.76</v>
      </c>
      <c r="G1813" s="7">
        <v>28.209999</v>
      </c>
      <c r="H1813" s="8">
        <f t="shared" si="30"/>
        <v>-1.3956734124214883E-2</v>
      </c>
    </row>
    <row r="1814" spans="2:8" x14ac:dyDescent="0.2">
      <c r="B1814" s="5">
        <v>44632</v>
      </c>
      <c r="C1814" s="6" t="s">
        <v>18</v>
      </c>
      <c r="D1814" s="7">
        <v>28.24</v>
      </c>
      <c r="E1814" s="7">
        <v>26.882403</v>
      </c>
      <c r="F1814" s="7">
        <v>28.540001</v>
      </c>
      <c r="G1814" s="7">
        <v>28.049999</v>
      </c>
      <c r="H1814" s="8">
        <f t="shared" si="30"/>
        <v>-7.0771408351037247E-4</v>
      </c>
    </row>
    <row r="1815" spans="2:8" x14ac:dyDescent="0.2">
      <c r="B1815" s="5">
        <v>44633</v>
      </c>
      <c r="C1815" s="6" t="s">
        <v>18</v>
      </c>
      <c r="D1815" s="7">
        <v>27.940000999999999</v>
      </c>
      <c r="E1815" s="7">
        <v>26.596826</v>
      </c>
      <c r="F1815" s="7">
        <v>28.26</v>
      </c>
      <c r="G1815" s="7">
        <v>27.57</v>
      </c>
      <c r="H1815" s="8">
        <f t="shared" si="30"/>
        <v>-1.0623194050991491E-2</v>
      </c>
    </row>
    <row r="1816" spans="2:8" x14ac:dyDescent="0.2">
      <c r="B1816" s="5">
        <v>44636</v>
      </c>
      <c r="C1816" s="6" t="s">
        <v>18</v>
      </c>
      <c r="D1816" s="7">
        <v>28.299999</v>
      </c>
      <c r="E1816" s="7">
        <v>26.939518</v>
      </c>
      <c r="F1816" s="7">
        <v>28.379999000000002</v>
      </c>
      <c r="G1816" s="7">
        <v>28.040001</v>
      </c>
      <c r="H1816" s="8">
        <f t="shared" si="30"/>
        <v>1.2884680999116677E-2</v>
      </c>
    </row>
    <row r="1817" spans="2:8" x14ac:dyDescent="0.2">
      <c r="B1817" s="5">
        <v>44637</v>
      </c>
      <c r="C1817" s="6" t="s">
        <v>18</v>
      </c>
      <c r="D1817" s="7">
        <v>28.15</v>
      </c>
      <c r="E1817" s="7">
        <v>26.79673</v>
      </c>
      <c r="F1817" s="7">
        <v>28.280000999999999</v>
      </c>
      <c r="G1817" s="7">
        <v>27.950001</v>
      </c>
      <c r="H1817" s="8">
        <f t="shared" si="30"/>
        <v>-5.3003182084918488E-3</v>
      </c>
    </row>
    <row r="1818" spans="2:8" x14ac:dyDescent="0.2">
      <c r="B1818" s="5">
        <v>44638</v>
      </c>
      <c r="C1818" s="6" t="s">
        <v>18</v>
      </c>
      <c r="D1818" s="7">
        <v>28.15</v>
      </c>
      <c r="E1818" s="7">
        <v>26.79673</v>
      </c>
      <c r="F1818" s="7">
        <v>28.34</v>
      </c>
      <c r="G1818" s="7">
        <v>27.719999000000001</v>
      </c>
      <c r="H1818" s="8">
        <f t="shared" si="30"/>
        <v>0</v>
      </c>
    </row>
    <row r="1819" spans="2:8" x14ac:dyDescent="0.2">
      <c r="B1819" s="5">
        <v>44639</v>
      </c>
      <c r="C1819" s="6" t="s">
        <v>18</v>
      </c>
      <c r="D1819" s="7">
        <v>28.26</v>
      </c>
      <c r="E1819" s="7">
        <v>26.901441999999999</v>
      </c>
      <c r="F1819" s="7">
        <v>28.540001</v>
      </c>
      <c r="G1819" s="7">
        <v>28.030000999999999</v>
      </c>
      <c r="H1819" s="8">
        <f t="shared" si="30"/>
        <v>3.9076376554175131E-3</v>
      </c>
    </row>
    <row r="1820" spans="2:8" x14ac:dyDescent="0.2">
      <c r="B1820" s="5">
        <v>44640</v>
      </c>
      <c r="C1820" s="6" t="s">
        <v>18</v>
      </c>
      <c r="D1820" s="7">
        <v>28.440000999999999</v>
      </c>
      <c r="E1820" s="7">
        <v>27.072789</v>
      </c>
      <c r="F1820" s="7">
        <v>28.620000999999998</v>
      </c>
      <c r="G1820" s="7">
        <v>28.32</v>
      </c>
      <c r="H1820" s="8">
        <f t="shared" si="30"/>
        <v>6.3694621372964322E-3</v>
      </c>
    </row>
    <row r="1821" spans="2:8" x14ac:dyDescent="0.2">
      <c r="B1821" s="5">
        <v>44643</v>
      </c>
      <c r="C1821" s="6" t="s">
        <v>18</v>
      </c>
      <c r="D1821" s="7">
        <v>28.41</v>
      </c>
      <c r="E1821" s="7">
        <v>27.044231</v>
      </c>
      <c r="F1821" s="7">
        <v>28.690000999999999</v>
      </c>
      <c r="G1821" s="7">
        <v>28.360001</v>
      </c>
      <c r="H1821" s="8">
        <f t="shared" si="30"/>
        <v>-1.0548874453273969E-3</v>
      </c>
    </row>
    <row r="1822" spans="2:8" x14ac:dyDescent="0.2">
      <c r="B1822" s="5">
        <v>44644</v>
      </c>
      <c r="C1822" s="6" t="s">
        <v>18</v>
      </c>
      <c r="D1822" s="7">
        <v>28</v>
      </c>
      <c r="E1822" s="7">
        <v>26.653941</v>
      </c>
      <c r="F1822" s="7">
        <v>28.57</v>
      </c>
      <c r="G1822" s="7">
        <v>27.99</v>
      </c>
      <c r="H1822" s="8">
        <f t="shared" si="30"/>
        <v>-1.4431538190777899E-2</v>
      </c>
    </row>
    <row r="1823" spans="2:8" x14ac:dyDescent="0.2">
      <c r="B1823" s="5">
        <v>44645</v>
      </c>
      <c r="C1823" s="6" t="s">
        <v>18</v>
      </c>
      <c r="D1823" s="7">
        <v>27.459999</v>
      </c>
      <c r="E1823" s="7">
        <v>26.139900000000001</v>
      </c>
      <c r="F1823" s="7">
        <v>28.09</v>
      </c>
      <c r="G1823" s="7">
        <v>27.459999</v>
      </c>
      <c r="H1823" s="8">
        <f t="shared" si="30"/>
        <v>-1.9285750000000008E-2</v>
      </c>
    </row>
    <row r="1824" spans="2:8" x14ac:dyDescent="0.2">
      <c r="B1824" s="5">
        <v>44646</v>
      </c>
      <c r="C1824" s="6" t="s">
        <v>18</v>
      </c>
      <c r="D1824" s="7">
        <v>27.09</v>
      </c>
      <c r="E1824" s="7">
        <v>25.787687999999999</v>
      </c>
      <c r="F1824" s="7">
        <v>27.309999000000001</v>
      </c>
      <c r="G1824" s="7">
        <v>26.620000999999998</v>
      </c>
      <c r="H1824" s="8">
        <f t="shared" si="30"/>
        <v>-1.347410828383497E-2</v>
      </c>
    </row>
    <row r="1825" spans="2:8" x14ac:dyDescent="0.2">
      <c r="B1825" s="5">
        <v>44647</v>
      </c>
      <c r="C1825" s="6" t="s">
        <v>18</v>
      </c>
      <c r="D1825" s="7">
        <v>27.129999000000002</v>
      </c>
      <c r="E1825" s="7">
        <v>25.825763999999999</v>
      </c>
      <c r="F1825" s="7">
        <v>27.209999</v>
      </c>
      <c r="G1825" s="7">
        <v>26.940000999999999</v>
      </c>
      <c r="H1825" s="8">
        <f t="shared" si="30"/>
        <v>1.4765227021041592E-3</v>
      </c>
    </row>
    <row r="1826" spans="2:8" x14ac:dyDescent="0.2">
      <c r="B1826" s="5">
        <v>44650</v>
      </c>
      <c r="C1826" s="6" t="s">
        <v>18</v>
      </c>
      <c r="D1826" s="7">
        <v>27.65</v>
      </c>
      <c r="E1826" s="7">
        <v>26.320767</v>
      </c>
      <c r="F1826" s="7">
        <v>27.75</v>
      </c>
      <c r="G1826" s="7">
        <v>27.219999000000001</v>
      </c>
      <c r="H1826" s="8">
        <f t="shared" si="30"/>
        <v>1.9167011395761459E-2</v>
      </c>
    </row>
    <row r="1827" spans="2:8" x14ac:dyDescent="0.2">
      <c r="B1827" s="5">
        <v>44651</v>
      </c>
      <c r="C1827" s="6" t="s">
        <v>18</v>
      </c>
      <c r="D1827" s="7">
        <v>27.530000999999999</v>
      </c>
      <c r="E1827" s="7">
        <v>26.407097</v>
      </c>
      <c r="F1827" s="7">
        <v>27.690000999999999</v>
      </c>
      <c r="G1827" s="7">
        <v>27.280000999999999</v>
      </c>
      <c r="H1827" s="8">
        <f t="shared" si="30"/>
        <v>-4.3399276672694389E-3</v>
      </c>
    </row>
    <row r="1828" spans="2:8" x14ac:dyDescent="0.2">
      <c r="B1828" s="5">
        <v>44652</v>
      </c>
      <c r="C1828" s="6" t="s">
        <v>18</v>
      </c>
      <c r="D1828" s="7">
        <v>27.25</v>
      </c>
      <c r="E1828" s="7">
        <v>26.138517</v>
      </c>
      <c r="F1828" s="7">
        <v>27.639999</v>
      </c>
      <c r="G1828" s="7">
        <v>27.1</v>
      </c>
      <c r="H1828" s="8">
        <f t="shared" si="30"/>
        <v>-1.0170758802369772E-2</v>
      </c>
    </row>
    <row r="1829" spans="2:8" x14ac:dyDescent="0.2">
      <c r="B1829" s="5">
        <v>44653</v>
      </c>
      <c r="C1829" s="6" t="s">
        <v>18</v>
      </c>
      <c r="D1829" s="7">
        <v>27.129999000000002</v>
      </c>
      <c r="E1829" s="7">
        <v>26.023410999999999</v>
      </c>
      <c r="F1829" s="7">
        <v>27.5</v>
      </c>
      <c r="G1829" s="7">
        <v>27.129999000000002</v>
      </c>
      <c r="H1829" s="8">
        <f t="shared" si="30"/>
        <v>-4.4037064220182921E-3</v>
      </c>
    </row>
    <row r="1830" spans="2:8" x14ac:dyDescent="0.2">
      <c r="B1830" s="5">
        <v>44657</v>
      </c>
      <c r="C1830" s="6" t="s">
        <v>18</v>
      </c>
      <c r="D1830" s="7">
        <v>27.219999000000001</v>
      </c>
      <c r="E1830" s="7">
        <v>26.109739999999999</v>
      </c>
      <c r="F1830" s="7">
        <v>27.32</v>
      </c>
      <c r="G1830" s="7">
        <v>26.84</v>
      </c>
      <c r="H1830" s="8">
        <f t="shared" si="30"/>
        <v>3.3173609774183868E-3</v>
      </c>
    </row>
    <row r="1831" spans="2:8" x14ac:dyDescent="0.2">
      <c r="B1831" s="5">
        <v>44658</v>
      </c>
      <c r="C1831" s="6" t="s">
        <v>18</v>
      </c>
      <c r="D1831" s="7">
        <v>27.389999</v>
      </c>
      <c r="E1831" s="7">
        <v>26.272805999999999</v>
      </c>
      <c r="F1831" s="7">
        <v>27.559999000000001</v>
      </c>
      <c r="G1831" s="7">
        <v>27.129999000000002</v>
      </c>
      <c r="H1831" s="8">
        <f t="shared" si="30"/>
        <v>6.2454080178327024E-3</v>
      </c>
    </row>
    <row r="1832" spans="2:8" x14ac:dyDescent="0.2">
      <c r="B1832" s="5">
        <v>44659</v>
      </c>
      <c r="C1832" s="6" t="s">
        <v>18</v>
      </c>
      <c r="D1832" s="7">
        <v>27.549999</v>
      </c>
      <c r="E1832" s="7">
        <v>26.426279999999998</v>
      </c>
      <c r="F1832" s="7">
        <v>27.66</v>
      </c>
      <c r="G1832" s="7">
        <v>27.370000999999998</v>
      </c>
      <c r="H1832" s="8">
        <f t="shared" si="30"/>
        <v>5.8415482234957421E-3</v>
      </c>
    </row>
    <row r="1833" spans="2:8" x14ac:dyDescent="0.2">
      <c r="B1833" s="5">
        <v>44660</v>
      </c>
      <c r="C1833" s="6" t="s">
        <v>18</v>
      </c>
      <c r="D1833" s="7">
        <v>27.629999000000002</v>
      </c>
      <c r="E1833" s="7">
        <v>26.503017</v>
      </c>
      <c r="F1833" s="7">
        <v>27.74</v>
      </c>
      <c r="G1833" s="7">
        <v>27.42</v>
      </c>
      <c r="H1833" s="8">
        <f t="shared" si="30"/>
        <v>2.9038113576701709E-3</v>
      </c>
    </row>
    <row r="1834" spans="2:8" x14ac:dyDescent="0.2">
      <c r="B1834" s="5">
        <v>44661</v>
      </c>
      <c r="C1834" s="6" t="s">
        <v>18</v>
      </c>
      <c r="D1834" s="7">
        <v>28.040001</v>
      </c>
      <c r="E1834" s="7">
        <v>26.896294999999999</v>
      </c>
      <c r="F1834" s="7">
        <v>28.08</v>
      </c>
      <c r="G1834" s="7">
        <v>27.559999000000001</v>
      </c>
      <c r="H1834" s="8">
        <f t="shared" si="30"/>
        <v>1.4839016099855763E-2</v>
      </c>
    </row>
    <row r="1835" spans="2:8" x14ac:dyDescent="0.2">
      <c r="B1835" s="5">
        <v>44664</v>
      </c>
      <c r="C1835" s="6" t="s">
        <v>18</v>
      </c>
      <c r="D1835" s="7">
        <v>27.98</v>
      </c>
      <c r="E1835" s="7">
        <v>26.838740999999999</v>
      </c>
      <c r="F1835" s="7">
        <v>28.280000999999999</v>
      </c>
      <c r="G1835" s="7">
        <v>27.940000999999999</v>
      </c>
      <c r="H1835" s="8">
        <f t="shared" si="30"/>
        <v>-2.1398358723310942E-3</v>
      </c>
    </row>
    <row r="1836" spans="2:8" x14ac:dyDescent="0.2">
      <c r="B1836" s="5">
        <v>44665</v>
      </c>
      <c r="C1836" s="6" t="s">
        <v>18</v>
      </c>
      <c r="D1836" s="7">
        <v>27.809999000000001</v>
      </c>
      <c r="E1836" s="7">
        <v>26.675674999999998</v>
      </c>
      <c r="F1836" s="7">
        <v>28.059999000000001</v>
      </c>
      <c r="G1836" s="7">
        <v>27.68</v>
      </c>
      <c r="H1836" s="8">
        <f t="shared" si="30"/>
        <v>-6.0758041458184127E-3</v>
      </c>
    </row>
    <row r="1837" spans="2:8" x14ac:dyDescent="0.2">
      <c r="B1837" s="5">
        <v>44666</v>
      </c>
      <c r="C1837" s="6" t="s">
        <v>18</v>
      </c>
      <c r="D1837" s="7">
        <v>28.25</v>
      </c>
      <c r="E1837" s="7">
        <v>27.097729000000001</v>
      </c>
      <c r="F1837" s="7">
        <v>28.42</v>
      </c>
      <c r="G1837" s="7">
        <v>27.969999000000001</v>
      </c>
      <c r="H1837" s="8">
        <f t="shared" si="30"/>
        <v>1.5821683416817049E-2</v>
      </c>
    </row>
    <row r="1838" spans="2:8" x14ac:dyDescent="0.2">
      <c r="B1838" s="5">
        <v>44667</v>
      </c>
      <c r="C1838" s="6" t="s">
        <v>18</v>
      </c>
      <c r="D1838" s="7">
        <v>28.6</v>
      </c>
      <c r="E1838" s="7">
        <v>27.433453</v>
      </c>
      <c r="F1838" s="7">
        <v>28.639999</v>
      </c>
      <c r="G1838" s="7">
        <v>28.1</v>
      </c>
      <c r="H1838" s="8">
        <f t="shared" si="30"/>
        <v>1.2389380530973501E-2</v>
      </c>
    </row>
    <row r="1839" spans="2:8" x14ac:dyDescent="0.2">
      <c r="B1839" s="5">
        <v>44668</v>
      </c>
      <c r="C1839" s="6" t="s">
        <v>18</v>
      </c>
      <c r="D1839" s="7">
        <v>27.92</v>
      </c>
      <c r="E1839" s="7">
        <v>26.781189000000001</v>
      </c>
      <c r="F1839" s="7">
        <v>28.4</v>
      </c>
      <c r="G1839" s="7">
        <v>27.9</v>
      </c>
      <c r="H1839" s="8">
        <f t="shared" si="30"/>
        <v>-2.3776223776223765E-2</v>
      </c>
    </row>
    <row r="1840" spans="2:8" x14ac:dyDescent="0.2">
      <c r="B1840" s="5">
        <v>44671</v>
      </c>
      <c r="C1840" s="6" t="s">
        <v>18</v>
      </c>
      <c r="D1840" s="7">
        <v>28.48</v>
      </c>
      <c r="E1840" s="7">
        <v>27.318346999999999</v>
      </c>
      <c r="F1840" s="7">
        <v>28.629999000000002</v>
      </c>
      <c r="G1840" s="7">
        <v>28.16</v>
      </c>
      <c r="H1840" s="8">
        <f t="shared" si="30"/>
        <v>2.0057306590257833E-2</v>
      </c>
    </row>
    <row r="1841" spans="2:8" x14ac:dyDescent="0.2">
      <c r="B1841" s="5">
        <v>44672</v>
      </c>
      <c r="C1841" s="6" t="s">
        <v>18</v>
      </c>
      <c r="D1841" s="7">
        <v>28.690000999999999</v>
      </c>
      <c r="E1841" s="7">
        <v>27.519783</v>
      </c>
      <c r="F1841" s="7">
        <v>28.92</v>
      </c>
      <c r="G1841" s="7">
        <v>28.66</v>
      </c>
      <c r="H1841" s="8">
        <f t="shared" si="30"/>
        <v>7.3736306179774695E-3</v>
      </c>
    </row>
    <row r="1842" spans="2:8" x14ac:dyDescent="0.2">
      <c r="B1842" s="5">
        <v>44673</v>
      </c>
      <c r="C1842" s="6" t="s">
        <v>18</v>
      </c>
      <c r="D1842" s="7">
        <v>28.620000999999998</v>
      </c>
      <c r="E1842" s="7">
        <v>27.452638</v>
      </c>
      <c r="F1842" s="7">
        <v>28.790001</v>
      </c>
      <c r="G1842" s="7">
        <v>28.42</v>
      </c>
      <c r="H1842" s="8">
        <f t="shared" si="30"/>
        <v>-2.4398744356962654E-3</v>
      </c>
    </row>
    <row r="1843" spans="2:8" x14ac:dyDescent="0.2">
      <c r="B1843" s="5">
        <v>44674</v>
      </c>
      <c r="C1843" s="6" t="s">
        <v>18</v>
      </c>
      <c r="D1843" s="7">
        <v>28.68</v>
      </c>
      <c r="E1843" s="7">
        <v>27.510190000000001</v>
      </c>
      <c r="F1843" s="7">
        <v>28.82</v>
      </c>
      <c r="G1843" s="7">
        <v>28.200001</v>
      </c>
      <c r="H1843" s="8">
        <f t="shared" si="30"/>
        <v>2.0964010448497627E-3</v>
      </c>
    </row>
    <row r="1844" spans="2:8" x14ac:dyDescent="0.2">
      <c r="B1844" s="5">
        <v>44675</v>
      </c>
      <c r="C1844" s="6" t="s">
        <v>18</v>
      </c>
      <c r="D1844" s="7">
        <v>28.82</v>
      </c>
      <c r="E1844" s="7">
        <v>27.644479</v>
      </c>
      <c r="F1844" s="7">
        <v>29.280000999999999</v>
      </c>
      <c r="G1844" s="7">
        <v>28.67</v>
      </c>
      <c r="H1844" s="8">
        <f t="shared" si="30"/>
        <v>4.8814504881450685E-3</v>
      </c>
    </row>
    <row r="1845" spans="2:8" x14ac:dyDescent="0.2">
      <c r="B1845" s="5">
        <v>44678</v>
      </c>
      <c r="C1845" s="6" t="s">
        <v>18</v>
      </c>
      <c r="D1845" s="7">
        <v>28.889999</v>
      </c>
      <c r="E1845" s="7">
        <v>27.711624</v>
      </c>
      <c r="F1845" s="7">
        <v>29.030000999999999</v>
      </c>
      <c r="G1845" s="7">
        <v>28.709999</v>
      </c>
      <c r="H1845" s="8">
        <f t="shared" si="30"/>
        <v>2.4288341429562544E-3</v>
      </c>
    </row>
    <row r="1846" spans="2:8" x14ac:dyDescent="0.2">
      <c r="B1846" s="5">
        <v>44679</v>
      </c>
      <c r="C1846" s="6" t="s">
        <v>18</v>
      </c>
      <c r="D1846" s="7">
        <v>29.32</v>
      </c>
      <c r="E1846" s="7">
        <v>28.124085000000001</v>
      </c>
      <c r="F1846" s="7">
        <v>29.33</v>
      </c>
      <c r="G1846" s="7">
        <v>28.76</v>
      </c>
      <c r="H1846" s="8">
        <f t="shared" si="30"/>
        <v>1.4884078050677702E-2</v>
      </c>
    </row>
    <row r="1847" spans="2:8" x14ac:dyDescent="0.2">
      <c r="B1847" s="5">
        <v>44680</v>
      </c>
      <c r="C1847" s="6" t="s">
        <v>18</v>
      </c>
      <c r="D1847" s="7">
        <v>29.049999</v>
      </c>
      <c r="E1847" s="7">
        <v>27.865098</v>
      </c>
      <c r="F1847" s="7">
        <v>29.25</v>
      </c>
      <c r="G1847" s="7">
        <v>28.9</v>
      </c>
      <c r="H1847" s="8">
        <f t="shared" si="30"/>
        <v>-9.2087653478854226E-3</v>
      </c>
    </row>
    <row r="1848" spans="2:8" x14ac:dyDescent="0.2">
      <c r="B1848" s="5">
        <v>44681</v>
      </c>
      <c r="C1848" s="6" t="s">
        <v>18</v>
      </c>
      <c r="D1848" s="7">
        <v>28.83</v>
      </c>
      <c r="E1848" s="7">
        <v>27.654071999999999</v>
      </c>
      <c r="F1848" s="7">
        <v>29.02</v>
      </c>
      <c r="G1848" s="7">
        <v>28.68</v>
      </c>
      <c r="H1848" s="8">
        <f t="shared" si="30"/>
        <v>-7.5731155791090177E-3</v>
      </c>
    </row>
    <row r="1849" spans="2:8" x14ac:dyDescent="0.2">
      <c r="B1849" s="5">
        <v>44682</v>
      </c>
      <c r="C1849" s="6" t="s">
        <v>18</v>
      </c>
      <c r="D1849" s="7">
        <v>29.129999000000002</v>
      </c>
      <c r="E1849" s="7">
        <v>27.941834</v>
      </c>
      <c r="F1849" s="7">
        <v>29.200001</v>
      </c>
      <c r="G1849" s="7">
        <v>28.780000999999999</v>
      </c>
      <c r="H1849" s="8">
        <f t="shared" si="30"/>
        <v>1.0405792577176665E-2</v>
      </c>
    </row>
    <row r="1850" spans="2:8" x14ac:dyDescent="0.2">
      <c r="B1850" s="5">
        <v>44685</v>
      </c>
      <c r="C1850" s="6" t="s">
        <v>18</v>
      </c>
      <c r="D1850" s="7">
        <v>29.17</v>
      </c>
      <c r="E1850" s="7">
        <v>27.980204000000001</v>
      </c>
      <c r="F1850" s="7">
        <v>29.360001</v>
      </c>
      <c r="G1850" s="7">
        <v>29.07</v>
      </c>
      <c r="H1850" s="8">
        <f t="shared" si="30"/>
        <v>1.3731891992169369E-3</v>
      </c>
    </row>
    <row r="1851" spans="2:8" x14ac:dyDescent="0.2">
      <c r="B1851" s="5">
        <v>44686</v>
      </c>
      <c r="C1851" s="6" t="s">
        <v>18</v>
      </c>
      <c r="D1851" s="7">
        <v>28.889999</v>
      </c>
      <c r="E1851" s="7">
        <v>27.711624</v>
      </c>
      <c r="F1851" s="7">
        <v>29.209999</v>
      </c>
      <c r="G1851" s="7">
        <v>28.84</v>
      </c>
      <c r="H1851" s="8">
        <f t="shared" si="30"/>
        <v>-9.5989372643127228E-3</v>
      </c>
    </row>
    <row r="1852" spans="2:8" x14ac:dyDescent="0.2">
      <c r="B1852" s="5">
        <v>44687</v>
      </c>
      <c r="C1852" s="6" t="s">
        <v>18</v>
      </c>
      <c r="D1852" s="7">
        <v>28.969999000000001</v>
      </c>
      <c r="E1852" s="7">
        <v>27.788360999999998</v>
      </c>
      <c r="F1852" s="7">
        <v>29.08</v>
      </c>
      <c r="G1852" s="7">
        <v>28.690000999999999</v>
      </c>
      <c r="H1852" s="8">
        <f t="shared" si="30"/>
        <v>2.7691243603020495E-3</v>
      </c>
    </row>
    <row r="1853" spans="2:8" x14ac:dyDescent="0.2">
      <c r="B1853" s="5">
        <v>44688</v>
      </c>
      <c r="C1853" s="6" t="s">
        <v>18</v>
      </c>
      <c r="D1853" s="7">
        <v>28.809999000000001</v>
      </c>
      <c r="E1853" s="7">
        <v>27.634886999999999</v>
      </c>
      <c r="F1853" s="7">
        <v>29.120000999999998</v>
      </c>
      <c r="G1853" s="7">
        <v>28.74</v>
      </c>
      <c r="H1853" s="8">
        <f t="shared" si="30"/>
        <v>-5.5229549714516778E-3</v>
      </c>
    </row>
    <row r="1854" spans="2:8" x14ac:dyDescent="0.2">
      <c r="B1854" s="5">
        <v>44689</v>
      </c>
      <c r="C1854" s="6" t="s">
        <v>18</v>
      </c>
      <c r="D1854" s="7">
        <v>29.23</v>
      </c>
      <c r="E1854" s="7">
        <v>28.037756000000002</v>
      </c>
      <c r="F1854" s="7">
        <v>29.370000999999998</v>
      </c>
      <c r="G1854" s="7">
        <v>28.99</v>
      </c>
      <c r="H1854" s="8">
        <f t="shared" si="30"/>
        <v>1.4578306649715579E-2</v>
      </c>
    </row>
    <row r="1855" spans="2:8" x14ac:dyDescent="0.2">
      <c r="B1855" s="5">
        <v>44692</v>
      </c>
      <c r="C1855" s="6" t="s">
        <v>18</v>
      </c>
      <c r="D1855" s="7">
        <v>29.209999</v>
      </c>
      <c r="E1855" s="7">
        <v>28.018571000000001</v>
      </c>
      <c r="F1855" s="7">
        <v>29.790001</v>
      </c>
      <c r="G1855" s="7">
        <v>29.200001</v>
      </c>
      <c r="H1855" s="8">
        <f t="shared" si="30"/>
        <v>-6.8426274375643517E-4</v>
      </c>
    </row>
    <row r="1856" spans="2:8" x14ac:dyDescent="0.2">
      <c r="B1856" s="5">
        <v>44693</v>
      </c>
      <c r="C1856" s="6" t="s">
        <v>18</v>
      </c>
      <c r="D1856" s="7">
        <v>29.23</v>
      </c>
      <c r="E1856" s="7">
        <v>28.037756000000002</v>
      </c>
      <c r="F1856" s="7">
        <v>29.440000999999999</v>
      </c>
      <c r="G1856" s="7">
        <v>28.799999</v>
      </c>
      <c r="H1856" s="8">
        <f t="shared" si="30"/>
        <v>6.8473127986072861E-4</v>
      </c>
    </row>
    <row r="1857" spans="2:8" x14ac:dyDescent="0.2">
      <c r="B1857" s="5">
        <v>44694</v>
      </c>
      <c r="C1857" s="6" t="s">
        <v>18</v>
      </c>
      <c r="D1857" s="7">
        <v>29.35</v>
      </c>
      <c r="E1857" s="7">
        <v>28.152861999999999</v>
      </c>
      <c r="F1857" s="7">
        <v>29.469999000000001</v>
      </c>
      <c r="G1857" s="7">
        <v>29.129999000000002</v>
      </c>
      <c r="H1857" s="8">
        <f t="shared" si="30"/>
        <v>4.1053711939788226E-3</v>
      </c>
    </row>
    <row r="1858" spans="2:8" x14ac:dyDescent="0.2">
      <c r="B1858" s="5">
        <v>44695</v>
      </c>
      <c r="C1858" s="6" t="s">
        <v>18</v>
      </c>
      <c r="D1858" s="7">
        <v>29.049999</v>
      </c>
      <c r="E1858" s="7">
        <v>27.865098</v>
      </c>
      <c r="F1858" s="7">
        <v>29.66</v>
      </c>
      <c r="G1858" s="7">
        <v>28.969999000000001</v>
      </c>
      <c r="H1858" s="8">
        <f t="shared" si="30"/>
        <v>-1.0221499148211303E-2</v>
      </c>
    </row>
    <row r="1859" spans="2:8" x14ac:dyDescent="0.2">
      <c r="B1859" s="5">
        <v>44696</v>
      </c>
      <c r="C1859" s="6" t="s">
        <v>18</v>
      </c>
      <c r="D1859" s="7">
        <v>29.549999</v>
      </c>
      <c r="E1859" s="7">
        <v>28.344702999999999</v>
      </c>
      <c r="F1859" s="7">
        <v>29.82</v>
      </c>
      <c r="G1859" s="7">
        <v>29.16</v>
      </c>
      <c r="H1859" s="8">
        <f t="shared" si="30"/>
        <v>1.7211704551177438E-2</v>
      </c>
    </row>
    <row r="1860" spans="2:8" x14ac:dyDescent="0.2">
      <c r="B1860" s="5">
        <v>44699</v>
      </c>
      <c r="C1860" s="6" t="s">
        <v>18</v>
      </c>
      <c r="D1860" s="7">
        <v>29.76</v>
      </c>
      <c r="E1860" s="7">
        <v>28.546139</v>
      </c>
      <c r="F1860" s="7">
        <v>29.9</v>
      </c>
      <c r="G1860" s="7">
        <v>29.42</v>
      </c>
      <c r="H1860" s="8">
        <f t="shared" ref="H1860:H1923" si="31">(D1860-D1859)/D1859</f>
        <v>7.1066330662143806E-3</v>
      </c>
    </row>
    <row r="1861" spans="2:8" x14ac:dyDescent="0.2">
      <c r="B1861" s="5">
        <v>44700</v>
      </c>
      <c r="C1861" s="6" t="s">
        <v>18</v>
      </c>
      <c r="D1861" s="7">
        <v>29.74</v>
      </c>
      <c r="E1861" s="7">
        <v>28.526954</v>
      </c>
      <c r="F1861" s="7">
        <v>29.9</v>
      </c>
      <c r="G1861" s="7">
        <v>29.629999000000002</v>
      </c>
      <c r="H1861" s="8">
        <f t="shared" si="31"/>
        <v>-6.7204301075279318E-4</v>
      </c>
    </row>
    <row r="1862" spans="2:8" x14ac:dyDescent="0.2">
      <c r="B1862" s="5">
        <v>44701</v>
      </c>
      <c r="C1862" s="6" t="s">
        <v>18</v>
      </c>
      <c r="D1862" s="7">
        <v>29.620000999999998</v>
      </c>
      <c r="E1862" s="7">
        <v>28.411850000000001</v>
      </c>
      <c r="F1862" s="7">
        <v>29.85</v>
      </c>
      <c r="G1862" s="7">
        <v>29.530000999999999</v>
      </c>
      <c r="H1862" s="8">
        <f t="shared" si="31"/>
        <v>-4.0349361129791515E-3</v>
      </c>
    </row>
    <row r="1863" spans="2:8" x14ac:dyDescent="0.2">
      <c r="B1863" s="5">
        <v>44702</v>
      </c>
      <c r="C1863" s="6" t="s">
        <v>18</v>
      </c>
      <c r="D1863" s="7">
        <v>29.43</v>
      </c>
      <c r="E1863" s="7">
        <v>28.229599</v>
      </c>
      <c r="F1863" s="7">
        <v>29.77</v>
      </c>
      <c r="G1863" s="7">
        <v>29.43</v>
      </c>
      <c r="H1863" s="8">
        <f t="shared" si="31"/>
        <v>-6.4146182844490368E-3</v>
      </c>
    </row>
    <row r="1864" spans="2:8" x14ac:dyDescent="0.2">
      <c r="B1864" s="5">
        <v>44703</v>
      </c>
      <c r="C1864" s="6" t="s">
        <v>18</v>
      </c>
      <c r="D1864" s="7">
        <v>29.26</v>
      </c>
      <c r="E1864" s="7">
        <v>28.066533</v>
      </c>
      <c r="F1864" s="7">
        <v>29.450001</v>
      </c>
      <c r="G1864" s="7">
        <v>29.26</v>
      </c>
      <c r="H1864" s="8">
        <f t="shared" si="31"/>
        <v>-5.7764186204552551E-3</v>
      </c>
    </row>
    <row r="1865" spans="2:8" x14ac:dyDescent="0.2">
      <c r="B1865" s="5">
        <v>44707</v>
      </c>
      <c r="C1865" s="6" t="s">
        <v>18</v>
      </c>
      <c r="D1865" s="7">
        <v>28.950001</v>
      </c>
      <c r="E1865" s="7">
        <v>27.769178</v>
      </c>
      <c r="F1865" s="7">
        <v>29.25</v>
      </c>
      <c r="G1865" s="7">
        <v>28.75</v>
      </c>
      <c r="H1865" s="8">
        <f t="shared" si="31"/>
        <v>-1.0594634313055408E-2</v>
      </c>
    </row>
    <row r="1866" spans="2:8" x14ac:dyDescent="0.2">
      <c r="B1866" s="5">
        <v>44708</v>
      </c>
      <c r="C1866" s="6" t="s">
        <v>18</v>
      </c>
      <c r="D1866" s="7">
        <v>29.309999000000001</v>
      </c>
      <c r="E1866" s="7">
        <v>28.114493</v>
      </c>
      <c r="F1866" s="7">
        <v>29.48</v>
      </c>
      <c r="G1866" s="7">
        <v>29.02</v>
      </c>
      <c r="H1866" s="8">
        <f t="shared" si="31"/>
        <v>1.2435163646453792E-2</v>
      </c>
    </row>
    <row r="1867" spans="2:8" x14ac:dyDescent="0.2">
      <c r="B1867" s="5">
        <v>44709</v>
      </c>
      <c r="C1867" s="6" t="s">
        <v>18</v>
      </c>
      <c r="D1867" s="7">
        <v>29.35</v>
      </c>
      <c r="E1867" s="7">
        <v>28.152861999999999</v>
      </c>
      <c r="F1867" s="7">
        <v>29.559999000000001</v>
      </c>
      <c r="G1867" s="7">
        <v>29.16</v>
      </c>
      <c r="H1867" s="8">
        <f t="shared" si="31"/>
        <v>1.3647561025164202E-3</v>
      </c>
    </row>
    <row r="1868" spans="2:8" x14ac:dyDescent="0.2">
      <c r="B1868" s="5">
        <v>44710</v>
      </c>
      <c r="C1868" s="6" t="s">
        <v>18</v>
      </c>
      <c r="D1868" s="7">
        <v>29.309999000000001</v>
      </c>
      <c r="E1868" s="7">
        <v>28.114493</v>
      </c>
      <c r="F1868" s="7">
        <v>29.59</v>
      </c>
      <c r="G1868" s="7">
        <v>29.190000999999999</v>
      </c>
      <c r="H1868" s="8">
        <f t="shared" si="31"/>
        <v>-1.3628960817717265E-3</v>
      </c>
    </row>
    <row r="1869" spans="2:8" x14ac:dyDescent="0.2">
      <c r="B1869" s="5">
        <v>44713</v>
      </c>
      <c r="C1869" s="6" t="s">
        <v>18</v>
      </c>
      <c r="D1869" s="7">
        <v>29.18</v>
      </c>
      <c r="E1869" s="7">
        <v>27.989795999999998</v>
      </c>
      <c r="F1869" s="7">
        <v>29.620000999999998</v>
      </c>
      <c r="G1869" s="7">
        <v>29.049999</v>
      </c>
      <c r="H1869" s="8">
        <f t="shared" si="31"/>
        <v>-4.435312331467549E-3</v>
      </c>
    </row>
    <row r="1870" spans="2:8" x14ac:dyDescent="0.2">
      <c r="B1870" s="5">
        <v>44714</v>
      </c>
      <c r="C1870" s="6" t="s">
        <v>18</v>
      </c>
      <c r="D1870" s="7">
        <v>29.08</v>
      </c>
      <c r="E1870" s="7">
        <v>27.893875000000001</v>
      </c>
      <c r="F1870" s="7">
        <v>29.27</v>
      </c>
      <c r="G1870" s="7">
        <v>28.950001</v>
      </c>
      <c r="H1870" s="8">
        <f t="shared" si="31"/>
        <v>-3.4270047978067655E-3</v>
      </c>
    </row>
    <row r="1871" spans="2:8" x14ac:dyDescent="0.2">
      <c r="B1871" s="5">
        <v>44715</v>
      </c>
      <c r="C1871" s="6" t="s">
        <v>18</v>
      </c>
      <c r="D1871" s="7">
        <v>29.09</v>
      </c>
      <c r="E1871" s="7">
        <v>27.903466999999999</v>
      </c>
      <c r="F1871" s="7">
        <v>29.299999</v>
      </c>
      <c r="G1871" s="7">
        <v>29.049999</v>
      </c>
      <c r="H1871" s="8">
        <f t="shared" si="31"/>
        <v>3.4387895460803177E-4</v>
      </c>
    </row>
    <row r="1872" spans="2:8" x14ac:dyDescent="0.2">
      <c r="B1872" s="5">
        <v>44716</v>
      </c>
      <c r="C1872" s="6" t="s">
        <v>18</v>
      </c>
      <c r="D1872" s="7">
        <v>28.610001</v>
      </c>
      <c r="E1872" s="7">
        <v>27.443045999999999</v>
      </c>
      <c r="F1872" s="7">
        <v>29.1</v>
      </c>
      <c r="G1872" s="7">
        <v>28.540001</v>
      </c>
      <c r="H1872" s="8">
        <f t="shared" si="31"/>
        <v>-1.6500481265039512E-2</v>
      </c>
    </row>
    <row r="1873" spans="2:8" x14ac:dyDescent="0.2">
      <c r="B1873" s="5">
        <v>44717</v>
      </c>
      <c r="C1873" s="6" t="s">
        <v>18</v>
      </c>
      <c r="D1873" s="7">
        <v>28.58</v>
      </c>
      <c r="E1873" s="7">
        <v>27.414269000000001</v>
      </c>
      <c r="F1873" s="7">
        <v>28.709999</v>
      </c>
      <c r="G1873" s="7">
        <v>28.49</v>
      </c>
      <c r="H1873" s="8">
        <f t="shared" si="31"/>
        <v>-1.0486193272066704E-3</v>
      </c>
    </row>
    <row r="1874" spans="2:8" x14ac:dyDescent="0.2">
      <c r="B1874" s="5">
        <v>44720</v>
      </c>
      <c r="C1874" s="6" t="s">
        <v>18</v>
      </c>
      <c r="D1874" s="7">
        <v>28.280000999999999</v>
      </c>
      <c r="E1874" s="7">
        <v>27.126505999999999</v>
      </c>
      <c r="F1874" s="7">
        <v>28.700001</v>
      </c>
      <c r="G1874" s="7">
        <v>28.23</v>
      </c>
      <c r="H1874" s="8">
        <f t="shared" si="31"/>
        <v>-1.0496815955213425E-2</v>
      </c>
    </row>
    <row r="1875" spans="2:8" x14ac:dyDescent="0.2">
      <c r="B1875" s="5">
        <v>44721</v>
      </c>
      <c r="C1875" s="6" t="s">
        <v>18</v>
      </c>
      <c r="D1875" s="7">
        <v>28.24</v>
      </c>
      <c r="E1875" s="7">
        <v>27.088137</v>
      </c>
      <c r="F1875" s="7">
        <v>28.42</v>
      </c>
      <c r="G1875" s="7">
        <v>28.01</v>
      </c>
      <c r="H1875" s="8">
        <f t="shared" si="31"/>
        <v>-1.4144624676639926E-3</v>
      </c>
    </row>
    <row r="1876" spans="2:8" x14ac:dyDescent="0.2">
      <c r="B1876" s="5">
        <v>44722</v>
      </c>
      <c r="C1876" s="6" t="s">
        <v>18</v>
      </c>
      <c r="D1876" s="7">
        <v>28.66</v>
      </c>
      <c r="E1876" s="7">
        <v>27.491005999999999</v>
      </c>
      <c r="F1876" s="7">
        <v>28.91</v>
      </c>
      <c r="G1876" s="7">
        <v>28.27</v>
      </c>
      <c r="H1876" s="8">
        <f t="shared" si="31"/>
        <v>1.4872521246458985E-2</v>
      </c>
    </row>
    <row r="1877" spans="2:8" x14ac:dyDescent="0.2">
      <c r="B1877" s="5">
        <v>44723</v>
      </c>
      <c r="C1877" s="6" t="s">
        <v>18</v>
      </c>
      <c r="D1877" s="7">
        <v>28.860001</v>
      </c>
      <c r="E1877" s="7">
        <v>27.682849000000001</v>
      </c>
      <c r="F1877" s="7">
        <v>29.219999000000001</v>
      </c>
      <c r="G1877" s="7">
        <v>28.75</v>
      </c>
      <c r="H1877" s="8">
        <f t="shared" si="31"/>
        <v>6.978401953942788E-3</v>
      </c>
    </row>
    <row r="1878" spans="2:8" x14ac:dyDescent="0.2">
      <c r="B1878" s="5">
        <v>44724</v>
      </c>
      <c r="C1878" s="6" t="s">
        <v>18</v>
      </c>
      <c r="D1878" s="7">
        <v>28.540001</v>
      </c>
      <c r="E1878" s="7">
        <v>27.375900999999999</v>
      </c>
      <c r="F1878" s="7">
        <v>28.67</v>
      </c>
      <c r="G1878" s="7">
        <v>28.309999000000001</v>
      </c>
      <c r="H1878" s="8">
        <f t="shared" si="31"/>
        <v>-1.1088010703811142E-2</v>
      </c>
    </row>
    <row r="1879" spans="2:8" x14ac:dyDescent="0.2">
      <c r="B1879" s="5">
        <v>44727</v>
      </c>
      <c r="C1879" s="6" t="s">
        <v>18</v>
      </c>
      <c r="D1879" s="7">
        <v>28.48</v>
      </c>
      <c r="E1879" s="7">
        <v>27.318346999999999</v>
      </c>
      <c r="F1879" s="7">
        <v>28.52</v>
      </c>
      <c r="G1879" s="7">
        <v>28.110001</v>
      </c>
      <c r="H1879" s="8">
        <f t="shared" si="31"/>
        <v>-2.1023475086773733E-3</v>
      </c>
    </row>
    <row r="1880" spans="2:8" x14ac:dyDescent="0.2">
      <c r="B1880" s="5">
        <v>44728</v>
      </c>
      <c r="C1880" s="6" t="s">
        <v>18</v>
      </c>
      <c r="D1880" s="7">
        <v>28.709999</v>
      </c>
      <c r="E1880" s="7">
        <v>27.538965999999999</v>
      </c>
      <c r="F1880" s="7">
        <v>28.790001</v>
      </c>
      <c r="G1880" s="7">
        <v>28.280000999999999</v>
      </c>
      <c r="H1880" s="8">
        <f t="shared" si="31"/>
        <v>8.0758075842696422E-3</v>
      </c>
    </row>
    <row r="1881" spans="2:8" x14ac:dyDescent="0.2">
      <c r="B1881" s="5">
        <v>44729</v>
      </c>
      <c r="C1881" s="6" t="s">
        <v>18</v>
      </c>
      <c r="D1881" s="7">
        <v>28.93</v>
      </c>
      <c r="E1881" s="7">
        <v>27.749993</v>
      </c>
      <c r="F1881" s="7">
        <v>29.040001</v>
      </c>
      <c r="G1881" s="7">
        <v>28.66</v>
      </c>
      <c r="H1881" s="8">
        <f t="shared" si="31"/>
        <v>7.6628703470174239E-3</v>
      </c>
    </row>
    <row r="1882" spans="2:8" x14ac:dyDescent="0.2">
      <c r="B1882" s="5">
        <v>44730</v>
      </c>
      <c r="C1882" s="6" t="s">
        <v>18</v>
      </c>
      <c r="D1882" s="7">
        <v>29.209999</v>
      </c>
      <c r="E1882" s="7">
        <v>28.018571000000001</v>
      </c>
      <c r="F1882" s="7">
        <v>29.35</v>
      </c>
      <c r="G1882" s="7">
        <v>28.82</v>
      </c>
      <c r="H1882" s="8">
        <f t="shared" si="31"/>
        <v>9.6784998271690331E-3</v>
      </c>
    </row>
    <row r="1883" spans="2:8" x14ac:dyDescent="0.2">
      <c r="B1883" s="5">
        <v>44731</v>
      </c>
      <c r="C1883" s="6" t="s">
        <v>18</v>
      </c>
      <c r="D1883" s="7">
        <v>29.030000999999999</v>
      </c>
      <c r="E1883" s="7">
        <v>27.845915000000002</v>
      </c>
      <c r="F1883" s="7">
        <v>29.32</v>
      </c>
      <c r="G1883" s="7">
        <v>28.940000999999999</v>
      </c>
      <c r="H1883" s="8">
        <f t="shared" si="31"/>
        <v>-6.1622049353716587E-3</v>
      </c>
    </row>
    <row r="1884" spans="2:8" x14ac:dyDescent="0.2">
      <c r="B1884" s="5">
        <v>44734</v>
      </c>
      <c r="C1884" s="6" t="s">
        <v>18</v>
      </c>
      <c r="D1884" s="7">
        <v>28.940000999999999</v>
      </c>
      <c r="E1884" s="7">
        <v>27.759585999999999</v>
      </c>
      <c r="F1884" s="7">
        <v>29.219999000000001</v>
      </c>
      <c r="G1884" s="7">
        <v>28.82</v>
      </c>
      <c r="H1884" s="8">
        <f t="shared" si="31"/>
        <v>-3.1002410230712655E-3</v>
      </c>
    </row>
    <row r="1885" spans="2:8" x14ac:dyDescent="0.2">
      <c r="B1885" s="5">
        <v>44735</v>
      </c>
      <c r="C1885" s="6" t="s">
        <v>18</v>
      </c>
      <c r="D1885" s="7">
        <v>28.790001</v>
      </c>
      <c r="E1885" s="7">
        <v>27.615704000000001</v>
      </c>
      <c r="F1885" s="7">
        <v>29.040001</v>
      </c>
      <c r="G1885" s="7">
        <v>28.620000999999998</v>
      </c>
      <c r="H1885" s="8">
        <f t="shared" si="31"/>
        <v>-5.1831373468162138E-3</v>
      </c>
    </row>
    <row r="1886" spans="2:8" x14ac:dyDescent="0.2">
      <c r="B1886" s="5">
        <v>44736</v>
      </c>
      <c r="C1886" s="6" t="s">
        <v>18</v>
      </c>
      <c r="D1886" s="7">
        <v>28.51</v>
      </c>
      <c r="E1886" s="7">
        <v>27.347124000000001</v>
      </c>
      <c r="F1886" s="7">
        <v>28.85</v>
      </c>
      <c r="G1886" s="7">
        <v>28.49</v>
      </c>
      <c r="H1886" s="8">
        <f t="shared" si="31"/>
        <v>-9.7256335628469973E-3</v>
      </c>
    </row>
    <row r="1887" spans="2:8" x14ac:dyDescent="0.2">
      <c r="B1887" s="5">
        <v>44737</v>
      </c>
      <c r="C1887" s="6" t="s">
        <v>18</v>
      </c>
      <c r="D1887" s="7">
        <v>28.4</v>
      </c>
      <c r="E1887" s="7">
        <v>27.241610000000001</v>
      </c>
      <c r="F1887" s="7">
        <v>28.65</v>
      </c>
      <c r="G1887" s="7">
        <v>28.379999000000002</v>
      </c>
      <c r="H1887" s="8">
        <f t="shared" si="31"/>
        <v>-3.8582953349702905E-3</v>
      </c>
    </row>
    <row r="1888" spans="2:8" x14ac:dyDescent="0.2">
      <c r="B1888" s="5">
        <v>44738</v>
      </c>
      <c r="C1888" s="6" t="s">
        <v>18</v>
      </c>
      <c r="D1888" s="7">
        <v>28.280000999999999</v>
      </c>
      <c r="E1888" s="7">
        <v>27.126505999999999</v>
      </c>
      <c r="F1888" s="7">
        <v>28.49</v>
      </c>
      <c r="G1888" s="7">
        <v>28.01</v>
      </c>
      <c r="H1888" s="8">
        <f t="shared" si="31"/>
        <v>-4.2253169014084494E-3</v>
      </c>
    </row>
    <row r="1889" spans="2:8" x14ac:dyDescent="0.2">
      <c r="B1889" s="5">
        <v>44741</v>
      </c>
      <c r="C1889" s="6" t="s">
        <v>18</v>
      </c>
      <c r="D1889" s="7">
        <v>27.540001</v>
      </c>
      <c r="E1889" s="7">
        <v>26.416689999999999</v>
      </c>
      <c r="F1889" s="7">
        <v>28.110001</v>
      </c>
      <c r="G1889" s="7">
        <v>27.5</v>
      </c>
      <c r="H1889" s="8">
        <f t="shared" si="31"/>
        <v>-2.6166901479246711E-2</v>
      </c>
    </row>
    <row r="1890" spans="2:8" x14ac:dyDescent="0.2">
      <c r="B1890" s="5">
        <v>44742</v>
      </c>
      <c r="C1890" s="6" t="s">
        <v>18</v>
      </c>
      <c r="D1890" s="7">
        <v>27.459999</v>
      </c>
      <c r="E1890" s="7">
        <v>26.339950999999999</v>
      </c>
      <c r="F1890" s="7">
        <v>27.83</v>
      </c>
      <c r="G1890" s="7">
        <v>27.33</v>
      </c>
      <c r="H1890" s="8">
        <f t="shared" si="31"/>
        <v>-2.9049381661242625E-3</v>
      </c>
    </row>
    <row r="1891" spans="2:8" x14ac:dyDescent="0.2">
      <c r="B1891" s="5">
        <v>44743</v>
      </c>
      <c r="C1891" s="6" t="s">
        <v>18</v>
      </c>
      <c r="D1891" s="7">
        <v>27.35</v>
      </c>
      <c r="E1891" s="7">
        <v>26.436613000000001</v>
      </c>
      <c r="F1891" s="7">
        <v>27.5</v>
      </c>
      <c r="G1891" s="7">
        <v>27.07</v>
      </c>
      <c r="H1891" s="8">
        <f t="shared" si="31"/>
        <v>-4.0057903862268313E-3</v>
      </c>
    </row>
    <row r="1892" spans="2:8" x14ac:dyDescent="0.2">
      <c r="B1892" s="5">
        <v>44744</v>
      </c>
      <c r="C1892" s="6" t="s">
        <v>18</v>
      </c>
      <c r="D1892" s="7">
        <v>27.33</v>
      </c>
      <c r="E1892" s="7">
        <v>26.417280999999999</v>
      </c>
      <c r="F1892" s="7">
        <v>27.57</v>
      </c>
      <c r="G1892" s="7">
        <v>27.290001</v>
      </c>
      <c r="H1892" s="8">
        <f t="shared" si="31"/>
        <v>-7.3126142595989494E-4</v>
      </c>
    </row>
    <row r="1893" spans="2:8" x14ac:dyDescent="0.2">
      <c r="B1893" s="5">
        <v>44748</v>
      </c>
      <c r="C1893" s="6" t="s">
        <v>18</v>
      </c>
      <c r="D1893" s="7">
        <v>27.219999000000001</v>
      </c>
      <c r="E1893" s="7">
        <v>26.310953999999999</v>
      </c>
      <c r="F1893" s="7">
        <v>27.26</v>
      </c>
      <c r="G1893" s="7">
        <v>26.889999</v>
      </c>
      <c r="H1893" s="8">
        <f t="shared" si="31"/>
        <v>-4.0249176728868246E-3</v>
      </c>
    </row>
    <row r="1894" spans="2:8" x14ac:dyDescent="0.2">
      <c r="B1894" s="5">
        <v>44749</v>
      </c>
      <c r="C1894" s="6" t="s">
        <v>18</v>
      </c>
      <c r="D1894" s="7">
        <v>27.360001</v>
      </c>
      <c r="E1894" s="7">
        <v>26.446279000000001</v>
      </c>
      <c r="F1894" s="7">
        <v>27.450001</v>
      </c>
      <c r="G1894" s="7">
        <v>26.889999</v>
      </c>
      <c r="H1894" s="8">
        <f t="shared" si="31"/>
        <v>5.1433506665448103E-3</v>
      </c>
    </row>
    <row r="1895" spans="2:8" x14ac:dyDescent="0.2">
      <c r="B1895" s="5">
        <v>44750</v>
      </c>
      <c r="C1895" s="6" t="s">
        <v>18</v>
      </c>
      <c r="D1895" s="7">
        <v>26.99</v>
      </c>
      <c r="E1895" s="7">
        <v>26.088635</v>
      </c>
      <c r="F1895" s="7">
        <v>27.16</v>
      </c>
      <c r="G1895" s="7">
        <v>26.84</v>
      </c>
      <c r="H1895" s="8">
        <f t="shared" si="31"/>
        <v>-1.3523427868295839E-2</v>
      </c>
    </row>
    <row r="1896" spans="2:8" x14ac:dyDescent="0.2">
      <c r="B1896" s="5">
        <v>44751</v>
      </c>
      <c r="C1896" s="6" t="s">
        <v>18</v>
      </c>
      <c r="D1896" s="7">
        <v>26.91</v>
      </c>
      <c r="E1896" s="7">
        <v>26.011306999999999</v>
      </c>
      <c r="F1896" s="7">
        <v>27.450001</v>
      </c>
      <c r="G1896" s="7">
        <v>26.9</v>
      </c>
      <c r="H1896" s="8">
        <f t="shared" si="31"/>
        <v>-2.9640607632455836E-3</v>
      </c>
    </row>
    <row r="1897" spans="2:8" x14ac:dyDescent="0.2">
      <c r="B1897" s="5">
        <v>44752</v>
      </c>
      <c r="C1897" s="6" t="s">
        <v>18</v>
      </c>
      <c r="D1897" s="7">
        <v>27.280000999999999</v>
      </c>
      <c r="E1897" s="7">
        <v>26.368950999999999</v>
      </c>
      <c r="F1897" s="7">
        <v>27.360001</v>
      </c>
      <c r="G1897" s="7">
        <v>27.040001</v>
      </c>
      <c r="H1897" s="8">
        <f t="shared" si="31"/>
        <v>1.3749572649572593E-2</v>
      </c>
    </row>
    <row r="1898" spans="2:8" x14ac:dyDescent="0.2">
      <c r="B1898" s="5">
        <v>44755</v>
      </c>
      <c r="C1898" s="6" t="s">
        <v>18</v>
      </c>
      <c r="D1898" s="7">
        <v>27.790001</v>
      </c>
      <c r="E1898" s="7">
        <v>26.861919</v>
      </c>
      <c r="F1898" s="7">
        <v>27.799999</v>
      </c>
      <c r="G1898" s="7">
        <v>27.42</v>
      </c>
      <c r="H1898" s="8">
        <f t="shared" si="31"/>
        <v>1.8695013977455557E-2</v>
      </c>
    </row>
    <row r="1899" spans="2:8" x14ac:dyDescent="0.2">
      <c r="B1899" s="5">
        <v>44756</v>
      </c>
      <c r="C1899" s="6" t="s">
        <v>18</v>
      </c>
      <c r="D1899" s="7">
        <v>28.030000999999999</v>
      </c>
      <c r="E1899" s="7">
        <v>27.093903999999998</v>
      </c>
      <c r="F1899" s="7">
        <v>28.040001</v>
      </c>
      <c r="G1899" s="7">
        <v>27.700001</v>
      </c>
      <c r="H1899" s="8">
        <f t="shared" si="31"/>
        <v>8.6361997612018227E-3</v>
      </c>
    </row>
    <row r="1900" spans="2:8" x14ac:dyDescent="0.2">
      <c r="B1900" s="5">
        <v>44757</v>
      </c>
      <c r="C1900" s="6" t="s">
        <v>18</v>
      </c>
      <c r="D1900" s="7">
        <v>28.110001</v>
      </c>
      <c r="E1900" s="7">
        <v>27.171232</v>
      </c>
      <c r="F1900" s="7">
        <v>28.24</v>
      </c>
      <c r="G1900" s="7">
        <v>27.809999000000001</v>
      </c>
      <c r="H1900" s="8">
        <f t="shared" si="31"/>
        <v>2.854084807203605E-3</v>
      </c>
    </row>
    <row r="1901" spans="2:8" x14ac:dyDescent="0.2">
      <c r="B1901" s="5">
        <v>44758</v>
      </c>
      <c r="C1901" s="6" t="s">
        <v>18</v>
      </c>
      <c r="D1901" s="7">
        <v>28.32</v>
      </c>
      <c r="E1901" s="7">
        <v>27.374217999999999</v>
      </c>
      <c r="F1901" s="7">
        <v>28.42</v>
      </c>
      <c r="G1901" s="7">
        <v>28.209999</v>
      </c>
      <c r="H1901" s="8">
        <f t="shared" si="31"/>
        <v>7.4706151735818085E-3</v>
      </c>
    </row>
    <row r="1902" spans="2:8" x14ac:dyDescent="0.2">
      <c r="B1902" s="5">
        <v>44759</v>
      </c>
      <c r="C1902" s="6" t="s">
        <v>18</v>
      </c>
      <c r="D1902" s="7">
        <v>28.18</v>
      </c>
      <c r="E1902" s="7">
        <v>27.238893999999998</v>
      </c>
      <c r="F1902" s="7">
        <v>28.309999000000001</v>
      </c>
      <c r="G1902" s="7">
        <v>27.969999000000001</v>
      </c>
      <c r="H1902" s="8">
        <f t="shared" si="31"/>
        <v>-4.9435028248587774E-3</v>
      </c>
    </row>
    <row r="1903" spans="2:8" x14ac:dyDescent="0.2">
      <c r="B1903" s="5">
        <v>44762</v>
      </c>
      <c r="C1903" s="6" t="s">
        <v>18</v>
      </c>
      <c r="D1903" s="7">
        <v>28.030000999999999</v>
      </c>
      <c r="E1903" s="7">
        <v>27.093903999999998</v>
      </c>
      <c r="F1903" s="7">
        <v>28.16</v>
      </c>
      <c r="G1903" s="7">
        <v>27.879999000000002</v>
      </c>
      <c r="H1903" s="8">
        <f t="shared" si="31"/>
        <v>-5.3228885734563913E-3</v>
      </c>
    </row>
    <row r="1904" spans="2:8" x14ac:dyDescent="0.2">
      <c r="B1904" s="5">
        <v>44763</v>
      </c>
      <c r="C1904" s="6" t="s">
        <v>18</v>
      </c>
      <c r="D1904" s="7">
        <v>27.84</v>
      </c>
      <c r="E1904" s="7">
        <v>26.910249</v>
      </c>
      <c r="F1904" s="7">
        <v>28.25</v>
      </c>
      <c r="G1904" s="7">
        <v>27.790001</v>
      </c>
      <c r="H1904" s="8">
        <f t="shared" si="31"/>
        <v>-6.778487093168451E-3</v>
      </c>
    </row>
    <row r="1905" spans="2:8" x14ac:dyDescent="0.2">
      <c r="B1905" s="5">
        <v>44764</v>
      </c>
      <c r="C1905" s="6" t="s">
        <v>18</v>
      </c>
      <c r="D1905" s="7">
        <v>27.530000999999999</v>
      </c>
      <c r="E1905" s="7">
        <v>26.610602</v>
      </c>
      <c r="F1905" s="7">
        <v>28.059999000000001</v>
      </c>
      <c r="G1905" s="7">
        <v>27.440000999999999</v>
      </c>
      <c r="H1905" s="8">
        <f t="shared" si="31"/>
        <v>-1.1135021551724182E-2</v>
      </c>
    </row>
    <row r="1906" spans="2:8" x14ac:dyDescent="0.2">
      <c r="B1906" s="5">
        <v>44765</v>
      </c>
      <c r="C1906" s="6" t="s">
        <v>18</v>
      </c>
      <c r="D1906" s="7">
        <v>28.01</v>
      </c>
      <c r="E1906" s="7">
        <v>27.074570999999999</v>
      </c>
      <c r="F1906" s="7">
        <v>28.25</v>
      </c>
      <c r="G1906" s="7">
        <v>27.58</v>
      </c>
      <c r="H1906" s="8">
        <f t="shared" si="31"/>
        <v>1.7435487924610065E-2</v>
      </c>
    </row>
    <row r="1907" spans="2:8" x14ac:dyDescent="0.2">
      <c r="B1907" s="5">
        <v>44766</v>
      </c>
      <c r="C1907" s="6" t="s">
        <v>18</v>
      </c>
      <c r="D1907" s="7">
        <v>28.4</v>
      </c>
      <c r="E1907" s="7">
        <v>27.451546</v>
      </c>
      <c r="F1907" s="7">
        <v>28.77</v>
      </c>
      <c r="G1907" s="7">
        <v>28.379999000000002</v>
      </c>
      <c r="H1907" s="8">
        <f t="shared" si="31"/>
        <v>1.3923598714744627E-2</v>
      </c>
    </row>
    <row r="1908" spans="2:8" x14ac:dyDescent="0.2">
      <c r="B1908" s="5">
        <v>44769</v>
      </c>
      <c r="C1908" s="6" t="s">
        <v>18</v>
      </c>
      <c r="D1908" s="7">
        <v>28.209999</v>
      </c>
      <c r="E1908" s="7">
        <v>27.267890999999999</v>
      </c>
      <c r="F1908" s="7">
        <v>28.559999000000001</v>
      </c>
      <c r="G1908" s="7">
        <v>28.190000999999999</v>
      </c>
      <c r="H1908" s="8">
        <f t="shared" si="31"/>
        <v>-6.6901760563379846E-3</v>
      </c>
    </row>
    <row r="1909" spans="2:8" x14ac:dyDescent="0.2">
      <c r="B1909" s="5">
        <v>44770</v>
      </c>
      <c r="C1909" s="6" t="s">
        <v>18</v>
      </c>
      <c r="D1909" s="7">
        <v>28.209999</v>
      </c>
      <c r="E1909" s="7">
        <v>27.267890999999999</v>
      </c>
      <c r="F1909" s="7">
        <v>28.35</v>
      </c>
      <c r="G1909" s="7">
        <v>27.85</v>
      </c>
      <c r="H1909" s="8">
        <f t="shared" si="31"/>
        <v>0</v>
      </c>
    </row>
    <row r="1910" spans="2:8" x14ac:dyDescent="0.2">
      <c r="B1910" s="5">
        <v>44771</v>
      </c>
      <c r="C1910" s="6" t="s">
        <v>18</v>
      </c>
      <c r="D1910" s="7">
        <v>28.4</v>
      </c>
      <c r="E1910" s="7">
        <v>27.451546</v>
      </c>
      <c r="F1910" s="7">
        <v>28.52</v>
      </c>
      <c r="G1910" s="7">
        <v>28.02</v>
      </c>
      <c r="H1910" s="8">
        <f t="shared" si="31"/>
        <v>6.7352359707633725E-3</v>
      </c>
    </row>
    <row r="1911" spans="2:8" x14ac:dyDescent="0.2">
      <c r="B1911" s="5">
        <v>44772</v>
      </c>
      <c r="C1911" s="6" t="s">
        <v>18</v>
      </c>
      <c r="D1911" s="7">
        <v>28.299999</v>
      </c>
      <c r="E1911" s="7">
        <v>27.354886</v>
      </c>
      <c r="F1911" s="7">
        <v>28.459999</v>
      </c>
      <c r="G1911" s="7">
        <v>28.200001</v>
      </c>
      <c r="H1911" s="8">
        <f t="shared" si="31"/>
        <v>-3.5211619718309474E-3</v>
      </c>
    </row>
    <row r="1912" spans="2:8" x14ac:dyDescent="0.2">
      <c r="B1912" s="5">
        <v>44773</v>
      </c>
      <c r="C1912" s="6" t="s">
        <v>18</v>
      </c>
      <c r="D1912" s="7">
        <v>28.42</v>
      </c>
      <c r="E1912" s="7">
        <v>27.470879</v>
      </c>
      <c r="F1912" s="7">
        <v>28.559999000000001</v>
      </c>
      <c r="G1912" s="7">
        <v>28.16</v>
      </c>
      <c r="H1912" s="8">
        <f t="shared" si="31"/>
        <v>4.2403181710360489E-3</v>
      </c>
    </row>
    <row r="1913" spans="2:8" x14ac:dyDescent="0.2">
      <c r="B1913" s="5">
        <v>44776</v>
      </c>
      <c r="C1913" s="6" t="s">
        <v>18</v>
      </c>
      <c r="D1913" s="7">
        <v>28.360001</v>
      </c>
      <c r="E1913" s="7">
        <v>27.412883000000001</v>
      </c>
      <c r="F1913" s="7">
        <v>28.59</v>
      </c>
      <c r="G1913" s="7">
        <v>28.110001</v>
      </c>
      <c r="H1913" s="8">
        <f t="shared" si="31"/>
        <v>-2.111154116819185E-3</v>
      </c>
    </row>
    <row r="1914" spans="2:8" x14ac:dyDescent="0.2">
      <c r="B1914" s="5">
        <v>44777</v>
      </c>
      <c r="C1914" s="6" t="s">
        <v>18</v>
      </c>
      <c r="D1914" s="7">
        <v>28.030000999999999</v>
      </c>
      <c r="E1914" s="7">
        <v>27.093903999999998</v>
      </c>
      <c r="F1914" s="7">
        <v>28.459999</v>
      </c>
      <c r="G1914" s="7">
        <v>27.889999</v>
      </c>
      <c r="H1914" s="8">
        <f t="shared" si="31"/>
        <v>-1.1636106782930009E-2</v>
      </c>
    </row>
    <row r="1915" spans="2:8" x14ac:dyDescent="0.2">
      <c r="B1915" s="5">
        <v>44778</v>
      </c>
      <c r="C1915" s="6" t="s">
        <v>18</v>
      </c>
      <c r="D1915" s="7">
        <v>28.27</v>
      </c>
      <c r="E1915" s="7">
        <v>27.325889</v>
      </c>
      <c r="F1915" s="7">
        <v>28.6</v>
      </c>
      <c r="G1915" s="7">
        <v>28.1</v>
      </c>
      <c r="H1915" s="8">
        <f t="shared" si="31"/>
        <v>8.5622187455505604E-3</v>
      </c>
    </row>
    <row r="1916" spans="2:8" x14ac:dyDescent="0.2">
      <c r="B1916" s="5">
        <v>44779</v>
      </c>
      <c r="C1916" s="6" t="s">
        <v>18</v>
      </c>
      <c r="D1916" s="7">
        <v>28.209999</v>
      </c>
      <c r="E1916" s="7">
        <v>27.267890999999999</v>
      </c>
      <c r="F1916" s="7">
        <v>28.67</v>
      </c>
      <c r="G1916" s="7">
        <v>28</v>
      </c>
      <c r="H1916" s="8">
        <f t="shared" si="31"/>
        <v>-2.1224266006367085E-3</v>
      </c>
    </row>
    <row r="1917" spans="2:8" x14ac:dyDescent="0.2">
      <c r="B1917" s="5">
        <v>44780</v>
      </c>
      <c r="C1917" s="6" t="s">
        <v>18</v>
      </c>
      <c r="D1917" s="7">
        <v>28.15</v>
      </c>
      <c r="E1917" s="7">
        <v>27.209894999999999</v>
      </c>
      <c r="F1917" s="7">
        <v>28.23</v>
      </c>
      <c r="G1917" s="7">
        <v>27.9</v>
      </c>
      <c r="H1917" s="8">
        <f t="shared" si="31"/>
        <v>-2.1268699796834888E-3</v>
      </c>
    </row>
    <row r="1918" spans="2:8" x14ac:dyDescent="0.2">
      <c r="B1918" s="5">
        <v>44783</v>
      </c>
      <c r="C1918" s="6" t="s">
        <v>18</v>
      </c>
      <c r="D1918" s="7">
        <v>28.59</v>
      </c>
      <c r="E1918" s="7">
        <v>27.635202</v>
      </c>
      <c r="F1918" s="7">
        <v>28.700001</v>
      </c>
      <c r="G1918" s="7">
        <v>28.27</v>
      </c>
      <c r="H1918" s="8">
        <f t="shared" si="31"/>
        <v>1.5630550621669674E-2</v>
      </c>
    </row>
    <row r="1919" spans="2:8" x14ac:dyDescent="0.2">
      <c r="B1919" s="5">
        <v>44784</v>
      </c>
      <c r="C1919" s="6" t="s">
        <v>18</v>
      </c>
      <c r="D1919" s="7">
        <v>28.02</v>
      </c>
      <c r="E1919" s="7">
        <v>27.084237999999999</v>
      </c>
      <c r="F1919" s="7">
        <v>28.389999</v>
      </c>
      <c r="G1919" s="7">
        <v>27.85</v>
      </c>
      <c r="H1919" s="8">
        <f t="shared" si="31"/>
        <v>-1.9937040923399801E-2</v>
      </c>
    </row>
    <row r="1920" spans="2:8" x14ac:dyDescent="0.2">
      <c r="B1920" s="5">
        <v>44785</v>
      </c>
      <c r="C1920" s="6" t="s">
        <v>18</v>
      </c>
      <c r="D1920" s="7">
        <v>27.9</v>
      </c>
      <c r="E1920" s="7">
        <v>26.968243999999999</v>
      </c>
      <c r="F1920" s="7">
        <v>28.1</v>
      </c>
      <c r="G1920" s="7">
        <v>27.41</v>
      </c>
      <c r="H1920" s="8">
        <f t="shared" si="31"/>
        <v>-4.2826552462527125E-3</v>
      </c>
    </row>
    <row r="1921" spans="2:8" x14ac:dyDescent="0.2">
      <c r="B1921" s="5">
        <v>44786</v>
      </c>
      <c r="C1921" s="6" t="s">
        <v>18</v>
      </c>
      <c r="D1921" s="7">
        <v>28.700001</v>
      </c>
      <c r="E1921" s="7">
        <v>27.741529</v>
      </c>
      <c r="F1921" s="7">
        <v>29.209999</v>
      </c>
      <c r="G1921" s="7">
        <v>28.690000999999999</v>
      </c>
      <c r="H1921" s="8">
        <f t="shared" si="31"/>
        <v>2.8673870967741998E-2</v>
      </c>
    </row>
    <row r="1922" spans="2:8" x14ac:dyDescent="0.2">
      <c r="B1922" s="5">
        <v>44787</v>
      </c>
      <c r="C1922" s="6" t="s">
        <v>18</v>
      </c>
      <c r="D1922" s="7">
        <v>29.030000999999999</v>
      </c>
      <c r="E1922" s="7">
        <v>28.060507999999999</v>
      </c>
      <c r="F1922" s="7">
        <v>29.049999</v>
      </c>
      <c r="G1922" s="7">
        <v>28.75</v>
      </c>
      <c r="H1922" s="8">
        <f t="shared" si="31"/>
        <v>1.1498257439085047E-2</v>
      </c>
    </row>
    <row r="1923" spans="2:8" x14ac:dyDescent="0.2">
      <c r="B1923" s="5">
        <v>44790</v>
      </c>
      <c r="C1923" s="6" t="s">
        <v>18</v>
      </c>
      <c r="D1923" s="7">
        <v>28.83</v>
      </c>
      <c r="E1923" s="7">
        <v>27.867186</v>
      </c>
      <c r="F1923" s="7">
        <v>28.969999000000001</v>
      </c>
      <c r="G1923" s="7">
        <v>28.51</v>
      </c>
      <c r="H1923" s="8">
        <f t="shared" si="31"/>
        <v>-6.8894589428364237E-3</v>
      </c>
    </row>
    <row r="1924" spans="2:8" x14ac:dyDescent="0.2">
      <c r="B1924" s="5">
        <v>44791</v>
      </c>
      <c r="C1924" s="6" t="s">
        <v>18</v>
      </c>
      <c r="D1924" s="7">
        <v>28.25</v>
      </c>
      <c r="E1924" s="7">
        <v>27.306556</v>
      </c>
      <c r="F1924" s="7">
        <v>28.719999000000001</v>
      </c>
      <c r="G1924" s="7">
        <v>28.18</v>
      </c>
      <c r="H1924" s="8">
        <f t="shared" ref="H1924:H1987" si="32">(D1924-D1923)/D1923</f>
        <v>-2.0117932708983641E-2</v>
      </c>
    </row>
    <row r="1925" spans="2:8" x14ac:dyDescent="0.2">
      <c r="B1925" s="5">
        <v>44792</v>
      </c>
      <c r="C1925" s="6" t="s">
        <v>18</v>
      </c>
      <c r="D1925" s="7">
        <v>27.799999</v>
      </c>
      <c r="E1925" s="7">
        <v>26.871583999999999</v>
      </c>
      <c r="F1925" s="7">
        <v>28.24</v>
      </c>
      <c r="G1925" s="7">
        <v>27.719999000000001</v>
      </c>
      <c r="H1925" s="8">
        <f t="shared" si="32"/>
        <v>-1.5929238938053109E-2</v>
      </c>
    </row>
    <row r="1926" spans="2:8" x14ac:dyDescent="0.2">
      <c r="B1926" s="5">
        <v>44793</v>
      </c>
      <c r="C1926" s="6" t="s">
        <v>18</v>
      </c>
      <c r="D1926" s="7">
        <v>27.040001</v>
      </c>
      <c r="E1926" s="7">
        <v>26.136966000000001</v>
      </c>
      <c r="F1926" s="7">
        <v>27.75</v>
      </c>
      <c r="G1926" s="7">
        <v>27.040001</v>
      </c>
      <c r="H1926" s="8">
        <f t="shared" si="32"/>
        <v>-2.7338058537340219E-2</v>
      </c>
    </row>
    <row r="1927" spans="2:8" x14ac:dyDescent="0.2">
      <c r="B1927" s="5">
        <v>44794</v>
      </c>
      <c r="C1927" s="6" t="s">
        <v>18</v>
      </c>
      <c r="D1927" s="7">
        <v>26.469999000000001</v>
      </c>
      <c r="E1927" s="7">
        <v>25.586001</v>
      </c>
      <c r="F1927" s="7">
        <v>27.34</v>
      </c>
      <c r="G1927" s="7">
        <v>26.469999000000001</v>
      </c>
      <c r="H1927" s="8">
        <f t="shared" si="32"/>
        <v>-2.10799548417176E-2</v>
      </c>
    </row>
    <row r="1928" spans="2:8" x14ac:dyDescent="0.2">
      <c r="B1928" s="5">
        <v>44797</v>
      </c>
      <c r="C1928" s="6" t="s">
        <v>18</v>
      </c>
      <c r="D1928" s="7">
        <v>25.190000999999999</v>
      </c>
      <c r="E1928" s="7">
        <v>24.348749000000002</v>
      </c>
      <c r="F1928" s="7">
        <v>26.08</v>
      </c>
      <c r="G1928" s="7">
        <v>23.030000999999999</v>
      </c>
      <c r="H1928" s="8">
        <f t="shared" si="32"/>
        <v>-4.8356556416945938E-2</v>
      </c>
    </row>
    <row r="1929" spans="2:8" x14ac:dyDescent="0.2">
      <c r="B1929" s="5">
        <v>44798</v>
      </c>
      <c r="C1929" s="6" t="s">
        <v>18</v>
      </c>
      <c r="D1929" s="7">
        <v>24.620000999999998</v>
      </c>
      <c r="E1929" s="7">
        <v>23.797785000000001</v>
      </c>
      <c r="F1929" s="7">
        <v>25.99</v>
      </c>
      <c r="G1929" s="7">
        <v>24.6</v>
      </c>
      <c r="H1929" s="8">
        <f t="shared" si="32"/>
        <v>-2.2628026096545226E-2</v>
      </c>
    </row>
    <row r="1930" spans="2:8" x14ac:dyDescent="0.2">
      <c r="B1930" s="5">
        <v>44799</v>
      </c>
      <c r="C1930" s="6" t="s">
        <v>18</v>
      </c>
      <c r="D1930" s="7">
        <v>25.68</v>
      </c>
      <c r="E1930" s="7">
        <v>24.822385000000001</v>
      </c>
      <c r="F1930" s="7">
        <v>25.74</v>
      </c>
      <c r="G1930" s="7">
        <v>24.709999</v>
      </c>
      <c r="H1930" s="8">
        <f t="shared" si="32"/>
        <v>4.3054384928741529E-2</v>
      </c>
    </row>
    <row r="1931" spans="2:8" x14ac:dyDescent="0.2">
      <c r="B1931" s="5">
        <v>44800</v>
      </c>
      <c r="C1931" s="6" t="s">
        <v>18</v>
      </c>
      <c r="D1931" s="7">
        <v>26.17</v>
      </c>
      <c r="E1931" s="7">
        <v>25.296019999999999</v>
      </c>
      <c r="F1931" s="7">
        <v>26.190000999999999</v>
      </c>
      <c r="G1931" s="7">
        <v>25.610001</v>
      </c>
      <c r="H1931" s="8">
        <f t="shared" si="32"/>
        <v>1.9080996884735281E-2</v>
      </c>
    </row>
    <row r="1932" spans="2:8" x14ac:dyDescent="0.2">
      <c r="B1932" s="5">
        <v>44801</v>
      </c>
      <c r="C1932" s="6" t="s">
        <v>18</v>
      </c>
      <c r="D1932" s="7">
        <v>26</v>
      </c>
      <c r="E1932" s="7">
        <v>25.131698</v>
      </c>
      <c r="F1932" s="7">
        <v>26.049999</v>
      </c>
      <c r="G1932" s="7">
        <v>25.82</v>
      </c>
      <c r="H1932" s="8">
        <f t="shared" si="32"/>
        <v>-6.4959877722583761E-3</v>
      </c>
    </row>
    <row r="1933" spans="2:8" x14ac:dyDescent="0.2">
      <c r="B1933" s="5">
        <v>44804</v>
      </c>
      <c r="C1933" s="6" t="s">
        <v>18</v>
      </c>
      <c r="D1933" s="7">
        <v>25.879999000000002</v>
      </c>
      <c r="E1933" s="7">
        <v>25.015703999999999</v>
      </c>
      <c r="F1933" s="7">
        <v>26.110001</v>
      </c>
      <c r="G1933" s="7">
        <v>25.74</v>
      </c>
      <c r="H1933" s="8">
        <f t="shared" si="32"/>
        <v>-4.6154230769230179E-3</v>
      </c>
    </row>
    <row r="1934" spans="2:8" x14ac:dyDescent="0.2">
      <c r="B1934" s="5">
        <v>44805</v>
      </c>
      <c r="C1934" s="6" t="s">
        <v>18</v>
      </c>
      <c r="D1934" s="7">
        <v>25.120000999999998</v>
      </c>
      <c r="E1934" s="7">
        <v>24.281086999999999</v>
      </c>
      <c r="F1934" s="7">
        <v>25.620000999999998</v>
      </c>
      <c r="G1934" s="7">
        <v>25.01</v>
      </c>
      <c r="H1934" s="8">
        <f t="shared" si="32"/>
        <v>-2.9366229882775614E-2</v>
      </c>
    </row>
    <row r="1935" spans="2:8" x14ac:dyDescent="0.2">
      <c r="B1935" s="5">
        <v>44806</v>
      </c>
      <c r="C1935" s="6" t="s">
        <v>18</v>
      </c>
      <c r="D1935" s="7">
        <v>25.65</v>
      </c>
      <c r="E1935" s="7">
        <v>24.793386000000002</v>
      </c>
      <c r="F1935" s="7">
        <v>25.66</v>
      </c>
      <c r="G1935" s="7">
        <v>25.08</v>
      </c>
      <c r="H1935" s="8">
        <f t="shared" si="32"/>
        <v>2.1098685465816665E-2</v>
      </c>
    </row>
    <row r="1936" spans="2:8" x14ac:dyDescent="0.2">
      <c r="B1936" s="5">
        <v>44807</v>
      </c>
      <c r="C1936" s="6" t="s">
        <v>18</v>
      </c>
      <c r="D1936" s="7">
        <v>25.9</v>
      </c>
      <c r="E1936" s="7">
        <v>25.035036999999999</v>
      </c>
      <c r="F1936" s="7">
        <v>26.15</v>
      </c>
      <c r="G1936" s="7">
        <v>25.73</v>
      </c>
      <c r="H1936" s="8">
        <f t="shared" si="32"/>
        <v>9.7465886939571162E-3</v>
      </c>
    </row>
    <row r="1937" spans="2:8" x14ac:dyDescent="0.2">
      <c r="B1937" s="5">
        <v>44808</v>
      </c>
      <c r="C1937" s="6" t="s">
        <v>18</v>
      </c>
      <c r="D1937" s="7">
        <v>25.52</v>
      </c>
      <c r="E1937" s="7">
        <v>24.667728</v>
      </c>
      <c r="F1937" s="7">
        <v>25.65</v>
      </c>
      <c r="G1937" s="7">
        <v>25.35</v>
      </c>
      <c r="H1937" s="8">
        <f t="shared" si="32"/>
        <v>-1.4671814671814633E-2</v>
      </c>
    </row>
    <row r="1938" spans="2:8" x14ac:dyDescent="0.2">
      <c r="B1938" s="5">
        <v>44812</v>
      </c>
      <c r="C1938" s="6" t="s">
        <v>18</v>
      </c>
      <c r="D1938" s="7">
        <v>26.299999</v>
      </c>
      <c r="E1938" s="7">
        <v>25.421678</v>
      </c>
      <c r="F1938" s="7">
        <v>26.33</v>
      </c>
      <c r="G1938" s="7">
        <v>25.91</v>
      </c>
      <c r="H1938" s="8">
        <f t="shared" si="32"/>
        <v>3.0564224137931039E-2</v>
      </c>
    </row>
    <row r="1939" spans="2:8" x14ac:dyDescent="0.2">
      <c r="B1939" s="5">
        <v>44813</v>
      </c>
      <c r="C1939" s="6" t="s">
        <v>18</v>
      </c>
      <c r="D1939" s="7">
        <v>25.940000999999999</v>
      </c>
      <c r="E1939" s="7">
        <v>25.073702000000001</v>
      </c>
      <c r="F1939" s="7">
        <v>26.73</v>
      </c>
      <c r="G1939" s="7">
        <v>25.879999000000002</v>
      </c>
      <c r="H1939" s="8">
        <f t="shared" si="32"/>
        <v>-1.3688137402590811E-2</v>
      </c>
    </row>
    <row r="1940" spans="2:8" x14ac:dyDescent="0.2">
      <c r="B1940" s="5">
        <v>44814</v>
      </c>
      <c r="C1940" s="6" t="s">
        <v>18</v>
      </c>
      <c r="D1940" s="7">
        <v>26.26</v>
      </c>
      <c r="E1940" s="7">
        <v>25.383015</v>
      </c>
      <c r="F1940" s="7">
        <v>26.49</v>
      </c>
      <c r="G1940" s="7">
        <v>25.85</v>
      </c>
      <c r="H1940" s="8">
        <f t="shared" si="32"/>
        <v>1.2336121344020103E-2</v>
      </c>
    </row>
    <row r="1941" spans="2:8" x14ac:dyDescent="0.2">
      <c r="B1941" s="5">
        <v>44815</v>
      </c>
      <c r="C1941" s="6" t="s">
        <v>18</v>
      </c>
      <c r="D1941" s="7">
        <v>26.02</v>
      </c>
      <c r="E1941" s="7">
        <v>25.151029999999999</v>
      </c>
      <c r="F1941" s="7">
        <v>26.18</v>
      </c>
      <c r="G1941" s="7">
        <v>25.809999000000001</v>
      </c>
      <c r="H1941" s="8">
        <f t="shared" si="32"/>
        <v>-9.1393754760092146E-3</v>
      </c>
    </row>
    <row r="1942" spans="2:8" x14ac:dyDescent="0.2">
      <c r="B1942" s="5">
        <v>44818</v>
      </c>
      <c r="C1942" s="6" t="s">
        <v>18</v>
      </c>
      <c r="D1942" s="7">
        <v>25.700001</v>
      </c>
      <c r="E1942" s="7">
        <v>24.841716999999999</v>
      </c>
      <c r="F1942" s="7">
        <v>26.17</v>
      </c>
      <c r="G1942" s="7">
        <v>25.66</v>
      </c>
      <c r="H1942" s="8">
        <f t="shared" si="32"/>
        <v>-1.2298193697156005E-2</v>
      </c>
    </row>
    <row r="1943" spans="2:8" x14ac:dyDescent="0.2">
      <c r="B1943" s="5">
        <v>44819</v>
      </c>
      <c r="C1943" s="6" t="s">
        <v>18</v>
      </c>
      <c r="D1943" s="7">
        <v>25.98</v>
      </c>
      <c r="E1943" s="7">
        <v>25.112365</v>
      </c>
      <c r="F1943" s="7">
        <v>26.08</v>
      </c>
      <c r="G1943" s="7">
        <v>25.559999000000001</v>
      </c>
      <c r="H1943" s="8">
        <f t="shared" si="32"/>
        <v>1.0894902299809254E-2</v>
      </c>
    </row>
    <row r="1944" spans="2:8" x14ac:dyDescent="0.2">
      <c r="B1944" s="5">
        <v>44820</v>
      </c>
      <c r="C1944" s="6" t="s">
        <v>18</v>
      </c>
      <c r="D1944" s="7">
        <v>26.07</v>
      </c>
      <c r="E1944" s="7">
        <v>25.199359999999999</v>
      </c>
      <c r="F1944" s="7">
        <v>26.1</v>
      </c>
      <c r="G1944" s="7">
        <v>25.85</v>
      </c>
      <c r="H1944" s="8">
        <f t="shared" si="32"/>
        <v>3.4642032332563456E-3</v>
      </c>
    </row>
    <row r="1945" spans="2:8" x14ac:dyDescent="0.2">
      <c r="B1945" s="5">
        <v>44821</v>
      </c>
      <c r="C1945" s="6" t="s">
        <v>18</v>
      </c>
      <c r="D1945" s="7">
        <v>25.879999000000002</v>
      </c>
      <c r="E1945" s="7">
        <v>25.015703999999999</v>
      </c>
      <c r="F1945" s="7">
        <v>26.280000999999999</v>
      </c>
      <c r="G1945" s="7">
        <v>25.809999000000001</v>
      </c>
      <c r="H1945" s="8">
        <f t="shared" si="32"/>
        <v>-7.2881089374759785E-3</v>
      </c>
    </row>
    <row r="1946" spans="2:8" x14ac:dyDescent="0.2">
      <c r="B1946" s="5">
        <v>44822</v>
      </c>
      <c r="C1946" s="6" t="s">
        <v>18</v>
      </c>
      <c r="D1946" s="7">
        <v>25.540001</v>
      </c>
      <c r="E1946" s="7">
        <v>24.687061</v>
      </c>
      <c r="F1946" s="7">
        <v>25.74</v>
      </c>
      <c r="G1946" s="7">
        <v>25.25</v>
      </c>
      <c r="H1946" s="8">
        <f t="shared" si="32"/>
        <v>-1.3137481187692524E-2</v>
      </c>
    </row>
    <row r="1947" spans="2:8" x14ac:dyDescent="0.2">
      <c r="B1947" s="5">
        <v>44825</v>
      </c>
      <c r="C1947" s="6" t="s">
        <v>18</v>
      </c>
      <c r="D1947" s="7">
        <v>25.540001</v>
      </c>
      <c r="E1947" s="7">
        <v>24.687061</v>
      </c>
      <c r="F1947" s="7">
        <v>25.82</v>
      </c>
      <c r="G1947" s="7">
        <v>25.35</v>
      </c>
      <c r="H1947" s="8">
        <f t="shared" si="32"/>
        <v>0</v>
      </c>
    </row>
    <row r="1948" spans="2:8" x14ac:dyDescent="0.2">
      <c r="B1948" s="5">
        <v>44826</v>
      </c>
      <c r="C1948" s="6" t="s">
        <v>18</v>
      </c>
      <c r="D1948" s="7">
        <v>25.139999</v>
      </c>
      <c r="E1948" s="7">
        <v>24.300418000000001</v>
      </c>
      <c r="F1948" s="7">
        <v>25.209999</v>
      </c>
      <c r="G1948" s="7">
        <v>24.969999000000001</v>
      </c>
      <c r="H1948" s="8">
        <f t="shared" si="32"/>
        <v>-1.5661784821386679E-2</v>
      </c>
    </row>
    <row r="1949" spans="2:8" x14ac:dyDescent="0.2">
      <c r="B1949" s="5">
        <v>44827</v>
      </c>
      <c r="C1949" s="6" t="s">
        <v>18</v>
      </c>
      <c r="D1949" s="7">
        <v>25.280000999999999</v>
      </c>
      <c r="E1949" s="7">
        <v>24.435744</v>
      </c>
      <c r="F1949" s="7">
        <v>25.309999000000001</v>
      </c>
      <c r="G1949" s="7">
        <v>25.01</v>
      </c>
      <c r="H1949" s="8">
        <f t="shared" si="32"/>
        <v>5.5688944140371314E-3</v>
      </c>
    </row>
    <row r="1950" spans="2:8" x14ac:dyDescent="0.2">
      <c r="B1950" s="5">
        <v>44828</v>
      </c>
      <c r="C1950" s="6" t="s">
        <v>18</v>
      </c>
      <c r="D1950" s="7">
        <v>25.41</v>
      </c>
      <c r="E1950" s="7">
        <v>24.561401</v>
      </c>
      <c r="F1950" s="7">
        <v>25.5</v>
      </c>
      <c r="G1950" s="7">
        <v>24.92</v>
      </c>
      <c r="H1950" s="8">
        <f t="shared" si="32"/>
        <v>5.1423653029128253E-3</v>
      </c>
    </row>
    <row r="1951" spans="2:8" x14ac:dyDescent="0.2">
      <c r="B1951" s="5">
        <v>44829</v>
      </c>
      <c r="C1951" s="6" t="s">
        <v>18</v>
      </c>
      <c r="D1951" s="7">
        <v>26.030000999999999</v>
      </c>
      <c r="E1951" s="7">
        <v>25.160696000000002</v>
      </c>
      <c r="F1951" s="7">
        <v>26.299999</v>
      </c>
      <c r="G1951" s="7">
        <v>25.799999</v>
      </c>
      <c r="H1951" s="8">
        <f t="shared" si="32"/>
        <v>2.4399881936245513E-2</v>
      </c>
    </row>
    <row r="1952" spans="2:8" x14ac:dyDescent="0.2">
      <c r="B1952" s="5">
        <v>44832</v>
      </c>
      <c r="C1952" s="6" t="s">
        <v>18</v>
      </c>
      <c r="D1952" s="7">
        <v>25.66</v>
      </c>
      <c r="E1952" s="7">
        <v>24.803052000000001</v>
      </c>
      <c r="F1952" s="7">
        <v>26.02</v>
      </c>
      <c r="G1952" s="7">
        <v>25.59</v>
      </c>
      <c r="H1952" s="8">
        <f t="shared" si="32"/>
        <v>-1.4214405908013546E-2</v>
      </c>
    </row>
    <row r="1953" spans="2:8" x14ac:dyDescent="0.2">
      <c r="B1953" s="5">
        <v>44833</v>
      </c>
      <c r="C1953" s="6" t="s">
        <v>18</v>
      </c>
      <c r="D1953" s="7">
        <v>25.639999</v>
      </c>
      <c r="E1953" s="7">
        <v>24.783719999999999</v>
      </c>
      <c r="F1953" s="7">
        <v>25.93</v>
      </c>
      <c r="G1953" s="7">
        <v>25.559999000000001</v>
      </c>
      <c r="H1953" s="8">
        <f t="shared" si="32"/>
        <v>-7.7946219797352307E-4</v>
      </c>
    </row>
    <row r="1954" spans="2:8" x14ac:dyDescent="0.2">
      <c r="B1954" s="5">
        <v>44834</v>
      </c>
      <c r="C1954" s="6" t="s">
        <v>18</v>
      </c>
      <c r="D1954" s="7">
        <v>26.25</v>
      </c>
      <c r="E1954" s="7">
        <v>25.373349000000001</v>
      </c>
      <c r="F1954" s="7">
        <v>26.379999000000002</v>
      </c>
      <c r="G1954" s="7">
        <v>25.879999000000002</v>
      </c>
      <c r="H1954" s="8">
        <f t="shared" si="32"/>
        <v>2.3790991567511389E-2</v>
      </c>
    </row>
    <row r="1955" spans="2:8" x14ac:dyDescent="0.2">
      <c r="B1955" s="5">
        <v>44835</v>
      </c>
      <c r="C1955" s="6" t="s">
        <v>18</v>
      </c>
      <c r="D1955" s="7">
        <v>25.73</v>
      </c>
      <c r="E1955" s="7">
        <v>25.071283999999999</v>
      </c>
      <c r="F1955" s="7">
        <v>26.16</v>
      </c>
      <c r="G1955" s="7">
        <v>25.549999</v>
      </c>
      <c r="H1955" s="8">
        <f t="shared" si="32"/>
        <v>-1.9809523809523794E-2</v>
      </c>
    </row>
    <row r="1956" spans="2:8" x14ac:dyDescent="0.2">
      <c r="B1956" s="5">
        <v>44836</v>
      </c>
      <c r="C1956" s="6" t="s">
        <v>18</v>
      </c>
      <c r="D1956" s="7">
        <v>25.76</v>
      </c>
      <c r="E1956" s="7">
        <v>25.100515999999999</v>
      </c>
      <c r="F1956" s="7">
        <v>25.790001</v>
      </c>
      <c r="G1956" s="7">
        <v>25.34</v>
      </c>
      <c r="H1956" s="8">
        <f t="shared" si="32"/>
        <v>1.1659541391372381E-3</v>
      </c>
    </row>
    <row r="1957" spans="2:8" x14ac:dyDescent="0.2">
      <c r="B1957" s="5">
        <v>44839</v>
      </c>
      <c r="C1957" s="6" t="s">
        <v>18</v>
      </c>
      <c r="D1957" s="7">
        <v>26.85</v>
      </c>
      <c r="E1957" s="7">
        <v>26.162610999999998</v>
      </c>
      <c r="F1957" s="7">
        <v>26.98</v>
      </c>
      <c r="G1957" s="7">
        <v>25.969999000000001</v>
      </c>
      <c r="H1957" s="8">
        <f t="shared" si="32"/>
        <v>4.2313664596273282E-2</v>
      </c>
    </row>
    <row r="1958" spans="2:8" x14ac:dyDescent="0.2">
      <c r="B1958" s="5">
        <v>44840</v>
      </c>
      <c r="C1958" s="6" t="s">
        <v>18</v>
      </c>
      <c r="D1958" s="7">
        <v>27.23</v>
      </c>
      <c r="E1958" s="7">
        <v>26.532882000000001</v>
      </c>
      <c r="F1958" s="7">
        <v>27.469999000000001</v>
      </c>
      <c r="G1958" s="7">
        <v>26.98</v>
      </c>
      <c r="H1958" s="8">
        <f t="shared" si="32"/>
        <v>1.4152700186219702E-2</v>
      </c>
    </row>
    <row r="1959" spans="2:8" x14ac:dyDescent="0.2">
      <c r="B1959" s="5">
        <v>44841</v>
      </c>
      <c r="C1959" s="6" t="s">
        <v>18</v>
      </c>
      <c r="D1959" s="7">
        <v>27.540001</v>
      </c>
      <c r="E1959" s="7">
        <v>26.834947</v>
      </c>
      <c r="F1959" s="7">
        <v>27.950001</v>
      </c>
      <c r="G1959" s="7">
        <v>27</v>
      </c>
      <c r="H1959" s="8">
        <f t="shared" si="32"/>
        <v>1.138453911127432E-2</v>
      </c>
    </row>
    <row r="1960" spans="2:8" x14ac:dyDescent="0.2">
      <c r="B1960" s="5">
        <v>44842</v>
      </c>
      <c r="C1960" s="6" t="s">
        <v>18</v>
      </c>
      <c r="D1960" s="7">
        <v>27.91</v>
      </c>
      <c r="E1960" s="7">
        <v>27.195473</v>
      </c>
      <c r="F1960" s="7">
        <v>28.02</v>
      </c>
      <c r="G1960" s="7">
        <v>27.43</v>
      </c>
      <c r="H1960" s="8">
        <f t="shared" si="32"/>
        <v>1.3434966832426766E-2</v>
      </c>
    </row>
    <row r="1961" spans="2:8" x14ac:dyDescent="0.2">
      <c r="B1961" s="5">
        <v>44843</v>
      </c>
      <c r="C1961" s="6" t="s">
        <v>18</v>
      </c>
      <c r="D1961" s="7">
        <v>27.91</v>
      </c>
      <c r="E1961" s="7">
        <v>27.195473</v>
      </c>
      <c r="F1961" s="7">
        <v>28.15</v>
      </c>
      <c r="G1961" s="7">
        <v>27.82</v>
      </c>
      <c r="H1961" s="8">
        <f t="shared" si="32"/>
        <v>0</v>
      </c>
    </row>
    <row r="1962" spans="2:8" x14ac:dyDescent="0.2">
      <c r="B1962" s="5">
        <v>44846</v>
      </c>
      <c r="C1962" s="6" t="s">
        <v>18</v>
      </c>
      <c r="D1962" s="7">
        <v>27.959999</v>
      </c>
      <c r="E1962" s="7">
        <v>27.244192999999999</v>
      </c>
      <c r="F1962" s="7">
        <v>28.1</v>
      </c>
      <c r="G1962" s="7">
        <v>27.76</v>
      </c>
      <c r="H1962" s="8">
        <f t="shared" si="32"/>
        <v>1.791436761017545E-3</v>
      </c>
    </row>
    <row r="1963" spans="2:8" x14ac:dyDescent="0.2">
      <c r="B1963" s="5">
        <v>44847</v>
      </c>
      <c r="C1963" s="6" t="s">
        <v>18</v>
      </c>
      <c r="D1963" s="7">
        <v>27.85</v>
      </c>
      <c r="E1963" s="7">
        <v>27.13701</v>
      </c>
      <c r="F1963" s="7">
        <v>27.950001</v>
      </c>
      <c r="G1963" s="7">
        <v>27.74</v>
      </c>
      <c r="H1963" s="8">
        <f t="shared" si="32"/>
        <v>-3.9341560777594589E-3</v>
      </c>
    </row>
    <row r="1964" spans="2:8" x14ac:dyDescent="0.2">
      <c r="B1964" s="5">
        <v>44848</v>
      </c>
      <c r="C1964" s="6" t="s">
        <v>18</v>
      </c>
      <c r="D1964" s="7">
        <v>27.82</v>
      </c>
      <c r="E1964" s="7">
        <v>27.107776999999999</v>
      </c>
      <c r="F1964" s="7">
        <v>27.9</v>
      </c>
      <c r="G1964" s="7">
        <v>27.59</v>
      </c>
      <c r="H1964" s="8">
        <f t="shared" si="32"/>
        <v>-1.0771992818671861E-3</v>
      </c>
    </row>
    <row r="1965" spans="2:8" x14ac:dyDescent="0.2">
      <c r="B1965" s="5">
        <v>44849</v>
      </c>
      <c r="C1965" s="6" t="s">
        <v>18</v>
      </c>
      <c r="D1965" s="7">
        <v>28.15</v>
      </c>
      <c r="E1965" s="7">
        <v>27.429328999999999</v>
      </c>
      <c r="F1965" s="7">
        <v>28.190000999999999</v>
      </c>
      <c r="G1965" s="7">
        <v>27.870000999999998</v>
      </c>
      <c r="H1965" s="8">
        <f t="shared" si="32"/>
        <v>1.1861969805894977E-2</v>
      </c>
    </row>
    <row r="1966" spans="2:8" x14ac:dyDescent="0.2">
      <c r="B1966" s="5">
        <v>44850</v>
      </c>
      <c r="C1966" s="6" t="s">
        <v>18</v>
      </c>
      <c r="D1966" s="7">
        <v>28.25</v>
      </c>
      <c r="E1966" s="7">
        <v>27.526769000000002</v>
      </c>
      <c r="F1966" s="7">
        <v>28.35</v>
      </c>
      <c r="G1966" s="7">
        <v>28</v>
      </c>
      <c r="H1966" s="8">
        <f t="shared" si="32"/>
        <v>3.5523978685613297E-3</v>
      </c>
    </row>
    <row r="1967" spans="2:8" x14ac:dyDescent="0.2">
      <c r="B1967" s="5">
        <v>44853</v>
      </c>
      <c r="C1967" s="6" t="s">
        <v>18</v>
      </c>
      <c r="D1967" s="7">
        <v>28.25</v>
      </c>
      <c r="E1967" s="7">
        <v>27.526769000000002</v>
      </c>
      <c r="F1967" s="7">
        <v>28.290001</v>
      </c>
      <c r="G1967" s="7">
        <v>27.940000999999999</v>
      </c>
      <c r="H1967" s="8">
        <f t="shared" si="32"/>
        <v>0</v>
      </c>
    </row>
    <row r="1968" spans="2:8" x14ac:dyDescent="0.2">
      <c r="B1968" s="5">
        <v>44854</v>
      </c>
      <c r="C1968" s="6" t="s">
        <v>18</v>
      </c>
      <c r="D1968" s="7">
        <v>28.5</v>
      </c>
      <c r="E1968" s="7">
        <v>27.770368999999999</v>
      </c>
      <c r="F1968" s="7">
        <v>28.52</v>
      </c>
      <c r="G1968" s="7">
        <v>28.15</v>
      </c>
      <c r="H1968" s="8">
        <f t="shared" si="32"/>
        <v>8.8495575221238937E-3</v>
      </c>
    </row>
    <row r="1969" spans="2:8" x14ac:dyDescent="0.2">
      <c r="B1969" s="5">
        <v>44855</v>
      </c>
      <c r="C1969" s="6" t="s">
        <v>18</v>
      </c>
      <c r="D1969" s="7">
        <v>28.280000999999999</v>
      </c>
      <c r="E1969" s="7">
        <v>27.556001999999999</v>
      </c>
      <c r="F1969" s="7">
        <v>28.82</v>
      </c>
      <c r="G1969" s="7">
        <v>28.219999000000001</v>
      </c>
      <c r="H1969" s="8">
        <f t="shared" si="32"/>
        <v>-7.7192631578947854E-3</v>
      </c>
    </row>
    <row r="1970" spans="2:8" x14ac:dyDescent="0.2">
      <c r="B1970" s="5">
        <v>44856</v>
      </c>
      <c r="C1970" s="6" t="s">
        <v>18</v>
      </c>
      <c r="D1970" s="7">
        <v>29.01</v>
      </c>
      <c r="E1970" s="7">
        <v>28.267313000000001</v>
      </c>
      <c r="F1970" s="7">
        <v>29.209999</v>
      </c>
      <c r="G1970" s="7">
        <v>28.5</v>
      </c>
      <c r="H1970" s="8">
        <f t="shared" si="32"/>
        <v>2.5813259341822617E-2</v>
      </c>
    </row>
    <row r="1971" spans="2:8" x14ac:dyDescent="0.2">
      <c r="B1971" s="5">
        <v>44857</v>
      </c>
      <c r="C1971" s="6" t="s">
        <v>18</v>
      </c>
      <c r="D1971" s="7">
        <v>29.35</v>
      </c>
      <c r="E1971" s="7">
        <v>28.598607999999999</v>
      </c>
      <c r="F1971" s="7">
        <v>29.379999000000002</v>
      </c>
      <c r="G1971" s="7">
        <v>28.93</v>
      </c>
      <c r="H1971" s="8">
        <f t="shared" si="32"/>
        <v>1.172009651844191E-2</v>
      </c>
    </row>
    <row r="1972" spans="2:8" x14ac:dyDescent="0.2">
      <c r="B1972" s="5">
        <v>44860</v>
      </c>
      <c r="C1972" s="6" t="s">
        <v>18</v>
      </c>
      <c r="D1972" s="7">
        <v>28.950001</v>
      </c>
      <c r="E1972" s="7">
        <v>28.208849000000001</v>
      </c>
      <c r="F1972" s="7">
        <v>29.49</v>
      </c>
      <c r="G1972" s="7">
        <v>28.879999000000002</v>
      </c>
      <c r="H1972" s="8">
        <f t="shared" si="32"/>
        <v>-1.3628586030664433E-2</v>
      </c>
    </row>
    <row r="1973" spans="2:8" x14ac:dyDescent="0.2">
      <c r="B1973" s="5">
        <v>44861</v>
      </c>
      <c r="C1973" s="6" t="s">
        <v>18</v>
      </c>
      <c r="D1973" s="7">
        <v>29.049999</v>
      </c>
      <c r="E1973" s="7">
        <v>28.306287999999999</v>
      </c>
      <c r="F1973" s="7">
        <v>29.059999000000001</v>
      </c>
      <c r="G1973" s="7">
        <v>28.58</v>
      </c>
      <c r="H1973" s="8">
        <f t="shared" si="32"/>
        <v>3.4541622295625953E-3</v>
      </c>
    </row>
    <row r="1974" spans="2:8" x14ac:dyDescent="0.2">
      <c r="B1974" s="5">
        <v>44862</v>
      </c>
      <c r="C1974" s="6" t="s">
        <v>18</v>
      </c>
      <c r="D1974" s="7">
        <v>29.360001</v>
      </c>
      <c r="E1974" s="7">
        <v>28.608353000000001</v>
      </c>
      <c r="F1974" s="7">
        <v>29.450001</v>
      </c>
      <c r="G1974" s="7">
        <v>29.040001</v>
      </c>
      <c r="H1974" s="8">
        <f t="shared" si="32"/>
        <v>1.0671325668548243E-2</v>
      </c>
    </row>
    <row r="1975" spans="2:8" x14ac:dyDescent="0.2">
      <c r="B1975" s="5">
        <v>44863</v>
      </c>
      <c r="C1975" s="6" t="s">
        <v>18</v>
      </c>
      <c r="D1975" s="7">
        <v>29.139999</v>
      </c>
      <c r="E1975" s="7">
        <v>28.393984</v>
      </c>
      <c r="F1975" s="7">
        <v>29.209999</v>
      </c>
      <c r="G1975" s="7">
        <v>28.93</v>
      </c>
      <c r="H1975" s="8">
        <f t="shared" si="32"/>
        <v>-7.4932558755703349E-3</v>
      </c>
    </row>
    <row r="1976" spans="2:8" x14ac:dyDescent="0.2">
      <c r="B1976" s="5">
        <v>44864</v>
      </c>
      <c r="C1976" s="6" t="s">
        <v>18</v>
      </c>
      <c r="D1976" s="7">
        <v>28.85</v>
      </c>
      <c r="E1976" s="7">
        <v>28.111408999999998</v>
      </c>
      <c r="F1976" s="7">
        <v>29.25</v>
      </c>
      <c r="G1976" s="7">
        <v>28.85</v>
      </c>
      <c r="H1976" s="8">
        <f t="shared" si="32"/>
        <v>-9.9519220985559449E-3</v>
      </c>
    </row>
    <row r="1977" spans="2:8" x14ac:dyDescent="0.2">
      <c r="B1977" s="5">
        <v>44867</v>
      </c>
      <c r="C1977" s="6" t="s">
        <v>18</v>
      </c>
      <c r="D1977" s="7">
        <v>28.77</v>
      </c>
      <c r="E1977" s="7">
        <v>28.033456999999999</v>
      </c>
      <c r="F1977" s="7">
        <v>28.870000999999998</v>
      </c>
      <c r="G1977" s="7">
        <v>28.51</v>
      </c>
      <c r="H1977" s="8">
        <f t="shared" si="32"/>
        <v>-2.7729636048527502E-3</v>
      </c>
    </row>
    <row r="1978" spans="2:8" x14ac:dyDescent="0.2">
      <c r="B1978" s="5">
        <v>44868</v>
      </c>
      <c r="C1978" s="6" t="s">
        <v>18</v>
      </c>
      <c r="D1978" s="7">
        <v>28.610001</v>
      </c>
      <c r="E1978" s="7">
        <v>27.877552999999999</v>
      </c>
      <c r="F1978" s="7">
        <v>28.709999</v>
      </c>
      <c r="G1978" s="7">
        <v>28.49</v>
      </c>
      <c r="H1978" s="8">
        <f t="shared" si="32"/>
        <v>-5.5613138686131077E-3</v>
      </c>
    </row>
    <row r="1979" spans="2:8" x14ac:dyDescent="0.2">
      <c r="B1979" s="5">
        <v>44869</v>
      </c>
      <c r="C1979" s="6" t="s">
        <v>18</v>
      </c>
      <c r="D1979" s="7">
        <v>28.469999000000001</v>
      </c>
      <c r="E1979" s="7">
        <v>27.741136000000001</v>
      </c>
      <c r="F1979" s="7">
        <v>28.82</v>
      </c>
      <c r="G1979" s="7">
        <v>28.370000999999998</v>
      </c>
      <c r="H1979" s="8">
        <f t="shared" si="32"/>
        <v>-4.8934636527974626E-3</v>
      </c>
    </row>
    <row r="1980" spans="2:8" x14ac:dyDescent="0.2">
      <c r="B1980" s="5">
        <v>44870</v>
      </c>
      <c r="C1980" s="6" t="s">
        <v>18</v>
      </c>
      <c r="D1980" s="7">
        <v>28.43</v>
      </c>
      <c r="E1980" s="7">
        <v>27.702161</v>
      </c>
      <c r="F1980" s="7">
        <v>28.610001</v>
      </c>
      <c r="G1980" s="7">
        <v>28.290001</v>
      </c>
      <c r="H1980" s="8">
        <f t="shared" si="32"/>
        <v>-1.4049526310134985E-3</v>
      </c>
    </row>
    <row r="1981" spans="2:8" x14ac:dyDescent="0.2">
      <c r="B1981" s="5">
        <v>44871</v>
      </c>
      <c r="C1981" s="6" t="s">
        <v>18</v>
      </c>
      <c r="D1981" s="7">
        <v>28.450001</v>
      </c>
      <c r="E1981" s="7">
        <v>27.72165</v>
      </c>
      <c r="F1981" s="7">
        <v>28.549999</v>
      </c>
      <c r="G1981" s="7">
        <v>28.16</v>
      </c>
      <c r="H1981" s="8">
        <f t="shared" si="32"/>
        <v>7.0351741118538876E-4</v>
      </c>
    </row>
    <row r="1982" spans="2:8" x14ac:dyDescent="0.2">
      <c r="B1982" s="5">
        <v>44874</v>
      </c>
      <c r="C1982" s="6" t="s">
        <v>18</v>
      </c>
      <c r="D1982" s="7">
        <v>28.18</v>
      </c>
      <c r="E1982" s="7">
        <v>27.458562000000001</v>
      </c>
      <c r="F1982" s="7">
        <v>28.49</v>
      </c>
      <c r="G1982" s="7">
        <v>28</v>
      </c>
      <c r="H1982" s="8">
        <f t="shared" si="32"/>
        <v>-9.490368734960699E-3</v>
      </c>
    </row>
    <row r="1983" spans="2:8" x14ac:dyDescent="0.2">
      <c r="B1983" s="5">
        <v>44875</v>
      </c>
      <c r="C1983" s="6" t="s">
        <v>18</v>
      </c>
      <c r="D1983" s="7">
        <v>27.98</v>
      </c>
      <c r="E1983" s="7">
        <v>27.263680999999998</v>
      </c>
      <c r="F1983" s="7">
        <v>28.219999000000001</v>
      </c>
      <c r="G1983" s="7">
        <v>27.9</v>
      </c>
      <c r="H1983" s="8">
        <f t="shared" si="32"/>
        <v>-7.0972320794889738E-3</v>
      </c>
    </row>
    <row r="1984" spans="2:8" x14ac:dyDescent="0.2">
      <c r="B1984" s="5">
        <v>44876</v>
      </c>
      <c r="C1984" s="6" t="s">
        <v>18</v>
      </c>
      <c r="D1984" s="7">
        <v>27.82</v>
      </c>
      <c r="E1984" s="7">
        <v>27.107776999999999</v>
      </c>
      <c r="F1984" s="7">
        <v>28.1</v>
      </c>
      <c r="G1984" s="7">
        <v>27.75</v>
      </c>
      <c r="H1984" s="8">
        <f t="shared" si="32"/>
        <v>-5.7183702644746301E-3</v>
      </c>
    </row>
    <row r="1985" spans="2:8" x14ac:dyDescent="0.2">
      <c r="B1985" s="5">
        <v>44877</v>
      </c>
      <c r="C1985" s="6" t="s">
        <v>18</v>
      </c>
      <c r="D1985" s="7">
        <v>27.83</v>
      </c>
      <c r="E1985" s="7">
        <v>27.117522000000001</v>
      </c>
      <c r="F1985" s="7">
        <v>28.07</v>
      </c>
      <c r="G1985" s="7">
        <v>27.719999000000001</v>
      </c>
      <c r="H1985" s="8">
        <f t="shared" si="32"/>
        <v>3.5945363048159632E-4</v>
      </c>
    </row>
    <row r="1986" spans="2:8" x14ac:dyDescent="0.2">
      <c r="B1986" s="5">
        <v>44878</v>
      </c>
      <c r="C1986" s="6" t="s">
        <v>18</v>
      </c>
      <c r="D1986" s="7">
        <v>26.209999</v>
      </c>
      <c r="E1986" s="7">
        <v>25.538995</v>
      </c>
      <c r="F1986" s="7">
        <v>26.68</v>
      </c>
      <c r="G1986" s="7">
        <v>25.82</v>
      </c>
      <c r="H1986" s="8">
        <f t="shared" si="32"/>
        <v>-5.8210600071864842E-2</v>
      </c>
    </row>
    <row r="1987" spans="2:8" x14ac:dyDescent="0.2">
      <c r="B1987" s="5">
        <v>44881</v>
      </c>
      <c r="C1987" s="6" t="s">
        <v>18</v>
      </c>
      <c r="D1987" s="7">
        <v>26.790001</v>
      </c>
      <c r="E1987" s="7">
        <v>26.104147999999999</v>
      </c>
      <c r="F1987" s="7">
        <v>27</v>
      </c>
      <c r="G1987" s="7">
        <v>26.059999000000001</v>
      </c>
      <c r="H1987" s="8">
        <f t="shared" si="32"/>
        <v>2.2129035563870122E-2</v>
      </c>
    </row>
    <row r="1988" spans="2:8" x14ac:dyDescent="0.2">
      <c r="B1988" s="5">
        <v>44882</v>
      </c>
      <c r="C1988" s="6" t="s">
        <v>18</v>
      </c>
      <c r="D1988" s="7">
        <v>26.809999000000001</v>
      </c>
      <c r="E1988" s="7">
        <v>26.123633999999999</v>
      </c>
      <c r="F1988" s="7">
        <v>27.27</v>
      </c>
      <c r="G1988" s="7">
        <v>26.68</v>
      </c>
      <c r="H1988" s="8">
        <f t="shared" ref="H1988:H2051" si="33">(D1988-D1987)/D1987</f>
        <v>7.4647253652588782E-4</v>
      </c>
    </row>
    <row r="1989" spans="2:8" x14ac:dyDescent="0.2">
      <c r="B1989" s="5">
        <v>44883</v>
      </c>
      <c r="C1989" s="6" t="s">
        <v>18</v>
      </c>
      <c r="D1989" s="7">
        <v>27.120000999999998</v>
      </c>
      <c r="E1989" s="7">
        <v>26.425699000000002</v>
      </c>
      <c r="F1989" s="7">
        <v>27.16</v>
      </c>
      <c r="G1989" s="7">
        <v>26.73</v>
      </c>
      <c r="H1989" s="8">
        <f t="shared" si="33"/>
        <v>1.1562924713275715E-2</v>
      </c>
    </row>
    <row r="1990" spans="2:8" x14ac:dyDescent="0.2">
      <c r="B1990" s="5">
        <v>44884</v>
      </c>
      <c r="C1990" s="6" t="s">
        <v>18</v>
      </c>
      <c r="D1990" s="7">
        <v>27.370000999999998</v>
      </c>
      <c r="E1990" s="7">
        <v>26.669298999999999</v>
      </c>
      <c r="F1990" s="7">
        <v>27.65</v>
      </c>
      <c r="G1990" s="7">
        <v>27.049999</v>
      </c>
      <c r="H1990" s="8">
        <f t="shared" si="33"/>
        <v>9.2182887456383217E-3</v>
      </c>
    </row>
    <row r="1991" spans="2:8" x14ac:dyDescent="0.2">
      <c r="B1991" s="5">
        <v>44885</v>
      </c>
      <c r="C1991" s="6" t="s">
        <v>18</v>
      </c>
      <c r="D1991" s="7">
        <v>27.57</v>
      </c>
      <c r="E1991" s="7">
        <v>26.864177999999999</v>
      </c>
      <c r="F1991" s="7">
        <v>27.780000999999999</v>
      </c>
      <c r="G1991" s="7">
        <v>27.459999</v>
      </c>
      <c r="H1991" s="8">
        <f t="shared" si="33"/>
        <v>7.3072339310474204E-3</v>
      </c>
    </row>
    <row r="1992" spans="2:8" x14ac:dyDescent="0.2">
      <c r="B1992" s="5">
        <v>44888</v>
      </c>
      <c r="C1992" s="6" t="s">
        <v>18</v>
      </c>
      <c r="D1992" s="7">
        <v>27.43</v>
      </c>
      <c r="E1992" s="7">
        <v>26.727761999999998</v>
      </c>
      <c r="F1992" s="7">
        <v>27.84</v>
      </c>
      <c r="G1992" s="7">
        <v>27.34</v>
      </c>
      <c r="H1992" s="8">
        <f t="shared" si="33"/>
        <v>-5.077983315197699E-3</v>
      </c>
    </row>
    <row r="1993" spans="2:8" x14ac:dyDescent="0.2">
      <c r="B1993" s="5">
        <v>44889</v>
      </c>
      <c r="C1993" s="6" t="s">
        <v>18</v>
      </c>
      <c r="D1993" s="7">
        <v>27.27</v>
      </c>
      <c r="E1993" s="7">
        <v>26.571859</v>
      </c>
      <c r="F1993" s="7">
        <v>27.440000999999999</v>
      </c>
      <c r="G1993" s="7">
        <v>27</v>
      </c>
      <c r="H1993" s="8">
        <f t="shared" si="33"/>
        <v>-5.8330295297119991E-3</v>
      </c>
    </row>
    <row r="1994" spans="2:8" x14ac:dyDescent="0.2">
      <c r="B1994" s="5">
        <v>44890</v>
      </c>
      <c r="C1994" s="6" t="s">
        <v>18</v>
      </c>
      <c r="D1994" s="7">
        <v>27.24</v>
      </c>
      <c r="E1994" s="7">
        <v>26.542625999999998</v>
      </c>
      <c r="F1994" s="7">
        <v>27.389999</v>
      </c>
      <c r="G1994" s="7">
        <v>27</v>
      </c>
      <c r="H1994" s="8">
        <f t="shared" si="33"/>
        <v>-1.1001100110011419E-3</v>
      </c>
    </row>
    <row r="1995" spans="2:8" x14ac:dyDescent="0.2">
      <c r="B1995" s="5">
        <v>44892</v>
      </c>
      <c r="C1995" s="6" t="s">
        <v>18</v>
      </c>
      <c r="D1995" s="7">
        <v>27.32</v>
      </c>
      <c r="E1995" s="7">
        <v>26.620577999999998</v>
      </c>
      <c r="F1995" s="7">
        <v>27.48</v>
      </c>
      <c r="G1995" s="7">
        <v>27.24</v>
      </c>
      <c r="H1995" s="8">
        <f t="shared" si="33"/>
        <v>2.9368575624082911E-3</v>
      </c>
    </row>
    <row r="1996" spans="2:8" x14ac:dyDescent="0.2">
      <c r="B1996" s="5">
        <v>44895</v>
      </c>
      <c r="C1996" s="6" t="s">
        <v>18</v>
      </c>
      <c r="D1996" s="7">
        <v>27.25</v>
      </c>
      <c r="E1996" s="7">
        <v>26.55237</v>
      </c>
      <c r="F1996" s="7">
        <v>27.48</v>
      </c>
      <c r="G1996" s="7">
        <v>27.200001</v>
      </c>
      <c r="H1996" s="8">
        <f t="shared" si="33"/>
        <v>-2.5622254758418846E-3</v>
      </c>
    </row>
    <row r="1997" spans="2:8" x14ac:dyDescent="0.2">
      <c r="B1997" s="5">
        <v>44896</v>
      </c>
      <c r="C1997" s="6" t="s">
        <v>18</v>
      </c>
      <c r="D1997" s="7">
        <v>27.57</v>
      </c>
      <c r="E1997" s="7">
        <v>26.864177999999999</v>
      </c>
      <c r="F1997" s="7">
        <v>27.65</v>
      </c>
      <c r="G1997" s="7">
        <v>27.200001</v>
      </c>
      <c r="H1997" s="8">
        <f t="shared" si="33"/>
        <v>1.1743119266055056E-2</v>
      </c>
    </row>
    <row r="1998" spans="2:8" x14ac:dyDescent="0.2">
      <c r="B1998" s="5">
        <v>44897</v>
      </c>
      <c r="C1998" s="6" t="s">
        <v>18</v>
      </c>
      <c r="D1998" s="7">
        <v>27.440000999999999</v>
      </c>
      <c r="E1998" s="7">
        <v>26.737507000000001</v>
      </c>
      <c r="F1998" s="7">
        <v>27.9</v>
      </c>
      <c r="G1998" s="7">
        <v>27.370000999999998</v>
      </c>
      <c r="H1998" s="8">
        <f t="shared" si="33"/>
        <v>-4.7152339499456483E-3</v>
      </c>
    </row>
    <row r="1999" spans="2:8" x14ac:dyDescent="0.2">
      <c r="B1999" s="5">
        <v>44898</v>
      </c>
      <c r="C1999" s="6" t="s">
        <v>18</v>
      </c>
      <c r="D1999" s="7">
        <v>26.950001</v>
      </c>
      <c r="E1999" s="7">
        <v>26.260051000000001</v>
      </c>
      <c r="F1999" s="7">
        <v>27.690000999999999</v>
      </c>
      <c r="G1999" s="7">
        <v>26.82</v>
      </c>
      <c r="H1999" s="8">
        <f t="shared" si="33"/>
        <v>-1.7857142206372311E-2</v>
      </c>
    </row>
    <row r="2000" spans="2:8" x14ac:dyDescent="0.2">
      <c r="B2000" s="5">
        <v>44899</v>
      </c>
      <c r="C2000" s="6" t="s">
        <v>18</v>
      </c>
      <c r="D2000" s="7">
        <v>27.48</v>
      </c>
      <c r="E2000" s="7">
        <v>26.776482000000001</v>
      </c>
      <c r="F2000" s="7">
        <v>27.549999</v>
      </c>
      <c r="G2000" s="7">
        <v>26.950001</v>
      </c>
      <c r="H2000" s="8">
        <f t="shared" si="33"/>
        <v>1.9666010402003328E-2</v>
      </c>
    </row>
    <row r="2001" spans="2:8" x14ac:dyDescent="0.2">
      <c r="B2001" s="5">
        <v>44902</v>
      </c>
      <c r="C2001" s="6" t="s">
        <v>18</v>
      </c>
      <c r="D2001" s="7">
        <v>27.49</v>
      </c>
      <c r="E2001" s="7">
        <v>26.786225999999999</v>
      </c>
      <c r="F2001" s="7">
        <v>27.559999000000001</v>
      </c>
      <c r="G2001" s="7">
        <v>27.26</v>
      </c>
      <c r="H2001" s="8">
        <f t="shared" si="33"/>
        <v>3.6390101892278058E-4</v>
      </c>
    </row>
    <row r="2002" spans="2:8" x14ac:dyDescent="0.2">
      <c r="B2002" s="5">
        <v>44903</v>
      </c>
      <c r="C2002" s="6" t="s">
        <v>18</v>
      </c>
      <c r="D2002" s="7">
        <v>27.15</v>
      </c>
      <c r="E2002" s="7">
        <v>26.454930000000001</v>
      </c>
      <c r="F2002" s="7">
        <v>27.290001</v>
      </c>
      <c r="G2002" s="7">
        <v>27.02</v>
      </c>
      <c r="H2002" s="8">
        <f t="shared" si="33"/>
        <v>-1.2368133866860672E-2</v>
      </c>
    </row>
    <row r="2003" spans="2:8" x14ac:dyDescent="0.2">
      <c r="B2003" s="5">
        <v>44904</v>
      </c>
      <c r="C2003" s="6" t="s">
        <v>18</v>
      </c>
      <c r="D2003" s="7">
        <v>26.73</v>
      </c>
      <c r="E2003" s="7">
        <v>26.045681999999999</v>
      </c>
      <c r="F2003" s="7">
        <v>27.35</v>
      </c>
      <c r="G2003" s="7">
        <v>26.66</v>
      </c>
      <c r="H2003" s="8">
        <f t="shared" si="33"/>
        <v>-1.5469613259668441E-2</v>
      </c>
    </row>
    <row r="2004" spans="2:8" x14ac:dyDescent="0.2">
      <c r="B2004" s="5">
        <v>44905</v>
      </c>
      <c r="C2004" s="6" t="s">
        <v>18</v>
      </c>
      <c r="D2004" s="7">
        <v>26.77</v>
      </c>
      <c r="E2004" s="7">
        <v>26.084658999999998</v>
      </c>
      <c r="F2004" s="7">
        <v>27.040001</v>
      </c>
      <c r="G2004" s="7">
        <v>26.66</v>
      </c>
      <c r="H2004" s="8">
        <f t="shared" si="33"/>
        <v>1.4964459408903534E-3</v>
      </c>
    </row>
    <row r="2005" spans="2:8" x14ac:dyDescent="0.2">
      <c r="B2005" s="5">
        <v>44906</v>
      </c>
      <c r="C2005" s="6" t="s">
        <v>18</v>
      </c>
      <c r="D2005" s="7">
        <v>26.16</v>
      </c>
      <c r="E2005" s="7">
        <v>25.490275</v>
      </c>
      <c r="F2005" s="7">
        <v>26.49</v>
      </c>
      <c r="G2005" s="7">
        <v>26.129999000000002</v>
      </c>
      <c r="H2005" s="8">
        <f t="shared" si="33"/>
        <v>-2.2786701531565163E-2</v>
      </c>
    </row>
    <row r="2006" spans="2:8" x14ac:dyDescent="0.2">
      <c r="B2006" s="5">
        <v>44909</v>
      </c>
      <c r="C2006" s="6" t="s">
        <v>18</v>
      </c>
      <c r="D2006" s="7">
        <v>26.49</v>
      </c>
      <c r="E2006" s="7">
        <v>25.811827000000001</v>
      </c>
      <c r="F2006" s="7">
        <v>26.52</v>
      </c>
      <c r="G2006" s="7">
        <v>25.959999</v>
      </c>
      <c r="H2006" s="8">
        <f t="shared" si="33"/>
        <v>1.2614678899082504E-2</v>
      </c>
    </row>
    <row r="2007" spans="2:8" x14ac:dyDescent="0.2">
      <c r="B2007" s="5">
        <v>44910</v>
      </c>
      <c r="C2007" s="6" t="s">
        <v>18</v>
      </c>
      <c r="D2007" s="7">
        <v>26.85</v>
      </c>
      <c r="E2007" s="7">
        <v>26.162610999999998</v>
      </c>
      <c r="F2007" s="7">
        <v>27.110001</v>
      </c>
      <c r="G2007" s="7">
        <v>26.610001</v>
      </c>
      <c r="H2007" s="8">
        <f t="shared" si="33"/>
        <v>1.3590033975085051E-2</v>
      </c>
    </row>
    <row r="2008" spans="2:8" x14ac:dyDescent="0.2">
      <c r="B2008" s="5">
        <v>44911</v>
      </c>
      <c r="C2008" s="6" t="s">
        <v>18</v>
      </c>
      <c r="D2008" s="7">
        <v>27.24</v>
      </c>
      <c r="E2008" s="7">
        <v>26.542625999999998</v>
      </c>
      <c r="F2008" s="7">
        <v>27.290001</v>
      </c>
      <c r="G2008" s="7">
        <v>26.68</v>
      </c>
      <c r="H2008" s="8">
        <f t="shared" si="33"/>
        <v>1.4525139664804357E-2</v>
      </c>
    </row>
    <row r="2009" spans="2:8" x14ac:dyDescent="0.2">
      <c r="B2009" s="5">
        <v>44912</v>
      </c>
      <c r="C2009" s="6" t="s">
        <v>18</v>
      </c>
      <c r="D2009" s="7">
        <v>26.719999000000001</v>
      </c>
      <c r="E2009" s="7">
        <v>26.035938000000002</v>
      </c>
      <c r="F2009" s="7">
        <v>27.309999000000001</v>
      </c>
      <c r="G2009" s="7">
        <v>26.700001</v>
      </c>
      <c r="H2009" s="8">
        <f t="shared" si="33"/>
        <v>-1.9089610866372873E-2</v>
      </c>
    </row>
    <row r="2010" spans="2:8" x14ac:dyDescent="0.2">
      <c r="B2010" s="5">
        <v>44913</v>
      </c>
      <c r="C2010" s="6" t="s">
        <v>18</v>
      </c>
      <c r="D2010" s="7">
        <v>26.27</v>
      </c>
      <c r="E2010" s="7">
        <v>25.597460000000002</v>
      </c>
      <c r="F2010" s="7">
        <v>26.82</v>
      </c>
      <c r="G2010" s="7">
        <v>26.26</v>
      </c>
      <c r="H2010" s="8">
        <f t="shared" si="33"/>
        <v>-1.6841280570407274E-2</v>
      </c>
    </row>
    <row r="2011" spans="2:8" x14ac:dyDescent="0.2">
      <c r="B2011" s="5">
        <v>44916</v>
      </c>
      <c r="C2011" s="6" t="s">
        <v>18</v>
      </c>
      <c r="D2011" s="7">
        <v>26.639999</v>
      </c>
      <c r="E2011" s="7">
        <v>25.957985999999998</v>
      </c>
      <c r="F2011" s="7">
        <v>26.65</v>
      </c>
      <c r="G2011" s="7">
        <v>26.41</v>
      </c>
      <c r="H2011" s="8">
        <f t="shared" si="33"/>
        <v>1.4084468976018271E-2</v>
      </c>
    </row>
    <row r="2012" spans="2:8" x14ac:dyDescent="0.2">
      <c r="B2012" s="5">
        <v>44917</v>
      </c>
      <c r="C2012" s="6" t="s">
        <v>18</v>
      </c>
      <c r="D2012" s="7">
        <v>26.889999</v>
      </c>
      <c r="E2012" s="7">
        <v>26.202286000000001</v>
      </c>
      <c r="F2012" s="7">
        <v>26.9</v>
      </c>
      <c r="G2012" s="7">
        <v>26.559999000000001</v>
      </c>
      <c r="H2012" s="8">
        <f t="shared" si="33"/>
        <v>9.3843847366510795E-3</v>
      </c>
    </row>
    <row r="2013" spans="2:8" x14ac:dyDescent="0.2">
      <c r="B2013" s="5">
        <v>44918</v>
      </c>
      <c r="C2013" s="6" t="s">
        <v>18</v>
      </c>
      <c r="D2013" s="7">
        <v>27.4</v>
      </c>
      <c r="E2013" s="7">
        <v>26.698530000000002</v>
      </c>
      <c r="F2013" s="7">
        <v>27.41</v>
      </c>
      <c r="G2013" s="7">
        <v>27</v>
      </c>
      <c r="H2013" s="8">
        <f t="shared" si="33"/>
        <v>1.8966196317076807E-2</v>
      </c>
    </row>
    <row r="2014" spans="2:8" x14ac:dyDescent="0.2">
      <c r="B2014" s="5">
        <v>44919</v>
      </c>
      <c r="C2014" s="6" t="s">
        <v>18</v>
      </c>
      <c r="D2014" s="7">
        <v>27.379999000000002</v>
      </c>
      <c r="E2014" s="7">
        <v>26.679041000000002</v>
      </c>
      <c r="F2014" s="7">
        <v>27.549999</v>
      </c>
      <c r="G2014" s="7">
        <v>27.370000999999998</v>
      </c>
      <c r="H2014" s="8">
        <f t="shared" si="33"/>
        <v>-7.2996350364952739E-4</v>
      </c>
    </row>
    <row r="2015" spans="2:8" x14ac:dyDescent="0.2">
      <c r="B2015" s="5">
        <v>44923</v>
      </c>
      <c r="C2015" s="6" t="s">
        <v>18</v>
      </c>
      <c r="D2015" s="7">
        <v>27.309999000000001</v>
      </c>
      <c r="E2015" s="7">
        <v>26.610834000000001</v>
      </c>
      <c r="F2015" s="7">
        <v>27.370000999999998</v>
      </c>
      <c r="G2015" s="7">
        <v>27.129999000000002</v>
      </c>
      <c r="H2015" s="8">
        <f t="shared" si="33"/>
        <v>-2.5566107580939018E-3</v>
      </c>
    </row>
    <row r="2016" spans="2:8" x14ac:dyDescent="0.2">
      <c r="B2016" s="5">
        <v>44924</v>
      </c>
      <c r="C2016" s="6" t="s">
        <v>18</v>
      </c>
      <c r="D2016" s="7">
        <v>27.77</v>
      </c>
      <c r="E2016" s="7">
        <v>27.059058</v>
      </c>
      <c r="F2016" s="7">
        <v>27.82</v>
      </c>
      <c r="G2016" s="7">
        <v>27.4</v>
      </c>
      <c r="H2016" s="8">
        <f t="shared" si="33"/>
        <v>1.6843684249127886E-2</v>
      </c>
    </row>
    <row r="2017" spans="2:8" x14ac:dyDescent="0.2">
      <c r="B2017" s="5">
        <v>44925</v>
      </c>
      <c r="C2017" s="6" t="s">
        <v>18</v>
      </c>
      <c r="D2017" s="7">
        <v>27.530000999999999</v>
      </c>
      <c r="E2017" s="7">
        <v>26.825202999999998</v>
      </c>
      <c r="F2017" s="7">
        <v>27.77</v>
      </c>
      <c r="G2017" s="7">
        <v>27.52</v>
      </c>
      <c r="H2017" s="8">
        <f t="shared" si="33"/>
        <v>-8.6423838674829292E-3</v>
      </c>
    </row>
    <row r="2018" spans="2:8" x14ac:dyDescent="0.2">
      <c r="B2018" s="5">
        <v>44926</v>
      </c>
      <c r="C2018" s="6" t="s">
        <v>18</v>
      </c>
      <c r="D2018" s="7">
        <v>27.16</v>
      </c>
      <c r="E2018" s="7">
        <v>26.464673999999999</v>
      </c>
      <c r="F2018" s="7">
        <v>27.450001</v>
      </c>
      <c r="G2018" s="7">
        <v>27.139999</v>
      </c>
      <c r="H2018" s="8">
        <f t="shared" si="33"/>
        <v>-1.3439919598985793E-2</v>
      </c>
    </row>
    <row r="2019" spans="2:8" x14ac:dyDescent="0.2">
      <c r="B2019" s="5">
        <v>44198</v>
      </c>
      <c r="C2019" s="6" t="s">
        <v>19</v>
      </c>
      <c r="D2019" s="7">
        <v>78.910004000000001</v>
      </c>
      <c r="E2019" s="7">
        <v>73.306444999999997</v>
      </c>
      <c r="F2019" s="7">
        <v>79.470000999999996</v>
      </c>
      <c r="G2019" s="7">
        <v>78.5</v>
      </c>
      <c r="H2019" s="8">
        <f t="shared" si="33"/>
        <v>1.9053756995581739</v>
      </c>
    </row>
    <row r="2020" spans="2:8" x14ac:dyDescent="0.2">
      <c r="B2020" s="5">
        <v>44199</v>
      </c>
      <c r="C2020" s="6" t="s">
        <v>19</v>
      </c>
      <c r="D2020" s="7">
        <v>78.650002000000001</v>
      </c>
      <c r="E2020" s="7">
        <v>73.064905999999993</v>
      </c>
      <c r="F2020" s="7">
        <v>79.129997000000003</v>
      </c>
      <c r="G2020" s="7">
        <v>78.519997000000004</v>
      </c>
      <c r="H2020" s="8">
        <f t="shared" si="33"/>
        <v>-3.2949180942887808E-3</v>
      </c>
    </row>
    <row r="2021" spans="2:8" x14ac:dyDescent="0.2">
      <c r="B2021" s="5">
        <v>44202</v>
      </c>
      <c r="C2021" s="6" t="s">
        <v>19</v>
      </c>
      <c r="D2021" s="7">
        <v>78.209998999999996</v>
      </c>
      <c r="E2021" s="7">
        <v>72.656148999999999</v>
      </c>
      <c r="F2021" s="7">
        <v>78.910004000000001</v>
      </c>
      <c r="G2021" s="7">
        <v>77.790001000000004</v>
      </c>
      <c r="H2021" s="8">
        <f t="shared" si="33"/>
        <v>-5.5944435958184E-3</v>
      </c>
    </row>
    <row r="2022" spans="2:8" x14ac:dyDescent="0.2">
      <c r="B2022" s="5">
        <v>44203</v>
      </c>
      <c r="C2022" s="6" t="s">
        <v>19</v>
      </c>
      <c r="D2022" s="7">
        <v>78.449996999999996</v>
      </c>
      <c r="E2022" s="7">
        <v>72.879103999999998</v>
      </c>
      <c r="F2022" s="7">
        <v>78.849997999999999</v>
      </c>
      <c r="G2022" s="7">
        <v>77.919998000000007</v>
      </c>
      <c r="H2022" s="8">
        <f t="shared" si="33"/>
        <v>3.0686357635677755E-3</v>
      </c>
    </row>
    <row r="2023" spans="2:8" x14ac:dyDescent="0.2">
      <c r="B2023" s="5">
        <v>44204</v>
      </c>
      <c r="C2023" s="6" t="s">
        <v>19</v>
      </c>
      <c r="D2023" s="7">
        <v>77.830001999999993</v>
      </c>
      <c r="E2023" s="7">
        <v>72.303135999999995</v>
      </c>
      <c r="F2023" s="7">
        <v>78.510002</v>
      </c>
      <c r="G2023" s="7">
        <v>77.599997999999999</v>
      </c>
      <c r="H2023" s="8">
        <f t="shared" si="33"/>
        <v>-7.9030595756428516E-3</v>
      </c>
    </row>
    <row r="2024" spans="2:8" x14ac:dyDescent="0.2">
      <c r="B2024" s="5">
        <v>44205</v>
      </c>
      <c r="C2024" s="6" t="s">
        <v>19</v>
      </c>
      <c r="D2024" s="7">
        <v>78.089995999999999</v>
      </c>
      <c r="E2024" s="7">
        <v>72.544668000000001</v>
      </c>
      <c r="F2024" s="7">
        <v>78.400002000000001</v>
      </c>
      <c r="G2024" s="7">
        <v>77.489998</v>
      </c>
      <c r="H2024" s="8">
        <f t="shared" si="33"/>
        <v>3.3405369821268419E-3</v>
      </c>
    </row>
    <row r="2025" spans="2:8" x14ac:dyDescent="0.2">
      <c r="B2025" s="5">
        <v>44206</v>
      </c>
      <c r="C2025" s="6" t="s">
        <v>19</v>
      </c>
      <c r="D2025" s="7">
        <v>78.040001000000004</v>
      </c>
      <c r="E2025" s="7">
        <v>72.498222999999996</v>
      </c>
      <c r="F2025" s="7">
        <v>78.720000999999996</v>
      </c>
      <c r="G2025" s="7">
        <v>77.540001000000004</v>
      </c>
      <c r="H2025" s="8">
        <f t="shared" si="33"/>
        <v>-6.4022285261732589E-4</v>
      </c>
    </row>
    <row r="2026" spans="2:8" x14ac:dyDescent="0.2">
      <c r="B2026" s="5">
        <v>44209</v>
      </c>
      <c r="C2026" s="6" t="s">
        <v>19</v>
      </c>
      <c r="D2026" s="7">
        <v>77.489998</v>
      </c>
      <c r="E2026" s="7">
        <v>71.987277000000006</v>
      </c>
      <c r="F2026" s="7">
        <v>77.970000999999996</v>
      </c>
      <c r="G2026" s="7">
        <v>77.239998</v>
      </c>
      <c r="H2026" s="8">
        <f t="shared" si="33"/>
        <v>-7.0477062141504039E-3</v>
      </c>
    </row>
    <row r="2027" spans="2:8" x14ac:dyDescent="0.2">
      <c r="B2027" s="5">
        <v>44210</v>
      </c>
      <c r="C2027" s="6" t="s">
        <v>19</v>
      </c>
      <c r="D2027" s="7">
        <v>77.959998999999996</v>
      </c>
      <c r="E2027" s="7">
        <v>72.423901999999998</v>
      </c>
      <c r="F2027" s="7">
        <v>78</v>
      </c>
      <c r="G2027" s="7">
        <v>77.379997000000003</v>
      </c>
      <c r="H2027" s="8">
        <f t="shared" si="33"/>
        <v>6.0653118096608586E-3</v>
      </c>
    </row>
    <row r="2028" spans="2:8" x14ac:dyDescent="0.2">
      <c r="B2028" s="5">
        <v>44211</v>
      </c>
      <c r="C2028" s="6" t="s">
        <v>19</v>
      </c>
      <c r="D2028" s="7">
        <v>77.660004000000001</v>
      </c>
      <c r="E2028" s="7">
        <v>72.145210000000006</v>
      </c>
      <c r="F2028" s="7">
        <v>78.099997999999999</v>
      </c>
      <c r="G2028" s="7">
        <v>77.569999999999993</v>
      </c>
      <c r="H2028" s="8">
        <f t="shared" si="33"/>
        <v>-3.8480631586462126E-3</v>
      </c>
    </row>
    <row r="2029" spans="2:8" x14ac:dyDescent="0.2">
      <c r="B2029" s="5">
        <v>44212</v>
      </c>
      <c r="C2029" s="6" t="s">
        <v>19</v>
      </c>
      <c r="D2029" s="7">
        <v>76.760002</v>
      </c>
      <c r="E2029" s="7">
        <v>71.309118999999995</v>
      </c>
      <c r="F2029" s="7">
        <v>77.470000999999996</v>
      </c>
      <c r="G2029" s="7">
        <v>76.349997999999999</v>
      </c>
      <c r="H2029" s="8">
        <f t="shared" si="33"/>
        <v>-1.1589002751017121E-2</v>
      </c>
    </row>
    <row r="2030" spans="2:8" x14ac:dyDescent="0.2">
      <c r="B2030" s="5">
        <v>44213</v>
      </c>
      <c r="C2030" s="6" t="s">
        <v>19</v>
      </c>
      <c r="D2030" s="7">
        <v>76.190002000000007</v>
      </c>
      <c r="E2030" s="7">
        <v>70.779595999999998</v>
      </c>
      <c r="F2030" s="7">
        <v>76.819999999999993</v>
      </c>
      <c r="G2030" s="7">
        <v>76.029999000000004</v>
      </c>
      <c r="H2030" s="8">
        <f t="shared" si="33"/>
        <v>-7.4257423807778588E-3</v>
      </c>
    </row>
    <row r="2031" spans="2:8" x14ac:dyDescent="0.2">
      <c r="B2031" s="5">
        <v>44217</v>
      </c>
      <c r="C2031" s="6" t="s">
        <v>19</v>
      </c>
      <c r="D2031" s="7">
        <v>75.839995999999999</v>
      </c>
      <c r="E2031" s="7">
        <v>70.454445000000007</v>
      </c>
      <c r="F2031" s="7">
        <v>76.389999000000003</v>
      </c>
      <c r="G2031" s="7">
        <v>74.860000999999997</v>
      </c>
      <c r="H2031" s="8">
        <f t="shared" si="33"/>
        <v>-4.5938573410197253E-3</v>
      </c>
    </row>
    <row r="2032" spans="2:8" x14ac:dyDescent="0.2">
      <c r="B2032" s="5">
        <v>44218</v>
      </c>
      <c r="C2032" s="6" t="s">
        <v>19</v>
      </c>
      <c r="D2032" s="7">
        <v>75.349997999999999</v>
      </c>
      <c r="E2032" s="7">
        <v>69.999243000000007</v>
      </c>
      <c r="F2032" s="7">
        <v>76.080001999999993</v>
      </c>
      <c r="G2032" s="7">
        <v>75.029999000000004</v>
      </c>
      <c r="H2032" s="8">
        <f t="shared" si="33"/>
        <v>-6.4609444335941152E-3</v>
      </c>
    </row>
    <row r="2033" spans="2:8" x14ac:dyDescent="0.2">
      <c r="B2033" s="5">
        <v>44219</v>
      </c>
      <c r="C2033" s="6" t="s">
        <v>19</v>
      </c>
      <c r="D2033" s="7">
        <v>74.959998999999996</v>
      </c>
      <c r="E2033" s="7">
        <v>69.636938000000001</v>
      </c>
      <c r="F2033" s="7">
        <v>75.120002999999997</v>
      </c>
      <c r="G2033" s="7">
        <v>74.470000999999996</v>
      </c>
      <c r="H2033" s="8">
        <f t="shared" si="33"/>
        <v>-5.1758329177394686E-3</v>
      </c>
    </row>
    <row r="2034" spans="2:8" x14ac:dyDescent="0.2">
      <c r="B2034" s="5">
        <v>44220</v>
      </c>
      <c r="C2034" s="6" t="s">
        <v>19</v>
      </c>
      <c r="D2034" s="7">
        <v>74.419998000000007</v>
      </c>
      <c r="E2034" s="7">
        <v>69.135283999999999</v>
      </c>
      <c r="F2034" s="7">
        <v>75.120002999999997</v>
      </c>
      <c r="G2034" s="7">
        <v>74.230002999999996</v>
      </c>
      <c r="H2034" s="8">
        <f t="shared" si="33"/>
        <v>-7.2038554856436107E-3</v>
      </c>
    </row>
    <row r="2035" spans="2:8" x14ac:dyDescent="0.2">
      <c r="B2035" s="5">
        <v>44223</v>
      </c>
      <c r="C2035" s="6" t="s">
        <v>19</v>
      </c>
      <c r="D2035" s="7">
        <v>74.150002000000001</v>
      </c>
      <c r="E2035" s="7">
        <v>68.884460000000004</v>
      </c>
      <c r="F2035" s="7">
        <v>74.370002999999997</v>
      </c>
      <c r="G2035" s="7">
        <v>73.830001999999993</v>
      </c>
      <c r="H2035" s="8">
        <f t="shared" si="33"/>
        <v>-3.6280033224403755E-3</v>
      </c>
    </row>
    <row r="2036" spans="2:8" x14ac:dyDescent="0.2">
      <c r="B2036" s="5">
        <v>44224</v>
      </c>
      <c r="C2036" s="6" t="s">
        <v>19</v>
      </c>
      <c r="D2036" s="7">
        <v>74.669998000000007</v>
      </c>
      <c r="E2036" s="7">
        <v>69.367531</v>
      </c>
      <c r="F2036" s="7">
        <v>75.400002000000001</v>
      </c>
      <c r="G2036" s="7">
        <v>74.099997999999999</v>
      </c>
      <c r="H2036" s="8">
        <f t="shared" si="33"/>
        <v>7.0127577339782962E-3</v>
      </c>
    </row>
    <row r="2037" spans="2:8" x14ac:dyDescent="0.2">
      <c r="B2037" s="5">
        <v>44225</v>
      </c>
      <c r="C2037" s="6" t="s">
        <v>19</v>
      </c>
      <c r="D2037" s="7">
        <v>74.099997999999999</v>
      </c>
      <c r="E2037" s="7">
        <v>68.838008000000002</v>
      </c>
      <c r="F2037" s="7">
        <v>75.370002999999997</v>
      </c>
      <c r="G2037" s="7">
        <v>74.069999999999993</v>
      </c>
      <c r="H2037" s="8">
        <f t="shared" si="33"/>
        <v>-7.6335879907216192E-3</v>
      </c>
    </row>
    <row r="2038" spans="2:8" x14ac:dyDescent="0.2">
      <c r="B2038" s="5">
        <v>44226</v>
      </c>
      <c r="C2038" s="6" t="s">
        <v>19</v>
      </c>
      <c r="D2038" s="7">
        <v>74.75</v>
      </c>
      <c r="E2038" s="7">
        <v>69.441851</v>
      </c>
      <c r="F2038" s="7">
        <v>75.089995999999999</v>
      </c>
      <c r="G2038" s="7">
        <v>74.360000999999997</v>
      </c>
      <c r="H2038" s="8">
        <f t="shared" si="33"/>
        <v>8.7719570518746924E-3</v>
      </c>
    </row>
    <row r="2039" spans="2:8" x14ac:dyDescent="0.2">
      <c r="B2039" s="5">
        <v>44227</v>
      </c>
      <c r="C2039" s="6" t="s">
        <v>19</v>
      </c>
      <c r="D2039" s="7">
        <v>74.680000000000007</v>
      </c>
      <c r="E2039" s="7">
        <v>69.376823000000002</v>
      </c>
      <c r="F2039" s="7">
        <v>75.190002000000007</v>
      </c>
      <c r="G2039" s="7">
        <v>73.639999000000003</v>
      </c>
      <c r="H2039" s="8">
        <f t="shared" si="33"/>
        <v>-9.3645484949823649E-4</v>
      </c>
    </row>
    <row r="2040" spans="2:8" x14ac:dyDescent="0.2">
      <c r="B2040" s="5">
        <v>44230</v>
      </c>
      <c r="C2040" s="6" t="s">
        <v>19</v>
      </c>
      <c r="D2040" s="7">
        <v>72.660004000000001</v>
      </c>
      <c r="E2040" s="7">
        <v>67.50027</v>
      </c>
      <c r="F2040" s="7">
        <v>74.5</v>
      </c>
      <c r="G2040" s="7">
        <v>72.540001000000004</v>
      </c>
      <c r="H2040" s="8">
        <f t="shared" si="33"/>
        <v>-2.7048687734333235E-2</v>
      </c>
    </row>
    <row r="2041" spans="2:8" x14ac:dyDescent="0.2">
      <c r="B2041" s="5">
        <v>44231</v>
      </c>
      <c r="C2041" s="6" t="s">
        <v>19</v>
      </c>
      <c r="D2041" s="7">
        <v>72.730002999999996</v>
      </c>
      <c r="E2041" s="7">
        <v>67.565298999999996</v>
      </c>
      <c r="F2041" s="7">
        <v>73.099997999999999</v>
      </c>
      <c r="G2041" s="7">
        <v>72.300003000000004</v>
      </c>
      <c r="H2041" s="8">
        <f t="shared" si="33"/>
        <v>9.6337732103614674E-4</v>
      </c>
    </row>
    <row r="2042" spans="2:8" x14ac:dyDescent="0.2">
      <c r="B2042" s="5">
        <v>44232</v>
      </c>
      <c r="C2042" s="6" t="s">
        <v>19</v>
      </c>
      <c r="D2042" s="7">
        <v>72.870002999999997</v>
      </c>
      <c r="E2042" s="7">
        <v>67.695357000000001</v>
      </c>
      <c r="F2042" s="7">
        <v>73.160004000000001</v>
      </c>
      <c r="G2042" s="7">
        <v>72.269997000000004</v>
      </c>
      <c r="H2042" s="8">
        <f t="shared" si="33"/>
        <v>1.924927735806646E-3</v>
      </c>
    </row>
    <row r="2043" spans="2:8" x14ac:dyDescent="0.2">
      <c r="B2043" s="5">
        <v>44233</v>
      </c>
      <c r="C2043" s="6" t="s">
        <v>19</v>
      </c>
      <c r="D2043" s="7">
        <v>72.819999999999993</v>
      </c>
      <c r="E2043" s="7">
        <v>67.648904000000002</v>
      </c>
      <c r="F2043" s="7">
        <v>73.209998999999996</v>
      </c>
      <c r="G2043" s="7">
        <v>72.5</v>
      </c>
      <c r="H2043" s="8">
        <f t="shared" si="33"/>
        <v>-6.8619456486098676E-4</v>
      </c>
    </row>
    <row r="2044" spans="2:8" x14ac:dyDescent="0.2">
      <c r="B2044" s="5">
        <v>44234</v>
      </c>
      <c r="C2044" s="6" t="s">
        <v>19</v>
      </c>
      <c r="D2044" s="7">
        <v>73.75</v>
      </c>
      <c r="E2044" s="7">
        <v>68.512863999999993</v>
      </c>
      <c r="F2044" s="7">
        <v>73.800003000000004</v>
      </c>
      <c r="G2044" s="7">
        <v>72.5</v>
      </c>
      <c r="H2044" s="8">
        <f t="shared" si="33"/>
        <v>1.277121669870924E-2</v>
      </c>
    </row>
    <row r="2045" spans="2:8" x14ac:dyDescent="0.2">
      <c r="B2045" s="5">
        <v>44237</v>
      </c>
      <c r="C2045" s="6" t="s">
        <v>19</v>
      </c>
      <c r="D2045" s="7">
        <v>73.760002</v>
      </c>
      <c r="E2045" s="7">
        <v>68.522154999999998</v>
      </c>
      <c r="F2045" s="7">
        <v>73.760002</v>
      </c>
      <c r="G2045" s="7">
        <v>72.959998999999996</v>
      </c>
      <c r="H2045" s="8">
        <f t="shared" si="33"/>
        <v>1.3562033898305176E-4</v>
      </c>
    </row>
    <row r="2046" spans="2:8" x14ac:dyDescent="0.2">
      <c r="B2046" s="5">
        <v>44238</v>
      </c>
      <c r="C2046" s="6" t="s">
        <v>19</v>
      </c>
      <c r="D2046" s="7">
        <v>74.800003000000004</v>
      </c>
      <c r="E2046" s="7">
        <v>69.488303999999999</v>
      </c>
      <c r="F2046" s="7">
        <v>74.849997999999999</v>
      </c>
      <c r="G2046" s="7">
        <v>73.669998000000007</v>
      </c>
      <c r="H2046" s="8">
        <f t="shared" si="33"/>
        <v>1.4099796255428568E-2</v>
      </c>
    </row>
    <row r="2047" spans="2:8" x14ac:dyDescent="0.2">
      <c r="B2047" s="5">
        <v>44239</v>
      </c>
      <c r="C2047" s="6" t="s">
        <v>19</v>
      </c>
      <c r="D2047" s="7">
        <v>74.959998999999996</v>
      </c>
      <c r="E2047" s="7">
        <v>69.636938000000001</v>
      </c>
      <c r="F2047" s="7">
        <v>75.180000000000007</v>
      </c>
      <c r="G2047" s="7">
        <v>74.220000999999996</v>
      </c>
      <c r="H2047" s="8">
        <f t="shared" si="33"/>
        <v>2.1389838714310273E-3</v>
      </c>
    </row>
    <row r="2048" spans="2:8" x14ac:dyDescent="0.2">
      <c r="B2048" s="5">
        <v>44240</v>
      </c>
      <c r="C2048" s="6" t="s">
        <v>19</v>
      </c>
      <c r="D2048" s="7">
        <v>75.360000999999997</v>
      </c>
      <c r="E2048" s="7">
        <v>70.008534999999995</v>
      </c>
      <c r="F2048" s="7">
        <v>75.489998</v>
      </c>
      <c r="G2048" s="7">
        <v>74.559997999999993</v>
      </c>
      <c r="H2048" s="8">
        <f t="shared" si="33"/>
        <v>5.3362060477082007E-3</v>
      </c>
    </row>
    <row r="2049" spans="2:8" x14ac:dyDescent="0.2">
      <c r="B2049" s="5">
        <v>44241</v>
      </c>
      <c r="C2049" s="6" t="s">
        <v>19</v>
      </c>
      <c r="D2049" s="7">
        <v>75.790001000000004</v>
      </c>
      <c r="E2049" s="7">
        <v>70.408000000000001</v>
      </c>
      <c r="F2049" s="7">
        <v>75.989998</v>
      </c>
      <c r="G2049" s="7">
        <v>75.099997999999999</v>
      </c>
      <c r="H2049" s="8">
        <f t="shared" si="33"/>
        <v>5.70594472258575E-3</v>
      </c>
    </row>
    <row r="2050" spans="2:8" x14ac:dyDescent="0.2">
      <c r="B2050" s="5">
        <v>44245</v>
      </c>
      <c r="C2050" s="6" t="s">
        <v>19</v>
      </c>
      <c r="D2050" s="7">
        <v>75.330001999999993</v>
      </c>
      <c r="E2050" s="7">
        <v>69.980665999999999</v>
      </c>
      <c r="F2050" s="7">
        <v>75.650002000000001</v>
      </c>
      <c r="G2050" s="7">
        <v>74.860000999999997</v>
      </c>
      <c r="H2050" s="8">
        <f t="shared" si="33"/>
        <v>-6.0693890213830513E-3</v>
      </c>
    </row>
    <row r="2051" spans="2:8" x14ac:dyDescent="0.2">
      <c r="B2051" s="5">
        <v>44246</v>
      </c>
      <c r="C2051" s="6" t="s">
        <v>19</v>
      </c>
      <c r="D2051" s="7">
        <v>74.849997999999999</v>
      </c>
      <c r="E2051" s="7">
        <v>69.534749000000005</v>
      </c>
      <c r="F2051" s="7">
        <v>75.319999999999993</v>
      </c>
      <c r="G2051" s="7">
        <v>74.410004000000001</v>
      </c>
      <c r="H2051" s="8">
        <f t="shared" si="33"/>
        <v>-6.3720162917292097E-3</v>
      </c>
    </row>
    <row r="2052" spans="2:8" x14ac:dyDescent="0.2">
      <c r="B2052" s="5">
        <v>44247</v>
      </c>
      <c r="C2052" s="6" t="s">
        <v>19</v>
      </c>
      <c r="D2052" s="7">
        <v>73.519997000000004</v>
      </c>
      <c r="E2052" s="7">
        <v>68.299193000000002</v>
      </c>
      <c r="F2052" s="7">
        <v>74</v>
      </c>
      <c r="G2052" s="7">
        <v>72.809997999999993</v>
      </c>
      <c r="H2052" s="8">
        <f t="shared" ref="H2052:H2115" si="34">(D2052-D2051)/D2051</f>
        <v>-1.776888491032419E-2</v>
      </c>
    </row>
    <row r="2053" spans="2:8" x14ac:dyDescent="0.2">
      <c r="B2053" s="5">
        <v>44248</v>
      </c>
      <c r="C2053" s="6" t="s">
        <v>19</v>
      </c>
      <c r="D2053" s="7">
        <v>73.120002999999997</v>
      </c>
      <c r="E2053" s="7">
        <v>67.927604000000002</v>
      </c>
      <c r="F2053" s="7">
        <v>73.400002000000001</v>
      </c>
      <c r="G2053" s="7">
        <v>72.819999999999993</v>
      </c>
      <c r="H2053" s="8">
        <f t="shared" si="34"/>
        <v>-5.4406150206998318E-3</v>
      </c>
    </row>
    <row r="2054" spans="2:8" x14ac:dyDescent="0.2">
      <c r="B2054" s="5">
        <v>44251</v>
      </c>
      <c r="C2054" s="6" t="s">
        <v>19</v>
      </c>
      <c r="D2054" s="7">
        <v>73.349997999999999</v>
      </c>
      <c r="E2054" s="7">
        <v>68.141266999999999</v>
      </c>
      <c r="F2054" s="7">
        <v>73.819999999999993</v>
      </c>
      <c r="G2054" s="7">
        <v>73.139999000000003</v>
      </c>
      <c r="H2054" s="8">
        <f t="shared" si="34"/>
        <v>3.1454457133980479E-3</v>
      </c>
    </row>
    <row r="2055" spans="2:8" x14ac:dyDescent="0.2">
      <c r="B2055" s="5">
        <v>44252</v>
      </c>
      <c r="C2055" s="6" t="s">
        <v>19</v>
      </c>
      <c r="D2055" s="7">
        <v>73.349997999999999</v>
      </c>
      <c r="E2055" s="7">
        <v>68.141266999999999</v>
      </c>
      <c r="F2055" s="7">
        <v>73.739998</v>
      </c>
      <c r="G2055" s="7">
        <v>73.089995999999999</v>
      </c>
      <c r="H2055" s="8">
        <f t="shared" si="34"/>
        <v>0</v>
      </c>
    </row>
    <row r="2056" spans="2:8" x14ac:dyDescent="0.2">
      <c r="B2056" s="5">
        <v>44253</v>
      </c>
      <c r="C2056" s="6" t="s">
        <v>19</v>
      </c>
      <c r="D2056" s="7">
        <v>74.779999000000004</v>
      </c>
      <c r="E2056" s="7">
        <v>69.469719999999995</v>
      </c>
      <c r="F2056" s="7">
        <v>75.099997999999999</v>
      </c>
      <c r="G2056" s="7">
        <v>73.790001000000004</v>
      </c>
      <c r="H2056" s="8">
        <f t="shared" si="34"/>
        <v>1.9495583353662863E-2</v>
      </c>
    </row>
    <row r="2057" spans="2:8" x14ac:dyDescent="0.2">
      <c r="B2057" s="5">
        <v>44254</v>
      </c>
      <c r="C2057" s="6" t="s">
        <v>19</v>
      </c>
      <c r="D2057" s="7">
        <v>74.559997999999993</v>
      </c>
      <c r="E2057" s="7">
        <v>69.265342000000004</v>
      </c>
      <c r="F2057" s="7">
        <v>74.779999000000004</v>
      </c>
      <c r="G2057" s="7">
        <v>74.089995999999999</v>
      </c>
      <c r="H2057" s="8">
        <f t="shared" si="34"/>
        <v>-2.941976503637163E-3</v>
      </c>
    </row>
    <row r="2058" spans="2:8" x14ac:dyDescent="0.2">
      <c r="B2058" s="5">
        <v>44255</v>
      </c>
      <c r="C2058" s="6" t="s">
        <v>19</v>
      </c>
      <c r="D2058" s="7">
        <v>74.699996999999996</v>
      </c>
      <c r="E2058" s="7">
        <v>69.395398999999998</v>
      </c>
      <c r="F2058" s="7">
        <v>75.190002000000007</v>
      </c>
      <c r="G2058" s="7">
        <v>74.199996999999996</v>
      </c>
      <c r="H2058" s="8">
        <f t="shared" si="34"/>
        <v>1.8776690417830096E-3</v>
      </c>
    </row>
    <row r="2059" spans="2:8" x14ac:dyDescent="0.2">
      <c r="B2059" s="5">
        <v>44258</v>
      </c>
      <c r="C2059" s="6" t="s">
        <v>19</v>
      </c>
      <c r="D2059" s="7">
        <v>74.120002999999997</v>
      </c>
      <c r="E2059" s="7">
        <v>68.856592000000006</v>
      </c>
      <c r="F2059" s="7">
        <v>74.669998000000007</v>
      </c>
      <c r="G2059" s="7">
        <v>73.830001999999993</v>
      </c>
      <c r="H2059" s="8">
        <f t="shared" si="34"/>
        <v>-7.7643108874555812E-3</v>
      </c>
    </row>
    <row r="2060" spans="2:8" x14ac:dyDescent="0.2">
      <c r="B2060" s="5">
        <v>44259</v>
      </c>
      <c r="C2060" s="6" t="s">
        <v>19</v>
      </c>
      <c r="D2060" s="7">
        <v>75.129997000000003</v>
      </c>
      <c r="E2060" s="7">
        <v>69.794864000000004</v>
      </c>
      <c r="F2060" s="7">
        <v>75.489998</v>
      </c>
      <c r="G2060" s="7">
        <v>74.660004000000001</v>
      </c>
      <c r="H2060" s="8">
        <f t="shared" si="34"/>
        <v>1.3626470036705288E-2</v>
      </c>
    </row>
    <row r="2061" spans="2:8" x14ac:dyDescent="0.2">
      <c r="B2061" s="5">
        <v>44260</v>
      </c>
      <c r="C2061" s="6" t="s">
        <v>19</v>
      </c>
      <c r="D2061" s="7">
        <v>74.800003000000004</v>
      </c>
      <c r="E2061" s="7">
        <v>69.488303999999999</v>
      </c>
      <c r="F2061" s="7">
        <v>75.330001999999993</v>
      </c>
      <c r="G2061" s="7">
        <v>74.580001999999993</v>
      </c>
      <c r="H2061" s="8">
        <f t="shared" si="34"/>
        <v>-4.3923068438296254E-3</v>
      </c>
    </row>
    <row r="2062" spans="2:8" x14ac:dyDescent="0.2">
      <c r="B2062" s="5">
        <v>44261</v>
      </c>
      <c r="C2062" s="6" t="s">
        <v>19</v>
      </c>
      <c r="D2062" s="7">
        <v>74.879997000000003</v>
      </c>
      <c r="E2062" s="7">
        <v>69.562617000000003</v>
      </c>
      <c r="F2062" s="7">
        <v>75.110000999999997</v>
      </c>
      <c r="G2062" s="7">
        <v>74.510002</v>
      </c>
      <c r="H2062" s="8">
        <f t="shared" si="34"/>
        <v>1.0694384597818697E-3</v>
      </c>
    </row>
    <row r="2063" spans="2:8" x14ac:dyDescent="0.2">
      <c r="B2063" s="5">
        <v>44262</v>
      </c>
      <c r="C2063" s="6" t="s">
        <v>19</v>
      </c>
      <c r="D2063" s="7">
        <v>74.580001999999993</v>
      </c>
      <c r="E2063" s="7">
        <v>69.730919</v>
      </c>
      <c r="F2063" s="7">
        <v>74.959998999999996</v>
      </c>
      <c r="G2063" s="7">
        <v>74.360000999999997</v>
      </c>
      <c r="H2063" s="8">
        <f t="shared" si="34"/>
        <v>-4.0063436434166757E-3</v>
      </c>
    </row>
    <row r="2064" spans="2:8" x14ac:dyDescent="0.2">
      <c r="B2064" s="5">
        <v>44265</v>
      </c>
      <c r="C2064" s="6" t="s">
        <v>19</v>
      </c>
      <c r="D2064" s="7">
        <v>74.430000000000007</v>
      </c>
      <c r="E2064" s="7">
        <v>69.590671</v>
      </c>
      <c r="F2064" s="7">
        <v>74.599997999999999</v>
      </c>
      <c r="G2064" s="7">
        <v>74.050003000000004</v>
      </c>
      <c r="H2064" s="8">
        <f t="shared" si="34"/>
        <v>-2.0112898361143304E-3</v>
      </c>
    </row>
    <row r="2065" spans="2:8" x14ac:dyDescent="0.2">
      <c r="B2065" s="5">
        <v>44266</v>
      </c>
      <c r="C2065" s="6" t="s">
        <v>19</v>
      </c>
      <c r="D2065" s="7">
        <v>74.919998000000007</v>
      </c>
      <c r="E2065" s="7">
        <v>70.048810000000003</v>
      </c>
      <c r="F2065" s="7">
        <v>74.970000999999996</v>
      </c>
      <c r="G2065" s="7">
        <v>74.199996999999996</v>
      </c>
      <c r="H2065" s="8">
        <f t="shared" si="34"/>
        <v>6.5833400510546805E-3</v>
      </c>
    </row>
    <row r="2066" spans="2:8" x14ac:dyDescent="0.2">
      <c r="B2066" s="5">
        <v>44267</v>
      </c>
      <c r="C2066" s="6" t="s">
        <v>19</v>
      </c>
      <c r="D2066" s="7">
        <v>75.529999000000004</v>
      </c>
      <c r="E2066" s="7">
        <v>70.619148999999993</v>
      </c>
      <c r="F2066" s="7">
        <v>75.75</v>
      </c>
      <c r="G2066" s="7">
        <v>74.819999999999993</v>
      </c>
      <c r="H2066" s="8">
        <f t="shared" si="34"/>
        <v>8.1420317176195984E-3</v>
      </c>
    </row>
    <row r="2067" spans="2:8" x14ac:dyDescent="0.2">
      <c r="B2067" s="5">
        <v>44268</v>
      </c>
      <c r="C2067" s="6" t="s">
        <v>19</v>
      </c>
      <c r="D2067" s="7">
        <v>74.930000000000007</v>
      </c>
      <c r="E2067" s="7">
        <v>70.058160999999998</v>
      </c>
      <c r="F2067" s="7">
        <v>76.180000000000007</v>
      </c>
      <c r="G2067" s="7">
        <v>74.910004000000001</v>
      </c>
      <c r="H2067" s="8">
        <f t="shared" si="34"/>
        <v>-7.9438502309525632E-3</v>
      </c>
    </row>
    <row r="2068" spans="2:8" x14ac:dyDescent="0.2">
      <c r="B2068" s="5">
        <v>44269</v>
      </c>
      <c r="C2068" s="6" t="s">
        <v>19</v>
      </c>
      <c r="D2068" s="7">
        <v>74.279999000000004</v>
      </c>
      <c r="E2068" s="7">
        <v>69.450422000000003</v>
      </c>
      <c r="F2068" s="7">
        <v>75.069999999999993</v>
      </c>
      <c r="G2068" s="7">
        <v>74.269997000000004</v>
      </c>
      <c r="H2068" s="8">
        <f t="shared" si="34"/>
        <v>-8.6747764580275329E-3</v>
      </c>
    </row>
    <row r="2069" spans="2:8" x14ac:dyDescent="0.2">
      <c r="B2069" s="5">
        <v>44272</v>
      </c>
      <c r="C2069" s="6" t="s">
        <v>19</v>
      </c>
      <c r="D2069" s="7">
        <v>74.680000000000007</v>
      </c>
      <c r="E2069" s="7">
        <v>69.824415999999999</v>
      </c>
      <c r="F2069" s="7">
        <v>74.849997999999999</v>
      </c>
      <c r="G2069" s="7">
        <v>74.010002</v>
      </c>
      <c r="H2069" s="8">
        <f t="shared" si="34"/>
        <v>5.3850431527335254E-3</v>
      </c>
    </row>
    <row r="2070" spans="2:8" x14ac:dyDescent="0.2">
      <c r="B2070" s="5">
        <v>44273</v>
      </c>
      <c r="C2070" s="6" t="s">
        <v>19</v>
      </c>
      <c r="D2070" s="7">
        <v>74.769997000000004</v>
      </c>
      <c r="E2070" s="7">
        <v>69.908561000000006</v>
      </c>
      <c r="F2070" s="7">
        <v>74.989998</v>
      </c>
      <c r="G2070" s="7">
        <v>74.449996999999996</v>
      </c>
      <c r="H2070" s="8">
        <f t="shared" si="34"/>
        <v>1.2051017675414671E-3</v>
      </c>
    </row>
    <row r="2071" spans="2:8" x14ac:dyDescent="0.2">
      <c r="B2071" s="5">
        <v>44274</v>
      </c>
      <c r="C2071" s="6" t="s">
        <v>19</v>
      </c>
      <c r="D2071" s="7">
        <v>74.379997000000003</v>
      </c>
      <c r="E2071" s="7">
        <v>69.543919000000002</v>
      </c>
      <c r="F2071" s="7">
        <v>75.110000999999997</v>
      </c>
      <c r="G2071" s="7">
        <v>74.019997000000004</v>
      </c>
      <c r="H2071" s="8">
        <f t="shared" si="34"/>
        <v>-5.2159959294902818E-3</v>
      </c>
    </row>
    <row r="2072" spans="2:8" x14ac:dyDescent="0.2">
      <c r="B2072" s="5">
        <v>44275</v>
      </c>
      <c r="C2072" s="6" t="s">
        <v>19</v>
      </c>
      <c r="D2072" s="7">
        <v>75.379997000000003</v>
      </c>
      <c r="E2072" s="7">
        <v>70.478899999999996</v>
      </c>
      <c r="F2072" s="7">
        <v>75.680000000000007</v>
      </c>
      <c r="G2072" s="7">
        <v>73.860000999999997</v>
      </c>
      <c r="H2072" s="8">
        <f t="shared" si="34"/>
        <v>1.3444474863315738E-2</v>
      </c>
    </row>
    <row r="2073" spans="2:8" x14ac:dyDescent="0.2">
      <c r="B2073" s="5">
        <v>44276</v>
      </c>
      <c r="C2073" s="6" t="s">
        <v>19</v>
      </c>
      <c r="D2073" s="7">
        <v>76.099997999999999</v>
      </c>
      <c r="E2073" s="7">
        <v>71.152088000000006</v>
      </c>
      <c r="F2073" s="7">
        <v>77.019997000000004</v>
      </c>
      <c r="G2073" s="7">
        <v>75.449996999999996</v>
      </c>
      <c r="H2073" s="8">
        <f t="shared" si="34"/>
        <v>9.5516188465753892E-3</v>
      </c>
    </row>
    <row r="2074" spans="2:8" x14ac:dyDescent="0.2">
      <c r="B2074" s="5">
        <v>44279</v>
      </c>
      <c r="C2074" s="6" t="s">
        <v>19</v>
      </c>
      <c r="D2074" s="7">
        <v>76.760002</v>
      </c>
      <c r="E2074" s="7">
        <v>71.769178999999994</v>
      </c>
      <c r="F2074" s="7">
        <v>76.800003000000004</v>
      </c>
      <c r="G2074" s="7">
        <v>76.110000999999997</v>
      </c>
      <c r="H2074" s="8">
        <f t="shared" si="34"/>
        <v>8.6728517391025522E-3</v>
      </c>
    </row>
    <row r="2075" spans="2:8" x14ac:dyDescent="0.2">
      <c r="B2075" s="5">
        <v>44280</v>
      </c>
      <c r="C2075" s="6" t="s">
        <v>19</v>
      </c>
      <c r="D2075" s="7">
        <v>76.870002999999997</v>
      </c>
      <c r="E2075" s="7">
        <v>71.872028</v>
      </c>
      <c r="F2075" s="7">
        <v>77.139999000000003</v>
      </c>
      <c r="G2075" s="7">
        <v>76.160004000000001</v>
      </c>
      <c r="H2075" s="8">
        <f t="shared" si="34"/>
        <v>1.4330510309261966E-3</v>
      </c>
    </row>
    <row r="2076" spans="2:8" x14ac:dyDescent="0.2">
      <c r="B2076" s="5">
        <v>44281</v>
      </c>
      <c r="C2076" s="6" t="s">
        <v>19</v>
      </c>
      <c r="D2076" s="7">
        <v>76.230002999999996</v>
      </c>
      <c r="E2076" s="7">
        <v>71.27364</v>
      </c>
      <c r="F2076" s="7">
        <v>77.529999000000004</v>
      </c>
      <c r="G2076" s="7">
        <v>76.230002999999996</v>
      </c>
      <c r="H2076" s="8">
        <f t="shared" si="34"/>
        <v>-8.3257444389588566E-3</v>
      </c>
    </row>
    <row r="2077" spans="2:8" x14ac:dyDescent="0.2">
      <c r="B2077" s="5">
        <v>44282</v>
      </c>
      <c r="C2077" s="6" t="s">
        <v>19</v>
      </c>
      <c r="D2077" s="7">
        <v>76.139999000000003</v>
      </c>
      <c r="E2077" s="7">
        <v>71.189487999999997</v>
      </c>
      <c r="F2077" s="7">
        <v>76.819999999999993</v>
      </c>
      <c r="G2077" s="7">
        <v>76.040001000000004</v>
      </c>
      <c r="H2077" s="8">
        <f t="shared" si="34"/>
        <v>-1.1806899705880021E-3</v>
      </c>
    </row>
    <row r="2078" spans="2:8" x14ac:dyDescent="0.2">
      <c r="B2078" s="5">
        <v>44283</v>
      </c>
      <c r="C2078" s="6" t="s">
        <v>19</v>
      </c>
      <c r="D2078" s="7">
        <v>76.010002</v>
      </c>
      <c r="E2078" s="7">
        <v>71.067943</v>
      </c>
      <c r="F2078" s="7">
        <v>76.599997999999999</v>
      </c>
      <c r="G2078" s="7">
        <v>75.769997000000004</v>
      </c>
      <c r="H2078" s="8">
        <f t="shared" si="34"/>
        <v>-1.7073417613257787E-3</v>
      </c>
    </row>
    <row r="2079" spans="2:8" x14ac:dyDescent="0.2">
      <c r="B2079" s="5">
        <v>44286</v>
      </c>
      <c r="C2079" s="6" t="s">
        <v>19</v>
      </c>
      <c r="D2079" s="7">
        <v>76.430000000000007</v>
      </c>
      <c r="E2079" s="7">
        <v>71.460633999999999</v>
      </c>
      <c r="F2079" s="7">
        <v>76.779999000000004</v>
      </c>
      <c r="G2079" s="7">
        <v>76.019997000000004</v>
      </c>
      <c r="H2079" s="8">
        <f t="shared" si="34"/>
        <v>5.5255622806062651E-3</v>
      </c>
    </row>
    <row r="2080" spans="2:8" x14ac:dyDescent="0.2">
      <c r="B2080" s="5">
        <v>44287</v>
      </c>
      <c r="C2080" s="6" t="s">
        <v>19</v>
      </c>
      <c r="D2080" s="7">
        <v>76.769997000000004</v>
      </c>
      <c r="E2080" s="7">
        <v>71.778524000000004</v>
      </c>
      <c r="F2080" s="7">
        <v>77.25</v>
      </c>
      <c r="G2080" s="7">
        <v>76.540001000000004</v>
      </c>
      <c r="H2080" s="8">
        <f t="shared" si="34"/>
        <v>4.4484757294255758E-3</v>
      </c>
    </row>
    <row r="2081" spans="2:8" x14ac:dyDescent="0.2">
      <c r="B2081" s="5">
        <v>44288</v>
      </c>
      <c r="C2081" s="6" t="s">
        <v>19</v>
      </c>
      <c r="D2081" s="7">
        <v>77.180000000000007</v>
      </c>
      <c r="E2081" s="7">
        <v>72.161869999999993</v>
      </c>
      <c r="F2081" s="7">
        <v>77.190002000000007</v>
      </c>
      <c r="G2081" s="7">
        <v>76.339995999999999</v>
      </c>
      <c r="H2081" s="8">
        <f t="shared" si="34"/>
        <v>5.3406671358864743E-3</v>
      </c>
    </row>
    <row r="2082" spans="2:8" x14ac:dyDescent="0.2">
      <c r="B2082" s="5">
        <v>44289</v>
      </c>
      <c r="C2082" s="6" t="s">
        <v>19</v>
      </c>
      <c r="D2082" s="7">
        <v>77.459998999999996</v>
      </c>
      <c r="E2082" s="7">
        <v>72.423663000000005</v>
      </c>
      <c r="F2082" s="7">
        <v>77.550003000000004</v>
      </c>
      <c r="G2082" s="7">
        <v>77</v>
      </c>
      <c r="H2082" s="8">
        <f t="shared" si="34"/>
        <v>3.627869914485481E-3</v>
      </c>
    </row>
    <row r="2083" spans="2:8" x14ac:dyDescent="0.2">
      <c r="B2083" s="5">
        <v>44290</v>
      </c>
      <c r="C2083" s="6" t="s">
        <v>19</v>
      </c>
      <c r="D2083" s="7">
        <v>77.309997999999993</v>
      </c>
      <c r="E2083" s="7">
        <v>72.283415000000005</v>
      </c>
      <c r="F2083" s="7">
        <v>77.900002000000001</v>
      </c>
      <c r="G2083" s="7">
        <v>77.25</v>
      </c>
      <c r="H2083" s="8">
        <f t="shared" si="34"/>
        <v>-1.9364962811321902E-3</v>
      </c>
    </row>
    <row r="2084" spans="2:8" x14ac:dyDescent="0.2">
      <c r="B2084" s="5">
        <v>44293</v>
      </c>
      <c r="C2084" s="6" t="s">
        <v>19</v>
      </c>
      <c r="D2084" s="7">
        <v>77.309997999999993</v>
      </c>
      <c r="E2084" s="7">
        <v>72.283415000000005</v>
      </c>
      <c r="F2084" s="7">
        <v>77.720000999999996</v>
      </c>
      <c r="G2084" s="7">
        <v>77.089995999999999</v>
      </c>
      <c r="H2084" s="8">
        <f t="shared" si="34"/>
        <v>0</v>
      </c>
    </row>
    <row r="2085" spans="2:8" x14ac:dyDescent="0.2">
      <c r="B2085" s="5">
        <v>44294</v>
      </c>
      <c r="C2085" s="6" t="s">
        <v>19</v>
      </c>
      <c r="D2085" s="7">
        <v>78.180000000000007</v>
      </c>
      <c r="E2085" s="7">
        <v>73.096851000000001</v>
      </c>
      <c r="F2085" s="7">
        <v>78.309997999999993</v>
      </c>
      <c r="G2085" s="7">
        <v>76.800003000000004</v>
      </c>
      <c r="H2085" s="8">
        <f t="shared" si="34"/>
        <v>1.1253421582031522E-2</v>
      </c>
    </row>
    <row r="2086" spans="2:8" x14ac:dyDescent="0.2">
      <c r="B2086" s="5">
        <v>44295</v>
      </c>
      <c r="C2086" s="6" t="s">
        <v>19</v>
      </c>
      <c r="D2086" s="7">
        <v>77.970000999999996</v>
      </c>
      <c r="E2086" s="7">
        <v>72.900505999999993</v>
      </c>
      <c r="F2086" s="7">
        <v>78.220000999999996</v>
      </c>
      <c r="G2086" s="7">
        <v>77.279999000000004</v>
      </c>
      <c r="H2086" s="8">
        <f t="shared" si="34"/>
        <v>-2.6860961882835821E-3</v>
      </c>
    </row>
    <row r="2087" spans="2:8" x14ac:dyDescent="0.2">
      <c r="B2087" s="5">
        <v>44296</v>
      </c>
      <c r="C2087" s="6" t="s">
        <v>19</v>
      </c>
      <c r="D2087" s="7">
        <v>76.889999000000003</v>
      </c>
      <c r="E2087" s="7">
        <v>71.890724000000006</v>
      </c>
      <c r="F2087" s="7">
        <v>78.139999000000003</v>
      </c>
      <c r="G2087" s="7">
        <v>76.650002000000001</v>
      </c>
      <c r="H2087" s="8">
        <f t="shared" si="34"/>
        <v>-1.3851506812216063E-2</v>
      </c>
    </row>
    <row r="2088" spans="2:8" x14ac:dyDescent="0.2">
      <c r="B2088" s="5">
        <v>44297</v>
      </c>
      <c r="C2088" s="6" t="s">
        <v>19</v>
      </c>
      <c r="D2088" s="7">
        <v>76.5</v>
      </c>
      <c r="E2088" s="7">
        <v>71.526082000000002</v>
      </c>
      <c r="F2088" s="7">
        <v>77.230002999999996</v>
      </c>
      <c r="G2088" s="7">
        <v>76.290001000000004</v>
      </c>
      <c r="H2088" s="8">
        <f t="shared" si="34"/>
        <v>-5.0721680982204597E-3</v>
      </c>
    </row>
    <row r="2089" spans="2:8" x14ac:dyDescent="0.2">
      <c r="B2089" s="5">
        <v>44300</v>
      </c>
      <c r="C2089" s="6" t="s">
        <v>19</v>
      </c>
      <c r="D2089" s="7">
        <v>77.379997000000003</v>
      </c>
      <c r="E2089" s="7">
        <v>72.348862999999994</v>
      </c>
      <c r="F2089" s="7">
        <v>77.550003000000004</v>
      </c>
      <c r="G2089" s="7">
        <v>76.790001000000004</v>
      </c>
      <c r="H2089" s="8">
        <f t="shared" si="34"/>
        <v>1.1503228758169974E-2</v>
      </c>
    </row>
    <row r="2090" spans="2:8" x14ac:dyDescent="0.2">
      <c r="B2090" s="5">
        <v>44301</v>
      </c>
      <c r="C2090" s="6" t="s">
        <v>19</v>
      </c>
      <c r="D2090" s="7">
        <v>76.879997000000003</v>
      </c>
      <c r="E2090" s="7">
        <v>71.881371999999999</v>
      </c>
      <c r="F2090" s="7">
        <v>77.309997999999993</v>
      </c>
      <c r="G2090" s="7">
        <v>76.440002000000007</v>
      </c>
      <c r="H2090" s="8">
        <f t="shared" si="34"/>
        <v>-6.4616182396595332E-3</v>
      </c>
    </row>
    <row r="2091" spans="2:8" x14ac:dyDescent="0.2">
      <c r="B2091" s="5">
        <v>44302</v>
      </c>
      <c r="C2091" s="6" t="s">
        <v>19</v>
      </c>
      <c r="D2091" s="7">
        <v>77.220000999999996</v>
      </c>
      <c r="E2091" s="7">
        <v>72.199269999999999</v>
      </c>
      <c r="F2091" s="7">
        <v>77.470000999999996</v>
      </c>
      <c r="G2091" s="7">
        <v>77.029999000000004</v>
      </c>
      <c r="H2091" s="8">
        <f t="shared" si="34"/>
        <v>4.4225287886001515E-3</v>
      </c>
    </row>
    <row r="2092" spans="2:8" x14ac:dyDescent="0.2">
      <c r="B2092" s="5">
        <v>44303</v>
      </c>
      <c r="C2092" s="6" t="s">
        <v>19</v>
      </c>
      <c r="D2092" s="7">
        <v>77.660004000000001</v>
      </c>
      <c r="E2092" s="7">
        <v>72.610664</v>
      </c>
      <c r="F2092" s="7">
        <v>77.75</v>
      </c>
      <c r="G2092" s="7">
        <v>77.080001999999993</v>
      </c>
      <c r="H2092" s="8">
        <f t="shared" si="34"/>
        <v>5.6980444742548552E-3</v>
      </c>
    </row>
    <row r="2093" spans="2:8" x14ac:dyDescent="0.2">
      <c r="B2093" s="5">
        <v>44307</v>
      </c>
      <c r="C2093" s="6" t="s">
        <v>19</v>
      </c>
      <c r="D2093" s="7">
        <v>77.599997999999999</v>
      </c>
      <c r="E2093" s="7">
        <v>72.554559999999995</v>
      </c>
      <c r="F2093" s="7">
        <v>77.730002999999996</v>
      </c>
      <c r="G2093" s="7">
        <v>77.180000000000007</v>
      </c>
      <c r="H2093" s="8">
        <f t="shared" si="34"/>
        <v>-7.7267572636232848E-4</v>
      </c>
    </row>
    <row r="2094" spans="2:8" x14ac:dyDescent="0.2">
      <c r="B2094" s="5">
        <v>44308</v>
      </c>
      <c r="C2094" s="6" t="s">
        <v>19</v>
      </c>
      <c r="D2094" s="7">
        <v>77.559997999999993</v>
      </c>
      <c r="E2094" s="7">
        <v>72.517160000000004</v>
      </c>
      <c r="F2094" s="7">
        <v>77.830001999999993</v>
      </c>
      <c r="G2094" s="7">
        <v>77.389999000000003</v>
      </c>
      <c r="H2094" s="8">
        <f t="shared" si="34"/>
        <v>-5.1546393081100658E-4</v>
      </c>
    </row>
    <row r="2095" spans="2:8" x14ac:dyDescent="0.2">
      <c r="B2095" s="5">
        <v>44309</v>
      </c>
      <c r="C2095" s="6" t="s">
        <v>19</v>
      </c>
      <c r="D2095" s="7">
        <v>78.040001000000004</v>
      </c>
      <c r="E2095" s="7">
        <v>72.965953999999996</v>
      </c>
      <c r="F2095" s="7">
        <v>78.279999000000004</v>
      </c>
      <c r="G2095" s="7">
        <v>77.569999999999993</v>
      </c>
      <c r="H2095" s="8">
        <f t="shared" si="34"/>
        <v>6.1887959306034367E-3</v>
      </c>
    </row>
    <row r="2096" spans="2:8" x14ac:dyDescent="0.2">
      <c r="B2096" s="5">
        <v>44310</v>
      </c>
      <c r="C2096" s="6" t="s">
        <v>19</v>
      </c>
      <c r="D2096" s="7">
        <v>78.309997999999993</v>
      </c>
      <c r="E2096" s="7">
        <v>73.218395999999998</v>
      </c>
      <c r="F2096" s="7">
        <v>78.470000999999996</v>
      </c>
      <c r="G2096" s="7">
        <v>77.699996999999996</v>
      </c>
      <c r="H2096" s="8">
        <f t="shared" si="34"/>
        <v>3.4597257373175762E-3</v>
      </c>
    </row>
    <row r="2097" spans="2:8" x14ac:dyDescent="0.2">
      <c r="B2097" s="5">
        <v>44311</v>
      </c>
      <c r="C2097" s="6" t="s">
        <v>19</v>
      </c>
      <c r="D2097" s="7">
        <v>78.620002999999997</v>
      </c>
      <c r="E2097" s="7">
        <v>73.508245000000002</v>
      </c>
      <c r="F2097" s="7">
        <v>78.779999000000004</v>
      </c>
      <c r="G2097" s="7">
        <v>78.019997000000004</v>
      </c>
      <c r="H2097" s="8">
        <f t="shared" si="34"/>
        <v>3.9586899236034191E-3</v>
      </c>
    </row>
    <row r="2098" spans="2:8" x14ac:dyDescent="0.2">
      <c r="B2098" s="5">
        <v>44314</v>
      </c>
      <c r="C2098" s="6" t="s">
        <v>19</v>
      </c>
      <c r="D2098" s="7">
        <v>79.760002</v>
      </c>
      <c r="E2098" s="7">
        <v>74.574123999999998</v>
      </c>
      <c r="F2098" s="7">
        <v>79.989998</v>
      </c>
      <c r="G2098" s="7">
        <v>78.830001999999993</v>
      </c>
      <c r="H2098" s="8">
        <f t="shared" si="34"/>
        <v>1.4500113921389741E-2</v>
      </c>
    </row>
    <row r="2099" spans="2:8" x14ac:dyDescent="0.2">
      <c r="B2099" s="5">
        <v>44315</v>
      </c>
      <c r="C2099" s="6" t="s">
        <v>19</v>
      </c>
      <c r="D2099" s="7">
        <v>79.669998000000007</v>
      </c>
      <c r="E2099" s="7">
        <v>74.489971999999995</v>
      </c>
      <c r="F2099" s="7">
        <v>79.870002999999997</v>
      </c>
      <c r="G2099" s="7">
        <v>79.569999999999993</v>
      </c>
      <c r="H2099" s="8">
        <f t="shared" si="34"/>
        <v>-1.1284352776219002E-3</v>
      </c>
    </row>
    <row r="2100" spans="2:8" x14ac:dyDescent="0.2">
      <c r="B2100" s="5">
        <v>44316</v>
      </c>
      <c r="C2100" s="6" t="s">
        <v>19</v>
      </c>
      <c r="D2100" s="7">
        <v>79.709998999999996</v>
      </c>
      <c r="E2100" s="7">
        <v>74.527372</v>
      </c>
      <c r="F2100" s="7">
        <v>79.930000000000007</v>
      </c>
      <c r="G2100" s="7">
        <v>79.510002</v>
      </c>
      <c r="H2100" s="8">
        <f t="shared" si="34"/>
        <v>5.020836074326187E-4</v>
      </c>
    </row>
    <row r="2101" spans="2:8" x14ac:dyDescent="0.2">
      <c r="B2101" s="5">
        <v>44317</v>
      </c>
      <c r="C2101" s="6" t="s">
        <v>19</v>
      </c>
      <c r="D2101" s="7">
        <v>79.699996999999996</v>
      </c>
      <c r="E2101" s="7">
        <v>74.518020000000007</v>
      </c>
      <c r="F2101" s="7">
        <v>79.730002999999996</v>
      </c>
      <c r="G2101" s="7">
        <v>79.160004000000001</v>
      </c>
      <c r="H2101" s="8">
        <f t="shared" si="34"/>
        <v>-1.2547986608305023E-4</v>
      </c>
    </row>
    <row r="2102" spans="2:8" x14ac:dyDescent="0.2">
      <c r="B2102" s="5">
        <v>44318</v>
      </c>
      <c r="C2102" s="6" t="s">
        <v>19</v>
      </c>
      <c r="D2102" s="7">
        <v>79.120002999999997</v>
      </c>
      <c r="E2102" s="7">
        <v>73.975735999999998</v>
      </c>
      <c r="F2102" s="7">
        <v>79.760002</v>
      </c>
      <c r="G2102" s="7">
        <v>79.010002</v>
      </c>
      <c r="H2102" s="8">
        <f t="shared" si="34"/>
        <v>-7.2772148285024313E-3</v>
      </c>
    </row>
    <row r="2103" spans="2:8" x14ac:dyDescent="0.2">
      <c r="B2103" s="5">
        <v>44321</v>
      </c>
      <c r="C2103" s="6" t="s">
        <v>19</v>
      </c>
      <c r="D2103" s="7">
        <v>78.620002999999997</v>
      </c>
      <c r="E2103" s="7">
        <v>73.508245000000002</v>
      </c>
      <c r="F2103" s="7">
        <v>78.949996999999996</v>
      </c>
      <c r="G2103" s="7">
        <v>78.510002</v>
      </c>
      <c r="H2103" s="8">
        <f t="shared" si="34"/>
        <v>-6.3195144216564303E-3</v>
      </c>
    </row>
    <row r="2104" spans="2:8" x14ac:dyDescent="0.2">
      <c r="B2104" s="5">
        <v>44322</v>
      </c>
      <c r="C2104" s="6" t="s">
        <v>19</v>
      </c>
      <c r="D2104" s="7">
        <v>78.010002</v>
      </c>
      <c r="E2104" s="7">
        <v>72.937905999999998</v>
      </c>
      <c r="F2104" s="7">
        <v>78.389999000000003</v>
      </c>
      <c r="G2104" s="7">
        <v>77.970000999999996</v>
      </c>
      <c r="H2104" s="8">
        <f t="shared" si="34"/>
        <v>-7.7588524131701813E-3</v>
      </c>
    </row>
    <row r="2105" spans="2:8" x14ac:dyDescent="0.2">
      <c r="B2105" s="5">
        <v>44323</v>
      </c>
      <c r="C2105" s="6" t="s">
        <v>19</v>
      </c>
      <c r="D2105" s="7">
        <v>77.959998999999996</v>
      </c>
      <c r="E2105" s="7">
        <v>73.342434999999995</v>
      </c>
      <c r="F2105" s="7">
        <v>78.099997999999999</v>
      </c>
      <c r="G2105" s="7">
        <v>77.529999000000004</v>
      </c>
      <c r="H2105" s="8">
        <f t="shared" si="34"/>
        <v>-6.409819089609022E-4</v>
      </c>
    </row>
    <row r="2106" spans="2:8" x14ac:dyDescent="0.2">
      <c r="B2106" s="5">
        <v>44324</v>
      </c>
      <c r="C2106" s="6" t="s">
        <v>19</v>
      </c>
      <c r="D2106" s="7">
        <v>78.690002000000007</v>
      </c>
      <c r="E2106" s="7">
        <v>74.029201</v>
      </c>
      <c r="F2106" s="7">
        <v>78.830001999999993</v>
      </c>
      <c r="G2106" s="7">
        <v>78</v>
      </c>
      <c r="H2106" s="8">
        <f t="shared" si="34"/>
        <v>9.3638148969192609E-3</v>
      </c>
    </row>
    <row r="2107" spans="2:8" x14ac:dyDescent="0.2">
      <c r="B2107" s="5">
        <v>44325</v>
      </c>
      <c r="C2107" s="6" t="s">
        <v>19</v>
      </c>
      <c r="D2107" s="7">
        <v>79.199996999999996</v>
      </c>
      <c r="E2107" s="7">
        <v>74.508988000000002</v>
      </c>
      <c r="F2107" s="7">
        <v>79.279999000000004</v>
      </c>
      <c r="G2107" s="7">
        <v>78.519997000000004</v>
      </c>
      <c r="H2107" s="8">
        <f t="shared" si="34"/>
        <v>6.4810647736416281E-3</v>
      </c>
    </row>
    <row r="2108" spans="2:8" x14ac:dyDescent="0.2">
      <c r="B2108" s="5">
        <v>44328</v>
      </c>
      <c r="C2108" s="6" t="s">
        <v>19</v>
      </c>
      <c r="D2108" s="7">
        <v>79.150002000000001</v>
      </c>
      <c r="E2108" s="7">
        <v>74.461954000000006</v>
      </c>
      <c r="F2108" s="7">
        <v>79.230002999999996</v>
      </c>
      <c r="G2108" s="7">
        <v>78.650002000000001</v>
      </c>
      <c r="H2108" s="8">
        <f t="shared" si="34"/>
        <v>-6.3125002391092985E-4</v>
      </c>
    </row>
    <row r="2109" spans="2:8" x14ac:dyDescent="0.2">
      <c r="B2109" s="5">
        <v>44329</v>
      </c>
      <c r="C2109" s="6" t="s">
        <v>19</v>
      </c>
      <c r="D2109" s="7">
        <v>79.139999000000003</v>
      </c>
      <c r="E2109" s="7">
        <v>74.452544000000003</v>
      </c>
      <c r="F2109" s="7">
        <v>79.370002999999997</v>
      </c>
      <c r="G2109" s="7">
        <v>78.989998</v>
      </c>
      <c r="H2109" s="8">
        <f t="shared" si="34"/>
        <v>-1.2638028739402358E-4</v>
      </c>
    </row>
    <row r="2110" spans="2:8" x14ac:dyDescent="0.2">
      <c r="B2110" s="5">
        <v>44330</v>
      </c>
      <c r="C2110" s="6" t="s">
        <v>19</v>
      </c>
      <c r="D2110" s="7">
        <v>78.739998</v>
      </c>
      <c r="E2110" s="7">
        <v>74.076234999999997</v>
      </c>
      <c r="F2110" s="7">
        <v>79.050003000000004</v>
      </c>
      <c r="G2110" s="7">
        <v>78.069999999999993</v>
      </c>
      <c r="H2110" s="8">
        <f t="shared" si="34"/>
        <v>-5.0543467911846086E-3</v>
      </c>
    </row>
    <row r="2111" spans="2:8" x14ac:dyDescent="0.2">
      <c r="B2111" s="5">
        <v>44331</v>
      </c>
      <c r="C2111" s="6" t="s">
        <v>19</v>
      </c>
      <c r="D2111" s="7">
        <v>76.830001999999993</v>
      </c>
      <c r="E2111" s="7">
        <v>72.279368000000005</v>
      </c>
      <c r="F2111" s="7">
        <v>77.440002000000007</v>
      </c>
      <c r="G2111" s="7">
        <v>76.25</v>
      </c>
      <c r="H2111" s="8">
        <f t="shared" si="34"/>
        <v>-2.4256998330124502E-2</v>
      </c>
    </row>
    <row r="2112" spans="2:8" x14ac:dyDescent="0.2">
      <c r="B2112" s="5">
        <v>44332</v>
      </c>
      <c r="C2112" s="6" t="s">
        <v>19</v>
      </c>
      <c r="D2112" s="7">
        <v>77.010002</v>
      </c>
      <c r="E2112" s="7">
        <v>72.448706999999999</v>
      </c>
      <c r="F2112" s="7">
        <v>77.379997000000003</v>
      </c>
      <c r="G2112" s="7">
        <v>76.650002000000001</v>
      </c>
      <c r="H2112" s="8">
        <f t="shared" si="34"/>
        <v>2.3428347691570651E-3</v>
      </c>
    </row>
    <row r="2113" spans="2:8" x14ac:dyDescent="0.2">
      <c r="B2113" s="5">
        <v>44335</v>
      </c>
      <c r="C2113" s="6" t="s">
        <v>19</v>
      </c>
      <c r="D2113" s="7">
        <v>76.610000999999997</v>
      </c>
      <c r="E2113" s="7">
        <v>72.072396999999995</v>
      </c>
      <c r="F2113" s="7">
        <v>77.129997000000003</v>
      </c>
      <c r="G2113" s="7">
        <v>76.5</v>
      </c>
      <c r="H2113" s="8">
        <f t="shared" si="34"/>
        <v>-5.1941434828167276E-3</v>
      </c>
    </row>
    <row r="2114" spans="2:8" x14ac:dyDescent="0.2">
      <c r="B2114" s="5">
        <v>44336</v>
      </c>
      <c r="C2114" s="6" t="s">
        <v>19</v>
      </c>
      <c r="D2114" s="7">
        <v>75.690002000000007</v>
      </c>
      <c r="E2114" s="7">
        <v>71.206890000000001</v>
      </c>
      <c r="F2114" s="7">
        <v>76.370002999999997</v>
      </c>
      <c r="G2114" s="7">
        <v>75.519997000000004</v>
      </c>
      <c r="H2114" s="8">
        <f t="shared" si="34"/>
        <v>-1.200886291595258E-2</v>
      </c>
    </row>
    <row r="2115" spans="2:8" x14ac:dyDescent="0.2">
      <c r="B2115" s="5">
        <v>44337</v>
      </c>
      <c r="C2115" s="6" t="s">
        <v>19</v>
      </c>
      <c r="D2115" s="7">
        <v>75.660004000000001</v>
      </c>
      <c r="E2115" s="7">
        <v>71.178668000000002</v>
      </c>
      <c r="F2115" s="7">
        <v>75.959998999999996</v>
      </c>
      <c r="G2115" s="7">
        <v>75.269997000000004</v>
      </c>
      <c r="H2115" s="8">
        <f t="shared" si="34"/>
        <v>-3.9632711332212916E-4</v>
      </c>
    </row>
    <row r="2116" spans="2:8" x14ac:dyDescent="0.2">
      <c r="B2116" s="5">
        <v>44338</v>
      </c>
      <c r="C2116" s="6" t="s">
        <v>19</v>
      </c>
      <c r="D2116" s="7">
        <v>75.389999000000003</v>
      </c>
      <c r="E2116" s="7">
        <v>70.924655999999999</v>
      </c>
      <c r="F2116" s="7">
        <v>75.919998000000007</v>
      </c>
      <c r="G2116" s="7">
        <v>75.239998</v>
      </c>
      <c r="H2116" s="8">
        <f t="shared" ref="H2116:H2179" si="35">(D2116-D2115)/D2115</f>
        <v>-3.5686622485507349E-3</v>
      </c>
    </row>
    <row r="2117" spans="2:8" x14ac:dyDescent="0.2">
      <c r="B2117" s="5">
        <v>44339</v>
      </c>
      <c r="C2117" s="6" t="s">
        <v>19</v>
      </c>
      <c r="D2117" s="7">
        <v>75.610000999999997</v>
      </c>
      <c r="E2117" s="7">
        <v>71.131626999999995</v>
      </c>
      <c r="F2117" s="7">
        <v>75.75</v>
      </c>
      <c r="G2117" s="7">
        <v>75.430000000000007</v>
      </c>
      <c r="H2117" s="8">
        <f t="shared" si="35"/>
        <v>2.918185474441959E-3</v>
      </c>
    </row>
    <row r="2118" spans="2:8" x14ac:dyDescent="0.2">
      <c r="B2118" s="5">
        <v>44343</v>
      </c>
      <c r="C2118" s="6" t="s">
        <v>19</v>
      </c>
      <c r="D2118" s="7">
        <v>75.589995999999999</v>
      </c>
      <c r="E2118" s="7">
        <v>71.112808000000001</v>
      </c>
      <c r="F2118" s="7">
        <v>75.809997999999993</v>
      </c>
      <c r="G2118" s="7">
        <v>75.290001000000004</v>
      </c>
      <c r="H2118" s="8">
        <f t="shared" si="35"/>
        <v>-2.6458140107679152E-4</v>
      </c>
    </row>
    <row r="2119" spans="2:8" x14ac:dyDescent="0.2">
      <c r="B2119" s="5">
        <v>44344</v>
      </c>
      <c r="C2119" s="6" t="s">
        <v>19</v>
      </c>
      <c r="D2119" s="7">
        <v>75.529999000000004</v>
      </c>
      <c r="E2119" s="7">
        <v>71.056364000000002</v>
      </c>
      <c r="F2119" s="7">
        <v>75.940002000000007</v>
      </c>
      <c r="G2119" s="7">
        <v>75.339995999999999</v>
      </c>
      <c r="H2119" s="8">
        <f t="shared" si="35"/>
        <v>-7.9371614201429028E-4</v>
      </c>
    </row>
    <row r="2120" spans="2:8" x14ac:dyDescent="0.2">
      <c r="B2120" s="5">
        <v>44345</v>
      </c>
      <c r="C2120" s="6" t="s">
        <v>19</v>
      </c>
      <c r="D2120" s="7">
        <v>75.980002999999996</v>
      </c>
      <c r="E2120" s="7">
        <v>71.479714999999999</v>
      </c>
      <c r="F2120" s="7">
        <v>76.190002000000007</v>
      </c>
      <c r="G2120" s="7">
        <v>75.569999999999993</v>
      </c>
      <c r="H2120" s="8">
        <f t="shared" si="35"/>
        <v>5.9579505621335004E-3</v>
      </c>
    </row>
    <row r="2121" spans="2:8" x14ac:dyDescent="0.2">
      <c r="B2121" s="5">
        <v>44346</v>
      </c>
      <c r="C2121" s="6" t="s">
        <v>19</v>
      </c>
      <c r="D2121" s="7">
        <v>76.769997000000004</v>
      </c>
      <c r="E2121" s="7">
        <v>72.222916999999995</v>
      </c>
      <c r="F2121" s="7">
        <v>76.809997999999993</v>
      </c>
      <c r="G2121" s="7">
        <v>76.010002</v>
      </c>
      <c r="H2121" s="8">
        <f t="shared" si="35"/>
        <v>1.0397393640534698E-2</v>
      </c>
    </row>
    <row r="2122" spans="2:8" x14ac:dyDescent="0.2">
      <c r="B2122" s="5">
        <v>44349</v>
      </c>
      <c r="C2122" s="6" t="s">
        <v>19</v>
      </c>
      <c r="D2122" s="7">
        <v>76.760002</v>
      </c>
      <c r="E2122" s="7">
        <v>72.213514000000004</v>
      </c>
      <c r="F2122" s="7">
        <v>77.110000999999997</v>
      </c>
      <c r="G2122" s="7">
        <v>76.470000999999996</v>
      </c>
      <c r="H2122" s="8">
        <f t="shared" si="35"/>
        <v>-1.3019409131934093E-4</v>
      </c>
    </row>
    <row r="2123" spans="2:8" x14ac:dyDescent="0.2">
      <c r="B2123" s="5">
        <v>44350</v>
      </c>
      <c r="C2123" s="6" t="s">
        <v>19</v>
      </c>
      <c r="D2123" s="7">
        <v>76.709998999999996</v>
      </c>
      <c r="E2123" s="7">
        <v>72.166472999999996</v>
      </c>
      <c r="F2123" s="7">
        <v>76.970000999999996</v>
      </c>
      <c r="G2123" s="7">
        <v>76.360000999999997</v>
      </c>
      <c r="H2123" s="8">
        <f t="shared" si="35"/>
        <v>-6.514199934492419E-4</v>
      </c>
    </row>
    <row r="2124" spans="2:8" x14ac:dyDescent="0.2">
      <c r="B2124" s="5">
        <v>44351</v>
      </c>
      <c r="C2124" s="6" t="s">
        <v>19</v>
      </c>
      <c r="D2124" s="7">
        <v>77.129997000000003</v>
      </c>
      <c r="E2124" s="7">
        <v>72.561593999999999</v>
      </c>
      <c r="F2124" s="7">
        <v>77.300003000000004</v>
      </c>
      <c r="G2124" s="7">
        <v>76.529999000000004</v>
      </c>
      <c r="H2124" s="8">
        <f t="shared" si="35"/>
        <v>5.4751402095573843E-3</v>
      </c>
    </row>
    <row r="2125" spans="2:8" x14ac:dyDescent="0.2">
      <c r="B2125" s="5">
        <v>44352</v>
      </c>
      <c r="C2125" s="6" t="s">
        <v>19</v>
      </c>
      <c r="D2125" s="7">
        <v>77.319999999999993</v>
      </c>
      <c r="E2125" s="7">
        <v>72.740342999999996</v>
      </c>
      <c r="F2125" s="7">
        <v>77.440002000000007</v>
      </c>
      <c r="G2125" s="7">
        <v>76.870002999999997</v>
      </c>
      <c r="H2125" s="8">
        <f t="shared" si="35"/>
        <v>2.4634125164038337E-3</v>
      </c>
    </row>
    <row r="2126" spans="2:8" x14ac:dyDescent="0.2">
      <c r="B2126" s="5">
        <v>44353</v>
      </c>
      <c r="C2126" s="6" t="s">
        <v>19</v>
      </c>
      <c r="D2126" s="7">
        <v>77.209998999999996</v>
      </c>
      <c r="E2126" s="7">
        <v>72.636858000000004</v>
      </c>
      <c r="F2126" s="7">
        <v>77.589995999999999</v>
      </c>
      <c r="G2126" s="7">
        <v>77.069999999999993</v>
      </c>
      <c r="H2126" s="8">
        <f t="shared" si="35"/>
        <v>-1.4226720124158939E-3</v>
      </c>
    </row>
    <row r="2127" spans="2:8" x14ac:dyDescent="0.2">
      <c r="B2127" s="5">
        <v>44356</v>
      </c>
      <c r="C2127" s="6" t="s">
        <v>19</v>
      </c>
      <c r="D2127" s="7">
        <v>77.010002</v>
      </c>
      <c r="E2127" s="7">
        <v>72.448706999999999</v>
      </c>
      <c r="F2127" s="7">
        <v>77.760002</v>
      </c>
      <c r="G2127" s="7">
        <v>76.699996999999996</v>
      </c>
      <c r="H2127" s="8">
        <f t="shared" si="35"/>
        <v>-2.5902992175922215E-3</v>
      </c>
    </row>
    <row r="2128" spans="2:8" x14ac:dyDescent="0.2">
      <c r="B2128" s="5">
        <v>44357</v>
      </c>
      <c r="C2128" s="6" t="s">
        <v>19</v>
      </c>
      <c r="D2128" s="7">
        <v>76.620002999999997</v>
      </c>
      <c r="E2128" s="7">
        <v>72.081806999999998</v>
      </c>
      <c r="F2128" s="7">
        <v>76.940002000000007</v>
      </c>
      <c r="G2128" s="7">
        <v>76.510002</v>
      </c>
      <c r="H2128" s="8">
        <f t="shared" si="35"/>
        <v>-5.0642642497269784E-3</v>
      </c>
    </row>
    <row r="2129" spans="2:8" x14ac:dyDescent="0.2">
      <c r="B2129" s="5">
        <v>44358</v>
      </c>
      <c r="C2129" s="6" t="s">
        <v>19</v>
      </c>
      <c r="D2129" s="7">
        <v>76.160004000000001</v>
      </c>
      <c r="E2129" s="7">
        <v>71.649052999999995</v>
      </c>
      <c r="F2129" s="7">
        <v>76.739998</v>
      </c>
      <c r="G2129" s="7">
        <v>76.050003000000004</v>
      </c>
      <c r="H2129" s="8">
        <f t="shared" si="35"/>
        <v>-6.0036411118385927E-3</v>
      </c>
    </row>
    <row r="2130" spans="2:8" x14ac:dyDescent="0.2">
      <c r="B2130" s="5">
        <v>44359</v>
      </c>
      <c r="C2130" s="6" t="s">
        <v>19</v>
      </c>
      <c r="D2130" s="7">
        <v>75.730002999999996</v>
      </c>
      <c r="E2130" s="7">
        <v>71.244522000000003</v>
      </c>
      <c r="F2130" s="7">
        <v>76.190002000000007</v>
      </c>
      <c r="G2130" s="7">
        <v>75.580001999999993</v>
      </c>
      <c r="H2130" s="8">
        <f t="shared" si="35"/>
        <v>-5.6460212370787726E-3</v>
      </c>
    </row>
    <row r="2131" spans="2:8" x14ac:dyDescent="0.2">
      <c r="B2131" s="5">
        <v>44360</v>
      </c>
      <c r="C2131" s="6" t="s">
        <v>19</v>
      </c>
      <c r="D2131" s="7">
        <v>75.279999000000004</v>
      </c>
      <c r="E2131" s="7">
        <v>70.821171000000007</v>
      </c>
      <c r="F2131" s="7">
        <v>75.760002</v>
      </c>
      <c r="G2131" s="7">
        <v>75.120002999999997</v>
      </c>
      <c r="H2131" s="8">
        <f t="shared" si="35"/>
        <v>-5.9422155311415047E-3</v>
      </c>
    </row>
    <row r="2132" spans="2:8" x14ac:dyDescent="0.2">
      <c r="B2132" s="5">
        <v>44363</v>
      </c>
      <c r="C2132" s="6" t="s">
        <v>19</v>
      </c>
      <c r="D2132" s="7">
        <v>75.339995999999999</v>
      </c>
      <c r="E2132" s="7">
        <v>70.877615000000006</v>
      </c>
      <c r="F2132" s="7">
        <v>75.480002999999996</v>
      </c>
      <c r="G2132" s="7">
        <v>75.019997000000004</v>
      </c>
      <c r="H2132" s="8">
        <f t="shared" si="35"/>
        <v>7.9698460144766515E-4</v>
      </c>
    </row>
    <row r="2133" spans="2:8" x14ac:dyDescent="0.2">
      <c r="B2133" s="5">
        <v>44364</v>
      </c>
      <c r="C2133" s="6" t="s">
        <v>19</v>
      </c>
      <c r="D2133" s="7">
        <v>74.989998</v>
      </c>
      <c r="E2133" s="7">
        <v>70.548347000000007</v>
      </c>
      <c r="F2133" s="7">
        <v>75.419998000000007</v>
      </c>
      <c r="G2133" s="7">
        <v>74.919998000000007</v>
      </c>
      <c r="H2133" s="8">
        <f t="shared" si="35"/>
        <v>-4.6455802838109971E-3</v>
      </c>
    </row>
    <row r="2134" spans="2:8" x14ac:dyDescent="0.2">
      <c r="B2134" s="5">
        <v>44365</v>
      </c>
      <c r="C2134" s="6" t="s">
        <v>19</v>
      </c>
      <c r="D2134" s="7">
        <v>75.699996999999996</v>
      </c>
      <c r="E2134" s="7">
        <v>71.216292999999993</v>
      </c>
      <c r="F2134" s="7">
        <v>75.959998999999996</v>
      </c>
      <c r="G2134" s="7">
        <v>74.919998000000007</v>
      </c>
      <c r="H2134" s="8">
        <f t="shared" si="35"/>
        <v>9.4679159746076571E-3</v>
      </c>
    </row>
    <row r="2135" spans="2:8" x14ac:dyDescent="0.2">
      <c r="B2135" s="5">
        <v>44366</v>
      </c>
      <c r="C2135" s="6" t="s">
        <v>19</v>
      </c>
      <c r="D2135" s="7">
        <v>75.870002999999997</v>
      </c>
      <c r="E2135" s="7">
        <v>71.376228999999995</v>
      </c>
      <c r="F2135" s="7">
        <v>76.279999000000004</v>
      </c>
      <c r="G2135" s="7">
        <v>75.800003000000004</v>
      </c>
      <c r="H2135" s="8">
        <f t="shared" si="35"/>
        <v>2.2457860863587717E-3</v>
      </c>
    </row>
    <row r="2136" spans="2:8" x14ac:dyDescent="0.2">
      <c r="B2136" s="5">
        <v>44367</v>
      </c>
      <c r="C2136" s="6" t="s">
        <v>19</v>
      </c>
      <c r="D2136" s="7">
        <v>75.680000000000007</v>
      </c>
      <c r="E2136" s="7">
        <v>71.197480999999996</v>
      </c>
      <c r="F2136" s="7">
        <v>76.169998000000007</v>
      </c>
      <c r="G2136" s="7">
        <v>75.120002999999997</v>
      </c>
      <c r="H2136" s="8">
        <f t="shared" si="35"/>
        <v>-2.5043230853699868E-3</v>
      </c>
    </row>
    <row r="2137" spans="2:8" x14ac:dyDescent="0.2">
      <c r="B2137" s="5">
        <v>44370</v>
      </c>
      <c r="C2137" s="6" t="s">
        <v>19</v>
      </c>
      <c r="D2137" s="7">
        <v>75.790001000000004</v>
      </c>
      <c r="E2137" s="7">
        <v>71.300966000000003</v>
      </c>
      <c r="F2137" s="7">
        <v>75.940002000000007</v>
      </c>
      <c r="G2137" s="7">
        <v>75.300003000000004</v>
      </c>
      <c r="H2137" s="8">
        <f t="shared" si="35"/>
        <v>1.4535015856236377E-3</v>
      </c>
    </row>
    <row r="2138" spans="2:8" x14ac:dyDescent="0.2">
      <c r="B2138" s="5">
        <v>44371</v>
      </c>
      <c r="C2138" s="6" t="s">
        <v>19</v>
      </c>
      <c r="D2138" s="7">
        <v>75.970000999999996</v>
      </c>
      <c r="E2138" s="7">
        <v>71.470304999999996</v>
      </c>
      <c r="F2138" s="7">
        <v>76.209998999999996</v>
      </c>
      <c r="G2138" s="7">
        <v>75.680000000000007</v>
      </c>
      <c r="H2138" s="8">
        <f t="shared" si="35"/>
        <v>2.3749834757225111E-3</v>
      </c>
    </row>
    <row r="2139" spans="2:8" x14ac:dyDescent="0.2">
      <c r="B2139" s="5">
        <v>44372</v>
      </c>
      <c r="C2139" s="6" t="s">
        <v>19</v>
      </c>
      <c r="D2139" s="7">
        <v>75.620002999999997</v>
      </c>
      <c r="E2139" s="7">
        <v>71.141036999999997</v>
      </c>
      <c r="F2139" s="7">
        <v>75.839995999999999</v>
      </c>
      <c r="G2139" s="7">
        <v>75.279999000000004</v>
      </c>
      <c r="H2139" s="8">
        <f t="shared" si="35"/>
        <v>-4.6070553559687246E-3</v>
      </c>
    </row>
    <row r="2140" spans="2:8" x14ac:dyDescent="0.2">
      <c r="B2140" s="5">
        <v>44373</v>
      </c>
      <c r="C2140" s="6" t="s">
        <v>19</v>
      </c>
      <c r="D2140" s="7">
        <v>74.910004000000001</v>
      </c>
      <c r="E2140" s="7">
        <v>70.473090999999997</v>
      </c>
      <c r="F2140" s="7">
        <v>75.610000999999997</v>
      </c>
      <c r="G2140" s="7">
        <v>74.699996999999996</v>
      </c>
      <c r="H2140" s="8">
        <f t="shared" si="35"/>
        <v>-9.3890369192394275E-3</v>
      </c>
    </row>
    <row r="2141" spans="2:8" x14ac:dyDescent="0.2">
      <c r="B2141" s="5">
        <v>44374</v>
      </c>
      <c r="C2141" s="6" t="s">
        <v>19</v>
      </c>
      <c r="D2141" s="7">
        <v>75.339995999999999</v>
      </c>
      <c r="E2141" s="7">
        <v>70.877615000000006</v>
      </c>
      <c r="F2141" s="7">
        <v>75.379997000000003</v>
      </c>
      <c r="G2141" s="7">
        <v>74.669998000000007</v>
      </c>
      <c r="H2141" s="8">
        <f t="shared" si="35"/>
        <v>5.7401144979247181E-3</v>
      </c>
    </row>
    <row r="2142" spans="2:8" x14ac:dyDescent="0.2">
      <c r="B2142" s="5">
        <v>44377</v>
      </c>
      <c r="C2142" s="6" t="s">
        <v>19</v>
      </c>
      <c r="D2142" s="7">
        <v>75.069999999999993</v>
      </c>
      <c r="E2142" s="7">
        <v>70.623609999999999</v>
      </c>
      <c r="F2142" s="7">
        <v>75.690002000000007</v>
      </c>
      <c r="G2142" s="7">
        <v>74.940002000000007</v>
      </c>
      <c r="H2142" s="8">
        <f t="shared" si="35"/>
        <v>-3.5837007477410288E-3</v>
      </c>
    </row>
    <row r="2143" spans="2:8" x14ac:dyDescent="0.2">
      <c r="B2143" s="5">
        <v>44378</v>
      </c>
      <c r="C2143" s="6" t="s">
        <v>19</v>
      </c>
      <c r="D2143" s="7">
        <v>75.279999000000004</v>
      </c>
      <c r="E2143" s="7">
        <v>70.821171000000007</v>
      </c>
      <c r="F2143" s="7">
        <v>75.419998000000007</v>
      </c>
      <c r="G2143" s="7">
        <v>74.75</v>
      </c>
      <c r="H2143" s="8">
        <f t="shared" si="35"/>
        <v>2.7973757826030439E-3</v>
      </c>
    </row>
    <row r="2144" spans="2:8" x14ac:dyDescent="0.2">
      <c r="B2144" s="5">
        <v>44379</v>
      </c>
      <c r="C2144" s="6" t="s">
        <v>19</v>
      </c>
      <c r="D2144" s="7">
        <v>75.620002999999997</v>
      </c>
      <c r="E2144" s="7">
        <v>71.141036999999997</v>
      </c>
      <c r="F2144" s="7">
        <v>75.900002000000001</v>
      </c>
      <c r="G2144" s="7">
        <v>75.25</v>
      </c>
      <c r="H2144" s="8">
        <f t="shared" si="35"/>
        <v>4.5165250334287766E-3</v>
      </c>
    </row>
    <row r="2145" spans="2:8" x14ac:dyDescent="0.2">
      <c r="B2145" s="5">
        <v>44380</v>
      </c>
      <c r="C2145" s="6" t="s">
        <v>19</v>
      </c>
      <c r="D2145" s="7">
        <v>75.75</v>
      </c>
      <c r="E2145" s="7">
        <v>71.263334</v>
      </c>
      <c r="F2145" s="7">
        <v>76.050003000000004</v>
      </c>
      <c r="G2145" s="7">
        <v>75.519997000000004</v>
      </c>
      <c r="H2145" s="8">
        <f t="shared" si="35"/>
        <v>1.7190821851726591E-3</v>
      </c>
    </row>
    <row r="2146" spans="2:8" x14ac:dyDescent="0.2">
      <c r="B2146" s="5">
        <v>44384</v>
      </c>
      <c r="C2146" s="6" t="s">
        <v>19</v>
      </c>
      <c r="D2146" s="7">
        <v>76.069999999999993</v>
      </c>
      <c r="E2146" s="7">
        <v>71.56438</v>
      </c>
      <c r="F2146" s="7">
        <v>76.209998999999996</v>
      </c>
      <c r="G2146" s="7">
        <v>75.550003000000004</v>
      </c>
      <c r="H2146" s="8">
        <f t="shared" si="35"/>
        <v>4.2244224422441348E-3</v>
      </c>
    </row>
    <row r="2147" spans="2:8" x14ac:dyDescent="0.2">
      <c r="B2147" s="5">
        <v>44385</v>
      </c>
      <c r="C2147" s="6" t="s">
        <v>19</v>
      </c>
      <c r="D2147" s="7">
        <v>76.650002000000001</v>
      </c>
      <c r="E2147" s="7">
        <v>72.110028999999997</v>
      </c>
      <c r="F2147" s="7">
        <v>76.980002999999996</v>
      </c>
      <c r="G2147" s="7">
        <v>76.029999000000004</v>
      </c>
      <c r="H2147" s="8">
        <f t="shared" si="35"/>
        <v>7.624582621269982E-3</v>
      </c>
    </row>
    <row r="2148" spans="2:8" x14ac:dyDescent="0.2">
      <c r="B2148" s="5">
        <v>44386</v>
      </c>
      <c r="C2148" s="6" t="s">
        <v>19</v>
      </c>
      <c r="D2148" s="7">
        <v>77.209998999999996</v>
      </c>
      <c r="E2148" s="7">
        <v>72.636858000000004</v>
      </c>
      <c r="F2148" s="7">
        <v>77.330001999999993</v>
      </c>
      <c r="G2148" s="7">
        <v>76.620002999999997</v>
      </c>
      <c r="H2148" s="8">
        <f t="shared" si="35"/>
        <v>7.3058967434860029E-3</v>
      </c>
    </row>
    <row r="2149" spans="2:8" x14ac:dyDescent="0.2">
      <c r="B2149" s="5">
        <v>44387</v>
      </c>
      <c r="C2149" s="6" t="s">
        <v>19</v>
      </c>
      <c r="D2149" s="7">
        <v>77.059997999999993</v>
      </c>
      <c r="E2149" s="7">
        <v>72.495740999999995</v>
      </c>
      <c r="F2149" s="7">
        <v>77.569999999999993</v>
      </c>
      <c r="G2149" s="7">
        <v>76.910004000000001</v>
      </c>
      <c r="H2149" s="8">
        <f t="shared" si="35"/>
        <v>-1.9427665061879248E-3</v>
      </c>
    </row>
    <row r="2150" spans="2:8" x14ac:dyDescent="0.2">
      <c r="B2150" s="5">
        <v>44388</v>
      </c>
      <c r="C2150" s="6" t="s">
        <v>19</v>
      </c>
      <c r="D2150" s="7">
        <v>76.819999999999993</v>
      </c>
      <c r="E2150" s="7">
        <v>72.269958000000003</v>
      </c>
      <c r="F2150" s="7">
        <v>76.970000999999996</v>
      </c>
      <c r="G2150" s="7">
        <v>76.559997999999993</v>
      </c>
      <c r="H2150" s="8">
        <f t="shared" si="35"/>
        <v>-3.1144303948723168E-3</v>
      </c>
    </row>
    <row r="2151" spans="2:8" x14ac:dyDescent="0.2">
      <c r="B2151" s="5">
        <v>44391</v>
      </c>
      <c r="C2151" s="6" t="s">
        <v>19</v>
      </c>
      <c r="D2151" s="7">
        <v>76.550003000000004</v>
      </c>
      <c r="E2151" s="7">
        <v>72.015952999999996</v>
      </c>
      <c r="F2151" s="7">
        <v>77.25</v>
      </c>
      <c r="G2151" s="7">
        <v>76.480002999999996</v>
      </c>
      <c r="H2151" s="8">
        <f t="shared" si="35"/>
        <v>-3.5146706586824967E-3</v>
      </c>
    </row>
    <row r="2152" spans="2:8" x14ac:dyDescent="0.2">
      <c r="B2152" s="5">
        <v>44392</v>
      </c>
      <c r="C2152" s="6" t="s">
        <v>19</v>
      </c>
      <c r="D2152" s="7">
        <v>76.839995999999999</v>
      </c>
      <c r="E2152" s="7">
        <v>72.28877</v>
      </c>
      <c r="F2152" s="7">
        <v>76.930000000000007</v>
      </c>
      <c r="G2152" s="7">
        <v>76.559997999999993</v>
      </c>
      <c r="H2152" s="8">
        <f t="shared" si="35"/>
        <v>3.7882820200542053E-3</v>
      </c>
    </row>
    <row r="2153" spans="2:8" x14ac:dyDescent="0.2">
      <c r="B2153" s="5">
        <v>44393</v>
      </c>
      <c r="C2153" s="6" t="s">
        <v>19</v>
      </c>
      <c r="D2153" s="7">
        <v>76.860000999999997</v>
      </c>
      <c r="E2153" s="7">
        <v>72.307590000000005</v>
      </c>
      <c r="F2153" s="7">
        <v>77.050003000000004</v>
      </c>
      <c r="G2153" s="7">
        <v>76.699996999999996</v>
      </c>
      <c r="H2153" s="8">
        <f t="shared" si="35"/>
        <v>2.6034618742038466E-4</v>
      </c>
    </row>
    <row r="2154" spans="2:8" x14ac:dyDescent="0.2">
      <c r="B2154" s="5">
        <v>44394</v>
      </c>
      <c r="C2154" s="6" t="s">
        <v>19</v>
      </c>
      <c r="D2154" s="7">
        <v>76.610000999999997</v>
      </c>
      <c r="E2154" s="7">
        <v>72.072396999999995</v>
      </c>
      <c r="F2154" s="7">
        <v>77.050003000000004</v>
      </c>
      <c r="G2154" s="7">
        <v>76.440002000000007</v>
      </c>
      <c r="H2154" s="8">
        <f t="shared" si="35"/>
        <v>-3.252667144774042E-3</v>
      </c>
    </row>
    <row r="2155" spans="2:8" x14ac:dyDescent="0.2">
      <c r="B2155" s="5">
        <v>44395</v>
      </c>
      <c r="C2155" s="6" t="s">
        <v>19</v>
      </c>
      <c r="D2155" s="7">
        <v>77.089995999999999</v>
      </c>
      <c r="E2155" s="7">
        <v>72.523962999999995</v>
      </c>
      <c r="F2155" s="7">
        <v>77.099997999999999</v>
      </c>
      <c r="G2155" s="7">
        <v>76.510002</v>
      </c>
      <c r="H2155" s="8">
        <f t="shared" si="35"/>
        <v>6.2654352399760761E-3</v>
      </c>
    </row>
    <row r="2156" spans="2:8" x14ac:dyDescent="0.2">
      <c r="B2156" s="5">
        <v>44398</v>
      </c>
      <c r="C2156" s="6" t="s">
        <v>19</v>
      </c>
      <c r="D2156" s="7">
        <v>76.769997000000004</v>
      </c>
      <c r="E2156" s="7">
        <v>72.222916999999995</v>
      </c>
      <c r="F2156" s="7">
        <v>76.910004000000001</v>
      </c>
      <c r="G2156" s="7">
        <v>76.480002999999996</v>
      </c>
      <c r="H2156" s="8">
        <f t="shared" si="35"/>
        <v>-4.1509795901402786E-3</v>
      </c>
    </row>
    <row r="2157" spans="2:8" x14ac:dyDescent="0.2">
      <c r="B2157" s="5">
        <v>44399</v>
      </c>
      <c r="C2157" s="6" t="s">
        <v>19</v>
      </c>
      <c r="D2157" s="7">
        <v>76.639999000000003</v>
      </c>
      <c r="E2157" s="7">
        <v>72.100618999999995</v>
      </c>
      <c r="F2157" s="7">
        <v>76.889999000000003</v>
      </c>
      <c r="G2157" s="7">
        <v>76.400002000000001</v>
      </c>
      <c r="H2157" s="8">
        <f t="shared" si="35"/>
        <v>-1.6933438202426983E-3</v>
      </c>
    </row>
    <row r="2158" spans="2:8" x14ac:dyDescent="0.2">
      <c r="B2158" s="5">
        <v>44400</v>
      </c>
      <c r="C2158" s="6" t="s">
        <v>19</v>
      </c>
      <c r="D2158" s="7">
        <v>76.989998</v>
      </c>
      <c r="E2158" s="7">
        <v>72.429886999999994</v>
      </c>
      <c r="F2158" s="7">
        <v>77.059997999999993</v>
      </c>
      <c r="G2158" s="7">
        <v>76.589995999999999</v>
      </c>
      <c r="H2158" s="8">
        <f t="shared" si="35"/>
        <v>4.5667928570823288E-3</v>
      </c>
    </row>
    <row r="2159" spans="2:8" x14ac:dyDescent="0.2">
      <c r="B2159" s="5">
        <v>44401</v>
      </c>
      <c r="C2159" s="6" t="s">
        <v>19</v>
      </c>
      <c r="D2159" s="7">
        <v>76.349997999999999</v>
      </c>
      <c r="E2159" s="7">
        <v>71.827794999999995</v>
      </c>
      <c r="F2159" s="7">
        <v>76.790001000000004</v>
      </c>
      <c r="G2159" s="7">
        <v>76.190002000000007</v>
      </c>
      <c r="H2159" s="8">
        <f t="shared" si="35"/>
        <v>-8.3127681078781247E-3</v>
      </c>
    </row>
    <row r="2160" spans="2:8" x14ac:dyDescent="0.2">
      <c r="B2160" s="5">
        <v>44402</v>
      </c>
      <c r="C2160" s="6" t="s">
        <v>19</v>
      </c>
      <c r="D2160" s="7">
        <v>75.970000999999996</v>
      </c>
      <c r="E2160" s="7">
        <v>71.470304999999996</v>
      </c>
      <c r="F2160" s="7">
        <v>76.360000999999997</v>
      </c>
      <c r="G2160" s="7">
        <v>75.800003000000004</v>
      </c>
      <c r="H2160" s="8">
        <f t="shared" si="35"/>
        <v>-4.9770400779840631E-3</v>
      </c>
    </row>
    <row r="2161" spans="2:8" x14ac:dyDescent="0.2">
      <c r="B2161" s="5">
        <v>44405</v>
      </c>
      <c r="C2161" s="6" t="s">
        <v>19</v>
      </c>
      <c r="D2161" s="7">
        <v>75.709998999999996</v>
      </c>
      <c r="E2161" s="7">
        <v>71.225702999999996</v>
      </c>
      <c r="F2161" s="7">
        <v>75.930000000000007</v>
      </c>
      <c r="G2161" s="7">
        <v>75.360000999999997</v>
      </c>
      <c r="H2161" s="8">
        <f t="shared" si="35"/>
        <v>-3.4224298614923022E-3</v>
      </c>
    </row>
    <row r="2162" spans="2:8" x14ac:dyDescent="0.2">
      <c r="B2162" s="5">
        <v>44406</v>
      </c>
      <c r="C2162" s="6" t="s">
        <v>19</v>
      </c>
      <c r="D2162" s="7">
        <v>75.440002000000007</v>
      </c>
      <c r="E2162" s="7">
        <v>70.971698000000004</v>
      </c>
      <c r="F2162" s="7">
        <v>76.010002</v>
      </c>
      <c r="G2162" s="7">
        <v>75.150002000000001</v>
      </c>
      <c r="H2162" s="8">
        <f t="shared" si="35"/>
        <v>-3.5662000206866913E-3</v>
      </c>
    </row>
    <row r="2163" spans="2:8" x14ac:dyDescent="0.2">
      <c r="B2163" s="5">
        <v>44407</v>
      </c>
      <c r="C2163" s="6" t="s">
        <v>19</v>
      </c>
      <c r="D2163" s="7">
        <v>74.779999000000004</v>
      </c>
      <c r="E2163" s="7">
        <v>70.350785999999999</v>
      </c>
      <c r="F2163" s="7">
        <v>75.919998000000007</v>
      </c>
      <c r="G2163" s="7">
        <v>74.669998000000007</v>
      </c>
      <c r="H2163" s="8">
        <f t="shared" si="35"/>
        <v>-8.7487139780298949E-3</v>
      </c>
    </row>
    <row r="2164" spans="2:8" x14ac:dyDescent="0.2">
      <c r="B2164" s="5">
        <v>44408</v>
      </c>
      <c r="C2164" s="6" t="s">
        <v>19</v>
      </c>
      <c r="D2164" s="7">
        <v>73.580001999999993</v>
      </c>
      <c r="E2164" s="7">
        <v>69.221864999999994</v>
      </c>
      <c r="F2164" s="7">
        <v>74.25</v>
      </c>
      <c r="G2164" s="7">
        <v>73.540001000000004</v>
      </c>
      <c r="H2164" s="8">
        <f t="shared" si="35"/>
        <v>-1.6047031506379272E-2</v>
      </c>
    </row>
    <row r="2165" spans="2:8" x14ac:dyDescent="0.2">
      <c r="B2165" s="5">
        <v>44409</v>
      </c>
      <c r="C2165" s="6" t="s">
        <v>19</v>
      </c>
      <c r="D2165" s="7">
        <v>73.540001000000004</v>
      </c>
      <c r="E2165" s="7">
        <v>69.184233000000006</v>
      </c>
      <c r="F2165" s="7">
        <v>73.879997000000003</v>
      </c>
      <c r="G2165" s="7">
        <v>73.220000999999996</v>
      </c>
      <c r="H2165" s="8">
        <f t="shared" si="35"/>
        <v>-5.4363956119475945E-4</v>
      </c>
    </row>
    <row r="2166" spans="2:8" x14ac:dyDescent="0.2">
      <c r="B2166" s="5">
        <v>44412</v>
      </c>
      <c r="C2166" s="6" t="s">
        <v>19</v>
      </c>
      <c r="D2166" s="7">
        <v>73.540001000000004</v>
      </c>
      <c r="E2166" s="7">
        <v>69.184233000000006</v>
      </c>
      <c r="F2166" s="7">
        <v>73.629997000000003</v>
      </c>
      <c r="G2166" s="7">
        <v>73.059997999999993</v>
      </c>
      <c r="H2166" s="8">
        <f t="shared" si="35"/>
        <v>0</v>
      </c>
    </row>
    <row r="2167" spans="2:8" x14ac:dyDescent="0.2">
      <c r="B2167" s="5">
        <v>44413</v>
      </c>
      <c r="C2167" s="6" t="s">
        <v>19</v>
      </c>
      <c r="D2167" s="7">
        <v>73.339995999999999</v>
      </c>
      <c r="E2167" s="7">
        <v>68.996075000000005</v>
      </c>
      <c r="F2167" s="7">
        <v>73.519997000000004</v>
      </c>
      <c r="G2167" s="7">
        <v>72.769997000000004</v>
      </c>
      <c r="H2167" s="8">
        <f t="shared" si="35"/>
        <v>-2.7196763296209966E-3</v>
      </c>
    </row>
    <row r="2168" spans="2:8" x14ac:dyDescent="0.2">
      <c r="B2168" s="5">
        <v>44414</v>
      </c>
      <c r="C2168" s="6" t="s">
        <v>19</v>
      </c>
      <c r="D2168" s="7">
        <v>74.199996999999996</v>
      </c>
      <c r="E2168" s="7">
        <v>70.265011000000001</v>
      </c>
      <c r="F2168" s="7">
        <v>74.290001000000004</v>
      </c>
      <c r="G2168" s="7">
        <v>73.180000000000007</v>
      </c>
      <c r="H2168" s="8">
        <f t="shared" si="35"/>
        <v>1.1726220983158998E-2</v>
      </c>
    </row>
    <row r="2169" spans="2:8" x14ac:dyDescent="0.2">
      <c r="B2169" s="5">
        <v>44415</v>
      </c>
      <c r="C2169" s="6" t="s">
        <v>19</v>
      </c>
      <c r="D2169" s="7">
        <v>73.949996999999996</v>
      </c>
      <c r="E2169" s="7">
        <v>70.028268999999995</v>
      </c>
      <c r="F2169" s="7">
        <v>74.809997999999993</v>
      </c>
      <c r="G2169" s="7">
        <v>73.760002</v>
      </c>
      <c r="H2169" s="8">
        <f t="shared" si="35"/>
        <v>-3.3692723734207162E-3</v>
      </c>
    </row>
    <row r="2170" spans="2:8" x14ac:dyDescent="0.2">
      <c r="B2170" s="5">
        <v>44416</v>
      </c>
      <c r="C2170" s="6" t="s">
        <v>19</v>
      </c>
      <c r="D2170" s="7">
        <v>74.669998000000007</v>
      </c>
      <c r="E2170" s="7">
        <v>70.710087000000001</v>
      </c>
      <c r="F2170" s="7">
        <v>74.730002999999996</v>
      </c>
      <c r="G2170" s="7">
        <v>73.849997999999999</v>
      </c>
      <c r="H2170" s="8">
        <f t="shared" si="35"/>
        <v>9.7363222340632501E-3</v>
      </c>
    </row>
    <row r="2171" spans="2:8" x14ac:dyDescent="0.2">
      <c r="B2171" s="5">
        <v>44419</v>
      </c>
      <c r="C2171" s="6" t="s">
        <v>19</v>
      </c>
      <c r="D2171" s="7">
        <v>74.360000999999997</v>
      </c>
      <c r="E2171" s="7">
        <v>70.416528999999997</v>
      </c>
      <c r="F2171" s="7">
        <v>74.599997999999999</v>
      </c>
      <c r="G2171" s="7">
        <v>74.019997000000004</v>
      </c>
      <c r="H2171" s="8">
        <f t="shared" si="35"/>
        <v>-4.1515603094031128E-3</v>
      </c>
    </row>
    <row r="2172" spans="2:8" x14ac:dyDescent="0.2">
      <c r="B2172" s="5">
        <v>44420</v>
      </c>
      <c r="C2172" s="6" t="s">
        <v>19</v>
      </c>
      <c r="D2172" s="7">
        <v>74.220000999999996</v>
      </c>
      <c r="E2172" s="7">
        <v>70.283953999999994</v>
      </c>
      <c r="F2172" s="7">
        <v>74.440002000000007</v>
      </c>
      <c r="G2172" s="7">
        <v>74.010002</v>
      </c>
      <c r="H2172" s="8">
        <f t="shared" si="35"/>
        <v>-1.8827326266442704E-3</v>
      </c>
    </row>
    <row r="2173" spans="2:8" x14ac:dyDescent="0.2">
      <c r="B2173" s="5">
        <v>44421</v>
      </c>
      <c r="C2173" s="6" t="s">
        <v>19</v>
      </c>
      <c r="D2173" s="7">
        <v>74.029999000000004</v>
      </c>
      <c r="E2173" s="7">
        <v>70.104028</v>
      </c>
      <c r="F2173" s="7">
        <v>74.410004000000001</v>
      </c>
      <c r="G2173" s="7">
        <v>73.510002</v>
      </c>
      <c r="H2173" s="8">
        <f t="shared" si="35"/>
        <v>-2.5599837973593223E-3</v>
      </c>
    </row>
    <row r="2174" spans="2:8" x14ac:dyDescent="0.2">
      <c r="B2174" s="5">
        <v>44422</v>
      </c>
      <c r="C2174" s="6" t="s">
        <v>19</v>
      </c>
      <c r="D2174" s="7">
        <v>74.389999000000003</v>
      </c>
      <c r="E2174" s="7">
        <v>70.444936999999996</v>
      </c>
      <c r="F2174" s="7">
        <v>74.430000000000007</v>
      </c>
      <c r="G2174" s="7">
        <v>73.610000999999997</v>
      </c>
      <c r="H2174" s="8">
        <f t="shared" si="35"/>
        <v>4.8628934872739825E-3</v>
      </c>
    </row>
    <row r="2175" spans="2:8" x14ac:dyDescent="0.2">
      <c r="B2175" s="5">
        <v>44423</v>
      </c>
      <c r="C2175" s="6" t="s">
        <v>19</v>
      </c>
      <c r="D2175" s="7">
        <v>73.900002000000001</v>
      </c>
      <c r="E2175" s="7">
        <v>69.980924999999999</v>
      </c>
      <c r="F2175" s="7">
        <v>74.650002000000001</v>
      </c>
      <c r="G2175" s="7">
        <v>73.489998</v>
      </c>
      <c r="H2175" s="8">
        <f t="shared" si="35"/>
        <v>-6.5868666028615274E-3</v>
      </c>
    </row>
    <row r="2176" spans="2:8" x14ac:dyDescent="0.2">
      <c r="B2176" s="5">
        <v>44426</v>
      </c>
      <c r="C2176" s="6" t="s">
        <v>19</v>
      </c>
      <c r="D2176" s="7">
        <v>74.489998</v>
      </c>
      <c r="E2176" s="7">
        <v>70.539631999999997</v>
      </c>
      <c r="F2176" s="7">
        <v>74.680000000000007</v>
      </c>
      <c r="G2176" s="7">
        <v>74.050003000000004</v>
      </c>
      <c r="H2176" s="8">
        <f t="shared" si="35"/>
        <v>7.9837074970579743E-3</v>
      </c>
    </row>
    <row r="2177" spans="2:8" x14ac:dyDescent="0.2">
      <c r="B2177" s="5">
        <v>44427</v>
      </c>
      <c r="C2177" s="6" t="s">
        <v>19</v>
      </c>
      <c r="D2177" s="7">
        <v>74.879997000000003</v>
      </c>
      <c r="E2177" s="7">
        <v>70.908949000000007</v>
      </c>
      <c r="F2177" s="7">
        <v>74.940002000000007</v>
      </c>
      <c r="G2177" s="7">
        <v>74.139999000000003</v>
      </c>
      <c r="H2177" s="8">
        <f t="shared" si="35"/>
        <v>5.2355888101917134E-3</v>
      </c>
    </row>
    <row r="2178" spans="2:8" x14ac:dyDescent="0.2">
      <c r="B2178" s="5">
        <v>44428</v>
      </c>
      <c r="C2178" s="6" t="s">
        <v>19</v>
      </c>
      <c r="D2178" s="7">
        <v>74.959998999999996</v>
      </c>
      <c r="E2178" s="7">
        <v>70.984707999999998</v>
      </c>
      <c r="F2178" s="7">
        <v>75.050003000000004</v>
      </c>
      <c r="G2178" s="7">
        <v>74.510002</v>
      </c>
      <c r="H2178" s="8">
        <f t="shared" si="35"/>
        <v>1.0684028205822876E-3</v>
      </c>
    </row>
    <row r="2179" spans="2:8" x14ac:dyDescent="0.2">
      <c r="B2179" s="5">
        <v>44429</v>
      </c>
      <c r="C2179" s="6" t="s">
        <v>19</v>
      </c>
      <c r="D2179" s="7">
        <v>75.550003000000004</v>
      </c>
      <c r="E2179" s="7">
        <v>71.543423000000004</v>
      </c>
      <c r="F2179" s="7">
        <v>75.910004000000001</v>
      </c>
      <c r="G2179" s="7">
        <v>75</v>
      </c>
      <c r="H2179" s="8">
        <f t="shared" si="35"/>
        <v>7.8709179278405213E-3</v>
      </c>
    </row>
    <row r="2180" spans="2:8" x14ac:dyDescent="0.2">
      <c r="B2180" s="5">
        <v>44430</v>
      </c>
      <c r="C2180" s="6" t="s">
        <v>19</v>
      </c>
      <c r="D2180" s="7">
        <v>75.730002999999996</v>
      </c>
      <c r="E2180" s="7">
        <v>71.713877999999994</v>
      </c>
      <c r="F2180" s="7">
        <v>76.199996999999996</v>
      </c>
      <c r="G2180" s="7">
        <v>75.639999000000003</v>
      </c>
      <c r="H2180" s="8">
        <f t="shared" ref="H2180:H2243" si="36">(D2180-D2179)/D2179</f>
        <v>2.3825280324607347E-3</v>
      </c>
    </row>
    <row r="2181" spans="2:8" x14ac:dyDescent="0.2">
      <c r="B2181" s="5">
        <v>44433</v>
      </c>
      <c r="C2181" s="6" t="s">
        <v>19</v>
      </c>
      <c r="D2181" s="7">
        <v>75.690002000000007</v>
      </c>
      <c r="E2181" s="7">
        <v>71.675998000000007</v>
      </c>
      <c r="F2181" s="7">
        <v>76.019997000000004</v>
      </c>
      <c r="G2181" s="7">
        <v>75.510002</v>
      </c>
      <c r="H2181" s="8">
        <f t="shared" si="36"/>
        <v>-5.2820544586522095E-4</v>
      </c>
    </row>
    <row r="2182" spans="2:8" x14ac:dyDescent="0.2">
      <c r="B2182" s="5">
        <v>44434</v>
      </c>
      <c r="C2182" s="6" t="s">
        <v>19</v>
      </c>
      <c r="D2182" s="7">
        <v>75.519997000000004</v>
      </c>
      <c r="E2182" s="7">
        <v>71.515007999999995</v>
      </c>
      <c r="F2182" s="7">
        <v>76.150002000000001</v>
      </c>
      <c r="G2182" s="7">
        <v>75.440002000000007</v>
      </c>
      <c r="H2182" s="8">
        <f t="shared" si="36"/>
        <v>-2.2460694346395087E-3</v>
      </c>
    </row>
    <row r="2183" spans="2:8" x14ac:dyDescent="0.2">
      <c r="B2183" s="5">
        <v>44435</v>
      </c>
      <c r="C2183" s="6" t="s">
        <v>19</v>
      </c>
      <c r="D2183" s="7">
        <v>75.849997999999999</v>
      </c>
      <c r="E2183" s="7">
        <v>71.827509000000006</v>
      </c>
      <c r="F2183" s="7">
        <v>75.860000999999997</v>
      </c>
      <c r="G2183" s="7">
        <v>75.440002000000007</v>
      </c>
      <c r="H2183" s="8">
        <f t="shared" si="36"/>
        <v>4.3697168049410245E-3</v>
      </c>
    </row>
    <row r="2184" spans="2:8" x14ac:dyDescent="0.2">
      <c r="B2184" s="5">
        <v>44436</v>
      </c>
      <c r="C2184" s="6" t="s">
        <v>19</v>
      </c>
      <c r="D2184" s="7">
        <v>75.900002000000001</v>
      </c>
      <c r="E2184" s="7">
        <v>71.874860999999996</v>
      </c>
      <c r="F2184" s="7">
        <v>75.940002000000007</v>
      </c>
      <c r="G2184" s="7">
        <v>75.470000999999996</v>
      </c>
      <c r="H2184" s="8">
        <f t="shared" si="36"/>
        <v>6.5924853419246324E-4</v>
      </c>
    </row>
    <row r="2185" spans="2:8" x14ac:dyDescent="0.2">
      <c r="B2185" s="5">
        <v>44437</v>
      </c>
      <c r="C2185" s="6" t="s">
        <v>19</v>
      </c>
      <c r="D2185" s="7">
        <v>75.5</v>
      </c>
      <c r="E2185" s="7">
        <v>71.496071999999998</v>
      </c>
      <c r="F2185" s="7">
        <v>75.879997000000003</v>
      </c>
      <c r="G2185" s="7">
        <v>75.290001000000004</v>
      </c>
      <c r="H2185" s="8">
        <f t="shared" si="36"/>
        <v>-5.2701184382050563E-3</v>
      </c>
    </row>
    <row r="2186" spans="2:8" x14ac:dyDescent="0.2">
      <c r="B2186" s="5">
        <v>44441</v>
      </c>
      <c r="C2186" s="6" t="s">
        <v>19</v>
      </c>
      <c r="D2186" s="7">
        <v>75.75</v>
      </c>
      <c r="E2186" s="7">
        <v>71.732814000000005</v>
      </c>
      <c r="F2186" s="7">
        <v>75.940002000000007</v>
      </c>
      <c r="G2186" s="7">
        <v>75.410004000000001</v>
      </c>
      <c r="H2186" s="8">
        <f t="shared" si="36"/>
        <v>3.3112582781456954E-3</v>
      </c>
    </row>
    <row r="2187" spans="2:8" x14ac:dyDescent="0.2">
      <c r="B2187" s="5">
        <v>44442</v>
      </c>
      <c r="C2187" s="6" t="s">
        <v>19</v>
      </c>
      <c r="D2187" s="7">
        <v>76.010002</v>
      </c>
      <c r="E2187" s="7">
        <v>71.979028</v>
      </c>
      <c r="F2187" s="7">
        <v>76.330001999999993</v>
      </c>
      <c r="G2187" s="7">
        <v>75.879997000000003</v>
      </c>
      <c r="H2187" s="8">
        <f t="shared" si="36"/>
        <v>3.4323696369636973E-3</v>
      </c>
    </row>
    <row r="2188" spans="2:8" x14ac:dyDescent="0.2">
      <c r="B2188" s="5">
        <v>44443</v>
      </c>
      <c r="C2188" s="6" t="s">
        <v>19</v>
      </c>
      <c r="D2188" s="7">
        <v>76.559997999999993</v>
      </c>
      <c r="E2188" s="7">
        <v>72.499855999999994</v>
      </c>
      <c r="F2188" s="7">
        <v>76.599997999999999</v>
      </c>
      <c r="G2188" s="7">
        <v>76.110000999999997</v>
      </c>
      <c r="H2188" s="8">
        <f t="shared" si="36"/>
        <v>7.235837199425321E-3</v>
      </c>
    </row>
    <row r="2189" spans="2:8" x14ac:dyDescent="0.2">
      <c r="B2189" s="5">
        <v>44444</v>
      </c>
      <c r="C2189" s="6" t="s">
        <v>19</v>
      </c>
      <c r="D2189" s="7">
        <v>77.510002</v>
      </c>
      <c r="E2189" s="7">
        <v>73.399478999999999</v>
      </c>
      <c r="F2189" s="7">
        <v>77.730002999999996</v>
      </c>
      <c r="G2189" s="7">
        <v>76.480002999999996</v>
      </c>
      <c r="H2189" s="8">
        <f t="shared" si="36"/>
        <v>1.2408621013809419E-2</v>
      </c>
    </row>
    <row r="2190" spans="2:8" x14ac:dyDescent="0.2">
      <c r="B2190" s="5">
        <v>44447</v>
      </c>
      <c r="C2190" s="6" t="s">
        <v>19</v>
      </c>
      <c r="D2190" s="7">
        <v>76.529999000000004</v>
      </c>
      <c r="E2190" s="7">
        <v>72.471447999999995</v>
      </c>
      <c r="F2190" s="7">
        <v>77.319999999999993</v>
      </c>
      <c r="G2190" s="7">
        <v>76.430000000000007</v>
      </c>
      <c r="H2190" s="8">
        <f t="shared" si="36"/>
        <v>-1.2643568245553604E-2</v>
      </c>
    </row>
    <row r="2191" spans="2:8" x14ac:dyDescent="0.2">
      <c r="B2191" s="5">
        <v>44448</v>
      </c>
      <c r="C2191" s="6" t="s">
        <v>19</v>
      </c>
      <c r="D2191" s="7">
        <v>76.739998</v>
      </c>
      <c r="E2191" s="7">
        <v>72.670310000000001</v>
      </c>
      <c r="F2191" s="7">
        <v>77</v>
      </c>
      <c r="G2191" s="7">
        <v>76.169998000000007</v>
      </c>
      <c r="H2191" s="8">
        <f t="shared" si="36"/>
        <v>2.7440089212597044E-3</v>
      </c>
    </row>
    <row r="2192" spans="2:8" x14ac:dyDescent="0.2">
      <c r="B2192" s="5">
        <v>44449</v>
      </c>
      <c r="C2192" s="6" t="s">
        <v>19</v>
      </c>
      <c r="D2192" s="7">
        <v>76.510002</v>
      </c>
      <c r="E2192" s="7">
        <v>72.452511000000001</v>
      </c>
      <c r="F2192" s="7">
        <v>77.080001999999993</v>
      </c>
      <c r="G2192" s="7">
        <v>76.370002999999997</v>
      </c>
      <c r="H2192" s="8">
        <f t="shared" si="36"/>
        <v>-2.9970811310159255E-3</v>
      </c>
    </row>
    <row r="2193" spans="2:8" x14ac:dyDescent="0.2">
      <c r="B2193" s="5">
        <v>44450</v>
      </c>
      <c r="C2193" s="6" t="s">
        <v>19</v>
      </c>
      <c r="D2193" s="7">
        <v>76.099997999999999</v>
      </c>
      <c r="E2193" s="7">
        <v>72.064250999999999</v>
      </c>
      <c r="F2193" s="7">
        <v>76.440002000000007</v>
      </c>
      <c r="G2193" s="7">
        <v>76.089995999999999</v>
      </c>
      <c r="H2193" s="8">
        <f t="shared" si="36"/>
        <v>-5.358828771171653E-3</v>
      </c>
    </row>
    <row r="2194" spans="2:8" x14ac:dyDescent="0.2">
      <c r="B2194" s="5">
        <v>44451</v>
      </c>
      <c r="C2194" s="6" t="s">
        <v>19</v>
      </c>
      <c r="D2194" s="7">
        <v>75.769997000000004</v>
      </c>
      <c r="E2194" s="7">
        <v>71.751750000000001</v>
      </c>
      <c r="F2194" s="7">
        <v>76.050003000000004</v>
      </c>
      <c r="G2194" s="7">
        <v>75.660004000000001</v>
      </c>
      <c r="H2194" s="8">
        <f t="shared" si="36"/>
        <v>-4.3364127289464028E-3</v>
      </c>
    </row>
    <row r="2195" spans="2:8" x14ac:dyDescent="0.2">
      <c r="B2195" s="5">
        <v>44454</v>
      </c>
      <c r="C2195" s="6" t="s">
        <v>19</v>
      </c>
      <c r="D2195" s="7">
        <v>75.809997999999993</v>
      </c>
      <c r="E2195" s="7">
        <v>71.789630000000002</v>
      </c>
      <c r="F2195" s="7">
        <v>75.889999000000003</v>
      </c>
      <c r="G2195" s="7">
        <v>75.610000999999997</v>
      </c>
      <c r="H2195" s="8">
        <f t="shared" si="36"/>
        <v>5.2792664093664302E-4</v>
      </c>
    </row>
    <row r="2196" spans="2:8" x14ac:dyDescent="0.2">
      <c r="B2196" s="5">
        <v>44455</v>
      </c>
      <c r="C2196" s="6" t="s">
        <v>19</v>
      </c>
      <c r="D2196" s="7">
        <v>76.319999999999993</v>
      </c>
      <c r="E2196" s="7">
        <v>72.272585000000007</v>
      </c>
      <c r="F2196" s="7">
        <v>76.569999999999993</v>
      </c>
      <c r="G2196" s="7">
        <v>75.599997999999999</v>
      </c>
      <c r="H2196" s="8">
        <f t="shared" si="36"/>
        <v>6.7273712367068011E-3</v>
      </c>
    </row>
    <row r="2197" spans="2:8" x14ac:dyDescent="0.2">
      <c r="B2197" s="5">
        <v>44456</v>
      </c>
      <c r="C2197" s="6" t="s">
        <v>19</v>
      </c>
      <c r="D2197" s="7">
        <v>76.239998</v>
      </c>
      <c r="E2197" s="7">
        <v>72.196826000000001</v>
      </c>
      <c r="F2197" s="7">
        <v>76.470000999999996</v>
      </c>
      <c r="G2197" s="7">
        <v>76.010002</v>
      </c>
      <c r="H2197" s="8">
        <f t="shared" si="36"/>
        <v>-1.0482442348007501E-3</v>
      </c>
    </row>
    <row r="2198" spans="2:8" x14ac:dyDescent="0.2">
      <c r="B2198" s="5">
        <v>44457</v>
      </c>
      <c r="C2198" s="6" t="s">
        <v>19</v>
      </c>
      <c r="D2198" s="7">
        <v>76.220000999999996</v>
      </c>
      <c r="E2198" s="7">
        <v>72.177890000000005</v>
      </c>
      <c r="F2198" s="7">
        <v>76.580001999999993</v>
      </c>
      <c r="G2198" s="7">
        <v>75.910004000000001</v>
      </c>
      <c r="H2198" s="8">
        <f t="shared" si="36"/>
        <v>-2.6229014329202363E-4</v>
      </c>
    </row>
    <row r="2199" spans="2:8" x14ac:dyDescent="0.2">
      <c r="B2199" s="5">
        <v>44458</v>
      </c>
      <c r="C2199" s="6" t="s">
        <v>19</v>
      </c>
      <c r="D2199" s="7">
        <v>76.839995999999999</v>
      </c>
      <c r="E2199" s="7">
        <v>72.765005000000002</v>
      </c>
      <c r="F2199" s="7">
        <v>77.069999999999993</v>
      </c>
      <c r="G2199" s="7">
        <v>76.379997000000003</v>
      </c>
      <c r="H2199" s="8">
        <f t="shared" si="36"/>
        <v>8.1342822338719596E-3</v>
      </c>
    </row>
    <row r="2200" spans="2:8" x14ac:dyDescent="0.2">
      <c r="B2200" s="5">
        <v>44461</v>
      </c>
      <c r="C2200" s="6" t="s">
        <v>19</v>
      </c>
      <c r="D2200" s="7">
        <v>76.309997999999993</v>
      </c>
      <c r="E2200" s="7">
        <v>72.263114000000002</v>
      </c>
      <c r="F2200" s="7">
        <v>76.860000999999997</v>
      </c>
      <c r="G2200" s="7">
        <v>76.25</v>
      </c>
      <c r="H2200" s="8">
        <f t="shared" si="36"/>
        <v>-6.8974235761283254E-3</v>
      </c>
    </row>
    <row r="2201" spans="2:8" x14ac:dyDescent="0.2">
      <c r="B2201" s="5">
        <v>44462</v>
      </c>
      <c r="C2201" s="6" t="s">
        <v>19</v>
      </c>
      <c r="D2201" s="7">
        <v>75.599997999999999</v>
      </c>
      <c r="E2201" s="7">
        <v>71.590767</v>
      </c>
      <c r="F2201" s="7">
        <v>76.220000999999996</v>
      </c>
      <c r="G2201" s="7">
        <v>75.569999999999993</v>
      </c>
      <c r="H2201" s="8">
        <f t="shared" si="36"/>
        <v>-9.3041543520941232E-3</v>
      </c>
    </row>
    <row r="2202" spans="2:8" x14ac:dyDescent="0.2">
      <c r="B2202" s="5">
        <v>44463</v>
      </c>
      <c r="C2202" s="6" t="s">
        <v>19</v>
      </c>
      <c r="D2202" s="7">
        <v>77.080001999999993</v>
      </c>
      <c r="E2202" s="7">
        <v>72.992283</v>
      </c>
      <c r="F2202" s="7">
        <v>77.309997999999993</v>
      </c>
      <c r="G2202" s="7">
        <v>75.699996999999996</v>
      </c>
      <c r="H2202" s="8">
        <f t="shared" si="36"/>
        <v>1.9576773004676452E-2</v>
      </c>
    </row>
    <row r="2203" spans="2:8" x14ac:dyDescent="0.2">
      <c r="B2203" s="5">
        <v>44464</v>
      </c>
      <c r="C2203" s="6" t="s">
        <v>19</v>
      </c>
      <c r="D2203" s="7">
        <v>76.120002999999997</v>
      </c>
      <c r="E2203" s="7">
        <v>72.083195000000003</v>
      </c>
      <c r="F2203" s="7">
        <v>77.050003000000004</v>
      </c>
      <c r="G2203" s="7">
        <v>76.120002999999997</v>
      </c>
      <c r="H2203" s="8">
        <f t="shared" si="36"/>
        <v>-1.2454579334338838E-2</v>
      </c>
    </row>
    <row r="2204" spans="2:8" x14ac:dyDescent="0.2">
      <c r="B2204" s="5">
        <v>44465</v>
      </c>
      <c r="C2204" s="6" t="s">
        <v>19</v>
      </c>
      <c r="D2204" s="7">
        <v>76.489998</v>
      </c>
      <c r="E2204" s="7">
        <v>72.433567999999994</v>
      </c>
      <c r="F2204" s="7">
        <v>76.569999999999993</v>
      </c>
      <c r="G2204" s="7">
        <v>75.860000999999997</v>
      </c>
      <c r="H2204" s="8">
        <f t="shared" si="36"/>
        <v>4.8606803129001841E-3</v>
      </c>
    </row>
    <row r="2205" spans="2:8" x14ac:dyDescent="0.2">
      <c r="B2205" s="5">
        <v>44468</v>
      </c>
      <c r="C2205" s="6" t="s">
        <v>19</v>
      </c>
      <c r="D2205" s="7">
        <v>76.080001999999993</v>
      </c>
      <c r="E2205" s="7">
        <v>72.045315000000002</v>
      </c>
      <c r="F2205" s="7">
        <v>76.25</v>
      </c>
      <c r="G2205" s="7">
        <v>75.650002000000001</v>
      </c>
      <c r="H2205" s="8">
        <f t="shared" si="36"/>
        <v>-5.3601256467545825E-3</v>
      </c>
    </row>
    <row r="2206" spans="2:8" x14ac:dyDescent="0.2">
      <c r="B2206" s="5">
        <v>44469</v>
      </c>
      <c r="C2206" s="6" t="s">
        <v>19</v>
      </c>
      <c r="D2206" s="7">
        <v>76.470000999999996</v>
      </c>
      <c r="E2206" s="7">
        <v>72.414631999999997</v>
      </c>
      <c r="F2206" s="7">
        <v>76.720000999999996</v>
      </c>
      <c r="G2206" s="7">
        <v>75.769997000000004</v>
      </c>
      <c r="H2206" s="8">
        <f t="shared" si="36"/>
        <v>5.126169686483488E-3</v>
      </c>
    </row>
    <row r="2207" spans="2:8" x14ac:dyDescent="0.2">
      <c r="B2207" s="5">
        <v>44470</v>
      </c>
      <c r="C2207" s="6" t="s">
        <v>19</v>
      </c>
      <c r="D2207" s="7">
        <v>76.120002999999997</v>
      </c>
      <c r="E2207" s="7">
        <v>72.083195000000003</v>
      </c>
      <c r="F2207" s="7">
        <v>76.860000999999997</v>
      </c>
      <c r="G2207" s="7">
        <v>75.910004000000001</v>
      </c>
      <c r="H2207" s="8">
        <f t="shared" si="36"/>
        <v>-4.576932070394499E-3</v>
      </c>
    </row>
    <row r="2208" spans="2:8" x14ac:dyDescent="0.2">
      <c r="B2208" s="5">
        <v>44471</v>
      </c>
      <c r="C2208" s="6" t="s">
        <v>19</v>
      </c>
      <c r="D2208" s="7">
        <v>76.230002999999996</v>
      </c>
      <c r="E2208" s="7">
        <v>72.187361999999993</v>
      </c>
      <c r="F2208" s="7">
        <v>76.910004000000001</v>
      </c>
      <c r="G2208" s="7">
        <v>75.959998999999996</v>
      </c>
      <c r="H2208" s="8">
        <f t="shared" si="36"/>
        <v>1.4450866482493365E-3</v>
      </c>
    </row>
    <row r="2209" spans="2:8" x14ac:dyDescent="0.2">
      <c r="B2209" s="5">
        <v>44472</v>
      </c>
      <c r="C2209" s="6" t="s">
        <v>19</v>
      </c>
      <c r="D2209" s="7">
        <v>77.319999999999993</v>
      </c>
      <c r="E2209" s="7">
        <v>73.219553000000005</v>
      </c>
      <c r="F2209" s="7">
        <v>77.480002999999996</v>
      </c>
      <c r="G2209" s="7">
        <v>76.529999000000004</v>
      </c>
      <c r="H2209" s="8">
        <f t="shared" si="36"/>
        <v>1.4298792563342768E-2</v>
      </c>
    </row>
    <row r="2210" spans="2:8" x14ac:dyDescent="0.2">
      <c r="B2210" s="5">
        <v>44475</v>
      </c>
      <c r="C2210" s="6" t="s">
        <v>19</v>
      </c>
      <c r="D2210" s="7">
        <v>77.349997999999999</v>
      </c>
      <c r="E2210" s="7">
        <v>73.247961000000004</v>
      </c>
      <c r="F2210" s="7">
        <v>77.919998000000007</v>
      </c>
      <c r="G2210" s="7">
        <v>76.989998</v>
      </c>
      <c r="H2210" s="8">
        <f t="shared" si="36"/>
        <v>3.8797206414907125E-4</v>
      </c>
    </row>
    <row r="2211" spans="2:8" x14ac:dyDescent="0.2">
      <c r="B2211" s="5">
        <v>44476</v>
      </c>
      <c r="C2211" s="6" t="s">
        <v>19</v>
      </c>
      <c r="D2211" s="7">
        <v>77.300003000000004</v>
      </c>
      <c r="E2211" s="7">
        <v>73.200616999999994</v>
      </c>
      <c r="F2211" s="7">
        <v>77.690002000000007</v>
      </c>
      <c r="G2211" s="7">
        <v>76.720000999999996</v>
      </c>
      <c r="H2211" s="8">
        <f t="shared" si="36"/>
        <v>-6.4634778658941364E-4</v>
      </c>
    </row>
    <row r="2212" spans="2:8" x14ac:dyDescent="0.2">
      <c r="B2212" s="5">
        <v>44477</v>
      </c>
      <c r="C2212" s="6" t="s">
        <v>19</v>
      </c>
      <c r="D2212" s="7">
        <v>78.239998</v>
      </c>
      <c r="E2212" s="7">
        <v>74.090761999999998</v>
      </c>
      <c r="F2212" s="7">
        <v>78.489998</v>
      </c>
      <c r="G2212" s="7">
        <v>76.809997999999993</v>
      </c>
      <c r="H2212" s="8">
        <f t="shared" si="36"/>
        <v>1.2160348816545274E-2</v>
      </c>
    </row>
    <row r="2213" spans="2:8" x14ac:dyDescent="0.2">
      <c r="B2213" s="5">
        <v>44478</v>
      </c>
      <c r="C2213" s="6" t="s">
        <v>19</v>
      </c>
      <c r="D2213" s="7">
        <v>77.860000999999997</v>
      </c>
      <c r="E2213" s="7">
        <v>73.730917000000005</v>
      </c>
      <c r="F2213" s="7">
        <v>78.830001999999993</v>
      </c>
      <c r="G2213" s="7">
        <v>77.660004000000001</v>
      </c>
      <c r="H2213" s="8">
        <f t="shared" si="36"/>
        <v>-4.8568124963398263E-3</v>
      </c>
    </row>
    <row r="2214" spans="2:8" x14ac:dyDescent="0.2">
      <c r="B2214" s="5">
        <v>44479</v>
      </c>
      <c r="C2214" s="6" t="s">
        <v>19</v>
      </c>
      <c r="D2214" s="7">
        <v>78.290001000000004</v>
      </c>
      <c r="E2214" s="7">
        <v>74.138113000000004</v>
      </c>
      <c r="F2214" s="7">
        <v>79.370002999999997</v>
      </c>
      <c r="G2214" s="7">
        <v>77.930000000000007</v>
      </c>
      <c r="H2214" s="8">
        <f t="shared" si="36"/>
        <v>5.5227330397800388E-3</v>
      </c>
    </row>
    <row r="2215" spans="2:8" x14ac:dyDescent="0.2">
      <c r="B2215" s="5">
        <v>44482</v>
      </c>
      <c r="C2215" s="6" t="s">
        <v>19</v>
      </c>
      <c r="D2215" s="7">
        <v>77.559997999999993</v>
      </c>
      <c r="E2215" s="7">
        <v>73.446822999999995</v>
      </c>
      <c r="F2215" s="7">
        <v>78.580001999999993</v>
      </c>
      <c r="G2215" s="7">
        <v>77.449996999999996</v>
      </c>
      <c r="H2215" s="8">
        <f t="shared" si="36"/>
        <v>-9.3243452634521051E-3</v>
      </c>
    </row>
    <row r="2216" spans="2:8" x14ac:dyDescent="0.2">
      <c r="B2216" s="5">
        <v>44483</v>
      </c>
      <c r="C2216" s="6" t="s">
        <v>19</v>
      </c>
      <c r="D2216" s="7">
        <v>77.980002999999996</v>
      </c>
      <c r="E2216" s="7">
        <v>73.844555</v>
      </c>
      <c r="F2216" s="7">
        <v>78.629997000000003</v>
      </c>
      <c r="G2216" s="7">
        <v>77.669998000000007</v>
      </c>
      <c r="H2216" s="8">
        <f t="shared" si="36"/>
        <v>5.4152270607330773E-3</v>
      </c>
    </row>
    <row r="2217" spans="2:8" x14ac:dyDescent="0.2">
      <c r="B2217" s="5">
        <v>44484</v>
      </c>
      <c r="C2217" s="6" t="s">
        <v>19</v>
      </c>
      <c r="D2217" s="7">
        <v>75.199996999999996</v>
      </c>
      <c r="E2217" s="7">
        <v>71.211978999999999</v>
      </c>
      <c r="F2217" s="7">
        <v>77.690002000000007</v>
      </c>
      <c r="G2217" s="7">
        <v>74.360000999999997</v>
      </c>
      <c r="H2217" s="8">
        <f t="shared" si="36"/>
        <v>-3.5650242280703688E-2</v>
      </c>
    </row>
    <row r="2218" spans="2:8" x14ac:dyDescent="0.2">
      <c r="B2218" s="5">
        <v>44485</v>
      </c>
      <c r="C2218" s="6" t="s">
        <v>19</v>
      </c>
      <c r="D2218" s="7">
        <v>73.819999999999993</v>
      </c>
      <c r="E2218" s="7">
        <v>69.905165999999994</v>
      </c>
      <c r="F2218" s="7">
        <v>74.069999999999993</v>
      </c>
      <c r="G2218" s="7">
        <v>72.610000999999997</v>
      </c>
      <c r="H2218" s="8">
        <f t="shared" si="36"/>
        <v>-1.8351024668259004E-2</v>
      </c>
    </row>
    <row r="2219" spans="2:8" x14ac:dyDescent="0.2">
      <c r="B2219" s="5">
        <v>44486</v>
      </c>
      <c r="C2219" s="6" t="s">
        <v>19</v>
      </c>
      <c r="D2219" s="7">
        <v>74.099997999999999</v>
      </c>
      <c r="E2219" s="7">
        <v>70.170316</v>
      </c>
      <c r="F2219" s="7">
        <v>74.5</v>
      </c>
      <c r="G2219" s="7">
        <v>73.029999000000004</v>
      </c>
      <c r="H2219" s="8">
        <f t="shared" si="36"/>
        <v>3.7929829314549742E-3</v>
      </c>
    </row>
    <row r="2220" spans="2:8" x14ac:dyDescent="0.2">
      <c r="B2220" s="5">
        <v>44489</v>
      </c>
      <c r="C2220" s="6" t="s">
        <v>19</v>
      </c>
      <c r="D2220" s="7">
        <v>75.139999000000003</v>
      </c>
      <c r="E2220" s="7">
        <v>71.155163000000002</v>
      </c>
      <c r="F2220" s="7">
        <v>75.220000999999996</v>
      </c>
      <c r="G2220" s="7">
        <v>73.919998000000007</v>
      </c>
      <c r="H2220" s="8">
        <f t="shared" si="36"/>
        <v>1.4035101593390107E-2</v>
      </c>
    </row>
    <row r="2221" spans="2:8" x14ac:dyDescent="0.2">
      <c r="B2221" s="5">
        <v>44490</v>
      </c>
      <c r="C2221" s="6" t="s">
        <v>19</v>
      </c>
      <c r="D2221" s="7">
        <v>76.019997000000004</v>
      </c>
      <c r="E2221" s="7">
        <v>71.988491999999994</v>
      </c>
      <c r="F2221" s="7">
        <v>76.199996999999996</v>
      </c>
      <c r="G2221" s="7">
        <v>75.010002</v>
      </c>
      <c r="H2221" s="8">
        <f t="shared" si="36"/>
        <v>1.1711445457964412E-2</v>
      </c>
    </row>
    <row r="2222" spans="2:8" x14ac:dyDescent="0.2">
      <c r="B2222" s="5">
        <v>44491</v>
      </c>
      <c r="C2222" s="6" t="s">
        <v>19</v>
      </c>
      <c r="D2222" s="7">
        <v>76.029999000000004</v>
      </c>
      <c r="E2222" s="7">
        <v>71.997963999999996</v>
      </c>
      <c r="F2222" s="7">
        <v>76.660004000000001</v>
      </c>
      <c r="G2222" s="7">
        <v>76.010002</v>
      </c>
      <c r="H2222" s="8">
        <f t="shared" si="36"/>
        <v>1.3157064449765849E-4</v>
      </c>
    </row>
    <row r="2223" spans="2:8" x14ac:dyDescent="0.2">
      <c r="B2223" s="5">
        <v>44492</v>
      </c>
      <c r="C2223" s="6" t="s">
        <v>19</v>
      </c>
      <c r="D2223" s="7">
        <v>76.25</v>
      </c>
      <c r="E2223" s="7">
        <v>72.206298000000004</v>
      </c>
      <c r="F2223" s="7">
        <v>76.650002000000001</v>
      </c>
      <c r="G2223" s="7">
        <v>75.779999000000004</v>
      </c>
      <c r="H2223" s="8">
        <f t="shared" si="36"/>
        <v>2.893607824458821E-3</v>
      </c>
    </row>
    <row r="2224" spans="2:8" x14ac:dyDescent="0.2">
      <c r="B2224" s="5">
        <v>44493</v>
      </c>
      <c r="C2224" s="6" t="s">
        <v>19</v>
      </c>
      <c r="D2224" s="7">
        <v>76.379997000000003</v>
      </c>
      <c r="E2224" s="7">
        <v>72.329401000000004</v>
      </c>
      <c r="F2224" s="7">
        <v>76.5</v>
      </c>
      <c r="G2224" s="7">
        <v>75.5</v>
      </c>
      <c r="H2224" s="8">
        <f t="shared" si="36"/>
        <v>1.7048786885246298E-3</v>
      </c>
    </row>
    <row r="2225" spans="2:8" x14ac:dyDescent="0.2">
      <c r="B2225" s="5">
        <v>44496</v>
      </c>
      <c r="C2225" s="6" t="s">
        <v>19</v>
      </c>
      <c r="D2225" s="7">
        <v>76.589995999999999</v>
      </c>
      <c r="E2225" s="7">
        <v>72.528262999999995</v>
      </c>
      <c r="F2225" s="7">
        <v>76.980002999999996</v>
      </c>
      <c r="G2225" s="7">
        <v>76.309997999999993</v>
      </c>
      <c r="H2225" s="8">
        <f t="shared" si="36"/>
        <v>2.7493978560904665E-3</v>
      </c>
    </row>
    <row r="2226" spans="2:8" x14ac:dyDescent="0.2">
      <c r="B2226" s="5">
        <v>44497</v>
      </c>
      <c r="C2226" s="6" t="s">
        <v>19</v>
      </c>
      <c r="D2226" s="7">
        <v>76.349997999999999</v>
      </c>
      <c r="E2226" s="7">
        <v>72.300993000000005</v>
      </c>
      <c r="F2226" s="7">
        <v>76.800003000000004</v>
      </c>
      <c r="G2226" s="7">
        <v>76</v>
      </c>
      <c r="H2226" s="8">
        <f t="shared" si="36"/>
        <v>-3.1335424015428849E-3</v>
      </c>
    </row>
    <row r="2227" spans="2:8" x14ac:dyDescent="0.2">
      <c r="B2227" s="5">
        <v>44498</v>
      </c>
      <c r="C2227" s="6" t="s">
        <v>19</v>
      </c>
      <c r="D2227" s="7">
        <v>76.389999000000003</v>
      </c>
      <c r="E2227" s="7">
        <v>72.338873000000007</v>
      </c>
      <c r="F2227" s="7">
        <v>76.639999000000003</v>
      </c>
      <c r="G2227" s="7">
        <v>75.970000999999996</v>
      </c>
      <c r="H2227" s="8">
        <f t="shared" si="36"/>
        <v>5.2391618923164514E-4</v>
      </c>
    </row>
    <row r="2228" spans="2:8" x14ac:dyDescent="0.2">
      <c r="B2228" s="5">
        <v>44499</v>
      </c>
      <c r="C2228" s="6" t="s">
        <v>19</v>
      </c>
      <c r="D2228" s="7">
        <v>76.449996999999996</v>
      </c>
      <c r="E2228" s="7">
        <v>72.395688000000007</v>
      </c>
      <c r="F2228" s="7">
        <v>76.599997999999999</v>
      </c>
      <c r="G2228" s="7">
        <v>75.980002999999996</v>
      </c>
      <c r="H2228" s="8">
        <f t="shared" si="36"/>
        <v>7.8541694967155466E-4</v>
      </c>
    </row>
    <row r="2229" spans="2:8" x14ac:dyDescent="0.2">
      <c r="B2229" s="5">
        <v>44500</v>
      </c>
      <c r="C2229" s="6" t="s">
        <v>19</v>
      </c>
      <c r="D2229" s="7">
        <v>76.269997000000004</v>
      </c>
      <c r="E2229" s="7">
        <v>72.225234</v>
      </c>
      <c r="F2229" s="7">
        <v>77.400002000000001</v>
      </c>
      <c r="G2229" s="7">
        <v>76.010002</v>
      </c>
      <c r="H2229" s="8">
        <f t="shared" si="36"/>
        <v>-2.3544801447146248E-3</v>
      </c>
    </row>
    <row r="2230" spans="2:8" x14ac:dyDescent="0.2">
      <c r="B2230" s="5">
        <v>44503</v>
      </c>
      <c r="C2230" s="6" t="s">
        <v>19</v>
      </c>
      <c r="D2230" s="7">
        <v>76.279999000000004</v>
      </c>
      <c r="E2230" s="7">
        <v>72.234706000000003</v>
      </c>
      <c r="F2230" s="7">
        <v>76.379997000000003</v>
      </c>
      <c r="G2230" s="7">
        <v>75.589995999999999</v>
      </c>
      <c r="H2230" s="8">
        <f t="shared" si="36"/>
        <v>1.3113937843736988E-4</v>
      </c>
    </row>
    <row r="2231" spans="2:8" x14ac:dyDescent="0.2">
      <c r="B2231" s="5">
        <v>44504</v>
      </c>
      <c r="C2231" s="6" t="s">
        <v>19</v>
      </c>
      <c r="D2231" s="7">
        <v>77.260002</v>
      </c>
      <c r="E2231" s="7">
        <v>73.162737000000007</v>
      </c>
      <c r="F2231" s="7">
        <v>77.370002999999997</v>
      </c>
      <c r="G2231" s="7">
        <v>76.279999000000004</v>
      </c>
      <c r="H2231" s="8">
        <f t="shared" si="36"/>
        <v>1.2847443797160988E-2</v>
      </c>
    </row>
    <row r="2232" spans="2:8" x14ac:dyDescent="0.2">
      <c r="B2232" s="5">
        <v>44505</v>
      </c>
      <c r="C2232" s="6" t="s">
        <v>19</v>
      </c>
      <c r="D2232" s="7">
        <v>77.699996999999996</v>
      </c>
      <c r="E2232" s="7">
        <v>73.579397999999998</v>
      </c>
      <c r="F2232" s="7">
        <v>78.230002999999996</v>
      </c>
      <c r="G2232" s="7">
        <v>77.300003000000004</v>
      </c>
      <c r="H2232" s="8">
        <f t="shared" si="36"/>
        <v>5.6949907922600896E-3</v>
      </c>
    </row>
    <row r="2233" spans="2:8" x14ac:dyDescent="0.2">
      <c r="B2233" s="5">
        <v>44506</v>
      </c>
      <c r="C2233" s="6" t="s">
        <v>19</v>
      </c>
      <c r="D2233" s="7">
        <v>77.809997999999993</v>
      </c>
      <c r="E2233" s="7">
        <v>73.683565000000002</v>
      </c>
      <c r="F2233" s="7">
        <v>78.180000000000007</v>
      </c>
      <c r="G2233" s="7">
        <v>77.169998000000007</v>
      </c>
      <c r="H2233" s="8">
        <f t="shared" si="36"/>
        <v>1.4157143403750313E-3</v>
      </c>
    </row>
    <row r="2234" spans="2:8" x14ac:dyDescent="0.2">
      <c r="B2234" s="5">
        <v>44507</v>
      </c>
      <c r="C2234" s="6" t="s">
        <v>19</v>
      </c>
      <c r="D2234" s="7">
        <v>78.769997000000004</v>
      </c>
      <c r="E2234" s="7">
        <v>74.592653999999996</v>
      </c>
      <c r="F2234" s="7">
        <v>79.080001999999993</v>
      </c>
      <c r="G2234" s="7">
        <v>77.610000999999997</v>
      </c>
      <c r="H2234" s="8">
        <f t="shared" si="36"/>
        <v>1.2337733256335652E-2</v>
      </c>
    </row>
    <row r="2235" spans="2:8" x14ac:dyDescent="0.2">
      <c r="B2235" s="5">
        <v>44510</v>
      </c>
      <c r="C2235" s="6" t="s">
        <v>19</v>
      </c>
      <c r="D2235" s="7">
        <v>79.440002000000007</v>
      </c>
      <c r="E2235" s="7">
        <v>75.227127999999993</v>
      </c>
      <c r="F2235" s="7">
        <v>80.129997000000003</v>
      </c>
      <c r="G2235" s="7">
        <v>78.419998000000007</v>
      </c>
      <c r="H2235" s="8">
        <f t="shared" si="36"/>
        <v>8.5058401106706052E-3</v>
      </c>
    </row>
    <row r="2236" spans="2:8" x14ac:dyDescent="0.2">
      <c r="B2236" s="5">
        <v>44511</v>
      </c>
      <c r="C2236" s="6" t="s">
        <v>19</v>
      </c>
      <c r="D2236" s="7">
        <v>79.010002</v>
      </c>
      <c r="E2236" s="7">
        <v>74.819930999999997</v>
      </c>
      <c r="F2236" s="7">
        <v>79.419998000000007</v>
      </c>
      <c r="G2236" s="7">
        <v>78.849997999999999</v>
      </c>
      <c r="H2236" s="8">
        <f t="shared" si="36"/>
        <v>-5.4128900953452491E-3</v>
      </c>
    </row>
    <row r="2237" spans="2:8" x14ac:dyDescent="0.2">
      <c r="B2237" s="5">
        <v>44512</v>
      </c>
      <c r="C2237" s="6" t="s">
        <v>19</v>
      </c>
      <c r="D2237" s="7">
        <v>79.199996999999996</v>
      </c>
      <c r="E2237" s="7">
        <v>74.999849999999995</v>
      </c>
      <c r="F2237" s="7">
        <v>79.440002000000007</v>
      </c>
      <c r="G2237" s="7">
        <v>78.650002000000001</v>
      </c>
      <c r="H2237" s="8">
        <f t="shared" si="36"/>
        <v>2.4046955472801549E-3</v>
      </c>
    </row>
    <row r="2238" spans="2:8" x14ac:dyDescent="0.2">
      <c r="B2238" s="5">
        <v>44513</v>
      </c>
      <c r="C2238" s="6" t="s">
        <v>19</v>
      </c>
      <c r="D2238" s="7">
        <v>82.940002000000007</v>
      </c>
      <c r="E2238" s="7">
        <v>78.541515000000004</v>
      </c>
      <c r="F2238" s="7">
        <v>83.059997999999993</v>
      </c>
      <c r="G2238" s="7">
        <v>80.860000999999997</v>
      </c>
      <c r="H2238" s="8">
        <f t="shared" si="36"/>
        <v>4.7222287142258491E-2</v>
      </c>
    </row>
    <row r="2239" spans="2:8" x14ac:dyDescent="0.2">
      <c r="B2239" s="5">
        <v>44514</v>
      </c>
      <c r="C2239" s="6" t="s">
        <v>19</v>
      </c>
      <c r="D2239" s="7">
        <v>82.959998999999996</v>
      </c>
      <c r="E2239" s="7">
        <v>78.560451</v>
      </c>
      <c r="F2239" s="7">
        <v>83.150002000000001</v>
      </c>
      <c r="G2239" s="7">
        <v>82.099997999999999</v>
      </c>
      <c r="H2239" s="8">
        <f t="shared" si="36"/>
        <v>2.4110199563281157E-4</v>
      </c>
    </row>
    <row r="2240" spans="2:8" x14ac:dyDescent="0.2">
      <c r="B2240" s="5">
        <v>44517</v>
      </c>
      <c r="C2240" s="6" t="s">
        <v>19</v>
      </c>
      <c r="D2240" s="7">
        <v>83.57</v>
      </c>
      <c r="E2240" s="7">
        <v>79.138102000000003</v>
      </c>
      <c r="F2240" s="7">
        <v>83.720000999999996</v>
      </c>
      <c r="G2240" s="7">
        <v>82.529999000000004</v>
      </c>
      <c r="H2240" s="8">
        <f t="shared" si="36"/>
        <v>7.352953319104993E-3</v>
      </c>
    </row>
    <row r="2241" spans="2:8" x14ac:dyDescent="0.2">
      <c r="B2241" s="5">
        <v>44518</v>
      </c>
      <c r="C2241" s="6" t="s">
        <v>19</v>
      </c>
      <c r="D2241" s="7">
        <v>83.790001000000004</v>
      </c>
      <c r="E2241" s="7">
        <v>79.346435999999997</v>
      </c>
      <c r="F2241" s="7">
        <v>83.919998000000007</v>
      </c>
      <c r="G2241" s="7">
        <v>83.339995999999999</v>
      </c>
      <c r="H2241" s="8">
        <f t="shared" si="36"/>
        <v>2.6325355988992528E-3</v>
      </c>
    </row>
    <row r="2242" spans="2:8" x14ac:dyDescent="0.2">
      <c r="B2242" s="5">
        <v>44519</v>
      </c>
      <c r="C2242" s="6" t="s">
        <v>19</v>
      </c>
      <c r="D2242" s="7">
        <v>84.989998</v>
      </c>
      <c r="E2242" s="7">
        <v>80.482794999999996</v>
      </c>
      <c r="F2242" s="7">
        <v>85.639999000000003</v>
      </c>
      <c r="G2242" s="7">
        <v>83.919998000000007</v>
      </c>
      <c r="H2242" s="8">
        <f t="shared" si="36"/>
        <v>1.4321482106200191E-2</v>
      </c>
    </row>
    <row r="2243" spans="2:8" x14ac:dyDescent="0.2">
      <c r="B2243" s="5">
        <v>44520</v>
      </c>
      <c r="C2243" s="6" t="s">
        <v>19</v>
      </c>
      <c r="D2243" s="7">
        <v>84.580001999999993</v>
      </c>
      <c r="E2243" s="7">
        <v>80.094542000000004</v>
      </c>
      <c r="F2243" s="7">
        <v>85.290001000000004</v>
      </c>
      <c r="G2243" s="7">
        <v>84.040001000000004</v>
      </c>
      <c r="H2243" s="8">
        <f t="shared" si="36"/>
        <v>-4.8240500017426363E-3</v>
      </c>
    </row>
    <row r="2244" spans="2:8" x14ac:dyDescent="0.2">
      <c r="B2244" s="5">
        <v>44521</v>
      </c>
      <c r="C2244" s="6" t="s">
        <v>19</v>
      </c>
      <c r="D2244" s="7">
        <v>84.650002000000001</v>
      </c>
      <c r="E2244" s="7">
        <v>80.160829000000007</v>
      </c>
      <c r="F2244" s="7">
        <v>85.440002000000007</v>
      </c>
      <c r="G2244" s="7">
        <v>84.580001999999993</v>
      </c>
      <c r="H2244" s="8">
        <f t="shared" ref="H2244:H2307" si="37">(D2244-D2243)/D2243</f>
        <v>8.2761880284665159E-4</v>
      </c>
    </row>
    <row r="2245" spans="2:8" x14ac:dyDescent="0.2">
      <c r="B2245" s="5">
        <v>44524</v>
      </c>
      <c r="C2245" s="6" t="s">
        <v>19</v>
      </c>
      <c r="D2245" s="7">
        <v>85.400002000000001</v>
      </c>
      <c r="E2245" s="7">
        <v>80.871054999999998</v>
      </c>
      <c r="F2245" s="7">
        <v>85.610000999999997</v>
      </c>
      <c r="G2245" s="7">
        <v>84.769997000000004</v>
      </c>
      <c r="H2245" s="8">
        <f t="shared" si="37"/>
        <v>8.8600116040162651E-3</v>
      </c>
    </row>
    <row r="2246" spans="2:8" x14ac:dyDescent="0.2">
      <c r="B2246" s="5">
        <v>44525</v>
      </c>
      <c r="C2246" s="6" t="s">
        <v>19</v>
      </c>
      <c r="D2246" s="7">
        <v>84.949996999999996</v>
      </c>
      <c r="E2246" s="7">
        <v>80.444914999999995</v>
      </c>
      <c r="F2246" s="7">
        <v>85.510002</v>
      </c>
      <c r="G2246" s="7">
        <v>84.389999000000003</v>
      </c>
      <c r="H2246" s="8">
        <f t="shared" si="37"/>
        <v>-5.2693792676960878E-3</v>
      </c>
    </row>
    <row r="2247" spans="2:8" x14ac:dyDescent="0.2">
      <c r="B2247" s="5">
        <v>44526</v>
      </c>
      <c r="C2247" s="6" t="s">
        <v>19</v>
      </c>
      <c r="D2247" s="7">
        <v>84.980002999999996</v>
      </c>
      <c r="E2247" s="7">
        <v>80.473330000000004</v>
      </c>
      <c r="F2247" s="7">
        <v>85.110000999999997</v>
      </c>
      <c r="G2247" s="7">
        <v>84.480002999999996</v>
      </c>
      <c r="H2247" s="8">
        <f t="shared" si="37"/>
        <v>3.5321955338032799E-4</v>
      </c>
    </row>
    <row r="2248" spans="2:8" x14ac:dyDescent="0.2">
      <c r="B2248" s="5">
        <v>44528</v>
      </c>
      <c r="C2248" s="6" t="s">
        <v>19</v>
      </c>
      <c r="D2248" s="7">
        <v>87.540001000000004</v>
      </c>
      <c r="E2248" s="7">
        <v>82.897565999999998</v>
      </c>
      <c r="F2248" s="7">
        <v>88.089995999999999</v>
      </c>
      <c r="G2248" s="7">
        <v>85.900002000000001</v>
      </c>
      <c r="H2248" s="8">
        <f t="shared" si="37"/>
        <v>3.0124710633394627E-2</v>
      </c>
    </row>
    <row r="2249" spans="2:8" x14ac:dyDescent="0.2">
      <c r="B2249" s="5">
        <v>44531</v>
      </c>
      <c r="C2249" s="6" t="s">
        <v>19</v>
      </c>
      <c r="D2249" s="7">
        <v>86.220000999999996</v>
      </c>
      <c r="E2249" s="7">
        <v>81.647568000000007</v>
      </c>
      <c r="F2249" s="7">
        <v>87.07</v>
      </c>
      <c r="G2249" s="7">
        <v>85.75</v>
      </c>
      <c r="H2249" s="8">
        <f t="shared" si="37"/>
        <v>-1.5078820938098999E-2</v>
      </c>
    </row>
    <row r="2250" spans="2:8" x14ac:dyDescent="0.2">
      <c r="B2250" s="5">
        <v>44532</v>
      </c>
      <c r="C2250" s="6" t="s">
        <v>19</v>
      </c>
      <c r="D2250" s="7">
        <v>86.400002000000001</v>
      </c>
      <c r="E2250" s="7">
        <v>81.818022999999997</v>
      </c>
      <c r="F2250" s="7">
        <v>86.699996999999996</v>
      </c>
      <c r="G2250" s="7">
        <v>85.93</v>
      </c>
      <c r="H2250" s="8">
        <f t="shared" si="37"/>
        <v>2.0876942462573654E-3</v>
      </c>
    </row>
    <row r="2251" spans="2:8" x14ac:dyDescent="0.2">
      <c r="B2251" s="5">
        <v>44533</v>
      </c>
      <c r="C2251" s="6" t="s">
        <v>19</v>
      </c>
      <c r="D2251" s="7">
        <v>84.940002000000007</v>
      </c>
      <c r="E2251" s="7">
        <v>80.884810999999999</v>
      </c>
      <c r="F2251" s="7">
        <v>86</v>
      </c>
      <c r="G2251" s="7">
        <v>84.68</v>
      </c>
      <c r="H2251" s="8">
        <f t="shared" si="37"/>
        <v>-1.6898147756987249E-2</v>
      </c>
    </row>
    <row r="2252" spans="2:8" x14ac:dyDescent="0.2">
      <c r="B2252" s="5">
        <v>44534</v>
      </c>
      <c r="C2252" s="6" t="s">
        <v>19</v>
      </c>
      <c r="D2252" s="7">
        <v>84.760002</v>
      </c>
      <c r="E2252" s="7">
        <v>80.713403999999997</v>
      </c>
      <c r="F2252" s="7">
        <v>84.82</v>
      </c>
      <c r="G2252" s="7">
        <v>83.650002000000001</v>
      </c>
      <c r="H2252" s="8">
        <f t="shared" si="37"/>
        <v>-2.1191428745199088E-3</v>
      </c>
    </row>
    <row r="2253" spans="2:8" x14ac:dyDescent="0.2">
      <c r="B2253" s="5">
        <v>44535</v>
      </c>
      <c r="C2253" s="6" t="s">
        <v>19</v>
      </c>
      <c r="D2253" s="7">
        <v>84.120002999999997</v>
      </c>
      <c r="E2253" s="7">
        <v>80.103960000000001</v>
      </c>
      <c r="F2253" s="7">
        <v>84.82</v>
      </c>
      <c r="G2253" s="7">
        <v>83.510002</v>
      </c>
      <c r="H2253" s="8">
        <f t="shared" si="37"/>
        <v>-7.5507195009269007E-3</v>
      </c>
    </row>
    <row r="2254" spans="2:8" x14ac:dyDescent="0.2">
      <c r="B2254" s="5">
        <v>44538</v>
      </c>
      <c r="C2254" s="6" t="s">
        <v>19</v>
      </c>
      <c r="D2254" s="7">
        <v>84.230002999999996</v>
      </c>
      <c r="E2254" s="7">
        <v>80.208708999999999</v>
      </c>
      <c r="F2254" s="7">
        <v>84.669998000000007</v>
      </c>
      <c r="G2254" s="7">
        <v>83.849997999999999</v>
      </c>
      <c r="H2254" s="8">
        <f t="shared" si="37"/>
        <v>1.3076556832742794E-3</v>
      </c>
    </row>
    <row r="2255" spans="2:8" x14ac:dyDescent="0.2">
      <c r="B2255" s="5">
        <v>44539</v>
      </c>
      <c r="C2255" s="6" t="s">
        <v>19</v>
      </c>
      <c r="D2255" s="7">
        <v>83.559997999999993</v>
      </c>
      <c r="E2255" s="7">
        <v>79.570689999999999</v>
      </c>
      <c r="F2255" s="7">
        <v>84.209998999999996</v>
      </c>
      <c r="G2255" s="7">
        <v>82.650002000000001</v>
      </c>
      <c r="H2255" s="8">
        <f t="shared" si="37"/>
        <v>-7.9544696205223128E-3</v>
      </c>
    </row>
    <row r="2256" spans="2:8" x14ac:dyDescent="0.2">
      <c r="B2256" s="5">
        <v>44540</v>
      </c>
      <c r="C2256" s="6" t="s">
        <v>19</v>
      </c>
      <c r="D2256" s="7">
        <v>82.980002999999996</v>
      </c>
      <c r="E2256" s="7">
        <v>79.018386000000007</v>
      </c>
      <c r="F2256" s="7">
        <v>84.309997999999993</v>
      </c>
      <c r="G2256" s="7">
        <v>82.900002000000001</v>
      </c>
      <c r="H2256" s="8">
        <f t="shared" si="37"/>
        <v>-6.9410604820741711E-3</v>
      </c>
    </row>
    <row r="2257" spans="2:8" x14ac:dyDescent="0.2">
      <c r="B2257" s="5">
        <v>44541</v>
      </c>
      <c r="C2257" s="6" t="s">
        <v>19</v>
      </c>
      <c r="D2257" s="7">
        <v>83.830001999999993</v>
      </c>
      <c r="E2257" s="7">
        <v>79.827804</v>
      </c>
      <c r="F2257" s="7">
        <v>84.5</v>
      </c>
      <c r="G2257" s="7">
        <v>83.160004000000001</v>
      </c>
      <c r="H2257" s="8">
        <f t="shared" si="37"/>
        <v>1.0243419730895851E-2</v>
      </c>
    </row>
    <row r="2258" spans="2:8" x14ac:dyDescent="0.2">
      <c r="B2258" s="5">
        <v>44542</v>
      </c>
      <c r="C2258" s="6" t="s">
        <v>19</v>
      </c>
      <c r="D2258" s="7">
        <v>83.809997999999993</v>
      </c>
      <c r="E2258" s="7">
        <v>79.808755000000005</v>
      </c>
      <c r="F2258" s="7">
        <v>85</v>
      </c>
      <c r="G2258" s="7">
        <v>83.519997000000004</v>
      </c>
      <c r="H2258" s="8">
        <f t="shared" si="37"/>
        <v>-2.3862578459678594E-4</v>
      </c>
    </row>
    <row r="2259" spans="2:8" x14ac:dyDescent="0.2">
      <c r="B2259" s="5">
        <v>44545</v>
      </c>
      <c r="C2259" s="6" t="s">
        <v>19</v>
      </c>
      <c r="D2259" s="7">
        <v>83.940002000000007</v>
      </c>
      <c r="E2259" s="7">
        <v>79.932552999999999</v>
      </c>
      <c r="F2259" s="7">
        <v>84.699996999999996</v>
      </c>
      <c r="G2259" s="7">
        <v>83.050003000000004</v>
      </c>
      <c r="H2259" s="8">
        <f t="shared" si="37"/>
        <v>1.5511753144298343E-3</v>
      </c>
    </row>
    <row r="2260" spans="2:8" x14ac:dyDescent="0.2">
      <c r="B2260" s="5">
        <v>44546</v>
      </c>
      <c r="C2260" s="6" t="s">
        <v>19</v>
      </c>
      <c r="D2260" s="7">
        <v>82.959998999999996</v>
      </c>
      <c r="E2260" s="7">
        <v>78.999336999999997</v>
      </c>
      <c r="F2260" s="7">
        <v>84.760002</v>
      </c>
      <c r="G2260" s="7">
        <v>82.940002000000007</v>
      </c>
      <c r="H2260" s="8">
        <f t="shared" si="37"/>
        <v>-1.1675041418274096E-2</v>
      </c>
    </row>
    <row r="2261" spans="2:8" x14ac:dyDescent="0.2">
      <c r="B2261" s="5">
        <v>44547</v>
      </c>
      <c r="C2261" s="6" t="s">
        <v>19</v>
      </c>
      <c r="D2261" s="7">
        <v>84.230002999999996</v>
      </c>
      <c r="E2261" s="7">
        <v>80.208708999999999</v>
      </c>
      <c r="F2261" s="7">
        <v>84.260002</v>
      </c>
      <c r="G2261" s="7">
        <v>82.949996999999996</v>
      </c>
      <c r="H2261" s="8">
        <f t="shared" si="37"/>
        <v>1.5308630849911175E-2</v>
      </c>
    </row>
    <row r="2262" spans="2:8" x14ac:dyDescent="0.2">
      <c r="B2262" s="5">
        <v>44548</v>
      </c>
      <c r="C2262" s="6" t="s">
        <v>19</v>
      </c>
      <c r="D2262" s="7">
        <v>85.940002000000007</v>
      </c>
      <c r="E2262" s="7">
        <v>81.837069</v>
      </c>
      <c r="F2262" s="7">
        <v>85.949996999999996</v>
      </c>
      <c r="G2262" s="7">
        <v>84.279999000000004</v>
      </c>
      <c r="H2262" s="8">
        <f t="shared" si="37"/>
        <v>2.0301542670015226E-2</v>
      </c>
    </row>
    <row r="2263" spans="2:8" x14ac:dyDescent="0.2">
      <c r="B2263" s="5">
        <v>44549</v>
      </c>
      <c r="C2263" s="6" t="s">
        <v>19</v>
      </c>
      <c r="D2263" s="7">
        <v>85.160004000000001</v>
      </c>
      <c r="E2263" s="7">
        <v>81.094308999999996</v>
      </c>
      <c r="F2263" s="7">
        <v>86.339995999999999</v>
      </c>
      <c r="G2263" s="7">
        <v>85.160004000000001</v>
      </c>
      <c r="H2263" s="8">
        <f t="shared" si="37"/>
        <v>-9.0760761211060494E-3</v>
      </c>
    </row>
    <row r="2264" spans="2:8" x14ac:dyDescent="0.2">
      <c r="B2264" s="5">
        <v>44552</v>
      </c>
      <c r="C2264" s="6" t="s">
        <v>19</v>
      </c>
      <c r="D2264" s="7">
        <v>86.379997000000003</v>
      </c>
      <c r="E2264" s="7">
        <v>82.256057999999996</v>
      </c>
      <c r="F2264" s="7">
        <v>86.400002000000001</v>
      </c>
      <c r="G2264" s="7">
        <v>85.290001000000004</v>
      </c>
      <c r="H2264" s="8">
        <f t="shared" si="37"/>
        <v>1.4325891764871245E-2</v>
      </c>
    </row>
    <row r="2265" spans="2:8" x14ac:dyDescent="0.2">
      <c r="B2265" s="5">
        <v>44553</v>
      </c>
      <c r="C2265" s="6" t="s">
        <v>19</v>
      </c>
      <c r="D2265" s="7">
        <v>86.660004000000001</v>
      </c>
      <c r="E2265" s="7">
        <v>82.522695999999996</v>
      </c>
      <c r="F2265" s="7">
        <v>87.080001999999993</v>
      </c>
      <c r="G2265" s="7">
        <v>86.360000999999997</v>
      </c>
      <c r="H2265" s="8">
        <f t="shared" si="37"/>
        <v>3.2415722357572859E-3</v>
      </c>
    </row>
    <row r="2266" spans="2:8" x14ac:dyDescent="0.2">
      <c r="B2266" s="5">
        <v>44554</v>
      </c>
      <c r="C2266" s="6" t="s">
        <v>19</v>
      </c>
      <c r="D2266" s="7">
        <v>86.43</v>
      </c>
      <c r="E2266" s="7">
        <v>82.303674000000001</v>
      </c>
      <c r="F2266" s="7">
        <v>87.07</v>
      </c>
      <c r="G2266" s="7">
        <v>86.389999000000003</v>
      </c>
      <c r="H2266" s="8">
        <f t="shared" si="37"/>
        <v>-2.6540963464529018E-3</v>
      </c>
    </row>
    <row r="2267" spans="2:8" x14ac:dyDescent="0.2">
      <c r="B2267" s="5">
        <v>44556</v>
      </c>
      <c r="C2267" s="6" t="s">
        <v>19</v>
      </c>
      <c r="D2267" s="7">
        <v>86.910004000000001</v>
      </c>
      <c r="E2267" s="7">
        <v>82.760761000000002</v>
      </c>
      <c r="F2267" s="7">
        <v>87.139999000000003</v>
      </c>
      <c r="G2267" s="7">
        <v>86.010002</v>
      </c>
      <c r="H2267" s="8">
        <f t="shared" si="37"/>
        <v>5.5536734930000447E-3</v>
      </c>
    </row>
    <row r="2268" spans="2:8" x14ac:dyDescent="0.2">
      <c r="B2268" s="5">
        <v>44559</v>
      </c>
      <c r="C2268" s="6" t="s">
        <v>19</v>
      </c>
      <c r="D2268" s="7">
        <v>86.639999000000003</v>
      </c>
      <c r="E2268" s="7">
        <v>82.503647000000001</v>
      </c>
      <c r="F2268" s="7">
        <v>87.07</v>
      </c>
      <c r="G2268" s="7">
        <v>86.400002000000001</v>
      </c>
      <c r="H2268" s="8">
        <f t="shared" si="37"/>
        <v>-3.1067194519976966E-3</v>
      </c>
    </row>
    <row r="2269" spans="2:8" x14ac:dyDescent="0.2">
      <c r="B2269" s="5">
        <v>44560</v>
      </c>
      <c r="C2269" s="6" t="s">
        <v>19</v>
      </c>
      <c r="D2269" s="7">
        <v>86.790001000000004</v>
      </c>
      <c r="E2269" s="7">
        <v>82.646486999999993</v>
      </c>
      <c r="F2269" s="7">
        <v>87.129997000000003</v>
      </c>
      <c r="G2269" s="7">
        <v>86.480002999999996</v>
      </c>
      <c r="H2269" s="8">
        <f t="shared" si="37"/>
        <v>1.7313250430670091E-3</v>
      </c>
    </row>
    <row r="2270" spans="2:8" x14ac:dyDescent="0.2">
      <c r="B2270" s="5">
        <v>44561</v>
      </c>
      <c r="C2270" s="6" t="s">
        <v>19</v>
      </c>
      <c r="D2270" s="7">
        <v>85.879997000000003</v>
      </c>
      <c r="E2270" s="7">
        <v>81.779928999999996</v>
      </c>
      <c r="F2270" s="7">
        <v>87.440002000000007</v>
      </c>
      <c r="G2270" s="7">
        <v>85.860000999999997</v>
      </c>
      <c r="H2270" s="8">
        <f t="shared" si="37"/>
        <v>-1.0485124893592301E-2</v>
      </c>
    </row>
    <row r="2271" spans="2:8" x14ac:dyDescent="0.2">
      <c r="B2271" s="5">
        <v>44563</v>
      </c>
      <c r="C2271" s="6" t="s">
        <v>19</v>
      </c>
      <c r="D2271" s="7">
        <v>85.900002000000001</v>
      </c>
      <c r="E2271" s="7">
        <v>81.798978000000005</v>
      </c>
      <c r="F2271" s="7">
        <v>86.720000999999996</v>
      </c>
      <c r="G2271" s="7">
        <v>85.550003000000004</v>
      </c>
      <c r="H2271" s="8">
        <f t="shared" si="37"/>
        <v>2.329413215978292E-4</v>
      </c>
    </row>
    <row r="2272" spans="2:8" x14ac:dyDescent="0.2">
      <c r="B2272" s="5">
        <v>44566</v>
      </c>
      <c r="C2272" s="6" t="s">
        <v>19</v>
      </c>
      <c r="D2272" s="7">
        <v>85.650002000000001</v>
      </c>
      <c r="E2272" s="7">
        <v>81.560913999999997</v>
      </c>
      <c r="F2272" s="7">
        <v>86.32</v>
      </c>
      <c r="G2272" s="7">
        <v>85.510002</v>
      </c>
      <c r="H2272" s="8">
        <f t="shared" si="37"/>
        <v>-2.9103608169881068E-3</v>
      </c>
    </row>
    <row r="2273" spans="2:8" x14ac:dyDescent="0.2">
      <c r="B2273" s="5">
        <v>44567</v>
      </c>
      <c r="C2273" s="6" t="s">
        <v>19</v>
      </c>
      <c r="D2273" s="7">
        <v>86.309997999999993</v>
      </c>
      <c r="E2273" s="7">
        <v>82.189400000000006</v>
      </c>
      <c r="F2273" s="7">
        <v>86.75</v>
      </c>
      <c r="G2273" s="7">
        <v>85.790001000000004</v>
      </c>
      <c r="H2273" s="8">
        <f t="shared" si="37"/>
        <v>7.7057324528724764E-3</v>
      </c>
    </row>
    <row r="2274" spans="2:8" x14ac:dyDescent="0.2">
      <c r="B2274" s="5">
        <v>44568</v>
      </c>
      <c r="C2274" s="6" t="s">
        <v>19</v>
      </c>
      <c r="D2274" s="7">
        <v>88.599997999999999</v>
      </c>
      <c r="E2274" s="7">
        <v>84.370071999999993</v>
      </c>
      <c r="F2274" s="7">
        <v>88.68</v>
      </c>
      <c r="G2274" s="7">
        <v>86.669998000000007</v>
      </c>
      <c r="H2274" s="8">
        <f t="shared" si="37"/>
        <v>2.6532268022993192E-2</v>
      </c>
    </row>
    <row r="2275" spans="2:8" x14ac:dyDescent="0.2">
      <c r="B2275" s="5">
        <v>44569</v>
      </c>
      <c r="C2275" s="6" t="s">
        <v>19</v>
      </c>
      <c r="D2275" s="7">
        <v>90.470000999999996</v>
      </c>
      <c r="E2275" s="7">
        <v>86.150797999999995</v>
      </c>
      <c r="F2275" s="7">
        <v>90.669998000000007</v>
      </c>
      <c r="G2275" s="7">
        <v>89.07</v>
      </c>
      <c r="H2275" s="8">
        <f t="shared" si="37"/>
        <v>2.1106129144607848E-2</v>
      </c>
    </row>
    <row r="2276" spans="2:8" x14ac:dyDescent="0.2">
      <c r="B2276" s="5">
        <v>44570</v>
      </c>
      <c r="C2276" s="6" t="s">
        <v>19</v>
      </c>
      <c r="D2276" s="7">
        <v>89.349997999999999</v>
      </c>
      <c r="E2276" s="7">
        <v>85.084266</v>
      </c>
      <c r="F2276" s="7">
        <v>90.389999000000003</v>
      </c>
      <c r="G2276" s="7">
        <v>89.25</v>
      </c>
      <c r="H2276" s="8">
        <f t="shared" si="37"/>
        <v>-1.2379827430310264E-2</v>
      </c>
    </row>
    <row r="2277" spans="2:8" x14ac:dyDescent="0.2">
      <c r="B2277" s="5">
        <v>44573</v>
      </c>
      <c r="C2277" s="6" t="s">
        <v>19</v>
      </c>
      <c r="D2277" s="7">
        <v>90.019997000000004</v>
      </c>
      <c r="E2277" s="7">
        <v>85.722277000000005</v>
      </c>
      <c r="F2277" s="7">
        <v>90.309997999999993</v>
      </c>
      <c r="G2277" s="7">
        <v>89.220000999999996</v>
      </c>
      <c r="H2277" s="8">
        <f t="shared" si="37"/>
        <v>7.4985899831805734E-3</v>
      </c>
    </row>
    <row r="2278" spans="2:8" x14ac:dyDescent="0.2">
      <c r="B2278" s="5">
        <v>44574</v>
      </c>
      <c r="C2278" s="6" t="s">
        <v>19</v>
      </c>
      <c r="D2278" s="7">
        <v>89.309997999999993</v>
      </c>
      <c r="E2278" s="7">
        <v>85.046175000000005</v>
      </c>
      <c r="F2278" s="7">
        <v>90.970000999999996</v>
      </c>
      <c r="G2278" s="7">
        <v>88.93</v>
      </c>
      <c r="H2278" s="8">
        <f t="shared" si="37"/>
        <v>-7.8871253461607026E-3</v>
      </c>
    </row>
    <row r="2279" spans="2:8" x14ac:dyDescent="0.2">
      <c r="B2279" s="5">
        <v>44575</v>
      </c>
      <c r="C2279" s="6" t="s">
        <v>19</v>
      </c>
      <c r="D2279" s="7">
        <v>86.610000999999997</v>
      </c>
      <c r="E2279" s="7">
        <v>82.475081000000003</v>
      </c>
      <c r="F2279" s="7">
        <v>88.519997000000004</v>
      </c>
      <c r="G2279" s="7">
        <v>86.5</v>
      </c>
      <c r="H2279" s="8">
        <f t="shared" si="37"/>
        <v>-3.0231744042811381E-2</v>
      </c>
    </row>
    <row r="2280" spans="2:8" x14ac:dyDescent="0.2">
      <c r="B2280" s="5">
        <v>44576</v>
      </c>
      <c r="C2280" s="6" t="s">
        <v>19</v>
      </c>
      <c r="D2280" s="7">
        <v>87.379997000000003</v>
      </c>
      <c r="E2280" s="7">
        <v>83.208315999999996</v>
      </c>
      <c r="F2280" s="7">
        <v>87.779999000000004</v>
      </c>
      <c r="G2280" s="7">
        <v>86.699996999999996</v>
      </c>
      <c r="H2280" s="8">
        <f t="shared" si="37"/>
        <v>8.8903820703108653E-3</v>
      </c>
    </row>
    <row r="2281" spans="2:8" x14ac:dyDescent="0.2">
      <c r="B2281" s="5">
        <v>44577</v>
      </c>
      <c r="C2281" s="6" t="s">
        <v>19</v>
      </c>
      <c r="D2281" s="7">
        <v>86.769997000000004</v>
      </c>
      <c r="E2281" s="7">
        <v>82.627437999999998</v>
      </c>
      <c r="F2281" s="7">
        <v>87.459998999999996</v>
      </c>
      <c r="G2281" s="7">
        <v>86.230002999999996</v>
      </c>
      <c r="H2281" s="8">
        <f t="shared" si="37"/>
        <v>-6.9810027574159729E-3</v>
      </c>
    </row>
    <row r="2282" spans="2:8" x14ac:dyDescent="0.2">
      <c r="B2282" s="5">
        <v>44581</v>
      </c>
      <c r="C2282" s="6" t="s">
        <v>19</v>
      </c>
      <c r="D2282" s="7">
        <v>86.690002000000007</v>
      </c>
      <c r="E2282" s="7">
        <v>82.551263000000006</v>
      </c>
      <c r="F2282" s="7">
        <v>87.699996999999996</v>
      </c>
      <c r="G2282" s="7">
        <v>85.550003000000004</v>
      </c>
      <c r="H2282" s="8">
        <f t="shared" si="37"/>
        <v>-9.2192005031412766E-4</v>
      </c>
    </row>
    <row r="2283" spans="2:8" x14ac:dyDescent="0.2">
      <c r="B2283" s="5">
        <v>44582</v>
      </c>
      <c r="C2283" s="6" t="s">
        <v>19</v>
      </c>
      <c r="D2283" s="7">
        <v>86.639999000000003</v>
      </c>
      <c r="E2283" s="7">
        <v>82.503647000000001</v>
      </c>
      <c r="F2283" s="7">
        <v>86.910004000000001</v>
      </c>
      <c r="G2283" s="7">
        <v>85.709998999999996</v>
      </c>
      <c r="H2283" s="8">
        <f t="shared" si="37"/>
        <v>-5.7680238604682218E-4</v>
      </c>
    </row>
    <row r="2284" spans="2:8" x14ac:dyDescent="0.2">
      <c r="B2284" s="5">
        <v>44583</v>
      </c>
      <c r="C2284" s="6" t="s">
        <v>19</v>
      </c>
      <c r="D2284" s="7">
        <v>88.300003000000004</v>
      </c>
      <c r="E2284" s="7">
        <v>84.084399000000005</v>
      </c>
      <c r="F2284" s="7">
        <v>88.400002000000001</v>
      </c>
      <c r="G2284" s="7">
        <v>86.860000999999997</v>
      </c>
      <c r="H2284" s="8">
        <f t="shared" si="37"/>
        <v>1.9159787848104667E-2</v>
      </c>
    </row>
    <row r="2285" spans="2:8" x14ac:dyDescent="0.2">
      <c r="B2285" s="5">
        <v>44584</v>
      </c>
      <c r="C2285" s="6" t="s">
        <v>19</v>
      </c>
      <c r="D2285" s="7">
        <v>88.510002</v>
      </c>
      <c r="E2285" s="7">
        <v>84.284373000000002</v>
      </c>
      <c r="F2285" s="7">
        <v>89.260002</v>
      </c>
      <c r="G2285" s="7">
        <v>87.889999000000003</v>
      </c>
      <c r="H2285" s="8">
        <f t="shared" si="37"/>
        <v>2.3782445398104488E-3</v>
      </c>
    </row>
    <row r="2286" spans="2:8" x14ac:dyDescent="0.2">
      <c r="B2286" s="5">
        <v>44587</v>
      </c>
      <c r="C2286" s="6" t="s">
        <v>19</v>
      </c>
      <c r="D2286" s="7">
        <v>88.629997000000003</v>
      </c>
      <c r="E2286" s="7">
        <v>84.398639000000003</v>
      </c>
      <c r="F2286" s="7">
        <v>89.160004000000001</v>
      </c>
      <c r="G2286" s="7">
        <v>88.120002999999997</v>
      </c>
      <c r="H2286" s="8">
        <f t="shared" si="37"/>
        <v>1.3557224865953902E-3</v>
      </c>
    </row>
    <row r="2287" spans="2:8" x14ac:dyDescent="0.2">
      <c r="B2287" s="5">
        <v>44588</v>
      </c>
      <c r="C2287" s="6" t="s">
        <v>19</v>
      </c>
      <c r="D2287" s="7">
        <v>87.529999000000004</v>
      </c>
      <c r="E2287" s="7">
        <v>83.351156000000003</v>
      </c>
      <c r="F2287" s="7">
        <v>88.459998999999996</v>
      </c>
      <c r="G2287" s="7">
        <v>87.260002</v>
      </c>
      <c r="H2287" s="8">
        <f t="shared" si="37"/>
        <v>-1.2411125321373975E-2</v>
      </c>
    </row>
    <row r="2288" spans="2:8" x14ac:dyDescent="0.2">
      <c r="B2288" s="5">
        <v>44589</v>
      </c>
      <c r="C2288" s="6" t="s">
        <v>19</v>
      </c>
      <c r="D2288" s="7">
        <v>86.82</v>
      </c>
      <c r="E2288" s="7">
        <v>82.675054000000003</v>
      </c>
      <c r="F2288" s="7">
        <v>88.230002999999996</v>
      </c>
      <c r="G2288" s="7">
        <v>86.769997000000004</v>
      </c>
      <c r="H2288" s="8">
        <f t="shared" si="37"/>
        <v>-8.1114932950017565E-3</v>
      </c>
    </row>
    <row r="2289" spans="2:8" x14ac:dyDescent="0.2">
      <c r="B2289" s="5">
        <v>44590</v>
      </c>
      <c r="C2289" s="6" t="s">
        <v>19</v>
      </c>
      <c r="D2289" s="7">
        <v>87.720000999999996</v>
      </c>
      <c r="E2289" s="7">
        <v>83.532088000000002</v>
      </c>
      <c r="F2289" s="7">
        <v>87.720000999999996</v>
      </c>
      <c r="G2289" s="7">
        <v>86.269997000000004</v>
      </c>
      <c r="H2289" s="8">
        <f t="shared" si="37"/>
        <v>1.0366286569914803E-2</v>
      </c>
    </row>
    <row r="2290" spans="2:8" x14ac:dyDescent="0.2">
      <c r="B2290" s="5">
        <v>44591</v>
      </c>
      <c r="C2290" s="6" t="s">
        <v>19</v>
      </c>
      <c r="D2290" s="7">
        <v>84.980002999999996</v>
      </c>
      <c r="E2290" s="7">
        <v>80.922901999999993</v>
      </c>
      <c r="F2290" s="7">
        <v>87.360000999999997</v>
      </c>
      <c r="G2290" s="7">
        <v>84.900002000000001</v>
      </c>
      <c r="H2290" s="8">
        <f t="shared" si="37"/>
        <v>-3.1235726958097048E-2</v>
      </c>
    </row>
    <row r="2291" spans="2:8" x14ac:dyDescent="0.2">
      <c r="B2291" s="5">
        <v>44594</v>
      </c>
      <c r="C2291" s="6" t="s">
        <v>19</v>
      </c>
      <c r="D2291" s="7">
        <v>85.709998999999996</v>
      </c>
      <c r="E2291" s="7">
        <v>81.618047000000004</v>
      </c>
      <c r="F2291" s="7">
        <v>85.870002999999997</v>
      </c>
      <c r="G2291" s="7">
        <v>83.93</v>
      </c>
      <c r="H2291" s="8">
        <f t="shared" si="37"/>
        <v>8.5902091577944508E-3</v>
      </c>
    </row>
    <row r="2292" spans="2:8" x14ac:dyDescent="0.2">
      <c r="B2292" s="5">
        <v>44595</v>
      </c>
      <c r="C2292" s="6" t="s">
        <v>19</v>
      </c>
      <c r="D2292" s="7">
        <v>86.190002000000007</v>
      </c>
      <c r="E2292" s="7">
        <v>82.075134000000006</v>
      </c>
      <c r="F2292" s="7">
        <v>86.529999000000004</v>
      </c>
      <c r="G2292" s="7">
        <v>85.660004000000001</v>
      </c>
      <c r="H2292" s="8">
        <f t="shared" si="37"/>
        <v>5.6003150810911883E-3</v>
      </c>
    </row>
    <row r="2293" spans="2:8" x14ac:dyDescent="0.2">
      <c r="B2293" s="5">
        <v>44596</v>
      </c>
      <c r="C2293" s="6" t="s">
        <v>19</v>
      </c>
      <c r="D2293" s="7">
        <v>86.650002000000001</v>
      </c>
      <c r="E2293" s="7">
        <v>82.513171999999997</v>
      </c>
      <c r="F2293" s="7">
        <v>87.040001000000004</v>
      </c>
      <c r="G2293" s="7">
        <v>86</v>
      </c>
      <c r="H2293" s="8">
        <f t="shared" si="37"/>
        <v>5.3370459371841492E-3</v>
      </c>
    </row>
    <row r="2294" spans="2:8" x14ac:dyDescent="0.2">
      <c r="B2294" s="5">
        <v>44597</v>
      </c>
      <c r="C2294" s="6" t="s">
        <v>19</v>
      </c>
      <c r="D2294" s="7">
        <v>87.279999000000004</v>
      </c>
      <c r="E2294" s="7">
        <v>83.113091999999995</v>
      </c>
      <c r="F2294" s="7">
        <v>87.360000999999997</v>
      </c>
      <c r="G2294" s="7">
        <v>86.559997999999993</v>
      </c>
      <c r="H2294" s="8">
        <f t="shared" si="37"/>
        <v>7.270594177251179E-3</v>
      </c>
    </row>
    <row r="2295" spans="2:8" x14ac:dyDescent="0.2">
      <c r="B2295" s="5">
        <v>44598</v>
      </c>
      <c r="C2295" s="6" t="s">
        <v>19</v>
      </c>
      <c r="D2295" s="7">
        <v>87.330001999999993</v>
      </c>
      <c r="E2295" s="7">
        <v>83.160708</v>
      </c>
      <c r="F2295" s="7">
        <v>88</v>
      </c>
      <c r="G2295" s="7">
        <v>86.779999000000004</v>
      </c>
      <c r="H2295" s="8">
        <f t="shared" si="37"/>
        <v>5.7290330628887364E-4</v>
      </c>
    </row>
    <row r="2296" spans="2:8" x14ac:dyDescent="0.2">
      <c r="B2296" s="5">
        <v>44601</v>
      </c>
      <c r="C2296" s="6" t="s">
        <v>19</v>
      </c>
      <c r="D2296" s="7">
        <v>85.910004000000001</v>
      </c>
      <c r="E2296" s="7">
        <v>81.808503000000002</v>
      </c>
      <c r="F2296" s="7">
        <v>87.190002000000007</v>
      </c>
      <c r="G2296" s="7">
        <v>85.639999000000003</v>
      </c>
      <c r="H2296" s="8">
        <f t="shared" si="37"/>
        <v>-1.6260139327604648E-2</v>
      </c>
    </row>
    <row r="2297" spans="2:8" x14ac:dyDescent="0.2">
      <c r="B2297" s="5">
        <v>44602</v>
      </c>
      <c r="C2297" s="6" t="s">
        <v>19</v>
      </c>
      <c r="D2297" s="7">
        <v>87.290001000000004</v>
      </c>
      <c r="E2297" s="7">
        <v>83.122617000000005</v>
      </c>
      <c r="F2297" s="7">
        <v>87.410004000000001</v>
      </c>
      <c r="G2297" s="7">
        <v>86.419998000000007</v>
      </c>
      <c r="H2297" s="8">
        <f t="shared" si="37"/>
        <v>1.6063286413070157E-2</v>
      </c>
    </row>
    <row r="2298" spans="2:8" x14ac:dyDescent="0.2">
      <c r="B2298" s="5">
        <v>44603</v>
      </c>
      <c r="C2298" s="6" t="s">
        <v>19</v>
      </c>
      <c r="D2298" s="7">
        <v>86.339995999999999</v>
      </c>
      <c r="E2298" s="7">
        <v>82.217967000000002</v>
      </c>
      <c r="F2298" s="7">
        <v>87.120002999999997</v>
      </c>
      <c r="G2298" s="7">
        <v>85.919998000000007</v>
      </c>
      <c r="H2298" s="8">
        <f t="shared" si="37"/>
        <v>-1.0883319843243035E-2</v>
      </c>
    </row>
    <row r="2299" spans="2:8" x14ac:dyDescent="0.2">
      <c r="B2299" s="5">
        <v>44604</v>
      </c>
      <c r="C2299" s="6" t="s">
        <v>19</v>
      </c>
      <c r="D2299" s="7">
        <v>85.889999000000003</v>
      </c>
      <c r="E2299" s="7">
        <v>81.789454000000006</v>
      </c>
      <c r="F2299" s="7">
        <v>86.68</v>
      </c>
      <c r="G2299" s="7">
        <v>85.230002999999996</v>
      </c>
      <c r="H2299" s="8">
        <f t="shared" si="37"/>
        <v>-5.2119182400702938E-3</v>
      </c>
    </row>
    <row r="2300" spans="2:8" x14ac:dyDescent="0.2">
      <c r="B2300" s="5">
        <v>44605</v>
      </c>
      <c r="C2300" s="6" t="s">
        <v>19</v>
      </c>
      <c r="D2300" s="7">
        <v>85.809997999999993</v>
      </c>
      <c r="E2300" s="7">
        <v>81.713271000000006</v>
      </c>
      <c r="F2300" s="7">
        <v>86.160004000000001</v>
      </c>
      <c r="G2300" s="7">
        <v>85.32</v>
      </c>
      <c r="H2300" s="8">
        <f t="shared" si="37"/>
        <v>-9.3143556795256192E-4</v>
      </c>
    </row>
    <row r="2301" spans="2:8" x14ac:dyDescent="0.2">
      <c r="B2301" s="5">
        <v>44609</v>
      </c>
      <c r="C2301" s="6" t="s">
        <v>19</v>
      </c>
      <c r="D2301" s="7">
        <v>85.959998999999996</v>
      </c>
      <c r="E2301" s="7">
        <v>81.856110999999999</v>
      </c>
      <c r="F2301" s="7">
        <v>85.970000999999996</v>
      </c>
      <c r="G2301" s="7">
        <v>84.970000999999996</v>
      </c>
      <c r="H2301" s="8">
        <f t="shared" si="37"/>
        <v>1.7480597074481131E-3</v>
      </c>
    </row>
    <row r="2302" spans="2:8" x14ac:dyDescent="0.2">
      <c r="B2302" s="5">
        <v>44610</v>
      </c>
      <c r="C2302" s="6" t="s">
        <v>19</v>
      </c>
      <c r="D2302" s="7">
        <v>86.290001000000004</v>
      </c>
      <c r="E2302" s="7">
        <v>82.170357999999993</v>
      </c>
      <c r="F2302" s="7">
        <v>86.300003000000004</v>
      </c>
      <c r="G2302" s="7">
        <v>85.519997000000004</v>
      </c>
      <c r="H2302" s="8">
        <f t="shared" si="37"/>
        <v>3.8390181926364082E-3</v>
      </c>
    </row>
    <row r="2303" spans="2:8" x14ac:dyDescent="0.2">
      <c r="B2303" s="5">
        <v>44611</v>
      </c>
      <c r="C2303" s="6" t="s">
        <v>19</v>
      </c>
      <c r="D2303" s="7">
        <v>83.519997000000004</v>
      </c>
      <c r="E2303" s="7">
        <v>79.532599000000005</v>
      </c>
      <c r="F2303" s="7">
        <v>84.800003000000004</v>
      </c>
      <c r="G2303" s="7">
        <v>83.389999000000003</v>
      </c>
      <c r="H2303" s="8">
        <f t="shared" si="37"/>
        <v>-3.2101100566680953E-2</v>
      </c>
    </row>
    <row r="2304" spans="2:8" x14ac:dyDescent="0.2">
      <c r="B2304" s="5">
        <v>44612</v>
      </c>
      <c r="C2304" s="6" t="s">
        <v>19</v>
      </c>
      <c r="D2304" s="7">
        <v>84.300003000000004</v>
      </c>
      <c r="E2304" s="7">
        <v>80.275367000000003</v>
      </c>
      <c r="F2304" s="7">
        <v>84.379997000000003</v>
      </c>
      <c r="G2304" s="7">
        <v>82.550003000000004</v>
      </c>
      <c r="H2304" s="8">
        <f t="shared" si="37"/>
        <v>9.3391526343086454E-3</v>
      </c>
    </row>
    <row r="2305" spans="2:8" x14ac:dyDescent="0.2">
      <c r="B2305" s="5">
        <v>44615</v>
      </c>
      <c r="C2305" s="6" t="s">
        <v>19</v>
      </c>
      <c r="D2305" s="7">
        <v>84.599997999999999</v>
      </c>
      <c r="E2305" s="7">
        <v>80.561040000000006</v>
      </c>
      <c r="F2305" s="7">
        <v>84.860000999999997</v>
      </c>
      <c r="G2305" s="7">
        <v>84.230002999999996</v>
      </c>
      <c r="H2305" s="8">
        <f t="shared" si="37"/>
        <v>3.5586594225862074E-3</v>
      </c>
    </row>
    <row r="2306" spans="2:8" x14ac:dyDescent="0.2">
      <c r="B2306" s="5">
        <v>44616</v>
      </c>
      <c r="C2306" s="6" t="s">
        <v>19</v>
      </c>
      <c r="D2306" s="7">
        <v>84.57</v>
      </c>
      <c r="E2306" s="7">
        <v>80.532472999999996</v>
      </c>
      <c r="F2306" s="7">
        <v>84.82</v>
      </c>
      <c r="G2306" s="7">
        <v>83.919998000000007</v>
      </c>
      <c r="H2306" s="8">
        <f t="shared" si="37"/>
        <v>-3.5458629679880357E-4</v>
      </c>
    </row>
    <row r="2307" spans="2:8" x14ac:dyDescent="0.2">
      <c r="B2307" s="5">
        <v>44617</v>
      </c>
      <c r="C2307" s="6" t="s">
        <v>19</v>
      </c>
      <c r="D2307" s="7">
        <v>83.57</v>
      </c>
      <c r="E2307" s="7">
        <v>79.580214999999995</v>
      </c>
      <c r="F2307" s="7">
        <v>84.720000999999996</v>
      </c>
      <c r="G2307" s="7">
        <v>83.519997000000004</v>
      </c>
      <c r="H2307" s="8">
        <f t="shared" si="37"/>
        <v>-1.1824524062906469E-2</v>
      </c>
    </row>
    <row r="2308" spans="2:8" x14ac:dyDescent="0.2">
      <c r="B2308" s="5">
        <v>44618</v>
      </c>
      <c r="C2308" s="6" t="s">
        <v>19</v>
      </c>
      <c r="D2308" s="7">
        <v>83.800003000000004</v>
      </c>
      <c r="E2308" s="7">
        <v>79.799238000000003</v>
      </c>
      <c r="F2308" s="7">
        <v>83.860000999999997</v>
      </c>
      <c r="G2308" s="7">
        <v>83.269997000000004</v>
      </c>
      <c r="H2308" s="8">
        <f t="shared" ref="H2308:H2371" si="38">(D2308-D2307)/D2307</f>
        <v>2.7522196960633079E-3</v>
      </c>
    </row>
    <row r="2309" spans="2:8" x14ac:dyDescent="0.2">
      <c r="B2309" s="5">
        <v>44619</v>
      </c>
      <c r="C2309" s="6" t="s">
        <v>19</v>
      </c>
      <c r="D2309" s="7">
        <v>83.93</v>
      </c>
      <c r="E2309" s="7">
        <v>79.923028000000002</v>
      </c>
      <c r="F2309" s="7">
        <v>84.160004000000001</v>
      </c>
      <c r="G2309" s="7">
        <v>83.400002000000001</v>
      </c>
      <c r="H2309" s="8">
        <f t="shared" si="38"/>
        <v>1.5512767941070721E-3</v>
      </c>
    </row>
    <row r="2310" spans="2:8" x14ac:dyDescent="0.2">
      <c r="B2310" s="5">
        <v>44622</v>
      </c>
      <c r="C2310" s="6" t="s">
        <v>19</v>
      </c>
      <c r="D2310" s="7">
        <v>83.959998999999996</v>
      </c>
      <c r="E2310" s="7">
        <v>79.951594999999998</v>
      </c>
      <c r="F2310" s="7">
        <v>84</v>
      </c>
      <c r="G2310" s="7">
        <v>83.199996999999996</v>
      </c>
      <c r="H2310" s="8">
        <f t="shared" si="38"/>
        <v>3.5742880972226197E-4</v>
      </c>
    </row>
    <row r="2311" spans="2:8" x14ac:dyDescent="0.2">
      <c r="B2311" s="5">
        <v>44623</v>
      </c>
      <c r="C2311" s="6" t="s">
        <v>19</v>
      </c>
      <c r="D2311" s="7">
        <v>83.370002999999997</v>
      </c>
      <c r="E2311" s="7">
        <v>79.389765999999995</v>
      </c>
      <c r="F2311" s="7">
        <v>83.82</v>
      </c>
      <c r="G2311" s="7">
        <v>83.169998000000007</v>
      </c>
      <c r="H2311" s="8">
        <f t="shared" si="38"/>
        <v>-7.0271082304324385E-3</v>
      </c>
    </row>
    <row r="2312" spans="2:8" x14ac:dyDescent="0.2">
      <c r="B2312" s="5">
        <v>44624</v>
      </c>
      <c r="C2312" s="6" t="s">
        <v>19</v>
      </c>
      <c r="D2312" s="7">
        <v>82.580001999999993</v>
      </c>
      <c r="E2312" s="7">
        <v>78.637480999999994</v>
      </c>
      <c r="F2312" s="7">
        <v>83.209998999999996</v>
      </c>
      <c r="G2312" s="7">
        <v>82.199996999999996</v>
      </c>
      <c r="H2312" s="8">
        <f t="shared" si="38"/>
        <v>-9.4758422882628875E-3</v>
      </c>
    </row>
    <row r="2313" spans="2:8" x14ac:dyDescent="0.2">
      <c r="B2313" s="5">
        <v>44625</v>
      </c>
      <c r="C2313" s="6" t="s">
        <v>19</v>
      </c>
      <c r="D2313" s="7">
        <v>83.57</v>
      </c>
      <c r="E2313" s="7">
        <v>79.580214999999995</v>
      </c>
      <c r="F2313" s="7">
        <v>83.870002999999997</v>
      </c>
      <c r="G2313" s="7">
        <v>82.959998999999996</v>
      </c>
      <c r="H2313" s="8">
        <f t="shared" si="38"/>
        <v>1.1988350399894638E-2</v>
      </c>
    </row>
    <row r="2314" spans="2:8" x14ac:dyDescent="0.2">
      <c r="B2314" s="5">
        <v>44626</v>
      </c>
      <c r="C2314" s="6" t="s">
        <v>19</v>
      </c>
      <c r="D2314" s="7">
        <v>82.589995999999999</v>
      </c>
      <c r="E2314" s="7">
        <v>78.646998999999994</v>
      </c>
      <c r="F2314" s="7">
        <v>83.099997999999999</v>
      </c>
      <c r="G2314" s="7">
        <v>82.379997000000003</v>
      </c>
      <c r="H2314" s="8">
        <f t="shared" si="38"/>
        <v>-1.1726744046906712E-2</v>
      </c>
    </row>
    <row r="2315" spans="2:8" x14ac:dyDescent="0.2">
      <c r="B2315" s="5">
        <v>44629</v>
      </c>
      <c r="C2315" s="6" t="s">
        <v>19</v>
      </c>
      <c r="D2315" s="7">
        <v>82.879997000000003</v>
      </c>
      <c r="E2315" s="7">
        <v>78.923153999999997</v>
      </c>
      <c r="F2315" s="7">
        <v>83.339995999999999</v>
      </c>
      <c r="G2315" s="7">
        <v>82.540001000000004</v>
      </c>
      <c r="H2315" s="8">
        <f t="shared" si="38"/>
        <v>3.511333261234251E-3</v>
      </c>
    </row>
    <row r="2316" spans="2:8" x14ac:dyDescent="0.2">
      <c r="B2316" s="5">
        <v>44630</v>
      </c>
      <c r="C2316" s="6" t="s">
        <v>19</v>
      </c>
      <c r="D2316" s="7">
        <v>82.07</v>
      </c>
      <c r="E2316" s="7">
        <v>78.151827999999995</v>
      </c>
      <c r="F2316" s="7">
        <v>82.5</v>
      </c>
      <c r="G2316" s="7">
        <v>82.07</v>
      </c>
      <c r="H2316" s="8">
        <f t="shared" si="38"/>
        <v>-9.7731301800120692E-3</v>
      </c>
    </row>
    <row r="2317" spans="2:8" x14ac:dyDescent="0.2">
      <c r="B2317" s="5">
        <v>44631</v>
      </c>
      <c r="C2317" s="6" t="s">
        <v>19</v>
      </c>
      <c r="D2317" s="7">
        <v>80.690002000000007</v>
      </c>
      <c r="E2317" s="7">
        <v>77.299228999999997</v>
      </c>
      <c r="F2317" s="7">
        <v>81.970000999999996</v>
      </c>
      <c r="G2317" s="7">
        <v>80.540001000000004</v>
      </c>
      <c r="H2317" s="8">
        <f t="shared" si="38"/>
        <v>-1.6814889728280571E-2</v>
      </c>
    </row>
    <row r="2318" spans="2:8" x14ac:dyDescent="0.2">
      <c r="B2318" s="5">
        <v>44632</v>
      </c>
      <c r="C2318" s="6" t="s">
        <v>19</v>
      </c>
      <c r="D2318" s="7">
        <v>81.900002000000001</v>
      </c>
      <c r="E2318" s="7">
        <v>78.458381000000003</v>
      </c>
      <c r="F2318" s="7">
        <v>82.120002999999997</v>
      </c>
      <c r="G2318" s="7">
        <v>80.779999000000004</v>
      </c>
      <c r="H2318" s="8">
        <f t="shared" si="38"/>
        <v>1.4995662040013255E-2</v>
      </c>
    </row>
    <row r="2319" spans="2:8" x14ac:dyDescent="0.2">
      <c r="B2319" s="5">
        <v>44633</v>
      </c>
      <c r="C2319" s="6" t="s">
        <v>19</v>
      </c>
      <c r="D2319" s="7">
        <v>81.900002000000001</v>
      </c>
      <c r="E2319" s="7">
        <v>78.458381000000003</v>
      </c>
      <c r="F2319" s="7">
        <v>82.25</v>
      </c>
      <c r="G2319" s="7">
        <v>81.290001000000004</v>
      </c>
      <c r="H2319" s="8">
        <f t="shared" si="38"/>
        <v>0</v>
      </c>
    </row>
    <row r="2320" spans="2:8" x14ac:dyDescent="0.2">
      <c r="B2320" s="5">
        <v>44636</v>
      </c>
      <c r="C2320" s="6" t="s">
        <v>19</v>
      </c>
      <c r="D2320" s="7">
        <v>83.290001000000004</v>
      </c>
      <c r="E2320" s="7">
        <v>79.789968999999999</v>
      </c>
      <c r="F2320" s="7">
        <v>83.370002999999997</v>
      </c>
      <c r="G2320" s="7">
        <v>82.440002000000007</v>
      </c>
      <c r="H2320" s="8">
        <f t="shared" si="38"/>
        <v>1.6971904347450481E-2</v>
      </c>
    </row>
    <row r="2321" spans="2:8" x14ac:dyDescent="0.2">
      <c r="B2321" s="5">
        <v>44637</v>
      </c>
      <c r="C2321" s="6" t="s">
        <v>19</v>
      </c>
      <c r="D2321" s="7">
        <v>82.620002999999997</v>
      </c>
      <c r="E2321" s="7">
        <v>79.148126000000005</v>
      </c>
      <c r="F2321" s="7">
        <v>83.010002</v>
      </c>
      <c r="G2321" s="7">
        <v>82.239998</v>
      </c>
      <c r="H2321" s="8">
        <f t="shared" si="38"/>
        <v>-8.0441588660805363E-3</v>
      </c>
    </row>
    <row r="2322" spans="2:8" x14ac:dyDescent="0.2">
      <c r="B2322" s="5">
        <v>44638</v>
      </c>
      <c r="C2322" s="6" t="s">
        <v>19</v>
      </c>
      <c r="D2322" s="7">
        <v>82.529999000000004</v>
      </c>
      <c r="E2322" s="7">
        <v>79.061903999999998</v>
      </c>
      <c r="F2322" s="7">
        <v>82.959998999999996</v>
      </c>
      <c r="G2322" s="7">
        <v>81.160004000000001</v>
      </c>
      <c r="H2322" s="8">
        <f t="shared" si="38"/>
        <v>-1.0893729936077745E-3</v>
      </c>
    </row>
    <row r="2323" spans="2:8" x14ac:dyDescent="0.2">
      <c r="B2323" s="5">
        <v>44639</v>
      </c>
      <c r="C2323" s="6" t="s">
        <v>19</v>
      </c>
      <c r="D2323" s="7">
        <v>81.519997000000004</v>
      </c>
      <c r="E2323" s="7">
        <v>78.094345000000004</v>
      </c>
      <c r="F2323" s="7">
        <v>82.440002000000007</v>
      </c>
      <c r="G2323" s="7">
        <v>81.370002999999997</v>
      </c>
      <c r="H2323" s="8">
        <f t="shared" si="38"/>
        <v>-1.2237998451932613E-2</v>
      </c>
    </row>
    <row r="2324" spans="2:8" x14ac:dyDescent="0.2">
      <c r="B2324" s="5">
        <v>44640</v>
      </c>
      <c r="C2324" s="6" t="s">
        <v>19</v>
      </c>
      <c r="D2324" s="7">
        <v>83.239998</v>
      </c>
      <c r="E2324" s="7">
        <v>79.742068000000003</v>
      </c>
      <c r="F2324" s="7">
        <v>83.489998</v>
      </c>
      <c r="G2324" s="7">
        <v>81.709998999999996</v>
      </c>
      <c r="H2324" s="8">
        <f t="shared" si="38"/>
        <v>2.1099129824550856E-2</v>
      </c>
    </row>
    <row r="2325" spans="2:8" x14ac:dyDescent="0.2">
      <c r="B2325" s="5">
        <v>44643</v>
      </c>
      <c r="C2325" s="6" t="s">
        <v>19</v>
      </c>
      <c r="D2325" s="7">
        <v>83.309997999999993</v>
      </c>
      <c r="E2325" s="7">
        <v>79.809126000000006</v>
      </c>
      <c r="F2325" s="7">
        <v>83.900002000000001</v>
      </c>
      <c r="G2325" s="7">
        <v>83.120002999999997</v>
      </c>
      <c r="H2325" s="8">
        <f t="shared" si="38"/>
        <v>8.4094187508261563E-4</v>
      </c>
    </row>
    <row r="2326" spans="2:8" x14ac:dyDescent="0.2">
      <c r="B2326" s="5">
        <v>44644</v>
      </c>
      <c r="C2326" s="6" t="s">
        <v>19</v>
      </c>
      <c r="D2326" s="7">
        <v>83.050003000000004</v>
      </c>
      <c r="E2326" s="7">
        <v>79.560057</v>
      </c>
      <c r="F2326" s="7">
        <v>83.709998999999996</v>
      </c>
      <c r="G2326" s="7">
        <v>82.959998999999996</v>
      </c>
      <c r="H2326" s="8">
        <f t="shared" si="38"/>
        <v>-3.1208139027921874E-3</v>
      </c>
    </row>
    <row r="2327" spans="2:8" x14ac:dyDescent="0.2">
      <c r="B2327" s="5">
        <v>44645</v>
      </c>
      <c r="C2327" s="6" t="s">
        <v>19</v>
      </c>
      <c r="D2327" s="7">
        <v>81.319999999999993</v>
      </c>
      <c r="E2327" s="7">
        <v>77.902752000000007</v>
      </c>
      <c r="F2327" s="7">
        <v>83.25</v>
      </c>
      <c r="G2327" s="7">
        <v>81.309997999999993</v>
      </c>
      <c r="H2327" s="8">
        <f t="shared" si="38"/>
        <v>-2.0830860174683084E-2</v>
      </c>
    </row>
    <row r="2328" spans="2:8" x14ac:dyDescent="0.2">
      <c r="B2328" s="5">
        <v>44646</v>
      </c>
      <c r="C2328" s="6" t="s">
        <v>19</v>
      </c>
      <c r="D2328" s="7">
        <v>81.889999000000003</v>
      </c>
      <c r="E2328" s="7">
        <v>78.448798999999994</v>
      </c>
      <c r="F2328" s="7">
        <v>82.309997999999993</v>
      </c>
      <c r="G2328" s="7">
        <v>80.650002000000001</v>
      </c>
      <c r="H2328" s="8">
        <f t="shared" si="38"/>
        <v>7.0093334972947613E-3</v>
      </c>
    </row>
    <row r="2329" spans="2:8" x14ac:dyDescent="0.2">
      <c r="B2329" s="5">
        <v>44647</v>
      </c>
      <c r="C2329" s="6" t="s">
        <v>19</v>
      </c>
      <c r="D2329" s="7">
        <v>81.349997999999999</v>
      </c>
      <c r="E2329" s="7">
        <v>77.931489999999997</v>
      </c>
      <c r="F2329" s="7">
        <v>82.18</v>
      </c>
      <c r="G2329" s="7">
        <v>81.25</v>
      </c>
      <c r="H2329" s="8">
        <f t="shared" si="38"/>
        <v>-6.5942240394947825E-3</v>
      </c>
    </row>
    <row r="2330" spans="2:8" x14ac:dyDescent="0.2">
      <c r="B2330" s="5">
        <v>44650</v>
      </c>
      <c r="C2330" s="6" t="s">
        <v>19</v>
      </c>
      <c r="D2330" s="7">
        <v>82.529999000000004</v>
      </c>
      <c r="E2330" s="7">
        <v>79.061903999999998</v>
      </c>
      <c r="F2330" s="7">
        <v>82.800003000000004</v>
      </c>
      <c r="G2330" s="7">
        <v>81.430000000000007</v>
      </c>
      <c r="H2330" s="8">
        <f t="shared" si="38"/>
        <v>1.4505236988450869E-2</v>
      </c>
    </row>
    <row r="2331" spans="2:8" x14ac:dyDescent="0.2">
      <c r="B2331" s="5">
        <v>44651</v>
      </c>
      <c r="C2331" s="6" t="s">
        <v>19</v>
      </c>
      <c r="D2331" s="7">
        <v>82.25</v>
      </c>
      <c r="E2331" s="7">
        <v>78.793672000000001</v>
      </c>
      <c r="F2331" s="7">
        <v>83.040001000000004</v>
      </c>
      <c r="G2331" s="7">
        <v>82.25</v>
      </c>
      <c r="H2331" s="8">
        <f t="shared" si="38"/>
        <v>-3.3926936070846634E-3</v>
      </c>
    </row>
    <row r="2332" spans="2:8" x14ac:dyDescent="0.2">
      <c r="B2332" s="5">
        <v>44652</v>
      </c>
      <c r="C2332" s="6" t="s">
        <v>19</v>
      </c>
      <c r="D2332" s="7">
        <v>80.709998999999996</v>
      </c>
      <c r="E2332" s="7">
        <v>77.318385000000006</v>
      </c>
      <c r="F2332" s="7">
        <v>82.279999000000004</v>
      </c>
      <c r="G2332" s="7">
        <v>80.430000000000007</v>
      </c>
      <c r="H2332" s="8">
        <f t="shared" si="38"/>
        <v>-1.8723416413373904E-2</v>
      </c>
    </row>
    <row r="2333" spans="2:8" x14ac:dyDescent="0.2">
      <c r="B2333" s="5">
        <v>44653</v>
      </c>
      <c r="C2333" s="6" t="s">
        <v>19</v>
      </c>
      <c r="D2333" s="7">
        <v>80.730002999999996</v>
      </c>
      <c r="E2333" s="7">
        <v>77.337548999999996</v>
      </c>
      <c r="F2333" s="7">
        <v>81.319999999999993</v>
      </c>
      <c r="G2333" s="7">
        <v>80.550003000000004</v>
      </c>
      <c r="H2333" s="8">
        <f t="shared" si="38"/>
        <v>2.4785033140689464E-4</v>
      </c>
    </row>
    <row r="2334" spans="2:8" x14ac:dyDescent="0.2">
      <c r="B2334" s="5">
        <v>44657</v>
      </c>
      <c r="C2334" s="6" t="s">
        <v>19</v>
      </c>
      <c r="D2334" s="7">
        <v>80.989998</v>
      </c>
      <c r="E2334" s="7">
        <v>77.586618000000001</v>
      </c>
      <c r="F2334" s="7">
        <v>81.330001999999993</v>
      </c>
      <c r="G2334" s="7">
        <v>80.150002000000001</v>
      </c>
      <c r="H2334" s="8">
        <f t="shared" si="38"/>
        <v>3.2205498617410375E-3</v>
      </c>
    </row>
    <row r="2335" spans="2:8" x14ac:dyDescent="0.2">
      <c r="B2335" s="5">
        <v>44658</v>
      </c>
      <c r="C2335" s="6" t="s">
        <v>19</v>
      </c>
      <c r="D2335" s="7">
        <v>80.5</v>
      </c>
      <c r="E2335" s="7">
        <v>77.117210999999998</v>
      </c>
      <c r="F2335" s="7">
        <v>81.290001000000004</v>
      </c>
      <c r="G2335" s="7">
        <v>80.459998999999996</v>
      </c>
      <c r="H2335" s="8">
        <f t="shared" si="38"/>
        <v>-6.050105100632302E-3</v>
      </c>
    </row>
    <row r="2336" spans="2:8" x14ac:dyDescent="0.2">
      <c r="B2336" s="5">
        <v>44659</v>
      </c>
      <c r="C2336" s="6" t="s">
        <v>19</v>
      </c>
      <c r="D2336" s="7">
        <v>81.029999000000004</v>
      </c>
      <c r="E2336" s="7">
        <v>77.624938</v>
      </c>
      <c r="F2336" s="7">
        <v>81.230002999999996</v>
      </c>
      <c r="G2336" s="7">
        <v>80.360000999999997</v>
      </c>
      <c r="H2336" s="8">
        <f t="shared" si="38"/>
        <v>6.583838509316816E-3</v>
      </c>
    </row>
    <row r="2337" spans="2:8" x14ac:dyDescent="0.2">
      <c r="B2337" s="5">
        <v>44660</v>
      </c>
      <c r="C2337" s="6" t="s">
        <v>19</v>
      </c>
      <c r="D2337" s="7">
        <v>80.839995999999999</v>
      </c>
      <c r="E2337" s="7">
        <v>77.442920000000001</v>
      </c>
      <c r="F2337" s="7">
        <v>81.389999000000003</v>
      </c>
      <c r="G2337" s="7">
        <v>80.580001999999993</v>
      </c>
      <c r="H2337" s="8">
        <f t="shared" si="38"/>
        <v>-2.3448476162514125E-3</v>
      </c>
    </row>
    <row r="2338" spans="2:8" x14ac:dyDescent="0.2">
      <c r="B2338" s="5">
        <v>44661</v>
      </c>
      <c r="C2338" s="6" t="s">
        <v>19</v>
      </c>
      <c r="D2338" s="7">
        <v>80.650002000000001</v>
      </c>
      <c r="E2338" s="7">
        <v>77.260908999999998</v>
      </c>
      <c r="F2338" s="7">
        <v>81</v>
      </c>
      <c r="G2338" s="7">
        <v>80.550003000000004</v>
      </c>
      <c r="H2338" s="8">
        <f t="shared" si="38"/>
        <v>-2.3502475185674014E-3</v>
      </c>
    </row>
    <row r="2339" spans="2:8" x14ac:dyDescent="0.2">
      <c r="B2339" s="5">
        <v>44664</v>
      </c>
      <c r="C2339" s="6" t="s">
        <v>19</v>
      </c>
      <c r="D2339" s="7">
        <v>80.290001000000004</v>
      </c>
      <c r="E2339" s="7">
        <v>76.916036000000005</v>
      </c>
      <c r="F2339" s="7">
        <v>80.919998000000007</v>
      </c>
      <c r="G2339" s="7">
        <v>80.269997000000004</v>
      </c>
      <c r="H2339" s="8">
        <f t="shared" si="38"/>
        <v>-4.463744464631221E-3</v>
      </c>
    </row>
    <row r="2340" spans="2:8" x14ac:dyDescent="0.2">
      <c r="B2340" s="5">
        <v>44665</v>
      </c>
      <c r="C2340" s="6" t="s">
        <v>19</v>
      </c>
      <c r="D2340" s="7">
        <v>80.150002000000001</v>
      </c>
      <c r="E2340" s="7">
        <v>76.78192</v>
      </c>
      <c r="F2340" s="7">
        <v>80.419998000000007</v>
      </c>
      <c r="G2340" s="7">
        <v>79.680000000000007</v>
      </c>
      <c r="H2340" s="8">
        <f t="shared" si="38"/>
        <v>-1.7436666864657667E-3</v>
      </c>
    </row>
    <row r="2341" spans="2:8" x14ac:dyDescent="0.2">
      <c r="B2341" s="5">
        <v>44666</v>
      </c>
      <c r="C2341" s="6" t="s">
        <v>19</v>
      </c>
      <c r="D2341" s="7">
        <v>79.739998</v>
      </c>
      <c r="E2341" s="7">
        <v>76.389144999999999</v>
      </c>
      <c r="F2341" s="7">
        <v>80.980002999999996</v>
      </c>
      <c r="G2341" s="7">
        <v>79.650002000000001</v>
      </c>
      <c r="H2341" s="8">
        <f t="shared" si="38"/>
        <v>-5.1154583876367298E-3</v>
      </c>
    </row>
    <row r="2342" spans="2:8" x14ac:dyDescent="0.2">
      <c r="B2342" s="5">
        <v>44667</v>
      </c>
      <c r="C2342" s="6" t="s">
        <v>19</v>
      </c>
      <c r="D2342" s="7">
        <v>79.239998</v>
      </c>
      <c r="E2342" s="7">
        <v>75.910156999999998</v>
      </c>
      <c r="F2342" s="7">
        <v>79.889999000000003</v>
      </c>
      <c r="G2342" s="7">
        <v>79.129997000000003</v>
      </c>
      <c r="H2342" s="8">
        <f t="shared" si="38"/>
        <v>-6.2703788881459466E-3</v>
      </c>
    </row>
    <row r="2343" spans="2:8" x14ac:dyDescent="0.2">
      <c r="B2343" s="5">
        <v>44668</v>
      </c>
      <c r="C2343" s="6" t="s">
        <v>19</v>
      </c>
      <c r="D2343" s="7">
        <v>77.879997000000003</v>
      </c>
      <c r="E2343" s="7">
        <v>74.607305999999994</v>
      </c>
      <c r="F2343" s="7">
        <v>79.150002000000001</v>
      </c>
      <c r="G2343" s="7">
        <v>77.550003000000004</v>
      </c>
      <c r="H2343" s="8">
        <f t="shared" si="38"/>
        <v>-1.7163062018249884E-2</v>
      </c>
    </row>
    <row r="2344" spans="2:8" x14ac:dyDescent="0.2">
      <c r="B2344" s="5">
        <v>44671</v>
      </c>
      <c r="C2344" s="6" t="s">
        <v>19</v>
      </c>
      <c r="D2344" s="7">
        <v>78.139999000000003</v>
      </c>
      <c r="E2344" s="7">
        <v>74.856382999999994</v>
      </c>
      <c r="F2344" s="7">
        <v>78.830001999999993</v>
      </c>
      <c r="G2344" s="7">
        <v>78.019997000000004</v>
      </c>
      <c r="H2344" s="8">
        <f t="shared" si="38"/>
        <v>3.3384952493000233E-3</v>
      </c>
    </row>
    <row r="2345" spans="2:8" x14ac:dyDescent="0.2">
      <c r="B2345" s="5">
        <v>44672</v>
      </c>
      <c r="C2345" s="6" t="s">
        <v>19</v>
      </c>
      <c r="D2345" s="7">
        <v>78.029999000000004</v>
      </c>
      <c r="E2345" s="7">
        <v>74.751003999999995</v>
      </c>
      <c r="F2345" s="7">
        <v>78.839995999999999</v>
      </c>
      <c r="G2345" s="7">
        <v>77.910004000000001</v>
      </c>
      <c r="H2345" s="8">
        <f t="shared" si="38"/>
        <v>-1.4077297339100225E-3</v>
      </c>
    </row>
    <row r="2346" spans="2:8" x14ac:dyDescent="0.2">
      <c r="B2346" s="5">
        <v>44673</v>
      </c>
      <c r="C2346" s="6" t="s">
        <v>19</v>
      </c>
      <c r="D2346" s="7">
        <v>78.430000000000007</v>
      </c>
      <c r="E2346" s="7">
        <v>75.134197</v>
      </c>
      <c r="F2346" s="7">
        <v>78.639999000000003</v>
      </c>
      <c r="G2346" s="7">
        <v>77.550003000000004</v>
      </c>
      <c r="H2346" s="8">
        <f t="shared" si="38"/>
        <v>5.1262463812155523E-3</v>
      </c>
    </row>
    <row r="2347" spans="2:8" x14ac:dyDescent="0.2">
      <c r="B2347" s="5">
        <v>44674</v>
      </c>
      <c r="C2347" s="6" t="s">
        <v>19</v>
      </c>
      <c r="D2347" s="7">
        <v>79.180000000000007</v>
      </c>
      <c r="E2347" s="7">
        <v>75.852680000000007</v>
      </c>
      <c r="F2347" s="7">
        <v>79.540001000000004</v>
      </c>
      <c r="G2347" s="7">
        <v>78.199996999999996</v>
      </c>
      <c r="H2347" s="8">
        <f t="shared" si="38"/>
        <v>9.5626673466785665E-3</v>
      </c>
    </row>
    <row r="2348" spans="2:8" x14ac:dyDescent="0.2">
      <c r="B2348" s="5">
        <v>44675</v>
      </c>
      <c r="C2348" s="6" t="s">
        <v>19</v>
      </c>
      <c r="D2348" s="7">
        <v>79.839995999999999</v>
      </c>
      <c r="E2348" s="7">
        <v>76.484942000000004</v>
      </c>
      <c r="F2348" s="7">
        <v>80.930000000000007</v>
      </c>
      <c r="G2348" s="7">
        <v>79.239998</v>
      </c>
      <c r="H2348" s="8">
        <f t="shared" si="38"/>
        <v>8.3353877241726746E-3</v>
      </c>
    </row>
    <row r="2349" spans="2:8" x14ac:dyDescent="0.2">
      <c r="B2349" s="5">
        <v>44678</v>
      </c>
      <c r="C2349" s="6" t="s">
        <v>19</v>
      </c>
      <c r="D2349" s="7">
        <v>79.370002999999997</v>
      </c>
      <c r="E2349" s="7">
        <v>76.034698000000006</v>
      </c>
      <c r="F2349" s="7">
        <v>79.860000999999997</v>
      </c>
      <c r="G2349" s="7">
        <v>79.290001000000004</v>
      </c>
      <c r="H2349" s="8">
        <f t="shared" si="38"/>
        <v>-5.8866861666676731E-3</v>
      </c>
    </row>
    <row r="2350" spans="2:8" x14ac:dyDescent="0.2">
      <c r="B2350" s="5">
        <v>44679</v>
      </c>
      <c r="C2350" s="6" t="s">
        <v>19</v>
      </c>
      <c r="D2350" s="7">
        <v>79.099997999999999</v>
      </c>
      <c r="E2350" s="7">
        <v>75.776039999999995</v>
      </c>
      <c r="F2350" s="7">
        <v>79.480002999999996</v>
      </c>
      <c r="G2350" s="7">
        <v>78.769997000000004</v>
      </c>
      <c r="H2350" s="8">
        <f t="shared" si="38"/>
        <v>-3.4018519565886577E-3</v>
      </c>
    </row>
    <row r="2351" spans="2:8" x14ac:dyDescent="0.2">
      <c r="B2351" s="5">
        <v>44680</v>
      </c>
      <c r="C2351" s="6" t="s">
        <v>19</v>
      </c>
      <c r="D2351" s="7">
        <v>77.879997000000003</v>
      </c>
      <c r="E2351" s="7">
        <v>74.607305999999994</v>
      </c>
      <c r="F2351" s="7">
        <v>78.790001000000004</v>
      </c>
      <c r="G2351" s="7">
        <v>77.790001000000004</v>
      </c>
      <c r="H2351" s="8">
        <f t="shared" si="38"/>
        <v>-1.5423527570759184E-2</v>
      </c>
    </row>
    <row r="2352" spans="2:8" x14ac:dyDescent="0.2">
      <c r="B2352" s="5">
        <v>44681</v>
      </c>
      <c r="C2352" s="6" t="s">
        <v>19</v>
      </c>
      <c r="D2352" s="7">
        <v>78.050003000000004</v>
      </c>
      <c r="E2352" s="7">
        <v>74.770167999999998</v>
      </c>
      <c r="F2352" s="7">
        <v>78.480002999999996</v>
      </c>
      <c r="G2352" s="7">
        <v>77.589995999999999</v>
      </c>
      <c r="H2352" s="8">
        <f t="shared" si="38"/>
        <v>2.1829225288747863E-3</v>
      </c>
    </row>
    <row r="2353" spans="2:8" x14ac:dyDescent="0.2">
      <c r="B2353" s="5">
        <v>44682</v>
      </c>
      <c r="C2353" s="6" t="s">
        <v>19</v>
      </c>
      <c r="D2353" s="7">
        <v>78.599997999999999</v>
      </c>
      <c r="E2353" s="7">
        <v>75.297050999999996</v>
      </c>
      <c r="F2353" s="7">
        <v>78.760002</v>
      </c>
      <c r="G2353" s="7">
        <v>78.169998000000007</v>
      </c>
      <c r="H2353" s="8">
        <f t="shared" si="38"/>
        <v>7.0467005619461098E-3</v>
      </c>
    </row>
    <row r="2354" spans="2:8" x14ac:dyDescent="0.2">
      <c r="B2354" s="5">
        <v>44685</v>
      </c>
      <c r="C2354" s="6" t="s">
        <v>19</v>
      </c>
      <c r="D2354" s="7">
        <v>79.180000000000007</v>
      </c>
      <c r="E2354" s="7">
        <v>75.852680000000007</v>
      </c>
      <c r="F2354" s="7">
        <v>79.550003000000004</v>
      </c>
      <c r="G2354" s="7">
        <v>78.459998999999996</v>
      </c>
      <c r="H2354" s="8">
        <f t="shared" si="38"/>
        <v>7.3791604931085046E-3</v>
      </c>
    </row>
    <row r="2355" spans="2:8" x14ac:dyDescent="0.2">
      <c r="B2355" s="5">
        <v>44686</v>
      </c>
      <c r="C2355" s="6" t="s">
        <v>19</v>
      </c>
      <c r="D2355" s="7">
        <v>78.129997000000003</v>
      </c>
      <c r="E2355" s="7">
        <v>74.846800999999999</v>
      </c>
      <c r="F2355" s="7">
        <v>79.010002</v>
      </c>
      <c r="G2355" s="7">
        <v>78.059997999999993</v>
      </c>
      <c r="H2355" s="8">
        <f t="shared" si="38"/>
        <v>-1.326096236423344E-2</v>
      </c>
    </row>
    <row r="2356" spans="2:8" x14ac:dyDescent="0.2">
      <c r="B2356" s="5">
        <v>44687</v>
      </c>
      <c r="C2356" s="6" t="s">
        <v>19</v>
      </c>
      <c r="D2356" s="7">
        <v>77.650002000000001</v>
      </c>
      <c r="E2356" s="7">
        <v>74.856447000000003</v>
      </c>
      <c r="F2356" s="7">
        <v>78.120002999999997</v>
      </c>
      <c r="G2356" s="7">
        <v>77.169998000000007</v>
      </c>
      <c r="H2356" s="8">
        <f t="shared" si="38"/>
        <v>-6.1435430491569376E-3</v>
      </c>
    </row>
    <row r="2357" spans="2:8" x14ac:dyDescent="0.2">
      <c r="B2357" s="5">
        <v>44688</v>
      </c>
      <c r="C2357" s="6" t="s">
        <v>19</v>
      </c>
      <c r="D2357" s="7">
        <v>78.029999000000004</v>
      </c>
      <c r="E2357" s="7">
        <v>75.222774000000001</v>
      </c>
      <c r="F2357" s="7">
        <v>78.339995999999999</v>
      </c>
      <c r="G2357" s="7">
        <v>77.300003000000004</v>
      </c>
      <c r="H2357" s="8">
        <f t="shared" si="38"/>
        <v>4.8937152635231485E-3</v>
      </c>
    </row>
    <row r="2358" spans="2:8" x14ac:dyDescent="0.2">
      <c r="B2358" s="5">
        <v>44689</v>
      </c>
      <c r="C2358" s="6" t="s">
        <v>19</v>
      </c>
      <c r="D2358" s="7">
        <v>78.529999000000004</v>
      </c>
      <c r="E2358" s="7">
        <v>75.704785000000001</v>
      </c>
      <c r="F2358" s="7">
        <v>79.25</v>
      </c>
      <c r="G2358" s="7">
        <v>78.400002000000001</v>
      </c>
      <c r="H2358" s="8">
        <f t="shared" si="38"/>
        <v>6.4077919570394966E-3</v>
      </c>
    </row>
    <row r="2359" spans="2:8" x14ac:dyDescent="0.2">
      <c r="B2359" s="5">
        <v>44692</v>
      </c>
      <c r="C2359" s="6" t="s">
        <v>19</v>
      </c>
      <c r="D2359" s="7">
        <v>78.099997999999999</v>
      </c>
      <c r="E2359" s="7">
        <v>75.290255000000002</v>
      </c>
      <c r="F2359" s="7">
        <v>78.610000999999997</v>
      </c>
      <c r="G2359" s="7">
        <v>78.029999000000004</v>
      </c>
      <c r="H2359" s="8">
        <f t="shared" si="38"/>
        <v>-5.4756272185869283E-3</v>
      </c>
    </row>
    <row r="2360" spans="2:8" x14ac:dyDescent="0.2">
      <c r="B2360" s="5">
        <v>44693</v>
      </c>
      <c r="C2360" s="6" t="s">
        <v>19</v>
      </c>
      <c r="D2360" s="7">
        <v>78.959998999999996</v>
      </c>
      <c r="E2360" s="7">
        <v>76.119315999999998</v>
      </c>
      <c r="F2360" s="7">
        <v>79.480002999999996</v>
      </c>
      <c r="G2360" s="7">
        <v>77.870002999999997</v>
      </c>
      <c r="H2360" s="8">
        <f t="shared" si="38"/>
        <v>1.1011536773662874E-2</v>
      </c>
    </row>
    <row r="2361" spans="2:8" x14ac:dyDescent="0.2">
      <c r="B2361" s="5">
        <v>44694</v>
      </c>
      <c r="C2361" s="6" t="s">
        <v>19</v>
      </c>
      <c r="D2361" s="7">
        <v>78.160004000000001</v>
      </c>
      <c r="E2361" s="7">
        <v>75.348101</v>
      </c>
      <c r="F2361" s="7">
        <v>79.430000000000007</v>
      </c>
      <c r="G2361" s="7">
        <v>77.980002999999996</v>
      </c>
      <c r="H2361" s="8">
        <f t="shared" si="38"/>
        <v>-1.0131649064483848E-2</v>
      </c>
    </row>
    <row r="2362" spans="2:8" x14ac:dyDescent="0.2">
      <c r="B2362" s="5">
        <v>44695</v>
      </c>
      <c r="C2362" s="6" t="s">
        <v>19</v>
      </c>
      <c r="D2362" s="7">
        <v>78.720000999999996</v>
      </c>
      <c r="E2362" s="7">
        <v>75.887951999999999</v>
      </c>
      <c r="F2362" s="7">
        <v>78.769997000000004</v>
      </c>
      <c r="G2362" s="7">
        <v>78.019997000000004</v>
      </c>
      <c r="H2362" s="8">
        <f t="shared" si="38"/>
        <v>7.164751424526483E-3</v>
      </c>
    </row>
    <row r="2363" spans="2:8" x14ac:dyDescent="0.2">
      <c r="B2363" s="5">
        <v>44696</v>
      </c>
      <c r="C2363" s="6" t="s">
        <v>19</v>
      </c>
      <c r="D2363" s="7">
        <v>79.239998</v>
      </c>
      <c r="E2363" s="7">
        <v>76.389240999999998</v>
      </c>
      <c r="F2363" s="7">
        <v>79.25</v>
      </c>
      <c r="G2363" s="7">
        <v>78.569999999999993</v>
      </c>
      <c r="H2363" s="8">
        <f t="shared" si="38"/>
        <v>6.6056528632412442E-3</v>
      </c>
    </row>
    <row r="2364" spans="2:8" x14ac:dyDescent="0.2">
      <c r="B2364" s="5">
        <v>44699</v>
      </c>
      <c r="C2364" s="6" t="s">
        <v>19</v>
      </c>
      <c r="D2364" s="7">
        <v>79.919998000000007</v>
      </c>
      <c r="E2364" s="7">
        <v>77.044777999999994</v>
      </c>
      <c r="F2364" s="7">
        <v>79.940002000000007</v>
      </c>
      <c r="G2364" s="7">
        <v>79.160004000000001</v>
      </c>
      <c r="H2364" s="8">
        <f t="shared" si="38"/>
        <v>8.5815246991804168E-3</v>
      </c>
    </row>
    <row r="2365" spans="2:8" x14ac:dyDescent="0.2">
      <c r="B2365" s="5">
        <v>44700</v>
      </c>
      <c r="C2365" s="6" t="s">
        <v>19</v>
      </c>
      <c r="D2365" s="7">
        <v>76.430000000000007</v>
      </c>
      <c r="E2365" s="7">
        <v>73.680336999999994</v>
      </c>
      <c r="F2365" s="7">
        <v>78.360000999999997</v>
      </c>
      <c r="G2365" s="7">
        <v>76.230002999999996</v>
      </c>
      <c r="H2365" s="8">
        <f t="shared" si="38"/>
        <v>-4.3668644736452565E-2</v>
      </c>
    </row>
    <row r="2366" spans="2:8" x14ac:dyDescent="0.2">
      <c r="B2366" s="5">
        <v>44701</v>
      </c>
      <c r="C2366" s="6" t="s">
        <v>19</v>
      </c>
      <c r="D2366" s="7">
        <v>75.900002000000001</v>
      </c>
      <c r="E2366" s="7">
        <v>73.169405999999995</v>
      </c>
      <c r="F2366" s="7">
        <v>76.5</v>
      </c>
      <c r="G2366" s="7">
        <v>75.830001999999993</v>
      </c>
      <c r="H2366" s="8">
        <f t="shared" si="38"/>
        <v>-6.9344236556326856E-3</v>
      </c>
    </row>
    <row r="2367" spans="2:8" x14ac:dyDescent="0.2">
      <c r="B2367" s="5">
        <v>44702</v>
      </c>
      <c r="C2367" s="6" t="s">
        <v>19</v>
      </c>
      <c r="D2367" s="7">
        <v>76.110000999999997</v>
      </c>
      <c r="E2367" s="7">
        <v>73.371849999999995</v>
      </c>
      <c r="F2367" s="7">
        <v>76.419998000000007</v>
      </c>
      <c r="G2367" s="7">
        <v>75.559997999999993</v>
      </c>
      <c r="H2367" s="8">
        <f t="shared" si="38"/>
        <v>2.7667851708356511E-3</v>
      </c>
    </row>
    <row r="2368" spans="2:8" x14ac:dyDescent="0.2">
      <c r="B2368" s="5">
        <v>44703</v>
      </c>
      <c r="C2368" s="6" t="s">
        <v>19</v>
      </c>
      <c r="D2368" s="7">
        <v>75.860000999999997</v>
      </c>
      <c r="E2368" s="7">
        <v>73.130843999999996</v>
      </c>
      <c r="F2368" s="7">
        <v>76.379997000000003</v>
      </c>
      <c r="G2368" s="7">
        <v>75.860000999999997</v>
      </c>
      <c r="H2368" s="8">
        <f t="shared" si="38"/>
        <v>-3.2847194417984569E-3</v>
      </c>
    </row>
    <row r="2369" spans="2:8" x14ac:dyDescent="0.2">
      <c r="B2369" s="5">
        <v>44707</v>
      </c>
      <c r="C2369" s="6" t="s">
        <v>19</v>
      </c>
      <c r="D2369" s="7">
        <v>74.900002000000001</v>
      </c>
      <c r="E2369" s="7">
        <v>72.205382</v>
      </c>
      <c r="F2369" s="7">
        <v>75.830001999999993</v>
      </c>
      <c r="G2369" s="7">
        <v>74.819999999999993</v>
      </c>
      <c r="H2369" s="8">
        <f t="shared" si="38"/>
        <v>-1.265487723892854E-2</v>
      </c>
    </row>
    <row r="2370" spans="2:8" x14ac:dyDescent="0.2">
      <c r="B2370" s="5">
        <v>44708</v>
      </c>
      <c r="C2370" s="6" t="s">
        <v>19</v>
      </c>
      <c r="D2370" s="7">
        <v>75.190002000000007</v>
      </c>
      <c r="E2370" s="7">
        <v>72.484949999999998</v>
      </c>
      <c r="F2370" s="7">
        <v>75.510002</v>
      </c>
      <c r="G2370" s="7">
        <v>75</v>
      </c>
      <c r="H2370" s="8">
        <f t="shared" si="38"/>
        <v>3.8718290020874264E-3</v>
      </c>
    </row>
    <row r="2371" spans="2:8" x14ac:dyDescent="0.2">
      <c r="B2371" s="5">
        <v>44709</v>
      </c>
      <c r="C2371" s="6" t="s">
        <v>19</v>
      </c>
      <c r="D2371" s="7">
        <v>74.839995999999999</v>
      </c>
      <c r="E2371" s="7">
        <v>72.147535000000005</v>
      </c>
      <c r="F2371" s="7">
        <v>75.160004000000001</v>
      </c>
      <c r="G2371" s="7">
        <v>74.650002000000001</v>
      </c>
      <c r="H2371" s="8">
        <f t="shared" si="38"/>
        <v>-4.6549539924205293E-3</v>
      </c>
    </row>
    <row r="2372" spans="2:8" x14ac:dyDescent="0.2">
      <c r="B2372" s="5">
        <v>44710</v>
      </c>
      <c r="C2372" s="6" t="s">
        <v>19</v>
      </c>
      <c r="D2372" s="7">
        <v>74.269997000000004</v>
      </c>
      <c r="E2372" s="7">
        <v>71.598042000000007</v>
      </c>
      <c r="F2372" s="7">
        <v>74.879997000000003</v>
      </c>
      <c r="G2372" s="7">
        <v>74.150002000000001</v>
      </c>
      <c r="H2372" s="8">
        <f t="shared" ref="H2372:H2435" si="39">(D2372-D2371)/D2371</f>
        <v>-7.6162350409531782E-3</v>
      </c>
    </row>
    <row r="2373" spans="2:8" x14ac:dyDescent="0.2">
      <c r="B2373" s="5">
        <v>44713</v>
      </c>
      <c r="C2373" s="6" t="s">
        <v>19</v>
      </c>
      <c r="D2373" s="7">
        <v>74.730002999999996</v>
      </c>
      <c r="E2373" s="7">
        <v>72.041499000000002</v>
      </c>
      <c r="F2373" s="7">
        <v>75.080001999999993</v>
      </c>
      <c r="G2373" s="7">
        <v>74.410004000000001</v>
      </c>
      <c r="H2373" s="8">
        <f t="shared" si="39"/>
        <v>6.1936989172086919E-3</v>
      </c>
    </row>
    <row r="2374" spans="2:8" x14ac:dyDescent="0.2">
      <c r="B2374" s="5">
        <v>44714</v>
      </c>
      <c r="C2374" s="6" t="s">
        <v>19</v>
      </c>
      <c r="D2374" s="7">
        <v>74.529999000000004</v>
      </c>
      <c r="E2374" s="7">
        <v>71.848690000000005</v>
      </c>
      <c r="F2374" s="7">
        <v>75</v>
      </c>
      <c r="G2374" s="7">
        <v>74.419998000000007</v>
      </c>
      <c r="H2374" s="8">
        <f t="shared" si="39"/>
        <v>-2.6763547701181378E-3</v>
      </c>
    </row>
    <row r="2375" spans="2:8" x14ac:dyDescent="0.2">
      <c r="B2375" s="5">
        <v>44715</v>
      </c>
      <c r="C2375" s="6" t="s">
        <v>19</v>
      </c>
      <c r="D2375" s="7">
        <v>74.889999000000003</v>
      </c>
      <c r="E2375" s="7">
        <v>72.195739000000003</v>
      </c>
      <c r="F2375" s="7">
        <v>75.199996999999996</v>
      </c>
      <c r="G2375" s="7">
        <v>74.470000999999996</v>
      </c>
      <c r="H2375" s="8">
        <f t="shared" si="39"/>
        <v>4.8302697548674245E-3</v>
      </c>
    </row>
    <row r="2376" spans="2:8" x14ac:dyDescent="0.2">
      <c r="B2376" s="5">
        <v>44716</v>
      </c>
      <c r="C2376" s="6" t="s">
        <v>19</v>
      </c>
      <c r="D2376" s="7">
        <v>74.150002000000001</v>
      </c>
      <c r="E2376" s="7">
        <v>71.482364000000004</v>
      </c>
      <c r="F2376" s="7">
        <v>74.980002999999996</v>
      </c>
      <c r="G2376" s="7">
        <v>73.949996999999996</v>
      </c>
      <c r="H2376" s="8">
        <f t="shared" si="39"/>
        <v>-9.8811191064377291E-3</v>
      </c>
    </row>
    <row r="2377" spans="2:8" x14ac:dyDescent="0.2">
      <c r="B2377" s="5">
        <v>44717</v>
      </c>
      <c r="C2377" s="6" t="s">
        <v>19</v>
      </c>
      <c r="D2377" s="7">
        <v>73.059997999999993</v>
      </c>
      <c r="E2377" s="7">
        <v>70.431573999999998</v>
      </c>
      <c r="F2377" s="7">
        <v>74.269997000000004</v>
      </c>
      <c r="G2377" s="7">
        <v>72.980002999999996</v>
      </c>
      <c r="H2377" s="8">
        <f t="shared" si="39"/>
        <v>-1.4699986117330213E-2</v>
      </c>
    </row>
    <row r="2378" spans="2:8" x14ac:dyDescent="0.2">
      <c r="B2378" s="5">
        <v>44720</v>
      </c>
      <c r="C2378" s="6" t="s">
        <v>19</v>
      </c>
      <c r="D2378" s="7">
        <v>72.610000999999997</v>
      </c>
      <c r="E2378" s="7">
        <v>69.997765999999999</v>
      </c>
      <c r="F2378" s="7">
        <v>73.489998</v>
      </c>
      <c r="G2378" s="7">
        <v>72.599997999999999</v>
      </c>
      <c r="H2378" s="8">
        <f t="shared" si="39"/>
        <v>-6.1592802124083856E-3</v>
      </c>
    </row>
    <row r="2379" spans="2:8" x14ac:dyDescent="0.2">
      <c r="B2379" s="5">
        <v>44721</v>
      </c>
      <c r="C2379" s="6" t="s">
        <v>19</v>
      </c>
      <c r="D2379" s="7">
        <v>72.470000999999996</v>
      </c>
      <c r="E2379" s="7">
        <v>69.862803999999997</v>
      </c>
      <c r="F2379" s="7">
        <v>72.849997999999999</v>
      </c>
      <c r="G2379" s="7">
        <v>72.360000999999997</v>
      </c>
      <c r="H2379" s="8">
        <f t="shared" si="39"/>
        <v>-1.9281090493305541E-3</v>
      </c>
    </row>
    <row r="2380" spans="2:8" x14ac:dyDescent="0.2">
      <c r="B2380" s="5">
        <v>44722</v>
      </c>
      <c r="C2380" s="6" t="s">
        <v>19</v>
      </c>
      <c r="D2380" s="7">
        <v>72.930000000000007</v>
      </c>
      <c r="E2380" s="7">
        <v>70.306253999999996</v>
      </c>
      <c r="F2380" s="7">
        <v>73.330001999999993</v>
      </c>
      <c r="G2380" s="7">
        <v>72.339995999999999</v>
      </c>
      <c r="H2380" s="8">
        <f t="shared" si="39"/>
        <v>6.3474402325454709E-3</v>
      </c>
    </row>
    <row r="2381" spans="2:8" x14ac:dyDescent="0.2">
      <c r="B2381" s="5">
        <v>44723</v>
      </c>
      <c r="C2381" s="6" t="s">
        <v>19</v>
      </c>
      <c r="D2381" s="7">
        <v>72.940002000000007</v>
      </c>
      <c r="E2381" s="7">
        <v>70.315895999999995</v>
      </c>
      <c r="F2381" s="7">
        <v>73.669998000000007</v>
      </c>
      <c r="G2381" s="7">
        <v>72.839995999999999</v>
      </c>
      <c r="H2381" s="8">
        <f t="shared" si="39"/>
        <v>1.3714520773344392E-4</v>
      </c>
    </row>
    <row r="2382" spans="2:8" x14ac:dyDescent="0.2">
      <c r="B2382" s="5">
        <v>44724</v>
      </c>
      <c r="C2382" s="6" t="s">
        <v>19</v>
      </c>
      <c r="D2382" s="7">
        <v>72.430000000000007</v>
      </c>
      <c r="E2382" s="7">
        <v>69.824241999999998</v>
      </c>
      <c r="F2382" s="7">
        <v>72.900002000000001</v>
      </c>
      <c r="G2382" s="7">
        <v>72.400002000000001</v>
      </c>
      <c r="H2382" s="8">
        <f t="shared" si="39"/>
        <v>-6.9920754869186872E-3</v>
      </c>
    </row>
    <row r="2383" spans="2:8" x14ac:dyDescent="0.2">
      <c r="B2383" s="5">
        <v>44727</v>
      </c>
      <c r="C2383" s="6" t="s">
        <v>19</v>
      </c>
      <c r="D2383" s="7">
        <v>71.930000000000007</v>
      </c>
      <c r="E2383" s="7">
        <v>69.342230000000001</v>
      </c>
      <c r="F2383" s="7">
        <v>72.400002000000001</v>
      </c>
      <c r="G2383" s="7">
        <v>71.699996999999996</v>
      </c>
      <c r="H2383" s="8">
        <f t="shared" si="39"/>
        <v>-6.9032168990749683E-3</v>
      </c>
    </row>
    <row r="2384" spans="2:8" x14ac:dyDescent="0.2">
      <c r="B2384" s="5">
        <v>44728</v>
      </c>
      <c r="C2384" s="6" t="s">
        <v>19</v>
      </c>
      <c r="D2384" s="7">
        <v>72.349997999999999</v>
      </c>
      <c r="E2384" s="7">
        <v>69.747118</v>
      </c>
      <c r="F2384" s="7">
        <v>72.580001999999993</v>
      </c>
      <c r="G2384" s="7">
        <v>71.720000999999996</v>
      </c>
      <c r="H2384" s="8">
        <f t="shared" si="39"/>
        <v>5.8389823439453986E-3</v>
      </c>
    </row>
    <row r="2385" spans="2:8" x14ac:dyDescent="0.2">
      <c r="B2385" s="5">
        <v>44729</v>
      </c>
      <c r="C2385" s="6" t="s">
        <v>19</v>
      </c>
      <c r="D2385" s="7">
        <v>72.730002999999996</v>
      </c>
      <c r="E2385" s="7">
        <v>70.113451999999995</v>
      </c>
      <c r="F2385" s="7">
        <v>72.900002000000001</v>
      </c>
      <c r="G2385" s="7">
        <v>72.339995999999999</v>
      </c>
      <c r="H2385" s="8">
        <f t="shared" si="39"/>
        <v>5.2523152799533873E-3</v>
      </c>
    </row>
    <row r="2386" spans="2:8" x14ac:dyDescent="0.2">
      <c r="B2386" s="5">
        <v>44730</v>
      </c>
      <c r="C2386" s="6" t="s">
        <v>19</v>
      </c>
      <c r="D2386" s="7">
        <v>72.980002999999996</v>
      </c>
      <c r="E2386" s="7">
        <v>70.354457999999994</v>
      </c>
      <c r="F2386" s="7">
        <v>73.480002999999996</v>
      </c>
      <c r="G2386" s="7">
        <v>72.739998</v>
      </c>
      <c r="H2386" s="8">
        <f t="shared" si="39"/>
        <v>3.4373709567975682E-3</v>
      </c>
    </row>
    <row r="2387" spans="2:8" x14ac:dyDescent="0.2">
      <c r="B2387" s="5">
        <v>44731</v>
      </c>
      <c r="C2387" s="6" t="s">
        <v>19</v>
      </c>
      <c r="D2387" s="7">
        <v>72.739998</v>
      </c>
      <c r="E2387" s="7">
        <v>70.123086999999998</v>
      </c>
      <c r="F2387" s="7">
        <v>73.220000999999996</v>
      </c>
      <c r="G2387" s="7">
        <v>72.699996999999996</v>
      </c>
      <c r="H2387" s="8">
        <f t="shared" si="39"/>
        <v>-3.2886405882991878E-3</v>
      </c>
    </row>
    <row r="2388" spans="2:8" x14ac:dyDescent="0.2">
      <c r="B2388" s="5">
        <v>44734</v>
      </c>
      <c r="C2388" s="6" t="s">
        <v>19</v>
      </c>
      <c r="D2388" s="7">
        <v>72.790001000000004</v>
      </c>
      <c r="E2388" s="7">
        <v>70.171290999999997</v>
      </c>
      <c r="F2388" s="7">
        <v>73.190002000000007</v>
      </c>
      <c r="G2388" s="7">
        <v>72.690002000000007</v>
      </c>
      <c r="H2388" s="8">
        <f t="shared" si="39"/>
        <v>6.8742097023433786E-4</v>
      </c>
    </row>
    <row r="2389" spans="2:8" x14ac:dyDescent="0.2">
      <c r="B2389" s="5">
        <v>44735</v>
      </c>
      <c r="C2389" s="6" t="s">
        <v>19</v>
      </c>
      <c r="D2389" s="7">
        <v>72.569999999999993</v>
      </c>
      <c r="E2389" s="7">
        <v>69.959204999999997</v>
      </c>
      <c r="F2389" s="7">
        <v>72.940002000000007</v>
      </c>
      <c r="G2389" s="7">
        <v>72.339995999999999</v>
      </c>
      <c r="H2389" s="8">
        <f t="shared" si="39"/>
        <v>-3.0224068825058887E-3</v>
      </c>
    </row>
    <row r="2390" spans="2:8" x14ac:dyDescent="0.2">
      <c r="B2390" s="5">
        <v>44736</v>
      </c>
      <c r="C2390" s="6" t="s">
        <v>19</v>
      </c>
      <c r="D2390" s="7">
        <v>72.379997000000003</v>
      </c>
      <c r="E2390" s="7">
        <v>69.776038</v>
      </c>
      <c r="F2390" s="7">
        <v>72.650002000000001</v>
      </c>
      <c r="G2390" s="7">
        <v>72.139999000000003</v>
      </c>
      <c r="H2390" s="8">
        <f t="shared" si="39"/>
        <v>-2.6182031142343966E-3</v>
      </c>
    </row>
    <row r="2391" spans="2:8" x14ac:dyDescent="0.2">
      <c r="B2391" s="5">
        <v>44737</v>
      </c>
      <c r="C2391" s="6" t="s">
        <v>19</v>
      </c>
      <c r="D2391" s="7">
        <v>71.860000999999997</v>
      </c>
      <c r="E2391" s="7">
        <v>69.274749</v>
      </c>
      <c r="F2391" s="7">
        <v>72.629997000000003</v>
      </c>
      <c r="G2391" s="7">
        <v>71.830001999999993</v>
      </c>
      <c r="H2391" s="8">
        <f t="shared" si="39"/>
        <v>-7.1842500905326939E-3</v>
      </c>
    </row>
    <row r="2392" spans="2:8" x14ac:dyDescent="0.2">
      <c r="B2392" s="5">
        <v>44738</v>
      </c>
      <c r="C2392" s="6" t="s">
        <v>19</v>
      </c>
      <c r="D2392" s="7">
        <v>72.120002999999997</v>
      </c>
      <c r="E2392" s="7">
        <v>69.525396999999998</v>
      </c>
      <c r="F2392" s="7">
        <v>72.459998999999996</v>
      </c>
      <c r="G2392" s="7">
        <v>71.870002999999997</v>
      </c>
      <c r="H2392" s="8">
        <f t="shared" si="39"/>
        <v>3.6181741773145823E-3</v>
      </c>
    </row>
    <row r="2393" spans="2:8" x14ac:dyDescent="0.2">
      <c r="B2393" s="5">
        <v>44741</v>
      </c>
      <c r="C2393" s="6" t="s">
        <v>19</v>
      </c>
      <c r="D2393" s="7">
        <v>71.419998000000007</v>
      </c>
      <c r="E2393" s="7">
        <v>68.850576000000004</v>
      </c>
      <c r="F2393" s="7">
        <v>72</v>
      </c>
      <c r="G2393" s="7">
        <v>71.410004000000001</v>
      </c>
      <c r="H2393" s="8">
        <f t="shared" si="39"/>
        <v>-9.7061144049035916E-3</v>
      </c>
    </row>
    <row r="2394" spans="2:8" x14ac:dyDescent="0.2">
      <c r="B2394" s="5">
        <v>44742</v>
      </c>
      <c r="C2394" s="6" t="s">
        <v>19</v>
      </c>
      <c r="D2394" s="7">
        <v>70.930000000000007</v>
      </c>
      <c r="E2394" s="7">
        <v>68.378206000000006</v>
      </c>
      <c r="F2394" s="7">
        <v>71.809997999999993</v>
      </c>
      <c r="G2394" s="7">
        <v>70.779999000000004</v>
      </c>
      <c r="H2394" s="8">
        <f t="shared" si="39"/>
        <v>-6.8607954875607793E-3</v>
      </c>
    </row>
    <row r="2395" spans="2:8" x14ac:dyDescent="0.2">
      <c r="B2395" s="5">
        <v>44743</v>
      </c>
      <c r="C2395" s="6" t="s">
        <v>19</v>
      </c>
      <c r="D2395" s="7">
        <v>71.879997000000003</v>
      </c>
      <c r="E2395" s="7">
        <v>69.294026000000002</v>
      </c>
      <c r="F2395" s="7">
        <v>71.949996999999996</v>
      </c>
      <c r="G2395" s="7">
        <v>70.360000999999997</v>
      </c>
      <c r="H2395" s="8">
        <f t="shared" si="39"/>
        <v>1.3393444240800734E-2</v>
      </c>
    </row>
    <row r="2396" spans="2:8" x14ac:dyDescent="0.2">
      <c r="B2396" s="5">
        <v>44744</v>
      </c>
      <c r="C2396" s="6" t="s">
        <v>19</v>
      </c>
      <c r="D2396" s="7">
        <v>71.860000999999997</v>
      </c>
      <c r="E2396" s="7">
        <v>69.274749</v>
      </c>
      <c r="F2396" s="7">
        <v>72.559997999999993</v>
      </c>
      <c r="G2396" s="7">
        <v>71.660004000000001</v>
      </c>
      <c r="H2396" s="8">
        <f t="shared" si="39"/>
        <v>-2.7818587694162145E-4</v>
      </c>
    </row>
    <row r="2397" spans="2:8" x14ac:dyDescent="0.2">
      <c r="B2397" s="5">
        <v>44748</v>
      </c>
      <c r="C2397" s="6" t="s">
        <v>19</v>
      </c>
      <c r="D2397" s="7">
        <v>72.529999000000004</v>
      </c>
      <c r="E2397" s="7">
        <v>69.920642999999998</v>
      </c>
      <c r="F2397" s="7">
        <v>72.690002000000007</v>
      </c>
      <c r="G2397" s="7">
        <v>71.379997000000003</v>
      </c>
      <c r="H2397" s="8">
        <f t="shared" si="39"/>
        <v>9.3236569813018345E-3</v>
      </c>
    </row>
    <row r="2398" spans="2:8" x14ac:dyDescent="0.2">
      <c r="B2398" s="5">
        <v>44749</v>
      </c>
      <c r="C2398" s="6" t="s">
        <v>19</v>
      </c>
      <c r="D2398" s="7">
        <v>73.790001000000004</v>
      </c>
      <c r="E2398" s="7">
        <v>71.135315000000006</v>
      </c>
      <c r="F2398" s="7">
        <v>73.860000999999997</v>
      </c>
      <c r="G2398" s="7">
        <v>72</v>
      </c>
      <c r="H2398" s="8">
        <f t="shared" si="39"/>
        <v>1.7372149694914515E-2</v>
      </c>
    </row>
    <row r="2399" spans="2:8" x14ac:dyDescent="0.2">
      <c r="B2399" s="5">
        <v>44750</v>
      </c>
      <c r="C2399" s="6" t="s">
        <v>19</v>
      </c>
      <c r="D2399" s="7">
        <v>73.059997999999993</v>
      </c>
      <c r="E2399" s="7">
        <v>70.431573999999998</v>
      </c>
      <c r="F2399" s="7">
        <v>73.589995999999999</v>
      </c>
      <c r="G2399" s="7">
        <v>72.900002000000001</v>
      </c>
      <c r="H2399" s="8">
        <f t="shared" si="39"/>
        <v>-9.8929799445321952E-3</v>
      </c>
    </row>
    <row r="2400" spans="2:8" x14ac:dyDescent="0.2">
      <c r="B2400" s="5">
        <v>44751</v>
      </c>
      <c r="C2400" s="6" t="s">
        <v>19</v>
      </c>
      <c r="D2400" s="7">
        <v>72.779999000000004</v>
      </c>
      <c r="E2400" s="7">
        <v>70.161648999999997</v>
      </c>
      <c r="F2400" s="7">
        <v>73.730002999999996</v>
      </c>
      <c r="G2400" s="7">
        <v>72.709998999999996</v>
      </c>
      <c r="H2400" s="8">
        <f t="shared" si="39"/>
        <v>-3.8324528834505233E-3</v>
      </c>
    </row>
    <row r="2401" spans="2:8" x14ac:dyDescent="0.2">
      <c r="B2401" s="5">
        <v>44752</v>
      </c>
      <c r="C2401" s="6" t="s">
        <v>19</v>
      </c>
      <c r="D2401" s="7">
        <v>73.120002999999997</v>
      </c>
      <c r="E2401" s="7">
        <v>70.489420999999993</v>
      </c>
      <c r="F2401" s="7">
        <v>73.550003000000004</v>
      </c>
      <c r="G2401" s="7">
        <v>73.080001999999993</v>
      </c>
      <c r="H2401" s="8">
        <f t="shared" si="39"/>
        <v>4.6716681048593212E-3</v>
      </c>
    </row>
    <row r="2402" spans="2:8" x14ac:dyDescent="0.2">
      <c r="B2402" s="5">
        <v>44755</v>
      </c>
      <c r="C2402" s="6" t="s">
        <v>19</v>
      </c>
      <c r="D2402" s="7">
        <v>73.879997000000003</v>
      </c>
      <c r="E2402" s="7">
        <v>71.222072999999995</v>
      </c>
      <c r="F2402" s="7">
        <v>74.110000999999997</v>
      </c>
      <c r="G2402" s="7">
        <v>73.510002</v>
      </c>
      <c r="H2402" s="8">
        <f t="shared" si="39"/>
        <v>1.0393790602005392E-2</v>
      </c>
    </row>
    <row r="2403" spans="2:8" x14ac:dyDescent="0.2">
      <c r="B2403" s="5">
        <v>44756</v>
      </c>
      <c r="C2403" s="6" t="s">
        <v>19</v>
      </c>
      <c r="D2403" s="7">
        <v>73.790001000000004</v>
      </c>
      <c r="E2403" s="7">
        <v>71.135315000000006</v>
      </c>
      <c r="F2403" s="7">
        <v>74.089995999999999</v>
      </c>
      <c r="G2403" s="7">
        <v>73.480002999999996</v>
      </c>
      <c r="H2403" s="8">
        <f t="shared" si="39"/>
        <v>-1.2181375697673524E-3</v>
      </c>
    </row>
    <row r="2404" spans="2:8" x14ac:dyDescent="0.2">
      <c r="B2404" s="5">
        <v>44757</v>
      </c>
      <c r="C2404" s="6" t="s">
        <v>19</v>
      </c>
      <c r="D2404" s="7">
        <v>73.650002000000001</v>
      </c>
      <c r="E2404" s="7">
        <v>71.000352000000007</v>
      </c>
      <c r="F2404" s="7">
        <v>73.900002000000001</v>
      </c>
      <c r="G2404" s="7">
        <v>73.190002000000007</v>
      </c>
      <c r="H2404" s="8">
        <f t="shared" si="39"/>
        <v>-1.8972624759823907E-3</v>
      </c>
    </row>
    <row r="2405" spans="2:8" x14ac:dyDescent="0.2">
      <c r="B2405" s="5">
        <v>44758</v>
      </c>
      <c r="C2405" s="6" t="s">
        <v>19</v>
      </c>
      <c r="D2405" s="7">
        <v>73.830001999999993</v>
      </c>
      <c r="E2405" s="7">
        <v>71.173877000000005</v>
      </c>
      <c r="F2405" s="7">
        <v>74.139999000000003</v>
      </c>
      <c r="G2405" s="7">
        <v>73.760002</v>
      </c>
      <c r="H2405" s="8">
        <f t="shared" si="39"/>
        <v>2.443991786992655E-3</v>
      </c>
    </row>
    <row r="2406" spans="2:8" x14ac:dyDescent="0.2">
      <c r="B2406" s="5">
        <v>44759</v>
      </c>
      <c r="C2406" s="6" t="s">
        <v>19</v>
      </c>
      <c r="D2406" s="7">
        <v>73.389999000000003</v>
      </c>
      <c r="E2406" s="7">
        <v>70.749703999999994</v>
      </c>
      <c r="F2406" s="7">
        <v>74.069999999999993</v>
      </c>
      <c r="G2406" s="7">
        <v>73.309997999999993</v>
      </c>
      <c r="H2406" s="8">
        <f t="shared" si="39"/>
        <v>-5.9596774763732256E-3</v>
      </c>
    </row>
    <row r="2407" spans="2:8" x14ac:dyDescent="0.2">
      <c r="B2407" s="5">
        <v>44762</v>
      </c>
      <c r="C2407" s="6" t="s">
        <v>19</v>
      </c>
      <c r="D2407" s="7">
        <v>73.099997999999999</v>
      </c>
      <c r="E2407" s="7">
        <v>70.470135999999997</v>
      </c>
      <c r="F2407" s="7">
        <v>73.440002000000007</v>
      </c>
      <c r="G2407" s="7">
        <v>73.059997999999993</v>
      </c>
      <c r="H2407" s="8">
        <f t="shared" si="39"/>
        <v>-3.9515057085639654E-3</v>
      </c>
    </row>
    <row r="2408" spans="2:8" x14ac:dyDescent="0.2">
      <c r="B2408" s="5">
        <v>44763</v>
      </c>
      <c r="C2408" s="6" t="s">
        <v>19</v>
      </c>
      <c r="D2408" s="7">
        <v>72.739998</v>
      </c>
      <c r="E2408" s="7">
        <v>70.123086999999998</v>
      </c>
      <c r="F2408" s="7">
        <v>73.290001000000004</v>
      </c>
      <c r="G2408" s="7">
        <v>72.529999000000004</v>
      </c>
      <c r="H2408" s="8">
        <f t="shared" si="39"/>
        <v>-4.9247607366555528E-3</v>
      </c>
    </row>
    <row r="2409" spans="2:8" x14ac:dyDescent="0.2">
      <c r="B2409" s="5">
        <v>44764</v>
      </c>
      <c r="C2409" s="6" t="s">
        <v>19</v>
      </c>
      <c r="D2409" s="7">
        <v>73.160004000000001</v>
      </c>
      <c r="E2409" s="7">
        <v>70.527981999999994</v>
      </c>
      <c r="F2409" s="7">
        <v>73.819999999999993</v>
      </c>
      <c r="G2409" s="7">
        <v>72.779999000000004</v>
      </c>
      <c r="H2409" s="8">
        <f t="shared" si="39"/>
        <v>5.7740721961526695E-3</v>
      </c>
    </row>
    <row r="2410" spans="2:8" x14ac:dyDescent="0.2">
      <c r="B2410" s="5">
        <v>44765</v>
      </c>
      <c r="C2410" s="6" t="s">
        <v>19</v>
      </c>
      <c r="D2410" s="7">
        <v>72.510002</v>
      </c>
      <c r="E2410" s="7">
        <v>69.901365999999996</v>
      </c>
      <c r="F2410" s="7">
        <v>73.220000999999996</v>
      </c>
      <c r="G2410" s="7">
        <v>72.419998000000007</v>
      </c>
      <c r="H2410" s="8">
        <f t="shared" si="39"/>
        <v>-8.8846632649172714E-3</v>
      </c>
    </row>
    <row r="2411" spans="2:8" x14ac:dyDescent="0.2">
      <c r="B2411" s="5">
        <v>44766</v>
      </c>
      <c r="C2411" s="6" t="s">
        <v>19</v>
      </c>
      <c r="D2411" s="7">
        <v>71.580001999999993</v>
      </c>
      <c r="E2411" s="7">
        <v>69.004823000000002</v>
      </c>
      <c r="F2411" s="7">
        <v>72.559997999999993</v>
      </c>
      <c r="G2411" s="7">
        <v>71.5</v>
      </c>
      <c r="H2411" s="8">
        <f t="shared" si="39"/>
        <v>-1.2825816774905161E-2</v>
      </c>
    </row>
    <row r="2412" spans="2:8" x14ac:dyDescent="0.2">
      <c r="B2412" s="5">
        <v>44769</v>
      </c>
      <c r="C2412" s="6" t="s">
        <v>19</v>
      </c>
      <c r="D2412" s="7">
        <v>71.379997000000003</v>
      </c>
      <c r="E2412" s="7">
        <v>68.812021000000001</v>
      </c>
      <c r="F2412" s="7">
        <v>71.650002000000001</v>
      </c>
      <c r="G2412" s="7">
        <v>71.010002</v>
      </c>
      <c r="H2412" s="8">
        <f t="shared" si="39"/>
        <v>-2.7941463315408993E-3</v>
      </c>
    </row>
    <row r="2413" spans="2:8" x14ac:dyDescent="0.2">
      <c r="B2413" s="5">
        <v>44770</v>
      </c>
      <c r="C2413" s="6" t="s">
        <v>19</v>
      </c>
      <c r="D2413" s="7">
        <v>72.099997999999999</v>
      </c>
      <c r="E2413" s="7">
        <v>69.506112000000002</v>
      </c>
      <c r="F2413" s="7">
        <v>72.389999000000003</v>
      </c>
      <c r="G2413" s="7">
        <v>71.230002999999996</v>
      </c>
      <c r="H2413" s="8">
        <f t="shared" si="39"/>
        <v>1.0086873497627021E-2</v>
      </c>
    </row>
    <row r="2414" spans="2:8" x14ac:dyDescent="0.2">
      <c r="B2414" s="5">
        <v>44771</v>
      </c>
      <c r="C2414" s="6" t="s">
        <v>19</v>
      </c>
      <c r="D2414" s="7">
        <v>72.230002999999996</v>
      </c>
      <c r="E2414" s="7">
        <v>69.631439999999998</v>
      </c>
      <c r="F2414" s="7">
        <v>72.629997000000003</v>
      </c>
      <c r="G2414" s="7">
        <v>72.089995999999999</v>
      </c>
      <c r="H2414" s="8">
        <f t="shared" si="39"/>
        <v>1.8031207157592022E-3</v>
      </c>
    </row>
    <row r="2415" spans="2:8" x14ac:dyDescent="0.2">
      <c r="B2415" s="5">
        <v>44772</v>
      </c>
      <c r="C2415" s="6" t="s">
        <v>19</v>
      </c>
      <c r="D2415" s="7">
        <v>72.160004000000001</v>
      </c>
      <c r="E2415" s="7">
        <v>69.563958999999997</v>
      </c>
      <c r="F2415" s="7">
        <v>72.529999000000004</v>
      </c>
      <c r="G2415" s="7">
        <v>71.779999000000004</v>
      </c>
      <c r="H2415" s="8">
        <f t="shared" si="39"/>
        <v>-9.6911251685806671E-4</v>
      </c>
    </row>
    <row r="2416" spans="2:8" x14ac:dyDescent="0.2">
      <c r="B2416" s="5">
        <v>44773</v>
      </c>
      <c r="C2416" s="6" t="s">
        <v>19</v>
      </c>
      <c r="D2416" s="7">
        <v>71.980002999999996</v>
      </c>
      <c r="E2416" s="7">
        <v>69.390433999999999</v>
      </c>
      <c r="F2416" s="7">
        <v>72.489998</v>
      </c>
      <c r="G2416" s="7">
        <v>71.660004000000001</v>
      </c>
      <c r="H2416" s="8">
        <f t="shared" si="39"/>
        <v>-2.4944704825682145E-3</v>
      </c>
    </row>
    <row r="2417" spans="2:8" x14ac:dyDescent="0.2">
      <c r="B2417" s="5">
        <v>44776</v>
      </c>
      <c r="C2417" s="6" t="s">
        <v>19</v>
      </c>
      <c r="D2417" s="7">
        <v>72.180000000000007</v>
      </c>
      <c r="E2417" s="7">
        <v>69.583235999999999</v>
      </c>
      <c r="F2417" s="7">
        <v>72.379997000000003</v>
      </c>
      <c r="G2417" s="7">
        <v>71.839995999999999</v>
      </c>
      <c r="H2417" s="8">
        <f t="shared" si="39"/>
        <v>2.7785078030631706E-3</v>
      </c>
    </row>
    <row r="2418" spans="2:8" x14ac:dyDescent="0.2">
      <c r="B2418" s="5">
        <v>44777</v>
      </c>
      <c r="C2418" s="6" t="s">
        <v>19</v>
      </c>
      <c r="D2418" s="7">
        <v>72.25</v>
      </c>
      <c r="E2418" s="7">
        <v>69.650717</v>
      </c>
      <c r="F2418" s="7">
        <v>72.800003000000004</v>
      </c>
      <c r="G2418" s="7">
        <v>71.930000000000007</v>
      </c>
      <c r="H2418" s="8">
        <f t="shared" si="39"/>
        <v>9.6979772790237151E-4</v>
      </c>
    </row>
    <row r="2419" spans="2:8" x14ac:dyDescent="0.2">
      <c r="B2419" s="5">
        <v>44778</v>
      </c>
      <c r="C2419" s="6" t="s">
        <v>19</v>
      </c>
      <c r="D2419" s="7">
        <v>73.510002</v>
      </c>
      <c r="E2419" s="7">
        <v>71.349282000000002</v>
      </c>
      <c r="F2419" s="7">
        <v>73.690002000000007</v>
      </c>
      <c r="G2419" s="7">
        <v>72.25</v>
      </c>
      <c r="H2419" s="8">
        <f t="shared" si="39"/>
        <v>1.7439474048442906E-2</v>
      </c>
    </row>
    <row r="2420" spans="2:8" x14ac:dyDescent="0.2">
      <c r="B2420" s="5">
        <v>44779</v>
      </c>
      <c r="C2420" s="6" t="s">
        <v>19</v>
      </c>
      <c r="D2420" s="7">
        <v>72.790001000000004</v>
      </c>
      <c r="E2420" s="7">
        <v>70.650443999999993</v>
      </c>
      <c r="F2420" s="7">
        <v>73.379997000000003</v>
      </c>
      <c r="G2420" s="7">
        <v>72.660004000000001</v>
      </c>
      <c r="H2420" s="8">
        <f t="shared" si="39"/>
        <v>-9.7945991077513003E-3</v>
      </c>
    </row>
    <row r="2421" spans="2:8" x14ac:dyDescent="0.2">
      <c r="B2421" s="5">
        <v>44780</v>
      </c>
      <c r="C2421" s="6" t="s">
        <v>19</v>
      </c>
      <c r="D2421" s="7">
        <v>71.25</v>
      </c>
      <c r="E2421" s="7">
        <v>69.155709000000002</v>
      </c>
      <c r="F2421" s="7">
        <v>72.830001999999993</v>
      </c>
      <c r="G2421" s="7">
        <v>71.169998000000007</v>
      </c>
      <c r="H2421" s="8">
        <f t="shared" si="39"/>
        <v>-2.1156765748636321E-2</v>
      </c>
    </row>
    <row r="2422" spans="2:8" x14ac:dyDescent="0.2">
      <c r="B2422" s="5">
        <v>44783</v>
      </c>
      <c r="C2422" s="6" t="s">
        <v>19</v>
      </c>
      <c r="D2422" s="7">
        <v>71.480002999999996</v>
      </c>
      <c r="E2422" s="7">
        <v>69.378951999999998</v>
      </c>
      <c r="F2422" s="7">
        <v>71.75</v>
      </c>
      <c r="G2422" s="7">
        <v>71.339995999999999</v>
      </c>
      <c r="H2422" s="8">
        <f t="shared" si="39"/>
        <v>3.2281122807017041E-3</v>
      </c>
    </row>
    <row r="2423" spans="2:8" x14ac:dyDescent="0.2">
      <c r="B2423" s="5">
        <v>44784</v>
      </c>
      <c r="C2423" s="6" t="s">
        <v>19</v>
      </c>
      <c r="D2423" s="7">
        <v>71.930000000000007</v>
      </c>
      <c r="E2423" s="7">
        <v>69.815721999999994</v>
      </c>
      <c r="F2423" s="7">
        <v>72.370002999999997</v>
      </c>
      <c r="G2423" s="7">
        <v>71.150002000000001</v>
      </c>
      <c r="H2423" s="8">
        <f t="shared" si="39"/>
        <v>6.295425029571004E-3</v>
      </c>
    </row>
    <row r="2424" spans="2:8" x14ac:dyDescent="0.2">
      <c r="B2424" s="5">
        <v>44785</v>
      </c>
      <c r="C2424" s="6" t="s">
        <v>19</v>
      </c>
      <c r="D2424" s="7">
        <v>72.580001999999993</v>
      </c>
      <c r="E2424" s="7">
        <v>70.446618000000001</v>
      </c>
      <c r="F2424" s="7">
        <v>72.660004000000001</v>
      </c>
      <c r="G2424" s="7">
        <v>71.269997000000004</v>
      </c>
      <c r="H2424" s="8">
        <f t="shared" si="39"/>
        <v>9.0365911302653472E-3</v>
      </c>
    </row>
    <row r="2425" spans="2:8" x14ac:dyDescent="0.2">
      <c r="B2425" s="5">
        <v>44786</v>
      </c>
      <c r="C2425" s="6" t="s">
        <v>19</v>
      </c>
      <c r="D2425" s="7">
        <v>72.110000999999997</v>
      </c>
      <c r="E2425" s="7">
        <v>69.990431000000001</v>
      </c>
      <c r="F2425" s="7">
        <v>72.769997000000004</v>
      </c>
      <c r="G2425" s="7">
        <v>71.970000999999996</v>
      </c>
      <c r="H2425" s="8">
        <f t="shared" si="39"/>
        <v>-6.4756267160201563E-3</v>
      </c>
    </row>
    <row r="2426" spans="2:8" x14ac:dyDescent="0.2">
      <c r="B2426" s="5">
        <v>44787</v>
      </c>
      <c r="C2426" s="6" t="s">
        <v>19</v>
      </c>
      <c r="D2426" s="7">
        <v>72.379997000000003</v>
      </c>
      <c r="E2426" s="7">
        <v>70.252492000000004</v>
      </c>
      <c r="F2426" s="7">
        <v>72.599997999999999</v>
      </c>
      <c r="G2426" s="7">
        <v>72.040001000000004</v>
      </c>
      <c r="H2426" s="8">
        <f t="shared" si="39"/>
        <v>3.7442240501425889E-3</v>
      </c>
    </row>
    <row r="2427" spans="2:8" x14ac:dyDescent="0.2">
      <c r="B2427" s="5">
        <v>44790</v>
      </c>
      <c r="C2427" s="6" t="s">
        <v>19</v>
      </c>
      <c r="D2427" s="7">
        <v>71.910004000000001</v>
      </c>
      <c r="E2427" s="7">
        <v>69.796312999999998</v>
      </c>
      <c r="F2427" s="7">
        <v>72.230002999999996</v>
      </c>
      <c r="G2427" s="7">
        <v>71.760002</v>
      </c>
      <c r="H2427" s="8">
        <f t="shared" si="39"/>
        <v>-6.4934100508459861E-3</v>
      </c>
    </row>
    <row r="2428" spans="2:8" x14ac:dyDescent="0.2">
      <c r="B2428" s="5">
        <v>44791</v>
      </c>
      <c r="C2428" s="6" t="s">
        <v>19</v>
      </c>
      <c r="D2428" s="7">
        <v>69.480002999999996</v>
      </c>
      <c r="E2428" s="7">
        <v>67.437738999999993</v>
      </c>
      <c r="F2428" s="7">
        <v>70.5</v>
      </c>
      <c r="G2428" s="7">
        <v>69.239998</v>
      </c>
      <c r="H2428" s="8">
        <f t="shared" si="39"/>
        <v>-3.3792252326950281E-2</v>
      </c>
    </row>
    <row r="2429" spans="2:8" x14ac:dyDescent="0.2">
      <c r="B2429" s="5">
        <v>44792</v>
      </c>
      <c r="C2429" s="6" t="s">
        <v>19</v>
      </c>
      <c r="D2429" s="7">
        <v>68.569999999999993</v>
      </c>
      <c r="E2429" s="7">
        <v>66.554484000000002</v>
      </c>
      <c r="F2429" s="7">
        <v>69.389999000000003</v>
      </c>
      <c r="G2429" s="7">
        <v>67.769997000000004</v>
      </c>
      <c r="H2429" s="8">
        <f t="shared" si="39"/>
        <v>-1.3097336797754646E-2</v>
      </c>
    </row>
    <row r="2430" spans="2:8" x14ac:dyDescent="0.2">
      <c r="B2430" s="5">
        <v>44793</v>
      </c>
      <c r="C2430" s="6" t="s">
        <v>19</v>
      </c>
      <c r="D2430" s="7">
        <v>68.430000000000007</v>
      </c>
      <c r="E2430" s="7">
        <v>66.418599</v>
      </c>
      <c r="F2430" s="7">
        <v>69.300003000000004</v>
      </c>
      <c r="G2430" s="7">
        <v>67.940002000000007</v>
      </c>
      <c r="H2430" s="8">
        <f t="shared" si="39"/>
        <v>-2.0417092022748488E-3</v>
      </c>
    </row>
    <row r="2431" spans="2:8" x14ac:dyDescent="0.2">
      <c r="B2431" s="5">
        <v>44794</v>
      </c>
      <c r="C2431" s="6" t="s">
        <v>19</v>
      </c>
      <c r="D2431" s="7">
        <v>66.540001000000004</v>
      </c>
      <c r="E2431" s="7">
        <v>64.584153999999998</v>
      </c>
      <c r="F2431" s="7">
        <v>68.309997999999993</v>
      </c>
      <c r="G2431" s="7">
        <v>66.540001000000004</v>
      </c>
      <c r="H2431" s="8">
        <f t="shared" si="39"/>
        <v>-2.7619450533391831E-2</v>
      </c>
    </row>
    <row r="2432" spans="2:8" x14ac:dyDescent="0.2">
      <c r="B2432" s="5">
        <v>44797</v>
      </c>
      <c r="C2432" s="6" t="s">
        <v>19</v>
      </c>
      <c r="D2432" s="7">
        <v>63.950001</v>
      </c>
      <c r="E2432" s="7">
        <v>62.070283000000003</v>
      </c>
      <c r="F2432" s="7">
        <v>66.160004000000001</v>
      </c>
      <c r="G2432" s="7">
        <v>61.5</v>
      </c>
      <c r="H2432" s="8">
        <f t="shared" si="39"/>
        <v>-3.8923954930508695E-2</v>
      </c>
    </row>
    <row r="2433" spans="2:8" x14ac:dyDescent="0.2">
      <c r="B2433" s="5">
        <v>44798</v>
      </c>
      <c r="C2433" s="6" t="s">
        <v>19</v>
      </c>
      <c r="D2433" s="7">
        <v>63.099997999999999</v>
      </c>
      <c r="E2433" s="7">
        <v>61.245265000000003</v>
      </c>
      <c r="F2433" s="7">
        <v>65.709998999999996</v>
      </c>
      <c r="G2433" s="7">
        <v>63</v>
      </c>
      <c r="H2433" s="8">
        <f t="shared" si="39"/>
        <v>-1.3291680792936984E-2</v>
      </c>
    </row>
    <row r="2434" spans="2:8" x14ac:dyDescent="0.2">
      <c r="B2434" s="5">
        <v>44799</v>
      </c>
      <c r="C2434" s="6" t="s">
        <v>19</v>
      </c>
      <c r="D2434" s="7">
        <v>64.830001999999993</v>
      </c>
      <c r="E2434" s="7">
        <v>62.924418000000003</v>
      </c>
      <c r="F2434" s="7">
        <v>64.849997999999999</v>
      </c>
      <c r="G2434" s="7">
        <v>63.02</v>
      </c>
      <c r="H2434" s="8">
        <f t="shared" si="39"/>
        <v>2.7416862992610459E-2</v>
      </c>
    </row>
    <row r="2435" spans="2:8" x14ac:dyDescent="0.2">
      <c r="B2435" s="5">
        <v>44800</v>
      </c>
      <c r="C2435" s="6" t="s">
        <v>19</v>
      </c>
      <c r="D2435" s="7">
        <v>66.080001999999993</v>
      </c>
      <c r="E2435" s="7">
        <v>64.137675999999999</v>
      </c>
      <c r="F2435" s="7">
        <v>66.180000000000007</v>
      </c>
      <c r="G2435" s="7">
        <v>64.949996999999996</v>
      </c>
      <c r="H2435" s="8">
        <f t="shared" si="39"/>
        <v>1.9281196381885045E-2</v>
      </c>
    </row>
    <row r="2436" spans="2:8" x14ac:dyDescent="0.2">
      <c r="B2436" s="5">
        <v>44801</v>
      </c>
      <c r="C2436" s="6" t="s">
        <v>19</v>
      </c>
      <c r="D2436" s="7">
        <v>64.940002000000007</v>
      </c>
      <c r="E2436" s="7">
        <v>63.031185000000001</v>
      </c>
      <c r="F2436" s="7">
        <v>66.120002999999997</v>
      </c>
      <c r="G2436" s="7">
        <v>64.449996999999996</v>
      </c>
      <c r="H2436" s="8">
        <f t="shared" ref="H2436:H2499" si="40">(D2436-D2435)/D2435</f>
        <v>-1.7251815458479956E-2</v>
      </c>
    </row>
    <row r="2437" spans="2:8" x14ac:dyDescent="0.2">
      <c r="B2437" s="5">
        <v>44804</v>
      </c>
      <c r="C2437" s="6" t="s">
        <v>19</v>
      </c>
      <c r="D2437" s="7">
        <v>64.730002999999996</v>
      </c>
      <c r="E2437" s="7">
        <v>62.827359000000001</v>
      </c>
      <c r="F2437" s="7">
        <v>65</v>
      </c>
      <c r="G2437" s="7">
        <v>64.290001000000004</v>
      </c>
      <c r="H2437" s="8">
        <f t="shared" si="40"/>
        <v>-3.2337387362570526E-3</v>
      </c>
    </row>
    <row r="2438" spans="2:8" x14ac:dyDescent="0.2">
      <c r="B2438" s="5">
        <v>44805</v>
      </c>
      <c r="C2438" s="6" t="s">
        <v>19</v>
      </c>
      <c r="D2438" s="7">
        <v>63.82</v>
      </c>
      <c r="E2438" s="7">
        <v>61.944102999999998</v>
      </c>
      <c r="F2438" s="7">
        <v>64.319999999999993</v>
      </c>
      <c r="G2438" s="7">
        <v>63.27</v>
      </c>
      <c r="H2438" s="8">
        <f t="shared" si="40"/>
        <v>-1.405844211068546E-2</v>
      </c>
    </row>
    <row r="2439" spans="2:8" x14ac:dyDescent="0.2">
      <c r="B2439" s="5">
        <v>44806</v>
      </c>
      <c r="C2439" s="6" t="s">
        <v>19</v>
      </c>
      <c r="D2439" s="7">
        <v>64.440002000000007</v>
      </c>
      <c r="E2439" s="7">
        <v>62.545881999999999</v>
      </c>
      <c r="F2439" s="7">
        <v>64.940002000000007</v>
      </c>
      <c r="G2439" s="7">
        <v>64.059997999999993</v>
      </c>
      <c r="H2439" s="8">
        <f t="shared" si="40"/>
        <v>9.7148542776560112E-3</v>
      </c>
    </row>
    <row r="2440" spans="2:8" x14ac:dyDescent="0.2">
      <c r="B2440" s="5">
        <v>44807</v>
      </c>
      <c r="C2440" s="6" t="s">
        <v>19</v>
      </c>
      <c r="D2440" s="7">
        <v>64.860000999999997</v>
      </c>
      <c r="E2440" s="7">
        <v>62.953535000000002</v>
      </c>
      <c r="F2440" s="7">
        <v>65.010002</v>
      </c>
      <c r="G2440" s="7">
        <v>64.389999000000003</v>
      </c>
      <c r="H2440" s="8">
        <f t="shared" si="40"/>
        <v>6.5176751546343831E-3</v>
      </c>
    </row>
    <row r="2441" spans="2:8" x14ac:dyDescent="0.2">
      <c r="B2441" s="5">
        <v>44808</v>
      </c>
      <c r="C2441" s="6" t="s">
        <v>19</v>
      </c>
      <c r="D2441" s="7">
        <v>63.889999000000003</v>
      </c>
      <c r="E2441" s="7">
        <v>62.012045000000001</v>
      </c>
      <c r="F2441" s="7">
        <v>64.300003000000004</v>
      </c>
      <c r="G2441" s="7">
        <v>63.509998000000003</v>
      </c>
      <c r="H2441" s="8">
        <f t="shared" si="40"/>
        <v>-1.4955318918357616E-2</v>
      </c>
    </row>
    <row r="2442" spans="2:8" x14ac:dyDescent="0.2">
      <c r="B2442" s="5">
        <v>44812</v>
      </c>
      <c r="C2442" s="6" t="s">
        <v>19</v>
      </c>
      <c r="D2442" s="7">
        <v>66.379997000000003</v>
      </c>
      <c r="E2442" s="7">
        <v>64.428853000000004</v>
      </c>
      <c r="F2442" s="7">
        <v>66.5</v>
      </c>
      <c r="G2442" s="7">
        <v>65.180000000000007</v>
      </c>
      <c r="H2442" s="8">
        <f t="shared" si="40"/>
        <v>3.8973204554283991E-2</v>
      </c>
    </row>
    <row r="2443" spans="2:8" x14ac:dyDescent="0.2">
      <c r="B2443" s="5">
        <v>44813</v>
      </c>
      <c r="C2443" s="6" t="s">
        <v>19</v>
      </c>
      <c r="D2443" s="7">
        <v>65.120002999999997</v>
      </c>
      <c r="E2443" s="7">
        <v>63.205894000000001</v>
      </c>
      <c r="F2443" s="7">
        <v>67.010002</v>
      </c>
      <c r="G2443" s="7">
        <v>65.010002</v>
      </c>
      <c r="H2443" s="8">
        <f t="shared" si="40"/>
        <v>-1.8981531439358244E-2</v>
      </c>
    </row>
    <row r="2444" spans="2:8" x14ac:dyDescent="0.2">
      <c r="B2444" s="5">
        <v>44814</v>
      </c>
      <c r="C2444" s="6" t="s">
        <v>19</v>
      </c>
      <c r="D2444" s="7">
        <v>64.120002999999997</v>
      </c>
      <c r="E2444" s="7">
        <v>62.235287999999997</v>
      </c>
      <c r="F2444" s="7">
        <v>64.650002000000001</v>
      </c>
      <c r="G2444" s="7">
        <v>63.830002</v>
      </c>
      <c r="H2444" s="8">
        <f t="shared" si="40"/>
        <v>-1.5356264648820733E-2</v>
      </c>
    </row>
    <row r="2445" spans="2:8" x14ac:dyDescent="0.2">
      <c r="B2445" s="5">
        <v>44815</v>
      </c>
      <c r="C2445" s="6" t="s">
        <v>19</v>
      </c>
      <c r="D2445" s="7">
        <v>64.650002000000001</v>
      </c>
      <c r="E2445" s="7">
        <v>62.749707999999998</v>
      </c>
      <c r="F2445" s="7">
        <v>64.680000000000007</v>
      </c>
      <c r="G2445" s="7">
        <v>63.990001999999997</v>
      </c>
      <c r="H2445" s="8">
        <f t="shared" si="40"/>
        <v>8.2657357330442379E-3</v>
      </c>
    </row>
    <row r="2446" spans="2:8" x14ac:dyDescent="0.2">
      <c r="B2446" s="5">
        <v>44818</v>
      </c>
      <c r="C2446" s="6" t="s">
        <v>19</v>
      </c>
      <c r="D2446" s="7">
        <v>64.279999000000004</v>
      </c>
      <c r="E2446" s="7">
        <v>62.390580999999997</v>
      </c>
      <c r="F2446" s="7">
        <v>64.669998000000007</v>
      </c>
      <c r="G2446" s="7">
        <v>63.82</v>
      </c>
      <c r="H2446" s="8">
        <f t="shared" si="40"/>
        <v>-5.7231707432893342E-3</v>
      </c>
    </row>
    <row r="2447" spans="2:8" x14ac:dyDescent="0.2">
      <c r="B2447" s="5">
        <v>44819</v>
      </c>
      <c r="C2447" s="6" t="s">
        <v>19</v>
      </c>
      <c r="D2447" s="7">
        <v>64.319999999999993</v>
      </c>
      <c r="E2447" s="7">
        <v>62.429406</v>
      </c>
      <c r="F2447" s="7">
        <v>64.699996999999996</v>
      </c>
      <c r="G2447" s="7">
        <v>64.050003000000004</v>
      </c>
      <c r="H2447" s="8">
        <f t="shared" si="40"/>
        <v>6.2229310240016517E-4</v>
      </c>
    </row>
    <row r="2448" spans="2:8" x14ac:dyDescent="0.2">
      <c r="B2448" s="5">
        <v>44820</v>
      </c>
      <c r="C2448" s="6" t="s">
        <v>19</v>
      </c>
      <c r="D2448" s="7">
        <v>64.690002000000007</v>
      </c>
      <c r="E2448" s="7">
        <v>62.788533000000001</v>
      </c>
      <c r="F2448" s="7">
        <v>64.769997000000004</v>
      </c>
      <c r="G2448" s="7">
        <v>64.050003000000004</v>
      </c>
      <c r="H2448" s="8">
        <f t="shared" si="40"/>
        <v>5.7525186567166315E-3</v>
      </c>
    </row>
    <row r="2449" spans="2:8" x14ac:dyDescent="0.2">
      <c r="B2449" s="5">
        <v>44821</v>
      </c>
      <c r="C2449" s="6" t="s">
        <v>19</v>
      </c>
      <c r="D2449" s="7">
        <v>64.470000999999996</v>
      </c>
      <c r="E2449" s="7">
        <v>62.574998999999998</v>
      </c>
      <c r="F2449" s="7">
        <v>65.290001000000004</v>
      </c>
      <c r="G2449" s="7">
        <v>64.160004000000001</v>
      </c>
      <c r="H2449" s="8">
        <f t="shared" si="40"/>
        <v>-3.4008501035447569E-3</v>
      </c>
    </row>
    <row r="2450" spans="2:8" x14ac:dyDescent="0.2">
      <c r="B2450" s="5">
        <v>44822</v>
      </c>
      <c r="C2450" s="6" t="s">
        <v>19</v>
      </c>
      <c r="D2450" s="7">
        <v>63.34</v>
      </c>
      <c r="E2450" s="7">
        <v>61.478211999999999</v>
      </c>
      <c r="F2450" s="7">
        <v>64.230002999999996</v>
      </c>
      <c r="G2450" s="7">
        <v>63.259998000000003</v>
      </c>
      <c r="H2450" s="8">
        <f t="shared" si="40"/>
        <v>-1.7527547424731588E-2</v>
      </c>
    </row>
    <row r="2451" spans="2:8" x14ac:dyDescent="0.2">
      <c r="B2451" s="5">
        <v>44825</v>
      </c>
      <c r="C2451" s="6" t="s">
        <v>19</v>
      </c>
      <c r="D2451" s="7">
        <v>63.720001000000003</v>
      </c>
      <c r="E2451" s="7">
        <v>61.847043999999997</v>
      </c>
      <c r="F2451" s="7">
        <v>64</v>
      </c>
      <c r="G2451" s="7">
        <v>63.369999</v>
      </c>
      <c r="H2451" s="8">
        <f t="shared" si="40"/>
        <v>5.9993842753394378E-3</v>
      </c>
    </row>
    <row r="2452" spans="2:8" x14ac:dyDescent="0.2">
      <c r="B2452" s="5">
        <v>44826</v>
      </c>
      <c r="C2452" s="6" t="s">
        <v>19</v>
      </c>
      <c r="D2452" s="7">
        <v>63.59</v>
      </c>
      <c r="E2452" s="7">
        <v>61.720863999999999</v>
      </c>
      <c r="F2452" s="7">
        <v>63.82</v>
      </c>
      <c r="G2452" s="7">
        <v>62.919998</v>
      </c>
      <c r="H2452" s="8">
        <f t="shared" si="40"/>
        <v>-2.0401914306310202E-3</v>
      </c>
    </row>
    <row r="2453" spans="2:8" x14ac:dyDescent="0.2">
      <c r="B2453" s="5">
        <v>44827</v>
      </c>
      <c r="C2453" s="6" t="s">
        <v>19</v>
      </c>
      <c r="D2453" s="7">
        <v>63.720001000000003</v>
      </c>
      <c r="E2453" s="7">
        <v>61.847043999999997</v>
      </c>
      <c r="F2453" s="7">
        <v>63.93</v>
      </c>
      <c r="G2453" s="7">
        <v>63.119999</v>
      </c>
      <c r="H2453" s="8">
        <f t="shared" si="40"/>
        <v>2.0443623211196735E-3</v>
      </c>
    </row>
    <row r="2454" spans="2:8" x14ac:dyDescent="0.2">
      <c r="B2454" s="5">
        <v>44828</v>
      </c>
      <c r="C2454" s="6" t="s">
        <v>19</v>
      </c>
      <c r="D2454" s="7">
        <v>63.830002</v>
      </c>
      <c r="E2454" s="7">
        <v>61.953811000000002</v>
      </c>
      <c r="F2454" s="7">
        <v>63.98</v>
      </c>
      <c r="G2454" s="7">
        <v>63.299999</v>
      </c>
      <c r="H2454" s="8">
        <f t="shared" si="40"/>
        <v>1.7263182403276626E-3</v>
      </c>
    </row>
    <row r="2455" spans="2:8" x14ac:dyDescent="0.2">
      <c r="B2455" s="5">
        <v>44829</v>
      </c>
      <c r="C2455" s="6" t="s">
        <v>19</v>
      </c>
      <c r="D2455" s="7">
        <v>63.779998999999997</v>
      </c>
      <c r="E2455" s="7">
        <v>61.905278000000003</v>
      </c>
      <c r="F2455" s="7">
        <v>64.459998999999996</v>
      </c>
      <c r="G2455" s="7">
        <v>63.619999</v>
      </c>
      <c r="H2455" s="8">
        <f t="shared" si="40"/>
        <v>-7.8337769752856651E-4</v>
      </c>
    </row>
    <row r="2456" spans="2:8" x14ac:dyDescent="0.2">
      <c r="B2456" s="5">
        <v>44832</v>
      </c>
      <c r="C2456" s="6" t="s">
        <v>19</v>
      </c>
      <c r="D2456" s="7">
        <v>63.66</v>
      </c>
      <c r="E2456" s="7">
        <v>61.788806000000001</v>
      </c>
      <c r="F2456" s="7">
        <v>63.950001</v>
      </c>
      <c r="G2456" s="7">
        <v>63.48</v>
      </c>
      <c r="H2456" s="8">
        <f t="shared" si="40"/>
        <v>-1.8814518952877371E-3</v>
      </c>
    </row>
    <row r="2457" spans="2:8" x14ac:dyDescent="0.2">
      <c r="B2457" s="5">
        <v>44833</v>
      </c>
      <c r="C2457" s="6" t="s">
        <v>19</v>
      </c>
      <c r="D2457" s="7">
        <v>63.779998999999997</v>
      </c>
      <c r="E2457" s="7">
        <v>61.905278000000003</v>
      </c>
      <c r="F2457" s="7">
        <v>64.040001000000004</v>
      </c>
      <c r="G2457" s="7">
        <v>63.23</v>
      </c>
      <c r="H2457" s="8">
        <f t="shared" si="40"/>
        <v>1.8849984291548849E-3</v>
      </c>
    </row>
    <row r="2458" spans="2:8" x14ac:dyDescent="0.2">
      <c r="B2458" s="5">
        <v>44834</v>
      </c>
      <c r="C2458" s="6" t="s">
        <v>19</v>
      </c>
      <c r="D2458" s="7">
        <v>64.839995999999999</v>
      </c>
      <c r="E2458" s="7">
        <v>62.934117999999998</v>
      </c>
      <c r="F2458" s="7">
        <v>64.940002000000007</v>
      </c>
      <c r="G2458" s="7">
        <v>63.93</v>
      </c>
      <c r="H2458" s="8">
        <f t="shared" si="40"/>
        <v>1.6619583201937693E-2</v>
      </c>
    </row>
    <row r="2459" spans="2:8" x14ac:dyDescent="0.2">
      <c r="B2459" s="5">
        <v>44835</v>
      </c>
      <c r="C2459" s="6" t="s">
        <v>19</v>
      </c>
      <c r="D2459" s="7">
        <v>64.269997000000004</v>
      </c>
      <c r="E2459" s="7">
        <v>62.380873000000001</v>
      </c>
      <c r="F2459" s="7">
        <v>64.940002000000007</v>
      </c>
      <c r="G2459" s="7">
        <v>63.880001</v>
      </c>
      <c r="H2459" s="8">
        <f t="shared" si="40"/>
        <v>-8.7908549531680365E-3</v>
      </c>
    </row>
    <row r="2460" spans="2:8" x14ac:dyDescent="0.2">
      <c r="B2460" s="5">
        <v>44836</v>
      </c>
      <c r="C2460" s="6" t="s">
        <v>19</v>
      </c>
      <c r="D2460" s="7">
        <v>64.980002999999996</v>
      </c>
      <c r="E2460" s="7">
        <v>63.070010000000003</v>
      </c>
      <c r="F2460" s="7">
        <v>64.980002999999996</v>
      </c>
      <c r="G2460" s="7">
        <v>63.41</v>
      </c>
      <c r="H2460" s="8">
        <f t="shared" si="40"/>
        <v>1.1047238729449339E-2</v>
      </c>
    </row>
    <row r="2461" spans="2:8" x14ac:dyDescent="0.2">
      <c r="B2461" s="5">
        <v>44839</v>
      </c>
      <c r="C2461" s="6" t="s">
        <v>19</v>
      </c>
      <c r="D2461" s="7">
        <v>65.870002999999997</v>
      </c>
      <c r="E2461" s="7">
        <v>63.933849000000002</v>
      </c>
      <c r="F2461" s="7">
        <v>65.919998000000007</v>
      </c>
      <c r="G2461" s="7">
        <v>65.139999000000003</v>
      </c>
      <c r="H2461" s="8">
        <f t="shared" si="40"/>
        <v>1.3696521374429617E-2</v>
      </c>
    </row>
    <row r="2462" spans="2:8" x14ac:dyDescent="0.2">
      <c r="B2462" s="5">
        <v>44840</v>
      </c>
      <c r="C2462" s="6" t="s">
        <v>19</v>
      </c>
      <c r="D2462" s="7">
        <v>65.680000000000007</v>
      </c>
      <c r="E2462" s="7">
        <v>63.749431999999999</v>
      </c>
      <c r="F2462" s="7">
        <v>65.949996999999996</v>
      </c>
      <c r="G2462" s="7">
        <v>65.180000000000007</v>
      </c>
      <c r="H2462" s="8">
        <f t="shared" si="40"/>
        <v>-2.8845148223234506E-3</v>
      </c>
    </row>
    <row r="2463" spans="2:8" x14ac:dyDescent="0.2">
      <c r="B2463" s="5">
        <v>44841</v>
      </c>
      <c r="C2463" s="6" t="s">
        <v>19</v>
      </c>
      <c r="D2463" s="7">
        <v>66.360000999999997</v>
      </c>
      <c r="E2463" s="7">
        <v>64.409443999999993</v>
      </c>
      <c r="F2463" s="7">
        <v>66.360000999999997</v>
      </c>
      <c r="G2463" s="7">
        <v>65.769997000000004</v>
      </c>
      <c r="H2463" s="8">
        <f t="shared" si="40"/>
        <v>1.0353242996345768E-2</v>
      </c>
    </row>
    <row r="2464" spans="2:8" x14ac:dyDescent="0.2">
      <c r="B2464" s="5">
        <v>44842</v>
      </c>
      <c r="C2464" s="6" t="s">
        <v>19</v>
      </c>
      <c r="D2464" s="7">
        <v>66.879997000000003</v>
      </c>
      <c r="E2464" s="7">
        <v>64.914156000000006</v>
      </c>
      <c r="F2464" s="7">
        <v>66.989998</v>
      </c>
      <c r="G2464" s="7">
        <v>66.150002000000001</v>
      </c>
      <c r="H2464" s="8">
        <f t="shared" si="40"/>
        <v>7.8359854153710173E-3</v>
      </c>
    </row>
    <row r="2465" spans="2:8" x14ac:dyDescent="0.2">
      <c r="B2465" s="5">
        <v>44843</v>
      </c>
      <c r="C2465" s="6" t="s">
        <v>19</v>
      </c>
      <c r="D2465" s="7">
        <v>66.690002000000007</v>
      </c>
      <c r="E2465" s="7">
        <v>64.729746000000006</v>
      </c>
      <c r="F2465" s="7">
        <v>67.019997000000004</v>
      </c>
      <c r="G2465" s="7">
        <v>66.510002</v>
      </c>
      <c r="H2465" s="8">
        <f t="shared" si="40"/>
        <v>-2.8408344575732579E-3</v>
      </c>
    </row>
    <row r="2466" spans="2:8" x14ac:dyDescent="0.2">
      <c r="B2466" s="5">
        <v>44846</v>
      </c>
      <c r="C2466" s="6" t="s">
        <v>19</v>
      </c>
      <c r="D2466" s="7">
        <v>66.930000000000007</v>
      </c>
      <c r="E2466" s="7">
        <v>64.962689999999995</v>
      </c>
      <c r="F2466" s="7">
        <v>67</v>
      </c>
      <c r="G2466" s="7">
        <v>66.580001999999993</v>
      </c>
      <c r="H2466" s="8">
        <f t="shared" si="40"/>
        <v>3.5987103434184918E-3</v>
      </c>
    </row>
    <row r="2467" spans="2:8" x14ac:dyDescent="0.2">
      <c r="B2467" s="5">
        <v>44847</v>
      </c>
      <c r="C2467" s="6" t="s">
        <v>19</v>
      </c>
      <c r="D2467" s="7">
        <v>66.730002999999996</v>
      </c>
      <c r="E2467" s="7">
        <v>64.768570999999994</v>
      </c>
      <c r="F2467" s="7">
        <v>66.940002000000007</v>
      </c>
      <c r="G2467" s="7">
        <v>66.260002</v>
      </c>
      <c r="H2467" s="8">
        <f t="shared" si="40"/>
        <v>-2.9881518003886209E-3</v>
      </c>
    </row>
    <row r="2468" spans="2:8" x14ac:dyDescent="0.2">
      <c r="B2468" s="5">
        <v>44848</v>
      </c>
      <c r="C2468" s="6" t="s">
        <v>19</v>
      </c>
      <c r="D2468" s="7">
        <v>60.029998999999997</v>
      </c>
      <c r="E2468" s="7">
        <v>58.265504</v>
      </c>
      <c r="F2468" s="7">
        <v>67.949996999999996</v>
      </c>
      <c r="G2468" s="7">
        <v>60.02</v>
      </c>
      <c r="H2468" s="8">
        <f t="shared" si="40"/>
        <v>-0.10040467104429772</v>
      </c>
    </row>
    <row r="2469" spans="2:8" x14ac:dyDescent="0.2">
      <c r="B2469" s="5">
        <v>44849</v>
      </c>
      <c r="C2469" s="6" t="s">
        <v>19</v>
      </c>
      <c r="D2469" s="7">
        <v>59.330002</v>
      </c>
      <c r="E2469" s="7">
        <v>57.586081999999998</v>
      </c>
      <c r="F2469" s="7">
        <v>60.470001000000003</v>
      </c>
      <c r="G2469" s="7">
        <v>58.610000999999997</v>
      </c>
      <c r="H2469" s="8">
        <f t="shared" si="40"/>
        <v>-1.1660786467779155E-2</v>
      </c>
    </row>
    <row r="2470" spans="2:8" x14ac:dyDescent="0.2">
      <c r="B2470" s="5">
        <v>44850</v>
      </c>
      <c r="C2470" s="6" t="s">
        <v>19</v>
      </c>
      <c r="D2470" s="7">
        <v>58.889999000000003</v>
      </c>
      <c r="E2470" s="7">
        <v>57.159013000000002</v>
      </c>
      <c r="F2470" s="7">
        <v>59.490001999999997</v>
      </c>
      <c r="G2470" s="7">
        <v>58.369999</v>
      </c>
      <c r="H2470" s="8">
        <f t="shared" si="40"/>
        <v>-7.4161972891893255E-3</v>
      </c>
    </row>
    <row r="2471" spans="2:8" x14ac:dyDescent="0.2">
      <c r="B2471" s="5">
        <v>44853</v>
      </c>
      <c r="C2471" s="6" t="s">
        <v>19</v>
      </c>
      <c r="D2471" s="7">
        <v>58.849997999999999</v>
      </c>
      <c r="E2471" s="7">
        <v>57.120187999999999</v>
      </c>
      <c r="F2471" s="7">
        <v>59.299999</v>
      </c>
      <c r="G2471" s="7">
        <v>58.5</v>
      </c>
      <c r="H2471" s="8">
        <f t="shared" si="40"/>
        <v>-6.7924945965789079E-4</v>
      </c>
    </row>
    <row r="2472" spans="2:8" x14ac:dyDescent="0.2">
      <c r="B2472" s="5">
        <v>44854</v>
      </c>
      <c r="C2472" s="6" t="s">
        <v>19</v>
      </c>
      <c r="D2472" s="7">
        <v>58.75</v>
      </c>
      <c r="E2472" s="7">
        <v>57.023128999999997</v>
      </c>
      <c r="F2472" s="7">
        <v>59</v>
      </c>
      <c r="G2472" s="7">
        <v>58.57</v>
      </c>
      <c r="H2472" s="8">
        <f t="shared" si="40"/>
        <v>-1.6992014171351266E-3</v>
      </c>
    </row>
    <row r="2473" spans="2:8" x14ac:dyDescent="0.2">
      <c r="B2473" s="5">
        <v>44855</v>
      </c>
      <c r="C2473" s="6" t="s">
        <v>19</v>
      </c>
      <c r="D2473" s="7">
        <v>58.639999000000003</v>
      </c>
      <c r="E2473" s="7">
        <v>56.916361000000002</v>
      </c>
      <c r="F2473" s="7">
        <v>59.040000999999997</v>
      </c>
      <c r="G2473" s="7">
        <v>58.57</v>
      </c>
      <c r="H2473" s="8">
        <f t="shared" si="40"/>
        <v>-1.8723574468084579E-3</v>
      </c>
    </row>
    <row r="2474" spans="2:8" x14ac:dyDescent="0.2">
      <c r="B2474" s="5">
        <v>44856</v>
      </c>
      <c r="C2474" s="6" t="s">
        <v>19</v>
      </c>
      <c r="D2474" s="7">
        <v>58.900002000000001</v>
      </c>
      <c r="E2474" s="7">
        <v>57.168720999999998</v>
      </c>
      <c r="F2474" s="7">
        <v>59.959999000000003</v>
      </c>
      <c r="G2474" s="7">
        <v>58.639999000000003</v>
      </c>
      <c r="H2474" s="8">
        <f t="shared" si="40"/>
        <v>4.43388479593933E-3</v>
      </c>
    </row>
    <row r="2475" spans="2:8" x14ac:dyDescent="0.2">
      <c r="B2475" s="5">
        <v>44857</v>
      </c>
      <c r="C2475" s="6" t="s">
        <v>19</v>
      </c>
      <c r="D2475" s="7">
        <v>58.299999</v>
      </c>
      <c r="E2475" s="7">
        <v>56.586354999999998</v>
      </c>
      <c r="F2475" s="7">
        <v>59.279998999999997</v>
      </c>
      <c r="G2475" s="7">
        <v>58.220001000000003</v>
      </c>
      <c r="H2475" s="8">
        <f t="shared" si="40"/>
        <v>-1.0186807803503995E-2</v>
      </c>
    </row>
    <row r="2476" spans="2:8" x14ac:dyDescent="0.2">
      <c r="B2476" s="5">
        <v>44860</v>
      </c>
      <c r="C2476" s="6" t="s">
        <v>19</v>
      </c>
      <c r="D2476" s="7">
        <v>58.02</v>
      </c>
      <c r="E2476" s="7">
        <v>56.314585999999998</v>
      </c>
      <c r="F2476" s="7">
        <v>58.450001</v>
      </c>
      <c r="G2476" s="7">
        <v>57.970001000000003</v>
      </c>
      <c r="H2476" s="8">
        <f t="shared" si="40"/>
        <v>-4.8027273551067571E-3</v>
      </c>
    </row>
    <row r="2477" spans="2:8" x14ac:dyDescent="0.2">
      <c r="B2477" s="5">
        <v>44861</v>
      </c>
      <c r="C2477" s="6" t="s">
        <v>19</v>
      </c>
      <c r="D2477" s="7">
        <v>57.48</v>
      </c>
      <c r="E2477" s="7">
        <v>55.790458000000001</v>
      </c>
      <c r="F2477" s="7">
        <v>58.040000999999997</v>
      </c>
      <c r="G2477" s="7">
        <v>57.380001</v>
      </c>
      <c r="H2477" s="8">
        <f t="shared" si="40"/>
        <v>-9.3071354705275122E-3</v>
      </c>
    </row>
    <row r="2478" spans="2:8" x14ac:dyDescent="0.2">
      <c r="B2478" s="5">
        <v>44862</v>
      </c>
      <c r="C2478" s="6" t="s">
        <v>19</v>
      </c>
      <c r="D2478" s="7">
        <v>57.639999000000003</v>
      </c>
      <c r="E2478" s="7">
        <v>55.945754999999998</v>
      </c>
      <c r="F2478" s="7">
        <v>57.720001000000003</v>
      </c>
      <c r="G2478" s="7">
        <v>57.16</v>
      </c>
      <c r="H2478" s="8">
        <f t="shared" si="40"/>
        <v>2.783559498956267E-3</v>
      </c>
    </row>
    <row r="2479" spans="2:8" x14ac:dyDescent="0.2">
      <c r="B2479" s="5">
        <v>44863</v>
      </c>
      <c r="C2479" s="6" t="s">
        <v>19</v>
      </c>
      <c r="D2479" s="7">
        <v>57.959999000000003</v>
      </c>
      <c r="E2479" s="7">
        <v>56.256349</v>
      </c>
      <c r="F2479" s="7">
        <v>58.119999</v>
      </c>
      <c r="G2479" s="7">
        <v>57.48</v>
      </c>
      <c r="H2479" s="8">
        <f t="shared" si="40"/>
        <v>5.5517003045055619E-3</v>
      </c>
    </row>
    <row r="2480" spans="2:8" x14ac:dyDescent="0.2">
      <c r="B2480" s="5">
        <v>44864</v>
      </c>
      <c r="C2480" s="6" t="s">
        <v>19</v>
      </c>
      <c r="D2480" s="7">
        <v>57.240001999999997</v>
      </c>
      <c r="E2480" s="7">
        <v>55.557515000000002</v>
      </c>
      <c r="F2480" s="7">
        <v>58.119999</v>
      </c>
      <c r="G2480" s="7">
        <v>57.240001999999997</v>
      </c>
      <c r="H2480" s="8">
        <f t="shared" si="40"/>
        <v>-1.2422308702938494E-2</v>
      </c>
    </row>
    <row r="2481" spans="2:8" x14ac:dyDescent="0.2">
      <c r="B2481" s="5">
        <v>44867</v>
      </c>
      <c r="C2481" s="6" t="s">
        <v>19</v>
      </c>
      <c r="D2481" s="7">
        <v>57.610000999999997</v>
      </c>
      <c r="E2481" s="7">
        <v>55.916637999999999</v>
      </c>
      <c r="F2481" s="7">
        <v>57.610000999999997</v>
      </c>
      <c r="G2481" s="7">
        <v>56.77</v>
      </c>
      <c r="H2481" s="8">
        <f t="shared" si="40"/>
        <v>6.4639934848360068E-3</v>
      </c>
    </row>
    <row r="2482" spans="2:8" x14ac:dyDescent="0.2">
      <c r="B2482" s="5">
        <v>44868</v>
      </c>
      <c r="C2482" s="6" t="s">
        <v>19</v>
      </c>
      <c r="D2482" s="7">
        <v>58.110000999999997</v>
      </c>
      <c r="E2482" s="7">
        <v>56.401941000000001</v>
      </c>
      <c r="F2482" s="7">
        <v>58.330002</v>
      </c>
      <c r="G2482" s="7">
        <v>57.529998999999997</v>
      </c>
      <c r="H2482" s="8">
        <f t="shared" si="40"/>
        <v>8.6790486256023511E-3</v>
      </c>
    </row>
    <row r="2483" spans="2:8" x14ac:dyDescent="0.2">
      <c r="B2483" s="5">
        <v>44869</v>
      </c>
      <c r="C2483" s="6" t="s">
        <v>19</v>
      </c>
      <c r="D2483" s="7">
        <v>58.369999</v>
      </c>
      <c r="E2483" s="7">
        <v>56.654297</v>
      </c>
      <c r="F2483" s="7">
        <v>58.759998000000003</v>
      </c>
      <c r="G2483" s="7">
        <v>58.189999</v>
      </c>
      <c r="H2483" s="8">
        <f t="shared" si="40"/>
        <v>4.4742384361687254E-3</v>
      </c>
    </row>
    <row r="2484" spans="2:8" x14ac:dyDescent="0.2">
      <c r="B2484" s="5">
        <v>44870</v>
      </c>
      <c r="C2484" s="6" t="s">
        <v>19</v>
      </c>
      <c r="D2484" s="7">
        <v>58.610000999999997</v>
      </c>
      <c r="E2484" s="7">
        <v>56.887244000000003</v>
      </c>
      <c r="F2484" s="7">
        <v>58.98</v>
      </c>
      <c r="G2484" s="7">
        <v>58.419998</v>
      </c>
      <c r="H2484" s="8">
        <f t="shared" si="40"/>
        <v>4.1117355509976443E-3</v>
      </c>
    </row>
    <row r="2485" spans="2:8" x14ac:dyDescent="0.2">
      <c r="B2485" s="5">
        <v>44871</v>
      </c>
      <c r="C2485" s="6" t="s">
        <v>19</v>
      </c>
      <c r="D2485" s="7">
        <v>58.779998999999997</v>
      </c>
      <c r="E2485" s="7">
        <v>57.052245999999997</v>
      </c>
      <c r="F2485" s="7">
        <v>59.200001</v>
      </c>
      <c r="G2485" s="7">
        <v>58.310001</v>
      </c>
      <c r="H2485" s="8">
        <f t="shared" si="40"/>
        <v>2.9004947466218208E-3</v>
      </c>
    </row>
    <row r="2486" spans="2:8" x14ac:dyDescent="0.2">
      <c r="B2486" s="5">
        <v>44874</v>
      </c>
      <c r="C2486" s="6" t="s">
        <v>19</v>
      </c>
      <c r="D2486" s="7">
        <v>58.490001999999997</v>
      </c>
      <c r="E2486" s="7">
        <v>56.770772999999998</v>
      </c>
      <c r="F2486" s="7">
        <v>58.779998999999997</v>
      </c>
      <c r="G2486" s="7">
        <v>58.02</v>
      </c>
      <c r="H2486" s="8">
        <f t="shared" si="40"/>
        <v>-4.9335999478325888E-3</v>
      </c>
    </row>
    <row r="2487" spans="2:8" x14ac:dyDescent="0.2">
      <c r="B2487" s="5">
        <v>44875</v>
      </c>
      <c r="C2487" s="6" t="s">
        <v>19</v>
      </c>
      <c r="D2487" s="7">
        <v>58.68</v>
      </c>
      <c r="E2487" s="7">
        <v>56.955187000000002</v>
      </c>
      <c r="F2487" s="7">
        <v>58.709999000000003</v>
      </c>
      <c r="G2487" s="7">
        <v>58.310001</v>
      </c>
      <c r="H2487" s="8">
        <f t="shared" si="40"/>
        <v>3.2483842281284718E-3</v>
      </c>
    </row>
    <row r="2488" spans="2:8" x14ac:dyDescent="0.2">
      <c r="B2488" s="5">
        <v>44876</v>
      </c>
      <c r="C2488" s="6" t="s">
        <v>19</v>
      </c>
      <c r="D2488" s="7">
        <v>57.580002</v>
      </c>
      <c r="E2488" s="7">
        <v>55.887521</v>
      </c>
      <c r="F2488" s="7">
        <v>58.73</v>
      </c>
      <c r="G2488" s="7">
        <v>57.470001000000003</v>
      </c>
      <c r="H2488" s="8">
        <f t="shared" si="40"/>
        <v>-1.8745705521472381E-2</v>
      </c>
    </row>
    <row r="2489" spans="2:8" x14ac:dyDescent="0.2">
      <c r="B2489" s="5">
        <v>44877</v>
      </c>
      <c r="C2489" s="6" t="s">
        <v>19</v>
      </c>
      <c r="D2489" s="7">
        <v>56.950001</v>
      </c>
      <c r="E2489" s="7">
        <v>55.276038</v>
      </c>
      <c r="F2489" s="7">
        <v>57.77</v>
      </c>
      <c r="G2489" s="7">
        <v>56.919998</v>
      </c>
      <c r="H2489" s="8">
        <f t="shared" si="40"/>
        <v>-1.0941316049276969E-2</v>
      </c>
    </row>
    <row r="2490" spans="2:8" x14ac:dyDescent="0.2">
      <c r="B2490" s="5">
        <v>44878</v>
      </c>
      <c r="C2490" s="6" t="s">
        <v>19</v>
      </c>
      <c r="D2490" s="7">
        <v>56.419998</v>
      </c>
      <c r="E2490" s="7">
        <v>54.761614000000002</v>
      </c>
      <c r="F2490" s="7">
        <v>57.060001</v>
      </c>
      <c r="G2490" s="7">
        <v>56.299999</v>
      </c>
      <c r="H2490" s="8">
        <f t="shared" si="40"/>
        <v>-9.3064616451894473E-3</v>
      </c>
    </row>
    <row r="2491" spans="2:8" x14ac:dyDescent="0.2">
      <c r="B2491" s="5">
        <v>44881</v>
      </c>
      <c r="C2491" s="6" t="s">
        <v>19</v>
      </c>
      <c r="D2491" s="7">
        <v>57.869999</v>
      </c>
      <c r="E2491" s="7">
        <v>56.168993999999998</v>
      </c>
      <c r="F2491" s="7">
        <v>58.029998999999997</v>
      </c>
      <c r="G2491" s="7">
        <v>56.360000999999997</v>
      </c>
      <c r="H2491" s="8">
        <f t="shared" si="40"/>
        <v>2.5700124980507805E-2</v>
      </c>
    </row>
    <row r="2492" spans="2:8" x14ac:dyDescent="0.2">
      <c r="B2492" s="5">
        <v>44882</v>
      </c>
      <c r="C2492" s="6" t="s">
        <v>19</v>
      </c>
      <c r="D2492" s="7">
        <v>59.919998</v>
      </c>
      <c r="E2492" s="7">
        <v>58.158735999999998</v>
      </c>
      <c r="F2492" s="7">
        <v>60.900002000000001</v>
      </c>
      <c r="G2492" s="7">
        <v>59.200001</v>
      </c>
      <c r="H2492" s="8">
        <f t="shared" si="40"/>
        <v>3.5424210047074647E-2</v>
      </c>
    </row>
    <row r="2493" spans="2:8" x14ac:dyDescent="0.2">
      <c r="B2493" s="5">
        <v>44883</v>
      </c>
      <c r="C2493" s="6" t="s">
        <v>19</v>
      </c>
      <c r="D2493" s="7">
        <v>60.93</v>
      </c>
      <c r="E2493" s="7">
        <v>59.139051000000002</v>
      </c>
      <c r="F2493" s="7">
        <v>61.07</v>
      </c>
      <c r="G2493" s="7">
        <v>59.549999</v>
      </c>
      <c r="H2493" s="8">
        <f t="shared" si="40"/>
        <v>1.6855841684106865E-2</v>
      </c>
    </row>
    <row r="2494" spans="2:8" x14ac:dyDescent="0.2">
      <c r="B2494" s="5">
        <v>44884</v>
      </c>
      <c r="C2494" s="6" t="s">
        <v>19</v>
      </c>
      <c r="D2494" s="7">
        <v>60.700001</v>
      </c>
      <c r="E2494" s="7">
        <v>58.915812000000003</v>
      </c>
      <c r="F2494" s="7">
        <v>61.360000999999997</v>
      </c>
      <c r="G2494" s="7">
        <v>60.43</v>
      </c>
      <c r="H2494" s="8">
        <f t="shared" si="40"/>
        <v>-3.7748071557524932E-3</v>
      </c>
    </row>
    <row r="2495" spans="2:8" x14ac:dyDescent="0.2">
      <c r="B2495" s="5">
        <v>44885</v>
      </c>
      <c r="C2495" s="6" t="s">
        <v>19</v>
      </c>
      <c r="D2495" s="7">
        <v>60.07</v>
      </c>
      <c r="E2495" s="7">
        <v>58.304329000000003</v>
      </c>
      <c r="F2495" s="7">
        <v>61.470001000000003</v>
      </c>
      <c r="G2495" s="7">
        <v>60.02</v>
      </c>
      <c r="H2495" s="8">
        <f t="shared" si="40"/>
        <v>-1.0378928988815008E-2</v>
      </c>
    </row>
    <row r="2496" spans="2:8" x14ac:dyDescent="0.2">
      <c r="B2496" s="5">
        <v>44888</v>
      </c>
      <c r="C2496" s="6" t="s">
        <v>19</v>
      </c>
      <c r="D2496" s="7">
        <v>60.259998000000003</v>
      </c>
      <c r="E2496" s="7">
        <v>58.488742999999999</v>
      </c>
      <c r="F2496" s="7">
        <v>60.740001999999997</v>
      </c>
      <c r="G2496" s="7">
        <v>59.880001</v>
      </c>
      <c r="H2496" s="8">
        <f t="shared" si="40"/>
        <v>3.162943232895002E-3</v>
      </c>
    </row>
    <row r="2497" spans="2:8" x14ac:dyDescent="0.2">
      <c r="B2497" s="5">
        <v>44889</v>
      </c>
      <c r="C2497" s="6" t="s">
        <v>19</v>
      </c>
      <c r="D2497" s="7">
        <v>59.919998</v>
      </c>
      <c r="E2497" s="7">
        <v>58.158735999999998</v>
      </c>
      <c r="F2497" s="7">
        <v>60.419998</v>
      </c>
      <c r="G2497" s="7">
        <v>59.860000999999997</v>
      </c>
      <c r="H2497" s="8">
        <f t="shared" si="40"/>
        <v>-5.642217246671721E-3</v>
      </c>
    </row>
    <row r="2498" spans="2:8" x14ac:dyDescent="0.2">
      <c r="B2498" s="5">
        <v>44890</v>
      </c>
      <c r="C2498" s="6" t="s">
        <v>19</v>
      </c>
      <c r="D2498" s="7">
        <v>60.240001999999997</v>
      </c>
      <c r="E2498" s="7">
        <v>58.469334000000003</v>
      </c>
      <c r="F2498" s="7">
        <v>60.709999000000003</v>
      </c>
      <c r="G2498" s="7">
        <v>59.880001</v>
      </c>
      <c r="H2498" s="8">
        <f t="shared" si="40"/>
        <v>5.3405208725140025E-3</v>
      </c>
    </row>
    <row r="2499" spans="2:8" x14ac:dyDescent="0.2">
      <c r="B2499" s="5">
        <v>44892</v>
      </c>
      <c r="C2499" s="6" t="s">
        <v>19</v>
      </c>
      <c r="D2499" s="7">
        <v>59.889999000000003</v>
      </c>
      <c r="E2499" s="7">
        <v>58.129618999999998</v>
      </c>
      <c r="F2499" s="7">
        <v>60.689999</v>
      </c>
      <c r="G2499" s="7">
        <v>59.869999</v>
      </c>
      <c r="H2499" s="8">
        <f t="shared" si="40"/>
        <v>-5.8101425693842749E-3</v>
      </c>
    </row>
    <row r="2500" spans="2:8" x14ac:dyDescent="0.2">
      <c r="B2500" s="5">
        <v>44895</v>
      </c>
      <c r="C2500" s="6" t="s">
        <v>19</v>
      </c>
      <c r="D2500" s="7">
        <v>58.84</v>
      </c>
      <c r="E2500" s="7">
        <v>57.110483000000002</v>
      </c>
      <c r="F2500" s="7">
        <v>60.060001</v>
      </c>
      <c r="G2500" s="7">
        <v>58.73</v>
      </c>
      <c r="H2500" s="8">
        <f t="shared" ref="H2500:H2522" si="41">(D2500-D2499)/D2499</f>
        <v>-1.7532125856271924E-2</v>
      </c>
    </row>
    <row r="2501" spans="2:8" x14ac:dyDescent="0.2">
      <c r="B2501" s="5">
        <v>44896</v>
      </c>
      <c r="C2501" s="6" t="s">
        <v>19</v>
      </c>
      <c r="D2501" s="7">
        <v>58.990001999999997</v>
      </c>
      <c r="E2501" s="7">
        <v>57.256076</v>
      </c>
      <c r="F2501" s="7">
        <v>59.290000999999997</v>
      </c>
      <c r="G2501" s="7">
        <v>58.650002000000001</v>
      </c>
      <c r="H2501" s="8">
        <f t="shared" si="41"/>
        <v>2.549320190346593E-3</v>
      </c>
    </row>
    <row r="2502" spans="2:8" x14ac:dyDescent="0.2">
      <c r="B2502" s="5">
        <v>44897</v>
      </c>
      <c r="C2502" s="6" t="s">
        <v>19</v>
      </c>
      <c r="D2502" s="7">
        <v>58.349997999999999</v>
      </c>
      <c r="E2502" s="7">
        <v>57.109260999999996</v>
      </c>
      <c r="F2502" s="7">
        <v>59.290000999999997</v>
      </c>
      <c r="G2502" s="7">
        <v>58.32</v>
      </c>
      <c r="H2502" s="8">
        <f t="shared" si="41"/>
        <v>-1.08493639311963E-2</v>
      </c>
    </row>
    <row r="2503" spans="2:8" x14ac:dyDescent="0.2">
      <c r="B2503" s="5">
        <v>44898</v>
      </c>
      <c r="C2503" s="6" t="s">
        <v>19</v>
      </c>
      <c r="D2503" s="7">
        <v>59.040000999999997</v>
      </c>
      <c r="E2503" s="7">
        <v>57.784590999999999</v>
      </c>
      <c r="F2503" s="7">
        <v>59.66</v>
      </c>
      <c r="G2503" s="7">
        <v>58.599997999999999</v>
      </c>
      <c r="H2503" s="8">
        <f t="shared" si="41"/>
        <v>1.1825244621259409E-2</v>
      </c>
    </row>
    <row r="2504" spans="2:8" x14ac:dyDescent="0.2">
      <c r="B2504" s="5">
        <v>44899</v>
      </c>
      <c r="C2504" s="6" t="s">
        <v>19</v>
      </c>
      <c r="D2504" s="7">
        <v>59.66</v>
      </c>
      <c r="E2504" s="7">
        <v>58.391406000000003</v>
      </c>
      <c r="F2504" s="7">
        <v>59.849997999999999</v>
      </c>
      <c r="G2504" s="7">
        <v>59.029998999999997</v>
      </c>
      <c r="H2504" s="8">
        <f t="shared" si="41"/>
        <v>1.050133789801257E-2</v>
      </c>
    </row>
    <row r="2505" spans="2:8" x14ac:dyDescent="0.2">
      <c r="B2505" s="5">
        <v>44902</v>
      </c>
      <c r="C2505" s="6" t="s">
        <v>19</v>
      </c>
      <c r="D2505" s="7">
        <v>60.5</v>
      </c>
      <c r="E2505" s="7">
        <v>59.213545000000003</v>
      </c>
      <c r="F2505" s="7">
        <v>60.73</v>
      </c>
      <c r="G2505" s="7">
        <v>59.57</v>
      </c>
      <c r="H2505" s="8">
        <f t="shared" si="41"/>
        <v>1.4079785450888425E-2</v>
      </c>
    </row>
    <row r="2506" spans="2:8" x14ac:dyDescent="0.2">
      <c r="B2506" s="5">
        <v>44903</v>
      </c>
      <c r="C2506" s="6" t="s">
        <v>19</v>
      </c>
      <c r="D2506" s="7">
        <v>59.610000999999997</v>
      </c>
      <c r="E2506" s="7">
        <v>58.342469999999999</v>
      </c>
      <c r="F2506" s="7">
        <v>60.490001999999997</v>
      </c>
      <c r="G2506" s="7">
        <v>59.5</v>
      </c>
      <c r="H2506" s="8">
        <f t="shared" si="41"/>
        <v>-1.4710727272727323E-2</v>
      </c>
    </row>
    <row r="2507" spans="2:8" x14ac:dyDescent="0.2">
      <c r="B2507" s="5">
        <v>44904</v>
      </c>
      <c r="C2507" s="6" t="s">
        <v>19</v>
      </c>
      <c r="D2507" s="7">
        <v>59.130001</v>
      </c>
      <c r="E2507" s="7">
        <v>57.872677000000003</v>
      </c>
      <c r="F2507" s="7">
        <v>60.110000999999997</v>
      </c>
      <c r="G2507" s="7">
        <v>58.900002000000001</v>
      </c>
      <c r="H2507" s="8">
        <f t="shared" si="41"/>
        <v>-8.0523400762901667E-3</v>
      </c>
    </row>
    <row r="2508" spans="2:8" x14ac:dyDescent="0.2">
      <c r="B2508" s="5">
        <v>44905</v>
      </c>
      <c r="C2508" s="6" t="s">
        <v>19</v>
      </c>
      <c r="D2508" s="7">
        <v>59.560001</v>
      </c>
      <c r="E2508" s="7">
        <v>58.293534000000001</v>
      </c>
      <c r="F2508" s="7">
        <v>60.09</v>
      </c>
      <c r="G2508" s="7">
        <v>59.09</v>
      </c>
      <c r="H2508" s="8">
        <f t="shared" si="41"/>
        <v>7.2721121719581863E-3</v>
      </c>
    </row>
    <row r="2509" spans="2:8" x14ac:dyDescent="0.2">
      <c r="B2509" s="5">
        <v>44906</v>
      </c>
      <c r="C2509" s="6" t="s">
        <v>19</v>
      </c>
      <c r="D2509" s="7">
        <v>59.360000999999997</v>
      </c>
      <c r="E2509" s="7">
        <v>58.097785999999999</v>
      </c>
      <c r="F2509" s="7">
        <v>59.529998999999997</v>
      </c>
      <c r="G2509" s="7">
        <v>58.810001</v>
      </c>
      <c r="H2509" s="8">
        <f t="shared" si="41"/>
        <v>-3.3579583049369467E-3</v>
      </c>
    </row>
    <row r="2510" spans="2:8" x14ac:dyDescent="0.2">
      <c r="B2510" s="5">
        <v>44909</v>
      </c>
      <c r="C2510" s="6" t="s">
        <v>19</v>
      </c>
      <c r="D2510" s="7">
        <v>60.389999000000003</v>
      </c>
      <c r="E2510" s="7">
        <v>59.105882999999999</v>
      </c>
      <c r="F2510" s="7">
        <v>60.439999</v>
      </c>
      <c r="G2510" s="7">
        <v>59.07</v>
      </c>
      <c r="H2510" s="8">
        <f t="shared" si="41"/>
        <v>1.7351718036527766E-2</v>
      </c>
    </row>
    <row r="2511" spans="2:8" x14ac:dyDescent="0.2">
      <c r="B2511" s="5">
        <v>44910</v>
      </c>
      <c r="C2511" s="6" t="s">
        <v>19</v>
      </c>
      <c r="D2511" s="7">
        <v>59.639999000000003</v>
      </c>
      <c r="E2511" s="7">
        <v>58.371831</v>
      </c>
      <c r="F2511" s="7">
        <v>60.84</v>
      </c>
      <c r="G2511" s="7">
        <v>59.57</v>
      </c>
      <c r="H2511" s="8">
        <f t="shared" si="41"/>
        <v>-1.2419274920007864E-2</v>
      </c>
    </row>
    <row r="2512" spans="2:8" x14ac:dyDescent="0.2">
      <c r="B2512" s="5">
        <v>44911</v>
      </c>
      <c r="C2512" s="6" t="s">
        <v>19</v>
      </c>
      <c r="D2512" s="7">
        <v>60.299999</v>
      </c>
      <c r="E2512" s="7">
        <v>59.017797000000002</v>
      </c>
      <c r="F2512" s="7">
        <v>60.650002000000001</v>
      </c>
      <c r="G2512" s="7">
        <v>59.700001</v>
      </c>
      <c r="H2512" s="8">
        <f t="shared" si="41"/>
        <v>1.1066398575895291E-2</v>
      </c>
    </row>
    <row r="2513" spans="2:8" x14ac:dyDescent="0.2">
      <c r="B2513" s="5">
        <v>44912</v>
      </c>
      <c r="C2513" s="6" t="s">
        <v>19</v>
      </c>
      <c r="D2513" s="7">
        <v>58.98</v>
      </c>
      <c r="E2513" s="7">
        <v>57.725864999999999</v>
      </c>
      <c r="F2513" s="7">
        <v>60.330002</v>
      </c>
      <c r="G2513" s="7">
        <v>58.970001000000003</v>
      </c>
      <c r="H2513" s="8">
        <f t="shared" si="41"/>
        <v>-2.1890531042960761E-2</v>
      </c>
    </row>
    <row r="2514" spans="2:8" x14ac:dyDescent="0.2">
      <c r="B2514" s="5">
        <v>44913</v>
      </c>
      <c r="C2514" s="6" t="s">
        <v>19</v>
      </c>
      <c r="D2514" s="7">
        <v>58.849997999999999</v>
      </c>
      <c r="E2514" s="7">
        <v>57.598629000000003</v>
      </c>
      <c r="F2514" s="7">
        <v>59.400002000000001</v>
      </c>
      <c r="G2514" s="7">
        <v>58.75</v>
      </c>
      <c r="H2514" s="8">
        <f t="shared" si="41"/>
        <v>-2.2041709053916159E-3</v>
      </c>
    </row>
    <row r="2515" spans="2:8" x14ac:dyDescent="0.2">
      <c r="B2515" s="5">
        <v>44916</v>
      </c>
      <c r="C2515" s="6" t="s">
        <v>19</v>
      </c>
      <c r="D2515" s="7">
        <v>59.549999</v>
      </c>
      <c r="E2515" s="7">
        <v>58.283745000000003</v>
      </c>
      <c r="F2515" s="7">
        <v>59.580002</v>
      </c>
      <c r="G2515" s="7">
        <v>58.669998</v>
      </c>
      <c r="H2515" s="8">
        <f t="shared" si="41"/>
        <v>1.1894664805256243E-2</v>
      </c>
    </row>
    <row r="2516" spans="2:8" x14ac:dyDescent="0.2">
      <c r="B2516" s="5">
        <v>44917</v>
      </c>
      <c r="C2516" s="6" t="s">
        <v>19</v>
      </c>
      <c r="D2516" s="7">
        <v>60.540000999999997</v>
      </c>
      <c r="E2516" s="7">
        <v>59.252695000000003</v>
      </c>
      <c r="F2516" s="7">
        <v>60.700001</v>
      </c>
      <c r="G2516" s="7">
        <v>59.610000999999997</v>
      </c>
      <c r="H2516" s="8">
        <f t="shared" si="41"/>
        <v>1.6624719002933937E-2</v>
      </c>
    </row>
    <row r="2517" spans="2:8" x14ac:dyDescent="0.2">
      <c r="B2517" s="5">
        <v>44918</v>
      </c>
      <c r="C2517" s="6" t="s">
        <v>19</v>
      </c>
      <c r="D2517" s="7">
        <v>61.09</v>
      </c>
      <c r="E2517" s="7">
        <v>59.790999999999997</v>
      </c>
      <c r="F2517" s="7">
        <v>61.119999</v>
      </c>
      <c r="G2517" s="7">
        <v>60.439999</v>
      </c>
      <c r="H2517" s="8">
        <f t="shared" si="41"/>
        <v>9.0848858757040137E-3</v>
      </c>
    </row>
    <row r="2518" spans="2:8" x14ac:dyDescent="0.2">
      <c r="B2518" s="5">
        <v>44919</v>
      </c>
      <c r="C2518" s="6" t="s">
        <v>19</v>
      </c>
      <c r="D2518" s="7">
        <v>60.830002</v>
      </c>
      <c r="E2518" s="7">
        <v>59.536529999999999</v>
      </c>
      <c r="F2518" s="7">
        <v>61.099997999999999</v>
      </c>
      <c r="G2518" s="7">
        <v>60.68</v>
      </c>
      <c r="H2518" s="8">
        <f t="shared" si="41"/>
        <v>-4.2559829759371915E-3</v>
      </c>
    </row>
    <row r="2519" spans="2:8" x14ac:dyDescent="0.2">
      <c r="B2519" s="5">
        <v>44923</v>
      </c>
      <c r="C2519" s="6" t="s">
        <v>19</v>
      </c>
      <c r="D2519" s="7">
        <v>60.75</v>
      </c>
      <c r="E2519" s="7">
        <v>59.458229000000003</v>
      </c>
      <c r="F2519" s="7">
        <v>60.970001000000003</v>
      </c>
      <c r="G2519" s="7">
        <v>60.5</v>
      </c>
      <c r="H2519" s="8">
        <f t="shared" si="41"/>
        <v>-1.3151733909198351E-3</v>
      </c>
    </row>
    <row r="2520" spans="2:8" x14ac:dyDescent="0.2">
      <c r="B2520" s="5">
        <v>44924</v>
      </c>
      <c r="C2520" s="6" t="s">
        <v>19</v>
      </c>
      <c r="D2520" s="7">
        <v>61.610000999999997</v>
      </c>
      <c r="E2520" s="7">
        <v>60.299942999999999</v>
      </c>
      <c r="F2520" s="7">
        <v>61.75</v>
      </c>
      <c r="G2520" s="7">
        <v>60.98</v>
      </c>
      <c r="H2520" s="8">
        <f t="shared" si="41"/>
        <v>1.4156395061728343E-2</v>
      </c>
    </row>
    <row r="2521" spans="2:8" x14ac:dyDescent="0.2">
      <c r="B2521" s="5">
        <v>44925</v>
      </c>
      <c r="C2521" s="6" t="s">
        <v>19</v>
      </c>
      <c r="D2521" s="7">
        <v>61.68</v>
      </c>
      <c r="E2521" s="7">
        <v>60.368454</v>
      </c>
      <c r="F2521" s="7">
        <v>61.869999</v>
      </c>
      <c r="G2521" s="7">
        <v>61.490001999999997</v>
      </c>
      <c r="H2521" s="8">
        <f t="shared" si="41"/>
        <v>1.1361629421171866E-3</v>
      </c>
    </row>
    <row r="2522" spans="2:8" x14ac:dyDescent="0.2">
      <c r="B2522" s="5">
        <v>44926</v>
      </c>
      <c r="C2522" s="6" t="s">
        <v>19</v>
      </c>
      <c r="D2522" s="7">
        <v>61.299999</v>
      </c>
      <c r="E2522" s="7">
        <v>59.996532999999999</v>
      </c>
      <c r="F2522" s="7">
        <v>61.720001000000003</v>
      </c>
      <c r="G2522" s="7">
        <v>61.169998</v>
      </c>
      <c r="H2522" s="8">
        <f t="shared" si="41"/>
        <v>-6.160846303501946E-3</v>
      </c>
    </row>
  </sheetData>
  <pageMargins left="0.7" right="0.7" top="0.75" bottom="0.75" header="0.3" footer="0.3"/>
  <pageSetup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1EFDB8B2383542832779874076314B" ma:contentTypeVersion="11" ma:contentTypeDescription="Create a new document." ma:contentTypeScope="" ma:versionID="143861a56096fddc903abb4a2e3fb862">
  <xsd:schema xmlns:xsd="http://www.w3.org/2001/XMLSchema" xmlns:xs="http://www.w3.org/2001/XMLSchema" xmlns:p="http://schemas.microsoft.com/office/2006/metadata/properties" xmlns:ns3="ce364658-b1be-479c-82a8-06cee6af5152" xmlns:ns4="e0d4c3bf-e47f-4a9b-a3f4-af7f85187c46" targetNamespace="http://schemas.microsoft.com/office/2006/metadata/properties" ma:root="true" ma:fieldsID="24f9c4a67428832d5c0882eddc29dd66" ns3:_="" ns4:_="">
    <xsd:import namespace="ce364658-b1be-479c-82a8-06cee6af5152"/>
    <xsd:import namespace="e0d4c3bf-e47f-4a9b-a3f4-af7f85187c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64658-b1be-479c-82a8-06cee6af5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4c3bf-e47f-4a9b-a3f4-af7f85187c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64658-b1be-479c-82a8-06cee6af5152" xsi:nil="true"/>
  </documentManagement>
</p:properties>
</file>

<file path=customXml/itemProps1.xml><?xml version="1.0" encoding="utf-8"?>
<ds:datastoreItem xmlns:ds="http://schemas.openxmlformats.org/officeDocument/2006/customXml" ds:itemID="{0E090651-8C1F-42D2-86EE-B6C17AFE2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64658-b1be-479c-82a8-06cee6af5152"/>
    <ds:schemaRef ds:uri="e0d4c3bf-e47f-4a9b-a3f4-af7f85187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F0FB9-72DA-4E8C-B460-A51AC05946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FED2B0-D3DA-41DE-BAD1-F6EFBC1BE7DF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ce364658-b1be-479c-82a8-06cee6af5152"/>
    <ds:schemaRef ds:uri="http://schemas.microsoft.com/office/infopath/2007/PartnerControls"/>
    <ds:schemaRef ds:uri="e0d4c3bf-e47f-4a9b-a3f4-af7f85187c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Tylar Dillon</cp:lastModifiedBy>
  <cp:lastPrinted>2019-02-11T05:09:57Z</cp:lastPrinted>
  <dcterms:created xsi:type="dcterms:W3CDTF">2016-09-13T20:15:53Z</dcterms:created>
  <dcterms:modified xsi:type="dcterms:W3CDTF">2025-05-05T12:55:12Z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0x010100E21EFDB8B2383542832779874076314B</vt:lpwstr>
  </property>
</Properties>
</file>